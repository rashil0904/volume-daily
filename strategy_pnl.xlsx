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Summary" sheetId="2" state="visible" r:id="rId4"/>
    <sheet name="Trade Log" sheetId="3" state="visible" r:id="rId5"/>
    <sheet name="Daily PnL" sheetId="4" state="visible" r:id="rId6"/>
    <sheet name="Company Stats" sheetId="5" state="visible" r:id="rId7"/>
    <sheet name="Monthly &amp; Yearly" sheetId="6" state="visible" r:id="rId8"/>
    <sheet name="Distribution &amp; Risk" sheetId="7" state="visible" r:id="rId9"/>
    <sheet name="Charts" sheetId="8" state="visible" r:id="rId10"/>
  </sheets>
  <definedNames>
    <definedName function="false" hidden="true" localSheetId="4" name="_xlnm._FilterDatabase" vbProcedure="false">'Company Stats'!$A$3:$U$153</definedName>
    <definedName function="false" hidden="true" localSheetId="2" name="_xlnm._FilterDatabase" vbProcedure="false">'Trade Log'!$A$3:$AJ$503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<sst xmlns="http://schemas.openxmlformats.org/spreadsheetml/2006/main" count="421" uniqueCount="356">
  <si>
    <t xml:space="preserve">Config — cost model &amp; capital assumptions</t>
  </si>
  <si>
    <t xml:space="preserve">Edit BLUE / yellow-filled cells only. Every other sheet reads from here.</t>
  </si>
  <si>
    <t xml:space="preserve">CAPITAL &amp; PERIOD</t>
  </si>
  <si>
    <t xml:space="preserve">Deployed capital (₹)</t>
  </si>
  <si>
    <t xml:space="preserve">MTF capital base. Sizing is capital/4 if n&lt;=4 else capital/n.</t>
  </si>
  <si>
    <t xml:space="preserve">Tracking start date</t>
  </si>
  <si>
    <t xml:space="preserve">Day 1 of the Daily PnL calendar. Change it and every dated sheet re-bases.</t>
  </si>
  <si>
    <t xml:space="preserve">Trading days per year</t>
  </si>
  <si>
    <t xml:space="preserve">Annualisation factor for Sharpe.</t>
  </si>
  <si>
    <t xml:space="preserve">Risk-free rate (annual)</t>
  </si>
  <si>
    <t xml:space="preserve">Sharpe numerator.</t>
  </si>
  <si>
    <t xml:space="preserve">MTF funded fraction of position</t>
  </si>
  <si>
    <t xml:space="preserve">Portion the broker funds and charges interest on. 0.75 = you post 25% margin.</t>
  </si>
  <si>
    <t xml:space="preserve">COST MODEL — per product</t>
  </si>
  <si>
    <t xml:space="preserve">Seeded with typical Indian equity rates. VERIFY EVERY NUMBER against a real Dhan contract note before trusting the net column — statutory rates change and broker plans differ.</t>
  </si>
  <si>
    <t xml:space="preserve">Product</t>
  </si>
  <si>
    <t xml:space="preserve">Brokerage %
(per order)</t>
  </si>
  <si>
    <t xml:space="preserve">Brokerage cap
(₹/order)</t>
  </si>
  <si>
    <t xml:space="preserve">STT %
on buy</t>
  </si>
  <si>
    <t xml:space="preserve">STT %
on sell</t>
  </si>
  <si>
    <t xml:space="preserve">Exch txn %
(per side)</t>
  </si>
  <si>
    <t xml:space="preserve">SEBI %
(per side)</t>
  </si>
  <si>
    <t xml:space="preserve">Stamp duty %
(buy side)</t>
  </si>
  <si>
    <t xml:space="preserve">GST %
on charges</t>
  </si>
  <si>
    <t xml:space="preserve">DP charge
(₹ per sell)</t>
  </si>
  <si>
    <t xml:space="preserve">MTF interest
(% p.a.)</t>
  </si>
  <si>
    <t xml:space="preserve">MTF</t>
  </si>
  <si>
    <t xml:space="preserve">CNC</t>
  </si>
  <si>
    <t xml:space="preserve">INTRADAY</t>
  </si>
  <si>
    <t xml:space="preserve">ASSUMPTIONS BAKED INTO THE COST FORMULAS</t>
  </si>
  <si>
    <t xml:space="preserve">1. Brokerage = MIN(cap, pct x order value), charged on BOTH entry and exit orders. Set cap huge if your plan is pure-percentage.</t>
  </si>
  <si>
    <t xml:space="preserve">2. STT on delivery (MTF/CNC) hits both legs; on INTRADAY it is sell-side only. A short's 'sell' is its ENTRY — the formula handles that.</t>
  </si>
  <si>
    <t xml:space="preserve">3. Stamp duty is buy-side only. For a short, the buy is the COVER.</t>
  </si>
  <si>
    <t xml:space="preserve">4. GST applies to brokerage + exchange txn + SEBI fees. Not to STT or stamp duty.</t>
  </si>
  <si>
    <t xml:space="preserve">5. MTF interest = rate/365 x holding days x entry value x funded fraction (B8). Real MTF interest varies by scrip margin, so this is an approximation.</t>
  </si>
  <si>
    <t xml:space="preserve">6. DP/demat charge is added once per closed trade on delivery products; ₹0 on INTRADAY, so short legs are unaffected.</t>
  </si>
  <si>
    <t xml:space="preserve">7. Slippage is NOT a modelled cost — it is measured directly as (fill price vs 15:20 reference price) in the Trade Log.</t>
  </si>
  <si>
    <t xml:space="preserve">HOW TO USE THE TRADE LOG</t>
  </si>
  <si>
    <t xml:space="preserve">Type only into BLUE columns: Trade ID, Signal Date, Symbol, Leg, Product, Ref Price, Entry Date, Entry Price, Qty, Exit Date, Exit Stage, Exit Price, Last Price, Broker Actual Net, Notes.</t>
  </si>
  <si>
    <t xml:space="preserve">Everything else is a formula. Do not overwrite it.</t>
  </si>
  <si>
    <t xml:space="preserve">ONE ROW PER LEG. A long that gets shorted on exit is two rows. Use the same Trade ID stem with -L and -S suffixes — the Signal ID column strips the suffix and pairs them automatically.</t>
  </si>
  <si>
    <t xml:space="preserve">'Ref Price' for a LONG = the 15:20 candle close your pipeline sized against. For a SHORT = the price the long exited at. This is what makes the slippage column real.</t>
  </si>
  <si>
    <t xml:space="preserve">Leave Exit Date / Stage / Price blank while a position is open. Fill 'Last Price' instead and the Unrealised column marks it to market.</t>
  </si>
  <si>
    <t xml:space="preserve">Rows 4-5 are a worked EXAMPLE pair. Delete their contents before real use.</t>
  </si>
  <si>
    <t xml:space="preserve">Grey columns at the far right are internal cost-lookup helpers. Ignore them, don't delete them.</t>
  </si>
  <si>
    <t xml:space="preserve">Key P&amp;L statistics — gross and net</t>
  </si>
  <si>
    <t xml:space="preserve">Fully derived from the Trade Log and Daily PnL. Nothing on this sheet is typed by hand.</t>
  </si>
  <si>
    <t xml:space="preserve">PERIOD &amp; CAPITAL</t>
  </si>
  <si>
    <t xml:space="preserve">Deployed capital</t>
  </si>
  <si>
    <t xml:space="preserve">First entry date</t>
  </si>
  <si>
    <t xml:space="preserve">Last exit date</t>
  </si>
  <si>
    <t xml:space="preserve">Calendar days elapsed</t>
  </si>
  <si>
    <t xml:space="preserve">Active trading days</t>
  </si>
  <si>
    <t xml:space="preserve">Days on which at least one leg closed.</t>
  </si>
  <si>
    <t xml:space="preserve">HEADLINE P&amp;L</t>
  </si>
  <si>
    <t xml:space="preserve">Gross P&amp;L</t>
  </si>
  <si>
    <t xml:space="preserve">Total costs</t>
  </si>
  <si>
    <t xml:space="preserve">Net P&amp;L</t>
  </si>
  <si>
    <t xml:space="preserve">The anchor number for the whole workbook.</t>
  </si>
  <si>
    <t xml:space="preserve">Gross return on capital</t>
  </si>
  <si>
    <t xml:space="preserve">Net return on capital</t>
  </si>
  <si>
    <t xml:space="preserve">Cost drag (% of gross)</t>
  </si>
  <si>
    <t xml:space="preserve">How much of the gross edge the cost model eats.</t>
  </si>
  <si>
    <t xml:space="preserve">Total turnover (both sides)</t>
  </si>
  <si>
    <t xml:space="preserve">Costs as bp of turnover</t>
  </si>
  <si>
    <t xml:space="preserve">Compare against your ~25bp/side assumption.</t>
  </si>
  <si>
    <t xml:space="preserve">Annualised net return (CAGR-style)</t>
  </si>
  <si>
    <t xml:space="preserve">Simple scaling, not compounded. Meaningless until you have a few months of data.</t>
  </si>
  <si>
    <t xml:space="preserve">SPLIT BY LEG</t>
  </si>
  <si>
    <t xml:space="preserve">Total Costs</t>
  </si>
  <si>
    <t xml:space="preserve">Legs</t>
  </si>
  <si>
    <t xml:space="preserve">Net / Leg</t>
  </si>
  <si>
    <t xml:space="preserve">Win Rate</t>
  </si>
  <si>
    <t xml:space="preserve">LONG</t>
  </si>
  <si>
    <t xml:space="preserve">SHORT</t>
  </si>
  <si>
    <t xml:space="preserve">TOTAL</t>
  </si>
  <si>
    <t xml:space="preserve">If the SHORT row is net-negative, the short-on-exit overlay is not paying for itself once real fills and INTRADAY costs are applied.</t>
  </si>
  <si>
    <t xml:space="preserve">FULL-CYCLE (SIGNAL-LEVEL) RESULTS</t>
  </si>
  <si>
    <t xml:space="preserve">One signal = the long plus its paired short overlay leg, matched on Signal ID. This is the number that actually reflects a day's decision.</t>
  </si>
  <si>
    <t xml:space="preserve">Signals completed</t>
  </si>
  <si>
    <t xml:space="preserve">Total cycle net P&amp;L</t>
  </si>
  <si>
    <t xml:space="preserve">Average net per signal</t>
  </si>
  <si>
    <t xml:space="preserve">Cycle win rate</t>
  </si>
  <si>
    <t xml:space="preserve">Best signal</t>
  </si>
  <si>
    <t xml:space="preserve">Worst signal</t>
  </si>
  <si>
    <t xml:space="preserve">Cycle profit factor</t>
  </si>
  <si>
    <t xml:space="preserve">COST BREAKDOWN</t>
  </si>
  <si>
    <t xml:space="preserve">Component</t>
  </si>
  <si>
    <t xml:space="preserve">Total (₹)</t>
  </si>
  <si>
    <t xml:space="preserve">bp of Turnover</t>
  </si>
  <si>
    <t xml:space="preserve">% of All Costs</t>
  </si>
  <si>
    <t xml:space="preserve">Brokerage</t>
  </si>
  <si>
    <t xml:space="preserve">STT</t>
  </si>
  <si>
    <t xml:space="preserve">Exchange txn</t>
  </si>
  <si>
    <t xml:space="preserve">SEBI + Stamp + DP</t>
  </si>
  <si>
    <t xml:space="preserve">GST</t>
  </si>
  <si>
    <t xml:space="preserve">MTF interest</t>
  </si>
  <si>
    <t xml:space="preserve">MTF interest is the one line that scales with holding time rather than turnover — watch it if longs start surviving past 11:59 more often.</t>
  </si>
  <si>
    <t xml:space="preserve">TRADE STATISTICS  (per leg, net of costs)</t>
  </si>
  <si>
    <t xml:space="preserve">Legs entered</t>
  </si>
  <si>
    <t xml:space="preserve">Legs closed</t>
  </si>
  <si>
    <t xml:space="preserve">Legs still open</t>
  </si>
  <si>
    <t xml:space="preserve">Gross win rate</t>
  </si>
  <si>
    <t xml:space="preserve">Net win rate</t>
  </si>
  <si>
    <t xml:space="preserve">The gap vs gross is trades that costs flipped from winners into losers.</t>
  </si>
  <si>
    <t xml:space="preserve">Average net win</t>
  </si>
  <si>
    <t xml:space="preserve">Average net loss</t>
  </si>
  <si>
    <t xml:space="preserve">Payoff ratio (win/loss)</t>
  </si>
  <si>
    <t xml:space="preserve">Expectancy per leg (net)</t>
  </si>
  <si>
    <t xml:space="preserve">Profit factor (net)</t>
  </si>
  <si>
    <t xml:space="preserve">Best leg (net)</t>
  </si>
  <si>
    <t xml:space="preserve">Worst leg (net)</t>
  </si>
  <si>
    <t xml:space="preserve">Average holding days</t>
  </si>
  <si>
    <t xml:space="preserve">Average leg size (₹)</t>
  </si>
  <si>
    <t xml:space="preserve">Legs per active day</t>
  </si>
  <si>
    <t xml:space="preserve">DAILY &amp; RISK STATISTICS</t>
  </si>
  <si>
    <t xml:space="preserve">Average daily net P&amp;L</t>
  </si>
  <si>
    <t xml:space="preserve">Active days only.</t>
  </si>
  <si>
    <t xml:space="preserve">Daily net P&amp;L std dev</t>
  </si>
  <si>
    <t xml:space="preserve">Average daily return</t>
  </si>
  <si>
    <t xml:space="preserve">Daily return std dev</t>
  </si>
  <si>
    <t xml:space="preserve">Sharpe ratio (annualised, net)</t>
  </si>
  <si>
    <t xml:space="preserve">Active days only, so it is not flattered by flat days.</t>
  </si>
  <si>
    <t xml:space="preserve">Sortino ratio (annualised)</t>
  </si>
  <si>
    <t xml:space="preserve">Best day (net)</t>
  </si>
  <si>
    <t xml:space="preserve">Worst day (net)</t>
  </si>
  <si>
    <t xml:space="preserve">% profitable days</t>
  </si>
  <si>
    <t xml:space="preserve">Max consecutive winning days</t>
  </si>
  <si>
    <t xml:space="preserve">Max consecutive losing days</t>
  </si>
  <si>
    <t xml:space="preserve">Max drawdown (₹)</t>
  </si>
  <si>
    <t xml:space="preserve">Max drawdown (%)</t>
  </si>
  <si>
    <t xml:space="preserve">Net P&amp;L / max drawdown</t>
  </si>
  <si>
    <t xml:space="preserve">Current drawdown (%)</t>
  </si>
  <si>
    <t xml:space="preserve">Peak capital deployed</t>
  </si>
  <si>
    <t xml:space="preserve">Largest single-day notional entered — sanity-check against your MTF limit.</t>
  </si>
  <si>
    <t xml:space="preserve">EXIT-STAGE ATTRIBUTION</t>
  </si>
  <si>
    <t xml:space="preserve">Exit Stage</t>
  </si>
  <si>
    <t xml:space="preserve">% of Net P&amp;L</t>
  </si>
  <si>
    <t xml:space="preserve">TARGET_17</t>
  </si>
  <si>
    <t xml:space="preserve">EXIT_925</t>
  </si>
  <si>
    <t xml:space="preserve">PARTIAL_925_NODATA</t>
  </si>
  <si>
    <t xml:space="preserve">FORCE_1159</t>
  </si>
  <si>
    <t xml:space="preserve">COVER_TARGET_5</t>
  </si>
  <si>
    <t xml:space="preserve">UC_STOP</t>
  </si>
  <si>
    <t xml:space="preserve">SQUAREOFF_239</t>
  </si>
  <si>
    <t xml:space="preserve">MANUAL</t>
  </si>
  <si>
    <t xml:space="preserve">TARGET_17, COVER_TARGET_5 and UC_STOP are the features shipped on 17 Aug. If their rows stay at zero legs, the orders are not filling; if their Net/Leg is worse than EXIT_925, they are costing you.</t>
  </si>
  <si>
    <t xml:space="preserve">EXECUTION QUALITY &amp; COST RECONCILIATION</t>
  </si>
  <si>
    <t xml:space="preserve">Break-even slippage in the backtest was ~44bp/side against a ~25bp/side realistic cost, leaving ~18-19bp of budget that has never been checked against real fills. This block checks it.</t>
  </si>
  <si>
    <t xml:space="preserve">Avg entry slippage, LONG legs (bp)</t>
  </si>
  <si>
    <t xml:space="preserve">Positive = filled worse than the 15:20 reference price.</t>
  </si>
  <si>
    <t xml:space="preserve">Avg entry slippage, SHORT legs (bp)</t>
  </si>
  <si>
    <t xml:space="preserve">Median entry slippage (bp)</t>
  </si>
  <si>
    <t xml:space="preserve">Compare to the mean — a big gap means a few bad fills dominate.</t>
  </si>
  <si>
    <t xml:space="preserve">Worst entry slippage (bp)</t>
  </si>
  <si>
    <t xml:space="preserve">Legs slipping worse than 50bp</t>
  </si>
  <si>
    <t xml:space="preserve">Avg modelled cost per leg (bp)</t>
  </si>
  <si>
    <t xml:space="preserve">All-in friction (bp of turnover)</t>
  </si>
  <si>
    <t xml:space="preserve">Costs plus average long slippage. Compare to the 44bp/side break-even.</t>
  </si>
  <si>
    <t xml:space="preserve">Slippage budget remaining (bp)</t>
  </si>
  <si>
    <t xml:space="preserve">Negative means the live strategy is running past the backtest's break-even.</t>
  </si>
  <si>
    <t xml:space="preserve">Legs reconciled to contract note</t>
  </si>
  <si>
    <t xml:space="preserve">Fill 'Broker Actual Net' from your Dhan P&amp;L statement.</t>
  </si>
  <si>
    <t xml:space="preserve">Model vs broker, total variance</t>
  </si>
  <si>
    <t xml:space="preserve">Should trend to zero. A persistent gap means the Config cost model is wrong.</t>
  </si>
  <si>
    <t xml:space="preserve">Model vs broker, avg per leg</t>
  </si>
  <si>
    <t xml:space="preserve">CONCENTRATION &amp; OPEN POSITIONS</t>
  </si>
  <si>
    <t xml:space="preserve">Symbols traded</t>
  </si>
  <si>
    <t xml:space="preserve">Only counts symbols you have listed on the Company Stats sheet.</t>
  </si>
  <si>
    <t xml:space="preserve">Top symbol net P&amp;L</t>
  </si>
  <si>
    <t xml:space="preserve">Top 5 symbols, share of net P&amp;L</t>
  </si>
  <si>
    <t xml:space="preserve">If a handful of names carry everything, the edge is thinner than the trade count suggests.</t>
  </si>
  <si>
    <t xml:space="preserve">Worst symbol net P&amp;L</t>
  </si>
  <si>
    <t xml:space="preserve">Symbols with a net loss</t>
  </si>
  <si>
    <t xml:space="preserve">Open legs</t>
  </si>
  <si>
    <t xml:space="preserve">Open notional at entry</t>
  </si>
  <si>
    <t xml:space="preserve">Unrealised gross P&amp;L</t>
  </si>
  <si>
    <t xml:space="preserve">Only counts open legs where you have filled in a Last Price.</t>
  </si>
  <si>
    <t xml:space="preserve">Equity incl. unrealised</t>
  </si>
  <si>
    <t xml:space="preserve">Trade Log — one row per leg</t>
  </si>
  <si>
    <t xml:space="preserve">BLUE header = you type it. Dark header = formula. Grey header = internal helper.</t>
  </si>
  <si>
    <t xml:space="preserve">Trade ID</t>
  </si>
  <si>
    <t xml:space="preserve">Signal ID</t>
  </si>
  <si>
    <t xml:space="preserve">Signal Date</t>
  </si>
  <si>
    <t xml:space="preserve">Symbol</t>
  </si>
  <si>
    <t xml:space="preserve">Leg</t>
  </si>
  <si>
    <t xml:space="preserve">Ref Price</t>
  </si>
  <si>
    <t xml:space="preserve">Entry Date</t>
  </si>
  <si>
    <t xml:space="preserve">Entry Price</t>
  </si>
  <si>
    <t xml:space="preserve">Qty</t>
  </si>
  <si>
    <t xml:space="preserve">Entry Value</t>
  </si>
  <si>
    <t xml:space="preserve">Exit Date</t>
  </si>
  <si>
    <t xml:space="preserve">Exit Price</t>
  </si>
  <si>
    <t xml:space="preserve">Exit Value</t>
  </si>
  <si>
    <t xml:space="preserve">Holding Days</t>
  </si>
  <si>
    <t xml:space="preserve">Gross Ret %</t>
  </si>
  <si>
    <t xml:space="preserve">Exch Txn</t>
  </si>
  <si>
    <t xml:space="preserve">SEBI+Stamp+DP</t>
  </si>
  <si>
    <t xml:space="preserve">MTF Interest</t>
  </si>
  <si>
    <t xml:space="preserve">Net Ret %</t>
  </si>
  <si>
    <t xml:space="preserve">Cost (bp)</t>
  </si>
  <si>
    <t xml:space="preserve">Entry Slip (bp)</t>
  </si>
  <si>
    <t xml:space="preserve">Last Price</t>
  </si>
  <si>
    <t xml:space="preserve">Unrealised Gross</t>
  </si>
  <si>
    <t xml:space="preserve">Cycle Net (L+S)</t>
  </si>
  <si>
    <t xml:space="preserve">Cycle Ret %</t>
  </si>
  <si>
    <t xml:space="preserve">Broker Actual Net</t>
  </si>
  <si>
    <t xml:space="preserve">Model - Broker</t>
  </si>
  <si>
    <t xml:space="preserve">Notes</t>
  </si>
  <si>
    <t xml:space="preserve">hlp:prod</t>
  </si>
  <si>
    <t xml:space="preserve">hlp:buy</t>
  </si>
  <si>
    <t xml:space="preserve">hlp:sell</t>
  </si>
  <si>
    <t xml:space="preserve">2026-08-17-TVSSRICHAK-L</t>
  </si>
  <si>
    <t xml:space="preserve">TVSSRICHAK</t>
  </si>
  <si>
    <t xml:space="preserve">EXAMPLE — delete. Entered 15:21, exited profitably at 9:25.</t>
  </si>
  <si>
    <t xml:space="preserve">2026-08-17-TVSSRICHAK-S</t>
  </si>
  <si>
    <t xml:space="preserve">EXAMPLE — delete. Short-on-exit overlay, covered at 2:39pm.</t>
  </si>
  <si>
    <t xml:space="preserve">Daily P&amp;L, equity curve, drawdown &amp; rolling risk</t>
  </si>
  <si>
    <t xml:space="preserve">P&amp;L is attributed to the EXIT date. Calendar starts at Config!B5. Blank Net = no trades closed that day.</t>
  </si>
  <si>
    <t xml:space="preserve">Date</t>
  </si>
  <si>
    <t xml:space="preserve">Day</t>
  </si>
  <si>
    <t xml:space="preserve">Legs Closed</t>
  </si>
  <si>
    <t xml:space="preserve">Long Gross</t>
  </si>
  <si>
    <t xml:space="preserve">Short Gross</t>
  </si>
  <si>
    <t xml:space="preserve">Total Gross</t>
  </si>
  <si>
    <t xml:space="preserve">Cumulative Net</t>
  </si>
  <si>
    <t xml:space="preserve">Equity</t>
  </si>
  <si>
    <t xml:space="preserve">Peak Equity</t>
  </si>
  <si>
    <t xml:space="preserve">Drawdown (₹)</t>
  </si>
  <si>
    <t xml:space="preserve">Drawdown %</t>
  </si>
  <si>
    <t xml:space="preserve">Capital Deployed</t>
  </si>
  <si>
    <t xml:space="preserve">Daily Ret</t>
  </si>
  <si>
    <t xml:space="preserve">Roll 20d Net</t>
  </si>
  <si>
    <t xml:space="preserve">Roll 20d Sharpe</t>
  </si>
  <si>
    <t xml:space="preserve">Roll 60d Sharpe</t>
  </si>
  <si>
    <t xml:space="preserve">hlp:winstk</t>
  </si>
  <si>
    <t xml:space="preserve">hlp:losstk</t>
  </si>
  <si>
    <t xml:space="preserve">Company-wise statistics</t>
  </si>
  <si>
    <t xml:space="preserve">Type or paste symbols into column A. In Google Sheets you can auto-fill A4 with: =SORT(UNIQUE(FILTER('Trade Log'!D4:D503,'Trade Log'!D4:D503&lt;&gt;"")))</t>
  </si>
  <si>
    <t xml:space="preserve">Long</t>
  </si>
  <si>
    <t xml:space="preserve">Short</t>
  </si>
  <si>
    <t xml:space="preserve">Closed</t>
  </si>
  <si>
    <t xml:space="preserve">Turnover</t>
  </si>
  <si>
    <t xml:space="preserve">Long Net</t>
  </si>
  <si>
    <t xml:space="preserve">Short Net</t>
  </si>
  <si>
    <t xml:space="preserve">Costs</t>
  </si>
  <si>
    <t xml:space="preserve">Winners</t>
  </si>
  <si>
    <t xml:space="preserve">Net Win Rate</t>
  </si>
  <si>
    <t xml:space="preserve">Avg Net / Leg</t>
  </si>
  <si>
    <t xml:space="preserve">Best Leg</t>
  </si>
  <si>
    <t xml:space="preserve">Worst Leg</t>
  </si>
  <si>
    <t xml:space="preserve">Avg Net Ret %</t>
  </si>
  <si>
    <t xml:space="preserve">Avg Hold Days</t>
  </si>
  <si>
    <t xml:space="preserve">Avg Slip (bp)</t>
  </si>
  <si>
    <t xml:space="preserve">Rank</t>
  </si>
  <si>
    <t xml:space="preserve">Monthly &amp; yearly breakdown</t>
  </si>
  <si>
    <t xml:space="preserve">Net P&amp;L and return on capital by calendar month. Years auto-derive from the Config start date.</t>
  </si>
  <si>
    <t xml:space="preserve">NET P&amp;L BY MONTH (₹)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</si>
  <si>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</si>
  <si>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</si>
  <si>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</si>
  <si>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</si>
  <si>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</si>
  <si>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</si>
  <si>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</si>
  <si>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</si>
  <si>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</si>
  <si>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</si>
  <si>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</si>
  <si>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</si>
  <si>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</si>
  <si>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</si>
  <si>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RETURN ON CAPITAL BY MONTH (%)</t>
  </si>
  <si>
    <t xml:space="preserve">MONTHLY DISTRIBUTION</t>
  </si>
  <si>
    <t xml:space="preserve">Months with activity</t>
  </si>
  <si>
    <t xml:space="preserve">Positive months</t>
  </si>
  <si>
    <t xml:space="preserve">Negative months</t>
  </si>
  <si>
    <t xml:space="preserve">% positive months</t>
  </si>
  <si>
    <t xml:space="preserve">Best month</t>
  </si>
  <si>
    <t xml:space="preserve">Worst month</t>
  </si>
  <si>
    <t xml:space="preserve">Average active month</t>
  </si>
  <si>
    <t xml:space="preserve">YEARLY SUMMARY</t>
  </si>
  <si>
    <t xml:space="preserve">Return on Capital</t>
  </si>
  <si>
    <t xml:space="preserve">Best Day</t>
  </si>
  <si>
    <t xml:space="preserve">Worst Day</t>
  </si>
  <si>
    <t xml:space="preserve">% Winning Days</t>
  </si>
  <si>
    <t xml:space="preserve">Deepest Drawdown</t>
  </si>
  <si>
    <t xml:space="preserve">'Deepest Drawdown' is measured against the all-time equity peak, not a within-year peak.</t>
  </si>
  <si>
    <t xml:space="preserve">Return distribution, tails &amp; behavioural diagnostics</t>
  </si>
  <si>
    <t xml:space="preserve">All figures net of the Config cost model. Leg-level stats use Trade Log; daily stats use Daily PnL.</t>
  </si>
  <si>
    <t xml:space="preserve">LEG-LEVEL NET RETURN DISTRIBUTION</t>
  </si>
  <si>
    <t xml:space="preserve">Mean net return per leg</t>
  </si>
  <si>
    <t xml:space="preserve">Median net return per leg</t>
  </si>
  <si>
    <t xml:space="preserve">Std dev of leg returns</t>
  </si>
  <si>
    <t xml:space="preserve">Skew</t>
  </si>
  <si>
    <t xml:space="preserve">Momentum + a 17% target should give positive skew. Negative skew means the tails are working against you.</t>
  </si>
  <si>
    <t xml:space="preserve">Excess kurtosis</t>
  </si>
  <si>
    <t xml:space="preserve">High values mean fat tails — position sizing matters more than the average trade.</t>
  </si>
  <si>
    <t xml:space="preserve">5th percentile leg return</t>
  </si>
  <si>
    <t xml:space="preserve">10th percentile leg return</t>
  </si>
  <si>
    <t xml:space="preserve">25th percentile leg return</t>
  </si>
  <si>
    <t xml:space="preserve">50th percentile leg return</t>
  </si>
  <si>
    <t xml:space="preserve">75th percentile leg return</t>
  </si>
  <si>
    <t xml:space="preserve">90th percentile leg return</t>
  </si>
  <si>
    <t xml:space="preserve">95th percentile leg return</t>
  </si>
  <si>
    <t xml:space="preserve">DAILY TAIL RISK</t>
  </si>
  <si>
    <t xml:space="preserve">Daily VaR 95% (return)</t>
  </si>
  <si>
    <t xml:space="preserve">5% of active days are worse than this.</t>
  </si>
  <si>
    <t xml:space="preserve">Daily CVaR 95% (return)</t>
  </si>
  <si>
    <t xml:space="preserve">Average return on the days that breach VaR.</t>
  </si>
  <si>
    <t xml:space="preserve">Daily VaR 99% (return)</t>
  </si>
  <si>
    <t xml:space="preserve">Daily VaR 95% (₹)</t>
  </si>
  <si>
    <t xml:space="preserve">Daily CVaR 95% (₹)</t>
  </si>
  <si>
    <t xml:space="preserve">Downside deviation (daily)</t>
  </si>
  <si>
    <t xml:space="preserve">Sharpe but penalising only downside volatility.</t>
  </si>
  <si>
    <t xml:space="preserve">NET RETURN HISTOGRAM (per leg)</t>
  </si>
  <si>
    <t xml:space="preserve">Bucket (net return)</t>
  </si>
  <si>
    <t xml:space="preserve">% of Legs</t>
  </si>
  <si>
    <t xml:space="preserve">&lt; -15%</t>
  </si>
  <si>
    <t xml:space="preserve">-15% to -10%</t>
  </si>
  <si>
    <t xml:space="preserve">-10% to -5%</t>
  </si>
  <si>
    <t xml:space="preserve">-5% to -2.5%</t>
  </si>
  <si>
    <t xml:space="preserve">-2.5% to 0%</t>
  </si>
  <si>
    <t xml:space="preserve">0% to 2.5%</t>
  </si>
  <si>
    <t xml:space="preserve">2.5% to 5%</t>
  </si>
  <si>
    <t xml:space="preserve">5% to 10%</t>
  </si>
  <si>
    <t xml:space="preserve">10% to 15%</t>
  </si>
  <si>
    <t xml:space="preserve">15% to 20%</t>
  </si>
  <si>
    <t xml:space="preserve">&gt; 20%</t>
  </si>
  <si>
    <t xml:space="preserve">DAY-OF-WEEK ANALYSIS</t>
  </si>
  <si>
    <t xml:space="preserve">Active Days</t>
  </si>
  <si>
    <t xml:space="preserve">Avg Net / Day</t>
  </si>
  <si>
    <t xml:space="preserve">% Winning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</si>
  <si>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</si>
  <si>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</si>
  <si>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</si>
  <si>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</si>
  <si>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</si>
  <si>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HOLDING-PERIOD ANALYSIS</t>
  </si>
  <si>
    <t xml:space="preserve">0 (intraday)</t>
  </si>
  <si>
    <t xml:space="preserve">1</t>
  </si>
  <si>
    <t xml:space="preserve">2</t>
  </si>
  <si>
    <t xml:space="preserve">3</t>
  </si>
  <si>
    <t xml:space="preserve">4+</t>
  </si>
  <si>
    <t xml:space="preserve">Holding days 0 = the short overlay legs. 1 = a long that exited at 9:25 the next morning. 2+ = a long that survived to 11:59 or beyond, or sat over a weekend.</t>
  </si>
  <si>
    <t xml:space="preserve">SLIPPAGE DISTRIBUTION (entry, bp vs 15:20 reference)</t>
  </si>
  <si>
    <t xml:space="preserve">Bucket</t>
  </si>
  <si>
    <t xml:space="preserve">Better than -25bp</t>
  </si>
  <si>
    <t xml:space="preserve">-25 to 0bp</t>
  </si>
  <si>
    <t xml:space="preserve">0 to 25bp</t>
  </si>
  <si>
    <t xml:space="preserve">25 to 50bp</t>
  </si>
  <si>
    <t xml:space="preserve">50 to 100bp</t>
  </si>
  <si>
    <t xml:space="preserve">Worse than 100bp</t>
  </si>
  <si>
    <t xml:space="preserve">Positive bp = you filled worse than the reference. This is the direct measurement against the ~44bp/side break-even the backtest implied.</t>
  </si>
  <si>
    <t xml:space="preserve">Charts</t>
  </si>
  <si>
    <t xml:space="preserve">Live-linked to Daily PnL and Summary. Rebuild in Google Sheets if any chart imports oddly.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</si>
</sst>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₹#,##0;&quot;(₹&quot;#,##0\);\-"/>
    <numFmt numFmtId="166" formatCode="yyyy\-mm\-dd"/>
    <numFmt numFmtId="167" formatCode="#,##0;\(#,##0\);\-"/>
    <numFmt numFmtId="168" formatCode="0.00%;\(0.00%\);\-"/>
    <numFmt numFmtId="169" formatCode="0.0000%"/>
    <numFmt numFmtId="170" formatCode="0.00000%"/>
    <numFmt numFmtId="171" formatCode="0.000000%"/>
    <numFmt numFmtId="172" formatCode="0.0%"/>
    <numFmt numFmtId="173" formatCode="\₹#,##0.00;&quot;(₹&quot;#,##0.00\);\-"/>
    <numFmt numFmtId="174" formatCode="0.00%"/>
    <numFmt numFmtId="175" formatCode="#,##0.0;\(#,##0.0\);\-"/>
    <numFmt numFmtId="176" formatCode="0.0%;\(0.0%\);\-"/>
    <numFmt numFmtId="177" formatCode="0.00\x"/>
    <numFmt numFmtId="178" formatCode="#,##0.00;\(#,##0.00\);\-"/>
    <numFmt numFmtId="179" formatCode="#,##0.00"/>
    <numFmt numFmtId="180" formatCode="General"/>
    <numFmt numFmtId="181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9"/>
      <color rgb="FFAAAAA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A6A6A6"/>
        <bgColor rgb="FFAAAAAA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C00000"/>
        <sz val="10"/>
      </font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63BE7B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AAAAAA"/>
      <rgbColor rgb="FFFFC7CE"/>
      <rgbColor rgb="FF2E75B6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PnL'!J3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PnL'!$A$4:$A$403</c:f>
              <c:strCache>
                <c:ptCount val="40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  <c:pt idx="31">
                  <c:v>2026-09-01</c:v>
                </c:pt>
                <c:pt idx="32">
                  <c:v>2026-09-02</c:v>
                </c:pt>
                <c:pt idx="33">
                  <c:v>2026-09-03</c:v>
                </c:pt>
                <c:pt idx="34">
                  <c:v>2026-09-04</c:v>
                </c:pt>
                <c:pt idx="35">
                  <c:v>2026-09-05</c:v>
                </c:pt>
                <c:pt idx="36">
                  <c:v>2026-09-06</c:v>
                </c:pt>
                <c:pt idx="37">
                  <c:v>2026-09-07</c:v>
                </c:pt>
                <c:pt idx="38">
                  <c:v>2026-09-08</c:v>
                </c:pt>
                <c:pt idx="39">
                  <c:v>2026-09-09</c:v>
                </c:pt>
                <c:pt idx="40">
                  <c:v>2026-09-10</c:v>
                </c:pt>
                <c:pt idx="41">
                  <c:v>2026-09-11</c:v>
                </c:pt>
                <c:pt idx="42">
                  <c:v>2026-09-12</c:v>
                </c:pt>
                <c:pt idx="43">
                  <c:v>2026-09-13</c:v>
                </c:pt>
                <c:pt idx="44">
                  <c:v>2026-09-14</c:v>
                </c:pt>
                <c:pt idx="45">
                  <c:v>2026-09-15</c:v>
                </c:pt>
                <c:pt idx="46">
                  <c:v>2026-09-16</c:v>
                </c:pt>
                <c:pt idx="47">
                  <c:v>2026-09-17</c:v>
                </c:pt>
                <c:pt idx="48">
                  <c:v>2026-09-18</c:v>
                </c:pt>
                <c:pt idx="49">
                  <c:v>2026-09-19</c:v>
                </c:pt>
                <c:pt idx="50">
                  <c:v>2026-09-20</c:v>
                </c:pt>
                <c:pt idx="51">
                  <c:v>2026-09-21</c:v>
                </c:pt>
                <c:pt idx="52">
                  <c:v>2026-09-22</c:v>
                </c:pt>
                <c:pt idx="53">
                  <c:v>2026-09-23</c:v>
                </c:pt>
                <c:pt idx="54">
                  <c:v>2026-09-24</c:v>
                </c:pt>
                <c:pt idx="55">
                  <c:v>2026-09-25</c:v>
                </c:pt>
                <c:pt idx="56">
                  <c:v>2026-09-26</c:v>
                </c:pt>
                <c:pt idx="57">
                  <c:v>2026-09-27</c:v>
                </c:pt>
                <c:pt idx="58">
                  <c:v>2026-09-28</c:v>
                </c:pt>
                <c:pt idx="59">
                  <c:v>2026-09-29</c:v>
                </c:pt>
                <c:pt idx="60">
                  <c:v>2026-09-30</c:v>
                </c:pt>
                <c:pt idx="61">
                  <c:v>2026-10-01</c:v>
                </c:pt>
                <c:pt idx="62">
                  <c:v>2026-10-02</c:v>
                </c:pt>
                <c:pt idx="63">
                  <c:v>2026-10-03</c:v>
                </c:pt>
                <c:pt idx="64">
                  <c:v>2026-10-04</c:v>
                </c:pt>
                <c:pt idx="65">
                  <c:v>2026-10-05</c:v>
                </c:pt>
                <c:pt idx="66">
                  <c:v>2026-10-06</c:v>
                </c:pt>
                <c:pt idx="67">
                  <c:v>2026-10-07</c:v>
                </c:pt>
                <c:pt idx="68">
                  <c:v>2026-10-08</c:v>
                </c:pt>
                <c:pt idx="69">
                  <c:v>2026-10-09</c:v>
                </c:pt>
                <c:pt idx="70">
                  <c:v>2026-10-10</c:v>
                </c:pt>
                <c:pt idx="71">
                  <c:v>2026-10-11</c:v>
                </c:pt>
                <c:pt idx="72">
                  <c:v>2026-10-12</c:v>
                </c:pt>
                <c:pt idx="73">
                  <c:v>2026-10-13</c:v>
                </c:pt>
                <c:pt idx="74">
                  <c:v>2026-10-14</c:v>
                </c:pt>
                <c:pt idx="75">
                  <c:v>2026-10-15</c:v>
                </c:pt>
                <c:pt idx="76">
                  <c:v>2026-10-16</c:v>
                </c:pt>
                <c:pt idx="77">
                  <c:v>2026-10-17</c:v>
                </c:pt>
                <c:pt idx="78">
                  <c:v>2026-10-18</c:v>
                </c:pt>
                <c:pt idx="79">
                  <c:v>2026-10-19</c:v>
                </c:pt>
                <c:pt idx="80">
                  <c:v>2026-10-20</c:v>
                </c:pt>
                <c:pt idx="81">
                  <c:v>2026-10-21</c:v>
                </c:pt>
                <c:pt idx="82">
                  <c:v>2026-10-22</c:v>
                </c:pt>
                <c:pt idx="83">
                  <c:v>2026-10-23</c:v>
                </c:pt>
                <c:pt idx="84">
                  <c:v>2026-10-24</c:v>
                </c:pt>
                <c:pt idx="85">
                  <c:v>2026-10-25</c:v>
                </c:pt>
                <c:pt idx="86">
                  <c:v>2026-10-26</c:v>
                </c:pt>
                <c:pt idx="87">
                  <c:v>2026-10-27</c:v>
                </c:pt>
                <c:pt idx="88">
                  <c:v>2026-10-28</c:v>
                </c:pt>
                <c:pt idx="89">
                  <c:v>2026-10-29</c:v>
                </c:pt>
                <c:pt idx="90">
                  <c:v>2026-10-30</c:v>
                </c:pt>
                <c:pt idx="91">
                  <c:v>2026-10-31</c:v>
                </c:pt>
                <c:pt idx="92">
                  <c:v>2026-11-01</c:v>
                </c:pt>
                <c:pt idx="93">
                  <c:v>2026-11-02</c:v>
                </c:pt>
                <c:pt idx="94">
                  <c:v>2026-11-03</c:v>
                </c:pt>
                <c:pt idx="95">
                  <c:v>2026-11-04</c:v>
                </c:pt>
                <c:pt idx="96">
                  <c:v>2026-11-05</c:v>
                </c:pt>
                <c:pt idx="97">
                  <c:v>2026-11-06</c:v>
                </c:pt>
                <c:pt idx="98">
                  <c:v>2026-11-07</c:v>
                </c:pt>
                <c:pt idx="99">
                  <c:v>2026-11-08</c:v>
                </c:pt>
                <c:pt idx="100">
                  <c:v>2026-11-09</c:v>
                </c:pt>
                <c:pt idx="101">
                  <c:v>2026-11-10</c:v>
                </c:pt>
                <c:pt idx="102">
                  <c:v>2026-11-11</c:v>
                </c:pt>
                <c:pt idx="103">
                  <c:v>2026-11-12</c:v>
                </c:pt>
                <c:pt idx="104">
                  <c:v>2026-11-13</c:v>
                </c:pt>
                <c:pt idx="105">
                  <c:v>2026-11-14</c:v>
                </c:pt>
                <c:pt idx="106">
                  <c:v>2026-11-15</c:v>
                </c:pt>
                <c:pt idx="107">
                  <c:v>2026-11-16</c:v>
                </c:pt>
                <c:pt idx="108">
                  <c:v>2026-11-17</c:v>
                </c:pt>
                <c:pt idx="109">
                  <c:v>2026-11-18</c:v>
                </c:pt>
                <c:pt idx="110">
                  <c:v>2026-11-19</c:v>
                </c:pt>
                <c:pt idx="111">
                  <c:v>2026-11-20</c:v>
                </c:pt>
                <c:pt idx="112">
                  <c:v>2026-11-21</c:v>
                </c:pt>
                <c:pt idx="113">
                  <c:v>2026-11-22</c:v>
                </c:pt>
                <c:pt idx="114">
                  <c:v>2026-11-23</c:v>
                </c:pt>
                <c:pt idx="115">
                  <c:v>2026-11-24</c:v>
                </c:pt>
                <c:pt idx="116">
                  <c:v>2026-11-25</c:v>
                </c:pt>
                <c:pt idx="117">
                  <c:v>2026-11-26</c:v>
                </c:pt>
                <c:pt idx="118">
                  <c:v>2026-11-27</c:v>
                </c:pt>
                <c:pt idx="119">
                  <c:v>2026-11-28</c:v>
                </c:pt>
                <c:pt idx="120">
                  <c:v>2026-11-29</c:v>
                </c:pt>
                <c:pt idx="121">
                  <c:v>2026-11-30</c:v>
                </c:pt>
                <c:pt idx="122">
                  <c:v>2026-12-01</c:v>
                </c:pt>
                <c:pt idx="123">
                  <c:v>2026-12-02</c:v>
                </c:pt>
                <c:pt idx="124">
                  <c:v>2026-12-03</c:v>
                </c:pt>
                <c:pt idx="125">
                  <c:v>2026-12-04</c:v>
                </c:pt>
                <c:pt idx="126">
                  <c:v>2026-12-05</c:v>
                </c:pt>
                <c:pt idx="127">
                  <c:v>2026-12-06</c:v>
                </c:pt>
                <c:pt idx="128">
                  <c:v>2026-12-07</c:v>
                </c:pt>
                <c:pt idx="129">
                  <c:v>2026-12-08</c:v>
                </c:pt>
                <c:pt idx="130">
                  <c:v>2026-12-09</c:v>
                </c:pt>
                <c:pt idx="131">
                  <c:v>2026-12-10</c:v>
                </c:pt>
                <c:pt idx="132">
                  <c:v>2026-12-11</c:v>
                </c:pt>
                <c:pt idx="133">
                  <c:v>2026-12-12</c:v>
                </c:pt>
                <c:pt idx="134">
                  <c:v>2026-12-13</c:v>
                </c:pt>
                <c:pt idx="135">
                  <c:v>2026-12-14</c:v>
                </c:pt>
                <c:pt idx="136">
                  <c:v>2026-12-15</c:v>
                </c:pt>
                <c:pt idx="137">
                  <c:v>2026-12-16</c:v>
                </c:pt>
                <c:pt idx="138">
                  <c:v>2026-12-17</c:v>
                </c:pt>
                <c:pt idx="139">
                  <c:v>2026-12-18</c:v>
                </c:pt>
                <c:pt idx="140">
                  <c:v>2026-12-19</c:v>
                </c:pt>
                <c:pt idx="141">
                  <c:v>2026-12-20</c:v>
                </c:pt>
                <c:pt idx="142">
                  <c:v>2026-12-21</c:v>
                </c:pt>
                <c:pt idx="143">
                  <c:v>2026-12-22</c:v>
                </c:pt>
                <c:pt idx="144">
                  <c:v>2026-12-23</c:v>
                </c:pt>
                <c:pt idx="145">
                  <c:v>2026-12-24</c:v>
                </c:pt>
                <c:pt idx="146">
                  <c:v>2026-12-25</c:v>
                </c:pt>
                <c:pt idx="147">
                  <c:v>2026-12-26</c:v>
                </c:pt>
                <c:pt idx="148">
                  <c:v>2026-12-27</c:v>
                </c:pt>
                <c:pt idx="149">
                  <c:v>2026-12-28</c:v>
                </c:pt>
                <c:pt idx="150">
                  <c:v>2026-12-29</c:v>
                </c:pt>
                <c:pt idx="151">
                  <c:v>2026-12-30</c:v>
                </c:pt>
                <c:pt idx="152">
                  <c:v>2026-12-31</c:v>
                </c:pt>
                <c:pt idx="153">
                  <c:v>2027-01-01</c:v>
                </c:pt>
                <c:pt idx="154">
                  <c:v>2027-01-02</c:v>
                </c:pt>
                <c:pt idx="155">
                  <c:v>2027-01-03</c:v>
                </c:pt>
                <c:pt idx="156">
                  <c:v>2027-01-04</c:v>
                </c:pt>
                <c:pt idx="157">
                  <c:v>2027-01-05</c:v>
                </c:pt>
                <c:pt idx="158">
                  <c:v>2027-01-06</c:v>
                </c:pt>
                <c:pt idx="159">
                  <c:v>2027-01-07</c:v>
                </c:pt>
                <c:pt idx="160">
                  <c:v>2027-01-08</c:v>
                </c:pt>
                <c:pt idx="161">
                  <c:v>2027-01-09</c:v>
                </c:pt>
                <c:pt idx="162">
                  <c:v>2027-01-10</c:v>
                </c:pt>
                <c:pt idx="163">
                  <c:v>2027-01-11</c:v>
                </c:pt>
                <c:pt idx="164">
                  <c:v>2027-01-12</c:v>
                </c:pt>
                <c:pt idx="165">
                  <c:v>2027-01-13</c:v>
                </c:pt>
                <c:pt idx="166">
                  <c:v>2027-01-14</c:v>
                </c:pt>
                <c:pt idx="167">
                  <c:v>2027-01-15</c:v>
                </c:pt>
                <c:pt idx="168">
                  <c:v>2027-01-16</c:v>
                </c:pt>
                <c:pt idx="169">
                  <c:v>2027-01-17</c:v>
                </c:pt>
                <c:pt idx="170">
                  <c:v>2027-01-18</c:v>
                </c:pt>
                <c:pt idx="171">
                  <c:v>2027-01-19</c:v>
                </c:pt>
                <c:pt idx="172">
                  <c:v>2027-01-20</c:v>
                </c:pt>
                <c:pt idx="173">
                  <c:v>2027-01-21</c:v>
                </c:pt>
                <c:pt idx="174">
                  <c:v>2027-01-22</c:v>
                </c:pt>
                <c:pt idx="175">
                  <c:v>2027-01-23</c:v>
                </c:pt>
                <c:pt idx="176">
                  <c:v>2027-01-24</c:v>
                </c:pt>
                <c:pt idx="177">
                  <c:v>2027-01-25</c:v>
                </c:pt>
                <c:pt idx="178">
                  <c:v>2027-01-26</c:v>
                </c:pt>
                <c:pt idx="179">
                  <c:v>2027-01-27</c:v>
                </c:pt>
                <c:pt idx="180">
                  <c:v>2027-01-28</c:v>
                </c:pt>
                <c:pt idx="181">
                  <c:v>2027-01-29</c:v>
                </c:pt>
                <c:pt idx="182">
                  <c:v>2027-01-30</c:v>
                </c:pt>
                <c:pt idx="183">
                  <c:v>2027-01-31</c:v>
                </c:pt>
                <c:pt idx="184">
                  <c:v>2027-02-01</c:v>
                </c:pt>
                <c:pt idx="185">
                  <c:v>2027-02-02</c:v>
                </c:pt>
                <c:pt idx="186">
                  <c:v>2027-02-03</c:v>
                </c:pt>
                <c:pt idx="187">
                  <c:v>2027-02-04</c:v>
                </c:pt>
                <c:pt idx="188">
                  <c:v>2027-02-05</c:v>
                </c:pt>
                <c:pt idx="189">
                  <c:v>2027-02-06</c:v>
                </c:pt>
                <c:pt idx="190">
                  <c:v>2027-02-07</c:v>
                </c:pt>
                <c:pt idx="191">
                  <c:v>2027-02-08</c:v>
                </c:pt>
                <c:pt idx="192">
                  <c:v>2027-02-09</c:v>
                </c:pt>
                <c:pt idx="193">
                  <c:v>2027-02-10</c:v>
                </c:pt>
                <c:pt idx="194">
                  <c:v>2027-02-11</c:v>
                </c:pt>
                <c:pt idx="195">
                  <c:v>2027-02-12</c:v>
                </c:pt>
                <c:pt idx="196">
                  <c:v>2027-02-13</c:v>
                </c:pt>
                <c:pt idx="197">
                  <c:v>2027-02-14</c:v>
                </c:pt>
                <c:pt idx="198">
                  <c:v>2027-02-15</c:v>
                </c:pt>
                <c:pt idx="199">
                  <c:v>2027-02-16</c:v>
                </c:pt>
                <c:pt idx="200">
                  <c:v>2027-02-17</c:v>
                </c:pt>
                <c:pt idx="201">
                  <c:v>2027-02-18</c:v>
                </c:pt>
                <c:pt idx="202">
                  <c:v>2027-02-19</c:v>
                </c:pt>
                <c:pt idx="203">
                  <c:v>2027-02-20</c:v>
                </c:pt>
                <c:pt idx="204">
                  <c:v>2027-02-21</c:v>
                </c:pt>
                <c:pt idx="205">
                  <c:v>2027-02-22</c:v>
                </c:pt>
                <c:pt idx="206">
                  <c:v>2027-02-23</c:v>
                </c:pt>
                <c:pt idx="207">
                  <c:v>2027-02-24</c:v>
                </c:pt>
                <c:pt idx="208">
                  <c:v>2027-02-25</c:v>
                </c:pt>
                <c:pt idx="209">
                  <c:v>2027-02-26</c:v>
                </c:pt>
                <c:pt idx="210">
                  <c:v>2027-02-27</c:v>
                </c:pt>
                <c:pt idx="211">
                  <c:v>2027-02-28</c:v>
                </c:pt>
                <c:pt idx="212">
                  <c:v>2027-03-01</c:v>
                </c:pt>
                <c:pt idx="213">
                  <c:v>2027-03-02</c:v>
                </c:pt>
                <c:pt idx="214">
                  <c:v>2027-03-03</c:v>
                </c:pt>
                <c:pt idx="215">
                  <c:v>2027-03-04</c:v>
                </c:pt>
                <c:pt idx="216">
                  <c:v>2027-03-05</c:v>
                </c:pt>
                <c:pt idx="217">
                  <c:v>2027-03-06</c:v>
                </c:pt>
                <c:pt idx="218">
                  <c:v>2027-03-07</c:v>
                </c:pt>
                <c:pt idx="219">
                  <c:v>2027-03-08</c:v>
                </c:pt>
                <c:pt idx="220">
                  <c:v>2027-03-09</c:v>
                </c:pt>
                <c:pt idx="221">
                  <c:v>2027-03-10</c:v>
                </c:pt>
                <c:pt idx="222">
                  <c:v>2027-03-11</c:v>
                </c:pt>
                <c:pt idx="223">
                  <c:v>2027-03-12</c:v>
                </c:pt>
                <c:pt idx="224">
                  <c:v>2027-03-13</c:v>
                </c:pt>
                <c:pt idx="225">
                  <c:v>2027-03-14</c:v>
                </c:pt>
                <c:pt idx="226">
                  <c:v>2027-03-15</c:v>
                </c:pt>
                <c:pt idx="227">
                  <c:v>2027-03-16</c:v>
                </c:pt>
                <c:pt idx="228">
                  <c:v>2027-03-17</c:v>
                </c:pt>
                <c:pt idx="229">
                  <c:v>2027-03-18</c:v>
                </c:pt>
                <c:pt idx="230">
                  <c:v>2027-03-19</c:v>
                </c:pt>
                <c:pt idx="231">
                  <c:v>2027-03-20</c:v>
                </c:pt>
                <c:pt idx="232">
                  <c:v>2027-03-21</c:v>
                </c:pt>
                <c:pt idx="233">
                  <c:v>2027-03-22</c:v>
                </c:pt>
                <c:pt idx="234">
                  <c:v>2027-03-23</c:v>
                </c:pt>
                <c:pt idx="235">
                  <c:v>2027-03-24</c:v>
                </c:pt>
                <c:pt idx="236">
                  <c:v>2027-03-25</c:v>
                </c:pt>
                <c:pt idx="237">
                  <c:v>2027-03-26</c:v>
                </c:pt>
                <c:pt idx="238">
                  <c:v>2027-03-27</c:v>
                </c:pt>
                <c:pt idx="239">
                  <c:v>2027-03-28</c:v>
                </c:pt>
                <c:pt idx="240">
                  <c:v>2027-03-29</c:v>
                </c:pt>
                <c:pt idx="241">
                  <c:v>2027-03-30</c:v>
                </c:pt>
                <c:pt idx="242">
                  <c:v>2027-03-31</c:v>
                </c:pt>
                <c:pt idx="243">
                  <c:v>2027-04-01</c:v>
                </c:pt>
                <c:pt idx="244">
                  <c:v>2027-04-02</c:v>
                </c:pt>
                <c:pt idx="245">
                  <c:v>2027-04-03</c:v>
                </c:pt>
                <c:pt idx="246">
                  <c:v>2027-04-04</c:v>
                </c:pt>
                <c:pt idx="247">
                  <c:v>2027-04-05</c:v>
                </c:pt>
                <c:pt idx="248">
                  <c:v>2027-04-06</c:v>
                </c:pt>
                <c:pt idx="249">
                  <c:v>2027-04-07</c:v>
                </c:pt>
                <c:pt idx="250">
                  <c:v>2027-04-08</c:v>
                </c:pt>
                <c:pt idx="251">
                  <c:v>2027-04-09</c:v>
                </c:pt>
                <c:pt idx="252">
                  <c:v>2027-04-10</c:v>
                </c:pt>
                <c:pt idx="253">
                  <c:v>2027-04-11</c:v>
                </c:pt>
                <c:pt idx="254">
                  <c:v>2027-04-12</c:v>
                </c:pt>
                <c:pt idx="255">
                  <c:v>2027-04-13</c:v>
                </c:pt>
                <c:pt idx="256">
                  <c:v>2027-04-14</c:v>
                </c:pt>
                <c:pt idx="257">
                  <c:v>2027-04-15</c:v>
                </c:pt>
                <c:pt idx="258">
                  <c:v>2027-04-16</c:v>
                </c:pt>
                <c:pt idx="259">
                  <c:v>2027-04-17</c:v>
                </c:pt>
                <c:pt idx="260">
                  <c:v>2027-04-18</c:v>
                </c:pt>
                <c:pt idx="261">
                  <c:v>2027-04-19</c:v>
                </c:pt>
                <c:pt idx="262">
                  <c:v>2027-04-20</c:v>
                </c:pt>
                <c:pt idx="263">
                  <c:v>2027-04-21</c:v>
                </c:pt>
                <c:pt idx="264">
                  <c:v>2027-04-22</c:v>
                </c:pt>
                <c:pt idx="265">
                  <c:v>2027-04-23</c:v>
                </c:pt>
                <c:pt idx="266">
                  <c:v>2027-04-24</c:v>
                </c:pt>
                <c:pt idx="267">
                  <c:v>2027-04-25</c:v>
                </c:pt>
                <c:pt idx="268">
                  <c:v>2027-04-26</c:v>
                </c:pt>
                <c:pt idx="269">
                  <c:v>2027-04-27</c:v>
                </c:pt>
                <c:pt idx="270">
                  <c:v>2027-04-28</c:v>
                </c:pt>
                <c:pt idx="271">
                  <c:v>2027-04-29</c:v>
                </c:pt>
                <c:pt idx="272">
                  <c:v>2027-04-30</c:v>
                </c:pt>
                <c:pt idx="273">
                  <c:v>2027-05-01</c:v>
                </c:pt>
                <c:pt idx="274">
                  <c:v>2027-05-02</c:v>
                </c:pt>
                <c:pt idx="275">
                  <c:v>2027-05-03</c:v>
                </c:pt>
                <c:pt idx="276">
                  <c:v>2027-05-04</c:v>
                </c:pt>
                <c:pt idx="277">
                  <c:v>2027-05-05</c:v>
                </c:pt>
                <c:pt idx="278">
                  <c:v>2027-05-06</c:v>
                </c:pt>
                <c:pt idx="279">
                  <c:v>2027-05-07</c:v>
                </c:pt>
                <c:pt idx="280">
                  <c:v>2027-05-08</c:v>
                </c:pt>
                <c:pt idx="281">
                  <c:v>2027-05-09</c:v>
                </c:pt>
                <c:pt idx="282">
                  <c:v>2027-05-10</c:v>
                </c:pt>
                <c:pt idx="283">
                  <c:v>2027-05-11</c:v>
                </c:pt>
                <c:pt idx="284">
                  <c:v>2027-05-12</c:v>
                </c:pt>
                <c:pt idx="285">
                  <c:v>2027-05-13</c:v>
                </c:pt>
                <c:pt idx="286">
                  <c:v>2027-05-14</c:v>
                </c:pt>
                <c:pt idx="287">
                  <c:v>2027-05-15</c:v>
                </c:pt>
                <c:pt idx="288">
                  <c:v>2027-05-16</c:v>
                </c:pt>
                <c:pt idx="289">
                  <c:v>2027-05-17</c:v>
                </c:pt>
                <c:pt idx="290">
                  <c:v>2027-05-18</c:v>
                </c:pt>
                <c:pt idx="291">
                  <c:v>2027-05-19</c:v>
                </c:pt>
                <c:pt idx="292">
                  <c:v>2027-05-20</c:v>
                </c:pt>
                <c:pt idx="293">
                  <c:v>2027-05-21</c:v>
                </c:pt>
                <c:pt idx="294">
                  <c:v>2027-05-22</c:v>
                </c:pt>
                <c:pt idx="295">
                  <c:v>2027-05-23</c:v>
                </c:pt>
                <c:pt idx="296">
                  <c:v>2027-05-24</c:v>
                </c:pt>
                <c:pt idx="297">
                  <c:v>2027-05-25</c:v>
                </c:pt>
                <c:pt idx="298">
                  <c:v>2027-05-26</c:v>
                </c:pt>
                <c:pt idx="299">
                  <c:v>2027-05-27</c:v>
                </c:pt>
                <c:pt idx="300">
                  <c:v>2027-05-28</c:v>
                </c:pt>
                <c:pt idx="301">
                  <c:v>2027-05-29</c:v>
                </c:pt>
                <c:pt idx="302">
                  <c:v>2027-05-30</c:v>
                </c:pt>
                <c:pt idx="303">
                  <c:v>2027-05-31</c:v>
                </c:pt>
                <c:pt idx="304">
                  <c:v>2027-06-01</c:v>
                </c:pt>
                <c:pt idx="305">
                  <c:v>2027-06-02</c:v>
                </c:pt>
                <c:pt idx="306">
                  <c:v>2027-06-03</c:v>
                </c:pt>
                <c:pt idx="307">
                  <c:v>2027-06-04</c:v>
                </c:pt>
                <c:pt idx="308">
                  <c:v>2027-06-05</c:v>
                </c:pt>
                <c:pt idx="309">
                  <c:v>2027-06-06</c:v>
                </c:pt>
                <c:pt idx="310">
                  <c:v>2027-06-07</c:v>
                </c:pt>
                <c:pt idx="311">
                  <c:v>2027-06-08</c:v>
                </c:pt>
                <c:pt idx="312">
                  <c:v>2027-06-09</c:v>
                </c:pt>
                <c:pt idx="313">
                  <c:v>2027-06-10</c:v>
                </c:pt>
                <c:pt idx="314">
                  <c:v>2027-06-11</c:v>
                </c:pt>
                <c:pt idx="315">
                  <c:v>2027-06-12</c:v>
                </c:pt>
                <c:pt idx="316">
                  <c:v>2027-06-13</c:v>
                </c:pt>
                <c:pt idx="317">
                  <c:v>2027-06-14</c:v>
                </c:pt>
                <c:pt idx="318">
                  <c:v>2027-06-15</c:v>
                </c:pt>
                <c:pt idx="319">
                  <c:v>2027-06-16</c:v>
                </c:pt>
                <c:pt idx="320">
                  <c:v>2027-06-17</c:v>
                </c:pt>
                <c:pt idx="321">
                  <c:v>2027-06-18</c:v>
                </c:pt>
                <c:pt idx="322">
                  <c:v>2027-06-19</c:v>
                </c:pt>
                <c:pt idx="323">
                  <c:v>2027-06-20</c:v>
                </c:pt>
                <c:pt idx="324">
                  <c:v>2027-06-21</c:v>
                </c:pt>
                <c:pt idx="325">
                  <c:v>2027-06-22</c:v>
                </c:pt>
                <c:pt idx="326">
                  <c:v>2027-06-23</c:v>
                </c:pt>
                <c:pt idx="327">
                  <c:v>2027-06-24</c:v>
                </c:pt>
                <c:pt idx="328">
                  <c:v>2027-06-25</c:v>
                </c:pt>
                <c:pt idx="329">
                  <c:v>2027-06-26</c:v>
                </c:pt>
                <c:pt idx="330">
                  <c:v>2027-06-27</c:v>
                </c:pt>
                <c:pt idx="331">
                  <c:v>2027-06-28</c:v>
                </c:pt>
                <c:pt idx="332">
                  <c:v>2027-06-29</c:v>
                </c:pt>
                <c:pt idx="333">
                  <c:v>2027-06-30</c:v>
                </c:pt>
                <c:pt idx="334">
                  <c:v>2027-07-01</c:v>
                </c:pt>
                <c:pt idx="335">
                  <c:v>2027-07-02</c:v>
                </c:pt>
                <c:pt idx="336">
                  <c:v>2027-07-03</c:v>
                </c:pt>
                <c:pt idx="337">
                  <c:v>2027-07-04</c:v>
                </c:pt>
                <c:pt idx="338">
                  <c:v>2027-07-05</c:v>
                </c:pt>
                <c:pt idx="339">
                  <c:v>2027-07-06</c:v>
                </c:pt>
                <c:pt idx="340">
                  <c:v>2027-07-07</c:v>
                </c:pt>
                <c:pt idx="341">
                  <c:v>2027-07-08</c:v>
                </c:pt>
                <c:pt idx="342">
                  <c:v>2027-07-09</c:v>
                </c:pt>
                <c:pt idx="343">
                  <c:v>2027-07-10</c:v>
                </c:pt>
                <c:pt idx="344">
                  <c:v>2027-07-11</c:v>
                </c:pt>
                <c:pt idx="345">
                  <c:v>2027-07-12</c:v>
                </c:pt>
                <c:pt idx="346">
                  <c:v>2027-07-13</c:v>
                </c:pt>
                <c:pt idx="347">
                  <c:v>2027-07-14</c:v>
                </c:pt>
                <c:pt idx="348">
                  <c:v>2027-07-15</c:v>
                </c:pt>
                <c:pt idx="349">
                  <c:v>2027-07-16</c:v>
                </c:pt>
                <c:pt idx="350">
                  <c:v>2027-07-17</c:v>
                </c:pt>
                <c:pt idx="351">
                  <c:v>2027-07-18</c:v>
                </c:pt>
                <c:pt idx="352">
                  <c:v>2027-07-19</c:v>
                </c:pt>
                <c:pt idx="353">
                  <c:v>2027-07-20</c:v>
                </c:pt>
                <c:pt idx="354">
                  <c:v>2027-07-21</c:v>
                </c:pt>
                <c:pt idx="355">
                  <c:v>2027-07-22</c:v>
                </c:pt>
                <c:pt idx="356">
                  <c:v>2027-07-23</c:v>
                </c:pt>
                <c:pt idx="357">
                  <c:v>2027-07-24</c:v>
                </c:pt>
                <c:pt idx="358">
                  <c:v>2027-07-25</c:v>
                </c:pt>
                <c:pt idx="359">
                  <c:v>2027-07-26</c:v>
                </c:pt>
                <c:pt idx="360">
                  <c:v>2027-07-27</c:v>
                </c:pt>
                <c:pt idx="361">
                  <c:v>2027-07-28</c:v>
                </c:pt>
                <c:pt idx="362">
                  <c:v>2027-07-29</c:v>
                </c:pt>
                <c:pt idx="363">
                  <c:v>2027-07-30</c:v>
                </c:pt>
                <c:pt idx="364">
                  <c:v>2027-07-31</c:v>
                </c:pt>
                <c:pt idx="365">
                  <c:v>2027-08-01</c:v>
                </c:pt>
                <c:pt idx="366">
                  <c:v>2027-08-02</c:v>
                </c:pt>
                <c:pt idx="367">
                  <c:v>2027-08-03</c:v>
                </c:pt>
                <c:pt idx="368">
                  <c:v>2027-08-04</c:v>
                </c:pt>
                <c:pt idx="369">
                  <c:v>2027-08-05</c:v>
                </c:pt>
                <c:pt idx="370">
                  <c:v>2027-08-06</c:v>
                </c:pt>
                <c:pt idx="371">
                  <c:v>2027-08-07</c:v>
                </c:pt>
                <c:pt idx="372">
                  <c:v>2027-08-08</c:v>
                </c:pt>
                <c:pt idx="373">
                  <c:v>2027-08-09</c:v>
                </c:pt>
                <c:pt idx="374">
                  <c:v>2027-08-10</c:v>
                </c:pt>
                <c:pt idx="375">
                  <c:v>2027-08-11</c:v>
                </c:pt>
                <c:pt idx="376">
                  <c:v>2027-08-12</c:v>
                </c:pt>
                <c:pt idx="377">
                  <c:v>2027-08-13</c:v>
                </c:pt>
                <c:pt idx="378">
                  <c:v>2027-08-14</c:v>
                </c:pt>
                <c:pt idx="379">
                  <c:v>2027-08-15</c:v>
                </c:pt>
                <c:pt idx="380">
                  <c:v>2027-08-16</c:v>
                </c:pt>
                <c:pt idx="381">
                  <c:v>2027-08-17</c:v>
                </c:pt>
                <c:pt idx="382">
                  <c:v>2027-08-18</c:v>
                </c:pt>
                <c:pt idx="383">
                  <c:v>2027-08-19</c:v>
                </c:pt>
                <c:pt idx="384">
                  <c:v>2027-08-20</c:v>
                </c:pt>
                <c:pt idx="385">
                  <c:v>2027-08-21</c:v>
                </c:pt>
                <c:pt idx="386">
                  <c:v>2027-08-22</c:v>
                </c:pt>
                <c:pt idx="387">
                  <c:v>2027-08-23</c:v>
                </c:pt>
                <c:pt idx="388">
                  <c:v>2027-08-24</c:v>
                </c:pt>
                <c:pt idx="389">
                  <c:v>2027-08-25</c:v>
                </c:pt>
                <c:pt idx="390">
                  <c:v>2027-08-26</c:v>
                </c:pt>
                <c:pt idx="391">
                  <c:v>2027-08-27</c:v>
                </c:pt>
                <c:pt idx="392">
                  <c:v>2027-08-28</c:v>
                </c:pt>
                <c:pt idx="393">
                  <c:v>2027-08-29</c:v>
                </c:pt>
                <c:pt idx="394">
                  <c:v>2027-08-30</c:v>
                </c:pt>
                <c:pt idx="395">
                  <c:v>2027-08-31</c:v>
                </c:pt>
                <c:pt idx="396">
                  <c:v>2027-09-01</c:v>
                </c:pt>
                <c:pt idx="397">
                  <c:v>2027-09-02</c:v>
                </c:pt>
                <c:pt idx="398">
                  <c:v>2027-09-03</c:v>
                </c:pt>
                <c:pt idx="399">
                  <c:v>2027-09-04</c:v>
                </c:pt>
              </c:strCache>
            </c:strRef>
          </c:cat>
          <c:val>
            <c:numRef>
              <c:f>'Daily PnL'!$J$4:$J$403</c:f>
              <c:numCache>
                <c:formatCode>\₹#,##0;"(₹"#,##0\);\-</c:formatCode>
                <c:ptCount val="400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1023918.55218803</c:v>
                </c:pt>
                <c:pt idx="18">
                  <c:v>1023918.55218803</c:v>
                </c:pt>
                <c:pt idx="19">
                  <c:v>1023918.55218803</c:v>
                </c:pt>
                <c:pt idx="20">
                  <c:v>1023918.55218803</c:v>
                </c:pt>
                <c:pt idx="21">
                  <c:v>1023918.55218803</c:v>
                </c:pt>
                <c:pt idx="22">
                  <c:v>1023918.55218803</c:v>
                </c:pt>
                <c:pt idx="23">
                  <c:v>1023918.55218803</c:v>
                </c:pt>
                <c:pt idx="24">
                  <c:v>1023918.55218803</c:v>
                </c:pt>
                <c:pt idx="25">
                  <c:v>1023918.55218803</c:v>
                </c:pt>
                <c:pt idx="26">
                  <c:v>1023918.55218803</c:v>
                </c:pt>
                <c:pt idx="27">
                  <c:v>1023918.55218803</c:v>
                </c:pt>
                <c:pt idx="28">
                  <c:v>1023918.55218803</c:v>
                </c:pt>
                <c:pt idx="29">
                  <c:v>1023918.55218803</c:v>
                </c:pt>
                <c:pt idx="30">
                  <c:v>1023918.55218803</c:v>
                </c:pt>
                <c:pt idx="31">
                  <c:v>1023918.55218803</c:v>
                </c:pt>
                <c:pt idx="32">
                  <c:v>1023918.55218803</c:v>
                </c:pt>
                <c:pt idx="33">
                  <c:v>1023918.55218803</c:v>
                </c:pt>
                <c:pt idx="34">
                  <c:v>1023918.55218803</c:v>
                </c:pt>
                <c:pt idx="35">
                  <c:v>1023918.55218803</c:v>
                </c:pt>
                <c:pt idx="36">
                  <c:v>1023918.55218803</c:v>
                </c:pt>
                <c:pt idx="37">
                  <c:v>1023918.55218803</c:v>
                </c:pt>
                <c:pt idx="38">
                  <c:v>1023918.55218803</c:v>
                </c:pt>
                <c:pt idx="39">
                  <c:v>1023918.55218803</c:v>
                </c:pt>
                <c:pt idx="40">
                  <c:v>1023918.55218803</c:v>
                </c:pt>
                <c:pt idx="41">
                  <c:v>1023918.55218803</c:v>
                </c:pt>
                <c:pt idx="42">
                  <c:v>1023918.55218803</c:v>
                </c:pt>
                <c:pt idx="43">
                  <c:v>1023918.55218803</c:v>
                </c:pt>
                <c:pt idx="44">
                  <c:v>1023918.55218803</c:v>
                </c:pt>
                <c:pt idx="45">
                  <c:v>1023918.55218803</c:v>
                </c:pt>
                <c:pt idx="46">
                  <c:v>1023918.55218803</c:v>
                </c:pt>
                <c:pt idx="47">
                  <c:v>1023918.55218803</c:v>
                </c:pt>
                <c:pt idx="48">
                  <c:v>1023918.55218803</c:v>
                </c:pt>
                <c:pt idx="49">
                  <c:v>1023918.55218803</c:v>
                </c:pt>
                <c:pt idx="50">
                  <c:v>1023918.55218803</c:v>
                </c:pt>
                <c:pt idx="51">
                  <c:v>1023918.55218803</c:v>
                </c:pt>
                <c:pt idx="52">
                  <c:v>1023918.55218803</c:v>
                </c:pt>
                <c:pt idx="53">
                  <c:v>1023918.55218803</c:v>
                </c:pt>
                <c:pt idx="54">
                  <c:v>1023918.55218803</c:v>
                </c:pt>
                <c:pt idx="55">
                  <c:v>1023918.55218803</c:v>
                </c:pt>
                <c:pt idx="56">
                  <c:v>1023918.55218803</c:v>
                </c:pt>
                <c:pt idx="57">
                  <c:v>1023918.55218803</c:v>
                </c:pt>
                <c:pt idx="58">
                  <c:v>1023918.55218803</c:v>
                </c:pt>
                <c:pt idx="59">
                  <c:v>1023918.55218803</c:v>
                </c:pt>
                <c:pt idx="60">
                  <c:v>1023918.55218803</c:v>
                </c:pt>
                <c:pt idx="61">
                  <c:v>1023918.55218803</c:v>
                </c:pt>
                <c:pt idx="62">
                  <c:v>1023918.55218803</c:v>
                </c:pt>
                <c:pt idx="63">
                  <c:v>1023918.55218803</c:v>
                </c:pt>
                <c:pt idx="64">
                  <c:v>1023918.55218803</c:v>
                </c:pt>
                <c:pt idx="65">
                  <c:v>1023918.55218803</c:v>
                </c:pt>
                <c:pt idx="66">
                  <c:v>1023918.55218803</c:v>
                </c:pt>
                <c:pt idx="67">
                  <c:v>1023918.55218803</c:v>
                </c:pt>
                <c:pt idx="68">
                  <c:v>1023918.55218803</c:v>
                </c:pt>
                <c:pt idx="69">
                  <c:v>1023918.55218803</c:v>
                </c:pt>
                <c:pt idx="70">
                  <c:v>1023918.55218803</c:v>
                </c:pt>
                <c:pt idx="71">
                  <c:v>1023918.55218803</c:v>
                </c:pt>
                <c:pt idx="72">
                  <c:v>1023918.55218803</c:v>
                </c:pt>
                <c:pt idx="73">
                  <c:v>1023918.55218803</c:v>
                </c:pt>
                <c:pt idx="74">
                  <c:v>1023918.55218803</c:v>
                </c:pt>
                <c:pt idx="75">
                  <c:v>1023918.55218803</c:v>
                </c:pt>
                <c:pt idx="76">
                  <c:v>1023918.55218803</c:v>
                </c:pt>
                <c:pt idx="77">
                  <c:v>1023918.55218803</c:v>
                </c:pt>
                <c:pt idx="78">
                  <c:v>1023918.55218803</c:v>
                </c:pt>
                <c:pt idx="79">
                  <c:v>1023918.55218803</c:v>
                </c:pt>
                <c:pt idx="80">
                  <c:v>1023918.55218803</c:v>
                </c:pt>
                <c:pt idx="81">
                  <c:v>1023918.55218803</c:v>
                </c:pt>
                <c:pt idx="82">
                  <c:v>1023918.55218803</c:v>
                </c:pt>
                <c:pt idx="83">
                  <c:v>1023918.55218803</c:v>
                </c:pt>
                <c:pt idx="84">
                  <c:v>1023918.55218803</c:v>
                </c:pt>
                <c:pt idx="85">
                  <c:v>1023918.55218803</c:v>
                </c:pt>
                <c:pt idx="86">
                  <c:v>1023918.55218803</c:v>
                </c:pt>
                <c:pt idx="87">
                  <c:v>1023918.55218803</c:v>
                </c:pt>
                <c:pt idx="88">
                  <c:v>1023918.55218803</c:v>
                </c:pt>
                <c:pt idx="89">
                  <c:v>1023918.55218803</c:v>
                </c:pt>
                <c:pt idx="90">
                  <c:v>1023918.55218803</c:v>
                </c:pt>
                <c:pt idx="91">
                  <c:v>1023918.55218803</c:v>
                </c:pt>
                <c:pt idx="92">
                  <c:v>1023918.55218803</c:v>
                </c:pt>
                <c:pt idx="93">
                  <c:v>1023918.55218803</c:v>
                </c:pt>
                <c:pt idx="94">
                  <c:v>1023918.55218803</c:v>
                </c:pt>
                <c:pt idx="95">
                  <c:v>1023918.55218803</c:v>
                </c:pt>
                <c:pt idx="96">
                  <c:v>1023918.55218803</c:v>
                </c:pt>
                <c:pt idx="97">
                  <c:v>1023918.55218803</c:v>
                </c:pt>
                <c:pt idx="98">
                  <c:v>1023918.55218803</c:v>
                </c:pt>
                <c:pt idx="99">
                  <c:v>1023918.55218803</c:v>
                </c:pt>
                <c:pt idx="100">
                  <c:v>1023918.55218803</c:v>
                </c:pt>
                <c:pt idx="101">
                  <c:v>1023918.55218803</c:v>
                </c:pt>
                <c:pt idx="102">
                  <c:v>1023918.55218803</c:v>
                </c:pt>
                <c:pt idx="103">
                  <c:v>1023918.55218803</c:v>
                </c:pt>
                <c:pt idx="104">
                  <c:v>1023918.55218803</c:v>
                </c:pt>
                <c:pt idx="105">
                  <c:v>1023918.55218803</c:v>
                </c:pt>
                <c:pt idx="106">
                  <c:v>1023918.55218803</c:v>
                </c:pt>
                <c:pt idx="107">
                  <c:v>1023918.55218803</c:v>
                </c:pt>
                <c:pt idx="108">
                  <c:v>1023918.55218803</c:v>
                </c:pt>
                <c:pt idx="109">
                  <c:v>1023918.55218803</c:v>
                </c:pt>
                <c:pt idx="110">
                  <c:v>1023918.55218803</c:v>
                </c:pt>
                <c:pt idx="111">
                  <c:v>1023918.55218803</c:v>
                </c:pt>
                <c:pt idx="112">
                  <c:v>1023918.55218803</c:v>
                </c:pt>
                <c:pt idx="113">
                  <c:v>1023918.55218803</c:v>
                </c:pt>
                <c:pt idx="114">
                  <c:v>1023918.55218803</c:v>
                </c:pt>
                <c:pt idx="115">
                  <c:v>1023918.55218803</c:v>
                </c:pt>
                <c:pt idx="116">
                  <c:v>1023918.55218803</c:v>
                </c:pt>
                <c:pt idx="117">
                  <c:v>1023918.55218803</c:v>
                </c:pt>
                <c:pt idx="118">
                  <c:v>1023918.55218803</c:v>
                </c:pt>
                <c:pt idx="119">
                  <c:v>1023918.55218803</c:v>
                </c:pt>
                <c:pt idx="120">
                  <c:v>1023918.55218803</c:v>
                </c:pt>
                <c:pt idx="121">
                  <c:v>1023918.55218803</c:v>
                </c:pt>
                <c:pt idx="122">
                  <c:v>1023918.55218803</c:v>
                </c:pt>
                <c:pt idx="123">
                  <c:v>1023918.55218803</c:v>
                </c:pt>
                <c:pt idx="124">
                  <c:v>1023918.55218803</c:v>
                </c:pt>
                <c:pt idx="125">
                  <c:v>1023918.55218803</c:v>
                </c:pt>
                <c:pt idx="126">
                  <c:v>1023918.55218803</c:v>
                </c:pt>
                <c:pt idx="127">
                  <c:v>1023918.55218803</c:v>
                </c:pt>
                <c:pt idx="128">
                  <c:v>1023918.55218803</c:v>
                </c:pt>
                <c:pt idx="129">
                  <c:v>1023918.55218803</c:v>
                </c:pt>
                <c:pt idx="130">
                  <c:v>1023918.55218803</c:v>
                </c:pt>
                <c:pt idx="131">
                  <c:v>1023918.55218803</c:v>
                </c:pt>
                <c:pt idx="132">
                  <c:v>1023918.55218803</c:v>
                </c:pt>
                <c:pt idx="133">
                  <c:v>1023918.55218803</c:v>
                </c:pt>
                <c:pt idx="134">
                  <c:v>1023918.55218803</c:v>
                </c:pt>
                <c:pt idx="135">
                  <c:v>1023918.55218803</c:v>
                </c:pt>
                <c:pt idx="136">
                  <c:v>1023918.55218803</c:v>
                </c:pt>
                <c:pt idx="137">
                  <c:v>1023918.55218803</c:v>
                </c:pt>
                <c:pt idx="138">
                  <c:v>1023918.55218803</c:v>
                </c:pt>
                <c:pt idx="139">
                  <c:v>1023918.55218803</c:v>
                </c:pt>
                <c:pt idx="140">
                  <c:v>1023918.55218803</c:v>
                </c:pt>
                <c:pt idx="141">
                  <c:v>1023918.55218803</c:v>
                </c:pt>
                <c:pt idx="142">
                  <c:v>1023918.55218803</c:v>
                </c:pt>
                <c:pt idx="143">
                  <c:v>1023918.55218803</c:v>
                </c:pt>
                <c:pt idx="144">
                  <c:v>1023918.55218803</c:v>
                </c:pt>
                <c:pt idx="145">
                  <c:v>1023918.55218803</c:v>
                </c:pt>
                <c:pt idx="146">
                  <c:v>1023918.55218803</c:v>
                </c:pt>
                <c:pt idx="147">
                  <c:v>1023918.55218803</c:v>
                </c:pt>
                <c:pt idx="148">
                  <c:v>1023918.55218803</c:v>
                </c:pt>
                <c:pt idx="149">
                  <c:v>1023918.55218803</c:v>
                </c:pt>
                <c:pt idx="150">
                  <c:v>1023918.55218803</c:v>
                </c:pt>
                <c:pt idx="151">
                  <c:v>1023918.55218803</c:v>
                </c:pt>
                <c:pt idx="152">
                  <c:v>1023918.55218803</c:v>
                </c:pt>
                <c:pt idx="153">
                  <c:v>1023918.55218803</c:v>
                </c:pt>
                <c:pt idx="154">
                  <c:v>1023918.55218803</c:v>
                </c:pt>
                <c:pt idx="155">
                  <c:v>1023918.55218803</c:v>
                </c:pt>
                <c:pt idx="156">
                  <c:v>1023918.55218803</c:v>
                </c:pt>
                <c:pt idx="157">
                  <c:v>1023918.55218803</c:v>
                </c:pt>
                <c:pt idx="158">
                  <c:v>1023918.55218803</c:v>
                </c:pt>
                <c:pt idx="159">
                  <c:v>1023918.55218803</c:v>
                </c:pt>
                <c:pt idx="160">
                  <c:v>1023918.55218803</c:v>
                </c:pt>
                <c:pt idx="161">
                  <c:v>1023918.55218803</c:v>
                </c:pt>
                <c:pt idx="162">
                  <c:v>1023918.55218803</c:v>
                </c:pt>
                <c:pt idx="163">
                  <c:v>1023918.55218803</c:v>
                </c:pt>
                <c:pt idx="164">
                  <c:v>1023918.55218803</c:v>
                </c:pt>
                <c:pt idx="165">
                  <c:v>1023918.55218803</c:v>
                </c:pt>
                <c:pt idx="166">
                  <c:v>1023918.55218803</c:v>
                </c:pt>
                <c:pt idx="167">
                  <c:v>1023918.55218803</c:v>
                </c:pt>
                <c:pt idx="168">
                  <c:v>1023918.55218803</c:v>
                </c:pt>
                <c:pt idx="169">
                  <c:v>1023918.55218803</c:v>
                </c:pt>
                <c:pt idx="170">
                  <c:v>1023918.55218803</c:v>
                </c:pt>
                <c:pt idx="171">
                  <c:v>1023918.55218803</c:v>
                </c:pt>
                <c:pt idx="172">
                  <c:v>1023918.55218803</c:v>
                </c:pt>
                <c:pt idx="173">
                  <c:v>1023918.55218803</c:v>
                </c:pt>
                <c:pt idx="174">
                  <c:v>1023918.55218803</c:v>
                </c:pt>
                <c:pt idx="175">
                  <c:v>1023918.55218803</c:v>
                </c:pt>
                <c:pt idx="176">
                  <c:v>1023918.55218803</c:v>
                </c:pt>
                <c:pt idx="177">
                  <c:v>1023918.55218803</c:v>
                </c:pt>
                <c:pt idx="178">
                  <c:v>1023918.55218803</c:v>
                </c:pt>
                <c:pt idx="179">
                  <c:v>1023918.55218803</c:v>
                </c:pt>
                <c:pt idx="180">
                  <c:v>1023918.55218803</c:v>
                </c:pt>
                <c:pt idx="181">
                  <c:v>1023918.55218803</c:v>
                </c:pt>
                <c:pt idx="182">
                  <c:v>1023918.55218803</c:v>
                </c:pt>
                <c:pt idx="183">
                  <c:v>1023918.55218803</c:v>
                </c:pt>
                <c:pt idx="184">
                  <c:v>1023918.55218803</c:v>
                </c:pt>
                <c:pt idx="185">
                  <c:v>1023918.55218803</c:v>
                </c:pt>
                <c:pt idx="186">
                  <c:v>1023918.55218803</c:v>
                </c:pt>
                <c:pt idx="187">
                  <c:v>1023918.55218803</c:v>
                </c:pt>
                <c:pt idx="188">
                  <c:v>1023918.55218803</c:v>
                </c:pt>
                <c:pt idx="189">
                  <c:v>1023918.55218803</c:v>
                </c:pt>
                <c:pt idx="190">
                  <c:v>1023918.55218803</c:v>
                </c:pt>
                <c:pt idx="191">
                  <c:v>1023918.55218803</c:v>
                </c:pt>
                <c:pt idx="192">
                  <c:v>1023918.55218803</c:v>
                </c:pt>
                <c:pt idx="193">
                  <c:v>1023918.55218803</c:v>
                </c:pt>
                <c:pt idx="194">
                  <c:v>1023918.55218803</c:v>
                </c:pt>
                <c:pt idx="195">
                  <c:v>1023918.55218803</c:v>
                </c:pt>
                <c:pt idx="196">
                  <c:v>1023918.55218803</c:v>
                </c:pt>
                <c:pt idx="197">
                  <c:v>1023918.55218803</c:v>
                </c:pt>
                <c:pt idx="198">
                  <c:v>1023918.55218803</c:v>
                </c:pt>
                <c:pt idx="199">
                  <c:v>1023918.55218803</c:v>
                </c:pt>
                <c:pt idx="200">
                  <c:v>1023918.55218803</c:v>
                </c:pt>
                <c:pt idx="201">
                  <c:v>1023918.55218803</c:v>
                </c:pt>
                <c:pt idx="202">
                  <c:v>1023918.55218803</c:v>
                </c:pt>
                <c:pt idx="203">
                  <c:v>1023918.55218803</c:v>
                </c:pt>
                <c:pt idx="204">
                  <c:v>1023918.55218803</c:v>
                </c:pt>
                <c:pt idx="205">
                  <c:v>1023918.55218803</c:v>
                </c:pt>
                <c:pt idx="206">
                  <c:v>1023918.55218803</c:v>
                </c:pt>
                <c:pt idx="207">
                  <c:v>1023918.55218803</c:v>
                </c:pt>
                <c:pt idx="208">
                  <c:v>1023918.55218803</c:v>
                </c:pt>
                <c:pt idx="209">
                  <c:v>1023918.55218803</c:v>
                </c:pt>
                <c:pt idx="210">
                  <c:v>1023918.55218803</c:v>
                </c:pt>
                <c:pt idx="211">
                  <c:v>1023918.55218803</c:v>
                </c:pt>
                <c:pt idx="212">
                  <c:v>1023918.55218803</c:v>
                </c:pt>
                <c:pt idx="213">
                  <c:v>1023918.55218803</c:v>
                </c:pt>
                <c:pt idx="214">
                  <c:v>1023918.55218803</c:v>
                </c:pt>
                <c:pt idx="215">
                  <c:v>1023918.55218803</c:v>
                </c:pt>
                <c:pt idx="216">
                  <c:v>1023918.55218803</c:v>
                </c:pt>
                <c:pt idx="217">
                  <c:v>1023918.55218803</c:v>
                </c:pt>
                <c:pt idx="218">
                  <c:v>1023918.55218803</c:v>
                </c:pt>
                <c:pt idx="219">
                  <c:v>1023918.55218803</c:v>
                </c:pt>
                <c:pt idx="220">
                  <c:v>1023918.55218803</c:v>
                </c:pt>
                <c:pt idx="221">
                  <c:v>1023918.55218803</c:v>
                </c:pt>
                <c:pt idx="222">
                  <c:v>1023918.55218803</c:v>
                </c:pt>
                <c:pt idx="223">
                  <c:v>1023918.55218803</c:v>
                </c:pt>
                <c:pt idx="224">
                  <c:v>1023918.55218803</c:v>
                </c:pt>
                <c:pt idx="225">
                  <c:v>1023918.55218803</c:v>
                </c:pt>
                <c:pt idx="226">
                  <c:v>1023918.55218803</c:v>
                </c:pt>
                <c:pt idx="227">
                  <c:v>1023918.55218803</c:v>
                </c:pt>
                <c:pt idx="228">
                  <c:v>1023918.55218803</c:v>
                </c:pt>
                <c:pt idx="229">
                  <c:v>1023918.55218803</c:v>
                </c:pt>
                <c:pt idx="230">
                  <c:v>1023918.55218803</c:v>
                </c:pt>
                <c:pt idx="231">
                  <c:v>1023918.55218803</c:v>
                </c:pt>
                <c:pt idx="232">
                  <c:v>1023918.55218803</c:v>
                </c:pt>
                <c:pt idx="233">
                  <c:v>1023918.55218803</c:v>
                </c:pt>
                <c:pt idx="234">
                  <c:v>1023918.55218803</c:v>
                </c:pt>
                <c:pt idx="235">
                  <c:v>1023918.55218803</c:v>
                </c:pt>
                <c:pt idx="236">
                  <c:v>1023918.55218803</c:v>
                </c:pt>
                <c:pt idx="237">
                  <c:v>1023918.55218803</c:v>
                </c:pt>
                <c:pt idx="238">
                  <c:v>1023918.55218803</c:v>
                </c:pt>
                <c:pt idx="239">
                  <c:v>1023918.55218803</c:v>
                </c:pt>
                <c:pt idx="240">
                  <c:v>1023918.55218803</c:v>
                </c:pt>
                <c:pt idx="241">
                  <c:v>1023918.55218803</c:v>
                </c:pt>
                <c:pt idx="242">
                  <c:v>1023918.55218803</c:v>
                </c:pt>
                <c:pt idx="243">
                  <c:v>1023918.55218803</c:v>
                </c:pt>
                <c:pt idx="244">
                  <c:v>1023918.55218803</c:v>
                </c:pt>
                <c:pt idx="245">
                  <c:v>1023918.55218803</c:v>
                </c:pt>
                <c:pt idx="246">
                  <c:v>1023918.55218803</c:v>
                </c:pt>
                <c:pt idx="247">
                  <c:v>1023918.55218803</c:v>
                </c:pt>
                <c:pt idx="248">
                  <c:v>1023918.55218803</c:v>
                </c:pt>
                <c:pt idx="249">
                  <c:v>1023918.55218803</c:v>
                </c:pt>
                <c:pt idx="250">
                  <c:v>1023918.55218803</c:v>
                </c:pt>
                <c:pt idx="251">
                  <c:v>1023918.55218803</c:v>
                </c:pt>
                <c:pt idx="252">
                  <c:v>1023918.55218803</c:v>
                </c:pt>
                <c:pt idx="253">
                  <c:v>1023918.55218803</c:v>
                </c:pt>
                <c:pt idx="254">
                  <c:v>1023918.55218803</c:v>
                </c:pt>
                <c:pt idx="255">
                  <c:v>1023918.55218803</c:v>
                </c:pt>
                <c:pt idx="256">
                  <c:v>1023918.55218803</c:v>
                </c:pt>
                <c:pt idx="257">
                  <c:v>1023918.55218803</c:v>
                </c:pt>
                <c:pt idx="258">
                  <c:v>1023918.55218803</c:v>
                </c:pt>
                <c:pt idx="259">
                  <c:v>1023918.55218803</c:v>
                </c:pt>
                <c:pt idx="260">
                  <c:v>1023918.55218803</c:v>
                </c:pt>
                <c:pt idx="261">
                  <c:v>1023918.55218803</c:v>
                </c:pt>
                <c:pt idx="262">
                  <c:v>1023918.55218803</c:v>
                </c:pt>
                <c:pt idx="263">
                  <c:v>1023918.55218803</c:v>
                </c:pt>
                <c:pt idx="264">
                  <c:v>1023918.55218803</c:v>
                </c:pt>
                <c:pt idx="265">
                  <c:v>1023918.55218803</c:v>
                </c:pt>
                <c:pt idx="266">
                  <c:v>1023918.55218803</c:v>
                </c:pt>
                <c:pt idx="267">
                  <c:v>1023918.55218803</c:v>
                </c:pt>
                <c:pt idx="268">
                  <c:v>1023918.55218803</c:v>
                </c:pt>
                <c:pt idx="269">
                  <c:v>1023918.55218803</c:v>
                </c:pt>
                <c:pt idx="270">
                  <c:v>1023918.55218803</c:v>
                </c:pt>
                <c:pt idx="271">
                  <c:v>1023918.55218803</c:v>
                </c:pt>
                <c:pt idx="272">
                  <c:v>1023918.55218803</c:v>
                </c:pt>
                <c:pt idx="273">
                  <c:v>1023918.55218803</c:v>
                </c:pt>
                <c:pt idx="274">
                  <c:v>1023918.55218803</c:v>
                </c:pt>
                <c:pt idx="275">
                  <c:v>1023918.55218803</c:v>
                </c:pt>
                <c:pt idx="276">
                  <c:v>1023918.55218803</c:v>
                </c:pt>
                <c:pt idx="277">
                  <c:v>1023918.55218803</c:v>
                </c:pt>
                <c:pt idx="278">
                  <c:v>1023918.55218803</c:v>
                </c:pt>
                <c:pt idx="279">
                  <c:v>1023918.55218803</c:v>
                </c:pt>
                <c:pt idx="280">
                  <c:v>1023918.55218803</c:v>
                </c:pt>
                <c:pt idx="281">
                  <c:v>1023918.55218803</c:v>
                </c:pt>
                <c:pt idx="282">
                  <c:v>1023918.55218803</c:v>
                </c:pt>
                <c:pt idx="283">
                  <c:v>1023918.55218803</c:v>
                </c:pt>
                <c:pt idx="284">
                  <c:v>1023918.55218803</c:v>
                </c:pt>
                <c:pt idx="285">
                  <c:v>1023918.55218803</c:v>
                </c:pt>
                <c:pt idx="286">
                  <c:v>1023918.55218803</c:v>
                </c:pt>
                <c:pt idx="287">
                  <c:v>1023918.55218803</c:v>
                </c:pt>
                <c:pt idx="288">
                  <c:v>1023918.55218803</c:v>
                </c:pt>
                <c:pt idx="289">
                  <c:v>1023918.55218803</c:v>
                </c:pt>
                <c:pt idx="290">
                  <c:v>1023918.55218803</c:v>
                </c:pt>
                <c:pt idx="291">
                  <c:v>1023918.55218803</c:v>
                </c:pt>
                <c:pt idx="292">
                  <c:v>1023918.55218803</c:v>
                </c:pt>
                <c:pt idx="293">
                  <c:v>1023918.55218803</c:v>
                </c:pt>
                <c:pt idx="294">
                  <c:v>1023918.55218803</c:v>
                </c:pt>
                <c:pt idx="295">
                  <c:v>1023918.55218803</c:v>
                </c:pt>
                <c:pt idx="296">
                  <c:v>1023918.55218803</c:v>
                </c:pt>
                <c:pt idx="297">
                  <c:v>1023918.55218803</c:v>
                </c:pt>
                <c:pt idx="298">
                  <c:v>1023918.55218803</c:v>
                </c:pt>
                <c:pt idx="299">
                  <c:v>1023918.55218803</c:v>
                </c:pt>
                <c:pt idx="300">
                  <c:v>1023918.55218803</c:v>
                </c:pt>
                <c:pt idx="301">
                  <c:v>1023918.55218803</c:v>
                </c:pt>
                <c:pt idx="302">
                  <c:v>1023918.55218803</c:v>
                </c:pt>
                <c:pt idx="303">
                  <c:v>1023918.55218803</c:v>
                </c:pt>
                <c:pt idx="304">
                  <c:v>1023918.55218803</c:v>
                </c:pt>
                <c:pt idx="305">
                  <c:v>1023918.55218803</c:v>
                </c:pt>
                <c:pt idx="306">
                  <c:v>1023918.55218803</c:v>
                </c:pt>
                <c:pt idx="307">
                  <c:v>1023918.55218803</c:v>
                </c:pt>
                <c:pt idx="308">
                  <c:v>1023918.55218803</c:v>
                </c:pt>
                <c:pt idx="309">
                  <c:v>1023918.55218803</c:v>
                </c:pt>
                <c:pt idx="310">
                  <c:v>1023918.55218803</c:v>
                </c:pt>
                <c:pt idx="311">
                  <c:v>1023918.55218803</c:v>
                </c:pt>
                <c:pt idx="312">
                  <c:v>1023918.55218803</c:v>
                </c:pt>
                <c:pt idx="313">
                  <c:v>1023918.55218803</c:v>
                </c:pt>
                <c:pt idx="314">
                  <c:v>1023918.55218803</c:v>
                </c:pt>
                <c:pt idx="315">
                  <c:v>1023918.55218803</c:v>
                </c:pt>
                <c:pt idx="316">
                  <c:v>1023918.55218803</c:v>
                </c:pt>
                <c:pt idx="317">
                  <c:v>1023918.55218803</c:v>
                </c:pt>
                <c:pt idx="318">
                  <c:v>1023918.55218803</c:v>
                </c:pt>
                <c:pt idx="319">
                  <c:v>1023918.55218803</c:v>
                </c:pt>
                <c:pt idx="320">
                  <c:v>1023918.55218803</c:v>
                </c:pt>
                <c:pt idx="321">
                  <c:v>1023918.55218803</c:v>
                </c:pt>
                <c:pt idx="322">
                  <c:v>1023918.55218803</c:v>
                </c:pt>
                <c:pt idx="323">
                  <c:v>1023918.55218803</c:v>
                </c:pt>
                <c:pt idx="324">
                  <c:v>1023918.55218803</c:v>
                </c:pt>
                <c:pt idx="325">
                  <c:v>1023918.55218803</c:v>
                </c:pt>
                <c:pt idx="326">
                  <c:v>1023918.55218803</c:v>
                </c:pt>
                <c:pt idx="327">
                  <c:v>1023918.55218803</c:v>
                </c:pt>
                <c:pt idx="328">
                  <c:v>1023918.55218803</c:v>
                </c:pt>
                <c:pt idx="329">
                  <c:v>1023918.55218803</c:v>
                </c:pt>
                <c:pt idx="330">
                  <c:v>1023918.55218803</c:v>
                </c:pt>
                <c:pt idx="331">
                  <c:v>1023918.55218803</c:v>
                </c:pt>
                <c:pt idx="332">
                  <c:v>1023918.55218803</c:v>
                </c:pt>
                <c:pt idx="333">
                  <c:v>1023918.55218803</c:v>
                </c:pt>
                <c:pt idx="334">
                  <c:v>1023918.55218803</c:v>
                </c:pt>
                <c:pt idx="335">
                  <c:v>1023918.55218803</c:v>
                </c:pt>
                <c:pt idx="336">
                  <c:v>1023918.55218803</c:v>
                </c:pt>
                <c:pt idx="337">
                  <c:v>1023918.55218803</c:v>
                </c:pt>
                <c:pt idx="338">
                  <c:v>1023918.55218803</c:v>
                </c:pt>
                <c:pt idx="339">
                  <c:v>1023918.55218803</c:v>
                </c:pt>
                <c:pt idx="340">
                  <c:v>1023918.55218803</c:v>
                </c:pt>
                <c:pt idx="341">
                  <c:v>1023918.55218803</c:v>
                </c:pt>
                <c:pt idx="342">
                  <c:v>1023918.55218803</c:v>
                </c:pt>
                <c:pt idx="343">
                  <c:v>1023918.55218803</c:v>
                </c:pt>
                <c:pt idx="344">
                  <c:v>1023918.55218803</c:v>
                </c:pt>
                <c:pt idx="345">
                  <c:v>1023918.55218803</c:v>
                </c:pt>
                <c:pt idx="346">
                  <c:v>1023918.55218803</c:v>
                </c:pt>
                <c:pt idx="347">
                  <c:v>1023918.55218803</c:v>
                </c:pt>
                <c:pt idx="348">
                  <c:v>1023918.55218803</c:v>
                </c:pt>
                <c:pt idx="349">
                  <c:v>1023918.55218803</c:v>
                </c:pt>
                <c:pt idx="350">
                  <c:v>1023918.55218803</c:v>
                </c:pt>
                <c:pt idx="351">
                  <c:v>1023918.55218803</c:v>
                </c:pt>
                <c:pt idx="352">
                  <c:v>1023918.55218803</c:v>
                </c:pt>
                <c:pt idx="353">
                  <c:v>1023918.55218803</c:v>
                </c:pt>
                <c:pt idx="354">
                  <c:v>1023918.55218803</c:v>
                </c:pt>
                <c:pt idx="355">
                  <c:v>1023918.55218803</c:v>
                </c:pt>
                <c:pt idx="356">
                  <c:v>1023918.55218803</c:v>
                </c:pt>
                <c:pt idx="357">
                  <c:v>1023918.55218803</c:v>
                </c:pt>
                <c:pt idx="358">
                  <c:v>1023918.55218803</c:v>
                </c:pt>
                <c:pt idx="359">
                  <c:v>1023918.55218803</c:v>
                </c:pt>
                <c:pt idx="360">
                  <c:v>1023918.55218803</c:v>
                </c:pt>
                <c:pt idx="361">
                  <c:v>1023918.55218803</c:v>
                </c:pt>
                <c:pt idx="362">
                  <c:v>1023918.55218803</c:v>
                </c:pt>
                <c:pt idx="363">
                  <c:v>1023918.55218803</c:v>
                </c:pt>
                <c:pt idx="364">
                  <c:v>1023918.55218803</c:v>
                </c:pt>
                <c:pt idx="365">
                  <c:v>1023918.55218803</c:v>
                </c:pt>
                <c:pt idx="366">
                  <c:v>1023918.55218803</c:v>
                </c:pt>
                <c:pt idx="367">
                  <c:v>1023918.55218803</c:v>
                </c:pt>
                <c:pt idx="368">
                  <c:v>1023918.55218803</c:v>
                </c:pt>
                <c:pt idx="369">
                  <c:v>1023918.55218803</c:v>
                </c:pt>
                <c:pt idx="370">
                  <c:v>1023918.55218803</c:v>
                </c:pt>
                <c:pt idx="371">
                  <c:v>1023918.55218803</c:v>
                </c:pt>
                <c:pt idx="372">
                  <c:v>1023918.55218803</c:v>
                </c:pt>
                <c:pt idx="373">
                  <c:v>1023918.55218803</c:v>
                </c:pt>
                <c:pt idx="374">
                  <c:v>1023918.55218803</c:v>
                </c:pt>
                <c:pt idx="375">
                  <c:v>1023918.55218803</c:v>
                </c:pt>
                <c:pt idx="376">
                  <c:v>1023918.55218803</c:v>
                </c:pt>
                <c:pt idx="377">
                  <c:v>1023918.55218803</c:v>
                </c:pt>
                <c:pt idx="378">
                  <c:v>1023918.55218803</c:v>
                </c:pt>
                <c:pt idx="379">
                  <c:v>1023918.55218803</c:v>
                </c:pt>
                <c:pt idx="380">
                  <c:v>1023918.55218803</c:v>
                </c:pt>
                <c:pt idx="381">
                  <c:v>1023918.55218803</c:v>
                </c:pt>
                <c:pt idx="382">
                  <c:v>1023918.55218803</c:v>
                </c:pt>
                <c:pt idx="383">
                  <c:v>1023918.55218803</c:v>
                </c:pt>
                <c:pt idx="384">
                  <c:v>1023918.55218803</c:v>
                </c:pt>
                <c:pt idx="385">
                  <c:v>1023918.55218803</c:v>
                </c:pt>
                <c:pt idx="386">
                  <c:v>1023918.55218803</c:v>
                </c:pt>
                <c:pt idx="387">
                  <c:v>1023918.55218803</c:v>
                </c:pt>
                <c:pt idx="388">
                  <c:v>1023918.55218803</c:v>
                </c:pt>
                <c:pt idx="389">
                  <c:v>1023918.55218803</c:v>
                </c:pt>
                <c:pt idx="390">
                  <c:v>1023918.55218803</c:v>
                </c:pt>
                <c:pt idx="391">
                  <c:v>1023918.55218803</c:v>
                </c:pt>
                <c:pt idx="392">
                  <c:v>1023918.55218803</c:v>
                </c:pt>
                <c:pt idx="393">
                  <c:v>1023918.55218803</c:v>
                </c:pt>
                <c:pt idx="394">
                  <c:v>1023918.55218803</c:v>
                </c:pt>
                <c:pt idx="395">
                  <c:v>1023918.55218803</c:v>
                </c:pt>
                <c:pt idx="396">
                  <c:v>1023918.55218803</c:v>
                </c:pt>
                <c:pt idx="397">
                  <c:v>1023918.55218803</c:v>
                </c:pt>
                <c:pt idx="398">
                  <c:v>1023918.55218803</c:v>
                </c:pt>
                <c:pt idx="399">
                  <c:v>1023918.55218803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448560"/>
        <c:axId val="82513169"/>
      </c:lineChart>
      <c:catAx>
        <c:axId val="20448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13169"/>
        <c:crosses val="autoZero"/>
        <c:auto val="1"/>
        <c:lblAlgn val="ctr"/>
        <c:lblOffset val="100"/>
        <c:noMultiLvlLbl val="0"/>
      </c:catAx>
      <c:valAx>
        <c:axId val="82513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Equity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48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Drawdown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PnL'!L3</c:f>
              <c:strCache>
                <c:ptCount val="1"/>
                <c:pt idx="0">
                  <c:v>Drawdown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PnL'!$A$4:$A$403</c:f>
              <c:strCache>
                <c:ptCount val="40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  <c:pt idx="31">
                  <c:v>2026-09-01</c:v>
                </c:pt>
                <c:pt idx="32">
                  <c:v>2026-09-02</c:v>
                </c:pt>
                <c:pt idx="33">
                  <c:v>2026-09-03</c:v>
                </c:pt>
                <c:pt idx="34">
                  <c:v>2026-09-04</c:v>
                </c:pt>
                <c:pt idx="35">
                  <c:v>2026-09-05</c:v>
                </c:pt>
                <c:pt idx="36">
                  <c:v>2026-09-06</c:v>
                </c:pt>
                <c:pt idx="37">
                  <c:v>2026-09-07</c:v>
                </c:pt>
                <c:pt idx="38">
                  <c:v>2026-09-08</c:v>
                </c:pt>
                <c:pt idx="39">
                  <c:v>2026-09-09</c:v>
                </c:pt>
                <c:pt idx="40">
                  <c:v>2026-09-10</c:v>
                </c:pt>
                <c:pt idx="41">
                  <c:v>2026-09-11</c:v>
                </c:pt>
                <c:pt idx="42">
                  <c:v>2026-09-12</c:v>
                </c:pt>
                <c:pt idx="43">
                  <c:v>2026-09-13</c:v>
                </c:pt>
                <c:pt idx="44">
                  <c:v>2026-09-14</c:v>
                </c:pt>
                <c:pt idx="45">
                  <c:v>2026-09-15</c:v>
                </c:pt>
                <c:pt idx="46">
                  <c:v>2026-09-16</c:v>
                </c:pt>
                <c:pt idx="47">
                  <c:v>2026-09-17</c:v>
                </c:pt>
                <c:pt idx="48">
                  <c:v>2026-09-18</c:v>
                </c:pt>
                <c:pt idx="49">
                  <c:v>2026-09-19</c:v>
                </c:pt>
                <c:pt idx="50">
                  <c:v>2026-09-20</c:v>
                </c:pt>
                <c:pt idx="51">
                  <c:v>2026-09-21</c:v>
                </c:pt>
                <c:pt idx="52">
                  <c:v>2026-09-22</c:v>
                </c:pt>
                <c:pt idx="53">
                  <c:v>2026-09-23</c:v>
                </c:pt>
                <c:pt idx="54">
                  <c:v>2026-09-24</c:v>
                </c:pt>
                <c:pt idx="55">
                  <c:v>2026-09-25</c:v>
                </c:pt>
                <c:pt idx="56">
                  <c:v>2026-09-26</c:v>
                </c:pt>
                <c:pt idx="57">
                  <c:v>2026-09-27</c:v>
                </c:pt>
                <c:pt idx="58">
                  <c:v>2026-09-28</c:v>
                </c:pt>
                <c:pt idx="59">
                  <c:v>2026-09-29</c:v>
                </c:pt>
                <c:pt idx="60">
                  <c:v>2026-09-30</c:v>
                </c:pt>
                <c:pt idx="61">
                  <c:v>2026-10-01</c:v>
                </c:pt>
                <c:pt idx="62">
                  <c:v>2026-10-02</c:v>
                </c:pt>
                <c:pt idx="63">
                  <c:v>2026-10-03</c:v>
                </c:pt>
                <c:pt idx="64">
                  <c:v>2026-10-04</c:v>
                </c:pt>
                <c:pt idx="65">
                  <c:v>2026-10-05</c:v>
                </c:pt>
                <c:pt idx="66">
                  <c:v>2026-10-06</c:v>
                </c:pt>
                <c:pt idx="67">
                  <c:v>2026-10-07</c:v>
                </c:pt>
                <c:pt idx="68">
                  <c:v>2026-10-08</c:v>
                </c:pt>
                <c:pt idx="69">
                  <c:v>2026-10-09</c:v>
                </c:pt>
                <c:pt idx="70">
                  <c:v>2026-10-10</c:v>
                </c:pt>
                <c:pt idx="71">
                  <c:v>2026-10-11</c:v>
                </c:pt>
                <c:pt idx="72">
                  <c:v>2026-10-12</c:v>
                </c:pt>
                <c:pt idx="73">
                  <c:v>2026-10-13</c:v>
                </c:pt>
                <c:pt idx="74">
                  <c:v>2026-10-14</c:v>
                </c:pt>
                <c:pt idx="75">
                  <c:v>2026-10-15</c:v>
                </c:pt>
                <c:pt idx="76">
                  <c:v>2026-10-16</c:v>
                </c:pt>
                <c:pt idx="77">
                  <c:v>2026-10-17</c:v>
                </c:pt>
                <c:pt idx="78">
                  <c:v>2026-10-18</c:v>
                </c:pt>
                <c:pt idx="79">
                  <c:v>2026-10-19</c:v>
                </c:pt>
                <c:pt idx="80">
                  <c:v>2026-10-20</c:v>
                </c:pt>
                <c:pt idx="81">
                  <c:v>2026-10-21</c:v>
                </c:pt>
                <c:pt idx="82">
                  <c:v>2026-10-22</c:v>
                </c:pt>
                <c:pt idx="83">
                  <c:v>2026-10-23</c:v>
                </c:pt>
                <c:pt idx="84">
                  <c:v>2026-10-24</c:v>
                </c:pt>
                <c:pt idx="85">
                  <c:v>2026-10-25</c:v>
                </c:pt>
                <c:pt idx="86">
                  <c:v>2026-10-26</c:v>
                </c:pt>
                <c:pt idx="87">
                  <c:v>2026-10-27</c:v>
                </c:pt>
                <c:pt idx="88">
                  <c:v>2026-10-28</c:v>
                </c:pt>
                <c:pt idx="89">
                  <c:v>2026-10-29</c:v>
                </c:pt>
                <c:pt idx="90">
                  <c:v>2026-10-30</c:v>
                </c:pt>
                <c:pt idx="91">
                  <c:v>2026-10-31</c:v>
                </c:pt>
                <c:pt idx="92">
                  <c:v>2026-11-01</c:v>
                </c:pt>
                <c:pt idx="93">
                  <c:v>2026-11-02</c:v>
                </c:pt>
                <c:pt idx="94">
                  <c:v>2026-11-03</c:v>
                </c:pt>
                <c:pt idx="95">
                  <c:v>2026-11-04</c:v>
                </c:pt>
                <c:pt idx="96">
                  <c:v>2026-11-05</c:v>
                </c:pt>
                <c:pt idx="97">
                  <c:v>2026-11-06</c:v>
                </c:pt>
                <c:pt idx="98">
                  <c:v>2026-11-07</c:v>
                </c:pt>
                <c:pt idx="99">
                  <c:v>2026-11-08</c:v>
                </c:pt>
                <c:pt idx="100">
                  <c:v>2026-11-09</c:v>
                </c:pt>
                <c:pt idx="101">
                  <c:v>2026-11-10</c:v>
                </c:pt>
                <c:pt idx="102">
                  <c:v>2026-11-11</c:v>
                </c:pt>
                <c:pt idx="103">
                  <c:v>2026-11-12</c:v>
                </c:pt>
                <c:pt idx="104">
                  <c:v>2026-11-13</c:v>
                </c:pt>
                <c:pt idx="105">
                  <c:v>2026-11-14</c:v>
                </c:pt>
                <c:pt idx="106">
                  <c:v>2026-11-15</c:v>
                </c:pt>
                <c:pt idx="107">
                  <c:v>2026-11-16</c:v>
                </c:pt>
                <c:pt idx="108">
                  <c:v>2026-11-17</c:v>
                </c:pt>
                <c:pt idx="109">
                  <c:v>2026-11-18</c:v>
                </c:pt>
                <c:pt idx="110">
                  <c:v>2026-11-19</c:v>
                </c:pt>
                <c:pt idx="111">
                  <c:v>2026-11-20</c:v>
                </c:pt>
                <c:pt idx="112">
                  <c:v>2026-11-21</c:v>
                </c:pt>
                <c:pt idx="113">
                  <c:v>2026-11-22</c:v>
                </c:pt>
                <c:pt idx="114">
                  <c:v>2026-11-23</c:v>
                </c:pt>
                <c:pt idx="115">
                  <c:v>2026-11-24</c:v>
                </c:pt>
                <c:pt idx="116">
                  <c:v>2026-11-25</c:v>
                </c:pt>
                <c:pt idx="117">
                  <c:v>2026-11-26</c:v>
                </c:pt>
                <c:pt idx="118">
                  <c:v>2026-11-27</c:v>
                </c:pt>
                <c:pt idx="119">
                  <c:v>2026-11-28</c:v>
                </c:pt>
                <c:pt idx="120">
                  <c:v>2026-11-29</c:v>
                </c:pt>
                <c:pt idx="121">
                  <c:v>2026-11-30</c:v>
                </c:pt>
                <c:pt idx="122">
                  <c:v>2026-12-01</c:v>
                </c:pt>
                <c:pt idx="123">
                  <c:v>2026-12-02</c:v>
                </c:pt>
                <c:pt idx="124">
                  <c:v>2026-12-03</c:v>
                </c:pt>
                <c:pt idx="125">
                  <c:v>2026-12-04</c:v>
                </c:pt>
                <c:pt idx="126">
                  <c:v>2026-12-05</c:v>
                </c:pt>
                <c:pt idx="127">
                  <c:v>2026-12-06</c:v>
                </c:pt>
                <c:pt idx="128">
                  <c:v>2026-12-07</c:v>
                </c:pt>
                <c:pt idx="129">
                  <c:v>2026-12-08</c:v>
                </c:pt>
                <c:pt idx="130">
                  <c:v>2026-12-09</c:v>
                </c:pt>
                <c:pt idx="131">
                  <c:v>2026-12-10</c:v>
                </c:pt>
                <c:pt idx="132">
                  <c:v>2026-12-11</c:v>
                </c:pt>
                <c:pt idx="133">
                  <c:v>2026-12-12</c:v>
                </c:pt>
                <c:pt idx="134">
                  <c:v>2026-12-13</c:v>
                </c:pt>
                <c:pt idx="135">
                  <c:v>2026-12-14</c:v>
                </c:pt>
                <c:pt idx="136">
                  <c:v>2026-12-15</c:v>
                </c:pt>
                <c:pt idx="137">
                  <c:v>2026-12-16</c:v>
                </c:pt>
                <c:pt idx="138">
                  <c:v>2026-12-17</c:v>
                </c:pt>
                <c:pt idx="139">
                  <c:v>2026-12-18</c:v>
                </c:pt>
                <c:pt idx="140">
                  <c:v>2026-12-19</c:v>
                </c:pt>
                <c:pt idx="141">
                  <c:v>2026-12-20</c:v>
                </c:pt>
                <c:pt idx="142">
                  <c:v>2026-12-21</c:v>
                </c:pt>
                <c:pt idx="143">
                  <c:v>2026-12-22</c:v>
                </c:pt>
                <c:pt idx="144">
                  <c:v>2026-12-23</c:v>
                </c:pt>
                <c:pt idx="145">
                  <c:v>2026-12-24</c:v>
                </c:pt>
                <c:pt idx="146">
                  <c:v>2026-12-25</c:v>
                </c:pt>
                <c:pt idx="147">
                  <c:v>2026-12-26</c:v>
                </c:pt>
                <c:pt idx="148">
                  <c:v>2026-12-27</c:v>
                </c:pt>
                <c:pt idx="149">
                  <c:v>2026-12-28</c:v>
                </c:pt>
                <c:pt idx="150">
                  <c:v>2026-12-29</c:v>
                </c:pt>
                <c:pt idx="151">
                  <c:v>2026-12-30</c:v>
                </c:pt>
                <c:pt idx="152">
                  <c:v>2026-12-31</c:v>
                </c:pt>
                <c:pt idx="153">
                  <c:v>2027-01-01</c:v>
                </c:pt>
                <c:pt idx="154">
                  <c:v>2027-01-02</c:v>
                </c:pt>
                <c:pt idx="155">
                  <c:v>2027-01-03</c:v>
                </c:pt>
                <c:pt idx="156">
                  <c:v>2027-01-04</c:v>
                </c:pt>
                <c:pt idx="157">
                  <c:v>2027-01-05</c:v>
                </c:pt>
                <c:pt idx="158">
                  <c:v>2027-01-06</c:v>
                </c:pt>
                <c:pt idx="159">
                  <c:v>2027-01-07</c:v>
                </c:pt>
                <c:pt idx="160">
                  <c:v>2027-01-08</c:v>
                </c:pt>
                <c:pt idx="161">
                  <c:v>2027-01-09</c:v>
                </c:pt>
                <c:pt idx="162">
                  <c:v>2027-01-10</c:v>
                </c:pt>
                <c:pt idx="163">
                  <c:v>2027-01-11</c:v>
                </c:pt>
                <c:pt idx="164">
                  <c:v>2027-01-12</c:v>
                </c:pt>
                <c:pt idx="165">
                  <c:v>2027-01-13</c:v>
                </c:pt>
                <c:pt idx="166">
                  <c:v>2027-01-14</c:v>
                </c:pt>
                <c:pt idx="167">
                  <c:v>2027-01-15</c:v>
                </c:pt>
                <c:pt idx="168">
                  <c:v>2027-01-16</c:v>
                </c:pt>
                <c:pt idx="169">
                  <c:v>2027-01-17</c:v>
                </c:pt>
                <c:pt idx="170">
                  <c:v>2027-01-18</c:v>
                </c:pt>
                <c:pt idx="171">
                  <c:v>2027-01-19</c:v>
                </c:pt>
                <c:pt idx="172">
                  <c:v>2027-01-20</c:v>
                </c:pt>
                <c:pt idx="173">
                  <c:v>2027-01-21</c:v>
                </c:pt>
                <c:pt idx="174">
                  <c:v>2027-01-22</c:v>
                </c:pt>
                <c:pt idx="175">
                  <c:v>2027-01-23</c:v>
                </c:pt>
                <c:pt idx="176">
                  <c:v>2027-01-24</c:v>
                </c:pt>
                <c:pt idx="177">
                  <c:v>2027-01-25</c:v>
                </c:pt>
                <c:pt idx="178">
                  <c:v>2027-01-26</c:v>
                </c:pt>
                <c:pt idx="179">
                  <c:v>2027-01-27</c:v>
                </c:pt>
                <c:pt idx="180">
                  <c:v>2027-01-28</c:v>
                </c:pt>
                <c:pt idx="181">
                  <c:v>2027-01-29</c:v>
                </c:pt>
                <c:pt idx="182">
                  <c:v>2027-01-30</c:v>
                </c:pt>
                <c:pt idx="183">
                  <c:v>2027-01-31</c:v>
                </c:pt>
                <c:pt idx="184">
                  <c:v>2027-02-01</c:v>
                </c:pt>
                <c:pt idx="185">
                  <c:v>2027-02-02</c:v>
                </c:pt>
                <c:pt idx="186">
                  <c:v>2027-02-03</c:v>
                </c:pt>
                <c:pt idx="187">
                  <c:v>2027-02-04</c:v>
                </c:pt>
                <c:pt idx="188">
                  <c:v>2027-02-05</c:v>
                </c:pt>
                <c:pt idx="189">
                  <c:v>2027-02-06</c:v>
                </c:pt>
                <c:pt idx="190">
                  <c:v>2027-02-07</c:v>
                </c:pt>
                <c:pt idx="191">
                  <c:v>2027-02-08</c:v>
                </c:pt>
                <c:pt idx="192">
                  <c:v>2027-02-09</c:v>
                </c:pt>
                <c:pt idx="193">
                  <c:v>2027-02-10</c:v>
                </c:pt>
                <c:pt idx="194">
                  <c:v>2027-02-11</c:v>
                </c:pt>
                <c:pt idx="195">
                  <c:v>2027-02-12</c:v>
                </c:pt>
                <c:pt idx="196">
                  <c:v>2027-02-13</c:v>
                </c:pt>
                <c:pt idx="197">
                  <c:v>2027-02-14</c:v>
                </c:pt>
                <c:pt idx="198">
                  <c:v>2027-02-15</c:v>
                </c:pt>
                <c:pt idx="199">
                  <c:v>2027-02-16</c:v>
                </c:pt>
                <c:pt idx="200">
                  <c:v>2027-02-17</c:v>
                </c:pt>
                <c:pt idx="201">
                  <c:v>2027-02-18</c:v>
                </c:pt>
                <c:pt idx="202">
                  <c:v>2027-02-19</c:v>
                </c:pt>
                <c:pt idx="203">
                  <c:v>2027-02-20</c:v>
                </c:pt>
                <c:pt idx="204">
                  <c:v>2027-02-21</c:v>
                </c:pt>
                <c:pt idx="205">
                  <c:v>2027-02-22</c:v>
                </c:pt>
                <c:pt idx="206">
                  <c:v>2027-02-23</c:v>
                </c:pt>
                <c:pt idx="207">
                  <c:v>2027-02-24</c:v>
                </c:pt>
                <c:pt idx="208">
                  <c:v>2027-02-25</c:v>
                </c:pt>
                <c:pt idx="209">
                  <c:v>2027-02-26</c:v>
                </c:pt>
                <c:pt idx="210">
                  <c:v>2027-02-27</c:v>
                </c:pt>
                <c:pt idx="211">
                  <c:v>2027-02-28</c:v>
                </c:pt>
                <c:pt idx="212">
                  <c:v>2027-03-01</c:v>
                </c:pt>
                <c:pt idx="213">
                  <c:v>2027-03-02</c:v>
                </c:pt>
                <c:pt idx="214">
                  <c:v>2027-03-03</c:v>
                </c:pt>
                <c:pt idx="215">
                  <c:v>2027-03-04</c:v>
                </c:pt>
                <c:pt idx="216">
                  <c:v>2027-03-05</c:v>
                </c:pt>
                <c:pt idx="217">
                  <c:v>2027-03-06</c:v>
                </c:pt>
                <c:pt idx="218">
                  <c:v>2027-03-07</c:v>
                </c:pt>
                <c:pt idx="219">
                  <c:v>2027-03-08</c:v>
                </c:pt>
                <c:pt idx="220">
                  <c:v>2027-03-09</c:v>
                </c:pt>
                <c:pt idx="221">
                  <c:v>2027-03-10</c:v>
                </c:pt>
                <c:pt idx="222">
                  <c:v>2027-03-11</c:v>
                </c:pt>
                <c:pt idx="223">
                  <c:v>2027-03-12</c:v>
                </c:pt>
                <c:pt idx="224">
                  <c:v>2027-03-13</c:v>
                </c:pt>
                <c:pt idx="225">
                  <c:v>2027-03-14</c:v>
                </c:pt>
                <c:pt idx="226">
                  <c:v>2027-03-15</c:v>
                </c:pt>
                <c:pt idx="227">
                  <c:v>2027-03-16</c:v>
                </c:pt>
                <c:pt idx="228">
                  <c:v>2027-03-17</c:v>
                </c:pt>
                <c:pt idx="229">
                  <c:v>2027-03-18</c:v>
                </c:pt>
                <c:pt idx="230">
                  <c:v>2027-03-19</c:v>
                </c:pt>
                <c:pt idx="231">
                  <c:v>2027-03-20</c:v>
                </c:pt>
                <c:pt idx="232">
                  <c:v>2027-03-21</c:v>
                </c:pt>
                <c:pt idx="233">
                  <c:v>2027-03-22</c:v>
                </c:pt>
                <c:pt idx="234">
                  <c:v>2027-03-23</c:v>
                </c:pt>
                <c:pt idx="235">
                  <c:v>2027-03-24</c:v>
                </c:pt>
                <c:pt idx="236">
                  <c:v>2027-03-25</c:v>
                </c:pt>
                <c:pt idx="237">
                  <c:v>2027-03-26</c:v>
                </c:pt>
                <c:pt idx="238">
                  <c:v>2027-03-27</c:v>
                </c:pt>
                <c:pt idx="239">
                  <c:v>2027-03-28</c:v>
                </c:pt>
                <c:pt idx="240">
                  <c:v>2027-03-29</c:v>
                </c:pt>
                <c:pt idx="241">
                  <c:v>2027-03-30</c:v>
                </c:pt>
                <c:pt idx="242">
                  <c:v>2027-03-31</c:v>
                </c:pt>
                <c:pt idx="243">
                  <c:v>2027-04-01</c:v>
                </c:pt>
                <c:pt idx="244">
                  <c:v>2027-04-02</c:v>
                </c:pt>
                <c:pt idx="245">
                  <c:v>2027-04-03</c:v>
                </c:pt>
                <c:pt idx="246">
                  <c:v>2027-04-04</c:v>
                </c:pt>
                <c:pt idx="247">
                  <c:v>2027-04-05</c:v>
                </c:pt>
                <c:pt idx="248">
                  <c:v>2027-04-06</c:v>
                </c:pt>
                <c:pt idx="249">
                  <c:v>2027-04-07</c:v>
                </c:pt>
                <c:pt idx="250">
                  <c:v>2027-04-08</c:v>
                </c:pt>
                <c:pt idx="251">
                  <c:v>2027-04-09</c:v>
                </c:pt>
                <c:pt idx="252">
                  <c:v>2027-04-10</c:v>
                </c:pt>
                <c:pt idx="253">
                  <c:v>2027-04-11</c:v>
                </c:pt>
                <c:pt idx="254">
                  <c:v>2027-04-12</c:v>
                </c:pt>
                <c:pt idx="255">
                  <c:v>2027-04-13</c:v>
                </c:pt>
                <c:pt idx="256">
                  <c:v>2027-04-14</c:v>
                </c:pt>
                <c:pt idx="257">
                  <c:v>2027-04-15</c:v>
                </c:pt>
                <c:pt idx="258">
                  <c:v>2027-04-16</c:v>
                </c:pt>
                <c:pt idx="259">
                  <c:v>2027-04-17</c:v>
                </c:pt>
                <c:pt idx="260">
                  <c:v>2027-04-18</c:v>
                </c:pt>
                <c:pt idx="261">
                  <c:v>2027-04-19</c:v>
                </c:pt>
                <c:pt idx="262">
                  <c:v>2027-04-20</c:v>
                </c:pt>
                <c:pt idx="263">
                  <c:v>2027-04-21</c:v>
                </c:pt>
                <c:pt idx="264">
                  <c:v>2027-04-22</c:v>
                </c:pt>
                <c:pt idx="265">
                  <c:v>2027-04-23</c:v>
                </c:pt>
                <c:pt idx="266">
                  <c:v>2027-04-24</c:v>
                </c:pt>
                <c:pt idx="267">
                  <c:v>2027-04-25</c:v>
                </c:pt>
                <c:pt idx="268">
                  <c:v>2027-04-26</c:v>
                </c:pt>
                <c:pt idx="269">
                  <c:v>2027-04-27</c:v>
                </c:pt>
                <c:pt idx="270">
                  <c:v>2027-04-28</c:v>
                </c:pt>
                <c:pt idx="271">
                  <c:v>2027-04-29</c:v>
                </c:pt>
                <c:pt idx="272">
                  <c:v>2027-04-30</c:v>
                </c:pt>
                <c:pt idx="273">
                  <c:v>2027-05-01</c:v>
                </c:pt>
                <c:pt idx="274">
                  <c:v>2027-05-02</c:v>
                </c:pt>
                <c:pt idx="275">
                  <c:v>2027-05-03</c:v>
                </c:pt>
                <c:pt idx="276">
                  <c:v>2027-05-04</c:v>
                </c:pt>
                <c:pt idx="277">
                  <c:v>2027-05-05</c:v>
                </c:pt>
                <c:pt idx="278">
                  <c:v>2027-05-06</c:v>
                </c:pt>
                <c:pt idx="279">
                  <c:v>2027-05-07</c:v>
                </c:pt>
                <c:pt idx="280">
                  <c:v>2027-05-08</c:v>
                </c:pt>
                <c:pt idx="281">
                  <c:v>2027-05-09</c:v>
                </c:pt>
                <c:pt idx="282">
                  <c:v>2027-05-10</c:v>
                </c:pt>
                <c:pt idx="283">
                  <c:v>2027-05-11</c:v>
                </c:pt>
                <c:pt idx="284">
                  <c:v>2027-05-12</c:v>
                </c:pt>
                <c:pt idx="285">
                  <c:v>2027-05-13</c:v>
                </c:pt>
                <c:pt idx="286">
                  <c:v>2027-05-14</c:v>
                </c:pt>
                <c:pt idx="287">
                  <c:v>2027-05-15</c:v>
                </c:pt>
                <c:pt idx="288">
                  <c:v>2027-05-16</c:v>
                </c:pt>
                <c:pt idx="289">
                  <c:v>2027-05-17</c:v>
                </c:pt>
                <c:pt idx="290">
                  <c:v>2027-05-18</c:v>
                </c:pt>
                <c:pt idx="291">
                  <c:v>2027-05-19</c:v>
                </c:pt>
                <c:pt idx="292">
                  <c:v>2027-05-20</c:v>
                </c:pt>
                <c:pt idx="293">
                  <c:v>2027-05-21</c:v>
                </c:pt>
                <c:pt idx="294">
                  <c:v>2027-05-22</c:v>
                </c:pt>
                <c:pt idx="295">
                  <c:v>2027-05-23</c:v>
                </c:pt>
                <c:pt idx="296">
                  <c:v>2027-05-24</c:v>
                </c:pt>
                <c:pt idx="297">
                  <c:v>2027-05-25</c:v>
                </c:pt>
                <c:pt idx="298">
                  <c:v>2027-05-26</c:v>
                </c:pt>
                <c:pt idx="299">
                  <c:v>2027-05-27</c:v>
                </c:pt>
                <c:pt idx="300">
                  <c:v>2027-05-28</c:v>
                </c:pt>
                <c:pt idx="301">
                  <c:v>2027-05-29</c:v>
                </c:pt>
                <c:pt idx="302">
                  <c:v>2027-05-30</c:v>
                </c:pt>
                <c:pt idx="303">
                  <c:v>2027-05-31</c:v>
                </c:pt>
                <c:pt idx="304">
                  <c:v>2027-06-01</c:v>
                </c:pt>
                <c:pt idx="305">
                  <c:v>2027-06-02</c:v>
                </c:pt>
                <c:pt idx="306">
                  <c:v>2027-06-03</c:v>
                </c:pt>
                <c:pt idx="307">
                  <c:v>2027-06-04</c:v>
                </c:pt>
                <c:pt idx="308">
                  <c:v>2027-06-05</c:v>
                </c:pt>
                <c:pt idx="309">
                  <c:v>2027-06-06</c:v>
                </c:pt>
                <c:pt idx="310">
                  <c:v>2027-06-07</c:v>
                </c:pt>
                <c:pt idx="311">
                  <c:v>2027-06-08</c:v>
                </c:pt>
                <c:pt idx="312">
                  <c:v>2027-06-09</c:v>
                </c:pt>
                <c:pt idx="313">
                  <c:v>2027-06-10</c:v>
                </c:pt>
                <c:pt idx="314">
                  <c:v>2027-06-11</c:v>
                </c:pt>
                <c:pt idx="315">
                  <c:v>2027-06-12</c:v>
                </c:pt>
                <c:pt idx="316">
                  <c:v>2027-06-13</c:v>
                </c:pt>
                <c:pt idx="317">
                  <c:v>2027-06-14</c:v>
                </c:pt>
                <c:pt idx="318">
                  <c:v>2027-06-15</c:v>
                </c:pt>
                <c:pt idx="319">
                  <c:v>2027-06-16</c:v>
                </c:pt>
                <c:pt idx="320">
                  <c:v>2027-06-17</c:v>
                </c:pt>
                <c:pt idx="321">
                  <c:v>2027-06-18</c:v>
                </c:pt>
                <c:pt idx="322">
                  <c:v>2027-06-19</c:v>
                </c:pt>
                <c:pt idx="323">
                  <c:v>2027-06-20</c:v>
                </c:pt>
                <c:pt idx="324">
                  <c:v>2027-06-21</c:v>
                </c:pt>
                <c:pt idx="325">
                  <c:v>2027-06-22</c:v>
                </c:pt>
                <c:pt idx="326">
                  <c:v>2027-06-23</c:v>
                </c:pt>
                <c:pt idx="327">
                  <c:v>2027-06-24</c:v>
                </c:pt>
                <c:pt idx="328">
                  <c:v>2027-06-25</c:v>
                </c:pt>
                <c:pt idx="329">
                  <c:v>2027-06-26</c:v>
                </c:pt>
                <c:pt idx="330">
                  <c:v>2027-06-27</c:v>
                </c:pt>
                <c:pt idx="331">
                  <c:v>2027-06-28</c:v>
                </c:pt>
                <c:pt idx="332">
                  <c:v>2027-06-29</c:v>
                </c:pt>
                <c:pt idx="333">
                  <c:v>2027-06-30</c:v>
                </c:pt>
                <c:pt idx="334">
                  <c:v>2027-07-01</c:v>
                </c:pt>
                <c:pt idx="335">
                  <c:v>2027-07-02</c:v>
                </c:pt>
                <c:pt idx="336">
                  <c:v>2027-07-03</c:v>
                </c:pt>
                <c:pt idx="337">
                  <c:v>2027-07-04</c:v>
                </c:pt>
                <c:pt idx="338">
                  <c:v>2027-07-05</c:v>
                </c:pt>
                <c:pt idx="339">
                  <c:v>2027-07-06</c:v>
                </c:pt>
                <c:pt idx="340">
                  <c:v>2027-07-07</c:v>
                </c:pt>
                <c:pt idx="341">
                  <c:v>2027-07-08</c:v>
                </c:pt>
                <c:pt idx="342">
                  <c:v>2027-07-09</c:v>
                </c:pt>
                <c:pt idx="343">
                  <c:v>2027-07-10</c:v>
                </c:pt>
                <c:pt idx="344">
                  <c:v>2027-07-11</c:v>
                </c:pt>
                <c:pt idx="345">
                  <c:v>2027-07-12</c:v>
                </c:pt>
                <c:pt idx="346">
                  <c:v>2027-07-13</c:v>
                </c:pt>
                <c:pt idx="347">
                  <c:v>2027-07-14</c:v>
                </c:pt>
                <c:pt idx="348">
                  <c:v>2027-07-15</c:v>
                </c:pt>
                <c:pt idx="349">
                  <c:v>2027-07-16</c:v>
                </c:pt>
                <c:pt idx="350">
                  <c:v>2027-07-17</c:v>
                </c:pt>
                <c:pt idx="351">
                  <c:v>2027-07-18</c:v>
                </c:pt>
                <c:pt idx="352">
                  <c:v>2027-07-19</c:v>
                </c:pt>
                <c:pt idx="353">
                  <c:v>2027-07-20</c:v>
                </c:pt>
                <c:pt idx="354">
                  <c:v>2027-07-21</c:v>
                </c:pt>
                <c:pt idx="355">
                  <c:v>2027-07-22</c:v>
                </c:pt>
                <c:pt idx="356">
                  <c:v>2027-07-23</c:v>
                </c:pt>
                <c:pt idx="357">
                  <c:v>2027-07-24</c:v>
                </c:pt>
                <c:pt idx="358">
                  <c:v>2027-07-25</c:v>
                </c:pt>
                <c:pt idx="359">
                  <c:v>2027-07-26</c:v>
                </c:pt>
                <c:pt idx="360">
                  <c:v>2027-07-27</c:v>
                </c:pt>
                <c:pt idx="361">
                  <c:v>2027-07-28</c:v>
                </c:pt>
                <c:pt idx="362">
                  <c:v>2027-07-29</c:v>
                </c:pt>
                <c:pt idx="363">
                  <c:v>2027-07-30</c:v>
                </c:pt>
                <c:pt idx="364">
                  <c:v>2027-07-31</c:v>
                </c:pt>
                <c:pt idx="365">
                  <c:v>2027-08-01</c:v>
                </c:pt>
                <c:pt idx="366">
                  <c:v>2027-08-02</c:v>
                </c:pt>
                <c:pt idx="367">
                  <c:v>2027-08-03</c:v>
                </c:pt>
                <c:pt idx="368">
                  <c:v>2027-08-04</c:v>
                </c:pt>
                <c:pt idx="369">
                  <c:v>2027-08-05</c:v>
                </c:pt>
                <c:pt idx="370">
                  <c:v>2027-08-06</c:v>
                </c:pt>
                <c:pt idx="371">
                  <c:v>2027-08-07</c:v>
                </c:pt>
                <c:pt idx="372">
                  <c:v>2027-08-08</c:v>
                </c:pt>
                <c:pt idx="373">
                  <c:v>2027-08-09</c:v>
                </c:pt>
                <c:pt idx="374">
                  <c:v>2027-08-10</c:v>
                </c:pt>
                <c:pt idx="375">
                  <c:v>2027-08-11</c:v>
                </c:pt>
                <c:pt idx="376">
                  <c:v>2027-08-12</c:v>
                </c:pt>
                <c:pt idx="377">
                  <c:v>2027-08-13</c:v>
                </c:pt>
                <c:pt idx="378">
                  <c:v>2027-08-14</c:v>
                </c:pt>
                <c:pt idx="379">
                  <c:v>2027-08-15</c:v>
                </c:pt>
                <c:pt idx="380">
                  <c:v>2027-08-16</c:v>
                </c:pt>
                <c:pt idx="381">
                  <c:v>2027-08-17</c:v>
                </c:pt>
                <c:pt idx="382">
                  <c:v>2027-08-18</c:v>
                </c:pt>
                <c:pt idx="383">
                  <c:v>2027-08-19</c:v>
                </c:pt>
                <c:pt idx="384">
                  <c:v>2027-08-20</c:v>
                </c:pt>
                <c:pt idx="385">
                  <c:v>2027-08-21</c:v>
                </c:pt>
                <c:pt idx="386">
                  <c:v>2027-08-22</c:v>
                </c:pt>
                <c:pt idx="387">
                  <c:v>2027-08-23</c:v>
                </c:pt>
                <c:pt idx="388">
                  <c:v>2027-08-24</c:v>
                </c:pt>
                <c:pt idx="389">
                  <c:v>2027-08-25</c:v>
                </c:pt>
                <c:pt idx="390">
                  <c:v>2027-08-26</c:v>
                </c:pt>
                <c:pt idx="391">
                  <c:v>2027-08-27</c:v>
                </c:pt>
                <c:pt idx="392">
                  <c:v>2027-08-28</c:v>
                </c:pt>
                <c:pt idx="393">
                  <c:v>2027-08-29</c:v>
                </c:pt>
                <c:pt idx="394">
                  <c:v>2027-08-30</c:v>
                </c:pt>
                <c:pt idx="395">
                  <c:v>2027-08-31</c:v>
                </c:pt>
                <c:pt idx="396">
                  <c:v>2027-09-01</c:v>
                </c:pt>
                <c:pt idx="397">
                  <c:v>2027-09-02</c:v>
                </c:pt>
                <c:pt idx="398">
                  <c:v>2027-09-03</c:v>
                </c:pt>
                <c:pt idx="399">
                  <c:v>2027-09-04</c:v>
                </c:pt>
              </c:strCache>
            </c:strRef>
          </c:cat>
          <c:val>
            <c:numRef>
              <c:f>'Daily PnL'!$L$4:$L$403</c:f>
              <c:numCache>
                <c:formatCode>\₹#,##0;"(₹"#,##0\);\-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858347"/>
        <c:axId val="45056706"/>
      </c:lineChart>
      <c:catAx>
        <c:axId val="818583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56706"/>
        <c:crosses val="autoZero"/>
        <c:auto val="1"/>
        <c:lblAlgn val="ctr"/>
        <c:lblOffset val="100"/>
        <c:noMultiLvlLbl val="0"/>
      </c:catAx>
      <c:valAx>
        <c:axId val="45056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Drawdown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583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net P&amp;L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PnL'!H3</c:f>
              <c:strCache>
                <c:ptCount val="1"/>
                <c:pt idx="0">
                  <c:v>Net P&amp;L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PnL'!$A$4:$A$403</c:f>
              <c:strCache>
                <c:ptCount val="40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  <c:pt idx="31">
                  <c:v>2026-09-01</c:v>
                </c:pt>
                <c:pt idx="32">
                  <c:v>2026-09-02</c:v>
                </c:pt>
                <c:pt idx="33">
                  <c:v>2026-09-03</c:v>
                </c:pt>
                <c:pt idx="34">
                  <c:v>2026-09-04</c:v>
                </c:pt>
                <c:pt idx="35">
                  <c:v>2026-09-05</c:v>
                </c:pt>
                <c:pt idx="36">
                  <c:v>2026-09-06</c:v>
                </c:pt>
                <c:pt idx="37">
                  <c:v>2026-09-07</c:v>
                </c:pt>
                <c:pt idx="38">
                  <c:v>2026-09-08</c:v>
                </c:pt>
                <c:pt idx="39">
                  <c:v>2026-09-09</c:v>
                </c:pt>
                <c:pt idx="40">
                  <c:v>2026-09-10</c:v>
                </c:pt>
                <c:pt idx="41">
                  <c:v>2026-09-11</c:v>
                </c:pt>
                <c:pt idx="42">
                  <c:v>2026-09-12</c:v>
                </c:pt>
                <c:pt idx="43">
                  <c:v>2026-09-13</c:v>
                </c:pt>
                <c:pt idx="44">
                  <c:v>2026-09-14</c:v>
                </c:pt>
                <c:pt idx="45">
                  <c:v>2026-09-15</c:v>
                </c:pt>
                <c:pt idx="46">
                  <c:v>2026-09-16</c:v>
                </c:pt>
                <c:pt idx="47">
                  <c:v>2026-09-17</c:v>
                </c:pt>
                <c:pt idx="48">
                  <c:v>2026-09-18</c:v>
                </c:pt>
                <c:pt idx="49">
                  <c:v>2026-09-19</c:v>
                </c:pt>
                <c:pt idx="50">
                  <c:v>2026-09-20</c:v>
                </c:pt>
                <c:pt idx="51">
                  <c:v>2026-09-21</c:v>
                </c:pt>
                <c:pt idx="52">
                  <c:v>2026-09-22</c:v>
                </c:pt>
                <c:pt idx="53">
                  <c:v>2026-09-23</c:v>
                </c:pt>
                <c:pt idx="54">
                  <c:v>2026-09-24</c:v>
                </c:pt>
                <c:pt idx="55">
                  <c:v>2026-09-25</c:v>
                </c:pt>
                <c:pt idx="56">
                  <c:v>2026-09-26</c:v>
                </c:pt>
                <c:pt idx="57">
                  <c:v>2026-09-27</c:v>
                </c:pt>
                <c:pt idx="58">
                  <c:v>2026-09-28</c:v>
                </c:pt>
                <c:pt idx="59">
                  <c:v>2026-09-29</c:v>
                </c:pt>
                <c:pt idx="60">
                  <c:v>2026-09-30</c:v>
                </c:pt>
                <c:pt idx="61">
                  <c:v>2026-10-01</c:v>
                </c:pt>
                <c:pt idx="62">
                  <c:v>2026-10-02</c:v>
                </c:pt>
                <c:pt idx="63">
                  <c:v>2026-10-03</c:v>
                </c:pt>
                <c:pt idx="64">
                  <c:v>2026-10-04</c:v>
                </c:pt>
                <c:pt idx="65">
                  <c:v>2026-10-05</c:v>
                </c:pt>
                <c:pt idx="66">
                  <c:v>2026-10-06</c:v>
                </c:pt>
                <c:pt idx="67">
                  <c:v>2026-10-07</c:v>
                </c:pt>
                <c:pt idx="68">
                  <c:v>2026-10-08</c:v>
                </c:pt>
                <c:pt idx="69">
                  <c:v>2026-10-09</c:v>
                </c:pt>
                <c:pt idx="70">
                  <c:v>2026-10-10</c:v>
                </c:pt>
                <c:pt idx="71">
                  <c:v>2026-10-11</c:v>
                </c:pt>
                <c:pt idx="72">
                  <c:v>2026-10-12</c:v>
                </c:pt>
                <c:pt idx="73">
                  <c:v>2026-10-13</c:v>
                </c:pt>
                <c:pt idx="74">
                  <c:v>2026-10-14</c:v>
                </c:pt>
                <c:pt idx="75">
                  <c:v>2026-10-15</c:v>
                </c:pt>
                <c:pt idx="76">
                  <c:v>2026-10-16</c:v>
                </c:pt>
                <c:pt idx="77">
                  <c:v>2026-10-17</c:v>
                </c:pt>
                <c:pt idx="78">
                  <c:v>2026-10-18</c:v>
                </c:pt>
                <c:pt idx="79">
                  <c:v>2026-10-19</c:v>
                </c:pt>
                <c:pt idx="80">
                  <c:v>2026-10-20</c:v>
                </c:pt>
                <c:pt idx="81">
                  <c:v>2026-10-21</c:v>
                </c:pt>
                <c:pt idx="82">
                  <c:v>2026-10-22</c:v>
                </c:pt>
                <c:pt idx="83">
                  <c:v>2026-10-23</c:v>
                </c:pt>
                <c:pt idx="84">
                  <c:v>2026-10-24</c:v>
                </c:pt>
                <c:pt idx="85">
                  <c:v>2026-10-25</c:v>
                </c:pt>
                <c:pt idx="86">
                  <c:v>2026-10-26</c:v>
                </c:pt>
                <c:pt idx="87">
                  <c:v>2026-10-27</c:v>
                </c:pt>
                <c:pt idx="88">
                  <c:v>2026-10-28</c:v>
                </c:pt>
                <c:pt idx="89">
                  <c:v>2026-10-29</c:v>
                </c:pt>
                <c:pt idx="90">
                  <c:v>2026-10-30</c:v>
                </c:pt>
                <c:pt idx="91">
                  <c:v>2026-10-31</c:v>
                </c:pt>
                <c:pt idx="92">
                  <c:v>2026-11-01</c:v>
                </c:pt>
                <c:pt idx="93">
                  <c:v>2026-11-02</c:v>
                </c:pt>
                <c:pt idx="94">
                  <c:v>2026-11-03</c:v>
                </c:pt>
                <c:pt idx="95">
                  <c:v>2026-11-04</c:v>
                </c:pt>
                <c:pt idx="96">
                  <c:v>2026-11-05</c:v>
                </c:pt>
                <c:pt idx="97">
                  <c:v>2026-11-06</c:v>
                </c:pt>
                <c:pt idx="98">
                  <c:v>2026-11-07</c:v>
                </c:pt>
                <c:pt idx="99">
                  <c:v>2026-11-08</c:v>
                </c:pt>
                <c:pt idx="100">
                  <c:v>2026-11-09</c:v>
                </c:pt>
                <c:pt idx="101">
                  <c:v>2026-11-10</c:v>
                </c:pt>
                <c:pt idx="102">
                  <c:v>2026-11-11</c:v>
                </c:pt>
                <c:pt idx="103">
                  <c:v>2026-11-12</c:v>
                </c:pt>
                <c:pt idx="104">
                  <c:v>2026-11-13</c:v>
                </c:pt>
                <c:pt idx="105">
                  <c:v>2026-11-14</c:v>
                </c:pt>
                <c:pt idx="106">
                  <c:v>2026-11-15</c:v>
                </c:pt>
                <c:pt idx="107">
                  <c:v>2026-11-16</c:v>
                </c:pt>
                <c:pt idx="108">
                  <c:v>2026-11-17</c:v>
                </c:pt>
                <c:pt idx="109">
                  <c:v>2026-11-18</c:v>
                </c:pt>
                <c:pt idx="110">
                  <c:v>2026-11-19</c:v>
                </c:pt>
                <c:pt idx="111">
                  <c:v>2026-11-20</c:v>
                </c:pt>
                <c:pt idx="112">
                  <c:v>2026-11-21</c:v>
                </c:pt>
                <c:pt idx="113">
                  <c:v>2026-11-22</c:v>
                </c:pt>
                <c:pt idx="114">
                  <c:v>2026-11-23</c:v>
                </c:pt>
                <c:pt idx="115">
                  <c:v>2026-11-24</c:v>
                </c:pt>
                <c:pt idx="116">
                  <c:v>2026-11-25</c:v>
                </c:pt>
                <c:pt idx="117">
                  <c:v>2026-11-26</c:v>
                </c:pt>
                <c:pt idx="118">
                  <c:v>2026-11-27</c:v>
                </c:pt>
                <c:pt idx="119">
                  <c:v>2026-11-28</c:v>
                </c:pt>
                <c:pt idx="120">
                  <c:v>2026-11-29</c:v>
                </c:pt>
                <c:pt idx="121">
                  <c:v>2026-11-30</c:v>
                </c:pt>
                <c:pt idx="122">
                  <c:v>2026-12-01</c:v>
                </c:pt>
                <c:pt idx="123">
                  <c:v>2026-12-02</c:v>
                </c:pt>
                <c:pt idx="124">
                  <c:v>2026-12-03</c:v>
                </c:pt>
                <c:pt idx="125">
                  <c:v>2026-12-04</c:v>
                </c:pt>
                <c:pt idx="126">
                  <c:v>2026-12-05</c:v>
                </c:pt>
                <c:pt idx="127">
                  <c:v>2026-12-06</c:v>
                </c:pt>
                <c:pt idx="128">
                  <c:v>2026-12-07</c:v>
                </c:pt>
                <c:pt idx="129">
                  <c:v>2026-12-08</c:v>
                </c:pt>
                <c:pt idx="130">
                  <c:v>2026-12-09</c:v>
                </c:pt>
                <c:pt idx="131">
                  <c:v>2026-12-10</c:v>
                </c:pt>
                <c:pt idx="132">
                  <c:v>2026-12-11</c:v>
                </c:pt>
                <c:pt idx="133">
                  <c:v>2026-12-12</c:v>
                </c:pt>
                <c:pt idx="134">
                  <c:v>2026-12-13</c:v>
                </c:pt>
                <c:pt idx="135">
                  <c:v>2026-12-14</c:v>
                </c:pt>
                <c:pt idx="136">
                  <c:v>2026-12-15</c:v>
                </c:pt>
                <c:pt idx="137">
                  <c:v>2026-12-16</c:v>
                </c:pt>
                <c:pt idx="138">
                  <c:v>2026-12-17</c:v>
                </c:pt>
                <c:pt idx="139">
                  <c:v>2026-12-18</c:v>
                </c:pt>
                <c:pt idx="140">
                  <c:v>2026-12-19</c:v>
                </c:pt>
                <c:pt idx="141">
                  <c:v>2026-12-20</c:v>
                </c:pt>
                <c:pt idx="142">
                  <c:v>2026-12-21</c:v>
                </c:pt>
                <c:pt idx="143">
                  <c:v>2026-12-22</c:v>
                </c:pt>
                <c:pt idx="144">
                  <c:v>2026-12-23</c:v>
                </c:pt>
                <c:pt idx="145">
                  <c:v>2026-12-24</c:v>
                </c:pt>
                <c:pt idx="146">
                  <c:v>2026-12-25</c:v>
                </c:pt>
                <c:pt idx="147">
                  <c:v>2026-12-26</c:v>
                </c:pt>
                <c:pt idx="148">
                  <c:v>2026-12-27</c:v>
                </c:pt>
                <c:pt idx="149">
                  <c:v>2026-12-28</c:v>
                </c:pt>
                <c:pt idx="150">
                  <c:v>2026-12-29</c:v>
                </c:pt>
                <c:pt idx="151">
                  <c:v>2026-12-30</c:v>
                </c:pt>
                <c:pt idx="152">
                  <c:v>2026-12-31</c:v>
                </c:pt>
                <c:pt idx="153">
                  <c:v>2027-01-01</c:v>
                </c:pt>
                <c:pt idx="154">
                  <c:v>2027-01-02</c:v>
                </c:pt>
                <c:pt idx="155">
                  <c:v>2027-01-03</c:v>
                </c:pt>
                <c:pt idx="156">
                  <c:v>2027-01-04</c:v>
                </c:pt>
                <c:pt idx="157">
                  <c:v>2027-01-05</c:v>
                </c:pt>
                <c:pt idx="158">
                  <c:v>2027-01-06</c:v>
                </c:pt>
                <c:pt idx="159">
                  <c:v>2027-01-07</c:v>
                </c:pt>
                <c:pt idx="160">
                  <c:v>2027-01-08</c:v>
                </c:pt>
                <c:pt idx="161">
                  <c:v>2027-01-09</c:v>
                </c:pt>
                <c:pt idx="162">
                  <c:v>2027-01-10</c:v>
                </c:pt>
                <c:pt idx="163">
                  <c:v>2027-01-11</c:v>
                </c:pt>
                <c:pt idx="164">
                  <c:v>2027-01-12</c:v>
                </c:pt>
                <c:pt idx="165">
                  <c:v>2027-01-13</c:v>
                </c:pt>
                <c:pt idx="166">
                  <c:v>2027-01-14</c:v>
                </c:pt>
                <c:pt idx="167">
                  <c:v>2027-01-15</c:v>
                </c:pt>
                <c:pt idx="168">
                  <c:v>2027-01-16</c:v>
                </c:pt>
                <c:pt idx="169">
                  <c:v>2027-01-17</c:v>
                </c:pt>
                <c:pt idx="170">
                  <c:v>2027-01-18</c:v>
                </c:pt>
                <c:pt idx="171">
                  <c:v>2027-01-19</c:v>
                </c:pt>
                <c:pt idx="172">
                  <c:v>2027-01-20</c:v>
                </c:pt>
                <c:pt idx="173">
                  <c:v>2027-01-21</c:v>
                </c:pt>
                <c:pt idx="174">
                  <c:v>2027-01-22</c:v>
                </c:pt>
                <c:pt idx="175">
                  <c:v>2027-01-23</c:v>
                </c:pt>
                <c:pt idx="176">
                  <c:v>2027-01-24</c:v>
                </c:pt>
                <c:pt idx="177">
                  <c:v>2027-01-25</c:v>
                </c:pt>
                <c:pt idx="178">
                  <c:v>2027-01-26</c:v>
                </c:pt>
                <c:pt idx="179">
                  <c:v>2027-01-27</c:v>
                </c:pt>
                <c:pt idx="180">
                  <c:v>2027-01-28</c:v>
                </c:pt>
                <c:pt idx="181">
                  <c:v>2027-01-29</c:v>
                </c:pt>
                <c:pt idx="182">
                  <c:v>2027-01-30</c:v>
                </c:pt>
                <c:pt idx="183">
                  <c:v>2027-01-31</c:v>
                </c:pt>
                <c:pt idx="184">
                  <c:v>2027-02-01</c:v>
                </c:pt>
                <c:pt idx="185">
                  <c:v>2027-02-02</c:v>
                </c:pt>
                <c:pt idx="186">
                  <c:v>2027-02-03</c:v>
                </c:pt>
                <c:pt idx="187">
                  <c:v>2027-02-04</c:v>
                </c:pt>
                <c:pt idx="188">
                  <c:v>2027-02-05</c:v>
                </c:pt>
                <c:pt idx="189">
                  <c:v>2027-02-06</c:v>
                </c:pt>
                <c:pt idx="190">
                  <c:v>2027-02-07</c:v>
                </c:pt>
                <c:pt idx="191">
                  <c:v>2027-02-08</c:v>
                </c:pt>
                <c:pt idx="192">
                  <c:v>2027-02-09</c:v>
                </c:pt>
                <c:pt idx="193">
                  <c:v>2027-02-10</c:v>
                </c:pt>
                <c:pt idx="194">
                  <c:v>2027-02-11</c:v>
                </c:pt>
                <c:pt idx="195">
                  <c:v>2027-02-12</c:v>
                </c:pt>
                <c:pt idx="196">
                  <c:v>2027-02-13</c:v>
                </c:pt>
                <c:pt idx="197">
                  <c:v>2027-02-14</c:v>
                </c:pt>
                <c:pt idx="198">
                  <c:v>2027-02-15</c:v>
                </c:pt>
                <c:pt idx="199">
                  <c:v>2027-02-16</c:v>
                </c:pt>
                <c:pt idx="200">
                  <c:v>2027-02-17</c:v>
                </c:pt>
                <c:pt idx="201">
                  <c:v>2027-02-18</c:v>
                </c:pt>
                <c:pt idx="202">
                  <c:v>2027-02-19</c:v>
                </c:pt>
                <c:pt idx="203">
                  <c:v>2027-02-20</c:v>
                </c:pt>
                <c:pt idx="204">
                  <c:v>2027-02-21</c:v>
                </c:pt>
                <c:pt idx="205">
                  <c:v>2027-02-22</c:v>
                </c:pt>
                <c:pt idx="206">
                  <c:v>2027-02-23</c:v>
                </c:pt>
                <c:pt idx="207">
                  <c:v>2027-02-24</c:v>
                </c:pt>
                <c:pt idx="208">
                  <c:v>2027-02-25</c:v>
                </c:pt>
                <c:pt idx="209">
                  <c:v>2027-02-26</c:v>
                </c:pt>
                <c:pt idx="210">
                  <c:v>2027-02-27</c:v>
                </c:pt>
                <c:pt idx="211">
                  <c:v>2027-02-28</c:v>
                </c:pt>
                <c:pt idx="212">
                  <c:v>2027-03-01</c:v>
                </c:pt>
                <c:pt idx="213">
                  <c:v>2027-03-02</c:v>
                </c:pt>
                <c:pt idx="214">
                  <c:v>2027-03-03</c:v>
                </c:pt>
                <c:pt idx="215">
                  <c:v>2027-03-04</c:v>
                </c:pt>
                <c:pt idx="216">
                  <c:v>2027-03-05</c:v>
                </c:pt>
                <c:pt idx="217">
                  <c:v>2027-03-06</c:v>
                </c:pt>
                <c:pt idx="218">
                  <c:v>2027-03-07</c:v>
                </c:pt>
                <c:pt idx="219">
                  <c:v>2027-03-08</c:v>
                </c:pt>
                <c:pt idx="220">
                  <c:v>2027-03-09</c:v>
                </c:pt>
                <c:pt idx="221">
                  <c:v>2027-03-10</c:v>
                </c:pt>
                <c:pt idx="222">
                  <c:v>2027-03-11</c:v>
                </c:pt>
                <c:pt idx="223">
                  <c:v>2027-03-12</c:v>
                </c:pt>
                <c:pt idx="224">
                  <c:v>2027-03-13</c:v>
                </c:pt>
                <c:pt idx="225">
                  <c:v>2027-03-14</c:v>
                </c:pt>
                <c:pt idx="226">
                  <c:v>2027-03-15</c:v>
                </c:pt>
                <c:pt idx="227">
                  <c:v>2027-03-16</c:v>
                </c:pt>
                <c:pt idx="228">
                  <c:v>2027-03-17</c:v>
                </c:pt>
                <c:pt idx="229">
                  <c:v>2027-03-18</c:v>
                </c:pt>
                <c:pt idx="230">
                  <c:v>2027-03-19</c:v>
                </c:pt>
                <c:pt idx="231">
                  <c:v>2027-03-20</c:v>
                </c:pt>
                <c:pt idx="232">
                  <c:v>2027-03-21</c:v>
                </c:pt>
                <c:pt idx="233">
                  <c:v>2027-03-22</c:v>
                </c:pt>
                <c:pt idx="234">
                  <c:v>2027-03-23</c:v>
                </c:pt>
                <c:pt idx="235">
                  <c:v>2027-03-24</c:v>
                </c:pt>
                <c:pt idx="236">
                  <c:v>2027-03-25</c:v>
                </c:pt>
                <c:pt idx="237">
                  <c:v>2027-03-26</c:v>
                </c:pt>
                <c:pt idx="238">
                  <c:v>2027-03-27</c:v>
                </c:pt>
                <c:pt idx="239">
                  <c:v>2027-03-28</c:v>
                </c:pt>
                <c:pt idx="240">
                  <c:v>2027-03-29</c:v>
                </c:pt>
                <c:pt idx="241">
                  <c:v>2027-03-30</c:v>
                </c:pt>
                <c:pt idx="242">
                  <c:v>2027-03-31</c:v>
                </c:pt>
                <c:pt idx="243">
                  <c:v>2027-04-01</c:v>
                </c:pt>
                <c:pt idx="244">
                  <c:v>2027-04-02</c:v>
                </c:pt>
                <c:pt idx="245">
                  <c:v>2027-04-03</c:v>
                </c:pt>
                <c:pt idx="246">
                  <c:v>2027-04-04</c:v>
                </c:pt>
                <c:pt idx="247">
                  <c:v>2027-04-05</c:v>
                </c:pt>
                <c:pt idx="248">
                  <c:v>2027-04-06</c:v>
                </c:pt>
                <c:pt idx="249">
                  <c:v>2027-04-07</c:v>
                </c:pt>
                <c:pt idx="250">
                  <c:v>2027-04-08</c:v>
                </c:pt>
                <c:pt idx="251">
                  <c:v>2027-04-09</c:v>
                </c:pt>
                <c:pt idx="252">
                  <c:v>2027-04-10</c:v>
                </c:pt>
                <c:pt idx="253">
                  <c:v>2027-04-11</c:v>
                </c:pt>
                <c:pt idx="254">
                  <c:v>2027-04-12</c:v>
                </c:pt>
                <c:pt idx="255">
                  <c:v>2027-04-13</c:v>
                </c:pt>
                <c:pt idx="256">
                  <c:v>2027-04-14</c:v>
                </c:pt>
                <c:pt idx="257">
                  <c:v>2027-04-15</c:v>
                </c:pt>
                <c:pt idx="258">
                  <c:v>2027-04-16</c:v>
                </c:pt>
                <c:pt idx="259">
                  <c:v>2027-04-17</c:v>
                </c:pt>
                <c:pt idx="260">
                  <c:v>2027-04-18</c:v>
                </c:pt>
                <c:pt idx="261">
                  <c:v>2027-04-19</c:v>
                </c:pt>
                <c:pt idx="262">
                  <c:v>2027-04-20</c:v>
                </c:pt>
                <c:pt idx="263">
                  <c:v>2027-04-21</c:v>
                </c:pt>
                <c:pt idx="264">
                  <c:v>2027-04-22</c:v>
                </c:pt>
                <c:pt idx="265">
                  <c:v>2027-04-23</c:v>
                </c:pt>
                <c:pt idx="266">
                  <c:v>2027-04-24</c:v>
                </c:pt>
                <c:pt idx="267">
                  <c:v>2027-04-25</c:v>
                </c:pt>
                <c:pt idx="268">
                  <c:v>2027-04-26</c:v>
                </c:pt>
                <c:pt idx="269">
                  <c:v>2027-04-27</c:v>
                </c:pt>
                <c:pt idx="270">
                  <c:v>2027-04-28</c:v>
                </c:pt>
                <c:pt idx="271">
                  <c:v>2027-04-29</c:v>
                </c:pt>
                <c:pt idx="272">
                  <c:v>2027-04-30</c:v>
                </c:pt>
                <c:pt idx="273">
                  <c:v>2027-05-01</c:v>
                </c:pt>
                <c:pt idx="274">
                  <c:v>2027-05-02</c:v>
                </c:pt>
                <c:pt idx="275">
                  <c:v>2027-05-03</c:v>
                </c:pt>
                <c:pt idx="276">
                  <c:v>2027-05-04</c:v>
                </c:pt>
                <c:pt idx="277">
                  <c:v>2027-05-05</c:v>
                </c:pt>
                <c:pt idx="278">
                  <c:v>2027-05-06</c:v>
                </c:pt>
                <c:pt idx="279">
                  <c:v>2027-05-07</c:v>
                </c:pt>
                <c:pt idx="280">
                  <c:v>2027-05-08</c:v>
                </c:pt>
                <c:pt idx="281">
                  <c:v>2027-05-09</c:v>
                </c:pt>
                <c:pt idx="282">
                  <c:v>2027-05-10</c:v>
                </c:pt>
                <c:pt idx="283">
                  <c:v>2027-05-11</c:v>
                </c:pt>
                <c:pt idx="284">
                  <c:v>2027-05-12</c:v>
                </c:pt>
                <c:pt idx="285">
                  <c:v>2027-05-13</c:v>
                </c:pt>
                <c:pt idx="286">
                  <c:v>2027-05-14</c:v>
                </c:pt>
                <c:pt idx="287">
                  <c:v>2027-05-15</c:v>
                </c:pt>
                <c:pt idx="288">
                  <c:v>2027-05-16</c:v>
                </c:pt>
                <c:pt idx="289">
                  <c:v>2027-05-17</c:v>
                </c:pt>
                <c:pt idx="290">
                  <c:v>2027-05-18</c:v>
                </c:pt>
                <c:pt idx="291">
                  <c:v>2027-05-19</c:v>
                </c:pt>
                <c:pt idx="292">
                  <c:v>2027-05-20</c:v>
                </c:pt>
                <c:pt idx="293">
                  <c:v>2027-05-21</c:v>
                </c:pt>
                <c:pt idx="294">
                  <c:v>2027-05-22</c:v>
                </c:pt>
                <c:pt idx="295">
                  <c:v>2027-05-23</c:v>
                </c:pt>
                <c:pt idx="296">
                  <c:v>2027-05-24</c:v>
                </c:pt>
                <c:pt idx="297">
                  <c:v>2027-05-25</c:v>
                </c:pt>
                <c:pt idx="298">
                  <c:v>2027-05-26</c:v>
                </c:pt>
                <c:pt idx="299">
                  <c:v>2027-05-27</c:v>
                </c:pt>
                <c:pt idx="300">
                  <c:v>2027-05-28</c:v>
                </c:pt>
                <c:pt idx="301">
                  <c:v>2027-05-29</c:v>
                </c:pt>
                <c:pt idx="302">
                  <c:v>2027-05-30</c:v>
                </c:pt>
                <c:pt idx="303">
                  <c:v>2027-05-31</c:v>
                </c:pt>
                <c:pt idx="304">
                  <c:v>2027-06-01</c:v>
                </c:pt>
                <c:pt idx="305">
                  <c:v>2027-06-02</c:v>
                </c:pt>
                <c:pt idx="306">
                  <c:v>2027-06-03</c:v>
                </c:pt>
                <c:pt idx="307">
                  <c:v>2027-06-04</c:v>
                </c:pt>
                <c:pt idx="308">
                  <c:v>2027-06-05</c:v>
                </c:pt>
                <c:pt idx="309">
                  <c:v>2027-06-06</c:v>
                </c:pt>
                <c:pt idx="310">
                  <c:v>2027-06-07</c:v>
                </c:pt>
                <c:pt idx="311">
                  <c:v>2027-06-08</c:v>
                </c:pt>
                <c:pt idx="312">
                  <c:v>2027-06-09</c:v>
                </c:pt>
                <c:pt idx="313">
                  <c:v>2027-06-10</c:v>
                </c:pt>
                <c:pt idx="314">
                  <c:v>2027-06-11</c:v>
                </c:pt>
                <c:pt idx="315">
                  <c:v>2027-06-12</c:v>
                </c:pt>
                <c:pt idx="316">
                  <c:v>2027-06-13</c:v>
                </c:pt>
                <c:pt idx="317">
                  <c:v>2027-06-14</c:v>
                </c:pt>
                <c:pt idx="318">
                  <c:v>2027-06-15</c:v>
                </c:pt>
                <c:pt idx="319">
                  <c:v>2027-06-16</c:v>
                </c:pt>
                <c:pt idx="320">
                  <c:v>2027-06-17</c:v>
                </c:pt>
                <c:pt idx="321">
                  <c:v>2027-06-18</c:v>
                </c:pt>
                <c:pt idx="322">
                  <c:v>2027-06-19</c:v>
                </c:pt>
                <c:pt idx="323">
                  <c:v>2027-06-20</c:v>
                </c:pt>
                <c:pt idx="324">
                  <c:v>2027-06-21</c:v>
                </c:pt>
                <c:pt idx="325">
                  <c:v>2027-06-22</c:v>
                </c:pt>
                <c:pt idx="326">
                  <c:v>2027-06-23</c:v>
                </c:pt>
                <c:pt idx="327">
                  <c:v>2027-06-24</c:v>
                </c:pt>
                <c:pt idx="328">
                  <c:v>2027-06-25</c:v>
                </c:pt>
                <c:pt idx="329">
                  <c:v>2027-06-26</c:v>
                </c:pt>
                <c:pt idx="330">
                  <c:v>2027-06-27</c:v>
                </c:pt>
                <c:pt idx="331">
                  <c:v>2027-06-28</c:v>
                </c:pt>
                <c:pt idx="332">
                  <c:v>2027-06-29</c:v>
                </c:pt>
                <c:pt idx="333">
                  <c:v>2027-06-30</c:v>
                </c:pt>
                <c:pt idx="334">
                  <c:v>2027-07-01</c:v>
                </c:pt>
                <c:pt idx="335">
                  <c:v>2027-07-02</c:v>
                </c:pt>
                <c:pt idx="336">
                  <c:v>2027-07-03</c:v>
                </c:pt>
                <c:pt idx="337">
                  <c:v>2027-07-04</c:v>
                </c:pt>
                <c:pt idx="338">
                  <c:v>2027-07-05</c:v>
                </c:pt>
                <c:pt idx="339">
                  <c:v>2027-07-06</c:v>
                </c:pt>
                <c:pt idx="340">
                  <c:v>2027-07-07</c:v>
                </c:pt>
                <c:pt idx="341">
                  <c:v>2027-07-08</c:v>
                </c:pt>
                <c:pt idx="342">
                  <c:v>2027-07-09</c:v>
                </c:pt>
                <c:pt idx="343">
                  <c:v>2027-07-10</c:v>
                </c:pt>
                <c:pt idx="344">
                  <c:v>2027-07-11</c:v>
                </c:pt>
                <c:pt idx="345">
                  <c:v>2027-07-12</c:v>
                </c:pt>
                <c:pt idx="346">
                  <c:v>2027-07-13</c:v>
                </c:pt>
                <c:pt idx="347">
                  <c:v>2027-07-14</c:v>
                </c:pt>
                <c:pt idx="348">
                  <c:v>2027-07-15</c:v>
                </c:pt>
                <c:pt idx="349">
                  <c:v>2027-07-16</c:v>
                </c:pt>
                <c:pt idx="350">
                  <c:v>2027-07-17</c:v>
                </c:pt>
                <c:pt idx="351">
                  <c:v>2027-07-18</c:v>
                </c:pt>
                <c:pt idx="352">
                  <c:v>2027-07-19</c:v>
                </c:pt>
                <c:pt idx="353">
                  <c:v>2027-07-20</c:v>
                </c:pt>
                <c:pt idx="354">
                  <c:v>2027-07-21</c:v>
                </c:pt>
                <c:pt idx="355">
                  <c:v>2027-07-22</c:v>
                </c:pt>
                <c:pt idx="356">
                  <c:v>2027-07-23</c:v>
                </c:pt>
                <c:pt idx="357">
                  <c:v>2027-07-24</c:v>
                </c:pt>
                <c:pt idx="358">
                  <c:v>2027-07-25</c:v>
                </c:pt>
                <c:pt idx="359">
                  <c:v>2027-07-26</c:v>
                </c:pt>
                <c:pt idx="360">
                  <c:v>2027-07-27</c:v>
                </c:pt>
                <c:pt idx="361">
                  <c:v>2027-07-28</c:v>
                </c:pt>
                <c:pt idx="362">
                  <c:v>2027-07-29</c:v>
                </c:pt>
                <c:pt idx="363">
                  <c:v>2027-07-30</c:v>
                </c:pt>
                <c:pt idx="364">
                  <c:v>2027-07-31</c:v>
                </c:pt>
                <c:pt idx="365">
                  <c:v>2027-08-01</c:v>
                </c:pt>
                <c:pt idx="366">
                  <c:v>2027-08-02</c:v>
                </c:pt>
                <c:pt idx="367">
                  <c:v>2027-08-03</c:v>
                </c:pt>
                <c:pt idx="368">
                  <c:v>2027-08-04</c:v>
                </c:pt>
                <c:pt idx="369">
                  <c:v>2027-08-05</c:v>
                </c:pt>
                <c:pt idx="370">
                  <c:v>2027-08-06</c:v>
                </c:pt>
                <c:pt idx="371">
                  <c:v>2027-08-07</c:v>
                </c:pt>
                <c:pt idx="372">
                  <c:v>2027-08-08</c:v>
                </c:pt>
                <c:pt idx="373">
                  <c:v>2027-08-09</c:v>
                </c:pt>
                <c:pt idx="374">
                  <c:v>2027-08-10</c:v>
                </c:pt>
                <c:pt idx="375">
                  <c:v>2027-08-11</c:v>
                </c:pt>
                <c:pt idx="376">
                  <c:v>2027-08-12</c:v>
                </c:pt>
                <c:pt idx="377">
                  <c:v>2027-08-13</c:v>
                </c:pt>
                <c:pt idx="378">
                  <c:v>2027-08-14</c:v>
                </c:pt>
                <c:pt idx="379">
                  <c:v>2027-08-15</c:v>
                </c:pt>
                <c:pt idx="380">
                  <c:v>2027-08-16</c:v>
                </c:pt>
                <c:pt idx="381">
                  <c:v>2027-08-17</c:v>
                </c:pt>
                <c:pt idx="382">
                  <c:v>2027-08-18</c:v>
                </c:pt>
                <c:pt idx="383">
                  <c:v>2027-08-19</c:v>
                </c:pt>
                <c:pt idx="384">
                  <c:v>2027-08-20</c:v>
                </c:pt>
                <c:pt idx="385">
                  <c:v>2027-08-21</c:v>
                </c:pt>
                <c:pt idx="386">
                  <c:v>2027-08-22</c:v>
                </c:pt>
                <c:pt idx="387">
                  <c:v>2027-08-23</c:v>
                </c:pt>
                <c:pt idx="388">
                  <c:v>2027-08-24</c:v>
                </c:pt>
                <c:pt idx="389">
                  <c:v>2027-08-25</c:v>
                </c:pt>
                <c:pt idx="390">
                  <c:v>2027-08-26</c:v>
                </c:pt>
                <c:pt idx="391">
                  <c:v>2027-08-27</c:v>
                </c:pt>
                <c:pt idx="392">
                  <c:v>2027-08-28</c:v>
                </c:pt>
                <c:pt idx="393">
                  <c:v>2027-08-29</c:v>
                </c:pt>
                <c:pt idx="394">
                  <c:v>2027-08-30</c:v>
                </c:pt>
                <c:pt idx="395">
                  <c:v>2027-08-31</c:v>
                </c:pt>
                <c:pt idx="396">
                  <c:v>2027-09-01</c:v>
                </c:pt>
                <c:pt idx="397">
                  <c:v>2027-09-02</c:v>
                </c:pt>
                <c:pt idx="398">
                  <c:v>2027-09-03</c:v>
                </c:pt>
                <c:pt idx="399">
                  <c:v>2027-09-04</c:v>
                </c:pt>
              </c:strCache>
            </c:strRef>
          </c:cat>
          <c:val>
            <c:numRef>
              <c:f>'Daily PnL'!$H$4:$H$403</c:f>
              <c:numCache>
                <c:formatCode>\₹#,##0;"(₹"#,##0\);\-</c:formatCode>
                <c:ptCount val="400"/>
                <c:pt idx="17">
                  <c:v>23918.5521880349</c:v>
                </c:pt>
              </c:numCache>
            </c:numRef>
          </c:val>
        </c:ser>
        <c:gapWidth val="150"/>
        <c:overlap val="0"/>
        <c:axId val="46422380"/>
        <c:axId val="8534354"/>
      </c:barChart>
      <c:catAx>
        <c:axId val="464223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4354"/>
        <c:crosses val="autoZero"/>
        <c:auto val="1"/>
        <c:lblAlgn val="ctr"/>
        <c:lblOffset val="100"/>
        <c:noMultiLvlLbl val="0"/>
      </c:catAx>
      <c:valAx>
        <c:axId val="8534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223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P&amp;L by exit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Summary!D85</c:f>
              <c:strCache>
                <c:ptCount val="1"/>
                <c:pt idx="0">
                  <c:v>Net P&amp;L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Summary!$A$86:$A$93</c:f>
              <c:strCache>
                <c:ptCount val="8"/>
                <c:pt idx="0">
                  <c:v>TARGET_17</c:v>
                </c:pt>
                <c:pt idx="1">
                  <c:v>EXIT_925</c:v>
                </c:pt>
                <c:pt idx="2">
                  <c:v>PARTIAL_925_NODATA</c:v>
                </c:pt>
                <c:pt idx="3">
                  <c:v>FORCE_1159</c:v>
                </c:pt>
                <c:pt idx="4">
                  <c:v>COVER_TARGET_5</c:v>
                </c:pt>
                <c:pt idx="5">
                  <c:v>UC_STOP</c:v>
                </c:pt>
                <c:pt idx="6">
                  <c:v>SQUAREOFF_239</c:v>
                </c:pt>
                <c:pt idx="7">
                  <c:v>MANUAL</c:v>
                </c:pt>
              </c:strCache>
            </c:strRef>
          </c:cat>
          <c:val>
            <c:numRef>
              <c:f>Summary!$D$86:$D$93</c:f>
              <c:numCache>
                <c:formatCode>\₹#,##0;"(₹"#,##0\);\-</c:formatCode>
                <c:ptCount val="8"/>
                <c:pt idx="0">
                  <c:v>0</c:v>
                </c:pt>
                <c:pt idx="1">
                  <c:v>18831.3628052169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5087.18938281802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397989"/>
        <c:axId val="79475246"/>
      </c:barChart>
      <c:catAx>
        <c:axId val="7397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75246"/>
        <c:crosses val="autoZero"/>
        <c:auto val="1"/>
        <c:lblAlgn val="ctr"/>
        <c:lblOffset val="100"/>
        <c:noMultiLvlLbl val="0"/>
      </c:catAx>
      <c:valAx>
        <c:axId val="79475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7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Leg net-return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'Distribution &amp; Risk'!B29</c:f>
              <c:strCache>
                <c:ptCount val="1"/>
                <c:pt idx="0">
                  <c:v>Legs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'Distribution &amp; Risk'!$A$30:$A$40</c:f>
              <c:strCache>
                <c:ptCount val="11"/>
                <c:pt idx="0">
                  <c:v>&lt; -15%</c:v>
                </c:pt>
                <c:pt idx="1">
                  <c:v>-15% to -10%</c:v>
                </c:pt>
                <c:pt idx="2">
                  <c:v>-10% to -5%</c:v>
                </c:pt>
                <c:pt idx="3">
                  <c:v>-5% to -2.5%</c:v>
                </c:pt>
                <c:pt idx="4">
                  <c:v>-2.5% to 0%</c:v>
                </c:pt>
                <c:pt idx="5">
                  <c:v>0% to 2.5%</c:v>
                </c:pt>
                <c:pt idx="6">
                  <c:v>2.5% to 5%</c:v>
                </c:pt>
                <c:pt idx="7">
                  <c:v>5% to 10%</c:v>
                </c:pt>
                <c:pt idx="8">
                  <c:v>10% to 15%</c:v>
                </c:pt>
                <c:pt idx="9">
                  <c:v>15% to 20%</c:v>
                </c:pt>
                <c:pt idx="10">
                  <c:v>&gt; 20%</c:v>
                </c:pt>
              </c:strCache>
            </c:strRef>
          </c:cat>
          <c:val>
            <c:numRef>
              <c:f>'Distribution &amp; Risk'!$B$30:$B$40</c:f>
              <c:numCache>
                <c:formatCode>#,##0;\(#,##0\);\-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39471097"/>
        <c:axId val="1987583"/>
      </c:barChart>
      <c:catAx>
        <c:axId val="39471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7583"/>
        <c:crosses val="autoZero"/>
        <c:auto val="1"/>
        <c:lblAlgn val="ctr"/>
        <c:lblOffset val="100"/>
        <c:noMultiLvlLbl val="0"/>
      </c:catAx>
      <c:valAx>
        <c:axId val="1987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71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Rolling 20-day Sharpe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PnL'!Q3</c:f>
              <c:strCache>
                <c:ptCount val="1"/>
                <c:pt idx="0">
                  <c:v>Roll 20d Sharpe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PnL'!$A$4:$A$403</c:f>
              <c:strCache>
                <c:ptCount val="40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  <c:pt idx="31">
                  <c:v>2026-09-01</c:v>
                </c:pt>
                <c:pt idx="32">
                  <c:v>2026-09-02</c:v>
                </c:pt>
                <c:pt idx="33">
                  <c:v>2026-09-03</c:v>
                </c:pt>
                <c:pt idx="34">
                  <c:v>2026-09-04</c:v>
                </c:pt>
                <c:pt idx="35">
                  <c:v>2026-09-05</c:v>
                </c:pt>
                <c:pt idx="36">
                  <c:v>2026-09-06</c:v>
                </c:pt>
                <c:pt idx="37">
                  <c:v>2026-09-07</c:v>
                </c:pt>
                <c:pt idx="38">
                  <c:v>2026-09-08</c:v>
                </c:pt>
                <c:pt idx="39">
                  <c:v>2026-09-09</c:v>
                </c:pt>
                <c:pt idx="40">
                  <c:v>2026-09-10</c:v>
                </c:pt>
                <c:pt idx="41">
                  <c:v>2026-09-11</c:v>
                </c:pt>
                <c:pt idx="42">
                  <c:v>2026-09-12</c:v>
                </c:pt>
                <c:pt idx="43">
                  <c:v>2026-09-13</c:v>
                </c:pt>
                <c:pt idx="44">
                  <c:v>2026-09-14</c:v>
                </c:pt>
                <c:pt idx="45">
                  <c:v>2026-09-15</c:v>
                </c:pt>
                <c:pt idx="46">
                  <c:v>2026-09-16</c:v>
                </c:pt>
                <c:pt idx="47">
                  <c:v>2026-09-17</c:v>
                </c:pt>
                <c:pt idx="48">
                  <c:v>2026-09-18</c:v>
                </c:pt>
                <c:pt idx="49">
                  <c:v>2026-09-19</c:v>
                </c:pt>
                <c:pt idx="50">
                  <c:v>2026-09-20</c:v>
                </c:pt>
                <c:pt idx="51">
                  <c:v>2026-09-21</c:v>
                </c:pt>
                <c:pt idx="52">
                  <c:v>2026-09-22</c:v>
                </c:pt>
                <c:pt idx="53">
                  <c:v>2026-09-23</c:v>
                </c:pt>
                <c:pt idx="54">
                  <c:v>2026-09-24</c:v>
                </c:pt>
                <c:pt idx="55">
                  <c:v>2026-09-25</c:v>
                </c:pt>
                <c:pt idx="56">
                  <c:v>2026-09-26</c:v>
                </c:pt>
                <c:pt idx="57">
                  <c:v>2026-09-27</c:v>
                </c:pt>
                <c:pt idx="58">
                  <c:v>2026-09-28</c:v>
                </c:pt>
                <c:pt idx="59">
                  <c:v>2026-09-29</c:v>
                </c:pt>
                <c:pt idx="60">
                  <c:v>2026-09-30</c:v>
                </c:pt>
                <c:pt idx="61">
                  <c:v>2026-10-01</c:v>
                </c:pt>
                <c:pt idx="62">
                  <c:v>2026-10-02</c:v>
                </c:pt>
                <c:pt idx="63">
                  <c:v>2026-10-03</c:v>
                </c:pt>
                <c:pt idx="64">
                  <c:v>2026-10-04</c:v>
                </c:pt>
                <c:pt idx="65">
                  <c:v>2026-10-05</c:v>
                </c:pt>
                <c:pt idx="66">
                  <c:v>2026-10-06</c:v>
                </c:pt>
                <c:pt idx="67">
                  <c:v>2026-10-07</c:v>
                </c:pt>
                <c:pt idx="68">
                  <c:v>2026-10-08</c:v>
                </c:pt>
                <c:pt idx="69">
                  <c:v>2026-10-09</c:v>
                </c:pt>
                <c:pt idx="70">
                  <c:v>2026-10-10</c:v>
                </c:pt>
                <c:pt idx="71">
                  <c:v>2026-10-11</c:v>
                </c:pt>
                <c:pt idx="72">
                  <c:v>2026-10-12</c:v>
                </c:pt>
                <c:pt idx="73">
                  <c:v>2026-10-13</c:v>
                </c:pt>
                <c:pt idx="74">
                  <c:v>2026-10-14</c:v>
                </c:pt>
                <c:pt idx="75">
                  <c:v>2026-10-15</c:v>
                </c:pt>
                <c:pt idx="76">
                  <c:v>2026-10-16</c:v>
                </c:pt>
                <c:pt idx="77">
                  <c:v>2026-10-17</c:v>
                </c:pt>
                <c:pt idx="78">
                  <c:v>2026-10-18</c:v>
                </c:pt>
                <c:pt idx="79">
                  <c:v>2026-10-19</c:v>
                </c:pt>
                <c:pt idx="80">
                  <c:v>2026-10-20</c:v>
                </c:pt>
                <c:pt idx="81">
                  <c:v>2026-10-21</c:v>
                </c:pt>
                <c:pt idx="82">
                  <c:v>2026-10-22</c:v>
                </c:pt>
                <c:pt idx="83">
                  <c:v>2026-10-23</c:v>
                </c:pt>
                <c:pt idx="84">
                  <c:v>2026-10-24</c:v>
                </c:pt>
                <c:pt idx="85">
                  <c:v>2026-10-25</c:v>
                </c:pt>
                <c:pt idx="86">
                  <c:v>2026-10-26</c:v>
                </c:pt>
                <c:pt idx="87">
                  <c:v>2026-10-27</c:v>
                </c:pt>
                <c:pt idx="88">
                  <c:v>2026-10-28</c:v>
                </c:pt>
                <c:pt idx="89">
                  <c:v>2026-10-29</c:v>
                </c:pt>
                <c:pt idx="90">
                  <c:v>2026-10-30</c:v>
                </c:pt>
                <c:pt idx="91">
                  <c:v>2026-10-31</c:v>
                </c:pt>
                <c:pt idx="92">
                  <c:v>2026-11-01</c:v>
                </c:pt>
                <c:pt idx="93">
                  <c:v>2026-11-02</c:v>
                </c:pt>
                <c:pt idx="94">
                  <c:v>2026-11-03</c:v>
                </c:pt>
                <c:pt idx="95">
                  <c:v>2026-11-04</c:v>
                </c:pt>
                <c:pt idx="96">
                  <c:v>2026-11-05</c:v>
                </c:pt>
                <c:pt idx="97">
                  <c:v>2026-11-06</c:v>
                </c:pt>
                <c:pt idx="98">
                  <c:v>2026-11-07</c:v>
                </c:pt>
                <c:pt idx="99">
                  <c:v>2026-11-08</c:v>
                </c:pt>
                <c:pt idx="100">
                  <c:v>2026-11-09</c:v>
                </c:pt>
                <c:pt idx="101">
                  <c:v>2026-11-10</c:v>
                </c:pt>
                <c:pt idx="102">
                  <c:v>2026-11-11</c:v>
                </c:pt>
                <c:pt idx="103">
                  <c:v>2026-11-12</c:v>
                </c:pt>
                <c:pt idx="104">
                  <c:v>2026-11-13</c:v>
                </c:pt>
                <c:pt idx="105">
                  <c:v>2026-11-14</c:v>
                </c:pt>
                <c:pt idx="106">
                  <c:v>2026-11-15</c:v>
                </c:pt>
                <c:pt idx="107">
                  <c:v>2026-11-16</c:v>
                </c:pt>
                <c:pt idx="108">
                  <c:v>2026-11-17</c:v>
                </c:pt>
                <c:pt idx="109">
                  <c:v>2026-11-18</c:v>
                </c:pt>
                <c:pt idx="110">
                  <c:v>2026-11-19</c:v>
                </c:pt>
                <c:pt idx="111">
                  <c:v>2026-11-20</c:v>
                </c:pt>
                <c:pt idx="112">
                  <c:v>2026-11-21</c:v>
                </c:pt>
                <c:pt idx="113">
                  <c:v>2026-11-22</c:v>
                </c:pt>
                <c:pt idx="114">
                  <c:v>2026-11-23</c:v>
                </c:pt>
                <c:pt idx="115">
                  <c:v>2026-11-24</c:v>
                </c:pt>
                <c:pt idx="116">
                  <c:v>2026-11-25</c:v>
                </c:pt>
                <c:pt idx="117">
                  <c:v>2026-11-26</c:v>
                </c:pt>
                <c:pt idx="118">
                  <c:v>2026-11-27</c:v>
                </c:pt>
                <c:pt idx="119">
                  <c:v>2026-11-28</c:v>
                </c:pt>
                <c:pt idx="120">
                  <c:v>2026-11-29</c:v>
                </c:pt>
                <c:pt idx="121">
                  <c:v>2026-11-30</c:v>
                </c:pt>
                <c:pt idx="122">
                  <c:v>2026-12-01</c:v>
                </c:pt>
                <c:pt idx="123">
                  <c:v>2026-12-02</c:v>
                </c:pt>
                <c:pt idx="124">
                  <c:v>2026-12-03</c:v>
                </c:pt>
                <c:pt idx="125">
                  <c:v>2026-12-04</c:v>
                </c:pt>
                <c:pt idx="126">
                  <c:v>2026-12-05</c:v>
                </c:pt>
                <c:pt idx="127">
                  <c:v>2026-12-06</c:v>
                </c:pt>
                <c:pt idx="128">
                  <c:v>2026-12-07</c:v>
                </c:pt>
                <c:pt idx="129">
                  <c:v>2026-12-08</c:v>
                </c:pt>
                <c:pt idx="130">
                  <c:v>2026-12-09</c:v>
                </c:pt>
                <c:pt idx="131">
                  <c:v>2026-12-10</c:v>
                </c:pt>
                <c:pt idx="132">
                  <c:v>2026-12-11</c:v>
                </c:pt>
                <c:pt idx="133">
                  <c:v>2026-12-12</c:v>
                </c:pt>
                <c:pt idx="134">
                  <c:v>2026-12-13</c:v>
                </c:pt>
                <c:pt idx="135">
                  <c:v>2026-12-14</c:v>
                </c:pt>
                <c:pt idx="136">
                  <c:v>2026-12-15</c:v>
                </c:pt>
                <c:pt idx="137">
                  <c:v>2026-12-16</c:v>
                </c:pt>
                <c:pt idx="138">
                  <c:v>2026-12-17</c:v>
                </c:pt>
                <c:pt idx="139">
                  <c:v>2026-12-18</c:v>
                </c:pt>
                <c:pt idx="140">
                  <c:v>2026-12-19</c:v>
                </c:pt>
                <c:pt idx="141">
                  <c:v>2026-12-20</c:v>
                </c:pt>
                <c:pt idx="142">
                  <c:v>2026-12-21</c:v>
                </c:pt>
                <c:pt idx="143">
                  <c:v>2026-12-22</c:v>
                </c:pt>
                <c:pt idx="144">
                  <c:v>2026-12-23</c:v>
                </c:pt>
                <c:pt idx="145">
                  <c:v>2026-12-24</c:v>
                </c:pt>
                <c:pt idx="146">
                  <c:v>2026-12-25</c:v>
                </c:pt>
                <c:pt idx="147">
                  <c:v>2026-12-26</c:v>
                </c:pt>
                <c:pt idx="148">
                  <c:v>2026-12-27</c:v>
                </c:pt>
                <c:pt idx="149">
                  <c:v>2026-12-28</c:v>
                </c:pt>
                <c:pt idx="150">
                  <c:v>2026-12-29</c:v>
                </c:pt>
                <c:pt idx="151">
                  <c:v>2026-12-30</c:v>
                </c:pt>
                <c:pt idx="152">
                  <c:v>2026-12-31</c:v>
                </c:pt>
                <c:pt idx="153">
                  <c:v>2027-01-01</c:v>
                </c:pt>
                <c:pt idx="154">
                  <c:v>2027-01-02</c:v>
                </c:pt>
                <c:pt idx="155">
                  <c:v>2027-01-03</c:v>
                </c:pt>
                <c:pt idx="156">
                  <c:v>2027-01-04</c:v>
                </c:pt>
                <c:pt idx="157">
                  <c:v>2027-01-05</c:v>
                </c:pt>
                <c:pt idx="158">
                  <c:v>2027-01-06</c:v>
                </c:pt>
                <c:pt idx="159">
                  <c:v>2027-01-07</c:v>
                </c:pt>
                <c:pt idx="160">
                  <c:v>2027-01-08</c:v>
                </c:pt>
                <c:pt idx="161">
                  <c:v>2027-01-09</c:v>
                </c:pt>
                <c:pt idx="162">
                  <c:v>2027-01-10</c:v>
                </c:pt>
                <c:pt idx="163">
                  <c:v>2027-01-11</c:v>
                </c:pt>
                <c:pt idx="164">
                  <c:v>2027-01-12</c:v>
                </c:pt>
                <c:pt idx="165">
                  <c:v>2027-01-13</c:v>
                </c:pt>
                <c:pt idx="166">
                  <c:v>2027-01-14</c:v>
                </c:pt>
                <c:pt idx="167">
                  <c:v>2027-01-15</c:v>
                </c:pt>
                <c:pt idx="168">
                  <c:v>2027-01-16</c:v>
                </c:pt>
                <c:pt idx="169">
                  <c:v>2027-01-17</c:v>
                </c:pt>
                <c:pt idx="170">
                  <c:v>2027-01-18</c:v>
                </c:pt>
                <c:pt idx="171">
                  <c:v>2027-01-19</c:v>
                </c:pt>
                <c:pt idx="172">
                  <c:v>2027-01-20</c:v>
                </c:pt>
                <c:pt idx="173">
                  <c:v>2027-01-21</c:v>
                </c:pt>
                <c:pt idx="174">
                  <c:v>2027-01-22</c:v>
                </c:pt>
                <c:pt idx="175">
                  <c:v>2027-01-23</c:v>
                </c:pt>
                <c:pt idx="176">
                  <c:v>2027-01-24</c:v>
                </c:pt>
                <c:pt idx="177">
                  <c:v>2027-01-25</c:v>
                </c:pt>
                <c:pt idx="178">
                  <c:v>2027-01-26</c:v>
                </c:pt>
                <c:pt idx="179">
                  <c:v>2027-01-27</c:v>
                </c:pt>
                <c:pt idx="180">
                  <c:v>2027-01-28</c:v>
                </c:pt>
                <c:pt idx="181">
                  <c:v>2027-01-29</c:v>
                </c:pt>
                <c:pt idx="182">
                  <c:v>2027-01-30</c:v>
                </c:pt>
                <c:pt idx="183">
                  <c:v>2027-01-31</c:v>
                </c:pt>
                <c:pt idx="184">
                  <c:v>2027-02-01</c:v>
                </c:pt>
                <c:pt idx="185">
                  <c:v>2027-02-02</c:v>
                </c:pt>
                <c:pt idx="186">
                  <c:v>2027-02-03</c:v>
                </c:pt>
                <c:pt idx="187">
                  <c:v>2027-02-04</c:v>
                </c:pt>
                <c:pt idx="188">
                  <c:v>2027-02-05</c:v>
                </c:pt>
                <c:pt idx="189">
                  <c:v>2027-02-06</c:v>
                </c:pt>
                <c:pt idx="190">
                  <c:v>2027-02-07</c:v>
                </c:pt>
                <c:pt idx="191">
                  <c:v>2027-02-08</c:v>
                </c:pt>
                <c:pt idx="192">
                  <c:v>2027-02-09</c:v>
                </c:pt>
                <c:pt idx="193">
                  <c:v>2027-02-10</c:v>
                </c:pt>
                <c:pt idx="194">
                  <c:v>2027-02-11</c:v>
                </c:pt>
                <c:pt idx="195">
                  <c:v>2027-02-12</c:v>
                </c:pt>
                <c:pt idx="196">
                  <c:v>2027-02-13</c:v>
                </c:pt>
                <c:pt idx="197">
                  <c:v>2027-02-14</c:v>
                </c:pt>
                <c:pt idx="198">
                  <c:v>2027-02-15</c:v>
                </c:pt>
                <c:pt idx="199">
                  <c:v>2027-02-16</c:v>
                </c:pt>
                <c:pt idx="200">
                  <c:v>2027-02-17</c:v>
                </c:pt>
                <c:pt idx="201">
                  <c:v>2027-02-18</c:v>
                </c:pt>
                <c:pt idx="202">
                  <c:v>2027-02-19</c:v>
                </c:pt>
                <c:pt idx="203">
                  <c:v>2027-02-20</c:v>
                </c:pt>
                <c:pt idx="204">
                  <c:v>2027-02-21</c:v>
                </c:pt>
                <c:pt idx="205">
                  <c:v>2027-02-22</c:v>
                </c:pt>
                <c:pt idx="206">
                  <c:v>2027-02-23</c:v>
                </c:pt>
                <c:pt idx="207">
                  <c:v>2027-02-24</c:v>
                </c:pt>
                <c:pt idx="208">
                  <c:v>2027-02-25</c:v>
                </c:pt>
                <c:pt idx="209">
                  <c:v>2027-02-26</c:v>
                </c:pt>
                <c:pt idx="210">
                  <c:v>2027-02-27</c:v>
                </c:pt>
                <c:pt idx="211">
                  <c:v>2027-02-28</c:v>
                </c:pt>
                <c:pt idx="212">
                  <c:v>2027-03-01</c:v>
                </c:pt>
                <c:pt idx="213">
                  <c:v>2027-03-02</c:v>
                </c:pt>
                <c:pt idx="214">
                  <c:v>2027-03-03</c:v>
                </c:pt>
                <c:pt idx="215">
                  <c:v>2027-03-04</c:v>
                </c:pt>
                <c:pt idx="216">
                  <c:v>2027-03-05</c:v>
                </c:pt>
                <c:pt idx="217">
                  <c:v>2027-03-06</c:v>
                </c:pt>
                <c:pt idx="218">
                  <c:v>2027-03-07</c:v>
                </c:pt>
                <c:pt idx="219">
                  <c:v>2027-03-08</c:v>
                </c:pt>
                <c:pt idx="220">
                  <c:v>2027-03-09</c:v>
                </c:pt>
                <c:pt idx="221">
                  <c:v>2027-03-10</c:v>
                </c:pt>
                <c:pt idx="222">
                  <c:v>2027-03-11</c:v>
                </c:pt>
                <c:pt idx="223">
                  <c:v>2027-03-12</c:v>
                </c:pt>
                <c:pt idx="224">
                  <c:v>2027-03-13</c:v>
                </c:pt>
                <c:pt idx="225">
                  <c:v>2027-03-14</c:v>
                </c:pt>
                <c:pt idx="226">
                  <c:v>2027-03-15</c:v>
                </c:pt>
                <c:pt idx="227">
                  <c:v>2027-03-16</c:v>
                </c:pt>
                <c:pt idx="228">
                  <c:v>2027-03-17</c:v>
                </c:pt>
                <c:pt idx="229">
                  <c:v>2027-03-18</c:v>
                </c:pt>
                <c:pt idx="230">
                  <c:v>2027-03-19</c:v>
                </c:pt>
                <c:pt idx="231">
                  <c:v>2027-03-20</c:v>
                </c:pt>
                <c:pt idx="232">
                  <c:v>2027-03-21</c:v>
                </c:pt>
                <c:pt idx="233">
                  <c:v>2027-03-22</c:v>
                </c:pt>
                <c:pt idx="234">
                  <c:v>2027-03-23</c:v>
                </c:pt>
                <c:pt idx="235">
                  <c:v>2027-03-24</c:v>
                </c:pt>
                <c:pt idx="236">
                  <c:v>2027-03-25</c:v>
                </c:pt>
                <c:pt idx="237">
                  <c:v>2027-03-26</c:v>
                </c:pt>
                <c:pt idx="238">
                  <c:v>2027-03-27</c:v>
                </c:pt>
                <c:pt idx="239">
                  <c:v>2027-03-28</c:v>
                </c:pt>
                <c:pt idx="240">
                  <c:v>2027-03-29</c:v>
                </c:pt>
                <c:pt idx="241">
                  <c:v>2027-03-30</c:v>
                </c:pt>
                <c:pt idx="242">
                  <c:v>2027-03-31</c:v>
                </c:pt>
                <c:pt idx="243">
                  <c:v>2027-04-01</c:v>
                </c:pt>
                <c:pt idx="244">
                  <c:v>2027-04-02</c:v>
                </c:pt>
                <c:pt idx="245">
                  <c:v>2027-04-03</c:v>
                </c:pt>
                <c:pt idx="246">
                  <c:v>2027-04-04</c:v>
                </c:pt>
                <c:pt idx="247">
                  <c:v>2027-04-05</c:v>
                </c:pt>
                <c:pt idx="248">
                  <c:v>2027-04-06</c:v>
                </c:pt>
                <c:pt idx="249">
                  <c:v>2027-04-07</c:v>
                </c:pt>
                <c:pt idx="250">
                  <c:v>2027-04-08</c:v>
                </c:pt>
                <c:pt idx="251">
                  <c:v>2027-04-09</c:v>
                </c:pt>
                <c:pt idx="252">
                  <c:v>2027-04-10</c:v>
                </c:pt>
                <c:pt idx="253">
                  <c:v>2027-04-11</c:v>
                </c:pt>
                <c:pt idx="254">
                  <c:v>2027-04-12</c:v>
                </c:pt>
                <c:pt idx="255">
                  <c:v>2027-04-13</c:v>
                </c:pt>
                <c:pt idx="256">
                  <c:v>2027-04-14</c:v>
                </c:pt>
                <c:pt idx="257">
                  <c:v>2027-04-15</c:v>
                </c:pt>
                <c:pt idx="258">
                  <c:v>2027-04-16</c:v>
                </c:pt>
                <c:pt idx="259">
                  <c:v>2027-04-17</c:v>
                </c:pt>
                <c:pt idx="260">
                  <c:v>2027-04-18</c:v>
                </c:pt>
                <c:pt idx="261">
                  <c:v>2027-04-19</c:v>
                </c:pt>
                <c:pt idx="262">
                  <c:v>2027-04-20</c:v>
                </c:pt>
                <c:pt idx="263">
                  <c:v>2027-04-21</c:v>
                </c:pt>
                <c:pt idx="264">
                  <c:v>2027-04-22</c:v>
                </c:pt>
                <c:pt idx="265">
                  <c:v>2027-04-23</c:v>
                </c:pt>
                <c:pt idx="266">
                  <c:v>2027-04-24</c:v>
                </c:pt>
                <c:pt idx="267">
                  <c:v>2027-04-25</c:v>
                </c:pt>
                <c:pt idx="268">
                  <c:v>2027-04-26</c:v>
                </c:pt>
                <c:pt idx="269">
                  <c:v>2027-04-27</c:v>
                </c:pt>
                <c:pt idx="270">
                  <c:v>2027-04-28</c:v>
                </c:pt>
                <c:pt idx="271">
                  <c:v>2027-04-29</c:v>
                </c:pt>
                <c:pt idx="272">
                  <c:v>2027-04-30</c:v>
                </c:pt>
                <c:pt idx="273">
                  <c:v>2027-05-01</c:v>
                </c:pt>
                <c:pt idx="274">
                  <c:v>2027-05-02</c:v>
                </c:pt>
                <c:pt idx="275">
                  <c:v>2027-05-03</c:v>
                </c:pt>
                <c:pt idx="276">
                  <c:v>2027-05-04</c:v>
                </c:pt>
                <c:pt idx="277">
                  <c:v>2027-05-05</c:v>
                </c:pt>
                <c:pt idx="278">
                  <c:v>2027-05-06</c:v>
                </c:pt>
                <c:pt idx="279">
                  <c:v>2027-05-07</c:v>
                </c:pt>
                <c:pt idx="280">
                  <c:v>2027-05-08</c:v>
                </c:pt>
                <c:pt idx="281">
                  <c:v>2027-05-09</c:v>
                </c:pt>
                <c:pt idx="282">
                  <c:v>2027-05-10</c:v>
                </c:pt>
                <c:pt idx="283">
                  <c:v>2027-05-11</c:v>
                </c:pt>
                <c:pt idx="284">
                  <c:v>2027-05-12</c:v>
                </c:pt>
                <c:pt idx="285">
                  <c:v>2027-05-13</c:v>
                </c:pt>
                <c:pt idx="286">
                  <c:v>2027-05-14</c:v>
                </c:pt>
                <c:pt idx="287">
                  <c:v>2027-05-15</c:v>
                </c:pt>
                <c:pt idx="288">
                  <c:v>2027-05-16</c:v>
                </c:pt>
                <c:pt idx="289">
                  <c:v>2027-05-17</c:v>
                </c:pt>
                <c:pt idx="290">
                  <c:v>2027-05-18</c:v>
                </c:pt>
                <c:pt idx="291">
                  <c:v>2027-05-19</c:v>
                </c:pt>
                <c:pt idx="292">
                  <c:v>2027-05-20</c:v>
                </c:pt>
                <c:pt idx="293">
                  <c:v>2027-05-21</c:v>
                </c:pt>
                <c:pt idx="294">
                  <c:v>2027-05-22</c:v>
                </c:pt>
                <c:pt idx="295">
                  <c:v>2027-05-23</c:v>
                </c:pt>
                <c:pt idx="296">
                  <c:v>2027-05-24</c:v>
                </c:pt>
                <c:pt idx="297">
                  <c:v>2027-05-25</c:v>
                </c:pt>
                <c:pt idx="298">
                  <c:v>2027-05-26</c:v>
                </c:pt>
                <c:pt idx="299">
                  <c:v>2027-05-27</c:v>
                </c:pt>
                <c:pt idx="300">
                  <c:v>2027-05-28</c:v>
                </c:pt>
                <c:pt idx="301">
                  <c:v>2027-05-29</c:v>
                </c:pt>
                <c:pt idx="302">
                  <c:v>2027-05-30</c:v>
                </c:pt>
                <c:pt idx="303">
                  <c:v>2027-05-31</c:v>
                </c:pt>
                <c:pt idx="304">
                  <c:v>2027-06-01</c:v>
                </c:pt>
                <c:pt idx="305">
                  <c:v>2027-06-02</c:v>
                </c:pt>
                <c:pt idx="306">
                  <c:v>2027-06-03</c:v>
                </c:pt>
                <c:pt idx="307">
                  <c:v>2027-06-04</c:v>
                </c:pt>
                <c:pt idx="308">
                  <c:v>2027-06-05</c:v>
                </c:pt>
                <c:pt idx="309">
                  <c:v>2027-06-06</c:v>
                </c:pt>
                <c:pt idx="310">
                  <c:v>2027-06-07</c:v>
                </c:pt>
                <c:pt idx="311">
                  <c:v>2027-06-08</c:v>
                </c:pt>
                <c:pt idx="312">
                  <c:v>2027-06-09</c:v>
                </c:pt>
                <c:pt idx="313">
                  <c:v>2027-06-10</c:v>
                </c:pt>
                <c:pt idx="314">
                  <c:v>2027-06-11</c:v>
                </c:pt>
                <c:pt idx="315">
                  <c:v>2027-06-12</c:v>
                </c:pt>
                <c:pt idx="316">
                  <c:v>2027-06-13</c:v>
                </c:pt>
                <c:pt idx="317">
                  <c:v>2027-06-14</c:v>
                </c:pt>
                <c:pt idx="318">
                  <c:v>2027-06-15</c:v>
                </c:pt>
                <c:pt idx="319">
                  <c:v>2027-06-16</c:v>
                </c:pt>
                <c:pt idx="320">
                  <c:v>2027-06-17</c:v>
                </c:pt>
                <c:pt idx="321">
                  <c:v>2027-06-18</c:v>
                </c:pt>
                <c:pt idx="322">
                  <c:v>2027-06-19</c:v>
                </c:pt>
                <c:pt idx="323">
                  <c:v>2027-06-20</c:v>
                </c:pt>
                <c:pt idx="324">
                  <c:v>2027-06-21</c:v>
                </c:pt>
                <c:pt idx="325">
                  <c:v>2027-06-22</c:v>
                </c:pt>
                <c:pt idx="326">
                  <c:v>2027-06-23</c:v>
                </c:pt>
                <c:pt idx="327">
                  <c:v>2027-06-24</c:v>
                </c:pt>
                <c:pt idx="328">
                  <c:v>2027-06-25</c:v>
                </c:pt>
                <c:pt idx="329">
                  <c:v>2027-06-26</c:v>
                </c:pt>
                <c:pt idx="330">
                  <c:v>2027-06-27</c:v>
                </c:pt>
                <c:pt idx="331">
                  <c:v>2027-06-28</c:v>
                </c:pt>
                <c:pt idx="332">
                  <c:v>2027-06-29</c:v>
                </c:pt>
                <c:pt idx="333">
                  <c:v>2027-06-30</c:v>
                </c:pt>
                <c:pt idx="334">
                  <c:v>2027-07-01</c:v>
                </c:pt>
                <c:pt idx="335">
                  <c:v>2027-07-02</c:v>
                </c:pt>
                <c:pt idx="336">
                  <c:v>2027-07-03</c:v>
                </c:pt>
                <c:pt idx="337">
                  <c:v>2027-07-04</c:v>
                </c:pt>
                <c:pt idx="338">
                  <c:v>2027-07-05</c:v>
                </c:pt>
                <c:pt idx="339">
                  <c:v>2027-07-06</c:v>
                </c:pt>
                <c:pt idx="340">
                  <c:v>2027-07-07</c:v>
                </c:pt>
                <c:pt idx="341">
                  <c:v>2027-07-08</c:v>
                </c:pt>
                <c:pt idx="342">
                  <c:v>2027-07-09</c:v>
                </c:pt>
                <c:pt idx="343">
                  <c:v>2027-07-10</c:v>
                </c:pt>
                <c:pt idx="344">
                  <c:v>2027-07-11</c:v>
                </c:pt>
                <c:pt idx="345">
                  <c:v>2027-07-12</c:v>
                </c:pt>
                <c:pt idx="346">
                  <c:v>2027-07-13</c:v>
                </c:pt>
                <c:pt idx="347">
                  <c:v>2027-07-14</c:v>
                </c:pt>
                <c:pt idx="348">
                  <c:v>2027-07-15</c:v>
                </c:pt>
                <c:pt idx="349">
                  <c:v>2027-07-16</c:v>
                </c:pt>
                <c:pt idx="350">
                  <c:v>2027-07-17</c:v>
                </c:pt>
                <c:pt idx="351">
                  <c:v>2027-07-18</c:v>
                </c:pt>
                <c:pt idx="352">
                  <c:v>2027-07-19</c:v>
                </c:pt>
                <c:pt idx="353">
                  <c:v>2027-07-20</c:v>
                </c:pt>
                <c:pt idx="354">
                  <c:v>2027-07-21</c:v>
                </c:pt>
                <c:pt idx="355">
                  <c:v>2027-07-22</c:v>
                </c:pt>
                <c:pt idx="356">
                  <c:v>2027-07-23</c:v>
                </c:pt>
                <c:pt idx="357">
                  <c:v>2027-07-24</c:v>
                </c:pt>
                <c:pt idx="358">
                  <c:v>2027-07-25</c:v>
                </c:pt>
                <c:pt idx="359">
                  <c:v>2027-07-26</c:v>
                </c:pt>
                <c:pt idx="360">
                  <c:v>2027-07-27</c:v>
                </c:pt>
                <c:pt idx="361">
                  <c:v>2027-07-28</c:v>
                </c:pt>
                <c:pt idx="362">
                  <c:v>2027-07-29</c:v>
                </c:pt>
                <c:pt idx="363">
                  <c:v>2027-07-30</c:v>
                </c:pt>
                <c:pt idx="364">
                  <c:v>2027-07-31</c:v>
                </c:pt>
                <c:pt idx="365">
                  <c:v>2027-08-01</c:v>
                </c:pt>
                <c:pt idx="366">
                  <c:v>2027-08-02</c:v>
                </c:pt>
                <c:pt idx="367">
                  <c:v>2027-08-03</c:v>
                </c:pt>
                <c:pt idx="368">
                  <c:v>2027-08-04</c:v>
                </c:pt>
                <c:pt idx="369">
                  <c:v>2027-08-05</c:v>
                </c:pt>
                <c:pt idx="370">
                  <c:v>2027-08-06</c:v>
                </c:pt>
                <c:pt idx="371">
                  <c:v>2027-08-07</c:v>
                </c:pt>
                <c:pt idx="372">
                  <c:v>2027-08-08</c:v>
                </c:pt>
                <c:pt idx="373">
                  <c:v>2027-08-09</c:v>
                </c:pt>
                <c:pt idx="374">
                  <c:v>2027-08-10</c:v>
                </c:pt>
                <c:pt idx="375">
                  <c:v>2027-08-11</c:v>
                </c:pt>
                <c:pt idx="376">
                  <c:v>2027-08-12</c:v>
                </c:pt>
                <c:pt idx="377">
                  <c:v>2027-08-13</c:v>
                </c:pt>
                <c:pt idx="378">
                  <c:v>2027-08-14</c:v>
                </c:pt>
                <c:pt idx="379">
                  <c:v>2027-08-15</c:v>
                </c:pt>
                <c:pt idx="380">
                  <c:v>2027-08-16</c:v>
                </c:pt>
                <c:pt idx="381">
                  <c:v>2027-08-17</c:v>
                </c:pt>
                <c:pt idx="382">
                  <c:v>2027-08-18</c:v>
                </c:pt>
                <c:pt idx="383">
                  <c:v>2027-08-19</c:v>
                </c:pt>
                <c:pt idx="384">
                  <c:v>2027-08-20</c:v>
                </c:pt>
                <c:pt idx="385">
                  <c:v>2027-08-21</c:v>
                </c:pt>
                <c:pt idx="386">
                  <c:v>2027-08-22</c:v>
                </c:pt>
                <c:pt idx="387">
                  <c:v>2027-08-23</c:v>
                </c:pt>
                <c:pt idx="388">
                  <c:v>2027-08-24</c:v>
                </c:pt>
                <c:pt idx="389">
                  <c:v>2027-08-25</c:v>
                </c:pt>
                <c:pt idx="390">
                  <c:v>2027-08-26</c:v>
                </c:pt>
                <c:pt idx="391">
                  <c:v>2027-08-27</c:v>
                </c:pt>
                <c:pt idx="392">
                  <c:v>2027-08-28</c:v>
                </c:pt>
                <c:pt idx="393">
                  <c:v>2027-08-29</c:v>
                </c:pt>
                <c:pt idx="394">
                  <c:v>2027-08-30</c:v>
                </c:pt>
                <c:pt idx="395">
                  <c:v>2027-08-31</c:v>
                </c:pt>
                <c:pt idx="396">
                  <c:v>2027-09-01</c:v>
                </c:pt>
                <c:pt idx="397">
                  <c:v>2027-09-02</c:v>
                </c:pt>
                <c:pt idx="398">
                  <c:v>2027-09-03</c:v>
                </c:pt>
                <c:pt idx="399">
                  <c:v>2027-09-04</c:v>
                </c:pt>
              </c:strCache>
            </c:strRef>
          </c:cat>
          <c:val>
            <c:numRef>
              <c:f>'Daily PnL'!$Q$4:$Q$403</c:f>
              <c:numCache>
                <c:formatCode>General</c:formatCode>
                <c:ptCount val="4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226770"/>
        <c:axId val="94249330"/>
      </c:lineChart>
      <c:catAx>
        <c:axId val="4322677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49330"/>
        <c:crosses val="autoZero"/>
        <c:auto val="1"/>
        <c:lblAlgn val="ctr"/>
        <c:lblOffset val="100"/>
        <c:noMultiLvlLbl val="0"/>
      </c:catAx>
      <c:valAx>
        <c:axId val="94249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26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14</xdr:col>
      <xdr:colOff>78480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0" y="571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160560</xdr:rowOff>
    </xdr:from>
    <xdr:to>
      <xdr:col>14</xdr:col>
      <xdr:colOff>78480</xdr:colOff>
      <xdr:row>37</xdr:row>
      <xdr:rowOff>182880</xdr:rowOff>
    </xdr:to>
    <xdr:graphicFrame>
      <xdr:nvGraphicFramePr>
        <xdr:cNvPr id="1" name="Chart 2"/>
        <xdr:cNvGraphicFramePr/>
      </xdr:nvGraphicFramePr>
      <xdr:xfrm>
        <a:off x="0" y="43815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160560</xdr:rowOff>
    </xdr:from>
    <xdr:to>
      <xdr:col>14</xdr:col>
      <xdr:colOff>78480</xdr:colOff>
      <xdr:row>55</xdr:row>
      <xdr:rowOff>182880</xdr:rowOff>
    </xdr:to>
    <xdr:graphicFrame>
      <xdr:nvGraphicFramePr>
        <xdr:cNvPr id="2" name="Chart 3"/>
        <xdr:cNvGraphicFramePr/>
      </xdr:nvGraphicFramePr>
      <xdr:xfrm>
        <a:off x="0" y="78105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58</xdr:row>
      <xdr:rowOff>160560</xdr:rowOff>
    </xdr:from>
    <xdr:to>
      <xdr:col>8</xdr:col>
      <xdr:colOff>147600</xdr:colOff>
      <xdr:row>73</xdr:row>
      <xdr:rowOff>182880</xdr:rowOff>
    </xdr:to>
    <xdr:graphicFrame>
      <xdr:nvGraphicFramePr>
        <xdr:cNvPr id="3" name="Chart 4"/>
        <xdr:cNvGraphicFramePr/>
      </xdr:nvGraphicFramePr>
      <xdr:xfrm>
        <a:off x="0" y="11239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58</xdr:row>
      <xdr:rowOff>160560</xdr:rowOff>
    </xdr:from>
    <xdr:to>
      <xdr:col>19</xdr:col>
      <xdr:colOff>147600</xdr:colOff>
      <xdr:row>73</xdr:row>
      <xdr:rowOff>182880</xdr:rowOff>
    </xdr:to>
    <xdr:graphicFrame>
      <xdr:nvGraphicFramePr>
        <xdr:cNvPr id="4" name="Chart 5"/>
        <xdr:cNvGraphicFramePr/>
      </xdr:nvGraphicFramePr>
      <xdr:xfrm>
        <a:off x="6726600" y="11239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76</xdr:row>
      <xdr:rowOff>160560</xdr:rowOff>
    </xdr:from>
    <xdr:to>
      <xdr:col>14</xdr:col>
      <xdr:colOff>78480</xdr:colOff>
      <xdr:row>91</xdr:row>
      <xdr:rowOff>182880</xdr:rowOff>
    </xdr:to>
    <xdr:graphicFrame>
      <xdr:nvGraphicFramePr>
        <xdr:cNvPr id="5" name="Chart 6"/>
        <xdr:cNvGraphicFramePr/>
      </xdr:nvGraphicFramePr>
      <xdr:xfrm>
        <a:off x="0" y="146685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</row>
    <row r="4" customFormat="false" ht="15" hidden="false" customHeight="false" outlineLevel="0" collapsed="false">
      <c r="A4" s="5" t="s">
        <v>3</v>
      </c>
      <c r="B4" s="6" t="n">
        <v>1000000</v>
      </c>
      <c r="C4" s="2" t="s">
        <v>4</v>
      </c>
    </row>
    <row r="5" customFormat="false" ht="15" hidden="false" customHeight="false" outlineLevel="0" collapsed="false">
      <c r="A5" s="5" t="s">
        <v>5</v>
      </c>
      <c r="B5" s="7" t="n">
        <v>46235</v>
      </c>
      <c r="C5" s="2" t="s">
        <v>6</v>
      </c>
    </row>
    <row r="6" customFormat="false" ht="15" hidden="false" customHeight="false" outlineLevel="0" collapsed="false">
      <c r="A6" s="5" t="s">
        <v>7</v>
      </c>
      <c r="B6" s="8" t="n">
        <v>252</v>
      </c>
      <c r="C6" s="2" t="s">
        <v>8</v>
      </c>
    </row>
    <row r="7" customFormat="false" ht="15" hidden="false" customHeight="false" outlineLevel="0" collapsed="false">
      <c r="A7" s="5" t="s">
        <v>9</v>
      </c>
      <c r="B7" s="9" t="n">
        <v>0.065</v>
      </c>
      <c r="C7" s="2" t="s">
        <v>10</v>
      </c>
    </row>
    <row r="8" customFormat="false" ht="15" hidden="false" customHeight="false" outlineLevel="0" collapsed="false">
      <c r="A8" s="5" t="s">
        <v>11</v>
      </c>
      <c r="B8" s="9" t="n">
        <v>0.75</v>
      </c>
      <c r="C8" s="2" t="s">
        <v>12</v>
      </c>
    </row>
    <row r="10" customFormat="false" ht="15" hidden="false" customHeight="false" outlineLevel="0" collapsed="false">
      <c r="A10" s="3" t="s">
        <v>13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2" t="s">
        <v>14</v>
      </c>
    </row>
    <row r="12" customFormat="false" ht="33.75" hidden="false" customHeight="true" outlineLevel="0" collapsed="false">
      <c r="A12" s="10" t="s">
        <v>15</v>
      </c>
      <c r="B12" s="10" t="s">
        <v>16</v>
      </c>
      <c r="C12" s="10" t="s">
        <v>17</v>
      </c>
      <c r="D12" s="10" t="s">
        <v>18</v>
      </c>
      <c r="E12" s="10" t="s">
        <v>19</v>
      </c>
      <c r="F12" s="10" t="s">
        <v>20</v>
      </c>
      <c r="G12" s="10" t="s">
        <v>21</v>
      </c>
      <c r="H12" s="10" t="s">
        <v>22</v>
      </c>
      <c r="I12" s="10" t="s">
        <v>23</v>
      </c>
      <c r="J12" s="10" t="s">
        <v>24</v>
      </c>
      <c r="K12" s="10" t="s">
        <v>25</v>
      </c>
    </row>
    <row r="13" customFormat="false" ht="15" hidden="false" customHeight="false" outlineLevel="0" collapsed="false">
      <c r="A13" s="11" t="s">
        <v>26</v>
      </c>
      <c r="B13" s="12" t="n">
        <v>0.0003</v>
      </c>
      <c r="C13" s="6" t="n">
        <v>20</v>
      </c>
      <c r="D13" s="12" t="n">
        <v>0.001</v>
      </c>
      <c r="E13" s="12" t="n">
        <v>0.001</v>
      </c>
      <c r="F13" s="13" t="n">
        <v>2.97E-005</v>
      </c>
      <c r="G13" s="14" t="n">
        <v>1E-006</v>
      </c>
      <c r="H13" s="12" t="n">
        <v>0.00015</v>
      </c>
      <c r="I13" s="15" t="n">
        <v>0.18</v>
      </c>
      <c r="J13" s="16" t="n">
        <v>15.34</v>
      </c>
      <c r="K13" s="17" t="n">
        <v>0.15</v>
      </c>
    </row>
    <row r="14" customFormat="false" ht="15" hidden="false" customHeight="false" outlineLevel="0" collapsed="false">
      <c r="A14" s="11" t="s">
        <v>27</v>
      </c>
      <c r="B14" s="12" t="n">
        <v>0</v>
      </c>
      <c r="C14" s="6" t="n">
        <v>0</v>
      </c>
      <c r="D14" s="12" t="n">
        <v>0.001</v>
      </c>
      <c r="E14" s="12" t="n">
        <v>0.001</v>
      </c>
      <c r="F14" s="13" t="n">
        <v>2.97E-005</v>
      </c>
      <c r="G14" s="14" t="n">
        <v>1E-006</v>
      </c>
      <c r="H14" s="12" t="n">
        <v>0.00015</v>
      </c>
      <c r="I14" s="15" t="n">
        <v>0.18</v>
      </c>
      <c r="J14" s="16" t="n">
        <v>15.34</v>
      </c>
      <c r="K14" s="17" t="n">
        <v>0</v>
      </c>
    </row>
    <row r="15" customFormat="false" ht="15" hidden="false" customHeight="false" outlineLevel="0" collapsed="false">
      <c r="A15" s="11" t="s">
        <v>28</v>
      </c>
      <c r="B15" s="12" t="n">
        <v>0.0003</v>
      </c>
      <c r="C15" s="6" t="n">
        <v>20</v>
      </c>
      <c r="D15" s="12" t="n">
        <v>0</v>
      </c>
      <c r="E15" s="12" t="n">
        <v>0.00025</v>
      </c>
      <c r="F15" s="13" t="n">
        <v>2.97E-005</v>
      </c>
      <c r="G15" s="14" t="n">
        <v>1E-006</v>
      </c>
      <c r="H15" s="12" t="n">
        <v>3E-005</v>
      </c>
      <c r="I15" s="15" t="n">
        <v>0.18</v>
      </c>
      <c r="J15" s="16" t="n">
        <v>0</v>
      </c>
      <c r="K15" s="17" t="n">
        <v>0</v>
      </c>
    </row>
    <row r="17" customFormat="false" ht="15" hidden="false" customHeight="false" outlineLevel="0" collapsed="false">
      <c r="A17" s="18" t="s">
        <v>29</v>
      </c>
    </row>
    <row r="18" customFormat="false" ht="15" hidden="false" customHeight="false" outlineLevel="0" collapsed="false">
      <c r="A18" s="2" t="s">
        <v>30</v>
      </c>
    </row>
    <row r="19" customFormat="false" ht="15" hidden="false" customHeight="false" outlineLevel="0" collapsed="false">
      <c r="A19" s="2" t="s">
        <v>31</v>
      </c>
    </row>
    <row r="20" customFormat="false" ht="15" hidden="false" customHeight="false" outlineLevel="0" collapsed="false">
      <c r="A20" s="2" t="s">
        <v>32</v>
      </c>
    </row>
    <row r="21" customFormat="false" ht="15" hidden="false" customHeight="false" outlineLevel="0" collapsed="false">
      <c r="A21" s="2" t="s">
        <v>33</v>
      </c>
    </row>
    <row r="22" customFormat="false" ht="1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2" t="s">
        <v>35</v>
      </c>
    </row>
    <row r="24" customFormat="false" ht="15" hidden="false" customHeight="false" outlineLevel="0" collapsed="false">
      <c r="A24" s="2" t="s">
        <v>36</v>
      </c>
    </row>
    <row r="26" customFormat="false" ht="15" hidden="false" customHeight="false" outlineLevel="0" collapsed="false">
      <c r="A26" s="18" t="s">
        <v>37</v>
      </c>
    </row>
    <row r="27" customFormat="false" ht="15" hidden="false" customHeight="false" outlineLevel="0" collapsed="false">
      <c r="A27" s="2" t="s">
        <v>38</v>
      </c>
    </row>
    <row r="28" customFormat="false" ht="15" hidden="false" customHeight="false" outlineLevel="0" collapsed="false">
      <c r="A28" s="2" t="s">
        <v>39</v>
      </c>
    </row>
    <row r="29" customFormat="false" ht="15" hidden="false" customHeight="false" outlineLevel="0" collapsed="false">
      <c r="A29" s="2" t="s">
        <v>40</v>
      </c>
    </row>
    <row r="30" customFormat="false" ht="15" hidden="false" customHeight="false" outlineLevel="0" collapsed="false">
      <c r="A30" s="2" t="s">
        <v>41</v>
      </c>
    </row>
    <row r="31" customFormat="false" ht="15" hidden="false" customHeight="false" outlineLevel="0" collapsed="false">
      <c r="A31" s="2" t="s">
        <v>42</v>
      </c>
    </row>
    <row r="32" customFormat="false" ht="15" hidden="false" customHeight="false" outlineLevel="0" collapsed="false">
      <c r="A32" s="2" t="s">
        <v>43</v>
      </c>
    </row>
    <row r="33" customFormat="false" ht="15" hidden="false" customHeight="false" outlineLevel="0" collapsed="false">
      <c r="A33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A3" s="3" t="s">
        <v>47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5" t="s">
        <v>48</v>
      </c>
      <c r="B4" s="19" t="n">
        <f aca="false">Config!$B$4</f>
        <v>1000000</v>
      </c>
    </row>
    <row r="5" customFormat="false" ht="15" hidden="false" customHeight="false" outlineLevel="0" collapsed="false">
      <c r="A5" s="5" t="s">
        <v>49</v>
      </c>
      <c r="B5" s="20" t="n">
        <f aca="false">IFERROR(MIN('Trade Log'!$H$4:$H$503),"")</f>
        <v>46251</v>
      </c>
    </row>
    <row r="6" customFormat="false" ht="15" hidden="false" customHeight="false" outlineLevel="0" collapsed="false">
      <c r="A6" s="5" t="s">
        <v>50</v>
      </c>
      <c r="B6" s="20" t="n">
        <f aca="false">IFERROR(MAX('Trade Log'!$L$4:$L$503),"")</f>
        <v>46252</v>
      </c>
    </row>
    <row r="7" customFormat="false" ht="15" hidden="false" customHeight="false" outlineLevel="0" collapsed="false">
      <c r="A7" s="5" t="s">
        <v>51</v>
      </c>
      <c r="B7" s="21" t="n">
        <f aca="false">IF(OR($B$5="",$B$6=""),"",$B$6-$B$5+1)</f>
        <v>2</v>
      </c>
    </row>
    <row r="8" customFormat="false" ht="15" hidden="false" customHeight="false" outlineLevel="0" collapsed="false">
      <c r="A8" s="5" t="s">
        <v>52</v>
      </c>
      <c r="B8" s="21" t="n">
        <f aca="false">COUNTIFS('Daily PnL'!$C$4:$C$403,"&gt;0")</f>
        <v>1</v>
      </c>
      <c r="G8" s="2" t="s">
        <v>53</v>
      </c>
    </row>
    <row r="10" customFormat="false" ht="15" hidden="false" customHeight="false" outlineLevel="0" collapsed="false">
      <c r="A10" s="3" t="s">
        <v>54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22" t="s">
        <v>55</v>
      </c>
      <c r="B11" s="23" t="n">
        <f aca="false">SUM('Trade Log'!$Q$4:$Q$503)</f>
        <v>24775.5</v>
      </c>
    </row>
    <row r="12" customFormat="false" ht="15" hidden="false" customHeight="false" outlineLevel="0" collapsed="false">
      <c r="A12" s="5" t="s">
        <v>56</v>
      </c>
      <c r="B12" s="19" t="n">
        <f aca="false">SUM('Trade Log'!$Y$4:$Y$503)</f>
        <v>856.947811965164</v>
      </c>
    </row>
    <row r="13" customFormat="false" ht="15" hidden="false" customHeight="false" outlineLevel="0" collapsed="false">
      <c r="A13" s="22" t="s">
        <v>57</v>
      </c>
      <c r="B13" s="23" t="n">
        <f aca="false">SUM('Trade Log'!$Z$4:$Z$503)</f>
        <v>23918.5521880349</v>
      </c>
      <c r="G13" s="2" t="s">
        <v>58</v>
      </c>
    </row>
    <row r="14" customFormat="false" ht="15" hidden="false" customHeight="false" outlineLevel="0" collapsed="false">
      <c r="A14" s="5" t="s">
        <v>59</v>
      </c>
      <c r="B14" s="24" t="n">
        <f aca="false">IF(Config!$B$4=0,"",$B$11/Config!$B$4)</f>
        <v>0.0247755</v>
      </c>
    </row>
    <row r="15" customFormat="false" ht="15" hidden="false" customHeight="false" outlineLevel="0" collapsed="false">
      <c r="A15" s="5" t="s">
        <v>60</v>
      </c>
      <c r="B15" s="24" t="n">
        <f aca="false">IF(Config!$B$4=0,"",$B$13/Config!$B$4)</f>
        <v>0.0239185521880349</v>
      </c>
    </row>
    <row r="16" customFormat="false" ht="15" hidden="false" customHeight="false" outlineLevel="0" collapsed="false">
      <c r="A16" s="5" t="s">
        <v>61</v>
      </c>
      <c r="B16" s="24" t="n">
        <f aca="false">IF($B$11=0,"",$B$12/$B$11)</f>
        <v>0.0345885173645401</v>
      </c>
      <c r="G16" s="2" t="s">
        <v>62</v>
      </c>
    </row>
    <row r="17" customFormat="false" ht="15" hidden="false" customHeight="false" outlineLevel="0" collapsed="false">
      <c r="A17" s="5" t="s">
        <v>63</v>
      </c>
      <c r="B17" s="19" t="n">
        <f aca="false">SUM('Trade Log'!$K$4:$K$503)+SUM('Trade Log'!$O$4:$O$503)</f>
        <v>1052896.5</v>
      </c>
    </row>
    <row r="18" customFormat="false" ht="15" hidden="false" customHeight="false" outlineLevel="0" collapsed="false">
      <c r="A18" s="5" t="s">
        <v>64</v>
      </c>
      <c r="B18" s="25" t="n">
        <f aca="false">IF($B$17=0,"",$B$12/$B$17*10000)</f>
        <v>8.13895584195754</v>
      </c>
      <c r="G18" s="2" t="s">
        <v>65</v>
      </c>
    </row>
    <row r="19" customFormat="false" ht="15" hidden="false" customHeight="false" outlineLevel="0" collapsed="false">
      <c r="A19" s="5" t="s">
        <v>66</v>
      </c>
      <c r="B19" s="24" t="n">
        <f aca="false">IF(OR($B$7="",$B$7&lt;=0,Config!$B$4=0),"",$B$13/Config!$B$4*365/$B$7)</f>
        <v>4.36513577431637</v>
      </c>
      <c r="G19" s="2" t="s">
        <v>67</v>
      </c>
    </row>
    <row r="21" customFormat="false" ht="15" hidden="false" customHeight="false" outlineLevel="0" collapsed="false">
      <c r="A21" s="3" t="s">
        <v>68</v>
      </c>
      <c r="B21" s="4"/>
      <c r="C21" s="4"/>
      <c r="D21" s="4"/>
      <c r="E21" s="4"/>
      <c r="F21" s="4"/>
      <c r="G21" s="4"/>
    </row>
    <row r="22" customFormat="false" ht="19.5" hidden="false" customHeight="true" outlineLevel="0" collapsed="false">
      <c r="A22" s="10"/>
      <c r="B22" s="10" t="s">
        <v>55</v>
      </c>
      <c r="C22" s="10" t="s">
        <v>69</v>
      </c>
      <c r="D22" s="10" t="s">
        <v>57</v>
      </c>
      <c r="E22" s="10" t="s">
        <v>70</v>
      </c>
      <c r="F22" s="10" t="s">
        <v>71</v>
      </c>
      <c r="G22" s="10" t="s">
        <v>72</v>
      </c>
    </row>
    <row r="23" customFormat="false" ht="15" hidden="false" customHeight="false" outlineLevel="0" collapsed="false">
      <c r="A23" s="22" t="s">
        <v>73</v>
      </c>
      <c r="B23" s="19" t="n">
        <f aca="false">SUMIF('Trade Log'!$E$4:$E$503,$A23,'Trade Log'!$Q$4:$Q$503)</f>
        <v>19546.5</v>
      </c>
      <c r="C23" s="19" t="n">
        <f aca="false">SUMIF('Trade Log'!$E$4:$E$503,$A23,'Trade Log'!$Y$4:$Y$503)</f>
        <v>715.137194783164</v>
      </c>
      <c r="D23" s="19" t="n">
        <f aca="false">SUMIF('Trade Log'!$E$4:$E$503,$A23,'Trade Log'!$Z$4:$Z$503)</f>
        <v>18831.3628052169</v>
      </c>
      <c r="E23" s="21" t="n">
        <f aca="false">COUNTIFS('Trade Log'!$E$4:$E$503,$A23,'Trade Log'!$Z$4:$Z$503,"&lt;&gt;")</f>
        <v>1</v>
      </c>
      <c r="F23" s="19" t="n">
        <f aca="false">IF($E23=0,"",$D23/$E23)</f>
        <v>18831.3628052169</v>
      </c>
      <c r="G23" s="26" t="n">
        <f aca="false">IF($E23=0,"",COUNTIFS('Trade Log'!$E$4:$E$503,$A23,'Trade Log'!$Z$4:$Z$503,"&gt;0")/$E23)</f>
        <v>1</v>
      </c>
    </row>
    <row r="24" customFormat="false" ht="15" hidden="false" customHeight="false" outlineLevel="0" collapsed="false">
      <c r="A24" s="22" t="s">
        <v>74</v>
      </c>
      <c r="B24" s="19" t="n">
        <f aca="false">SUMIF('Trade Log'!$E$4:$E$503,$A24,'Trade Log'!$Q$4:$Q$503)</f>
        <v>5229.00000000002</v>
      </c>
      <c r="C24" s="19" t="n">
        <f aca="false">SUMIF('Trade Log'!$E$4:$E$503,$A24,'Trade Log'!$Y$4:$Y$503)</f>
        <v>141.810617182</v>
      </c>
      <c r="D24" s="19" t="n">
        <f aca="false">SUMIF('Trade Log'!$E$4:$E$503,$A24,'Trade Log'!$Z$4:$Z$503)</f>
        <v>5087.18938281802</v>
      </c>
      <c r="E24" s="21" t="n">
        <f aca="false">COUNTIFS('Trade Log'!$E$4:$E$503,$A24,'Trade Log'!$Z$4:$Z$503,"&lt;&gt;")</f>
        <v>1</v>
      </c>
      <c r="F24" s="19" t="n">
        <f aca="false">IF($E24=0,"",$D24/$E24)</f>
        <v>5087.18938281802</v>
      </c>
      <c r="G24" s="26" t="n">
        <f aca="false">IF($E24=0,"",COUNTIFS('Trade Log'!$E$4:$E$503,$A24,'Trade Log'!$Z$4:$Z$503,"&gt;0")/$E24)</f>
        <v>1</v>
      </c>
    </row>
    <row r="25" customFormat="false" ht="15" hidden="false" customHeight="false" outlineLevel="0" collapsed="false">
      <c r="A25" s="22" t="s">
        <v>75</v>
      </c>
      <c r="B25" s="23" t="n">
        <f aca="false">SUM(B23:B24)</f>
        <v>24775.5</v>
      </c>
      <c r="C25" s="23" t="n">
        <f aca="false">SUM(C23:C24)</f>
        <v>856.947811965164</v>
      </c>
      <c r="D25" s="23" t="n">
        <f aca="false">SUM(D23:D24)</f>
        <v>23918.5521880349</v>
      </c>
      <c r="E25" s="27" t="n">
        <f aca="false">SUM(E23:E24)</f>
        <v>2</v>
      </c>
      <c r="F25" s="23" t="n">
        <f aca="false">IF($E$25=0,"",$D$25/$E$25)</f>
        <v>11959.2760940174</v>
      </c>
    </row>
    <row r="26" customFormat="false" ht="15" hidden="false" customHeight="false" outlineLevel="0" collapsed="false">
      <c r="A26" s="2" t="s">
        <v>76</v>
      </c>
    </row>
    <row r="28" customFormat="false" ht="15" hidden="false" customHeight="false" outlineLevel="0" collapsed="false">
      <c r="A28" s="3" t="s">
        <v>77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2" t="s">
        <v>78</v>
      </c>
    </row>
    <row r="30" customFormat="false" ht="15" hidden="false" customHeight="false" outlineLevel="0" collapsed="false">
      <c r="A30" s="5" t="s">
        <v>79</v>
      </c>
      <c r="B30" s="21" t="n">
        <f aca="false">COUNT('Trade Log'!$AF$4:$AF$503)</f>
        <v>1</v>
      </c>
    </row>
    <row r="31" customFormat="false" ht="15" hidden="false" customHeight="false" outlineLevel="0" collapsed="false">
      <c r="A31" s="5" t="s">
        <v>80</v>
      </c>
      <c r="B31" s="19" t="n">
        <f aca="false">SUM('Trade Log'!$AF$4:$AF$503)</f>
        <v>23918.5521880349</v>
      </c>
    </row>
    <row r="32" customFormat="false" ht="15" hidden="false" customHeight="false" outlineLevel="0" collapsed="false">
      <c r="A32" s="5" t="s">
        <v>81</v>
      </c>
      <c r="B32" s="19" t="n">
        <f aca="false">IFERROR($B$31/$B$30,"")</f>
        <v>23918.5521880349</v>
      </c>
    </row>
    <row r="33" customFormat="false" ht="15" hidden="false" customHeight="false" outlineLevel="0" collapsed="false">
      <c r="A33" s="5" t="s">
        <v>82</v>
      </c>
      <c r="B33" s="26" t="n">
        <f aca="false">IFERROR(COUNTIF('Trade Log'!$AF$4:$AF$503,"&gt;0")/$B$30,"")</f>
        <v>1</v>
      </c>
    </row>
    <row r="34" customFormat="false" ht="15" hidden="false" customHeight="false" outlineLevel="0" collapsed="false">
      <c r="A34" s="5" t="s">
        <v>83</v>
      </c>
      <c r="B34" s="19" t="n">
        <f aca="false">IFERROR(MAX('Trade Log'!$AF$4:$AF$503),"")</f>
        <v>23918.5521880349</v>
      </c>
    </row>
    <row r="35" customFormat="false" ht="15" hidden="false" customHeight="false" outlineLevel="0" collapsed="false">
      <c r="A35" s="5" t="s">
        <v>84</v>
      </c>
      <c r="B35" s="19" t="n">
        <f aca="false">IFERROR(MIN('Trade Log'!$AF$4:$AF$503),"")</f>
        <v>23918.5521880349</v>
      </c>
    </row>
    <row r="36" customFormat="false" ht="15" hidden="false" customHeight="false" outlineLevel="0" collapsed="false">
      <c r="A36" s="5" t="s">
        <v>85</v>
      </c>
      <c r="B36" s="28" t="str">
        <f aca="false">IFERROR(SUMIF('Trade Log'!$AF$4:$AF$503,"&gt;0")/ABS(SUMIF('Trade Log'!$AF$4:$AF$503,"&lt;0")),"")</f>
        <v/>
      </c>
    </row>
    <row r="38" customFormat="false" ht="15" hidden="false" customHeight="false" outlineLevel="0" collapsed="false">
      <c r="A38" s="3" t="s">
        <v>86</v>
      </c>
      <c r="B38" s="4"/>
      <c r="C38" s="4"/>
      <c r="D38" s="4"/>
      <c r="E38" s="4"/>
      <c r="F38" s="4"/>
      <c r="G38" s="4"/>
    </row>
    <row r="39" customFormat="false" ht="19.5" hidden="false" customHeight="true" outlineLevel="0" collapsed="false">
      <c r="A39" s="10" t="s">
        <v>87</v>
      </c>
      <c r="B39" s="10" t="s">
        <v>88</v>
      </c>
      <c r="C39" s="10" t="s">
        <v>89</v>
      </c>
      <c r="D39" s="10" t="s">
        <v>90</v>
      </c>
    </row>
    <row r="40" customFormat="false" ht="15" hidden="false" customHeight="false" outlineLevel="0" collapsed="false">
      <c r="A40" s="11" t="s">
        <v>91</v>
      </c>
      <c r="B40" s="29" t="n">
        <f aca="false">SUM('Trade Log'!$S$4:$S$503)</f>
        <v>80</v>
      </c>
      <c r="C40" s="25" t="n">
        <f aca="false">IF($B$17=0,"",$B40/$B$17*10000)</f>
        <v>0.75980877512652</v>
      </c>
      <c r="D40" s="26" t="n">
        <f aca="false">IF($B$12=0,"",$B40/$B$12)</f>
        <v>0.0933545764199373</v>
      </c>
    </row>
    <row r="41" customFormat="false" ht="15" hidden="false" customHeight="false" outlineLevel="0" collapsed="false">
      <c r="A41" s="11" t="s">
        <v>92</v>
      </c>
      <c r="B41" s="29" t="n">
        <f aca="false">SUM('Trade Log'!$T$4:$T$503)</f>
        <v>586.644</v>
      </c>
      <c r="C41" s="25" t="n">
        <f aca="false">IF($B$17=0,"",$B41/$B$17*10000)</f>
        <v>5.57171573844153</v>
      </c>
      <c r="D41" s="26" t="n">
        <f aca="false">IF($B$12=0,"",$B41/$B$12)</f>
        <v>0.684573776616221</v>
      </c>
    </row>
    <row r="42" customFormat="false" ht="15" hidden="false" customHeight="false" outlineLevel="0" collapsed="false">
      <c r="A42" s="11" t="s">
        <v>93</v>
      </c>
      <c r="B42" s="29" t="n">
        <f aca="false">SUM('Trade Log'!$U$4:$U$503)</f>
        <v>31.27102605</v>
      </c>
      <c r="C42" s="25" t="n">
        <f aca="false">IF($B$17=0,"",$B42/$B$17*10000)</f>
        <v>0.297</v>
      </c>
      <c r="D42" s="26" t="n">
        <f aca="false">IF($B$12=0,"",$B42/$B$12)</f>
        <v>0.0364911673889322</v>
      </c>
    </row>
    <row r="43" customFormat="false" ht="15" hidden="false" customHeight="false" outlineLevel="0" collapsed="false">
      <c r="A43" s="11" t="s">
        <v>94</v>
      </c>
      <c r="B43" s="29" t="n">
        <f aca="false">SUM('Trade Log'!$V$4:$V$503)</f>
        <v>61.7992915</v>
      </c>
      <c r="C43" s="25" t="n">
        <f aca="false">IF($B$17=0,"",$B43/$B$17*10000)</f>
        <v>0.586945549728772</v>
      </c>
      <c r="D43" s="26" t="n">
        <f aca="false">IF($B$12=0,"",$B43/$B$12)</f>
        <v>0.0721155835129342</v>
      </c>
    </row>
    <row r="44" customFormat="false" ht="15" hidden="false" customHeight="false" outlineLevel="0" collapsed="false">
      <c r="A44" s="11" t="s">
        <v>95</v>
      </c>
      <c r="B44" s="29" t="n">
        <f aca="false">SUM('Trade Log'!$W$4:$W$503)</f>
        <v>20.218306059</v>
      </c>
      <c r="C44" s="25" t="n">
        <f aca="false">IF($B$17=0,"",$B44/$B$17*10000)</f>
        <v>0.192025579522774</v>
      </c>
      <c r="D44" s="26" t="n">
        <f aca="false">IF($B$12=0,"",$B44/$B$12)</f>
        <v>0.0235933924758325</v>
      </c>
    </row>
    <row r="45" customFormat="false" ht="15" hidden="false" customHeight="false" outlineLevel="0" collapsed="false">
      <c r="A45" s="11" t="s">
        <v>96</v>
      </c>
      <c r="B45" s="29" t="n">
        <f aca="false">SUM('Trade Log'!$X$4:$X$503)</f>
        <v>77.0151883561644</v>
      </c>
      <c r="C45" s="25" t="n">
        <f aca="false">IF($B$17=0,"",$B45/$B$17*10000)</f>
        <v>0.731460199137944</v>
      </c>
      <c r="D45" s="26" t="n">
        <f aca="false">IF($B$12=0,"",$B45/$B$12)</f>
        <v>0.0898715035861427</v>
      </c>
    </row>
    <row r="46" customFormat="false" ht="15" hidden="false" customHeight="false" outlineLevel="0" collapsed="false">
      <c r="A46" s="22" t="s">
        <v>75</v>
      </c>
      <c r="B46" s="30" t="n">
        <f aca="false">SUM(B40:B45)</f>
        <v>856.947811965164</v>
      </c>
      <c r="C46" s="31" t="n">
        <f aca="false">SUM(C40:C45)</f>
        <v>8.13895584195754</v>
      </c>
      <c r="D46" s="32" t="n">
        <f aca="false">SUM(D40:D45)</f>
        <v>1</v>
      </c>
    </row>
    <row r="47" customFormat="false" ht="15" hidden="false" customHeight="false" outlineLevel="0" collapsed="false">
      <c r="A47" s="2" t="s">
        <v>97</v>
      </c>
    </row>
    <row r="49" customFormat="false" ht="15" hidden="false" customHeight="false" outlineLevel="0" collapsed="false">
      <c r="A49" s="3" t="s">
        <v>98</v>
      </c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5" t="s">
        <v>99</v>
      </c>
      <c r="B50" s="21" t="n">
        <f aca="false">COUNTA('Trade Log'!$D$4:$D$503)</f>
        <v>2</v>
      </c>
    </row>
    <row r="51" customFormat="false" ht="15" hidden="false" customHeight="false" outlineLevel="0" collapsed="false">
      <c r="A51" s="5" t="s">
        <v>100</v>
      </c>
      <c r="B51" s="21" t="n">
        <f aca="false">COUNT('Trade Log'!$Z$4:$Z$503)</f>
        <v>2</v>
      </c>
    </row>
    <row r="52" customFormat="false" ht="15" hidden="false" customHeight="false" outlineLevel="0" collapsed="false">
      <c r="A52" s="5" t="s">
        <v>101</v>
      </c>
      <c r="B52" s="21" t="n">
        <f aca="false">IF(OR($B$50="",$B$51=""),"",$B$50-$B$51)</f>
        <v>0</v>
      </c>
    </row>
    <row r="53" customFormat="false" ht="15" hidden="false" customHeight="false" outlineLevel="0" collapsed="false">
      <c r="A53" s="5" t="s">
        <v>102</v>
      </c>
      <c r="B53" s="26" t="n">
        <f aca="false">IFERROR(COUNTIF('Trade Log'!$Q$4:$Q$503,"&gt;0")/COUNT('Trade Log'!$Q$4:$Q$503),"")</f>
        <v>1</v>
      </c>
    </row>
    <row r="54" customFormat="false" ht="15" hidden="false" customHeight="false" outlineLevel="0" collapsed="false">
      <c r="A54" s="5" t="s">
        <v>103</v>
      </c>
      <c r="B54" s="26" t="n">
        <f aca="false">IFERROR(COUNTIF('Trade Log'!$Z$4:$Z$503,"&gt;0")/COUNT('Trade Log'!$Z$4:$Z$503),"")</f>
        <v>1</v>
      </c>
      <c r="G54" s="2" t="s">
        <v>104</v>
      </c>
    </row>
    <row r="55" customFormat="false" ht="15" hidden="false" customHeight="false" outlineLevel="0" collapsed="false">
      <c r="A55" s="5" t="s">
        <v>105</v>
      </c>
      <c r="B55" s="19" t="n">
        <f aca="false">IFERROR(AVERAGEIF('Trade Log'!$Z$4:$Z$503,"&gt;0"),"")</f>
        <v>11959.2760940174</v>
      </c>
    </row>
    <row r="56" customFormat="false" ht="15" hidden="false" customHeight="false" outlineLevel="0" collapsed="false">
      <c r="A56" s="5" t="s">
        <v>106</v>
      </c>
      <c r="B56" s="19" t="str">
        <f aca="false">IFERROR(AVERAGEIF('Trade Log'!$Z$4:$Z$503,"&lt;0"),"")</f>
        <v/>
      </c>
    </row>
    <row r="57" customFormat="false" ht="15" hidden="false" customHeight="false" outlineLevel="0" collapsed="false">
      <c r="A57" s="5" t="s">
        <v>107</v>
      </c>
      <c r="B57" s="28" t="str">
        <f aca="false">IFERROR($B$55/ABS($B$56),"")</f>
        <v/>
      </c>
    </row>
    <row r="58" customFormat="false" ht="15" hidden="false" customHeight="false" outlineLevel="0" collapsed="false">
      <c r="A58" s="5" t="s">
        <v>108</v>
      </c>
      <c r="B58" s="19" t="n">
        <f aca="false">IFERROR($B$13/$B$51,"")</f>
        <v>11959.2760940174</v>
      </c>
    </row>
    <row r="59" customFormat="false" ht="15" hidden="false" customHeight="false" outlineLevel="0" collapsed="false">
      <c r="A59" s="5" t="s">
        <v>109</v>
      </c>
      <c r="B59" s="28" t="str">
        <f aca="false">IFERROR(SUMIF('Trade Log'!$Z$4:$Z$503,"&gt;0")/ABS(SUMIF('Trade Log'!$Z$4:$Z$503,"&lt;0")),"")</f>
        <v/>
      </c>
    </row>
    <row r="60" customFormat="false" ht="15" hidden="false" customHeight="false" outlineLevel="0" collapsed="false">
      <c r="A60" s="5" t="s">
        <v>110</v>
      </c>
      <c r="B60" s="19" t="n">
        <f aca="false">IFERROR(MAX('Trade Log'!$Z$4:$Z$503),"")</f>
        <v>18831.3628052169</v>
      </c>
    </row>
    <row r="61" customFormat="false" ht="15" hidden="false" customHeight="false" outlineLevel="0" collapsed="false">
      <c r="A61" s="5" t="s">
        <v>111</v>
      </c>
      <c r="B61" s="19" t="n">
        <f aca="false">IFERROR(MIN('Trade Log'!$Z$4:$Z$503),"")</f>
        <v>5087.18938281802</v>
      </c>
    </row>
    <row r="62" customFormat="false" ht="15" hidden="false" customHeight="false" outlineLevel="0" collapsed="false">
      <c r="A62" s="5" t="s">
        <v>112</v>
      </c>
      <c r="B62" s="33" t="n">
        <f aca="false">IFERROR(AVERAGE('Trade Log'!$P$4:$P$503),"")</f>
        <v>0.5</v>
      </c>
    </row>
    <row r="63" customFormat="false" ht="15" hidden="false" customHeight="false" outlineLevel="0" collapsed="false">
      <c r="A63" s="5" t="s">
        <v>113</v>
      </c>
      <c r="B63" s="19" t="n">
        <f aca="false">IFERROR(AVERAGE('Trade Log'!$K$4:$K$503),"")</f>
        <v>259644.75</v>
      </c>
    </row>
    <row r="64" customFormat="false" ht="15" hidden="false" customHeight="false" outlineLevel="0" collapsed="false">
      <c r="A64" s="5" t="s">
        <v>114</v>
      </c>
      <c r="B64" s="33" t="n">
        <f aca="false">IFERROR($B$51/$B$8,"")</f>
        <v>2</v>
      </c>
    </row>
    <row r="66" customFormat="false" ht="15" hidden="false" customHeight="false" outlineLevel="0" collapsed="false">
      <c r="A66" s="3" t="s">
        <v>115</v>
      </c>
      <c r="B66" s="4"/>
      <c r="C66" s="4"/>
      <c r="D66" s="4"/>
      <c r="E66" s="4"/>
      <c r="F66" s="4"/>
      <c r="G66" s="4"/>
    </row>
    <row r="67" customFormat="false" ht="15" hidden="false" customHeight="false" outlineLevel="0" collapsed="false">
      <c r="A67" s="5" t="s">
        <v>116</v>
      </c>
      <c r="B67" s="19" t="n">
        <f aca="false">IFERROR(AVERAGE('Daily PnL'!$H$4:$H$403),"")</f>
        <v>23918.5521880349</v>
      </c>
      <c r="G67" s="2" t="s">
        <v>117</v>
      </c>
    </row>
    <row r="68" customFormat="false" ht="15" hidden="false" customHeight="false" outlineLevel="0" collapsed="false">
      <c r="A68" s="5" t="s">
        <v>118</v>
      </c>
      <c r="B68" s="19" t="str">
        <f aca="false">IFERROR(STDEV('Daily PnL'!$H$4:$H$403),"")</f>
        <v/>
      </c>
    </row>
    <row r="69" customFormat="false" ht="15" hidden="false" customHeight="false" outlineLevel="0" collapsed="false">
      <c r="A69" s="5" t="s">
        <v>119</v>
      </c>
      <c r="B69" s="24" t="n">
        <f aca="false">IFERROR(AVERAGE('Daily PnL'!$O$4:$O$403),"")</f>
        <v>0.0239185521880349</v>
      </c>
    </row>
    <row r="70" customFormat="false" ht="15" hidden="false" customHeight="false" outlineLevel="0" collapsed="false">
      <c r="A70" s="5" t="s">
        <v>120</v>
      </c>
      <c r="B70" s="24" t="str">
        <f aca="false">IFERROR(STDEV('Daily PnL'!$O$4:$O$403),"")</f>
        <v/>
      </c>
    </row>
    <row r="71" customFormat="false" ht="15" hidden="false" customHeight="false" outlineLevel="0" collapsed="false">
      <c r="A71" s="5" t="s">
        <v>121</v>
      </c>
      <c r="B71" s="33" t="str">
        <f aca="false">IFERROR(($B$69-Config!$B$7/Config!$B$6)/$B$70*SQRT(Config!$B$6),"")</f>
        <v/>
      </c>
      <c r="G71" s="2" t="s">
        <v>122</v>
      </c>
    </row>
    <row r="72" customFormat="false" ht="15" hidden="false" customHeight="false" outlineLevel="0" collapsed="false">
      <c r="A72" s="5" t="s">
        <v>123</v>
      </c>
      <c r="B72" s="33" t="str">
        <f aca="false">'Distribution &amp; Risk'!$B$24</f>
        <v/>
      </c>
    </row>
    <row r="73" customFormat="false" ht="15" hidden="false" customHeight="false" outlineLevel="0" collapsed="false">
      <c r="A73" s="5" t="s">
        <v>124</v>
      </c>
      <c r="B73" s="19" t="n">
        <f aca="false">IFERROR(MAX('Daily PnL'!$H$4:$H$403),"")</f>
        <v>23918.5521880349</v>
      </c>
    </row>
    <row r="74" customFormat="false" ht="15" hidden="false" customHeight="false" outlineLevel="0" collapsed="false">
      <c r="A74" s="5" t="s">
        <v>125</v>
      </c>
      <c r="B74" s="19" t="n">
        <f aca="false">IFERROR(MIN('Daily PnL'!$H$4:$H$403),"")</f>
        <v>23918.5521880349</v>
      </c>
    </row>
    <row r="75" customFormat="false" ht="15" hidden="false" customHeight="false" outlineLevel="0" collapsed="false">
      <c r="A75" s="5" t="s">
        <v>126</v>
      </c>
      <c r="B75" s="26" t="n">
        <f aca="false">IFERROR(COUNTIF('Daily PnL'!$H$4:$H$403,"&gt;0")/COUNT('Daily PnL'!$H$4:$H$403),"")</f>
        <v>1</v>
      </c>
    </row>
    <row r="76" customFormat="false" ht="15" hidden="false" customHeight="false" outlineLevel="0" collapsed="false">
      <c r="A76" s="5" t="s">
        <v>127</v>
      </c>
      <c r="B76" s="21" t="n">
        <f aca="false">IFERROR(MAX('Daily PnL'!$S$4:$S$403),"")</f>
        <v>1</v>
      </c>
    </row>
    <row r="77" customFormat="false" ht="15" hidden="false" customHeight="false" outlineLevel="0" collapsed="false">
      <c r="A77" s="5" t="s">
        <v>128</v>
      </c>
      <c r="B77" s="21" t="n">
        <f aca="false">IFERROR(MAX('Daily PnL'!$T$4:$T$403),"")</f>
        <v>0</v>
      </c>
    </row>
    <row r="78" customFormat="false" ht="15" hidden="false" customHeight="false" outlineLevel="0" collapsed="false">
      <c r="A78" s="5" t="s">
        <v>129</v>
      </c>
      <c r="B78" s="19" t="n">
        <f aca="false">IFERROR(MIN('Daily PnL'!$L$4:$L$403),"")</f>
        <v>0</v>
      </c>
    </row>
    <row r="79" customFormat="false" ht="15" hidden="false" customHeight="false" outlineLevel="0" collapsed="false">
      <c r="A79" s="5" t="s">
        <v>130</v>
      </c>
      <c r="B79" s="24" t="n">
        <f aca="false">IFERROR(MIN('Daily PnL'!$M$4:$M$403),"")</f>
        <v>0</v>
      </c>
    </row>
    <row r="80" customFormat="false" ht="15" hidden="false" customHeight="false" outlineLevel="0" collapsed="false">
      <c r="A80" s="5" t="s">
        <v>131</v>
      </c>
      <c r="B80" s="28" t="str">
        <f aca="false">IFERROR($B$13/ABS($B$78),"")</f>
        <v/>
      </c>
    </row>
    <row r="81" customFormat="false" ht="15" hidden="false" customHeight="false" outlineLevel="0" collapsed="false">
      <c r="A81" s="5" t="s">
        <v>132</v>
      </c>
      <c r="B81" s="24" t="n">
        <f aca="false">IFERROR(INDEX('Daily PnL'!$M$4:$M$403,MATCH($B$6,'Daily PnL'!$A$4:$A$403,0)),"")</f>
        <v>0</v>
      </c>
    </row>
    <row r="82" customFormat="false" ht="15" hidden="false" customHeight="false" outlineLevel="0" collapsed="false">
      <c r="A82" s="5" t="s">
        <v>133</v>
      </c>
      <c r="B82" s="19" t="n">
        <f aca="false">IFERROR(MAX('Daily PnL'!$N$4:$N$403),"")</f>
        <v>269418</v>
      </c>
      <c r="G82" s="2" t="s">
        <v>134</v>
      </c>
    </row>
    <row r="84" customFormat="false" ht="15" hidden="false" customHeight="false" outlineLevel="0" collapsed="false">
      <c r="A84" s="3" t="s">
        <v>135</v>
      </c>
      <c r="B84" s="4"/>
      <c r="C84" s="4"/>
      <c r="D84" s="4"/>
      <c r="E84" s="4"/>
      <c r="F84" s="4"/>
      <c r="G84" s="4"/>
    </row>
    <row r="85" customFormat="false" ht="19.5" hidden="false" customHeight="true" outlineLevel="0" collapsed="false">
      <c r="A85" s="10" t="s">
        <v>136</v>
      </c>
      <c r="B85" s="10" t="s">
        <v>70</v>
      </c>
      <c r="C85" s="10" t="s">
        <v>55</v>
      </c>
      <c r="D85" s="10" t="s">
        <v>57</v>
      </c>
      <c r="E85" s="10" t="s">
        <v>71</v>
      </c>
      <c r="F85" s="10" t="s">
        <v>137</v>
      </c>
      <c r="G85" s="10" t="s">
        <v>72</v>
      </c>
    </row>
    <row r="86" customFormat="false" ht="15" hidden="false" customHeight="false" outlineLevel="0" collapsed="false">
      <c r="A86" s="5" t="s">
        <v>138</v>
      </c>
      <c r="B86" s="21" t="n">
        <f aca="false">COUNTIF('Trade Log'!$M$4:$M$503,$A86)</f>
        <v>0</v>
      </c>
      <c r="C86" s="19" t="n">
        <f aca="false">SUMIF('Trade Log'!$M$4:$M$503,$A86,'Trade Log'!$Q$4:$Q$503)</f>
        <v>0</v>
      </c>
      <c r="D86" s="19" t="n">
        <f aca="false">SUMIF('Trade Log'!$M$4:$M$503,$A86,'Trade Log'!$Z$4:$Z$503)</f>
        <v>0</v>
      </c>
      <c r="E86" s="19" t="str">
        <f aca="false">IF($B86=0,"",$D86/$B86)</f>
        <v/>
      </c>
      <c r="F86" s="26" t="n">
        <f aca="false">IF($B$13=0,"",$D86/$B$13)</f>
        <v>0</v>
      </c>
      <c r="G86" s="26" t="str">
        <f aca="false">IF($B86=0,"",COUNTIFS('Trade Log'!$M$4:$M$503,$A86,'Trade Log'!$Z$4:$Z$503,"&gt;0")/$B86)</f>
        <v/>
      </c>
    </row>
    <row r="87" customFormat="false" ht="15" hidden="false" customHeight="false" outlineLevel="0" collapsed="false">
      <c r="A87" s="5" t="s">
        <v>139</v>
      </c>
      <c r="B87" s="21" t="n">
        <f aca="false">COUNTIF('Trade Log'!$M$4:$M$503,$A87)</f>
        <v>1</v>
      </c>
      <c r="C87" s="19" t="n">
        <f aca="false">SUMIF('Trade Log'!$M$4:$M$503,$A87,'Trade Log'!$Q$4:$Q$503)</f>
        <v>19546.5</v>
      </c>
      <c r="D87" s="19" t="n">
        <f aca="false">SUMIF('Trade Log'!$M$4:$M$503,$A87,'Trade Log'!$Z$4:$Z$503)</f>
        <v>18831.3628052169</v>
      </c>
      <c r="E87" s="19" t="n">
        <f aca="false">IF($B87=0,"",$D87/$B87)</f>
        <v>18831.3628052169</v>
      </c>
      <c r="F87" s="26" t="n">
        <f aca="false">IF($B$13=0,"",$D87/$B$13)</f>
        <v>0.787311985155905</v>
      </c>
      <c r="G87" s="26" t="n">
        <f aca="false">IF($B87=0,"",COUNTIFS('Trade Log'!$M$4:$M$503,$A87,'Trade Log'!$Z$4:$Z$503,"&gt;0")/$B87)</f>
        <v>1</v>
      </c>
    </row>
    <row r="88" customFormat="false" ht="15" hidden="false" customHeight="false" outlineLevel="0" collapsed="false">
      <c r="A88" s="5" t="s">
        <v>140</v>
      </c>
      <c r="B88" s="21" t="n">
        <f aca="false">COUNTIF('Trade Log'!$M$4:$M$503,$A88)</f>
        <v>0</v>
      </c>
      <c r="C88" s="19" t="n">
        <f aca="false">SUMIF('Trade Log'!$M$4:$M$503,$A88,'Trade Log'!$Q$4:$Q$503)</f>
        <v>0</v>
      </c>
      <c r="D88" s="19" t="n">
        <f aca="false">SUMIF('Trade Log'!$M$4:$M$503,$A88,'Trade Log'!$Z$4:$Z$503)</f>
        <v>0</v>
      </c>
      <c r="E88" s="19" t="str">
        <f aca="false">IF($B88=0,"",$D88/$B88)</f>
        <v/>
      </c>
      <c r="F88" s="26" t="n">
        <f aca="false">IF($B$13=0,"",$D88/$B$13)</f>
        <v>0</v>
      </c>
      <c r="G88" s="26" t="str">
        <f aca="false">IF($B88=0,"",COUNTIFS('Trade Log'!$M$4:$M$503,$A88,'Trade Log'!$Z$4:$Z$503,"&gt;0")/$B88)</f>
        <v/>
      </c>
    </row>
    <row r="89" customFormat="false" ht="15" hidden="false" customHeight="false" outlineLevel="0" collapsed="false">
      <c r="A89" s="5" t="s">
        <v>141</v>
      </c>
      <c r="B89" s="21" t="n">
        <f aca="false">COUNTIF('Trade Log'!$M$4:$M$503,$A89)</f>
        <v>0</v>
      </c>
      <c r="C89" s="19" t="n">
        <f aca="false">SUMIF('Trade Log'!$M$4:$M$503,$A89,'Trade Log'!$Q$4:$Q$503)</f>
        <v>0</v>
      </c>
      <c r="D89" s="19" t="n">
        <f aca="false">SUMIF('Trade Log'!$M$4:$M$503,$A89,'Trade Log'!$Z$4:$Z$503)</f>
        <v>0</v>
      </c>
      <c r="E89" s="19" t="str">
        <f aca="false">IF($B89=0,"",$D89/$B89)</f>
        <v/>
      </c>
      <c r="F89" s="26" t="n">
        <f aca="false">IF($B$13=0,"",$D89/$B$13)</f>
        <v>0</v>
      </c>
      <c r="G89" s="26" t="str">
        <f aca="false">IF($B89=0,"",COUNTIFS('Trade Log'!$M$4:$M$503,$A89,'Trade Log'!$Z$4:$Z$503,"&gt;0")/$B89)</f>
        <v/>
      </c>
    </row>
    <row r="90" customFormat="false" ht="15" hidden="false" customHeight="false" outlineLevel="0" collapsed="false">
      <c r="A90" s="5" t="s">
        <v>142</v>
      </c>
      <c r="B90" s="21" t="n">
        <f aca="false">COUNTIF('Trade Log'!$M$4:$M$503,$A90)</f>
        <v>0</v>
      </c>
      <c r="C90" s="19" t="n">
        <f aca="false">SUMIF('Trade Log'!$M$4:$M$503,$A90,'Trade Log'!$Q$4:$Q$503)</f>
        <v>0</v>
      </c>
      <c r="D90" s="19" t="n">
        <f aca="false">SUMIF('Trade Log'!$M$4:$M$503,$A90,'Trade Log'!$Z$4:$Z$503)</f>
        <v>0</v>
      </c>
      <c r="E90" s="19" t="str">
        <f aca="false">IF($B90=0,"",$D90/$B90)</f>
        <v/>
      </c>
      <c r="F90" s="26" t="n">
        <f aca="false">IF($B$13=0,"",$D90/$B$13)</f>
        <v>0</v>
      </c>
      <c r="G90" s="26" t="str">
        <f aca="false">IF($B90=0,"",COUNTIFS('Trade Log'!$M$4:$M$503,$A90,'Trade Log'!$Z$4:$Z$503,"&gt;0")/$B90)</f>
        <v/>
      </c>
    </row>
    <row r="91" customFormat="false" ht="15" hidden="false" customHeight="false" outlineLevel="0" collapsed="false">
      <c r="A91" s="5" t="s">
        <v>143</v>
      </c>
      <c r="B91" s="21" t="n">
        <f aca="false">COUNTIF('Trade Log'!$M$4:$M$503,$A91)</f>
        <v>0</v>
      </c>
      <c r="C91" s="19" t="n">
        <f aca="false">SUMIF('Trade Log'!$M$4:$M$503,$A91,'Trade Log'!$Q$4:$Q$503)</f>
        <v>0</v>
      </c>
      <c r="D91" s="19" t="n">
        <f aca="false">SUMIF('Trade Log'!$M$4:$M$503,$A91,'Trade Log'!$Z$4:$Z$503)</f>
        <v>0</v>
      </c>
      <c r="E91" s="19" t="str">
        <f aca="false">IF($B91=0,"",$D91/$B91)</f>
        <v/>
      </c>
      <c r="F91" s="26" t="n">
        <f aca="false">IF($B$13=0,"",$D91/$B$13)</f>
        <v>0</v>
      </c>
      <c r="G91" s="26" t="str">
        <f aca="false">IF($B91=0,"",COUNTIFS('Trade Log'!$M$4:$M$503,$A91,'Trade Log'!$Z$4:$Z$503,"&gt;0")/$B91)</f>
        <v/>
      </c>
    </row>
    <row r="92" customFormat="false" ht="15" hidden="false" customHeight="false" outlineLevel="0" collapsed="false">
      <c r="A92" s="5" t="s">
        <v>144</v>
      </c>
      <c r="B92" s="21" t="n">
        <f aca="false">COUNTIF('Trade Log'!$M$4:$M$503,$A92)</f>
        <v>1</v>
      </c>
      <c r="C92" s="19" t="n">
        <f aca="false">SUMIF('Trade Log'!$M$4:$M$503,$A92,'Trade Log'!$Q$4:$Q$503)</f>
        <v>5229.00000000002</v>
      </c>
      <c r="D92" s="19" t="n">
        <f aca="false">SUMIF('Trade Log'!$M$4:$M$503,$A92,'Trade Log'!$Z$4:$Z$503)</f>
        <v>5087.18938281802</v>
      </c>
      <c r="E92" s="19" t="n">
        <f aca="false">IF($B92=0,"",$D92/$B92)</f>
        <v>5087.18938281802</v>
      </c>
      <c r="F92" s="26" t="n">
        <f aca="false">IF($B$13=0,"",$D92/$B$13)</f>
        <v>0.212688014844095</v>
      </c>
      <c r="G92" s="26" t="n">
        <f aca="false">IF($B92=0,"",COUNTIFS('Trade Log'!$M$4:$M$503,$A92,'Trade Log'!$Z$4:$Z$503,"&gt;0")/$B92)</f>
        <v>1</v>
      </c>
    </row>
    <row r="93" customFormat="false" ht="15" hidden="false" customHeight="false" outlineLevel="0" collapsed="false">
      <c r="A93" s="5" t="s">
        <v>145</v>
      </c>
      <c r="B93" s="21" t="n">
        <f aca="false">COUNTIF('Trade Log'!$M$4:$M$503,$A93)</f>
        <v>0</v>
      </c>
      <c r="C93" s="19" t="n">
        <f aca="false">SUMIF('Trade Log'!$M$4:$M$503,$A93,'Trade Log'!$Q$4:$Q$503)</f>
        <v>0</v>
      </c>
      <c r="D93" s="19" t="n">
        <f aca="false">SUMIF('Trade Log'!$M$4:$M$503,$A93,'Trade Log'!$Z$4:$Z$503)</f>
        <v>0</v>
      </c>
      <c r="E93" s="19" t="str">
        <f aca="false">IF($B93=0,"",$D93/$B93)</f>
        <v/>
      </c>
      <c r="F93" s="26" t="n">
        <f aca="false">IF($B$13=0,"",$D93/$B$13)</f>
        <v>0</v>
      </c>
      <c r="G93" s="26" t="str">
        <f aca="false">IF($B93=0,"",COUNTIFS('Trade Log'!$M$4:$M$503,$A93,'Trade Log'!$Z$4:$Z$503,"&gt;0")/$B93)</f>
        <v/>
      </c>
    </row>
    <row r="94" customFormat="false" ht="15" hidden="false" customHeight="false" outlineLevel="0" collapsed="false">
      <c r="A94" s="2" t="s">
        <v>146</v>
      </c>
    </row>
    <row r="96" customFormat="false" ht="15" hidden="false" customHeight="false" outlineLevel="0" collapsed="false">
      <c r="A96" s="3" t="s">
        <v>147</v>
      </c>
      <c r="B96" s="4"/>
      <c r="C96" s="4"/>
      <c r="D96" s="4"/>
      <c r="E96" s="4"/>
      <c r="F96" s="4"/>
      <c r="G96" s="4"/>
    </row>
    <row r="97" customFormat="false" ht="15" hidden="false" customHeight="false" outlineLevel="0" collapsed="false">
      <c r="A97" s="2" t="s">
        <v>148</v>
      </c>
    </row>
    <row r="98" customFormat="false" ht="15" hidden="false" customHeight="false" outlineLevel="0" collapsed="false">
      <c r="A98" s="5" t="s">
        <v>149</v>
      </c>
      <c r="B98" s="25" t="n">
        <f aca="false">IFERROR(AVERAGEIFS('Trade Log'!$AC$4:$AC$503,'Trade Log'!$E$4:$E$503,"LONG"),"")</f>
        <v>34.9999999999994</v>
      </c>
      <c r="G98" s="2" t="s">
        <v>150</v>
      </c>
    </row>
    <row r="99" customFormat="false" ht="15" hidden="false" customHeight="false" outlineLevel="0" collapsed="false">
      <c r="A99" s="5" t="s">
        <v>151</v>
      </c>
      <c r="B99" s="25" t="n">
        <f aca="false">IFERROR(AVERAGEIFS('Trade Log'!$AC$4:$AC$503,'Trade Log'!$E$4:$E$503,"SHORT"),"")</f>
        <v>0</v>
      </c>
    </row>
    <row r="100" customFormat="false" ht="15" hidden="false" customHeight="false" outlineLevel="0" collapsed="false">
      <c r="A100" s="5" t="s">
        <v>152</v>
      </c>
      <c r="B100" s="25" t="n">
        <f aca="false">IFERROR(MEDIAN('Trade Log'!$AC$4:$AC$503),"")</f>
        <v>17.4999999999997</v>
      </c>
      <c r="G100" s="2" t="s">
        <v>153</v>
      </c>
    </row>
    <row r="101" customFormat="false" ht="15" hidden="false" customHeight="false" outlineLevel="0" collapsed="false">
      <c r="A101" s="5" t="s">
        <v>154</v>
      </c>
      <c r="B101" s="25" t="n">
        <f aca="false">IFERROR(MAX('Trade Log'!$AC$4:$AC$503),"")</f>
        <v>34.9999999999994</v>
      </c>
    </row>
    <row r="102" customFormat="false" ht="15" hidden="false" customHeight="false" outlineLevel="0" collapsed="false">
      <c r="A102" s="5" t="s">
        <v>155</v>
      </c>
      <c r="B102" s="21" t="n">
        <f aca="false">COUNTIF('Trade Log'!$AC$4:$AC$503,"&gt;50")</f>
        <v>0</v>
      </c>
    </row>
    <row r="103" customFormat="false" ht="15" hidden="false" customHeight="false" outlineLevel="0" collapsed="false">
      <c r="A103" s="5" t="s">
        <v>156</v>
      </c>
      <c r="B103" s="25" t="n">
        <f aca="false">IFERROR(AVERAGE('Trade Log'!$AB$4:$AB$503),"")</f>
        <v>16.9418948085623</v>
      </c>
    </row>
    <row r="104" customFormat="false" ht="15" hidden="false" customHeight="false" outlineLevel="0" collapsed="false">
      <c r="A104" s="5" t="s">
        <v>157</v>
      </c>
      <c r="B104" s="25" t="n">
        <f aca="false">IF($B$17=0,"",$B$12/$B$17*10000+$B$98)</f>
        <v>43.138955841957</v>
      </c>
      <c r="G104" s="2" t="s">
        <v>158</v>
      </c>
    </row>
    <row r="105" customFormat="false" ht="15" hidden="false" customHeight="false" outlineLevel="0" collapsed="false">
      <c r="A105" s="5" t="s">
        <v>159</v>
      </c>
      <c r="B105" s="25" t="n">
        <f aca="false">IF($B$104="","",44-$B$104)</f>
        <v>0.861044158043029</v>
      </c>
      <c r="G105" s="2" t="s">
        <v>160</v>
      </c>
    </row>
    <row r="106" customFormat="false" ht="15" hidden="false" customHeight="false" outlineLevel="0" collapsed="false">
      <c r="A106" s="5" t="s">
        <v>161</v>
      </c>
      <c r="B106" s="21" t="n">
        <f aca="false">COUNT('Trade Log'!$AH$4:$AH$503)</f>
        <v>0</v>
      </c>
      <c r="G106" s="2" t="s">
        <v>162</v>
      </c>
    </row>
    <row r="107" customFormat="false" ht="15" hidden="false" customHeight="false" outlineLevel="0" collapsed="false">
      <c r="A107" s="5" t="s">
        <v>163</v>
      </c>
      <c r="B107" s="19" t="n">
        <f aca="false">SUM('Trade Log'!$AI$4:$AI$503)</f>
        <v>0</v>
      </c>
      <c r="G107" s="2" t="s">
        <v>164</v>
      </c>
    </row>
    <row r="108" customFormat="false" ht="15" hidden="false" customHeight="false" outlineLevel="0" collapsed="false">
      <c r="A108" s="5" t="s">
        <v>165</v>
      </c>
      <c r="B108" s="29" t="str">
        <f aca="false">IFERROR($B$107/$B$106,"")</f>
        <v/>
      </c>
    </row>
    <row r="110" customFormat="false" ht="15" hidden="false" customHeight="false" outlineLevel="0" collapsed="false">
      <c r="A110" s="3" t="s">
        <v>166</v>
      </c>
      <c r="B110" s="4"/>
      <c r="C110" s="4"/>
      <c r="D110" s="4"/>
      <c r="E110" s="4"/>
      <c r="F110" s="4"/>
      <c r="G110" s="4"/>
    </row>
    <row r="111" customFormat="false" ht="15" hidden="false" customHeight="false" outlineLevel="0" collapsed="false">
      <c r="A111" s="5" t="s">
        <v>167</v>
      </c>
      <c r="B111" s="21" t="n">
        <f aca="false">COUNTA('Company Stats'!$A$4:$A$153)</f>
        <v>1</v>
      </c>
      <c r="G111" s="2" t="s">
        <v>168</v>
      </c>
    </row>
    <row r="112" customFormat="false" ht="15" hidden="false" customHeight="false" outlineLevel="0" collapsed="false">
      <c r="A112" s="5" t="s">
        <v>169</v>
      </c>
      <c r="B112" s="19" t="n">
        <f aca="false">IFERROR(LARGE('Company Stats'!$K$4:$K$153,1),"")</f>
        <v>23918.5521880349</v>
      </c>
    </row>
    <row r="113" customFormat="false" ht="15" hidden="false" customHeight="false" outlineLevel="0" collapsed="false">
      <c r="A113" s="5" t="s">
        <v>170</v>
      </c>
      <c r="B113" s="26" t="n">
        <f aca="false">IF($B$13=0,"",(IFERROR(LARGE('Company Stats'!$K$4:$K$153,1),0)+IFERROR(LARGE('Company Stats'!$K$4:$K$153,2),0)+IFERROR(LARGE('Company Stats'!$K$4:$K$153,3),0)+IFERROR(LARGE('Company Stats'!$K$4:$K$153,4),0)+IFERROR(LARGE('Company Stats'!$K$4:$K$153,5),0))/$B$13)</f>
        <v>1</v>
      </c>
      <c r="G113" s="2" t="s">
        <v>171</v>
      </c>
    </row>
    <row r="114" customFormat="false" ht="15" hidden="false" customHeight="false" outlineLevel="0" collapsed="false">
      <c r="A114" s="5" t="s">
        <v>172</v>
      </c>
      <c r="B114" s="19" t="n">
        <f aca="false">IFERROR(SMALL('Company Stats'!$K$4:$K$153,1),"")</f>
        <v>23918.5521880349</v>
      </c>
    </row>
    <row r="115" customFormat="false" ht="15" hidden="false" customHeight="false" outlineLevel="0" collapsed="false">
      <c r="A115" s="5" t="s">
        <v>173</v>
      </c>
      <c r="B115" s="21" t="n">
        <f aca="false">COUNTIF('Company Stats'!$K$4:$K$153,"&lt;0")</f>
        <v>0</v>
      </c>
    </row>
    <row r="116" customFormat="false" ht="15" hidden="false" customHeight="false" outlineLevel="0" collapsed="false">
      <c r="A116" s="5" t="s">
        <v>174</v>
      </c>
      <c r="B116" s="21" t="n">
        <f aca="false">COUNTIFS('Trade Log'!$D$4:$D$503,"&lt;&gt;",'Trade Log'!$N$4:$N$503,"")</f>
        <v>0</v>
      </c>
    </row>
    <row r="117" customFormat="false" ht="15" hidden="false" customHeight="false" outlineLevel="0" collapsed="false">
      <c r="A117" s="5" t="s">
        <v>175</v>
      </c>
      <c r="B117" s="19" t="n">
        <f aca="false">SUMIFS('Trade Log'!$K$4:$K$503,'Trade Log'!$N$4:$N$503,"")</f>
        <v>0</v>
      </c>
    </row>
    <row r="118" customFormat="false" ht="15" hidden="false" customHeight="false" outlineLevel="0" collapsed="false">
      <c r="A118" s="5" t="s">
        <v>176</v>
      </c>
      <c r="B118" s="19" t="n">
        <f aca="false">SUM('Trade Log'!$AE$4:$AE$503)</f>
        <v>0</v>
      </c>
      <c r="G118" s="2" t="s">
        <v>177</v>
      </c>
    </row>
    <row r="119" customFormat="false" ht="15" hidden="false" customHeight="false" outlineLevel="0" collapsed="false">
      <c r="A119" s="5" t="s">
        <v>178</v>
      </c>
      <c r="B119" s="19" t="n">
        <f aca="false">IF($B$13="","",Config!$B$4+$B$13+$B$118)</f>
        <v>1023918.55218803</v>
      </c>
    </row>
  </sheetData>
  <conditionalFormatting sqref="B11">
    <cfRule type="cellIs" priority="2" operator="lessThan" aboveAverage="0" equalAverage="0" bottom="0" percent="0" rank="0" text="" dxfId="0">
      <formula>0</formula>
    </cfRule>
  </conditionalFormatting>
  <conditionalFormatting sqref="B13">
    <cfRule type="cellIs" priority="3" operator="lessThan" aboveAverage="0" equalAverage="0" bottom="0" percent="0" rank="0" text="" dxfId="0">
      <formula>0</formula>
    </cfRule>
  </conditionalFormatting>
  <conditionalFormatting sqref="B31">
    <cfRule type="cellIs" priority="4" operator="lessThan" aboveAverage="0" equalAverage="0" bottom="0" percent="0" rank="0" text="" dxfId="0">
      <formula>0</formula>
    </cfRule>
  </conditionalFormatting>
  <conditionalFormatting sqref="B34">
    <cfRule type="cellIs" priority="5" operator="lessThan" aboveAverage="0" equalAverage="0" bottom="0" percent="0" rank="0" text="" dxfId="0">
      <formula>0</formula>
    </cfRule>
  </conditionalFormatting>
  <conditionalFormatting sqref="B35">
    <cfRule type="cellIs" priority="6" operator="lessThan" aboveAverage="0" equalAverage="0" bottom="0" percent="0" rank="0" text="" dxfId="0">
      <formula>0</formula>
    </cfRule>
  </conditionalFormatting>
  <conditionalFormatting sqref="B58">
    <cfRule type="cellIs" priority="7" operator="lessThan" aboveAverage="0" equalAverage="0" bottom="0" percent="0" rank="0" text="" dxfId="0">
      <formula>0</formula>
    </cfRule>
  </conditionalFormatting>
  <conditionalFormatting sqref="B60">
    <cfRule type="cellIs" priority="8" operator="lessThan" aboveAverage="0" equalAverage="0" bottom="0" percent="0" rank="0" text="" dxfId="0">
      <formula>0</formula>
    </cfRule>
  </conditionalFormatting>
  <conditionalFormatting sqref="B61">
    <cfRule type="cellIs" priority="9" operator="lessThan" aboveAverage="0" equalAverage="0" bottom="0" percent="0" rank="0" text="" dxfId="0">
      <formula>0</formula>
    </cfRule>
  </conditionalFormatting>
  <conditionalFormatting sqref="B67">
    <cfRule type="cellIs" priority="10" operator="lessThan" aboveAverage="0" equalAverage="0" bottom="0" percent="0" rank="0" text="" dxfId="0">
      <formula>0</formula>
    </cfRule>
  </conditionalFormatting>
  <conditionalFormatting sqref="B73">
    <cfRule type="cellIs" priority="11" operator="lessThan" aboveAverage="0" equalAverage="0" bottom="0" percent="0" rank="0" text="" dxfId="0">
      <formula>0</formula>
    </cfRule>
  </conditionalFormatting>
  <conditionalFormatting sqref="B74">
    <cfRule type="cellIs" priority="12" operator="lessThan" aboveAverage="0" equalAverage="0" bottom="0" percent="0" rank="0" text="" dxfId="0">
      <formula>0</formula>
    </cfRule>
  </conditionalFormatting>
  <conditionalFormatting sqref="B107">
    <cfRule type="cellIs" priority="13" operator="lessThan" aboveAverage="0" equalAverage="0" bottom="0" percent="0" rank="0" text="" dxfId="0">
      <formula>0</formula>
    </cfRule>
  </conditionalFormatting>
  <conditionalFormatting sqref="D23:D25">
    <cfRule type="cellIs" priority="14" operator="lessThan" aboveAverage="0" equalAverage="0" bottom="0" percent="0" rank="0" text="" dxfId="0">
      <formula>0</formula>
    </cfRule>
  </conditionalFormatting>
  <conditionalFormatting sqref="D86:D93">
    <cfRule type="cellIs" priority="15" operator="lessThan" aboveAverage="0" equalAverage="0" bottom="0" percent="0" rank="0" text="" dxfId="1">
      <formula>0</formula>
    </cfRule>
  </conditionalFormatting>
  <conditionalFormatting sqref="B105">
    <cfRule type="cellIs" priority="16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2"/>
    <col collapsed="false" customWidth="true" hidden="false" outlineLevel="0" max="21" min="18" style="0" width="10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5" min="24" style="0" width="11"/>
    <col collapsed="false" customWidth="true" hidden="false" outlineLevel="0" max="26" min="26" style="0" width="12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1"/>
    <col collapsed="false" customWidth="true" hidden="false" outlineLevel="0" max="34" min="34" style="0" width="13"/>
    <col collapsed="false" customWidth="true" hidden="false" outlineLevel="0" max="35" min="35" style="0" width="12"/>
    <col collapsed="false" customWidth="true" hidden="false" outlineLevel="0" max="36" min="36" style="0" width="24"/>
    <col collapsed="false" customWidth="true" hidden="false" outlineLevel="0" max="37" min="37" style="0" width="8"/>
    <col collapsed="false" customWidth="true" hidden="false" outlineLevel="0" max="39" min="38" style="0" width="10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3" customFormat="false" ht="33.75" hidden="false" customHeight="true" outlineLevel="0" collapsed="false">
      <c r="A3" s="34" t="s">
        <v>181</v>
      </c>
      <c r="B3" s="10" t="s">
        <v>182</v>
      </c>
      <c r="C3" s="34" t="s">
        <v>183</v>
      </c>
      <c r="D3" s="34" t="s">
        <v>184</v>
      </c>
      <c r="E3" s="34" t="s">
        <v>185</v>
      </c>
      <c r="F3" s="34" t="s">
        <v>15</v>
      </c>
      <c r="G3" s="34" t="s">
        <v>186</v>
      </c>
      <c r="H3" s="34" t="s">
        <v>187</v>
      </c>
      <c r="I3" s="34" t="s">
        <v>188</v>
      </c>
      <c r="J3" s="34" t="s">
        <v>189</v>
      </c>
      <c r="K3" s="10" t="s">
        <v>190</v>
      </c>
      <c r="L3" s="34" t="s">
        <v>191</v>
      </c>
      <c r="M3" s="34" t="s">
        <v>136</v>
      </c>
      <c r="N3" s="34" t="s">
        <v>192</v>
      </c>
      <c r="O3" s="10" t="s">
        <v>193</v>
      </c>
      <c r="P3" s="10" t="s">
        <v>194</v>
      </c>
      <c r="Q3" s="10" t="s">
        <v>55</v>
      </c>
      <c r="R3" s="10" t="s">
        <v>195</v>
      </c>
      <c r="S3" s="10" t="s">
        <v>91</v>
      </c>
      <c r="T3" s="10" t="s">
        <v>92</v>
      </c>
      <c r="U3" s="10" t="s">
        <v>196</v>
      </c>
      <c r="V3" s="10" t="s">
        <v>197</v>
      </c>
      <c r="W3" s="10" t="s">
        <v>95</v>
      </c>
      <c r="X3" s="10" t="s">
        <v>198</v>
      </c>
      <c r="Y3" s="10" t="s">
        <v>69</v>
      </c>
      <c r="Z3" s="10" t="s">
        <v>57</v>
      </c>
      <c r="AA3" s="10" t="s">
        <v>199</v>
      </c>
      <c r="AB3" s="10" t="s">
        <v>200</v>
      </c>
      <c r="AC3" s="10" t="s">
        <v>201</v>
      </c>
      <c r="AD3" s="34" t="s">
        <v>202</v>
      </c>
      <c r="AE3" s="10" t="s">
        <v>203</v>
      </c>
      <c r="AF3" s="10" t="s">
        <v>204</v>
      </c>
      <c r="AG3" s="10" t="s">
        <v>205</v>
      </c>
      <c r="AH3" s="34" t="s">
        <v>206</v>
      </c>
      <c r="AI3" s="10" t="s">
        <v>207</v>
      </c>
      <c r="AJ3" s="34" t="s">
        <v>208</v>
      </c>
      <c r="AK3" s="35" t="s">
        <v>209</v>
      </c>
      <c r="AL3" s="35" t="s">
        <v>210</v>
      </c>
      <c r="AM3" s="35" t="s">
        <v>211</v>
      </c>
    </row>
    <row r="4" customFormat="false" ht="15" hidden="false" customHeight="false" outlineLevel="0" collapsed="false">
      <c r="A4" s="36" t="s">
        <v>212</v>
      </c>
      <c r="B4" s="5" t="str">
        <f aca="false">IF($D4="","",IF(OR(RIGHT($A4,2)="-L",RIGHT($A4,2)="-S"),LEFT($A4,LEN($A4)-2),$A4))</f>
        <v>2026-08-17-TVSSRICHAK</v>
      </c>
      <c r="C4" s="37" t="n">
        <v>46251</v>
      </c>
      <c r="D4" s="36" t="s">
        <v>213</v>
      </c>
      <c r="E4" s="36" t="s">
        <v>73</v>
      </c>
      <c r="F4" s="36" t="s">
        <v>26</v>
      </c>
      <c r="G4" s="38" t="n">
        <v>100</v>
      </c>
      <c r="H4" s="37" t="n">
        <v>46251</v>
      </c>
      <c r="I4" s="38" t="n">
        <v>100.35</v>
      </c>
      <c r="J4" s="39" t="n">
        <v>2490</v>
      </c>
      <c r="K4" s="40" t="n">
        <f aca="false">IF($D4="","",$I4*$J4)</f>
        <v>249871.5</v>
      </c>
      <c r="L4" s="37" t="n">
        <v>46252</v>
      </c>
      <c r="M4" s="36" t="s">
        <v>139</v>
      </c>
      <c r="N4" s="38" t="n">
        <v>108.2</v>
      </c>
      <c r="O4" s="40" t="n">
        <f aca="false">IF(OR($D4="",$N4=""),"",$N4*$J4)</f>
        <v>269418</v>
      </c>
      <c r="P4" s="41" t="n">
        <f aca="false">IF(OR($D4="",$L4=""),"",MAX($L4-$H4,0))</f>
        <v>1</v>
      </c>
      <c r="Q4" s="40" t="n">
        <f aca="false">IF(OR($D4="",$N4=""),"",IF($E4="LONG",($N4-$I4)*$J4,($I4-$N4)*$J4))</f>
        <v>19546.5</v>
      </c>
      <c r="R4" s="42" t="n">
        <f aca="false">IF(OR($D4="",$Q4="",$K4=0),"",$Q4/$K4)</f>
        <v>0.0782262082710514</v>
      </c>
      <c r="S4" s="43" t="n">
        <f aca="false">IF(OR($D4="",$N4=""),"",MIN(INDEX(Config!$C$13:$C$15,$AK4),INDEX(Config!$B$13:$B$15,$AK4)*$K4)+MIN(INDEX(Config!$C$13:$C$15,$AK4),INDEX(Config!$B$13:$B$15,$AK4)*$O4))</f>
        <v>40</v>
      </c>
      <c r="T4" s="43" t="n">
        <f aca="false">IF(OR($D4="",$N4=""),"",INDEX(Config!$D$13:$D$15,$AK4)*$AL4+INDEX(Config!$E$13:$E$15,$AK4)*$AM4)</f>
        <v>519.2895</v>
      </c>
      <c r="U4" s="43" t="n">
        <f aca="false">IF(OR($D4="",$N4=""),"",INDEX(Config!$F$13:$F$15,$AK4)*($K4+$O4))</f>
        <v>15.42289815</v>
      </c>
      <c r="V4" s="43" t="n">
        <f aca="false">IF(OR($D4="",$N4=""),"",INDEX(Config!$G$13:$G$15,$AK4)*($K4+$O4)+INDEX(Config!$H$13:$H$15,$AK4)*$AL4+INDEX(Config!$J$13:$J$15,$AK4))</f>
        <v>53.3400145</v>
      </c>
      <c r="W4" s="43" t="n">
        <f aca="false">IF(OR($D4="",$N4=""),"",INDEX(Config!$I$13:$I$15,$AK4)*($S4+$U4+INDEX(Config!$G$13:$G$15,$AK4)*($K4+$O4)))</f>
        <v>10.069593777</v>
      </c>
      <c r="X4" s="43" t="n">
        <f aca="false">IF(OR($D4="",$N4=""),"",INDEX(Config!$K$13:$K$15,$AK4)/365*$P4*$K4*Config!$B$8)</f>
        <v>77.0151883561644</v>
      </c>
      <c r="Y4" s="43" t="n">
        <f aca="false">IF(OR($D4="",$N4=""),"",SUM($S4:$X4))</f>
        <v>715.137194783164</v>
      </c>
      <c r="Z4" s="40" t="n">
        <f aca="false">IF(OR($D4="",$Q4=""),"",$Q4-$Y4)</f>
        <v>18831.3628052169</v>
      </c>
      <c r="AA4" s="42" t="n">
        <f aca="false">IF(OR($D4="",$Z4="",$K4=0),"",$Z4/$K4)</f>
        <v>0.0753641884137121</v>
      </c>
      <c r="AB4" s="44" t="n">
        <f aca="false">IF(OR($D4="",$Y4="",$K4=0),"",$Y4/$K4*10000)</f>
        <v>28.6201985733933</v>
      </c>
      <c r="AC4" s="44" t="n">
        <f aca="false">IF(OR($D4="",$G4="",$G4=0,$I4=""),"",IF($E4="LONG",($I4-$G4)/$G4,($G4-$I4)/$G4)*10000)</f>
        <v>34.9999999999994</v>
      </c>
      <c r="AD4" s="45"/>
      <c r="AE4" s="40" t="str">
        <f aca="false">IF(OR($D4="",$N4&lt;&gt;"",$AD4=""),"",IF($E4="LONG",($AD4-$I4)*$J4,($I4-$AD4)*$J4))</f>
        <v/>
      </c>
      <c r="AF4" s="40" t="n">
        <f aca="false">IF(OR($D4="",$E4&lt;&gt;"LONG",$Z4=""),"",$Z4+SUMIFS($Z$4:$Z$503,$B$4:$B$503,$B4,$E$4:$E$503,"SHORT"))</f>
        <v>23918.5521880349</v>
      </c>
      <c r="AG4" s="42" t="n">
        <f aca="false">IF(OR($AF4="",$K4=0),"",$AF4/$K4)</f>
        <v>0.0957234105851803</v>
      </c>
      <c r="AH4" s="46"/>
      <c r="AI4" s="43" t="str">
        <f aca="false">IF(OR($D4="",$AH4="",$Z4=""),"",$Z4-$AH4)</f>
        <v/>
      </c>
      <c r="AJ4" s="36" t="s">
        <v>214</v>
      </c>
      <c r="AK4" s="47" t="n">
        <f aca="false">IF($D4="","",IFERROR(MATCH($F4,Config!$A$13:$A$15,0),1))</f>
        <v>1</v>
      </c>
      <c r="AL4" s="48" t="n">
        <f aca="false">IF(OR($D4="",$N4=""),"",IF($E4="LONG",$K4,$O4))</f>
        <v>249871.5</v>
      </c>
      <c r="AM4" s="48" t="n">
        <f aca="false">IF(OR($D4="",$N4=""),"",IF($E4="LONG",$O4,$K4))</f>
        <v>269418</v>
      </c>
    </row>
    <row r="5" customFormat="false" ht="15" hidden="false" customHeight="false" outlineLevel="0" collapsed="false">
      <c r="A5" s="36" t="s">
        <v>215</v>
      </c>
      <c r="B5" s="5" t="str">
        <f aca="false">IF($D5="","",IF(OR(RIGHT($A5,2)="-L",RIGHT($A5,2)="-S"),LEFT($A5,LEN($A5)-2),$A5))</f>
        <v>2026-08-17-TVSSRICHAK</v>
      </c>
      <c r="C5" s="37" t="n">
        <v>46251</v>
      </c>
      <c r="D5" s="36" t="s">
        <v>213</v>
      </c>
      <c r="E5" s="36" t="s">
        <v>74</v>
      </c>
      <c r="F5" s="36" t="s">
        <v>28</v>
      </c>
      <c r="G5" s="38" t="n">
        <v>108.2</v>
      </c>
      <c r="H5" s="37" t="n">
        <v>46252</v>
      </c>
      <c r="I5" s="38" t="n">
        <v>108.2</v>
      </c>
      <c r="J5" s="39" t="n">
        <v>2490</v>
      </c>
      <c r="K5" s="40" t="n">
        <f aca="false">IF($D5="","",$I5*$J5)</f>
        <v>269418</v>
      </c>
      <c r="L5" s="37" t="n">
        <v>46252</v>
      </c>
      <c r="M5" s="36" t="s">
        <v>144</v>
      </c>
      <c r="N5" s="38" t="n">
        <v>106.1</v>
      </c>
      <c r="O5" s="40" t="n">
        <f aca="false">IF(OR($D5="",$N5=""),"",$N5*$J5)</f>
        <v>264189</v>
      </c>
      <c r="P5" s="41" t="n">
        <f aca="false">IF(OR($D5="",$L5=""),"",MAX($L5-$H5,0))</f>
        <v>0</v>
      </c>
      <c r="Q5" s="40" t="n">
        <f aca="false">IF(OR($D5="",$N5=""),"",IF($E5="LONG",($N5-$I5)*$J5,($I5-$N5)*$J5))</f>
        <v>5229.00000000002</v>
      </c>
      <c r="R5" s="42" t="n">
        <f aca="false">IF(OR($D5="",$Q5="",$K5=0),"",$Q5/$K5)</f>
        <v>0.0194085027726433</v>
      </c>
      <c r="S5" s="43" t="n">
        <f aca="false">IF(OR($D5="",$N5=""),"",MIN(INDEX(Config!$C$13:$C$15,$AK5),INDEX(Config!$B$13:$B$15,$AK5)*$K5)+MIN(INDEX(Config!$C$13:$C$15,$AK5),INDEX(Config!$B$13:$B$15,$AK5)*$O5))</f>
        <v>40</v>
      </c>
      <c r="T5" s="43" t="n">
        <f aca="false">IF(OR($D5="",$N5=""),"",INDEX(Config!$D$13:$D$15,$AK5)*$AL5+INDEX(Config!$E$13:$E$15,$AK5)*$AM5)</f>
        <v>67.3545</v>
      </c>
      <c r="U5" s="43" t="n">
        <f aca="false">IF(OR($D5="",$N5=""),"",INDEX(Config!$F$13:$F$15,$AK5)*($K5+$O5))</f>
        <v>15.8481279</v>
      </c>
      <c r="V5" s="43" t="n">
        <f aca="false">IF(OR($D5="",$N5=""),"",INDEX(Config!$G$13:$G$15,$AK5)*($K5+$O5)+INDEX(Config!$H$13:$H$15,$AK5)*$AL5+INDEX(Config!$J$13:$J$15,$AK5))</f>
        <v>8.459277</v>
      </c>
      <c r="W5" s="43" t="n">
        <f aca="false">IF(OR($D5="",$N5=""),"",INDEX(Config!$I$13:$I$15,$AK5)*($S5+$U5+INDEX(Config!$G$13:$G$15,$AK5)*($K5+$O5)))</f>
        <v>10.148712282</v>
      </c>
      <c r="X5" s="43" t="n">
        <f aca="false">IF(OR($D5="",$N5=""),"",INDEX(Config!$K$13:$K$15,$AK5)/365*$P5*$K5*Config!$B$8)</f>
        <v>0</v>
      </c>
      <c r="Y5" s="43" t="n">
        <f aca="false">IF(OR($D5="",$N5=""),"",SUM($S5:$X5))</f>
        <v>141.810617182</v>
      </c>
      <c r="Z5" s="40" t="n">
        <f aca="false">IF(OR($D5="",$Q5=""),"",$Q5-$Y5)</f>
        <v>5087.18938281802</v>
      </c>
      <c r="AA5" s="42" t="n">
        <f aca="false">IF(OR($D5="",$Z5="",$K5=0),"",$Z5/$K5)</f>
        <v>0.0188821436682702</v>
      </c>
      <c r="AB5" s="44" t="n">
        <f aca="false">IF(OR($D5="",$Y5="",$K5=0),"",$Y5/$K5*10000)</f>
        <v>5.2635910437313</v>
      </c>
      <c r="AC5" s="44" t="n">
        <f aca="false">IF(OR($D5="",$G5="",$G5=0,$I5=""),"",IF($E5="LONG",($I5-$G5)/$G5,($G5-$I5)/$G5)*10000)</f>
        <v>0</v>
      </c>
      <c r="AD5" s="45"/>
      <c r="AE5" s="40" t="str">
        <f aca="false">IF(OR($D5="",$N5&lt;&gt;"",$AD5=""),"",IF($E5="LONG",($AD5-$I5)*$J5,($I5-$AD5)*$J5))</f>
        <v/>
      </c>
      <c r="AF5" s="40" t="str">
        <f aca="false">IF(OR($D5="",$E5&lt;&gt;"LONG",$Z5=""),"",$Z5+SUMIFS($Z$4:$Z$503,$B$4:$B$503,$B5,$E$4:$E$503,"SHORT"))</f>
        <v/>
      </c>
      <c r="AG5" s="42" t="str">
        <f aca="false">IF(OR($AF5="",$K5=0),"",$AF5/$K5)</f>
        <v/>
      </c>
      <c r="AH5" s="46"/>
      <c r="AI5" s="43" t="str">
        <f aca="false">IF(OR($D5="",$AH5="",$Z5=""),"",$Z5-$AH5)</f>
        <v/>
      </c>
      <c r="AJ5" s="36" t="s">
        <v>216</v>
      </c>
      <c r="AK5" s="47" t="n">
        <f aca="false">IF($D5="","",IFERROR(MATCH($F5,Config!$A$13:$A$15,0),1))</f>
        <v>3</v>
      </c>
      <c r="AL5" s="48" t="n">
        <f aca="false">IF(OR($D5="",$N5=""),"",IF($E5="LONG",$K5,$O5))</f>
        <v>264189</v>
      </c>
      <c r="AM5" s="48" t="n">
        <f aca="false">IF(OR($D5="",$N5=""),"",IF($E5="LONG",$O5,$K5))</f>
        <v>269418</v>
      </c>
    </row>
    <row r="6" customFormat="false" ht="15" hidden="false" customHeight="false" outlineLevel="0" collapsed="false">
      <c r="A6" s="49"/>
      <c r="B6" s="5" t="str">
        <f aca="false">IF($D6="","",IF(OR(RIGHT($A6,2)="-L",RIGHT($A6,2)="-S"),LEFT($A6,LEN($A6)-2),$A6))</f>
        <v/>
      </c>
      <c r="C6" s="50"/>
      <c r="D6" s="49"/>
      <c r="E6" s="49"/>
      <c r="F6" s="49"/>
      <c r="G6" s="45"/>
      <c r="H6" s="50"/>
      <c r="I6" s="45"/>
      <c r="J6" s="51"/>
      <c r="K6" s="40" t="str">
        <f aca="false">IF($D6="","",$I6*$J6)</f>
        <v/>
      </c>
      <c r="L6" s="50"/>
      <c r="M6" s="49"/>
      <c r="N6" s="45"/>
      <c r="O6" s="40" t="str">
        <f aca="false">IF(OR($D6="",$N6=""),"",$N6*$J6)</f>
        <v/>
      </c>
      <c r="P6" s="41" t="str">
        <f aca="false">IF(OR($D6="",$L6=""),"",MAX($L6-$H6,0))</f>
        <v/>
      </c>
      <c r="Q6" s="40" t="str">
        <f aca="false">IF(OR($D6="",$N6=""),"",IF($E6="LONG",($N6-$I6)*$J6,($I6-$N6)*$J6))</f>
        <v/>
      </c>
      <c r="R6" s="42" t="str">
        <f aca="false">IF(OR($D6="",$Q6="",$K6=0),"",$Q6/$K6)</f>
        <v/>
      </c>
      <c r="S6" s="43" t="str">
        <f aca="false">IF(OR($D6="",$N6=""),"",MIN(INDEX(Config!$C$13:$C$15,$AK6),INDEX(Config!$B$13:$B$15,$AK6)*$K6)+MIN(INDEX(Config!$C$13:$C$15,$AK6),INDEX(Config!$B$13:$B$15,$AK6)*$O6))</f>
        <v/>
      </c>
      <c r="T6" s="43" t="str">
        <f aca="false">IF(OR($D6="",$N6=""),"",INDEX(Config!$D$13:$D$15,$AK6)*$AL6+INDEX(Config!$E$13:$E$15,$AK6)*$AM6)</f>
        <v/>
      </c>
      <c r="U6" s="43" t="str">
        <f aca="false">IF(OR($D6="",$N6=""),"",INDEX(Config!$F$13:$F$15,$AK6)*($K6+$O6))</f>
        <v/>
      </c>
      <c r="V6" s="43" t="str">
        <f aca="false">IF(OR($D6="",$N6=""),"",INDEX(Config!$G$13:$G$15,$AK6)*($K6+$O6)+INDEX(Config!$H$13:$H$15,$AK6)*$AL6+INDEX(Config!$J$13:$J$15,$AK6))</f>
        <v/>
      </c>
      <c r="W6" s="43" t="str">
        <f aca="false">IF(OR($D6="",$N6=""),"",INDEX(Config!$I$13:$I$15,$AK6)*($S6+$U6+INDEX(Config!$G$13:$G$15,$AK6)*($K6+$O6)))</f>
        <v/>
      </c>
      <c r="X6" s="43" t="str">
        <f aca="false">IF(OR($D6="",$N6=""),"",INDEX(Config!$K$13:$K$15,$AK6)/365*$P6*$K6*Config!$B$8)</f>
        <v/>
      </c>
      <c r="Y6" s="43" t="str">
        <f aca="false">IF(OR($D6="",$N6=""),"",SUM($S6:$X6))</f>
        <v/>
      </c>
      <c r="Z6" s="40" t="str">
        <f aca="false">IF(OR($D6="",$Q6=""),"",$Q6-$Y6)</f>
        <v/>
      </c>
      <c r="AA6" s="42" t="str">
        <f aca="false">IF(OR($D6="",$Z6="",$K6=0),"",$Z6/$K6)</f>
        <v/>
      </c>
      <c r="AB6" s="44" t="str">
        <f aca="false">IF(OR($D6="",$Y6="",$K6=0),"",$Y6/$K6*10000)</f>
        <v/>
      </c>
      <c r="AC6" s="44" t="str">
        <f aca="false">IF(OR($D6="",$G6="",$G6=0,$I6=""),"",IF($E6="LONG",($I6-$G6)/$G6,($G6-$I6)/$G6)*10000)</f>
        <v/>
      </c>
      <c r="AD6" s="45"/>
      <c r="AE6" s="40" t="str">
        <f aca="false">IF(OR($D6="",$N6&lt;&gt;"",$AD6=""),"",IF($E6="LONG",($AD6-$I6)*$J6,($I6-$AD6)*$J6))</f>
        <v/>
      </c>
      <c r="AF6" s="40" t="str">
        <f aca="false">IF(OR($D6="",$E6&lt;&gt;"LONG",$Z6=""),"",$Z6+SUMIFS($Z$4:$Z$503,$B$4:$B$503,$B6,$E$4:$E$503,"SHORT"))</f>
        <v/>
      </c>
      <c r="AG6" s="42" t="str">
        <f aca="false">IF(OR($AF6="",$K6=0),"",$AF6/$K6)</f>
        <v/>
      </c>
      <c r="AH6" s="46"/>
      <c r="AI6" s="43" t="str">
        <f aca="false">IF(OR($D6="",$AH6="",$Z6=""),"",$Z6-$AH6)</f>
        <v/>
      </c>
      <c r="AJ6" s="49"/>
      <c r="AK6" s="47" t="str">
        <f aca="false">IF($D6="","",IFERROR(MATCH($F6,Config!$A$13:$A$15,0),1))</f>
        <v/>
      </c>
      <c r="AL6" s="47" t="str">
        <f aca="false">IF(OR($D6="",$N6=""),"",IF($E6="LONG",$K6,$O6))</f>
        <v/>
      </c>
      <c r="AM6" s="47" t="str">
        <f aca="false">IF(OR($D6="",$N6=""),"",IF($E6="LONG",$O6,$K6))</f>
        <v/>
      </c>
    </row>
    <row r="7" customFormat="false" ht="15" hidden="false" customHeight="false" outlineLevel="0" collapsed="false">
      <c r="A7" s="49"/>
      <c r="B7" s="5" t="str">
        <f aca="false">IF($D7="","",IF(OR(RIGHT($A7,2)="-L",RIGHT($A7,2)="-S"),LEFT($A7,LEN($A7)-2),$A7))</f>
        <v/>
      </c>
      <c r="C7" s="50"/>
      <c r="D7" s="49"/>
      <c r="E7" s="49"/>
      <c r="F7" s="49"/>
      <c r="G7" s="45"/>
      <c r="H7" s="50"/>
      <c r="I7" s="45"/>
      <c r="J7" s="51"/>
      <c r="K7" s="40" t="str">
        <f aca="false">IF($D7="","",$I7*$J7)</f>
        <v/>
      </c>
      <c r="L7" s="50"/>
      <c r="M7" s="49"/>
      <c r="N7" s="45"/>
      <c r="O7" s="40" t="str">
        <f aca="false">IF(OR($D7="",$N7=""),"",$N7*$J7)</f>
        <v/>
      </c>
      <c r="P7" s="41" t="str">
        <f aca="false">IF(OR($D7="",$L7=""),"",MAX($L7-$H7,0))</f>
        <v/>
      </c>
      <c r="Q7" s="40" t="str">
        <f aca="false">IF(OR($D7="",$N7=""),"",IF($E7="LONG",($N7-$I7)*$J7,($I7-$N7)*$J7))</f>
        <v/>
      </c>
      <c r="R7" s="42" t="str">
        <f aca="false">IF(OR($D7="",$Q7="",$K7=0),"",$Q7/$K7)</f>
        <v/>
      </c>
      <c r="S7" s="43" t="str">
        <f aca="false">IF(OR($D7="",$N7=""),"",MIN(INDEX(Config!$C$13:$C$15,$AK7),INDEX(Config!$B$13:$B$15,$AK7)*$K7)+MIN(INDEX(Config!$C$13:$C$15,$AK7),INDEX(Config!$B$13:$B$15,$AK7)*$O7))</f>
        <v/>
      </c>
      <c r="T7" s="43" t="str">
        <f aca="false">IF(OR($D7="",$N7=""),"",INDEX(Config!$D$13:$D$15,$AK7)*$AL7+INDEX(Config!$E$13:$E$15,$AK7)*$AM7)</f>
        <v/>
      </c>
      <c r="U7" s="43" t="str">
        <f aca="false">IF(OR($D7="",$N7=""),"",INDEX(Config!$F$13:$F$15,$AK7)*($K7+$O7))</f>
        <v/>
      </c>
      <c r="V7" s="43" t="str">
        <f aca="false">IF(OR($D7="",$N7=""),"",INDEX(Config!$G$13:$G$15,$AK7)*($K7+$O7)+INDEX(Config!$H$13:$H$15,$AK7)*$AL7+INDEX(Config!$J$13:$J$15,$AK7))</f>
        <v/>
      </c>
      <c r="W7" s="43" t="str">
        <f aca="false">IF(OR($D7="",$N7=""),"",INDEX(Config!$I$13:$I$15,$AK7)*($S7+$U7+INDEX(Config!$G$13:$G$15,$AK7)*($K7+$O7)))</f>
        <v/>
      </c>
      <c r="X7" s="43" t="str">
        <f aca="false">IF(OR($D7="",$N7=""),"",INDEX(Config!$K$13:$K$15,$AK7)/365*$P7*$K7*Config!$B$8)</f>
        <v/>
      </c>
      <c r="Y7" s="43" t="str">
        <f aca="false">IF(OR($D7="",$N7=""),"",SUM($S7:$X7))</f>
        <v/>
      </c>
      <c r="Z7" s="40" t="str">
        <f aca="false">IF(OR($D7="",$Q7=""),"",$Q7-$Y7)</f>
        <v/>
      </c>
      <c r="AA7" s="42" t="str">
        <f aca="false">IF(OR($D7="",$Z7="",$K7=0),"",$Z7/$K7)</f>
        <v/>
      </c>
      <c r="AB7" s="44" t="str">
        <f aca="false">IF(OR($D7="",$Y7="",$K7=0),"",$Y7/$K7*10000)</f>
        <v/>
      </c>
      <c r="AC7" s="44" t="str">
        <f aca="false">IF(OR($D7="",$G7="",$G7=0,$I7=""),"",IF($E7="LONG",($I7-$G7)/$G7,($G7-$I7)/$G7)*10000)</f>
        <v/>
      </c>
      <c r="AD7" s="45"/>
      <c r="AE7" s="40" t="str">
        <f aca="false">IF(OR($D7="",$N7&lt;&gt;"",$AD7=""),"",IF($E7="LONG",($AD7-$I7)*$J7,($I7-$AD7)*$J7))</f>
        <v/>
      </c>
      <c r="AF7" s="40" t="str">
        <f aca="false">IF(OR($D7="",$E7&lt;&gt;"LONG",$Z7=""),"",$Z7+SUMIFS($Z$4:$Z$503,$B$4:$B$503,$B7,$E$4:$E$503,"SHORT"))</f>
        <v/>
      </c>
      <c r="AG7" s="42" t="str">
        <f aca="false">IF(OR($AF7="",$K7=0),"",$AF7/$K7)</f>
        <v/>
      </c>
      <c r="AH7" s="46"/>
      <c r="AI7" s="43" t="str">
        <f aca="false">IF(OR($D7="",$AH7="",$Z7=""),"",$Z7-$AH7)</f>
        <v/>
      </c>
      <c r="AJ7" s="49"/>
      <c r="AK7" s="47" t="str">
        <f aca="false">IF($D7="","",IFERROR(MATCH($F7,Config!$A$13:$A$15,0),1))</f>
        <v/>
      </c>
      <c r="AL7" s="47" t="str">
        <f aca="false">IF(OR($D7="",$N7=""),"",IF($E7="LONG",$K7,$O7))</f>
        <v/>
      </c>
      <c r="AM7" s="47" t="str">
        <f aca="false">IF(OR($D7="",$N7=""),"",IF($E7="LONG",$O7,$K7))</f>
        <v/>
      </c>
    </row>
    <row r="8" customFormat="false" ht="15" hidden="false" customHeight="false" outlineLevel="0" collapsed="false">
      <c r="A8" s="49"/>
      <c r="B8" s="5" t="str">
        <f aca="false">IF($D8="","",IF(OR(RIGHT($A8,2)="-L",RIGHT($A8,2)="-S"),LEFT($A8,LEN($A8)-2),$A8))</f>
        <v/>
      </c>
      <c r="C8" s="50"/>
      <c r="D8" s="49"/>
      <c r="E8" s="49"/>
      <c r="F8" s="49"/>
      <c r="G8" s="45"/>
      <c r="H8" s="50"/>
      <c r="I8" s="45"/>
      <c r="J8" s="51"/>
      <c r="K8" s="40" t="str">
        <f aca="false">IF($D8="","",$I8*$J8)</f>
        <v/>
      </c>
      <c r="L8" s="50"/>
      <c r="M8" s="49"/>
      <c r="N8" s="45"/>
      <c r="O8" s="40" t="str">
        <f aca="false">IF(OR($D8="",$N8=""),"",$N8*$J8)</f>
        <v/>
      </c>
      <c r="P8" s="41" t="str">
        <f aca="false">IF(OR($D8="",$L8=""),"",MAX($L8-$H8,0))</f>
        <v/>
      </c>
      <c r="Q8" s="40" t="str">
        <f aca="false">IF(OR($D8="",$N8=""),"",IF($E8="LONG",($N8-$I8)*$J8,($I8-$N8)*$J8))</f>
        <v/>
      </c>
      <c r="R8" s="42" t="str">
        <f aca="false">IF(OR($D8="",$Q8="",$K8=0),"",$Q8/$K8)</f>
        <v/>
      </c>
      <c r="S8" s="43" t="str">
        <f aca="false">IF(OR($D8="",$N8=""),"",MIN(INDEX(Config!$C$13:$C$15,$AK8),INDEX(Config!$B$13:$B$15,$AK8)*$K8)+MIN(INDEX(Config!$C$13:$C$15,$AK8),INDEX(Config!$B$13:$B$15,$AK8)*$O8))</f>
        <v/>
      </c>
      <c r="T8" s="43" t="str">
        <f aca="false">IF(OR($D8="",$N8=""),"",INDEX(Config!$D$13:$D$15,$AK8)*$AL8+INDEX(Config!$E$13:$E$15,$AK8)*$AM8)</f>
        <v/>
      </c>
      <c r="U8" s="43" t="str">
        <f aca="false">IF(OR($D8="",$N8=""),"",INDEX(Config!$F$13:$F$15,$AK8)*($K8+$O8))</f>
        <v/>
      </c>
      <c r="V8" s="43" t="str">
        <f aca="false">IF(OR($D8="",$N8=""),"",INDEX(Config!$G$13:$G$15,$AK8)*($K8+$O8)+INDEX(Config!$H$13:$H$15,$AK8)*$AL8+INDEX(Config!$J$13:$J$15,$AK8))</f>
        <v/>
      </c>
      <c r="W8" s="43" t="str">
        <f aca="false">IF(OR($D8="",$N8=""),"",INDEX(Config!$I$13:$I$15,$AK8)*($S8+$U8+INDEX(Config!$G$13:$G$15,$AK8)*($K8+$O8)))</f>
        <v/>
      </c>
      <c r="X8" s="43" t="str">
        <f aca="false">IF(OR($D8="",$N8=""),"",INDEX(Config!$K$13:$K$15,$AK8)/365*$P8*$K8*Config!$B$8)</f>
        <v/>
      </c>
      <c r="Y8" s="43" t="str">
        <f aca="false">IF(OR($D8="",$N8=""),"",SUM($S8:$X8))</f>
        <v/>
      </c>
      <c r="Z8" s="40" t="str">
        <f aca="false">IF(OR($D8="",$Q8=""),"",$Q8-$Y8)</f>
        <v/>
      </c>
      <c r="AA8" s="42" t="str">
        <f aca="false">IF(OR($D8="",$Z8="",$K8=0),"",$Z8/$K8)</f>
        <v/>
      </c>
      <c r="AB8" s="44" t="str">
        <f aca="false">IF(OR($D8="",$Y8="",$K8=0),"",$Y8/$K8*10000)</f>
        <v/>
      </c>
      <c r="AC8" s="44" t="str">
        <f aca="false">IF(OR($D8="",$G8="",$G8=0,$I8=""),"",IF($E8="LONG",($I8-$G8)/$G8,($G8-$I8)/$G8)*10000)</f>
        <v/>
      </c>
      <c r="AD8" s="45"/>
      <c r="AE8" s="40" t="str">
        <f aca="false">IF(OR($D8="",$N8&lt;&gt;"",$AD8=""),"",IF($E8="LONG",($AD8-$I8)*$J8,($I8-$AD8)*$J8))</f>
        <v/>
      </c>
      <c r="AF8" s="40" t="str">
        <f aca="false">IF(OR($D8="",$E8&lt;&gt;"LONG",$Z8=""),"",$Z8+SUMIFS($Z$4:$Z$503,$B$4:$B$503,$B8,$E$4:$E$503,"SHORT"))</f>
        <v/>
      </c>
      <c r="AG8" s="42" t="str">
        <f aca="false">IF(OR($AF8="",$K8=0),"",$AF8/$K8)</f>
        <v/>
      </c>
      <c r="AH8" s="46"/>
      <c r="AI8" s="43" t="str">
        <f aca="false">IF(OR($D8="",$AH8="",$Z8=""),"",$Z8-$AH8)</f>
        <v/>
      </c>
      <c r="AJ8" s="49"/>
      <c r="AK8" s="47" t="str">
        <f aca="false">IF($D8="","",IFERROR(MATCH($F8,Config!$A$13:$A$15,0),1))</f>
        <v/>
      </c>
      <c r="AL8" s="47" t="str">
        <f aca="false">IF(OR($D8="",$N8=""),"",IF($E8="LONG",$K8,$O8))</f>
        <v/>
      </c>
      <c r="AM8" s="47" t="str">
        <f aca="false">IF(OR($D8="",$N8=""),"",IF($E8="LONG",$O8,$K8))</f>
        <v/>
      </c>
    </row>
    <row r="9" customFormat="false" ht="15" hidden="false" customHeight="false" outlineLevel="0" collapsed="false">
      <c r="A9" s="49"/>
      <c r="B9" s="5" t="str">
        <f aca="false">IF($D9="","",IF(OR(RIGHT($A9,2)="-L",RIGHT($A9,2)="-S"),LEFT($A9,LEN($A9)-2),$A9))</f>
        <v/>
      </c>
      <c r="C9" s="50"/>
      <c r="D9" s="49"/>
      <c r="E9" s="49"/>
      <c r="F9" s="49"/>
      <c r="G9" s="45"/>
      <c r="H9" s="50"/>
      <c r="I9" s="45"/>
      <c r="J9" s="51"/>
      <c r="K9" s="40" t="str">
        <f aca="false">IF($D9="","",$I9*$J9)</f>
        <v/>
      </c>
      <c r="L9" s="50"/>
      <c r="M9" s="49"/>
      <c r="N9" s="45"/>
      <c r="O9" s="40" t="str">
        <f aca="false">IF(OR($D9="",$N9=""),"",$N9*$J9)</f>
        <v/>
      </c>
      <c r="P9" s="41" t="str">
        <f aca="false">IF(OR($D9="",$L9=""),"",MAX($L9-$H9,0))</f>
        <v/>
      </c>
      <c r="Q9" s="40" t="str">
        <f aca="false">IF(OR($D9="",$N9=""),"",IF($E9="LONG",($N9-$I9)*$J9,($I9-$N9)*$J9))</f>
        <v/>
      </c>
      <c r="R9" s="42" t="str">
        <f aca="false">IF(OR($D9="",$Q9="",$K9=0),"",$Q9/$K9)</f>
        <v/>
      </c>
      <c r="S9" s="43" t="str">
        <f aca="false">IF(OR($D9="",$N9=""),"",MIN(INDEX(Config!$C$13:$C$15,$AK9),INDEX(Config!$B$13:$B$15,$AK9)*$K9)+MIN(INDEX(Config!$C$13:$C$15,$AK9),INDEX(Config!$B$13:$B$15,$AK9)*$O9))</f>
        <v/>
      </c>
      <c r="T9" s="43" t="str">
        <f aca="false">IF(OR($D9="",$N9=""),"",INDEX(Config!$D$13:$D$15,$AK9)*$AL9+INDEX(Config!$E$13:$E$15,$AK9)*$AM9)</f>
        <v/>
      </c>
      <c r="U9" s="43" t="str">
        <f aca="false">IF(OR($D9="",$N9=""),"",INDEX(Config!$F$13:$F$15,$AK9)*($K9+$O9))</f>
        <v/>
      </c>
      <c r="V9" s="43" t="str">
        <f aca="false">IF(OR($D9="",$N9=""),"",INDEX(Config!$G$13:$G$15,$AK9)*($K9+$O9)+INDEX(Config!$H$13:$H$15,$AK9)*$AL9+INDEX(Config!$J$13:$J$15,$AK9))</f>
        <v/>
      </c>
      <c r="W9" s="43" t="str">
        <f aca="false">IF(OR($D9="",$N9=""),"",INDEX(Config!$I$13:$I$15,$AK9)*($S9+$U9+INDEX(Config!$G$13:$G$15,$AK9)*($K9+$O9)))</f>
        <v/>
      </c>
      <c r="X9" s="43" t="str">
        <f aca="false">IF(OR($D9="",$N9=""),"",INDEX(Config!$K$13:$K$15,$AK9)/365*$P9*$K9*Config!$B$8)</f>
        <v/>
      </c>
      <c r="Y9" s="43" t="str">
        <f aca="false">IF(OR($D9="",$N9=""),"",SUM($S9:$X9))</f>
        <v/>
      </c>
      <c r="Z9" s="40" t="str">
        <f aca="false">IF(OR($D9="",$Q9=""),"",$Q9-$Y9)</f>
        <v/>
      </c>
      <c r="AA9" s="42" t="str">
        <f aca="false">IF(OR($D9="",$Z9="",$K9=0),"",$Z9/$K9)</f>
        <v/>
      </c>
      <c r="AB9" s="44" t="str">
        <f aca="false">IF(OR($D9="",$Y9="",$K9=0),"",$Y9/$K9*10000)</f>
        <v/>
      </c>
      <c r="AC9" s="44" t="str">
        <f aca="false">IF(OR($D9="",$G9="",$G9=0,$I9=""),"",IF($E9="LONG",($I9-$G9)/$G9,($G9-$I9)/$G9)*10000)</f>
        <v/>
      </c>
      <c r="AD9" s="45"/>
      <c r="AE9" s="40" t="str">
        <f aca="false">IF(OR($D9="",$N9&lt;&gt;"",$AD9=""),"",IF($E9="LONG",($AD9-$I9)*$J9,($I9-$AD9)*$J9))</f>
        <v/>
      </c>
      <c r="AF9" s="40" t="str">
        <f aca="false">IF(OR($D9="",$E9&lt;&gt;"LONG",$Z9=""),"",$Z9+SUMIFS($Z$4:$Z$503,$B$4:$B$503,$B9,$E$4:$E$503,"SHORT"))</f>
        <v/>
      </c>
      <c r="AG9" s="42" t="str">
        <f aca="false">IF(OR($AF9="",$K9=0),"",$AF9/$K9)</f>
        <v/>
      </c>
      <c r="AH9" s="46"/>
      <c r="AI9" s="43" t="str">
        <f aca="false">IF(OR($D9="",$AH9="",$Z9=""),"",$Z9-$AH9)</f>
        <v/>
      </c>
      <c r="AJ9" s="49"/>
      <c r="AK9" s="47" t="str">
        <f aca="false">IF($D9="","",IFERROR(MATCH($F9,Config!$A$13:$A$15,0),1))</f>
        <v/>
      </c>
      <c r="AL9" s="47" t="str">
        <f aca="false">IF(OR($D9="",$N9=""),"",IF($E9="LONG",$K9,$O9))</f>
        <v/>
      </c>
      <c r="AM9" s="47" t="str">
        <f aca="false">IF(OR($D9="",$N9=""),"",IF($E9="LONG",$O9,$K9))</f>
        <v/>
      </c>
    </row>
    <row r="10" customFormat="false" ht="15" hidden="false" customHeight="false" outlineLevel="0" collapsed="false">
      <c r="A10" s="49"/>
      <c r="B10" s="5" t="str">
        <f aca="false">IF($D10="","",IF(OR(RIGHT($A10,2)="-L",RIGHT($A10,2)="-S"),LEFT($A10,LEN($A10)-2),$A10))</f>
        <v/>
      </c>
      <c r="C10" s="50"/>
      <c r="D10" s="49"/>
      <c r="E10" s="49"/>
      <c r="F10" s="49"/>
      <c r="G10" s="45"/>
      <c r="H10" s="50"/>
      <c r="I10" s="45"/>
      <c r="J10" s="51"/>
      <c r="K10" s="40" t="str">
        <f aca="false">IF($D10="","",$I10*$J10)</f>
        <v/>
      </c>
      <c r="L10" s="50"/>
      <c r="M10" s="49"/>
      <c r="N10" s="45"/>
      <c r="O10" s="40" t="str">
        <f aca="false">IF(OR($D10="",$N10=""),"",$N10*$J10)</f>
        <v/>
      </c>
      <c r="P10" s="41" t="str">
        <f aca="false">IF(OR($D10="",$L10=""),"",MAX($L10-$H10,0))</f>
        <v/>
      </c>
      <c r="Q10" s="40" t="str">
        <f aca="false">IF(OR($D10="",$N10=""),"",IF($E10="LONG",($N10-$I10)*$J10,($I10-$N10)*$J10))</f>
        <v/>
      </c>
      <c r="R10" s="42" t="str">
        <f aca="false">IF(OR($D10="",$Q10="",$K10=0),"",$Q10/$K10)</f>
        <v/>
      </c>
      <c r="S10" s="43" t="str">
        <f aca="false">IF(OR($D10="",$N10=""),"",MIN(INDEX(Config!$C$13:$C$15,$AK10),INDEX(Config!$B$13:$B$15,$AK10)*$K10)+MIN(INDEX(Config!$C$13:$C$15,$AK10),INDEX(Config!$B$13:$B$15,$AK10)*$O10))</f>
        <v/>
      </c>
      <c r="T10" s="43" t="str">
        <f aca="false">IF(OR($D10="",$N10=""),"",INDEX(Config!$D$13:$D$15,$AK10)*$AL10+INDEX(Config!$E$13:$E$15,$AK10)*$AM10)</f>
        <v/>
      </c>
      <c r="U10" s="43" t="str">
        <f aca="false">IF(OR($D10="",$N10=""),"",INDEX(Config!$F$13:$F$15,$AK10)*($K10+$O10))</f>
        <v/>
      </c>
      <c r="V10" s="43" t="str">
        <f aca="false">IF(OR($D10="",$N10=""),"",INDEX(Config!$G$13:$G$15,$AK10)*($K10+$O10)+INDEX(Config!$H$13:$H$15,$AK10)*$AL10+INDEX(Config!$J$13:$J$15,$AK10))</f>
        <v/>
      </c>
      <c r="W10" s="43" t="str">
        <f aca="false">IF(OR($D10="",$N10=""),"",INDEX(Config!$I$13:$I$15,$AK10)*($S10+$U10+INDEX(Config!$G$13:$G$15,$AK10)*($K10+$O10)))</f>
        <v/>
      </c>
      <c r="X10" s="43" t="str">
        <f aca="false">IF(OR($D10="",$N10=""),"",INDEX(Config!$K$13:$K$15,$AK10)/365*$P10*$K10*Config!$B$8)</f>
        <v/>
      </c>
      <c r="Y10" s="43" t="str">
        <f aca="false">IF(OR($D10="",$N10=""),"",SUM($S10:$X10))</f>
        <v/>
      </c>
      <c r="Z10" s="40" t="str">
        <f aca="false">IF(OR($D10="",$Q10=""),"",$Q10-$Y10)</f>
        <v/>
      </c>
      <c r="AA10" s="42" t="str">
        <f aca="false">IF(OR($D10="",$Z10="",$K10=0),"",$Z10/$K10)</f>
        <v/>
      </c>
      <c r="AB10" s="44" t="str">
        <f aca="false">IF(OR($D10="",$Y10="",$K10=0),"",$Y10/$K10*10000)</f>
        <v/>
      </c>
      <c r="AC10" s="44" t="str">
        <f aca="false">IF(OR($D10="",$G10="",$G10=0,$I10=""),"",IF($E10="LONG",($I10-$G10)/$G10,($G10-$I10)/$G10)*10000)</f>
        <v/>
      </c>
      <c r="AD10" s="45"/>
      <c r="AE10" s="40" t="str">
        <f aca="false">IF(OR($D10="",$N10&lt;&gt;"",$AD10=""),"",IF($E10="LONG",($AD10-$I10)*$J10,($I10-$AD10)*$J10))</f>
        <v/>
      </c>
      <c r="AF10" s="40" t="str">
        <f aca="false">IF(OR($D10="",$E10&lt;&gt;"LONG",$Z10=""),"",$Z10+SUMIFS($Z$4:$Z$503,$B$4:$B$503,$B10,$E$4:$E$503,"SHORT"))</f>
        <v/>
      </c>
      <c r="AG10" s="42" t="str">
        <f aca="false">IF(OR($AF10="",$K10=0),"",$AF10/$K10)</f>
        <v/>
      </c>
      <c r="AH10" s="46"/>
      <c r="AI10" s="43" t="str">
        <f aca="false">IF(OR($D10="",$AH10="",$Z10=""),"",$Z10-$AH10)</f>
        <v/>
      </c>
      <c r="AJ10" s="49"/>
      <c r="AK10" s="47" t="str">
        <f aca="false">IF($D10="","",IFERROR(MATCH($F10,Config!$A$13:$A$15,0),1))</f>
        <v/>
      </c>
      <c r="AL10" s="47" t="str">
        <f aca="false">IF(OR($D10="",$N10=""),"",IF($E10="LONG",$K10,$O10))</f>
        <v/>
      </c>
      <c r="AM10" s="47" t="str">
        <f aca="false">IF(OR($D10="",$N10=""),"",IF($E10="LONG",$O10,$K10))</f>
        <v/>
      </c>
    </row>
    <row r="11" customFormat="false" ht="15" hidden="false" customHeight="false" outlineLevel="0" collapsed="false">
      <c r="A11" s="49"/>
      <c r="B11" s="5" t="str">
        <f aca="false">IF($D11="","",IF(OR(RIGHT($A11,2)="-L",RIGHT($A11,2)="-S"),LEFT($A11,LEN($A11)-2),$A11))</f>
        <v/>
      </c>
      <c r="C11" s="50"/>
      <c r="D11" s="49"/>
      <c r="E11" s="49"/>
      <c r="F11" s="49"/>
      <c r="G11" s="45"/>
      <c r="H11" s="50"/>
      <c r="I11" s="45"/>
      <c r="J11" s="51"/>
      <c r="K11" s="40" t="str">
        <f aca="false">IF($D11="","",$I11*$J11)</f>
        <v/>
      </c>
      <c r="L11" s="50"/>
      <c r="M11" s="49"/>
      <c r="N11" s="45"/>
      <c r="O11" s="40" t="str">
        <f aca="false">IF(OR($D11="",$N11=""),"",$N11*$J11)</f>
        <v/>
      </c>
      <c r="P11" s="41" t="str">
        <f aca="false">IF(OR($D11="",$L11=""),"",MAX($L11-$H11,0))</f>
        <v/>
      </c>
      <c r="Q11" s="40" t="str">
        <f aca="false">IF(OR($D11="",$N11=""),"",IF($E11="LONG",($N11-$I11)*$J11,($I11-$N11)*$J11))</f>
        <v/>
      </c>
      <c r="R11" s="42" t="str">
        <f aca="false">IF(OR($D11="",$Q11="",$K11=0),"",$Q11/$K11)</f>
        <v/>
      </c>
      <c r="S11" s="43" t="str">
        <f aca="false">IF(OR($D11="",$N11=""),"",MIN(INDEX(Config!$C$13:$C$15,$AK11),INDEX(Config!$B$13:$B$15,$AK11)*$K11)+MIN(INDEX(Config!$C$13:$C$15,$AK11),INDEX(Config!$B$13:$B$15,$AK11)*$O11))</f>
        <v/>
      </c>
      <c r="T11" s="43" t="str">
        <f aca="false">IF(OR($D11="",$N11=""),"",INDEX(Config!$D$13:$D$15,$AK11)*$AL11+INDEX(Config!$E$13:$E$15,$AK11)*$AM11)</f>
        <v/>
      </c>
      <c r="U11" s="43" t="str">
        <f aca="false">IF(OR($D11="",$N11=""),"",INDEX(Config!$F$13:$F$15,$AK11)*($K11+$O11))</f>
        <v/>
      </c>
      <c r="V11" s="43" t="str">
        <f aca="false">IF(OR($D11="",$N11=""),"",INDEX(Config!$G$13:$G$15,$AK11)*($K11+$O11)+INDEX(Config!$H$13:$H$15,$AK11)*$AL11+INDEX(Config!$J$13:$J$15,$AK11))</f>
        <v/>
      </c>
      <c r="W11" s="43" t="str">
        <f aca="false">IF(OR($D11="",$N11=""),"",INDEX(Config!$I$13:$I$15,$AK11)*($S11+$U11+INDEX(Config!$G$13:$G$15,$AK11)*($K11+$O11)))</f>
        <v/>
      </c>
      <c r="X11" s="43" t="str">
        <f aca="false">IF(OR($D11="",$N11=""),"",INDEX(Config!$K$13:$K$15,$AK11)/365*$P11*$K11*Config!$B$8)</f>
        <v/>
      </c>
      <c r="Y11" s="43" t="str">
        <f aca="false">IF(OR($D11="",$N11=""),"",SUM($S11:$X11))</f>
        <v/>
      </c>
      <c r="Z11" s="40" t="str">
        <f aca="false">IF(OR($D11="",$Q11=""),"",$Q11-$Y11)</f>
        <v/>
      </c>
      <c r="AA11" s="42" t="str">
        <f aca="false">IF(OR($D11="",$Z11="",$K11=0),"",$Z11/$K11)</f>
        <v/>
      </c>
      <c r="AB11" s="44" t="str">
        <f aca="false">IF(OR($D11="",$Y11="",$K11=0),"",$Y11/$K11*10000)</f>
        <v/>
      </c>
      <c r="AC11" s="44" t="str">
        <f aca="false">IF(OR($D11="",$G11="",$G11=0,$I11=""),"",IF($E11="LONG",($I11-$G11)/$G11,($G11-$I11)/$G11)*10000)</f>
        <v/>
      </c>
      <c r="AD11" s="45"/>
      <c r="AE11" s="40" t="str">
        <f aca="false">IF(OR($D11="",$N11&lt;&gt;"",$AD11=""),"",IF($E11="LONG",($AD11-$I11)*$J11,($I11-$AD11)*$J11))</f>
        <v/>
      </c>
      <c r="AF11" s="40" t="str">
        <f aca="false">IF(OR($D11="",$E11&lt;&gt;"LONG",$Z11=""),"",$Z11+SUMIFS($Z$4:$Z$503,$B$4:$B$503,$B11,$E$4:$E$503,"SHORT"))</f>
        <v/>
      </c>
      <c r="AG11" s="42" t="str">
        <f aca="false">IF(OR($AF11="",$K11=0),"",$AF11/$K11)</f>
        <v/>
      </c>
      <c r="AH11" s="46"/>
      <c r="AI11" s="43" t="str">
        <f aca="false">IF(OR($D11="",$AH11="",$Z11=""),"",$Z11-$AH11)</f>
        <v/>
      </c>
      <c r="AJ11" s="49"/>
      <c r="AK11" s="47" t="str">
        <f aca="false">IF($D11="","",IFERROR(MATCH($F11,Config!$A$13:$A$15,0),1))</f>
        <v/>
      </c>
      <c r="AL11" s="47" t="str">
        <f aca="false">IF(OR($D11="",$N11=""),"",IF($E11="LONG",$K11,$O11))</f>
        <v/>
      </c>
      <c r="AM11" s="47" t="str">
        <f aca="false">IF(OR($D11="",$N11=""),"",IF($E11="LONG",$O11,$K11))</f>
        <v/>
      </c>
    </row>
    <row r="12" customFormat="false" ht="15" hidden="false" customHeight="false" outlineLevel="0" collapsed="false">
      <c r="A12" s="49"/>
      <c r="B12" s="5" t="str">
        <f aca="false">IF($D12="","",IF(OR(RIGHT($A12,2)="-L",RIGHT($A12,2)="-S"),LEFT($A12,LEN($A12)-2),$A12))</f>
        <v/>
      </c>
      <c r="C12" s="50"/>
      <c r="D12" s="49"/>
      <c r="E12" s="49"/>
      <c r="F12" s="49"/>
      <c r="G12" s="45"/>
      <c r="H12" s="50"/>
      <c r="I12" s="45"/>
      <c r="J12" s="51"/>
      <c r="K12" s="40" t="str">
        <f aca="false">IF($D12="","",$I12*$J12)</f>
        <v/>
      </c>
      <c r="L12" s="50"/>
      <c r="M12" s="49"/>
      <c r="N12" s="45"/>
      <c r="O12" s="40" t="str">
        <f aca="false">IF(OR($D12="",$N12=""),"",$N12*$J12)</f>
        <v/>
      </c>
      <c r="P12" s="41" t="str">
        <f aca="false">IF(OR($D12="",$L12=""),"",MAX($L12-$H12,0))</f>
        <v/>
      </c>
      <c r="Q12" s="40" t="str">
        <f aca="false">IF(OR($D12="",$N12=""),"",IF($E12="LONG",($N12-$I12)*$J12,($I12-$N12)*$J12))</f>
        <v/>
      </c>
      <c r="R12" s="42" t="str">
        <f aca="false">IF(OR($D12="",$Q12="",$K12=0),"",$Q12/$K12)</f>
        <v/>
      </c>
      <c r="S12" s="43" t="str">
        <f aca="false">IF(OR($D12="",$N12=""),"",MIN(INDEX(Config!$C$13:$C$15,$AK12),INDEX(Config!$B$13:$B$15,$AK12)*$K12)+MIN(INDEX(Config!$C$13:$C$15,$AK12),INDEX(Config!$B$13:$B$15,$AK12)*$O12))</f>
        <v/>
      </c>
      <c r="T12" s="43" t="str">
        <f aca="false">IF(OR($D12="",$N12=""),"",INDEX(Config!$D$13:$D$15,$AK12)*$AL12+INDEX(Config!$E$13:$E$15,$AK12)*$AM12)</f>
        <v/>
      </c>
      <c r="U12" s="43" t="str">
        <f aca="false">IF(OR($D12="",$N12=""),"",INDEX(Config!$F$13:$F$15,$AK12)*($K12+$O12))</f>
        <v/>
      </c>
      <c r="V12" s="43" t="str">
        <f aca="false">IF(OR($D12="",$N12=""),"",INDEX(Config!$G$13:$G$15,$AK12)*($K12+$O12)+INDEX(Config!$H$13:$H$15,$AK12)*$AL12+INDEX(Config!$J$13:$J$15,$AK12))</f>
        <v/>
      </c>
      <c r="W12" s="43" t="str">
        <f aca="false">IF(OR($D12="",$N12=""),"",INDEX(Config!$I$13:$I$15,$AK12)*($S12+$U12+INDEX(Config!$G$13:$G$15,$AK12)*($K12+$O12)))</f>
        <v/>
      </c>
      <c r="X12" s="43" t="str">
        <f aca="false">IF(OR($D12="",$N12=""),"",INDEX(Config!$K$13:$K$15,$AK12)/365*$P12*$K12*Config!$B$8)</f>
        <v/>
      </c>
      <c r="Y12" s="43" t="str">
        <f aca="false">IF(OR($D12="",$N12=""),"",SUM($S12:$X12))</f>
        <v/>
      </c>
      <c r="Z12" s="40" t="str">
        <f aca="false">IF(OR($D12="",$Q12=""),"",$Q12-$Y12)</f>
        <v/>
      </c>
      <c r="AA12" s="42" t="str">
        <f aca="false">IF(OR($D12="",$Z12="",$K12=0),"",$Z12/$K12)</f>
        <v/>
      </c>
      <c r="AB12" s="44" t="str">
        <f aca="false">IF(OR($D12="",$Y12="",$K12=0),"",$Y12/$K12*10000)</f>
        <v/>
      </c>
      <c r="AC12" s="44" t="str">
        <f aca="false">IF(OR($D12="",$G12="",$G12=0,$I12=""),"",IF($E12="LONG",($I12-$G12)/$G12,($G12-$I12)/$G12)*10000)</f>
        <v/>
      </c>
      <c r="AD12" s="45"/>
      <c r="AE12" s="40" t="str">
        <f aca="false">IF(OR($D12="",$N12&lt;&gt;"",$AD12=""),"",IF($E12="LONG",($AD12-$I12)*$J12,($I12-$AD12)*$J12))</f>
        <v/>
      </c>
      <c r="AF12" s="40" t="str">
        <f aca="false">IF(OR($D12="",$E12&lt;&gt;"LONG",$Z12=""),"",$Z12+SUMIFS($Z$4:$Z$503,$B$4:$B$503,$B12,$E$4:$E$503,"SHORT"))</f>
        <v/>
      </c>
      <c r="AG12" s="42" t="str">
        <f aca="false">IF(OR($AF12="",$K12=0),"",$AF12/$K12)</f>
        <v/>
      </c>
      <c r="AH12" s="46"/>
      <c r="AI12" s="43" t="str">
        <f aca="false">IF(OR($D12="",$AH12="",$Z12=""),"",$Z12-$AH12)</f>
        <v/>
      </c>
      <c r="AJ12" s="49"/>
      <c r="AK12" s="47" t="str">
        <f aca="false">IF($D12="","",IFERROR(MATCH($F12,Config!$A$13:$A$15,0),1))</f>
        <v/>
      </c>
      <c r="AL12" s="47" t="str">
        <f aca="false">IF(OR($D12="",$N12=""),"",IF($E12="LONG",$K12,$O12))</f>
        <v/>
      </c>
      <c r="AM12" s="47" t="str">
        <f aca="false">IF(OR($D12="",$N12=""),"",IF($E12="LONG",$O12,$K12))</f>
        <v/>
      </c>
    </row>
    <row r="13" customFormat="false" ht="15" hidden="false" customHeight="false" outlineLevel="0" collapsed="false">
      <c r="A13" s="49"/>
      <c r="B13" s="5" t="str">
        <f aca="false">IF($D13="","",IF(OR(RIGHT($A13,2)="-L",RIGHT($A13,2)="-S"),LEFT($A13,LEN($A13)-2),$A13))</f>
        <v/>
      </c>
      <c r="C13" s="50"/>
      <c r="D13" s="49"/>
      <c r="E13" s="49"/>
      <c r="F13" s="49"/>
      <c r="G13" s="45"/>
      <c r="H13" s="50"/>
      <c r="I13" s="45"/>
      <c r="J13" s="51"/>
      <c r="K13" s="40" t="str">
        <f aca="false">IF($D13="","",$I13*$J13)</f>
        <v/>
      </c>
      <c r="L13" s="50"/>
      <c r="M13" s="49"/>
      <c r="N13" s="45"/>
      <c r="O13" s="40" t="str">
        <f aca="false">IF(OR($D13="",$N13=""),"",$N13*$J13)</f>
        <v/>
      </c>
      <c r="P13" s="41" t="str">
        <f aca="false">IF(OR($D13="",$L13=""),"",MAX($L13-$H13,0))</f>
        <v/>
      </c>
      <c r="Q13" s="40" t="str">
        <f aca="false">IF(OR($D13="",$N13=""),"",IF($E13="LONG",($N13-$I13)*$J13,($I13-$N13)*$J13))</f>
        <v/>
      </c>
      <c r="R13" s="42" t="str">
        <f aca="false">IF(OR($D13="",$Q13="",$K13=0),"",$Q13/$K13)</f>
        <v/>
      </c>
      <c r="S13" s="43" t="str">
        <f aca="false">IF(OR($D13="",$N13=""),"",MIN(INDEX(Config!$C$13:$C$15,$AK13),INDEX(Config!$B$13:$B$15,$AK13)*$K13)+MIN(INDEX(Config!$C$13:$C$15,$AK13),INDEX(Config!$B$13:$B$15,$AK13)*$O13))</f>
        <v/>
      </c>
      <c r="T13" s="43" t="str">
        <f aca="false">IF(OR($D13="",$N13=""),"",INDEX(Config!$D$13:$D$15,$AK13)*$AL13+INDEX(Config!$E$13:$E$15,$AK13)*$AM13)</f>
        <v/>
      </c>
      <c r="U13" s="43" t="str">
        <f aca="false">IF(OR($D13="",$N13=""),"",INDEX(Config!$F$13:$F$15,$AK13)*($K13+$O13))</f>
        <v/>
      </c>
      <c r="V13" s="43" t="str">
        <f aca="false">IF(OR($D13="",$N13=""),"",INDEX(Config!$G$13:$G$15,$AK13)*($K13+$O13)+INDEX(Config!$H$13:$H$15,$AK13)*$AL13+INDEX(Config!$J$13:$J$15,$AK13))</f>
        <v/>
      </c>
      <c r="W13" s="43" t="str">
        <f aca="false">IF(OR($D13="",$N13=""),"",INDEX(Config!$I$13:$I$15,$AK13)*($S13+$U13+INDEX(Config!$G$13:$G$15,$AK13)*($K13+$O13)))</f>
        <v/>
      </c>
      <c r="X13" s="43" t="str">
        <f aca="false">IF(OR($D13="",$N13=""),"",INDEX(Config!$K$13:$K$15,$AK13)/365*$P13*$K13*Config!$B$8)</f>
        <v/>
      </c>
      <c r="Y13" s="43" t="str">
        <f aca="false">IF(OR($D13="",$N13=""),"",SUM($S13:$X13))</f>
        <v/>
      </c>
      <c r="Z13" s="40" t="str">
        <f aca="false">IF(OR($D13="",$Q13=""),"",$Q13-$Y13)</f>
        <v/>
      </c>
      <c r="AA13" s="42" t="str">
        <f aca="false">IF(OR($D13="",$Z13="",$K13=0),"",$Z13/$K13)</f>
        <v/>
      </c>
      <c r="AB13" s="44" t="str">
        <f aca="false">IF(OR($D13="",$Y13="",$K13=0),"",$Y13/$K13*10000)</f>
        <v/>
      </c>
      <c r="AC13" s="44" t="str">
        <f aca="false">IF(OR($D13="",$G13="",$G13=0,$I13=""),"",IF($E13="LONG",($I13-$G13)/$G13,($G13-$I13)/$G13)*10000)</f>
        <v/>
      </c>
      <c r="AD13" s="45"/>
      <c r="AE13" s="40" t="str">
        <f aca="false">IF(OR($D13="",$N13&lt;&gt;"",$AD13=""),"",IF($E13="LONG",($AD13-$I13)*$J13,($I13-$AD13)*$J13))</f>
        <v/>
      </c>
      <c r="AF13" s="40" t="str">
        <f aca="false">IF(OR($D13="",$E13&lt;&gt;"LONG",$Z13=""),"",$Z13+SUMIFS($Z$4:$Z$503,$B$4:$B$503,$B13,$E$4:$E$503,"SHORT"))</f>
        <v/>
      </c>
      <c r="AG13" s="42" t="str">
        <f aca="false">IF(OR($AF13="",$K13=0),"",$AF13/$K13)</f>
        <v/>
      </c>
      <c r="AH13" s="46"/>
      <c r="AI13" s="43" t="str">
        <f aca="false">IF(OR($D13="",$AH13="",$Z13=""),"",$Z13-$AH13)</f>
        <v/>
      </c>
      <c r="AJ13" s="49"/>
      <c r="AK13" s="47" t="str">
        <f aca="false">IF($D13="","",IFERROR(MATCH($F13,Config!$A$13:$A$15,0),1))</f>
        <v/>
      </c>
      <c r="AL13" s="47" t="str">
        <f aca="false">IF(OR($D13="",$N13=""),"",IF($E13="LONG",$K13,$O13))</f>
        <v/>
      </c>
      <c r="AM13" s="47" t="str">
        <f aca="false">IF(OR($D13="",$N13=""),"",IF($E13="LONG",$O13,$K13))</f>
        <v/>
      </c>
    </row>
    <row r="14" customFormat="false" ht="15" hidden="false" customHeight="false" outlineLevel="0" collapsed="false">
      <c r="A14" s="49"/>
      <c r="B14" s="5" t="str">
        <f aca="false">IF($D14="","",IF(OR(RIGHT($A14,2)="-L",RIGHT($A14,2)="-S"),LEFT($A14,LEN($A14)-2),$A14))</f>
        <v/>
      </c>
      <c r="C14" s="50"/>
      <c r="D14" s="49"/>
      <c r="E14" s="49"/>
      <c r="F14" s="49"/>
      <c r="G14" s="45"/>
      <c r="H14" s="50"/>
      <c r="I14" s="45"/>
      <c r="J14" s="51"/>
      <c r="K14" s="40" t="str">
        <f aca="false">IF($D14="","",$I14*$J14)</f>
        <v/>
      </c>
      <c r="L14" s="50"/>
      <c r="M14" s="49"/>
      <c r="N14" s="45"/>
      <c r="O14" s="40" t="str">
        <f aca="false">IF(OR($D14="",$N14=""),"",$N14*$J14)</f>
        <v/>
      </c>
      <c r="P14" s="41" t="str">
        <f aca="false">IF(OR($D14="",$L14=""),"",MAX($L14-$H14,0))</f>
        <v/>
      </c>
      <c r="Q14" s="40" t="str">
        <f aca="false">IF(OR($D14="",$N14=""),"",IF($E14="LONG",($N14-$I14)*$J14,($I14-$N14)*$J14))</f>
        <v/>
      </c>
      <c r="R14" s="42" t="str">
        <f aca="false">IF(OR($D14="",$Q14="",$K14=0),"",$Q14/$K14)</f>
        <v/>
      </c>
      <c r="S14" s="43" t="str">
        <f aca="false">IF(OR($D14="",$N14=""),"",MIN(INDEX(Config!$C$13:$C$15,$AK14),INDEX(Config!$B$13:$B$15,$AK14)*$K14)+MIN(INDEX(Config!$C$13:$C$15,$AK14),INDEX(Config!$B$13:$B$15,$AK14)*$O14))</f>
        <v/>
      </c>
      <c r="T14" s="43" t="str">
        <f aca="false">IF(OR($D14="",$N14=""),"",INDEX(Config!$D$13:$D$15,$AK14)*$AL14+INDEX(Config!$E$13:$E$15,$AK14)*$AM14)</f>
        <v/>
      </c>
      <c r="U14" s="43" t="str">
        <f aca="false">IF(OR($D14="",$N14=""),"",INDEX(Config!$F$13:$F$15,$AK14)*($K14+$O14))</f>
        <v/>
      </c>
      <c r="V14" s="43" t="str">
        <f aca="false">IF(OR($D14="",$N14=""),"",INDEX(Config!$G$13:$G$15,$AK14)*($K14+$O14)+INDEX(Config!$H$13:$H$15,$AK14)*$AL14+INDEX(Config!$J$13:$J$15,$AK14))</f>
        <v/>
      </c>
      <c r="W14" s="43" t="str">
        <f aca="false">IF(OR($D14="",$N14=""),"",INDEX(Config!$I$13:$I$15,$AK14)*($S14+$U14+INDEX(Config!$G$13:$G$15,$AK14)*($K14+$O14)))</f>
        <v/>
      </c>
      <c r="X14" s="43" t="str">
        <f aca="false">IF(OR($D14="",$N14=""),"",INDEX(Config!$K$13:$K$15,$AK14)/365*$P14*$K14*Config!$B$8)</f>
        <v/>
      </c>
      <c r="Y14" s="43" t="str">
        <f aca="false">IF(OR($D14="",$N14=""),"",SUM($S14:$X14))</f>
        <v/>
      </c>
      <c r="Z14" s="40" t="str">
        <f aca="false">IF(OR($D14="",$Q14=""),"",$Q14-$Y14)</f>
        <v/>
      </c>
      <c r="AA14" s="42" t="str">
        <f aca="false">IF(OR($D14="",$Z14="",$K14=0),"",$Z14/$K14)</f>
        <v/>
      </c>
      <c r="AB14" s="44" t="str">
        <f aca="false">IF(OR($D14="",$Y14="",$K14=0),"",$Y14/$K14*10000)</f>
        <v/>
      </c>
      <c r="AC14" s="44" t="str">
        <f aca="false">IF(OR($D14="",$G14="",$G14=0,$I14=""),"",IF($E14="LONG",($I14-$G14)/$G14,($G14-$I14)/$G14)*10000)</f>
        <v/>
      </c>
      <c r="AD14" s="45"/>
      <c r="AE14" s="40" t="str">
        <f aca="false">IF(OR($D14="",$N14&lt;&gt;"",$AD14=""),"",IF($E14="LONG",($AD14-$I14)*$J14,($I14-$AD14)*$J14))</f>
        <v/>
      </c>
      <c r="AF14" s="40" t="str">
        <f aca="false">IF(OR($D14="",$E14&lt;&gt;"LONG",$Z14=""),"",$Z14+SUMIFS($Z$4:$Z$503,$B$4:$B$503,$B14,$E$4:$E$503,"SHORT"))</f>
        <v/>
      </c>
      <c r="AG14" s="42" t="str">
        <f aca="false">IF(OR($AF14="",$K14=0),"",$AF14/$K14)</f>
        <v/>
      </c>
      <c r="AH14" s="46"/>
      <c r="AI14" s="43" t="str">
        <f aca="false">IF(OR($D14="",$AH14="",$Z14=""),"",$Z14-$AH14)</f>
        <v/>
      </c>
      <c r="AJ14" s="49"/>
      <c r="AK14" s="47" t="str">
        <f aca="false">IF($D14="","",IFERROR(MATCH($F14,Config!$A$13:$A$15,0),1))</f>
        <v/>
      </c>
      <c r="AL14" s="47" t="str">
        <f aca="false">IF(OR($D14="",$N14=""),"",IF($E14="LONG",$K14,$O14))</f>
        <v/>
      </c>
      <c r="AM14" s="47" t="str">
        <f aca="false">IF(OR($D14="",$N14=""),"",IF($E14="LONG",$O14,$K14))</f>
        <v/>
      </c>
    </row>
    <row r="15" customFormat="false" ht="15" hidden="false" customHeight="false" outlineLevel="0" collapsed="false">
      <c r="A15" s="49"/>
      <c r="B15" s="5" t="str">
        <f aca="false">IF($D15="","",IF(OR(RIGHT($A15,2)="-L",RIGHT($A15,2)="-S"),LEFT($A15,LEN($A15)-2),$A15))</f>
        <v/>
      </c>
      <c r="C15" s="50"/>
      <c r="D15" s="49"/>
      <c r="E15" s="49"/>
      <c r="F15" s="49"/>
      <c r="G15" s="45"/>
      <c r="H15" s="50"/>
      <c r="I15" s="45"/>
      <c r="J15" s="51"/>
      <c r="K15" s="40" t="str">
        <f aca="false">IF($D15="","",$I15*$J15)</f>
        <v/>
      </c>
      <c r="L15" s="50"/>
      <c r="M15" s="49"/>
      <c r="N15" s="45"/>
      <c r="O15" s="40" t="str">
        <f aca="false">IF(OR($D15="",$N15=""),"",$N15*$J15)</f>
        <v/>
      </c>
      <c r="P15" s="41" t="str">
        <f aca="false">IF(OR($D15="",$L15=""),"",MAX($L15-$H15,0))</f>
        <v/>
      </c>
      <c r="Q15" s="40" t="str">
        <f aca="false">IF(OR($D15="",$N15=""),"",IF($E15="LONG",($N15-$I15)*$J15,($I15-$N15)*$J15))</f>
        <v/>
      </c>
      <c r="R15" s="42" t="str">
        <f aca="false">IF(OR($D15="",$Q15="",$K15=0),"",$Q15/$K15)</f>
        <v/>
      </c>
      <c r="S15" s="43" t="str">
        <f aca="false">IF(OR($D15="",$N15=""),"",MIN(INDEX(Config!$C$13:$C$15,$AK15),INDEX(Config!$B$13:$B$15,$AK15)*$K15)+MIN(INDEX(Config!$C$13:$C$15,$AK15),INDEX(Config!$B$13:$B$15,$AK15)*$O15))</f>
        <v/>
      </c>
      <c r="T15" s="43" t="str">
        <f aca="false">IF(OR($D15="",$N15=""),"",INDEX(Config!$D$13:$D$15,$AK15)*$AL15+INDEX(Config!$E$13:$E$15,$AK15)*$AM15)</f>
        <v/>
      </c>
      <c r="U15" s="43" t="str">
        <f aca="false">IF(OR($D15="",$N15=""),"",INDEX(Config!$F$13:$F$15,$AK15)*($K15+$O15))</f>
        <v/>
      </c>
      <c r="V15" s="43" t="str">
        <f aca="false">IF(OR($D15="",$N15=""),"",INDEX(Config!$G$13:$G$15,$AK15)*($K15+$O15)+INDEX(Config!$H$13:$H$15,$AK15)*$AL15+INDEX(Config!$J$13:$J$15,$AK15))</f>
        <v/>
      </c>
      <c r="W15" s="43" t="str">
        <f aca="false">IF(OR($D15="",$N15=""),"",INDEX(Config!$I$13:$I$15,$AK15)*($S15+$U15+INDEX(Config!$G$13:$G$15,$AK15)*($K15+$O15)))</f>
        <v/>
      </c>
      <c r="X15" s="43" t="str">
        <f aca="false">IF(OR($D15="",$N15=""),"",INDEX(Config!$K$13:$K$15,$AK15)/365*$P15*$K15*Config!$B$8)</f>
        <v/>
      </c>
      <c r="Y15" s="43" t="str">
        <f aca="false">IF(OR($D15="",$N15=""),"",SUM($S15:$X15))</f>
        <v/>
      </c>
      <c r="Z15" s="40" t="str">
        <f aca="false">IF(OR($D15="",$Q15=""),"",$Q15-$Y15)</f>
        <v/>
      </c>
      <c r="AA15" s="42" t="str">
        <f aca="false">IF(OR($D15="",$Z15="",$K15=0),"",$Z15/$K15)</f>
        <v/>
      </c>
      <c r="AB15" s="44" t="str">
        <f aca="false">IF(OR($D15="",$Y15="",$K15=0),"",$Y15/$K15*10000)</f>
        <v/>
      </c>
      <c r="AC15" s="44" t="str">
        <f aca="false">IF(OR($D15="",$G15="",$G15=0,$I15=""),"",IF($E15="LONG",($I15-$G15)/$G15,($G15-$I15)/$G15)*10000)</f>
        <v/>
      </c>
      <c r="AD15" s="45"/>
      <c r="AE15" s="40" t="str">
        <f aca="false">IF(OR($D15="",$N15&lt;&gt;"",$AD15=""),"",IF($E15="LONG",($AD15-$I15)*$J15,($I15-$AD15)*$J15))</f>
        <v/>
      </c>
      <c r="AF15" s="40" t="str">
        <f aca="false">IF(OR($D15="",$E15&lt;&gt;"LONG",$Z15=""),"",$Z15+SUMIFS($Z$4:$Z$503,$B$4:$B$503,$B15,$E$4:$E$503,"SHORT"))</f>
        <v/>
      </c>
      <c r="AG15" s="42" t="str">
        <f aca="false">IF(OR($AF15="",$K15=0),"",$AF15/$K15)</f>
        <v/>
      </c>
      <c r="AH15" s="46"/>
      <c r="AI15" s="43" t="str">
        <f aca="false">IF(OR($D15="",$AH15="",$Z15=""),"",$Z15-$AH15)</f>
        <v/>
      </c>
      <c r="AJ15" s="49"/>
      <c r="AK15" s="47" t="str">
        <f aca="false">IF($D15="","",IFERROR(MATCH($F15,Config!$A$13:$A$15,0),1))</f>
        <v/>
      </c>
      <c r="AL15" s="47" t="str">
        <f aca="false">IF(OR($D15="",$N15=""),"",IF($E15="LONG",$K15,$O15))</f>
        <v/>
      </c>
      <c r="AM15" s="47" t="str">
        <f aca="false">IF(OR($D15="",$N15=""),"",IF($E15="LONG",$O15,$K15))</f>
        <v/>
      </c>
    </row>
    <row r="16" customFormat="false" ht="15" hidden="false" customHeight="false" outlineLevel="0" collapsed="false">
      <c r="A16" s="49"/>
      <c r="B16" s="5" t="str">
        <f aca="false">IF($D16="","",IF(OR(RIGHT($A16,2)="-L",RIGHT($A16,2)="-S"),LEFT($A16,LEN($A16)-2),$A16))</f>
        <v/>
      </c>
      <c r="C16" s="50"/>
      <c r="D16" s="49"/>
      <c r="E16" s="49"/>
      <c r="F16" s="49"/>
      <c r="G16" s="45"/>
      <c r="H16" s="50"/>
      <c r="I16" s="45"/>
      <c r="J16" s="51"/>
      <c r="K16" s="40" t="str">
        <f aca="false">IF($D16="","",$I16*$J16)</f>
        <v/>
      </c>
      <c r="L16" s="50"/>
      <c r="M16" s="49"/>
      <c r="N16" s="45"/>
      <c r="O16" s="40" t="str">
        <f aca="false">IF(OR($D16="",$N16=""),"",$N16*$J16)</f>
        <v/>
      </c>
      <c r="P16" s="41" t="str">
        <f aca="false">IF(OR($D16="",$L16=""),"",MAX($L16-$H16,0))</f>
        <v/>
      </c>
      <c r="Q16" s="40" t="str">
        <f aca="false">IF(OR($D16="",$N16=""),"",IF($E16="LONG",($N16-$I16)*$J16,($I16-$N16)*$J16))</f>
        <v/>
      </c>
      <c r="R16" s="42" t="str">
        <f aca="false">IF(OR($D16="",$Q16="",$K16=0),"",$Q16/$K16)</f>
        <v/>
      </c>
      <c r="S16" s="43" t="str">
        <f aca="false">IF(OR($D16="",$N16=""),"",MIN(INDEX(Config!$C$13:$C$15,$AK16),INDEX(Config!$B$13:$B$15,$AK16)*$K16)+MIN(INDEX(Config!$C$13:$C$15,$AK16),INDEX(Config!$B$13:$B$15,$AK16)*$O16))</f>
        <v/>
      </c>
      <c r="T16" s="43" t="str">
        <f aca="false">IF(OR($D16="",$N16=""),"",INDEX(Config!$D$13:$D$15,$AK16)*$AL16+INDEX(Config!$E$13:$E$15,$AK16)*$AM16)</f>
        <v/>
      </c>
      <c r="U16" s="43" t="str">
        <f aca="false">IF(OR($D16="",$N16=""),"",INDEX(Config!$F$13:$F$15,$AK16)*($K16+$O16))</f>
        <v/>
      </c>
      <c r="V16" s="43" t="str">
        <f aca="false">IF(OR($D16="",$N16=""),"",INDEX(Config!$G$13:$G$15,$AK16)*($K16+$O16)+INDEX(Config!$H$13:$H$15,$AK16)*$AL16+INDEX(Config!$J$13:$J$15,$AK16))</f>
        <v/>
      </c>
      <c r="W16" s="43" t="str">
        <f aca="false">IF(OR($D16="",$N16=""),"",INDEX(Config!$I$13:$I$15,$AK16)*($S16+$U16+INDEX(Config!$G$13:$G$15,$AK16)*($K16+$O16)))</f>
        <v/>
      </c>
      <c r="X16" s="43" t="str">
        <f aca="false">IF(OR($D16="",$N16=""),"",INDEX(Config!$K$13:$K$15,$AK16)/365*$P16*$K16*Config!$B$8)</f>
        <v/>
      </c>
      <c r="Y16" s="43" t="str">
        <f aca="false">IF(OR($D16="",$N16=""),"",SUM($S16:$X16))</f>
        <v/>
      </c>
      <c r="Z16" s="40" t="str">
        <f aca="false">IF(OR($D16="",$Q16=""),"",$Q16-$Y16)</f>
        <v/>
      </c>
      <c r="AA16" s="42" t="str">
        <f aca="false">IF(OR($D16="",$Z16="",$K16=0),"",$Z16/$K16)</f>
        <v/>
      </c>
      <c r="AB16" s="44" t="str">
        <f aca="false">IF(OR($D16="",$Y16="",$K16=0),"",$Y16/$K16*10000)</f>
        <v/>
      </c>
      <c r="AC16" s="44" t="str">
        <f aca="false">IF(OR($D16="",$G16="",$G16=0,$I16=""),"",IF($E16="LONG",($I16-$G16)/$G16,($G16-$I16)/$G16)*10000)</f>
        <v/>
      </c>
      <c r="AD16" s="45"/>
      <c r="AE16" s="40" t="str">
        <f aca="false">IF(OR($D16="",$N16&lt;&gt;"",$AD16=""),"",IF($E16="LONG",($AD16-$I16)*$J16,($I16-$AD16)*$J16))</f>
        <v/>
      </c>
      <c r="AF16" s="40" t="str">
        <f aca="false">IF(OR($D16="",$E16&lt;&gt;"LONG",$Z16=""),"",$Z16+SUMIFS($Z$4:$Z$503,$B$4:$B$503,$B16,$E$4:$E$503,"SHORT"))</f>
        <v/>
      </c>
      <c r="AG16" s="42" t="str">
        <f aca="false">IF(OR($AF16="",$K16=0),"",$AF16/$K16)</f>
        <v/>
      </c>
      <c r="AH16" s="46"/>
      <c r="AI16" s="43" t="str">
        <f aca="false">IF(OR($D16="",$AH16="",$Z16=""),"",$Z16-$AH16)</f>
        <v/>
      </c>
      <c r="AJ16" s="49"/>
      <c r="AK16" s="47" t="str">
        <f aca="false">IF($D16="","",IFERROR(MATCH($F16,Config!$A$13:$A$15,0),1))</f>
        <v/>
      </c>
      <c r="AL16" s="47" t="str">
        <f aca="false">IF(OR($D16="",$N16=""),"",IF($E16="LONG",$K16,$O16))</f>
        <v/>
      </c>
      <c r="AM16" s="47" t="str">
        <f aca="false">IF(OR($D16="",$N16=""),"",IF($E16="LONG",$O16,$K16))</f>
        <v/>
      </c>
    </row>
    <row r="17" customFormat="false" ht="15" hidden="false" customHeight="false" outlineLevel="0" collapsed="false">
      <c r="A17" s="49"/>
      <c r="B17" s="5" t="str">
        <f aca="false">IF($D17="","",IF(OR(RIGHT($A17,2)="-L",RIGHT($A17,2)="-S"),LEFT($A17,LEN($A17)-2),$A17))</f>
        <v/>
      </c>
      <c r="C17" s="50"/>
      <c r="D17" s="49"/>
      <c r="E17" s="49"/>
      <c r="F17" s="49"/>
      <c r="G17" s="45"/>
      <c r="H17" s="50"/>
      <c r="I17" s="45"/>
      <c r="J17" s="51"/>
      <c r="K17" s="40" t="str">
        <f aca="false">IF($D17="","",$I17*$J17)</f>
        <v/>
      </c>
      <c r="L17" s="50"/>
      <c r="M17" s="49"/>
      <c r="N17" s="45"/>
      <c r="O17" s="40" t="str">
        <f aca="false">IF(OR($D17="",$N17=""),"",$N17*$J17)</f>
        <v/>
      </c>
      <c r="P17" s="41" t="str">
        <f aca="false">IF(OR($D17="",$L17=""),"",MAX($L17-$H17,0))</f>
        <v/>
      </c>
      <c r="Q17" s="40" t="str">
        <f aca="false">IF(OR($D17="",$N17=""),"",IF($E17="LONG",($N17-$I17)*$J17,($I17-$N17)*$J17))</f>
        <v/>
      </c>
      <c r="R17" s="42" t="str">
        <f aca="false">IF(OR($D17="",$Q17="",$K17=0),"",$Q17/$K17)</f>
        <v/>
      </c>
      <c r="S17" s="43" t="str">
        <f aca="false">IF(OR($D17="",$N17=""),"",MIN(INDEX(Config!$C$13:$C$15,$AK17),INDEX(Config!$B$13:$B$15,$AK17)*$K17)+MIN(INDEX(Config!$C$13:$C$15,$AK17),INDEX(Config!$B$13:$B$15,$AK17)*$O17))</f>
        <v/>
      </c>
      <c r="T17" s="43" t="str">
        <f aca="false">IF(OR($D17="",$N17=""),"",INDEX(Config!$D$13:$D$15,$AK17)*$AL17+INDEX(Config!$E$13:$E$15,$AK17)*$AM17)</f>
        <v/>
      </c>
      <c r="U17" s="43" t="str">
        <f aca="false">IF(OR($D17="",$N17=""),"",INDEX(Config!$F$13:$F$15,$AK17)*($K17+$O17))</f>
        <v/>
      </c>
      <c r="V17" s="43" t="str">
        <f aca="false">IF(OR($D17="",$N17=""),"",INDEX(Config!$G$13:$G$15,$AK17)*($K17+$O17)+INDEX(Config!$H$13:$H$15,$AK17)*$AL17+INDEX(Config!$J$13:$J$15,$AK17))</f>
        <v/>
      </c>
      <c r="W17" s="43" t="str">
        <f aca="false">IF(OR($D17="",$N17=""),"",INDEX(Config!$I$13:$I$15,$AK17)*($S17+$U17+INDEX(Config!$G$13:$G$15,$AK17)*($K17+$O17)))</f>
        <v/>
      </c>
      <c r="X17" s="43" t="str">
        <f aca="false">IF(OR($D17="",$N17=""),"",INDEX(Config!$K$13:$K$15,$AK17)/365*$P17*$K17*Config!$B$8)</f>
        <v/>
      </c>
      <c r="Y17" s="43" t="str">
        <f aca="false">IF(OR($D17="",$N17=""),"",SUM($S17:$X17))</f>
        <v/>
      </c>
      <c r="Z17" s="40" t="str">
        <f aca="false">IF(OR($D17="",$Q17=""),"",$Q17-$Y17)</f>
        <v/>
      </c>
      <c r="AA17" s="42" t="str">
        <f aca="false">IF(OR($D17="",$Z17="",$K17=0),"",$Z17/$K17)</f>
        <v/>
      </c>
      <c r="AB17" s="44" t="str">
        <f aca="false">IF(OR($D17="",$Y17="",$K17=0),"",$Y17/$K17*10000)</f>
        <v/>
      </c>
      <c r="AC17" s="44" t="str">
        <f aca="false">IF(OR($D17="",$G17="",$G17=0,$I17=""),"",IF($E17="LONG",($I17-$G17)/$G17,($G17-$I17)/$G17)*10000)</f>
        <v/>
      </c>
      <c r="AD17" s="45"/>
      <c r="AE17" s="40" t="str">
        <f aca="false">IF(OR($D17="",$N17&lt;&gt;"",$AD17=""),"",IF($E17="LONG",($AD17-$I17)*$J17,($I17-$AD17)*$J17))</f>
        <v/>
      </c>
      <c r="AF17" s="40" t="str">
        <f aca="false">IF(OR($D17="",$E17&lt;&gt;"LONG",$Z17=""),"",$Z17+SUMIFS($Z$4:$Z$503,$B$4:$B$503,$B17,$E$4:$E$503,"SHORT"))</f>
        <v/>
      </c>
      <c r="AG17" s="42" t="str">
        <f aca="false">IF(OR($AF17="",$K17=0),"",$AF17/$K17)</f>
        <v/>
      </c>
      <c r="AH17" s="46"/>
      <c r="AI17" s="43" t="str">
        <f aca="false">IF(OR($D17="",$AH17="",$Z17=""),"",$Z17-$AH17)</f>
        <v/>
      </c>
      <c r="AJ17" s="49"/>
      <c r="AK17" s="47" t="str">
        <f aca="false">IF($D17="","",IFERROR(MATCH($F17,Config!$A$13:$A$15,0),1))</f>
        <v/>
      </c>
      <c r="AL17" s="47" t="str">
        <f aca="false">IF(OR($D17="",$N17=""),"",IF($E17="LONG",$K17,$O17))</f>
        <v/>
      </c>
      <c r="AM17" s="47" t="str">
        <f aca="false">IF(OR($D17="",$N17=""),"",IF($E17="LONG",$O17,$K17))</f>
        <v/>
      </c>
    </row>
    <row r="18" customFormat="false" ht="15" hidden="false" customHeight="false" outlineLevel="0" collapsed="false">
      <c r="A18" s="49"/>
      <c r="B18" s="5" t="str">
        <f aca="false">IF($D18="","",IF(OR(RIGHT($A18,2)="-L",RIGHT($A18,2)="-S"),LEFT($A18,LEN($A18)-2),$A18))</f>
        <v/>
      </c>
      <c r="C18" s="50"/>
      <c r="D18" s="49"/>
      <c r="E18" s="49"/>
      <c r="F18" s="49"/>
      <c r="G18" s="45"/>
      <c r="H18" s="50"/>
      <c r="I18" s="45"/>
      <c r="J18" s="51"/>
      <c r="K18" s="40" t="str">
        <f aca="false">IF($D18="","",$I18*$J18)</f>
        <v/>
      </c>
      <c r="L18" s="50"/>
      <c r="M18" s="49"/>
      <c r="N18" s="45"/>
      <c r="O18" s="40" t="str">
        <f aca="false">IF(OR($D18="",$N18=""),"",$N18*$J18)</f>
        <v/>
      </c>
      <c r="P18" s="41" t="str">
        <f aca="false">IF(OR($D18="",$L18=""),"",MAX($L18-$H18,0))</f>
        <v/>
      </c>
      <c r="Q18" s="40" t="str">
        <f aca="false">IF(OR($D18="",$N18=""),"",IF($E18="LONG",($N18-$I18)*$J18,($I18-$N18)*$J18))</f>
        <v/>
      </c>
      <c r="R18" s="42" t="str">
        <f aca="false">IF(OR($D18="",$Q18="",$K18=0),"",$Q18/$K18)</f>
        <v/>
      </c>
      <c r="S18" s="43" t="str">
        <f aca="false">IF(OR($D18="",$N18=""),"",MIN(INDEX(Config!$C$13:$C$15,$AK18),INDEX(Config!$B$13:$B$15,$AK18)*$K18)+MIN(INDEX(Config!$C$13:$C$15,$AK18),INDEX(Config!$B$13:$B$15,$AK18)*$O18))</f>
        <v/>
      </c>
      <c r="T18" s="43" t="str">
        <f aca="false">IF(OR($D18="",$N18=""),"",INDEX(Config!$D$13:$D$15,$AK18)*$AL18+INDEX(Config!$E$13:$E$15,$AK18)*$AM18)</f>
        <v/>
      </c>
      <c r="U18" s="43" t="str">
        <f aca="false">IF(OR($D18="",$N18=""),"",INDEX(Config!$F$13:$F$15,$AK18)*($K18+$O18))</f>
        <v/>
      </c>
      <c r="V18" s="43" t="str">
        <f aca="false">IF(OR($D18="",$N18=""),"",INDEX(Config!$G$13:$G$15,$AK18)*($K18+$O18)+INDEX(Config!$H$13:$H$15,$AK18)*$AL18+INDEX(Config!$J$13:$J$15,$AK18))</f>
        <v/>
      </c>
      <c r="W18" s="43" t="str">
        <f aca="false">IF(OR($D18="",$N18=""),"",INDEX(Config!$I$13:$I$15,$AK18)*($S18+$U18+INDEX(Config!$G$13:$G$15,$AK18)*($K18+$O18)))</f>
        <v/>
      </c>
      <c r="X18" s="43" t="str">
        <f aca="false">IF(OR($D18="",$N18=""),"",INDEX(Config!$K$13:$K$15,$AK18)/365*$P18*$K18*Config!$B$8)</f>
        <v/>
      </c>
      <c r="Y18" s="43" t="str">
        <f aca="false">IF(OR($D18="",$N18=""),"",SUM($S18:$X18))</f>
        <v/>
      </c>
      <c r="Z18" s="40" t="str">
        <f aca="false">IF(OR($D18="",$Q18=""),"",$Q18-$Y18)</f>
        <v/>
      </c>
      <c r="AA18" s="42" t="str">
        <f aca="false">IF(OR($D18="",$Z18="",$K18=0),"",$Z18/$K18)</f>
        <v/>
      </c>
      <c r="AB18" s="44" t="str">
        <f aca="false">IF(OR($D18="",$Y18="",$K18=0),"",$Y18/$K18*10000)</f>
        <v/>
      </c>
      <c r="AC18" s="44" t="str">
        <f aca="false">IF(OR($D18="",$G18="",$G18=0,$I18=""),"",IF($E18="LONG",($I18-$G18)/$G18,($G18-$I18)/$G18)*10000)</f>
        <v/>
      </c>
      <c r="AD18" s="45"/>
      <c r="AE18" s="40" t="str">
        <f aca="false">IF(OR($D18="",$N18&lt;&gt;"",$AD18=""),"",IF($E18="LONG",($AD18-$I18)*$J18,($I18-$AD18)*$J18))</f>
        <v/>
      </c>
      <c r="AF18" s="40" t="str">
        <f aca="false">IF(OR($D18="",$E18&lt;&gt;"LONG",$Z18=""),"",$Z18+SUMIFS($Z$4:$Z$503,$B$4:$B$503,$B18,$E$4:$E$503,"SHORT"))</f>
        <v/>
      </c>
      <c r="AG18" s="42" t="str">
        <f aca="false">IF(OR($AF18="",$K18=0),"",$AF18/$K18)</f>
        <v/>
      </c>
      <c r="AH18" s="46"/>
      <c r="AI18" s="43" t="str">
        <f aca="false">IF(OR($D18="",$AH18="",$Z18=""),"",$Z18-$AH18)</f>
        <v/>
      </c>
      <c r="AJ18" s="49"/>
      <c r="AK18" s="47" t="str">
        <f aca="false">IF($D18="","",IFERROR(MATCH($F18,Config!$A$13:$A$15,0),1))</f>
        <v/>
      </c>
      <c r="AL18" s="47" t="str">
        <f aca="false">IF(OR($D18="",$N18=""),"",IF($E18="LONG",$K18,$O18))</f>
        <v/>
      </c>
      <c r="AM18" s="47" t="str">
        <f aca="false">IF(OR($D18="",$N18=""),"",IF($E18="LONG",$O18,$K18))</f>
        <v/>
      </c>
    </row>
    <row r="19" customFormat="false" ht="15" hidden="false" customHeight="false" outlineLevel="0" collapsed="false">
      <c r="A19" s="49"/>
      <c r="B19" s="5" t="str">
        <f aca="false">IF($D19="","",IF(OR(RIGHT($A19,2)="-L",RIGHT($A19,2)="-S"),LEFT($A19,LEN($A19)-2),$A19))</f>
        <v/>
      </c>
      <c r="C19" s="50"/>
      <c r="D19" s="49"/>
      <c r="E19" s="49"/>
      <c r="F19" s="49"/>
      <c r="G19" s="45"/>
      <c r="H19" s="50"/>
      <c r="I19" s="45"/>
      <c r="J19" s="51"/>
      <c r="K19" s="40" t="str">
        <f aca="false">IF($D19="","",$I19*$J19)</f>
        <v/>
      </c>
      <c r="L19" s="50"/>
      <c r="M19" s="49"/>
      <c r="N19" s="45"/>
      <c r="O19" s="40" t="str">
        <f aca="false">IF(OR($D19="",$N19=""),"",$N19*$J19)</f>
        <v/>
      </c>
      <c r="P19" s="41" t="str">
        <f aca="false">IF(OR($D19="",$L19=""),"",MAX($L19-$H19,0))</f>
        <v/>
      </c>
      <c r="Q19" s="40" t="str">
        <f aca="false">IF(OR($D19="",$N19=""),"",IF($E19="LONG",($N19-$I19)*$J19,($I19-$N19)*$J19))</f>
        <v/>
      </c>
      <c r="R19" s="42" t="str">
        <f aca="false">IF(OR($D19="",$Q19="",$K19=0),"",$Q19/$K19)</f>
        <v/>
      </c>
      <c r="S19" s="43" t="str">
        <f aca="false">IF(OR($D19="",$N19=""),"",MIN(INDEX(Config!$C$13:$C$15,$AK19),INDEX(Config!$B$13:$B$15,$AK19)*$K19)+MIN(INDEX(Config!$C$13:$C$15,$AK19),INDEX(Config!$B$13:$B$15,$AK19)*$O19))</f>
        <v/>
      </c>
      <c r="T19" s="43" t="str">
        <f aca="false">IF(OR($D19="",$N19=""),"",INDEX(Config!$D$13:$D$15,$AK19)*$AL19+INDEX(Config!$E$13:$E$15,$AK19)*$AM19)</f>
        <v/>
      </c>
      <c r="U19" s="43" t="str">
        <f aca="false">IF(OR($D19="",$N19=""),"",INDEX(Config!$F$13:$F$15,$AK19)*($K19+$O19))</f>
        <v/>
      </c>
      <c r="V19" s="43" t="str">
        <f aca="false">IF(OR($D19="",$N19=""),"",INDEX(Config!$G$13:$G$15,$AK19)*($K19+$O19)+INDEX(Config!$H$13:$H$15,$AK19)*$AL19+INDEX(Config!$J$13:$J$15,$AK19))</f>
        <v/>
      </c>
      <c r="W19" s="43" t="str">
        <f aca="false">IF(OR($D19="",$N19=""),"",INDEX(Config!$I$13:$I$15,$AK19)*($S19+$U19+INDEX(Config!$G$13:$G$15,$AK19)*($K19+$O19)))</f>
        <v/>
      </c>
      <c r="X19" s="43" t="str">
        <f aca="false">IF(OR($D19="",$N19=""),"",INDEX(Config!$K$13:$K$15,$AK19)/365*$P19*$K19*Config!$B$8)</f>
        <v/>
      </c>
      <c r="Y19" s="43" t="str">
        <f aca="false">IF(OR($D19="",$N19=""),"",SUM($S19:$X19))</f>
        <v/>
      </c>
      <c r="Z19" s="40" t="str">
        <f aca="false">IF(OR($D19="",$Q19=""),"",$Q19-$Y19)</f>
        <v/>
      </c>
      <c r="AA19" s="42" t="str">
        <f aca="false">IF(OR($D19="",$Z19="",$K19=0),"",$Z19/$K19)</f>
        <v/>
      </c>
      <c r="AB19" s="44" t="str">
        <f aca="false">IF(OR($D19="",$Y19="",$K19=0),"",$Y19/$K19*10000)</f>
        <v/>
      </c>
      <c r="AC19" s="44" t="str">
        <f aca="false">IF(OR($D19="",$G19="",$G19=0,$I19=""),"",IF($E19="LONG",($I19-$G19)/$G19,($G19-$I19)/$G19)*10000)</f>
        <v/>
      </c>
      <c r="AD19" s="45"/>
      <c r="AE19" s="40" t="str">
        <f aca="false">IF(OR($D19="",$N19&lt;&gt;"",$AD19=""),"",IF($E19="LONG",($AD19-$I19)*$J19,($I19-$AD19)*$J19))</f>
        <v/>
      </c>
      <c r="AF19" s="40" t="str">
        <f aca="false">IF(OR($D19="",$E19&lt;&gt;"LONG",$Z19=""),"",$Z19+SUMIFS($Z$4:$Z$503,$B$4:$B$503,$B19,$E$4:$E$503,"SHORT"))</f>
        <v/>
      </c>
      <c r="AG19" s="42" t="str">
        <f aca="false">IF(OR($AF19="",$K19=0),"",$AF19/$K19)</f>
        <v/>
      </c>
      <c r="AH19" s="46"/>
      <c r="AI19" s="43" t="str">
        <f aca="false">IF(OR($D19="",$AH19="",$Z19=""),"",$Z19-$AH19)</f>
        <v/>
      </c>
      <c r="AJ19" s="49"/>
      <c r="AK19" s="47" t="str">
        <f aca="false">IF($D19="","",IFERROR(MATCH($F19,Config!$A$13:$A$15,0),1))</f>
        <v/>
      </c>
      <c r="AL19" s="47" t="str">
        <f aca="false">IF(OR($D19="",$N19=""),"",IF($E19="LONG",$K19,$O19))</f>
        <v/>
      </c>
      <c r="AM19" s="47" t="str">
        <f aca="false">IF(OR($D19="",$N19=""),"",IF($E19="LONG",$O19,$K19))</f>
        <v/>
      </c>
    </row>
    <row r="20" customFormat="false" ht="15" hidden="false" customHeight="false" outlineLevel="0" collapsed="false">
      <c r="A20" s="49"/>
      <c r="B20" s="5" t="str">
        <f aca="false">IF($D20="","",IF(OR(RIGHT($A20,2)="-L",RIGHT($A20,2)="-S"),LEFT($A20,LEN($A20)-2),$A20))</f>
        <v/>
      </c>
      <c r="C20" s="50"/>
      <c r="D20" s="49"/>
      <c r="E20" s="49"/>
      <c r="F20" s="49"/>
      <c r="G20" s="45"/>
      <c r="H20" s="50"/>
      <c r="I20" s="45"/>
      <c r="J20" s="51"/>
      <c r="K20" s="40" t="str">
        <f aca="false">IF($D20="","",$I20*$J20)</f>
        <v/>
      </c>
      <c r="L20" s="50"/>
      <c r="M20" s="49"/>
      <c r="N20" s="45"/>
      <c r="O20" s="40" t="str">
        <f aca="false">IF(OR($D20="",$N20=""),"",$N20*$J20)</f>
        <v/>
      </c>
      <c r="P20" s="41" t="str">
        <f aca="false">IF(OR($D20="",$L20=""),"",MAX($L20-$H20,0))</f>
        <v/>
      </c>
      <c r="Q20" s="40" t="str">
        <f aca="false">IF(OR($D20="",$N20=""),"",IF($E20="LONG",($N20-$I20)*$J20,($I20-$N20)*$J20))</f>
        <v/>
      </c>
      <c r="R20" s="42" t="str">
        <f aca="false">IF(OR($D20="",$Q20="",$K20=0),"",$Q20/$K20)</f>
        <v/>
      </c>
      <c r="S20" s="43" t="str">
        <f aca="false">IF(OR($D20="",$N20=""),"",MIN(INDEX(Config!$C$13:$C$15,$AK20),INDEX(Config!$B$13:$B$15,$AK20)*$K20)+MIN(INDEX(Config!$C$13:$C$15,$AK20),INDEX(Config!$B$13:$B$15,$AK20)*$O20))</f>
        <v/>
      </c>
      <c r="T20" s="43" t="str">
        <f aca="false">IF(OR($D20="",$N20=""),"",INDEX(Config!$D$13:$D$15,$AK20)*$AL20+INDEX(Config!$E$13:$E$15,$AK20)*$AM20)</f>
        <v/>
      </c>
      <c r="U20" s="43" t="str">
        <f aca="false">IF(OR($D20="",$N20=""),"",INDEX(Config!$F$13:$F$15,$AK20)*($K20+$O20))</f>
        <v/>
      </c>
      <c r="V20" s="43" t="str">
        <f aca="false">IF(OR($D20="",$N20=""),"",INDEX(Config!$G$13:$G$15,$AK20)*($K20+$O20)+INDEX(Config!$H$13:$H$15,$AK20)*$AL20+INDEX(Config!$J$13:$J$15,$AK20))</f>
        <v/>
      </c>
      <c r="W20" s="43" t="str">
        <f aca="false">IF(OR($D20="",$N20=""),"",INDEX(Config!$I$13:$I$15,$AK20)*($S20+$U20+INDEX(Config!$G$13:$G$15,$AK20)*($K20+$O20)))</f>
        <v/>
      </c>
      <c r="X20" s="43" t="str">
        <f aca="false">IF(OR($D20="",$N20=""),"",INDEX(Config!$K$13:$K$15,$AK20)/365*$P20*$K20*Config!$B$8)</f>
        <v/>
      </c>
      <c r="Y20" s="43" t="str">
        <f aca="false">IF(OR($D20="",$N20=""),"",SUM($S20:$X20))</f>
        <v/>
      </c>
      <c r="Z20" s="40" t="str">
        <f aca="false">IF(OR($D20="",$Q20=""),"",$Q20-$Y20)</f>
        <v/>
      </c>
      <c r="AA20" s="42" t="str">
        <f aca="false">IF(OR($D20="",$Z20="",$K20=0),"",$Z20/$K20)</f>
        <v/>
      </c>
      <c r="AB20" s="44" t="str">
        <f aca="false">IF(OR($D20="",$Y20="",$K20=0),"",$Y20/$K20*10000)</f>
        <v/>
      </c>
      <c r="AC20" s="44" t="str">
        <f aca="false">IF(OR($D20="",$G20="",$G20=0,$I20=""),"",IF($E20="LONG",($I20-$G20)/$G20,($G20-$I20)/$G20)*10000)</f>
        <v/>
      </c>
      <c r="AD20" s="45"/>
      <c r="AE20" s="40" t="str">
        <f aca="false">IF(OR($D20="",$N20&lt;&gt;"",$AD20=""),"",IF($E20="LONG",($AD20-$I20)*$J20,($I20-$AD20)*$J20))</f>
        <v/>
      </c>
      <c r="AF20" s="40" t="str">
        <f aca="false">IF(OR($D20="",$E20&lt;&gt;"LONG",$Z20=""),"",$Z20+SUMIFS($Z$4:$Z$503,$B$4:$B$503,$B20,$E$4:$E$503,"SHORT"))</f>
        <v/>
      </c>
      <c r="AG20" s="42" t="str">
        <f aca="false">IF(OR($AF20="",$K20=0),"",$AF20/$K20)</f>
        <v/>
      </c>
      <c r="AH20" s="46"/>
      <c r="AI20" s="43" t="str">
        <f aca="false">IF(OR($D20="",$AH20="",$Z20=""),"",$Z20-$AH20)</f>
        <v/>
      </c>
      <c r="AJ20" s="49"/>
      <c r="AK20" s="47" t="str">
        <f aca="false">IF($D20="","",IFERROR(MATCH($F20,Config!$A$13:$A$15,0),1))</f>
        <v/>
      </c>
      <c r="AL20" s="47" t="str">
        <f aca="false">IF(OR($D20="",$N20=""),"",IF($E20="LONG",$K20,$O20))</f>
        <v/>
      </c>
      <c r="AM20" s="47" t="str">
        <f aca="false">IF(OR($D20="",$N20=""),"",IF($E20="LONG",$O20,$K20))</f>
        <v/>
      </c>
    </row>
    <row r="21" customFormat="false" ht="15" hidden="false" customHeight="false" outlineLevel="0" collapsed="false">
      <c r="A21" s="49"/>
      <c r="B21" s="5" t="str">
        <f aca="false">IF($D21="","",IF(OR(RIGHT($A21,2)="-L",RIGHT($A21,2)="-S"),LEFT($A21,LEN($A21)-2),$A21))</f>
        <v/>
      </c>
      <c r="C21" s="50"/>
      <c r="D21" s="49"/>
      <c r="E21" s="49"/>
      <c r="F21" s="49"/>
      <c r="G21" s="45"/>
      <c r="H21" s="50"/>
      <c r="I21" s="45"/>
      <c r="J21" s="51"/>
      <c r="K21" s="40" t="str">
        <f aca="false">IF($D21="","",$I21*$J21)</f>
        <v/>
      </c>
      <c r="L21" s="50"/>
      <c r="M21" s="49"/>
      <c r="N21" s="45"/>
      <c r="O21" s="40" t="str">
        <f aca="false">IF(OR($D21="",$N21=""),"",$N21*$J21)</f>
        <v/>
      </c>
      <c r="P21" s="41" t="str">
        <f aca="false">IF(OR($D21="",$L21=""),"",MAX($L21-$H21,0))</f>
        <v/>
      </c>
      <c r="Q21" s="40" t="str">
        <f aca="false">IF(OR($D21="",$N21=""),"",IF($E21="LONG",($N21-$I21)*$J21,($I21-$N21)*$J21))</f>
        <v/>
      </c>
      <c r="R21" s="42" t="str">
        <f aca="false">IF(OR($D21="",$Q21="",$K21=0),"",$Q21/$K21)</f>
        <v/>
      </c>
      <c r="S21" s="43" t="str">
        <f aca="false">IF(OR($D21="",$N21=""),"",MIN(INDEX(Config!$C$13:$C$15,$AK21),INDEX(Config!$B$13:$B$15,$AK21)*$K21)+MIN(INDEX(Config!$C$13:$C$15,$AK21),INDEX(Config!$B$13:$B$15,$AK21)*$O21))</f>
        <v/>
      </c>
      <c r="T21" s="43" t="str">
        <f aca="false">IF(OR($D21="",$N21=""),"",INDEX(Config!$D$13:$D$15,$AK21)*$AL21+INDEX(Config!$E$13:$E$15,$AK21)*$AM21)</f>
        <v/>
      </c>
      <c r="U21" s="43" t="str">
        <f aca="false">IF(OR($D21="",$N21=""),"",INDEX(Config!$F$13:$F$15,$AK21)*($K21+$O21))</f>
        <v/>
      </c>
      <c r="V21" s="43" t="str">
        <f aca="false">IF(OR($D21="",$N21=""),"",INDEX(Config!$G$13:$G$15,$AK21)*($K21+$O21)+INDEX(Config!$H$13:$H$15,$AK21)*$AL21+INDEX(Config!$J$13:$J$15,$AK21))</f>
        <v/>
      </c>
      <c r="W21" s="43" t="str">
        <f aca="false">IF(OR($D21="",$N21=""),"",INDEX(Config!$I$13:$I$15,$AK21)*($S21+$U21+INDEX(Config!$G$13:$G$15,$AK21)*($K21+$O21)))</f>
        <v/>
      </c>
      <c r="X21" s="43" t="str">
        <f aca="false">IF(OR($D21="",$N21=""),"",INDEX(Config!$K$13:$K$15,$AK21)/365*$P21*$K21*Config!$B$8)</f>
        <v/>
      </c>
      <c r="Y21" s="43" t="str">
        <f aca="false">IF(OR($D21="",$N21=""),"",SUM($S21:$X21))</f>
        <v/>
      </c>
      <c r="Z21" s="40" t="str">
        <f aca="false">IF(OR($D21="",$Q21=""),"",$Q21-$Y21)</f>
        <v/>
      </c>
      <c r="AA21" s="42" t="str">
        <f aca="false">IF(OR($D21="",$Z21="",$K21=0),"",$Z21/$K21)</f>
        <v/>
      </c>
      <c r="AB21" s="44" t="str">
        <f aca="false">IF(OR($D21="",$Y21="",$K21=0),"",$Y21/$K21*10000)</f>
        <v/>
      </c>
      <c r="AC21" s="44" t="str">
        <f aca="false">IF(OR($D21="",$G21="",$G21=0,$I21=""),"",IF($E21="LONG",($I21-$G21)/$G21,($G21-$I21)/$G21)*10000)</f>
        <v/>
      </c>
      <c r="AD21" s="45"/>
      <c r="AE21" s="40" t="str">
        <f aca="false">IF(OR($D21="",$N21&lt;&gt;"",$AD21=""),"",IF($E21="LONG",($AD21-$I21)*$J21,($I21-$AD21)*$J21))</f>
        <v/>
      </c>
      <c r="AF21" s="40" t="str">
        <f aca="false">IF(OR($D21="",$E21&lt;&gt;"LONG",$Z21=""),"",$Z21+SUMIFS($Z$4:$Z$503,$B$4:$B$503,$B21,$E$4:$E$503,"SHORT"))</f>
        <v/>
      </c>
      <c r="AG21" s="42" t="str">
        <f aca="false">IF(OR($AF21="",$K21=0),"",$AF21/$K21)</f>
        <v/>
      </c>
      <c r="AH21" s="46"/>
      <c r="AI21" s="43" t="str">
        <f aca="false">IF(OR($D21="",$AH21="",$Z21=""),"",$Z21-$AH21)</f>
        <v/>
      </c>
      <c r="AJ21" s="49"/>
      <c r="AK21" s="47" t="str">
        <f aca="false">IF($D21="","",IFERROR(MATCH($F21,Config!$A$13:$A$15,0),1))</f>
        <v/>
      </c>
      <c r="AL21" s="47" t="str">
        <f aca="false">IF(OR($D21="",$N21=""),"",IF($E21="LONG",$K21,$O21))</f>
        <v/>
      </c>
      <c r="AM21" s="47" t="str">
        <f aca="false">IF(OR($D21="",$N21=""),"",IF($E21="LONG",$O21,$K21))</f>
        <v/>
      </c>
    </row>
    <row r="22" customFormat="false" ht="15" hidden="false" customHeight="false" outlineLevel="0" collapsed="false">
      <c r="A22" s="49"/>
      <c r="B22" s="5" t="str">
        <f aca="false">IF($D22="","",IF(OR(RIGHT($A22,2)="-L",RIGHT($A22,2)="-S"),LEFT($A22,LEN($A22)-2),$A22))</f>
        <v/>
      </c>
      <c r="C22" s="50"/>
      <c r="D22" s="49"/>
      <c r="E22" s="49"/>
      <c r="F22" s="49"/>
      <c r="G22" s="45"/>
      <c r="H22" s="50"/>
      <c r="I22" s="45"/>
      <c r="J22" s="51"/>
      <c r="K22" s="40" t="str">
        <f aca="false">IF($D22="","",$I22*$J22)</f>
        <v/>
      </c>
      <c r="L22" s="50"/>
      <c r="M22" s="49"/>
      <c r="N22" s="45"/>
      <c r="O22" s="40" t="str">
        <f aca="false">IF(OR($D22="",$N22=""),"",$N22*$J22)</f>
        <v/>
      </c>
      <c r="P22" s="41" t="str">
        <f aca="false">IF(OR($D22="",$L22=""),"",MAX($L22-$H22,0))</f>
        <v/>
      </c>
      <c r="Q22" s="40" t="str">
        <f aca="false">IF(OR($D22="",$N22=""),"",IF($E22="LONG",($N22-$I22)*$J22,($I22-$N22)*$J22))</f>
        <v/>
      </c>
      <c r="R22" s="42" t="str">
        <f aca="false">IF(OR($D22="",$Q22="",$K22=0),"",$Q22/$K22)</f>
        <v/>
      </c>
      <c r="S22" s="43" t="str">
        <f aca="false">IF(OR($D22="",$N22=""),"",MIN(INDEX(Config!$C$13:$C$15,$AK22),INDEX(Config!$B$13:$B$15,$AK22)*$K22)+MIN(INDEX(Config!$C$13:$C$15,$AK22),INDEX(Config!$B$13:$B$15,$AK22)*$O22))</f>
        <v/>
      </c>
      <c r="T22" s="43" t="str">
        <f aca="false">IF(OR($D22="",$N22=""),"",INDEX(Config!$D$13:$D$15,$AK22)*$AL22+INDEX(Config!$E$13:$E$15,$AK22)*$AM22)</f>
        <v/>
      </c>
      <c r="U22" s="43" t="str">
        <f aca="false">IF(OR($D22="",$N22=""),"",INDEX(Config!$F$13:$F$15,$AK22)*($K22+$O22))</f>
        <v/>
      </c>
      <c r="V22" s="43" t="str">
        <f aca="false">IF(OR($D22="",$N22=""),"",INDEX(Config!$G$13:$G$15,$AK22)*($K22+$O22)+INDEX(Config!$H$13:$H$15,$AK22)*$AL22+INDEX(Config!$J$13:$J$15,$AK22))</f>
        <v/>
      </c>
      <c r="W22" s="43" t="str">
        <f aca="false">IF(OR($D22="",$N22=""),"",INDEX(Config!$I$13:$I$15,$AK22)*($S22+$U22+INDEX(Config!$G$13:$G$15,$AK22)*($K22+$O22)))</f>
        <v/>
      </c>
      <c r="X22" s="43" t="str">
        <f aca="false">IF(OR($D22="",$N22=""),"",INDEX(Config!$K$13:$K$15,$AK22)/365*$P22*$K22*Config!$B$8)</f>
        <v/>
      </c>
      <c r="Y22" s="43" t="str">
        <f aca="false">IF(OR($D22="",$N22=""),"",SUM($S22:$X22))</f>
        <v/>
      </c>
      <c r="Z22" s="40" t="str">
        <f aca="false">IF(OR($D22="",$Q22=""),"",$Q22-$Y22)</f>
        <v/>
      </c>
      <c r="AA22" s="42" t="str">
        <f aca="false">IF(OR($D22="",$Z22="",$K22=0),"",$Z22/$K22)</f>
        <v/>
      </c>
      <c r="AB22" s="44" t="str">
        <f aca="false">IF(OR($D22="",$Y22="",$K22=0),"",$Y22/$K22*10000)</f>
        <v/>
      </c>
      <c r="AC22" s="44" t="str">
        <f aca="false">IF(OR($D22="",$G22="",$G22=0,$I22=""),"",IF($E22="LONG",($I22-$G22)/$G22,($G22-$I22)/$G22)*10000)</f>
        <v/>
      </c>
      <c r="AD22" s="45"/>
      <c r="AE22" s="40" t="str">
        <f aca="false">IF(OR($D22="",$N22&lt;&gt;"",$AD22=""),"",IF($E22="LONG",($AD22-$I22)*$J22,($I22-$AD22)*$J22))</f>
        <v/>
      </c>
      <c r="AF22" s="40" t="str">
        <f aca="false">IF(OR($D22="",$E22&lt;&gt;"LONG",$Z22=""),"",$Z22+SUMIFS($Z$4:$Z$503,$B$4:$B$503,$B22,$E$4:$E$503,"SHORT"))</f>
        <v/>
      </c>
      <c r="AG22" s="42" t="str">
        <f aca="false">IF(OR($AF22="",$K22=0),"",$AF22/$K22)</f>
        <v/>
      </c>
      <c r="AH22" s="46"/>
      <c r="AI22" s="43" t="str">
        <f aca="false">IF(OR($D22="",$AH22="",$Z22=""),"",$Z22-$AH22)</f>
        <v/>
      </c>
      <c r="AJ22" s="49"/>
      <c r="AK22" s="47" t="str">
        <f aca="false">IF($D22="","",IFERROR(MATCH($F22,Config!$A$13:$A$15,0),1))</f>
        <v/>
      </c>
      <c r="AL22" s="47" t="str">
        <f aca="false">IF(OR($D22="",$N22=""),"",IF($E22="LONG",$K22,$O22))</f>
        <v/>
      </c>
      <c r="AM22" s="47" t="str">
        <f aca="false">IF(OR($D22="",$N22=""),"",IF($E22="LONG",$O22,$K22))</f>
        <v/>
      </c>
    </row>
    <row r="23" customFormat="false" ht="15" hidden="false" customHeight="false" outlineLevel="0" collapsed="false">
      <c r="A23" s="49"/>
      <c r="B23" s="5" t="str">
        <f aca="false">IF($D23="","",IF(OR(RIGHT($A23,2)="-L",RIGHT($A23,2)="-S"),LEFT($A23,LEN($A23)-2),$A23))</f>
        <v/>
      </c>
      <c r="C23" s="50"/>
      <c r="D23" s="49"/>
      <c r="E23" s="49"/>
      <c r="F23" s="49"/>
      <c r="G23" s="45"/>
      <c r="H23" s="50"/>
      <c r="I23" s="45"/>
      <c r="J23" s="51"/>
      <c r="K23" s="40" t="str">
        <f aca="false">IF($D23="","",$I23*$J23)</f>
        <v/>
      </c>
      <c r="L23" s="50"/>
      <c r="M23" s="49"/>
      <c r="N23" s="45"/>
      <c r="O23" s="40" t="str">
        <f aca="false">IF(OR($D23="",$N23=""),"",$N23*$J23)</f>
        <v/>
      </c>
      <c r="P23" s="41" t="str">
        <f aca="false">IF(OR($D23="",$L23=""),"",MAX($L23-$H23,0))</f>
        <v/>
      </c>
      <c r="Q23" s="40" t="str">
        <f aca="false">IF(OR($D23="",$N23=""),"",IF($E23="LONG",($N23-$I23)*$J23,($I23-$N23)*$J23))</f>
        <v/>
      </c>
      <c r="R23" s="42" t="str">
        <f aca="false">IF(OR($D23="",$Q23="",$K23=0),"",$Q23/$K23)</f>
        <v/>
      </c>
      <c r="S23" s="43" t="str">
        <f aca="false">IF(OR($D23="",$N23=""),"",MIN(INDEX(Config!$C$13:$C$15,$AK23),INDEX(Config!$B$13:$B$15,$AK23)*$K23)+MIN(INDEX(Config!$C$13:$C$15,$AK23),INDEX(Config!$B$13:$B$15,$AK23)*$O23))</f>
        <v/>
      </c>
      <c r="T23" s="43" t="str">
        <f aca="false">IF(OR($D23="",$N23=""),"",INDEX(Config!$D$13:$D$15,$AK23)*$AL23+INDEX(Config!$E$13:$E$15,$AK23)*$AM23)</f>
        <v/>
      </c>
      <c r="U23" s="43" t="str">
        <f aca="false">IF(OR($D23="",$N23=""),"",INDEX(Config!$F$13:$F$15,$AK23)*($K23+$O23))</f>
        <v/>
      </c>
      <c r="V23" s="43" t="str">
        <f aca="false">IF(OR($D23="",$N23=""),"",INDEX(Config!$G$13:$G$15,$AK23)*($K23+$O23)+INDEX(Config!$H$13:$H$15,$AK23)*$AL23+INDEX(Config!$J$13:$J$15,$AK23))</f>
        <v/>
      </c>
      <c r="W23" s="43" t="str">
        <f aca="false">IF(OR($D23="",$N23=""),"",INDEX(Config!$I$13:$I$15,$AK23)*($S23+$U23+INDEX(Config!$G$13:$G$15,$AK23)*($K23+$O23)))</f>
        <v/>
      </c>
      <c r="X23" s="43" t="str">
        <f aca="false">IF(OR($D23="",$N23=""),"",INDEX(Config!$K$13:$K$15,$AK23)/365*$P23*$K23*Config!$B$8)</f>
        <v/>
      </c>
      <c r="Y23" s="43" t="str">
        <f aca="false">IF(OR($D23="",$N23=""),"",SUM($S23:$X23))</f>
        <v/>
      </c>
      <c r="Z23" s="40" t="str">
        <f aca="false">IF(OR($D23="",$Q23=""),"",$Q23-$Y23)</f>
        <v/>
      </c>
      <c r="AA23" s="42" t="str">
        <f aca="false">IF(OR($D23="",$Z23="",$K23=0),"",$Z23/$K23)</f>
        <v/>
      </c>
      <c r="AB23" s="44" t="str">
        <f aca="false">IF(OR($D23="",$Y23="",$K23=0),"",$Y23/$K23*10000)</f>
        <v/>
      </c>
      <c r="AC23" s="44" t="str">
        <f aca="false">IF(OR($D23="",$G23="",$G23=0,$I23=""),"",IF($E23="LONG",($I23-$G23)/$G23,($G23-$I23)/$G23)*10000)</f>
        <v/>
      </c>
      <c r="AD23" s="45"/>
      <c r="AE23" s="40" t="str">
        <f aca="false">IF(OR($D23="",$N23&lt;&gt;"",$AD23=""),"",IF($E23="LONG",($AD23-$I23)*$J23,($I23-$AD23)*$J23))</f>
        <v/>
      </c>
      <c r="AF23" s="40" t="str">
        <f aca="false">IF(OR($D23="",$E23&lt;&gt;"LONG",$Z23=""),"",$Z23+SUMIFS($Z$4:$Z$503,$B$4:$B$503,$B23,$E$4:$E$503,"SHORT"))</f>
        <v/>
      </c>
      <c r="AG23" s="42" t="str">
        <f aca="false">IF(OR($AF23="",$K23=0),"",$AF23/$K23)</f>
        <v/>
      </c>
      <c r="AH23" s="46"/>
      <c r="AI23" s="43" t="str">
        <f aca="false">IF(OR($D23="",$AH23="",$Z23=""),"",$Z23-$AH23)</f>
        <v/>
      </c>
      <c r="AJ23" s="49"/>
      <c r="AK23" s="47" t="str">
        <f aca="false">IF($D23="","",IFERROR(MATCH($F23,Config!$A$13:$A$15,0),1))</f>
        <v/>
      </c>
      <c r="AL23" s="47" t="str">
        <f aca="false">IF(OR($D23="",$N23=""),"",IF($E23="LONG",$K23,$O23))</f>
        <v/>
      </c>
      <c r="AM23" s="47" t="str">
        <f aca="false">IF(OR($D23="",$N23=""),"",IF($E23="LONG",$O23,$K23))</f>
        <v/>
      </c>
    </row>
    <row r="24" customFormat="false" ht="15" hidden="false" customHeight="false" outlineLevel="0" collapsed="false">
      <c r="A24" s="49"/>
      <c r="B24" s="5" t="str">
        <f aca="false">IF($D24="","",IF(OR(RIGHT($A24,2)="-L",RIGHT($A24,2)="-S"),LEFT($A24,LEN($A24)-2),$A24))</f>
        <v/>
      </c>
      <c r="C24" s="50"/>
      <c r="D24" s="49"/>
      <c r="E24" s="49"/>
      <c r="F24" s="49"/>
      <c r="G24" s="45"/>
      <c r="H24" s="50"/>
      <c r="I24" s="45"/>
      <c r="J24" s="51"/>
      <c r="K24" s="40" t="str">
        <f aca="false">IF($D24="","",$I24*$J24)</f>
        <v/>
      </c>
      <c r="L24" s="50"/>
      <c r="M24" s="49"/>
      <c r="N24" s="45"/>
      <c r="O24" s="40" t="str">
        <f aca="false">IF(OR($D24="",$N24=""),"",$N24*$J24)</f>
        <v/>
      </c>
      <c r="P24" s="41" t="str">
        <f aca="false">IF(OR($D24="",$L24=""),"",MAX($L24-$H24,0))</f>
        <v/>
      </c>
      <c r="Q24" s="40" t="str">
        <f aca="false">IF(OR($D24="",$N24=""),"",IF($E24="LONG",($N24-$I24)*$J24,($I24-$N24)*$J24))</f>
        <v/>
      </c>
      <c r="R24" s="42" t="str">
        <f aca="false">IF(OR($D24="",$Q24="",$K24=0),"",$Q24/$K24)</f>
        <v/>
      </c>
      <c r="S24" s="43" t="str">
        <f aca="false">IF(OR($D24="",$N24=""),"",MIN(INDEX(Config!$C$13:$C$15,$AK24),INDEX(Config!$B$13:$B$15,$AK24)*$K24)+MIN(INDEX(Config!$C$13:$C$15,$AK24),INDEX(Config!$B$13:$B$15,$AK24)*$O24))</f>
        <v/>
      </c>
      <c r="T24" s="43" t="str">
        <f aca="false">IF(OR($D24="",$N24=""),"",INDEX(Config!$D$13:$D$15,$AK24)*$AL24+INDEX(Config!$E$13:$E$15,$AK24)*$AM24)</f>
        <v/>
      </c>
      <c r="U24" s="43" t="str">
        <f aca="false">IF(OR($D24="",$N24=""),"",INDEX(Config!$F$13:$F$15,$AK24)*($K24+$O24))</f>
        <v/>
      </c>
      <c r="V24" s="43" t="str">
        <f aca="false">IF(OR($D24="",$N24=""),"",INDEX(Config!$G$13:$G$15,$AK24)*($K24+$O24)+INDEX(Config!$H$13:$H$15,$AK24)*$AL24+INDEX(Config!$J$13:$J$15,$AK24))</f>
        <v/>
      </c>
      <c r="W24" s="43" t="str">
        <f aca="false">IF(OR($D24="",$N24=""),"",INDEX(Config!$I$13:$I$15,$AK24)*($S24+$U24+INDEX(Config!$G$13:$G$15,$AK24)*($K24+$O24)))</f>
        <v/>
      </c>
      <c r="X24" s="43" t="str">
        <f aca="false">IF(OR($D24="",$N24=""),"",INDEX(Config!$K$13:$K$15,$AK24)/365*$P24*$K24*Config!$B$8)</f>
        <v/>
      </c>
      <c r="Y24" s="43" t="str">
        <f aca="false">IF(OR($D24="",$N24=""),"",SUM($S24:$X24))</f>
        <v/>
      </c>
      <c r="Z24" s="40" t="str">
        <f aca="false">IF(OR($D24="",$Q24=""),"",$Q24-$Y24)</f>
        <v/>
      </c>
      <c r="AA24" s="42" t="str">
        <f aca="false">IF(OR($D24="",$Z24="",$K24=0),"",$Z24/$K24)</f>
        <v/>
      </c>
      <c r="AB24" s="44" t="str">
        <f aca="false">IF(OR($D24="",$Y24="",$K24=0),"",$Y24/$K24*10000)</f>
        <v/>
      </c>
      <c r="AC24" s="44" t="str">
        <f aca="false">IF(OR($D24="",$G24="",$G24=0,$I24=""),"",IF($E24="LONG",($I24-$G24)/$G24,($G24-$I24)/$G24)*10000)</f>
        <v/>
      </c>
      <c r="AD24" s="45"/>
      <c r="AE24" s="40" t="str">
        <f aca="false">IF(OR($D24="",$N24&lt;&gt;"",$AD24=""),"",IF($E24="LONG",($AD24-$I24)*$J24,($I24-$AD24)*$J24))</f>
        <v/>
      </c>
      <c r="AF24" s="40" t="str">
        <f aca="false">IF(OR($D24="",$E24&lt;&gt;"LONG",$Z24=""),"",$Z24+SUMIFS($Z$4:$Z$503,$B$4:$B$503,$B24,$E$4:$E$503,"SHORT"))</f>
        <v/>
      </c>
      <c r="AG24" s="42" t="str">
        <f aca="false">IF(OR($AF24="",$K24=0),"",$AF24/$K24)</f>
        <v/>
      </c>
      <c r="AH24" s="46"/>
      <c r="AI24" s="43" t="str">
        <f aca="false">IF(OR($D24="",$AH24="",$Z24=""),"",$Z24-$AH24)</f>
        <v/>
      </c>
      <c r="AJ24" s="49"/>
      <c r="AK24" s="47" t="str">
        <f aca="false">IF($D24="","",IFERROR(MATCH($F24,Config!$A$13:$A$15,0),1))</f>
        <v/>
      </c>
      <c r="AL24" s="47" t="str">
        <f aca="false">IF(OR($D24="",$N24=""),"",IF($E24="LONG",$K24,$O24))</f>
        <v/>
      </c>
      <c r="AM24" s="47" t="str">
        <f aca="false">IF(OR($D24="",$N24=""),"",IF($E24="LONG",$O24,$K24))</f>
        <v/>
      </c>
    </row>
    <row r="25" customFormat="false" ht="15" hidden="false" customHeight="false" outlineLevel="0" collapsed="false">
      <c r="A25" s="49"/>
      <c r="B25" s="5" t="str">
        <f aca="false">IF($D25="","",IF(OR(RIGHT($A25,2)="-L",RIGHT($A25,2)="-S"),LEFT($A25,LEN($A25)-2),$A25))</f>
        <v/>
      </c>
      <c r="C25" s="50"/>
      <c r="D25" s="49"/>
      <c r="E25" s="49"/>
      <c r="F25" s="49"/>
      <c r="G25" s="45"/>
      <c r="H25" s="50"/>
      <c r="I25" s="45"/>
      <c r="J25" s="51"/>
      <c r="K25" s="40" t="str">
        <f aca="false">IF($D25="","",$I25*$J25)</f>
        <v/>
      </c>
      <c r="L25" s="50"/>
      <c r="M25" s="49"/>
      <c r="N25" s="45"/>
      <c r="O25" s="40" t="str">
        <f aca="false">IF(OR($D25="",$N25=""),"",$N25*$J25)</f>
        <v/>
      </c>
      <c r="P25" s="41" t="str">
        <f aca="false">IF(OR($D25="",$L25=""),"",MAX($L25-$H25,0))</f>
        <v/>
      </c>
      <c r="Q25" s="40" t="str">
        <f aca="false">IF(OR($D25="",$N25=""),"",IF($E25="LONG",($N25-$I25)*$J25,($I25-$N25)*$J25))</f>
        <v/>
      </c>
      <c r="R25" s="42" t="str">
        <f aca="false">IF(OR($D25="",$Q25="",$K25=0),"",$Q25/$K25)</f>
        <v/>
      </c>
      <c r="S25" s="43" t="str">
        <f aca="false">IF(OR($D25="",$N25=""),"",MIN(INDEX(Config!$C$13:$C$15,$AK25),INDEX(Config!$B$13:$B$15,$AK25)*$K25)+MIN(INDEX(Config!$C$13:$C$15,$AK25),INDEX(Config!$B$13:$B$15,$AK25)*$O25))</f>
        <v/>
      </c>
      <c r="T25" s="43" t="str">
        <f aca="false">IF(OR($D25="",$N25=""),"",INDEX(Config!$D$13:$D$15,$AK25)*$AL25+INDEX(Config!$E$13:$E$15,$AK25)*$AM25)</f>
        <v/>
      </c>
      <c r="U25" s="43" t="str">
        <f aca="false">IF(OR($D25="",$N25=""),"",INDEX(Config!$F$13:$F$15,$AK25)*($K25+$O25))</f>
        <v/>
      </c>
      <c r="V25" s="43" t="str">
        <f aca="false">IF(OR($D25="",$N25=""),"",INDEX(Config!$G$13:$G$15,$AK25)*($K25+$O25)+INDEX(Config!$H$13:$H$15,$AK25)*$AL25+INDEX(Config!$J$13:$J$15,$AK25))</f>
        <v/>
      </c>
      <c r="W25" s="43" t="str">
        <f aca="false">IF(OR($D25="",$N25=""),"",INDEX(Config!$I$13:$I$15,$AK25)*($S25+$U25+INDEX(Config!$G$13:$G$15,$AK25)*($K25+$O25)))</f>
        <v/>
      </c>
      <c r="X25" s="43" t="str">
        <f aca="false">IF(OR($D25="",$N25=""),"",INDEX(Config!$K$13:$K$15,$AK25)/365*$P25*$K25*Config!$B$8)</f>
        <v/>
      </c>
      <c r="Y25" s="43" t="str">
        <f aca="false">IF(OR($D25="",$N25=""),"",SUM($S25:$X25))</f>
        <v/>
      </c>
      <c r="Z25" s="40" t="str">
        <f aca="false">IF(OR($D25="",$Q25=""),"",$Q25-$Y25)</f>
        <v/>
      </c>
      <c r="AA25" s="42" t="str">
        <f aca="false">IF(OR($D25="",$Z25="",$K25=0),"",$Z25/$K25)</f>
        <v/>
      </c>
      <c r="AB25" s="44" t="str">
        <f aca="false">IF(OR($D25="",$Y25="",$K25=0),"",$Y25/$K25*10000)</f>
        <v/>
      </c>
      <c r="AC25" s="44" t="str">
        <f aca="false">IF(OR($D25="",$G25="",$G25=0,$I25=""),"",IF($E25="LONG",($I25-$G25)/$G25,($G25-$I25)/$G25)*10000)</f>
        <v/>
      </c>
      <c r="AD25" s="45"/>
      <c r="AE25" s="40" t="str">
        <f aca="false">IF(OR($D25="",$N25&lt;&gt;"",$AD25=""),"",IF($E25="LONG",($AD25-$I25)*$J25,($I25-$AD25)*$J25))</f>
        <v/>
      </c>
      <c r="AF25" s="40" t="str">
        <f aca="false">IF(OR($D25="",$E25&lt;&gt;"LONG",$Z25=""),"",$Z25+SUMIFS($Z$4:$Z$503,$B$4:$B$503,$B25,$E$4:$E$503,"SHORT"))</f>
        <v/>
      </c>
      <c r="AG25" s="42" t="str">
        <f aca="false">IF(OR($AF25="",$K25=0),"",$AF25/$K25)</f>
        <v/>
      </c>
      <c r="AH25" s="46"/>
      <c r="AI25" s="43" t="str">
        <f aca="false">IF(OR($D25="",$AH25="",$Z25=""),"",$Z25-$AH25)</f>
        <v/>
      </c>
      <c r="AJ25" s="49"/>
      <c r="AK25" s="47" t="str">
        <f aca="false">IF($D25="","",IFERROR(MATCH($F25,Config!$A$13:$A$15,0),1))</f>
        <v/>
      </c>
      <c r="AL25" s="47" t="str">
        <f aca="false">IF(OR($D25="",$N25=""),"",IF($E25="LONG",$K25,$O25))</f>
        <v/>
      </c>
      <c r="AM25" s="47" t="str">
        <f aca="false">IF(OR($D25="",$N25=""),"",IF($E25="LONG",$O25,$K25))</f>
        <v/>
      </c>
    </row>
    <row r="26" customFormat="false" ht="15" hidden="false" customHeight="false" outlineLevel="0" collapsed="false">
      <c r="A26" s="49"/>
      <c r="B26" s="5" t="str">
        <f aca="false">IF($D26="","",IF(OR(RIGHT($A26,2)="-L",RIGHT($A26,2)="-S"),LEFT($A26,LEN($A26)-2),$A26))</f>
        <v/>
      </c>
      <c r="C26" s="50"/>
      <c r="D26" s="49"/>
      <c r="E26" s="49"/>
      <c r="F26" s="49"/>
      <c r="G26" s="45"/>
      <c r="H26" s="50"/>
      <c r="I26" s="45"/>
      <c r="J26" s="51"/>
      <c r="K26" s="40" t="str">
        <f aca="false">IF($D26="","",$I26*$J26)</f>
        <v/>
      </c>
      <c r="L26" s="50"/>
      <c r="M26" s="49"/>
      <c r="N26" s="45"/>
      <c r="O26" s="40" t="str">
        <f aca="false">IF(OR($D26="",$N26=""),"",$N26*$J26)</f>
        <v/>
      </c>
      <c r="P26" s="41" t="str">
        <f aca="false">IF(OR($D26="",$L26=""),"",MAX($L26-$H26,0))</f>
        <v/>
      </c>
      <c r="Q26" s="40" t="str">
        <f aca="false">IF(OR($D26="",$N26=""),"",IF($E26="LONG",($N26-$I26)*$J26,($I26-$N26)*$J26))</f>
        <v/>
      </c>
      <c r="R26" s="42" t="str">
        <f aca="false">IF(OR($D26="",$Q26="",$K26=0),"",$Q26/$K26)</f>
        <v/>
      </c>
      <c r="S26" s="43" t="str">
        <f aca="false">IF(OR($D26="",$N26=""),"",MIN(INDEX(Config!$C$13:$C$15,$AK26),INDEX(Config!$B$13:$B$15,$AK26)*$K26)+MIN(INDEX(Config!$C$13:$C$15,$AK26),INDEX(Config!$B$13:$B$15,$AK26)*$O26))</f>
        <v/>
      </c>
      <c r="T26" s="43" t="str">
        <f aca="false">IF(OR($D26="",$N26=""),"",INDEX(Config!$D$13:$D$15,$AK26)*$AL26+INDEX(Config!$E$13:$E$15,$AK26)*$AM26)</f>
        <v/>
      </c>
      <c r="U26" s="43" t="str">
        <f aca="false">IF(OR($D26="",$N26=""),"",INDEX(Config!$F$13:$F$15,$AK26)*($K26+$O26))</f>
        <v/>
      </c>
      <c r="V26" s="43" t="str">
        <f aca="false">IF(OR($D26="",$N26=""),"",INDEX(Config!$G$13:$G$15,$AK26)*($K26+$O26)+INDEX(Config!$H$13:$H$15,$AK26)*$AL26+INDEX(Config!$J$13:$J$15,$AK26))</f>
        <v/>
      </c>
      <c r="W26" s="43" t="str">
        <f aca="false">IF(OR($D26="",$N26=""),"",INDEX(Config!$I$13:$I$15,$AK26)*($S26+$U26+INDEX(Config!$G$13:$G$15,$AK26)*($K26+$O26)))</f>
        <v/>
      </c>
      <c r="X26" s="43" t="str">
        <f aca="false">IF(OR($D26="",$N26=""),"",INDEX(Config!$K$13:$K$15,$AK26)/365*$P26*$K26*Config!$B$8)</f>
        <v/>
      </c>
      <c r="Y26" s="43" t="str">
        <f aca="false">IF(OR($D26="",$N26=""),"",SUM($S26:$X26))</f>
        <v/>
      </c>
      <c r="Z26" s="40" t="str">
        <f aca="false">IF(OR($D26="",$Q26=""),"",$Q26-$Y26)</f>
        <v/>
      </c>
      <c r="AA26" s="42" t="str">
        <f aca="false">IF(OR($D26="",$Z26="",$K26=0),"",$Z26/$K26)</f>
        <v/>
      </c>
      <c r="AB26" s="44" t="str">
        <f aca="false">IF(OR($D26="",$Y26="",$K26=0),"",$Y26/$K26*10000)</f>
        <v/>
      </c>
      <c r="AC26" s="44" t="str">
        <f aca="false">IF(OR($D26="",$G26="",$G26=0,$I26=""),"",IF($E26="LONG",($I26-$G26)/$G26,($G26-$I26)/$G26)*10000)</f>
        <v/>
      </c>
      <c r="AD26" s="45"/>
      <c r="AE26" s="40" t="str">
        <f aca="false">IF(OR($D26="",$N26&lt;&gt;"",$AD26=""),"",IF($E26="LONG",($AD26-$I26)*$J26,($I26-$AD26)*$J26))</f>
        <v/>
      </c>
      <c r="AF26" s="40" t="str">
        <f aca="false">IF(OR($D26="",$E26&lt;&gt;"LONG",$Z26=""),"",$Z26+SUMIFS($Z$4:$Z$503,$B$4:$B$503,$B26,$E$4:$E$503,"SHORT"))</f>
        <v/>
      </c>
      <c r="AG26" s="42" t="str">
        <f aca="false">IF(OR($AF26="",$K26=0),"",$AF26/$K26)</f>
        <v/>
      </c>
      <c r="AH26" s="46"/>
      <c r="AI26" s="43" t="str">
        <f aca="false">IF(OR($D26="",$AH26="",$Z26=""),"",$Z26-$AH26)</f>
        <v/>
      </c>
      <c r="AJ26" s="49"/>
      <c r="AK26" s="47" t="str">
        <f aca="false">IF($D26="","",IFERROR(MATCH($F26,Config!$A$13:$A$15,0),1))</f>
        <v/>
      </c>
      <c r="AL26" s="47" t="str">
        <f aca="false">IF(OR($D26="",$N26=""),"",IF($E26="LONG",$K26,$O26))</f>
        <v/>
      </c>
      <c r="AM26" s="47" t="str">
        <f aca="false">IF(OR($D26="",$N26=""),"",IF($E26="LONG",$O26,$K26))</f>
        <v/>
      </c>
    </row>
    <row r="27" customFormat="false" ht="15" hidden="false" customHeight="false" outlineLevel="0" collapsed="false">
      <c r="A27" s="49"/>
      <c r="B27" s="5" t="str">
        <f aca="false">IF($D27="","",IF(OR(RIGHT($A27,2)="-L",RIGHT($A27,2)="-S"),LEFT($A27,LEN($A27)-2),$A27))</f>
        <v/>
      </c>
      <c r="C27" s="50"/>
      <c r="D27" s="49"/>
      <c r="E27" s="49"/>
      <c r="F27" s="49"/>
      <c r="G27" s="45"/>
      <c r="H27" s="50"/>
      <c r="I27" s="45"/>
      <c r="J27" s="51"/>
      <c r="K27" s="40" t="str">
        <f aca="false">IF($D27="","",$I27*$J27)</f>
        <v/>
      </c>
      <c r="L27" s="50"/>
      <c r="M27" s="49"/>
      <c r="N27" s="45"/>
      <c r="O27" s="40" t="str">
        <f aca="false">IF(OR($D27="",$N27=""),"",$N27*$J27)</f>
        <v/>
      </c>
      <c r="P27" s="41" t="str">
        <f aca="false">IF(OR($D27="",$L27=""),"",MAX($L27-$H27,0))</f>
        <v/>
      </c>
      <c r="Q27" s="40" t="str">
        <f aca="false">IF(OR($D27="",$N27=""),"",IF($E27="LONG",($N27-$I27)*$J27,($I27-$N27)*$J27))</f>
        <v/>
      </c>
      <c r="R27" s="42" t="str">
        <f aca="false">IF(OR($D27="",$Q27="",$K27=0),"",$Q27/$K27)</f>
        <v/>
      </c>
      <c r="S27" s="43" t="str">
        <f aca="false">IF(OR($D27="",$N27=""),"",MIN(INDEX(Config!$C$13:$C$15,$AK27),INDEX(Config!$B$13:$B$15,$AK27)*$K27)+MIN(INDEX(Config!$C$13:$C$15,$AK27),INDEX(Config!$B$13:$B$15,$AK27)*$O27))</f>
        <v/>
      </c>
      <c r="T27" s="43" t="str">
        <f aca="false">IF(OR($D27="",$N27=""),"",INDEX(Config!$D$13:$D$15,$AK27)*$AL27+INDEX(Config!$E$13:$E$15,$AK27)*$AM27)</f>
        <v/>
      </c>
      <c r="U27" s="43" t="str">
        <f aca="false">IF(OR($D27="",$N27=""),"",INDEX(Config!$F$13:$F$15,$AK27)*($K27+$O27))</f>
        <v/>
      </c>
      <c r="V27" s="43" t="str">
        <f aca="false">IF(OR($D27="",$N27=""),"",INDEX(Config!$G$13:$G$15,$AK27)*($K27+$O27)+INDEX(Config!$H$13:$H$15,$AK27)*$AL27+INDEX(Config!$J$13:$J$15,$AK27))</f>
        <v/>
      </c>
      <c r="W27" s="43" t="str">
        <f aca="false">IF(OR($D27="",$N27=""),"",INDEX(Config!$I$13:$I$15,$AK27)*($S27+$U27+INDEX(Config!$G$13:$G$15,$AK27)*($K27+$O27)))</f>
        <v/>
      </c>
      <c r="X27" s="43" t="str">
        <f aca="false">IF(OR($D27="",$N27=""),"",INDEX(Config!$K$13:$K$15,$AK27)/365*$P27*$K27*Config!$B$8)</f>
        <v/>
      </c>
      <c r="Y27" s="43" t="str">
        <f aca="false">IF(OR($D27="",$N27=""),"",SUM($S27:$X27))</f>
        <v/>
      </c>
      <c r="Z27" s="40" t="str">
        <f aca="false">IF(OR($D27="",$Q27=""),"",$Q27-$Y27)</f>
        <v/>
      </c>
      <c r="AA27" s="42" t="str">
        <f aca="false">IF(OR($D27="",$Z27="",$K27=0),"",$Z27/$K27)</f>
        <v/>
      </c>
      <c r="AB27" s="44" t="str">
        <f aca="false">IF(OR($D27="",$Y27="",$K27=0),"",$Y27/$K27*10000)</f>
        <v/>
      </c>
      <c r="AC27" s="44" t="str">
        <f aca="false">IF(OR($D27="",$G27="",$G27=0,$I27=""),"",IF($E27="LONG",($I27-$G27)/$G27,($G27-$I27)/$G27)*10000)</f>
        <v/>
      </c>
      <c r="AD27" s="45"/>
      <c r="AE27" s="40" t="str">
        <f aca="false">IF(OR($D27="",$N27&lt;&gt;"",$AD27=""),"",IF($E27="LONG",($AD27-$I27)*$J27,($I27-$AD27)*$J27))</f>
        <v/>
      </c>
      <c r="AF27" s="40" t="str">
        <f aca="false">IF(OR($D27="",$E27&lt;&gt;"LONG",$Z27=""),"",$Z27+SUMIFS($Z$4:$Z$503,$B$4:$B$503,$B27,$E$4:$E$503,"SHORT"))</f>
        <v/>
      </c>
      <c r="AG27" s="42" t="str">
        <f aca="false">IF(OR($AF27="",$K27=0),"",$AF27/$K27)</f>
        <v/>
      </c>
      <c r="AH27" s="46"/>
      <c r="AI27" s="43" t="str">
        <f aca="false">IF(OR($D27="",$AH27="",$Z27=""),"",$Z27-$AH27)</f>
        <v/>
      </c>
      <c r="AJ27" s="49"/>
      <c r="AK27" s="47" t="str">
        <f aca="false">IF($D27="","",IFERROR(MATCH($F27,Config!$A$13:$A$15,0),1))</f>
        <v/>
      </c>
      <c r="AL27" s="47" t="str">
        <f aca="false">IF(OR($D27="",$N27=""),"",IF($E27="LONG",$K27,$O27))</f>
        <v/>
      </c>
      <c r="AM27" s="47" t="str">
        <f aca="false">IF(OR($D27="",$N27=""),"",IF($E27="LONG",$O27,$K27))</f>
        <v/>
      </c>
    </row>
    <row r="28" customFormat="false" ht="15" hidden="false" customHeight="false" outlineLevel="0" collapsed="false">
      <c r="A28" s="49"/>
      <c r="B28" s="5" t="str">
        <f aca="false">IF($D28="","",IF(OR(RIGHT($A28,2)="-L",RIGHT($A28,2)="-S"),LEFT($A28,LEN($A28)-2),$A28))</f>
        <v/>
      </c>
      <c r="C28" s="50"/>
      <c r="D28" s="49"/>
      <c r="E28" s="49"/>
      <c r="F28" s="49"/>
      <c r="G28" s="45"/>
      <c r="H28" s="50"/>
      <c r="I28" s="45"/>
      <c r="J28" s="51"/>
      <c r="K28" s="40" t="str">
        <f aca="false">IF($D28="","",$I28*$J28)</f>
        <v/>
      </c>
      <c r="L28" s="50"/>
      <c r="M28" s="49"/>
      <c r="N28" s="45"/>
      <c r="O28" s="40" t="str">
        <f aca="false">IF(OR($D28="",$N28=""),"",$N28*$J28)</f>
        <v/>
      </c>
      <c r="P28" s="41" t="str">
        <f aca="false">IF(OR($D28="",$L28=""),"",MAX($L28-$H28,0))</f>
        <v/>
      </c>
      <c r="Q28" s="40" t="str">
        <f aca="false">IF(OR($D28="",$N28=""),"",IF($E28="LONG",($N28-$I28)*$J28,($I28-$N28)*$J28))</f>
        <v/>
      </c>
      <c r="R28" s="42" t="str">
        <f aca="false">IF(OR($D28="",$Q28="",$K28=0),"",$Q28/$K28)</f>
        <v/>
      </c>
      <c r="S28" s="43" t="str">
        <f aca="false">IF(OR($D28="",$N28=""),"",MIN(INDEX(Config!$C$13:$C$15,$AK28),INDEX(Config!$B$13:$B$15,$AK28)*$K28)+MIN(INDEX(Config!$C$13:$C$15,$AK28),INDEX(Config!$B$13:$B$15,$AK28)*$O28))</f>
        <v/>
      </c>
      <c r="T28" s="43" t="str">
        <f aca="false">IF(OR($D28="",$N28=""),"",INDEX(Config!$D$13:$D$15,$AK28)*$AL28+INDEX(Config!$E$13:$E$15,$AK28)*$AM28)</f>
        <v/>
      </c>
      <c r="U28" s="43" t="str">
        <f aca="false">IF(OR($D28="",$N28=""),"",INDEX(Config!$F$13:$F$15,$AK28)*($K28+$O28))</f>
        <v/>
      </c>
      <c r="V28" s="43" t="str">
        <f aca="false">IF(OR($D28="",$N28=""),"",INDEX(Config!$G$13:$G$15,$AK28)*($K28+$O28)+INDEX(Config!$H$13:$H$15,$AK28)*$AL28+INDEX(Config!$J$13:$J$15,$AK28))</f>
        <v/>
      </c>
      <c r="W28" s="43" t="str">
        <f aca="false">IF(OR($D28="",$N28=""),"",INDEX(Config!$I$13:$I$15,$AK28)*($S28+$U28+INDEX(Config!$G$13:$G$15,$AK28)*($K28+$O28)))</f>
        <v/>
      </c>
      <c r="X28" s="43" t="str">
        <f aca="false">IF(OR($D28="",$N28=""),"",INDEX(Config!$K$13:$K$15,$AK28)/365*$P28*$K28*Config!$B$8)</f>
        <v/>
      </c>
      <c r="Y28" s="43" t="str">
        <f aca="false">IF(OR($D28="",$N28=""),"",SUM($S28:$X28))</f>
        <v/>
      </c>
      <c r="Z28" s="40" t="str">
        <f aca="false">IF(OR($D28="",$Q28=""),"",$Q28-$Y28)</f>
        <v/>
      </c>
      <c r="AA28" s="42" t="str">
        <f aca="false">IF(OR($D28="",$Z28="",$K28=0),"",$Z28/$K28)</f>
        <v/>
      </c>
      <c r="AB28" s="44" t="str">
        <f aca="false">IF(OR($D28="",$Y28="",$K28=0),"",$Y28/$K28*10000)</f>
        <v/>
      </c>
      <c r="AC28" s="44" t="str">
        <f aca="false">IF(OR($D28="",$G28="",$G28=0,$I28=""),"",IF($E28="LONG",($I28-$G28)/$G28,($G28-$I28)/$G28)*10000)</f>
        <v/>
      </c>
      <c r="AD28" s="45"/>
      <c r="AE28" s="40" t="str">
        <f aca="false">IF(OR($D28="",$N28&lt;&gt;"",$AD28=""),"",IF($E28="LONG",($AD28-$I28)*$J28,($I28-$AD28)*$J28))</f>
        <v/>
      </c>
      <c r="AF28" s="40" t="str">
        <f aca="false">IF(OR($D28="",$E28&lt;&gt;"LONG",$Z28=""),"",$Z28+SUMIFS($Z$4:$Z$503,$B$4:$B$503,$B28,$E$4:$E$503,"SHORT"))</f>
        <v/>
      </c>
      <c r="AG28" s="42" t="str">
        <f aca="false">IF(OR($AF28="",$K28=0),"",$AF28/$K28)</f>
        <v/>
      </c>
      <c r="AH28" s="46"/>
      <c r="AI28" s="43" t="str">
        <f aca="false">IF(OR($D28="",$AH28="",$Z28=""),"",$Z28-$AH28)</f>
        <v/>
      </c>
      <c r="AJ28" s="49"/>
      <c r="AK28" s="47" t="str">
        <f aca="false">IF($D28="","",IFERROR(MATCH($F28,Config!$A$13:$A$15,0),1))</f>
        <v/>
      </c>
      <c r="AL28" s="47" t="str">
        <f aca="false">IF(OR($D28="",$N28=""),"",IF($E28="LONG",$K28,$O28))</f>
        <v/>
      </c>
      <c r="AM28" s="47" t="str">
        <f aca="false">IF(OR($D28="",$N28=""),"",IF($E28="LONG",$O28,$K28))</f>
        <v/>
      </c>
    </row>
    <row r="29" customFormat="false" ht="15" hidden="false" customHeight="false" outlineLevel="0" collapsed="false">
      <c r="A29" s="49"/>
      <c r="B29" s="5" t="str">
        <f aca="false">IF($D29="","",IF(OR(RIGHT($A29,2)="-L",RIGHT($A29,2)="-S"),LEFT($A29,LEN($A29)-2),$A29))</f>
        <v/>
      </c>
      <c r="C29" s="50"/>
      <c r="D29" s="49"/>
      <c r="E29" s="49"/>
      <c r="F29" s="49"/>
      <c r="G29" s="45"/>
      <c r="H29" s="50"/>
      <c r="I29" s="45"/>
      <c r="J29" s="51"/>
      <c r="K29" s="40" t="str">
        <f aca="false">IF($D29="","",$I29*$J29)</f>
        <v/>
      </c>
      <c r="L29" s="50"/>
      <c r="M29" s="49"/>
      <c r="N29" s="45"/>
      <c r="O29" s="40" t="str">
        <f aca="false">IF(OR($D29="",$N29=""),"",$N29*$J29)</f>
        <v/>
      </c>
      <c r="P29" s="41" t="str">
        <f aca="false">IF(OR($D29="",$L29=""),"",MAX($L29-$H29,0))</f>
        <v/>
      </c>
      <c r="Q29" s="40" t="str">
        <f aca="false">IF(OR($D29="",$N29=""),"",IF($E29="LONG",($N29-$I29)*$J29,($I29-$N29)*$J29))</f>
        <v/>
      </c>
      <c r="R29" s="42" t="str">
        <f aca="false">IF(OR($D29="",$Q29="",$K29=0),"",$Q29/$K29)</f>
        <v/>
      </c>
      <c r="S29" s="43" t="str">
        <f aca="false">IF(OR($D29="",$N29=""),"",MIN(INDEX(Config!$C$13:$C$15,$AK29),INDEX(Config!$B$13:$B$15,$AK29)*$K29)+MIN(INDEX(Config!$C$13:$C$15,$AK29),INDEX(Config!$B$13:$B$15,$AK29)*$O29))</f>
        <v/>
      </c>
      <c r="T29" s="43" t="str">
        <f aca="false">IF(OR($D29="",$N29=""),"",INDEX(Config!$D$13:$D$15,$AK29)*$AL29+INDEX(Config!$E$13:$E$15,$AK29)*$AM29)</f>
        <v/>
      </c>
      <c r="U29" s="43" t="str">
        <f aca="false">IF(OR($D29="",$N29=""),"",INDEX(Config!$F$13:$F$15,$AK29)*($K29+$O29))</f>
        <v/>
      </c>
      <c r="V29" s="43" t="str">
        <f aca="false">IF(OR($D29="",$N29=""),"",INDEX(Config!$G$13:$G$15,$AK29)*($K29+$O29)+INDEX(Config!$H$13:$H$15,$AK29)*$AL29+INDEX(Config!$J$13:$J$15,$AK29))</f>
        <v/>
      </c>
      <c r="W29" s="43" t="str">
        <f aca="false">IF(OR($D29="",$N29=""),"",INDEX(Config!$I$13:$I$15,$AK29)*($S29+$U29+INDEX(Config!$G$13:$G$15,$AK29)*($K29+$O29)))</f>
        <v/>
      </c>
      <c r="X29" s="43" t="str">
        <f aca="false">IF(OR($D29="",$N29=""),"",INDEX(Config!$K$13:$K$15,$AK29)/365*$P29*$K29*Config!$B$8)</f>
        <v/>
      </c>
      <c r="Y29" s="43" t="str">
        <f aca="false">IF(OR($D29="",$N29=""),"",SUM($S29:$X29))</f>
        <v/>
      </c>
      <c r="Z29" s="40" t="str">
        <f aca="false">IF(OR($D29="",$Q29=""),"",$Q29-$Y29)</f>
        <v/>
      </c>
      <c r="AA29" s="42" t="str">
        <f aca="false">IF(OR($D29="",$Z29="",$K29=0),"",$Z29/$K29)</f>
        <v/>
      </c>
      <c r="AB29" s="44" t="str">
        <f aca="false">IF(OR($D29="",$Y29="",$K29=0),"",$Y29/$K29*10000)</f>
        <v/>
      </c>
      <c r="AC29" s="44" t="str">
        <f aca="false">IF(OR($D29="",$G29="",$G29=0,$I29=""),"",IF($E29="LONG",($I29-$G29)/$G29,($G29-$I29)/$G29)*10000)</f>
        <v/>
      </c>
      <c r="AD29" s="45"/>
      <c r="AE29" s="40" t="str">
        <f aca="false">IF(OR($D29="",$N29&lt;&gt;"",$AD29=""),"",IF($E29="LONG",($AD29-$I29)*$J29,($I29-$AD29)*$J29))</f>
        <v/>
      </c>
      <c r="AF29" s="40" t="str">
        <f aca="false">IF(OR($D29="",$E29&lt;&gt;"LONG",$Z29=""),"",$Z29+SUMIFS($Z$4:$Z$503,$B$4:$B$503,$B29,$E$4:$E$503,"SHORT"))</f>
        <v/>
      </c>
      <c r="AG29" s="42" t="str">
        <f aca="false">IF(OR($AF29="",$K29=0),"",$AF29/$K29)</f>
        <v/>
      </c>
      <c r="AH29" s="46"/>
      <c r="AI29" s="43" t="str">
        <f aca="false">IF(OR($D29="",$AH29="",$Z29=""),"",$Z29-$AH29)</f>
        <v/>
      </c>
      <c r="AJ29" s="49"/>
      <c r="AK29" s="47" t="str">
        <f aca="false">IF($D29="","",IFERROR(MATCH($F29,Config!$A$13:$A$15,0),1))</f>
        <v/>
      </c>
      <c r="AL29" s="47" t="str">
        <f aca="false">IF(OR($D29="",$N29=""),"",IF($E29="LONG",$K29,$O29))</f>
        <v/>
      </c>
      <c r="AM29" s="47" t="str">
        <f aca="false">IF(OR($D29="",$N29=""),"",IF($E29="LONG",$O29,$K29))</f>
        <v/>
      </c>
    </row>
    <row r="30" customFormat="false" ht="15" hidden="false" customHeight="false" outlineLevel="0" collapsed="false">
      <c r="A30" s="49"/>
      <c r="B30" s="5" t="str">
        <f aca="false">IF($D30="","",IF(OR(RIGHT($A30,2)="-L",RIGHT($A30,2)="-S"),LEFT($A30,LEN($A30)-2),$A30))</f>
        <v/>
      </c>
      <c r="C30" s="50"/>
      <c r="D30" s="49"/>
      <c r="E30" s="49"/>
      <c r="F30" s="49"/>
      <c r="G30" s="45"/>
      <c r="H30" s="50"/>
      <c r="I30" s="45"/>
      <c r="J30" s="51"/>
      <c r="K30" s="40" t="str">
        <f aca="false">IF($D30="","",$I30*$J30)</f>
        <v/>
      </c>
      <c r="L30" s="50"/>
      <c r="M30" s="49"/>
      <c r="N30" s="45"/>
      <c r="O30" s="40" t="str">
        <f aca="false">IF(OR($D30="",$N30=""),"",$N30*$J30)</f>
        <v/>
      </c>
      <c r="P30" s="41" t="str">
        <f aca="false">IF(OR($D30="",$L30=""),"",MAX($L30-$H30,0))</f>
        <v/>
      </c>
      <c r="Q30" s="40" t="str">
        <f aca="false">IF(OR($D30="",$N30=""),"",IF($E30="LONG",($N30-$I30)*$J30,($I30-$N30)*$J30))</f>
        <v/>
      </c>
      <c r="R30" s="42" t="str">
        <f aca="false">IF(OR($D30="",$Q30="",$K30=0),"",$Q30/$K30)</f>
        <v/>
      </c>
      <c r="S30" s="43" t="str">
        <f aca="false">IF(OR($D30="",$N30=""),"",MIN(INDEX(Config!$C$13:$C$15,$AK30),INDEX(Config!$B$13:$B$15,$AK30)*$K30)+MIN(INDEX(Config!$C$13:$C$15,$AK30),INDEX(Config!$B$13:$B$15,$AK30)*$O30))</f>
        <v/>
      </c>
      <c r="T30" s="43" t="str">
        <f aca="false">IF(OR($D30="",$N30=""),"",INDEX(Config!$D$13:$D$15,$AK30)*$AL30+INDEX(Config!$E$13:$E$15,$AK30)*$AM30)</f>
        <v/>
      </c>
      <c r="U30" s="43" t="str">
        <f aca="false">IF(OR($D30="",$N30=""),"",INDEX(Config!$F$13:$F$15,$AK30)*($K30+$O30))</f>
        <v/>
      </c>
      <c r="V30" s="43" t="str">
        <f aca="false">IF(OR($D30="",$N30=""),"",INDEX(Config!$G$13:$G$15,$AK30)*($K30+$O30)+INDEX(Config!$H$13:$H$15,$AK30)*$AL30+INDEX(Config!$J$13:$J$15,$AK30))</f>
        <v/>
      </c>
      <c r="W30" s="43" t="str">
        <f aca="false">IF(OR($D30="",$N30=""),"",INDEX(Config!$I$13:$I$15,$AK30)*($S30+$U30+INDEX(Config!$G$13:$G$15,$AK30)*($K30+$O30)))</f>
        <v/>
      </c>
      <c r="X30" s="43" t="str">
        <f aca="false">IF(OR($D30="",$N30=""),"",INDEX(Config!$K$13:$K$15,$AK30)/365*$P30*$K30*Config!$B$8)</f>
        <v/>
      </c>
      <c r="Y30" s="43" t="str">
        <f aca="false">IF(OR($D30="",$N30=""),"",SUM($S30:$X30))</f>
        <v/>
      </c>
      <c r="Z30" s="40" t="str">
        <f aca="false">IF(OR($D30="",$Q30=""),"",$Q30-$Y30)</f>
        <v/>
      </c>
      <c r="AA30" s="42" t="str">
        <f aca="false">IF(OR($D30="",$Z30="",$K30=0),"",$Z30/$K30)</f>
        <v/>
      </c>
      <c r="AB30" s="44" t="str">
        <f aca="false">IF(OR($D30="",$Y30="",$K30=0),"",$Y30/$K30*10000)</f>
        <v/>
      </c>
      <c r="AC30" s="44" t="str">
        <f aca="false">IF(OR($D30="",$G30="",$G30=0,$I30=""),"",IF($E30="LONG",($I30-$G30)/$G30,($G30-$I30)/$G30)*10000)</f>
        <v/>
      </c>
      <c r="AD30" s="45"/>
      <c r="AE30" s="40" t="str">
        <f aca="false">IF(OR($D30="",$N30&lt;&gt;"",$AD30=""),"",IF($E30="LONG",($AD30-$I30)*$J30,($I30-$AD30)*$J30))</f>
        <v/>
      </c>
      <c r="AF30" s="40" t="str">
        <f aca="false">IF(OR($D30="",$E30&lt;&gt;"LONG",$Z30=""),"",$Z30+SUMIFS($Z$4:$Z$503,$B$4:$B$503,$B30,$E$4:$E$503,"SHORT"))</f>
        <v/>
      </c>
      <c r="AG30" s="42" t="str">
        <f aca="false">IF(OR($AF30="",$K30=0),"",$AF30/$K30)</f>
        <v/>
      </c>
      <c r="AH30" s="46"/>
      <c r="AI30" s="43" t="str">
        <f aca="false">IF(OR($D30="",$AH30="",$Z30=""),"",$Z30-$AH30)</f>
        <v/>
      </c>
      <c r="AJ30" s="49"/>
      <c r="AK30" s="47" t="str">
        <f aca="false">IF($D30="","",IFERROR(MATCH($F30,Config!$A$13:$A$15,0),1))</f>
        <v/>
      </c>
      <c r="AL30" s="47" t="str">
        <f aca="false">IF(OR($D30="",$N30=""),"",IF($E30="LONG",$K30,$O30))</f>
        <v/>
      </c>
      <c r="AM30" s="47" t="str">
        <f aca="false">IF(OR($D30="",$N30=""),"",IF($E30="LONG",$O30,$K30))</f>
        <v/>
      </c>
    </row>
    <row r="31" customFormat="false" ht="15" hidden="false" customHeight="false" outlineLevel="0" collapsed="false">
      <c r="A31" s="49"/>
      <c r="B31" s="5" t="str">
        <f aca="false">IF($D31="","",IF(OR(RIGHT($A31,2)="-L",RIGHT($A31,2)="-S"),LEFT($A31,LEN($A31)-2),$A31))</f>
        <v/>
      </c>
      <c r="C31" s="50"/>
      <c r="D31" s="49"/>
      <c r="E31" s="49"/>
      <c r="F31" s="49"/>
      <c r="G31" s="45"/>
      <c r="H31" s="50"/>
      <c r="I31" s="45"/>
      <c r="J31" s="51"/>
      <c r="K31" s="40" t="str">
        <f aca="false">IF($D31="","",$I31*$J31)</f>
        <v/>
      </c>
      <c r="L31" s="50"/>
      <c r="M31" s="49"/>
      <c r="N31" s="45"/>
      <c r="O31" s="40" t="str">
        <f aca="false">IF(OR($D31="",$N31=""),"",$N31*$J31)</f>
        <v/>
      </c>
      <c r="P31" s="41" t="str">
        <f aca="false">IF(OR($D31="",$L31=""),"",MAX($L31-$H31,0))</f>
        <v/>
      </c>
      <c r="Q31" s="40" t="str">
        <f aca="false">IF(OR($D31="",$N31=""),"",IF($E31="LONG",($N31-$I31)*$J31,($I31-$N31)*$J31))</f>
        <v/>
      </c>
      <c r="R31" s="42" t="str">
        <f aca="false">IF(OR($D31="",$Q31="",$K31=0),"",$Q31/$K31)</f>
        <v/>
      </c>
      <c r="S31" s="43" t="str">
        <f aca="false">IF(OR($D31="",$N31=""),"",MIN(INDEX(Config!$C$13:$C$15,$AK31),INDEX(Config!$B$13:$B$15,$AK31)*$K31)+MIN(INDEX(Config!$C$13:$C$15,$AK31),INDEX(Config!$B$13:$B$15,$AK31)*$O31))</f>
        <v/>
      </c>
      <c r="T31" s="43" t="str">
        <f aca="false">IF(OR($D31="",$N31=""),"",INDEX(Config!$D$13:$D$15,$AK31)*$AL31+INDEX(Config!$E$13:$E$15,$AK31)*$AM31)</f>
        <v/>
      </c>
      <c r="U31" s="43" t="str">
        <f aca="false">IF(OR($D31="",$N31=""),"",INDEX(Config!$F$13:$F$15,$AK31)*($K31+$O31))</f>
        <v/>
      </c>
      <c r="V31" s="43" t="str">
        <f aca="false">IF(OR($D31="",$N31=""),"",INDEX(Config!$G$13:$G$15,$AK31)*($K31+$O31)+INDEX(Config!$H$13:$H$15,$AK31)*$AL31+INDEX(Config!$J$13:$J$15,$AK31))</f>
        <v/>
      </c>
      <c r="W31" s="43" t="str">
        <f aca="false">IF(OR($D31="",$N31=""),"",INDEX(Config!$I$13:$I$15,$AK31)*($S31+$U31+INDEX(Config!$G$13:$G$15,$AK31)*($K31+$O31)))</f>
        <v/>
      </c>
      <c r="X31" s="43" t="str">
        <f aca="false">IF(OR($D31="",$N31=""),"",INDEX(Config!$K$13:$K$15,$AK31)/365*$P31*$K31*Config!$B$8)</f>
        <v/>
      </c>
      <c r="Y31" s="43" t="str">
        <f aca="false">IF(OR($D31="",$N31=""),"",SUM($S31:$X31))</f>
        <v/>
      </c>
      <c r="Z31" s="40" t="str">
        <f aca="false">IF(OR($D31="",$Q31=""),"",$Q31-$Y31)</f>
        <v/>
      </c>
      <c r="AA31" s="42" t="str">
        <f aca="false">IF(OR($D31="",$Z31="",$K31=0),"",$Z31/$K31)</f>
        <v/>
      </c>
      <c r="AB31" s="44" t="str">
        <f aca="false">IF(OR($D31="",$Y31="",$K31=0),"",$Y31/$K31*10000)</f>
        <v/>
      </c>
      <c r="AC31" s="44" t="str">
        <f aca="false">IF(OR($D31="",$G31="",$G31=0,$I31=""),"",IF($E31="LONG",($I31-$G31)/$G31,($G31-$I31)/$G31)*10000)</f>
        <v/>
      </c>
      <c r="AD31" s="45"/>
      <c r="AE31" s="40" t="str">
        <f aca="false">IF(OR($D31="",$N31&lt;&gt;"",$AD31=""),"",IF($E31="LONG",($AD31-$I31)*$J31,($I31-$AD31)*$J31))</f>
        <v/>
      </c>
      <c r="AF31" s="40" t="str">
        <f aca="false">IF(OR($D31="",$E31&lt;&gt;"LONG",$Z31=""),"",$Z31+SUMIFS($Z$4:$Z$503,$B$4:$B$503,$B31,$E$4:$E$503,"SHORT"))</f>
        <v/>
      </c>
      <c r="AG31" s="42" t="str">
        <f aca="false">IF(OR($AF31="",$K31=0),"",$AF31/$K31)</f>
        <v/>
      </c>
      <c r="AH31" s="46"/>
      <c r="AI31" s="43" t="str">
        <f aca="false">IF(OR($D31="",$AH31="",$Z31=""),"",$Z31-$AH31)</f>
        <v/>
      </c>
      <c r="AJ31" s="49"/>
      <c r="AK31" s="47" t="str">
        <f aca="false">IF($D31="","",IFERROR(MATCH($F31,Config!$A$13:$A$15,0),1))</f>
        <v/>
      </c>
      <c r="AL31" s="47" t="str">
        <f aca="false">IF(OR($D31="",$N31=""),"",IF($E31="LONG",$K31,$O31))</f>
        <v/>
      </c>
      <c r="AM31" s="47" t="str">
        <f aca="false">IF(OR($D31="",$N31=""),"",IF($E31="LONG",$O31,$K31))</f>
        <v/>
      </c>
    </row>
    <row r="32" customFormat="false" ht="15" hidden="false" customHeight="false" outlineLevel="0" collapsed="false">
      <c r="A32" s="49"/>
      <c r="B32" s="5" t="str">
        <f aca="false">IF($D32="","",IF(OR(RIGHT($A32,2)="-L",RIGHT($A32,2)="-S"),LEFT($A32,LEN($A32)-2),$A32))</f>
        <v/>
      </c>
      <c r="C32" s="50"/>
      <c r="D32" s="49"/>
      <c r="E32" s="49"/>
      <c r="F32" s="49"/>
      <c r="G32" s="45"/>
      <c r="H32" s="50"/>
      <c r="I32" s="45"/>
      <c r="J32" s="51"/>
      <c r="K32" s="40" t="str">
        <f aca="false">IF($D32="","",$I32*$J32)</f>
        <v/>
      </c>
      <c r="L32" s="50"/>
      <c r="M32" s="49"/>
      <c r="N32" s="45"/>
      <c r="O32" s="40" t="str">
        <f aca="false">IF(OR($D32="",$N32=""),"",$N32*$J32)</f>
        <v/>
      </c>
      <c r="P32" s="41" t="str">
        <f aca="false">IF(OR($D32="",$L32=""),"",MAX($L32-$H32,0))</f>
        <v/>
      </c>
      <c r="Q32" s="40" t="str">
        <f aca="false">IF(OR($D32="",$N32=""),"",IF($E32="LONG",($N32-$I32)*$J32,($I32-$N32)*$J32))</f>
        <v/>
      </c>
      <c r="R32" s="42" t="str">
        <f aca="false">IF(OR($D32="",$Q32="",$K32=0),"",$Q32/$K32)</f>
        <v/>
      </c>
      <c r="S32" s="43" t="str">
        <f aca="false">IF(OR($D32="",$N32=""),"",MIN(INDEX(Config!$C$13:$C$15,$AK32),INDEX(Config!$B$13:$B$15,$AK32)*$K32)+MIN(INDEX(Config!$C$13:$C$15,$AK32),INDEX(Config!$B$13:$B$15,$AK32)*$O32))</f>
        <v/>
      </c>
      <c r="T32" s="43" t="str">
        <f aca="false">IF(OR($D32="",$N32=""),"",INDEX(Config!$D$13:$D$15,$AK32)*$AL32+INDEX(Config!$E$13:$E$15,$AK32)*$AM32)</f>
        <v/>
      </c>
      <c r="U32" s="43" t="str">
        <f aca="false">IF(OR($D32="",$N32=""),"",INDEX(Config!$F$13:$F$15,$AK32)*($K32+$O32))</f>
        <v/>
      </c>
      <c r="V32" s="43" t="str">
        <f aca="false">IF(OR($D32="",$N32=""),"",INDEX(Config!$G$13:$G$15,$AK32)*($K32+$O32)+INDEX(Config!$H$13:$H$15,$AK32)*$AL32+INDEX(Config!$J$13:$J$15,$AK32))</f>
        <v/>
      </c>
      <c r="W32" s="43" t="str">
        <f aca="false">IF(OR($D32="",$N32=""),"",INDEX(Config!$I$13:$I$15,$AK32)*($S32+$U32+INDEX(Config!$G$13:$G$15,$AK32)*($K32+$O32)))</f>
        <v/>
      </c>
      <c r="X32" s="43" t="str">
        <f aca="false">IF(OR($D32="",$N32=""),"",INDEX(Config!$K$13:$K$15,$AK32)/365*$P32*$K32*Config!$B$8)</f>
        <v/>
      </c>
      <c r="Y32" s="43" t="str">
        <f aca="false">IF(OR($D32="",$N32=""),"",SUM($S32:$X32))</f>
        <v/>
      </c>
      <c r="Z32" s="40" t="str">
        <f aca="false">IF(OR($D32="",$Q32=""),"",$Q32-$Y32)</f>
        <v/>
      </c>
      <c r="AA32" s="42" t="str">
        <f aca="false">IF(OR($D32="",$Z32="",$K32=0),"",$Z32/$K32)</f>
        <v/>
      </c>
      <c r="AB32" s="44" t="str">
        <f aca="false">IF(OR($D32="",$Y32="",$K32=0),"",$Y32/$K32*10000)</f>
        <v/>
      </c>
      <c r="AC32" s="44" t="str">
        <f aca="false">IF(OR($D32="",$G32="",$G32=0,$I32=""),"",IF($E32="LONG",($I32-$G32)/$G32,($G32-$I32)/$G32)*10000)</f>
        <v/>
      </c>
      <c r="AD32" s="45"/>
      <c r="AE32" s="40" t="str">
        <f aca="false">IF(OR($D32="",$N32&lt;&gt;"",$AD32=""),"",IF($E32="LONG",($AD32-$I32)*$J32,($I32-$AD32)*$J32))</f>
        <v/>
      </c>
      <c r="AF32" s="40" t="str">
        <f aca="false">IF(OR($D32="",$E32&lt;&gt;"LONG",$Z32=""),"",$Z32+SUMIFS($Z$4:$Z$503,$B$4:$B$503,$B32,$E$4:$E$503,"SHORT"))</f>
        <v/>
      </c>
      <c r="AG32" s="42" t="str">
        <f aca="false">IF(OR($AF32="",$K32=0),"",$AF32/$K32)</f>
        <v/>
      </c>
      <c r="AH32" s="46"/>
      <c r="AI32" s="43" t="str">
        <f aca="false">IF(OR($D32="",$AH32="",$Z32=""),"",$Z32-$AH32)</f>
        <v/>
      </c>
      <c r="AJ32" s="49"/>
      <c r="AK32" s="47" t="str">
        <f aca="false">IF($D32="","",IFERROR(MATCH($F32,Config!$A$13:$A$15,0),1))</f>
        <v/>
      </c>
      <c r="AL32" s="47" t="str">
        <f aca="false">IF(OR($D32="",$N32=""),"",IF($E32="LONG",$K32,$O32))</f>
        <v/>
      </c>
      <c r="AM32" s="47" t="str">
        <f aca="false">IF(OR($D32="",$N32=""),"",IF($E32="LONG",$O32,$K32))</f>
        <v/>
      </c>
    </row>
    <row r="33" customFormat="false" ht="15" hidden="false" customHeight="false" outlineLevel="0" collapsed="false">
      <c r="A33" s="49"/>
      <c r="B33" s="5" t="str">
        <f aca="false">IF($D33="","",IF(OR(RIGHT($A33,2)="-L",RIGHT($A33,2)="-S"),LEFT($A33,LEN($A33)-2),$A33))</f>
        <v/>
      </c>
      <c r="C33" s="50"/>
      <c r="D33" s="49"/>
      <c r="E33" s="49"/>
      <c r="F33" s="49"/>
      <c r="G33" s="45"/>
      <c r="H33" s="50"/>
      <c r="I33" s="45"/>
      <c r="J33" s="51"/>
      <c r="K33" s="40" t="str">
        <f aca="false">IF($D33="","",$I33*$J33)</f>
        <v/>
      </c>
      <c r="L33" s="50"/>
      <c r="M33" s="49"/>
      <c r="N33" s="45"/>
      <c r="O33" s="40" t="str">
        <f aca="false">IF(OR($D33="",$N33=""),"",$N33*$J33)</f>
        <v/>
      </c>
      <c r="P33" s="41" t="str">
        <f aca="false">IF(OR($D33="",$L33=""),"",MAX($L33-$H33,0))</f>
        <v/>
      </c>
      <c r="Q33" s="40" t="str">
        <f aca="false">IF(OR($D33="",$N33=""),"",IF($E33="LONG",($N33-$I33)*$J33,($I33-$N33)*$J33))</f>
        <v/>
      </c>
      <c r="R33" s="42" t="str">
        <f aca="false">IF(OR($D33="",$Q33="",$K33=0),"",$Q33/$K33)</f>
        <v/>
      </c>
      <c r="S33" s="43" t="str">
        <f aca="false">IF(OR($D33="",$N33=""),"",MIN(INDEX(Config!$C$13:$C$15,$AK33),INDEX(Config!$B$13:$B$15,$AK33)*$K33)+MIN(INDEX(Config!$C$13:$C$15,$AK33),INDEX(Config!$B$13:$B$15,$AK33)*$O33))</f>
        <v/>
      </c>
      <c r="T33" s="43" t="str">
        <f aca="false">IF(OR($D33="",$N33=""),"",INDEX(Config!$D$13:$D$15,$AK33)*$AL33+INDEX(Config!$E$13:$E$15,$AK33)*$AM33)</f>
        <v/>
      </c>
      <c r="U33" s="43" t="str">
        <f aca="false">IF(OR($D33="",$N33=""),"",INDEX(Config!$F$13:$F$15,$AK33)*($K33+$O33))</f>
        <v/>
      </c>
      <c r="V33" s="43" t="str">
        <f aca="false">IF(OR($D33="",$N33=""),"",INDEX(Config!$G$13:$G$15,$AK33)*($K33+$O33)+INDEX(Config!$H$13:$H$15,$AK33)*$AL33+INDEX(Config!$J$13:$J$15,$AK33))</f>
        <v/>
      </c>
      <c r="W33" s="43" t="str">
        <f aca="false">IF(OR($D33="",$N33=""),"",INDEX(Config!$I$13:$I$15,$AK33)*($S33+$U33+INDEX(Config!$G$13:$G$15,$AK33)*($K33+$O33)))</f>
        <v/>
      </c>
      <c r="X33" s="43" t="str">
        <f aca="false">IF(OR($D33="",$N33=""),"",INDEX(Config!$K$13:$K$15,$AK33)/365*$P33*$K33*Config!$B$8)</f>
        <v/>
      </c>
      <c r="Y33" s="43" t="str">
        <f aca="false">IF(OR($D33="",$N33=""),"",SUM($S33:$X33))</f>
        <v/>
      </c>
      <c r="Z33" s="40" t="str">
        <f aca="false">IF(OR($D33="",$Q33=""),"",$Q33-$Y33)</f>
        <v/>
      </c>
      <c r="AA33" s="42" t="str">
        <f aca="false">IF(OR($D33="",$Z33="",$K33=0),"",$Z33/$K33)</f>
        <v/>
      </c>
      <c r="AB33" s="44" t="str">
        <f aca="false">IF(OR($D33="",$Y33="",$K33=0),"",$Y33/$K33*10000)</f>
        <v/>
      </c>
      <c r="AC33" s="44" t="str">
        <f aca="false">IF(OR($D33="",$G33="",$G33=0,$I33=""),"",IF($E33="LONG",($I33-$G33)/$G33,($G33-$I33)/$G33)*10000)</f>
        <v/>
      </c>
      <c r="AD33" s="45"/>
      <c r="AE33" s="40" t="str">
        <f aca="false">IF(OR($D33="",$N33&lt;&gt;"",$AD33=""),"",IF($E33="LONG",($AD33-$I33)*$J33,($I33-$AD33)*$J33))</f>
        <v/>
      </c>
      <c r="AF33" s="40" t="str">
        <f aca="false">IF(OR($D33="",$E33&lt;&gt;"LONG",$Z33=""),"",$Z33+SUMIFS($Z$4:$Z$503,$B$4:$B$503,$B33,$E$4:$E$503,"SHORT"))</f>
        <v/>
      </c>
      <c r="AG33" s="42" t="str">
        <f aca="false">IF(OR($AF33="",$K33=0),"",$AF33/$K33)</f>
        <v/>
      </c>
      <c r="AH33" s="46"/>
      <c r="AI33" s="43" t="str">
        <f aca="false">IF(OR($D33="",$AH33="",$Z33=""),"",$Z33-$AH33)</f>
        <v/>
      </c>
      <c r="AJ33" s="49"/>
      <c r="AK33" s="47" t="str">
        <f aca="false">IF($D33="","",IFERROR(MATCH($F33,Config!$A$13:$A$15,0),1))</f>
        <v/>
      </c>
      <c r="AL33" s="47" t="str">
        <f aca="false">IF(OR($D33="",$N33=""),"",IF($E33="LONG",$K33,$O33))</f>
        <v/>
      </c>
      <c r="AM33" s="47" t="str">
        <f aca="false">IF(OR($D33="",$N33=""),"",IF($E33="LONG",$O33,$K33))</f>
        <v/>
      </c>
    </row>
    <row r="34" customFormat="false" ht="15" hidden="false" customHeight="false" outlineLevel="0" collapsed="false">
      <c r="A34" s="49"/>
      <c r="B34" s="5" t="str">
        <f aca="false">IF($D34="","",IF(OR(RIGHT($A34,2)="-L",RIGHT($A34,2)="-S"),LEFT($A34,LEN($A34)-2),$A34))</f>
        <v/>
      </c>
      <c r="C34" s="50"/>
      <c r="D34" s="49"/>
      <c r="E34" s="49"/>
      <c r="F34" s="49"/>
      <c r="G34" s="45"/>
      <c r="H34" s="50"/>
      <c r="I34" s="45"/>
      <c r="J34" s="51"/>
      <c r="K34" s="40" t="str">
        <f aca="false">IF($D34="","",$I34*$J34)</f>
        <v/>
      </c>
      <c r="L34" s="50"/>
      <c r="M34" s="49"/>
      <c r="N34" s="45"/>
      <c r="O34" s="40" t="str">
        <f aca="false">IF(OR($D34="",$N34=""),"",$N34*$J34)</f>
        <v/>
      </c>
      <c r="P34" s="41" t="str">
        <f aca="false">IF(OR($D34="",$L34=""),"",MAX($L34-$H34,0))</f>
        <v/>
      </c>
      <c r="Q34" s="40" t="str">
        <f aca="false">IF(OR($D34="",$N34=""),"",IF($E34="LONG",($N34-$I34)*$J34,($I34-$N34)*$J34))</f>
        <v/>
      </c>
      <c r="R34" s="42" t="str">
        <f aca="false">IF(OR($D34="",$Q34="",$K34=0),"",$Q34/$K34)</f>
        <v/>
      </c>
      <c r="S34" s="43" t="str">
        <f aca="false">IF(OR($D34="",$N34=""),"",MIN(INDEX(Config!$C$13:$C$15,$AK34),INDEX(Config!$B$13:$B$15,$AK34)*$K34)+MIN(INDEX(Config!$C$13:$C$15,$AK34),INDEX(Config!$B$13:$B$15,$AK34)*$O34))</f>
        <v/>
      </c>
      <c r="T34" s="43" t="str">
        <f aca="false">IF(OR($D34="",$N34=""),"",INDEX(Config!$D$13:$D$15,$AK34)*$AL34+INDEX(Config!$E$13:$E$15,$AK34)*$AM34)</f>
        <v/>
      </c>
      <c r="U34" s="43" t="str">
        <f aca="false">IF(OR($D34="",$N34=""),"",INDEX(Config!$F$13:$F$15,$AK34)*($K34+$O34))</f>
        <v/>
      </c>
      <c r="V34" s="43" t="str">
        <f aca="false">IF(OR($D34="",$N34=""),"",INDEX(Config!$G$13:$G$15,$AK34)*($K34+$O34)+INDEX(Config!$H$13:$H$15,$AK34)*$AL34+INDEX(Config!$J$13:$J$15,$AK34))</f>
        <v/>
      </c>
      <c r="W34" s="43" t="str">
        <f aca="false">IF(OR($D34="",$N34=""),"",INDEX(Config!$I$13:$I$15,$AK34)*($S34+$U34+INDEX(Config!$G$13:$G$15,$AK34)*($K34+$O34)))</f>
        <v/>
      </c>
      <c r="X34" s="43" t="str">
        <f aca="false">IF(OR($D34="",$N34=""),"",INDEX(Config!$K$13:$K$15,$AK34)/365*$P34*$K34*Config!$B$8)</f>
        <v/>
      </c>
      <c r="Y34" s="43" t="str">
        <f aca="false">IF(OR($D34="",$N34=""),"",SUM($S34:$X34))</f>
        <v/>
      </c>
      <c r="Z34" s="40" t="str">
        <f aca="false">IF(OR($D34="",$Q34=""),"",$Q34-$Y34)</f>
        <v/>
      </c>
      <c r="AA34" s="42" t="str">
        <f aca="false">IF(OR($D34="",$Z34="",$K34=0),"",$Z34/$K34)</f>
        <v/>
      </c>
      <c r="AB34" s="44" t="str">
        <f aca="false">IF(OR($D34="",$Y34="",$K34=0),"",$Y34/$K34*10000)</f>
        <v/>
      </c>
      <c r="AC34" s="44" t="str">
        <f aca="false">IF(OR($D34="",$G34="",$G34=0,$I34=""),"",IF($E34="LONG",($I34-$G34)/$G34,($G34-$I34)/$G34)*10000)</f>
        <v/>
      </c>
      <c r="AD34" s="45"/>
      <c r="AE34" s="40" t="str">
        <f aca="false">IF(OR($D34="",$N34&lt;&gt;"",$AD34=""),"",IF($E34="LONG",($AD34-$I34)*$J34,($I34-$AD34)*$J34))</f>
        <v/>
      </c>
      <c r="AF34" s="40" t="str">
        <f aca="false">IF(OR($D34="",$E34&lt;&gt;"LONG",$Z34=""),"",$Z34+SUMIFS($Z$4:$Z$503,$B$4:$B$503,$B34,$E$4:$E$503,"SHORT"))</f>
        <v/>
      </c>
      <c r="AG34" s="42" t="str">
        <f aca="false">IF(OR($AF34="",$K34=0),"",$AF34/$K34)</f>
        <v/>
      </c>
      <c r="AH34" s="46"/>
      <c r="AI34" s="43" t="str">
        <f aca="false">IF(OR($D34="",$AH34="",$Z34=""),"",$Z34-$AH34)</f>
        <v/>
      </c>
      <c r="AJ34" s="49"/>
      <c r="AK34" s="47" t="str">
        <f aca="false">IF($D34="","",IFERROR(MATCH($F34,Config!$A$13:$A$15,0),1))</f>
        <v/>
      </c>
      <c r="AL34" s="47" t="str">
        <f aca="false">IF(OR($D34="",$N34=""),"",IF($E34="LONG",$K34,$O34))</f>
        <v/>
      </c>
      <c r="AM34" s="47" t="str">
        <f aca="false">IF(OR($D34="",$N34=""),"",IF($E34="LONG",$O34,$K34))</f>
        <v/>
      </c>
    </row>
    <row r="35" customFormat="false" ht="15" hidden="false" customHeight="false" outlineLevel="0" collapsed="false">
      <c r="A35" s="49"/>
      <c r="B35" s="5" t="str">
        <f aca="false">IF($D35="","",IF(OR(RIGHT($A35,2)="-L",RIGHT($A35,2)="-S"),LEFT($A35,LEN($A35)-2),$A35))</f>
        <v/>
      </c>
      <c r="C35" s="50"/>
      <c r="D35" s="49"/>
      <c r="E35" s="49"/>
      <c r="F35" s="49"/>
      <c r="G35" s="45"/>
      <c r="H35" s="50"/>
      <c r="I35" s="45"/>
      <c r="J35" s="51"/>
      <c r="K35" s="40" t="str">
        <f aca="false">IF($D35="","",$I35*$J35)</f>
        <v/>
      </c>
      <c r="L35" s="50"/>
      <c r="M35" s="49"/>
      <c r="N35" s="45"/>
      <c r="O35" s="40" t="str">
        <f aca="false">IF(OR($D35="",$N35=""),"",$N35*$J35)</f>
        <v/>
      </c>
      <c r="P35" s="41" t="str">
        <f aca="false">IF(OR($D35="",$L35=""),"",MAX($L35-$H35,0))</f>
        <v/>
      </c>
      <c r="Q35" s="40" t="str">
        <f aca="false">IF(OR($D35="",$N35=""),"",IF($E35="LONG",($N35-$I35)*$J35,($I35-$N35)*$J35))</f>
        <v/>
      </c>
      <c r="R35" s="42" t="str">
        <f aca="false">IF(OR($D35="",$Q35="",$K35=0),"",$Q35/$K35)</f>
        <v/>
      </c>
      <c r="S35" s="43" t="str">
        <f aca="false">IF(OR($D35="",$N35=""),"",MIN(INDEX(Config!$C$13:$C$15,$AK35),INDEX(Config!$B$13:$B$15,$AK35)*$K35)+MIN(INDEX(Config!$C$13:$C$15,$AK35),INDEX(Config!$B$13:$B$15,$AK35)*$O35))</f>
        <v/>
      </c>
      <c r="T35" s="43" t="str">
        <f aca="false">IF(OR($D35="",$N35=""),"",INDEX(Config!$D$13:$D$15,$AK35)*$AL35+INDEX(Config!$E$13:$E$15,$AK35)*$AM35)</f>
        <v/>
      </c>
      <c r="U35" s="43" t="str">
        <f aca="false">IF(OR($D35="",$N35=""),"",INDEX(Config!$F$13:$F$15,$AK35)*($K35+$O35))</f>
        <v/>
      </c>
      <c r="V35" s="43" t="str">
        <f aca="false">IF(OR($D35="",$N35=""),"",INDEX(Config!$G$13:$G$15,$AK35)*($K35+$O35)+INDEX(Config!$H$13:$H$15,$AK35)*$AL35+INDEX(Config!$J$13:$J$15,$AK35))</f>
        <v/>
      </c>
      <c r="W35" s="43" t="str">
        <f aca="false">IF(OR($D35="",$N35=""),"",INDEX(Config!$I$13:$I$15,$AK35)*($S35+$U35+INDEX(Config!$G$13:$G$15,$AK35)*($K35+$O35)))</f>
        <v/>
      </c>
      <c r="X35" s="43" t="str">
        <f aca="false">IF(OR($D35="",$N35=""),"",INDEX(Config!$K$13:$K$15,$AK35)/365*$P35*$K35*Config!$B$8)</f>
        <v/>
      </c>
      <c r="Y35" s="43" t="str">
        <f aca="false">IF(OR($D35="",$N35=""),"",SUM($S35:$X35))</f>
        <v/>
      </c>
      <c r="Z35" s="40" t="str">
        <f aca="false">IF(OR($D35="",$Q35=""),"",$Q35-$Y35)</f>
        <v/>
      </c>
      <c r="AA35" s="42" t="str">
        <f aca="false">IF(OR($D35="",$Z35="",$K35=0),"",$Z35/$K35)</f>
        <v/>
      </c>
      <c r="AB35" s="44" t="str">
        <f aca="false">IF(OR($D35="",$Y35="",$K35=0),"",$Y35/$K35*10000)</f>
        <v/>
      </c>
      <c r="AC35" s="44" t="str">
        <f aca="false">IF(OR($D35="",$G35="",$G35=0,$I35=""),"",IF($E35="LONG",($I35-$G35)/$G35,($G35-$I35)/$G35)*10000)</f>
        <v/>
      </c>
      <c r="AD35" s="45"/>
      <c r="AE35" s="40" t="str">
        <f aca="false">IF(OR($D35="",$N35&lt;&gt;"",$AD35=""),"",IF($E35="LONG",($AD35-$I35)*$J35,($I35-$AD35)*$J35))</f>
        <v/>
      </c>
      <c r="AF35" s="40" t="str">
        <f aca="false">IF(OR($D35="",$E35&lt;&gt;"LONG",$Z35=""),"",$Z35+SUMIFS($Z$4:$Z$503,$B$4:$B$503,$B35,$E$4:$E$503,"SHORT"))</f>
        <v/>
      </c>
      <c r="AG35" s="42" t="str">
        <f aca="false">IF(OR($AF35="",$K35=0),"",$AF35/$K35)</f>
        <v/>
      </c>
      <c r="AH35" s="46"/>
      <c r="AI35" s="43" t="str">
        <f aca="false">IF(OR($D35="",$AH35="",$Z35=""),"",$Z35-$AH35)</f>
        <v/>
      </c>
      <c r="AJ35" s="49"/>
      <c r="AK35" s="47" t="str">
        <f aca="false">IF($D35="","",IFERROR(MATCH($F35,Config!$A$13:$A$15,0),1))</f>
        <v/>
      </c>
      <c r="AL35" s="47" t="str">
        <f aca="false">IF(OR($D35="",$N35=""),"",IF($E35="LONG",$K35,$O35))</f>
        <v/>
      </c>
      <c r="AM35" s="47" t="str">
        <f aca="false">IF(OR($D35="",$N35=""),"",IF($E35="LONG",$O35,$K35))</f>
        <v/>
      </c>
    </row>
    <row r="36" customFormat="false" ht="15" hidden="false" customHeight="false" outlineLevel="0" collapsed="false">
      <c r="A36" s="49"/>
      <c r="B36" s="5" t="str">
        <f aca="false">IF($D36="","",IF(OR(RIGHT($A36,2)="-L",RIGHT($A36,2)="-S"),LEFT($A36,LEN($A36)-2),$A36))</f>
        <v/>
      </c>
      <c r="C36" s="50"/>
      <c r="D36" s="49"/>
      <c r="E36" s="49"/>
      <c r="F36" s="49"/>
      <c r="G36" s="45"/>
      <c r="H36" s="50"/>
      <c r="I36" s="45"/>
      <c r="J36" s="51"/>
      <c r="K36" s="40" t="str">
        <f aca="false">IF($D36="","",$I36*$J36)</f>
        <v/>
      </c>
      <c r="L36" s="50"/>
      <c r="M36" s="49"/>
      <c r="N36" s="45"/>
      <c r="O36" s="40" t="str">
        <f aca="false">IF(OR($D36="",$N36=""),"",$N36*$J36)</f>
        <v/>
      </c>
      <c r="P36" s="41" t="str">
        <f aca="false">IF(OR($D36="",$L36=""),"",MAX($L36-$H36,0))</f>
        <v/>
      </c>
      <c r="Q36" s="40" t="str">
        <f aca="false">IF(OR($D36="",$N36=""),"",IF($E36="LONG",($N36-$I36)*$J36,($I36-$N36)*$J36))</f>
        <v/>
      </c>
      <c r="R36" s="42" t="str">
        <f aca="false">IF(OR($D36="",$Q36="",$K36=0),"",$Q36/$K36)</f>
        <v/>
      </c>
      <c r="S36" s="43" t="str">
        <f aca="false">IF(OR($D36="",$N36=""),"",MIN(INDEX(Config!$C$13:$C$15,$AK36),INDEX(Config!$B$13:$B$15,$AK36)*$K36)+MIN(INDEX(Config!$C$13:$C$15,$AK36),INDEX(Config!$B$13:$B$15,$AK36)*$O36))</f>
        <v/>
      </c>
      <c r="T36" s="43" t="str">
        <f aca="false">IF(OR($D36="",$N36=""),"",INDEX(Config!$D$13:$D$15,$AK36)*$AL36+INDEX(Config!$E$13:$E$15,$AK36)*$AM36)</f>
        <v/>
      </c>
      <c r="U36" s="43" t="str">
        <f aca="false">IF(OR($D36="",$N36=""),"",INDEX(Config!$F$13:$F$15,$AK36)*($K36+$O36))</f>
        <v/>
      </c>
      <c r="V36" s="43" t="str">
        <f aca="false">IF(OR($D36="",$N36=""),"",INDEX(Config!$G$13:$G$15,$AK36)*($K36+$O36)+INDEX(Config!$H$13:$H$15,$AK36)*$AL36+INDEX(Config!$J$13:$J$15,$AK36))</f>
        <v/>
      </c>
      <c r="W36" s="43" t="str">
        <f aca="false">IF(OR($D36="",$N36=""),"",INDEX(Config!$I$13:$I$15,$AK36)*($S36+$U36+INDEX(Config!$G$13:$G$15,$AK36)*($K36+$O36)))</f>
        <v/>
      </c>
      <c r="X36" s="43" t="str">
        <f aca="false">IF(OR($D36="",$N36=""),"",INDEX(Config!$K$13:$K$15,$AK36)/365*$P36*$K36*Config!$B$8)</f>
        <v/>
      </c>
      <c r="Y36" s="43" t="str">
        <f aca="false">IF(OR($D36="",$N36=""),"",SUM($S36:$X36))</f>
        <v/>
      </c>
      <c r="Z36" s="40" t="str">
        <f aca="false">IF(OR($D36="",$Q36=""),"",$Q36-$Y36)</f>
        <v/>
      </c>
      <c r="AA36" s="42" t="str">
        <f aca="false">IF(OR($D36="",$Z36="",$K36=0),"",$Z36/$K36)</f>
        <v/>
      </c>
      <c r="AB36" s="44" t="str">
        <f aca="false">IF(OR($D36="",$Y36="",$K36=0),"",$Y36/$K36*10000)</f>
        <v/>
      </c>
      <c r="AC36" s="44" t="str">
        <f aca="false">IF(OR($D36="",$G36="",$G36=0,$I36=""),"",IF($E36="LONG",($I36-$G36)/$G36,($G36-$I36)/$G36)*10000)</f>
        <v/>
      </c>
      <c r="AD36" s="45"/>
      <c r="AE36" s="40" t="str">
        <f aca="false">IF(OR($D36="",$N36&lt;&gt;"",$AD36=""),"",IF($E36="LONG",($AD36-$I36)*$J36,($I36-$AD36)*$J36))</f>
        <v/>
      </c>
      <c r="AF36" s="40" t="str">
        <f aca="false">IF(OR($D36="",$E36&lt;&gt;"LONG",$Z36=""),"",$Z36+SUMIFS($Z$4:$Z$503,$B$4:$B$503,$B36,$E$4:$E$503,"SHORT"))</f>
        <v/>
      </c>
      <c r="AG36" s="42" t="str">
        <f aca="false">IF(OR($AF36="",$K36=0),"",$AF36/$K36)</f>
        <v/>
      </c>
      <c r="AH36" s="46"/>
      <c r="AI36" s="43" t="str">
        <f aca="false">IF(OR($D36="",$AH36="",$Z36=""),"",$Z36-$AH36)</f>
        <v/>
      </c>
      <c r="AJ36" s="49"/>
      <c r="AK36" s="47" t="str">
        <f aca="false">IF($D36="","",IFERROR(MATCH($F36,Config!$A$13:$A$15,0),1))</f>
        <v/>
      </c>
      <c r="AL36" s="47" t="str">
        <f aca="false">IF(OR($D36="",$N36=""),"",IF($E36="LONG",$K36,$O36))</f>
        <v/>
      </c>
      <c r="AM36" s="47" t="str">
        <f aca="false">IF(OR($D36="",$N36=""),"",IF($E36="LONG",$O36,$K36))</f>
        <v/>
      </c>
    </row>
    <row r="37" customFormat="false" ht="15" hidden="false" customHeight="false" outlineLevel="0" collapsed="false">
      <c r="A37" s="49"/>
      <c r="B37" s="5" t="str">
        <f aca="false">IF($D37="","",IF(OR(RIGHT($A37,2)="-L",RIGHT($A37,2)="-S"),LEFT($A37,LEN($A37)-2),$A37))</f>
        <v/>
      </c>
      <c r="C37" s="50"/>
      <c r="D37" s="49"/>
      <c r="E37" s="49"/>
      <c r="F37" s="49"/>
      <c r="G37" s="45"/>
      <c r="H37" s="50"/>
      <c r="I37" s="45"/>
      <c r="J37" s="51"/>
      <c r="K37" s="40" t="str">
        <f aca="false">IF($D37="","",$I37*$J37)</f>
        <v/>
      </c>
      <c r="L37" s="50"/>
      <c r="M37" s="49"/>
      <c r="N37" s="45"/>
      <c r="O37" s="40" t="str">
        <f aca="false">IF(OR($D37="",$N37=""),"",$N37*$J37)</f>
        <v/>
      </c>
      <c r="P37" s="41" t="str">
        <f aca="false">IF(OR($D37="",$L37=""),"",MAX($L37-$H37,0))</f>
        <v/>
      </c>
      <c r="Q37" s="40" t="str">
        <f aca="false">IF(OR($D37="",$N37=""),"",IF($E37="LONG",($N37-$I37)*$J37,($I37-$N37)*$J37))</f>
        <v/>
      </c>
      <c r="R37" s="42" t="str">
        <f aca="false">IF(OR($D37="",$Q37="",$K37=0),"",$Q37/$K37)</f>
        <v/>
      </c>
      <c r="S37" s="43" t="str">
        <f aca="false">IF(OR($D37="",$N37=""),"",MIN(INDEX(Config!$C$13:$C$15,$AK37),INDEX(Config!$B$13:$B$15,$AK37)*$K37)+MIN(INDEX(Config!$C$13:$C$15,$AK37),INDEX(Config!$B$13:$B$15,$AK37)*$O37))</f>
        <v/>
      </c>
      <c r="T37" s="43" t="str">
        <f aca="false">IF(OR($D37="",$N37=""),"",INDEX(Config!$D$13:$D$15,$AK37)*$AL37+INDEX(Config!$E$13:$E$15,$AK37)*$AM37)</f>
        <v/>
      </c>
      <c r="U37" s="43" t="str">
        <f aca="false">IF(OR($D37="",$N37=""),"",INDEX(Config!$F$13:$F$15,$AK37)*($K37+$O37))</f>
        <v/>
      </c>
      <c r="V37" s="43" t="str">
        <f aca="false">IF(OR($D37="",$N37=""),"",INDEX(Config!$G$13:$G$15,$AK37)*($K37+$O37)+INDEX(Config!$H$13:$H$15,$AK37)*$AL37+INDEX(Config!$J$13:$J$15,$AK37))</f>
        <v/>
      </c>
      <c r="W37" s="43" t="str">
        <f aca="false">IF(OR($D37="",$N37=""),"",INDEX(Config!$I$13:$I$15,$AK37)*($S37+$U37+INDEX(Config!$G$13:$G$15,$AK37)*($K37+$O37)))</f>
        <v/>
      </c>
      <c r="X37" s="43" t="str">
        <f aca="false">IF(OR($D37="",$N37=""),"",INDEX(Config!$K$13:$K$15,$AK37)/365*$P37*$K37*Config!$B$8)</f>
        <v/>
      </c>
      <c r="Y37" s="43" t="str">
        <f aca="false">IF(OR($D37="",$N37=""),"",SUM($S37:$X37))</f>
        <v/>
      </c>
      <c r="Z37" s="40" t="str">
        <f aca="false">IF(OR($D37="",$Q37=""),"",$Q37-$Y37)</f>
        <v/>
      </c>
      <c r="AA37" s="42" t="str">
        <f aca="false">IF(OR($D37="",$Z37="",$K37=0),"",$Z37/$K37)</f>
        <v/>
      </c>
      <c r="AB37" s="44" t="str">
        <f aca="false">IF(OR($D37="",$Y37="",$K37=0),"",$Y37/$K37*10000)</f>
        <v/>
      </c>
      <c r="AC37" s="44" t="str">
        <f aca="false">IF(OR($D37="",$G37="",$G37=0,$I37=""),"",IF($E37="LONG",($I37-$G37)/$G37,($G37-$I37)/$G37)*10000)</f>
        <v/>
      </c>
      <c r="AD37" s="45"/>
      <c r="AE37" s="40" t="str">
        <f aca="false">IF(OR($D37="",$N37&lt;&gt;"",$AD37=""),"",IF($E37="LONG",($AD37-$I37)*$J37,($I37-$AD37)*$J37))</f>
        <v/>
      </c>
      <c r="AF37" s="40" t="str">
        <f aca="false">IF(OR($D37="",$E37&lt;&gt;"LONG",$Z37=""),"",$Z37+SUMIFS($Z$4:$Z$503,$B$4:$B$503,$B37,$E$4:$E$503,"SHORT"))</f>
        <v/>
      </c>
      <c r="AG37" s="42" t="str">
        <f aca="false">IF(OR($AF37="",$K37=0),"",$AF37/$K37)</f>
        <v/>
      </c>
      <c r="AH37" s="46"/>
      <c r="AI37" s="43" t="str">
        <f aca="false">IF(OR($D37="",$AH37="",$Z37=""),"",$Z37-$AH37)</f>
        <v/>
      </c>
      <c r="AJ37" s="49"/>
      <c r="AK37" s="47" t="str">
        <f aca="false">IF($D37="","",IFERROR(MATCH($F37,Config!$A$13:$A$15,0),1))</f>
        <v/>
      </c>
      <c r="AL37" s="47" t="str">
        <f aca="false">IF(OR($D37="",$N37=""),"",IF($E37="LONG",$K37,$O37))</f>
        <v/>
      </c>
      <c r="AM37" s="47" t="str">
        <f aca="false">IF(OR($D37="",$N37=""),"",IF($E37="LONG",$O37,$K37))</f>
        <v/>
      </c>
    </row>
    <row r="38" customFormat="false" ht="15" hidden="false" customHeight="false" outlineLevel="0" collapsed="false">
      <c r="A38" s="49"/>
      <c r="B38" s="5" t="str">
        <f aca="false">IF($D38="","",IF(OR(RIGHT($A38,2)="-L",RIGHT($A38,2)="-S"),LEFT($A38,LEN($A38)-2),$A38))</f>
        <v/>
      </c>
      <c r="C38" s="50"/>
      <c r="D38" s="49"/>
      <c r="E38" s="49"/>
      <c r="F38" s="49"/>
      <c r="G38" s="45"/>
      <c r="H38" s="50"/>
      <c r="I38" s="45"/>
      <c r="J38" s="51"/>
      <c r="K38" s="40" t="str">
        <f aca="false">IF($D38="","",$I38*$J38)</f>
        <v/>
      </c>
      <c r="L38" s="50"/>
      <c r="M38" s="49"/>
      <c r="N38" s="45"/>
      <c r="O38" s="40" t="str">
        <f aca="false">IF(OR($D38="",$N38=""),"",$N38*$J38)</f>
        <v/>
      </c>
      <c r="P38" s="41" t="str">
        <f aca="false">IF(OR($D38="",$L38=""),"",MAX($L38-$H38,0))</f>
        <v/>
      </c>
      <c r="Q38" s="40" t="str">
        <f aca="false">IF(OR($D38="",$N38=""),"",IF($E38="LONG",($N38-$I38)*$J38,($I38-$N38)*$J38))</f>
        <v/>
      </c>
      <c r="R38" s="42" t="str">
        <f aca="false">IF(OR($D38="",$Q38="",$K38=0),"",$Q38/$K38)</f>
        <v/>
      </c>
      <c r="S38" s="43" t="str">
        <f aca="false">IF(OR($D38="",$N38=""),"",MIN(INDEX(Config!$C$13:$C$15,$AK38),INDEX(Config!$B$13:$B$15,$AK38)*$K38)+MIN(INDEX(Config!$C$13:$C$15,$AK38),INDEX(Config!$B$13:$B$15,$AK38)*$O38))</f>
        <v/>
      </c>
      <c r="T38" s="43" t="str">
        <f aca="false">IF(OR($D38="",$N38=""),"",INDEX(Config!$D$13:$D$15,$AK38)*$AL38+INDEX(Config!$E$13:$E$15,$AK38)*$AM38)</f>
        <v/>
      </c>
      <c r="U38" s="43" t="str">
        <f aca="false">IF(OR($D38="",$N38=""),"",INDEX(Config!$F$13:$F$15,$AK38)*($K38+$O38))</f>
        <v/>
      </c>
      <c r="V38" s="43" t="str">
        <f aca="false">IF(OR($D38="",$N38=""),"",INDEX(Config!$G$13:$G$15,$AK38)*($K38+$O38)+INDEX(Config!$H$13:$H$15,$AK38)*$AL38+INDEX(Config!$J$13:$J$15,$AK38))</f>
        <v/>
      </c>
      <c r="W38" s="43" t="str">
        <f aca="false">IF(OR($D38="",$N38=""),"",INDEX(Config!$I$13:$I$15,$AK38)*($S38+$U38+INDEX(Config!$G$13:$G$15,$AK38)*($K38+$O38)))</f>
        <v/>
      </c>
      <c r="X38" s="43" t="str">
        <f aca="false">IF(OR($D38="",$N38=""),"",INDEX(Config!$K$13:$K$15,$AK38)/365*$P38*$K38*Config!$B$8)</f>
        <v/>
      </c>
      <c r="Y38" s="43" t="str">
        <f aca="false">IF(OR($D38="",$N38=""),"",SUM($S38:$X38))</f>
        <v/>
      </c>
      <c r="Z38" s="40" t="str">
        <f aca="false">IF(OR($D38="",$Q38=""),"",$Q38-$Y38)</f>
        <v/>
      </c>
      <c r="AA38" s="42" t="str">
        <f aca="false">IF(OR($D38="",$Z38="",$K38=0),"",$Z38/$K38)</f>
        <v/>
      </c>
      <c r="AB38" s="44" t="str">
        <f aca="false">IF(OR($D38="",$Y38="",$K38=0),"",$Y38/$K38*10000)</f>
        <v/>
      </c>
      <c r="AC38" s="44" t="str">
        <f aca="false">IF(OR($D38="",$G38="",$G38=0,$I38=""),"",IF($E38="LONG",($I38-$G38)/$G38,($G38-$I38)/$G38)*10000)</f>
        <v/>
      </c>
      <c r="AD38" s="45"/>
      <c r="AE38" s="40" t="str">
        <f aca="false">IF(OR($D38="",$N38&lt;&gt;"",$AD38=""),"",IF($E38="LONG",($AD38-$I38)*$J38,($I38-$AD38)*$J38))</f>
        <v/>
      </c>
      <c r="AF38" s="40" t="str">
        <f aca="false">IF(OR($D38="",$E38&lt;&gt;"LONG",$Z38=""),"",$Z38+SUMIFS($Z$4:$Z$503,$B$4:$B$503,$B38,$E$4:$E$503,"SHORT"))</f>
        <v/>
      </c>
      <c r="AG38" s="42" t="str">
        <f aca="false">IF(OR($AF38="",$K38=0),"",$AF38/$K38)</f>
        <v/>
      </c>
      <c r="AH38" s="46"/>
      <c r="AI38" s="43" t="str">
        <f aca="false">IF(OR($D38="",$AH38="",$Z38=""),"",$Z38-$AH38)</f>
        <v/>
      </c>
      <c r="AJ38" s="49"/>
      <c r="AK38" s="47" t="str">
        <f aca="false">IF($D38="","",IFERROR(MATCH($F38,Config!$A$13:$A$15,0),1))</f>
        <v/>
      </c>
      <c r="AL38" s="47" t="str">
        <f aca="false">IF(OR($D38="",$N38=""),"",IF($E38="LONG",$K38,$O38))</f>
        <v/>
      </c>
      <c r="AM38" s="47" t="str">
        <f aca="false">IF(OR($D38="",$N38=""),"",IF($E38="LONG",$O38,$K38))</f>
        <v/>
      </c>
    </row>
    <row r="39" customFormat="false" ht="15" hidden="false" customHeight="false" outlineLevel="0" collapsed="false">
      <c r="A39" s="49"/>
      <c r="B39" s="5" t="str">
        <f aca="false">IF($D39="","",IF(OR(RIGHT($A39,2)="-L",RIGHT($A39,2)="-S"),LEFT($A39,LEN($A39)-2),$A39))</f>
        <v/>
      </c>
      <c r="C39" s="50"/>
      <c r="D39" s="49"/>
      <c r="E39" s="49"/>
      <c r="F39" s="49"/>
      <c r="G39" s="45"/>
      <c r="H39" s="50"/>
      <c r="I39" s="45"/>
      <c r="J39" s="51"/>
      <c r="K39" s="40" t="str">
        <f aca="false">IF($D39="","",$I39*$J39)</f>
        <v/>
      </c>
      <c r="L39" s="50"/>
      <c r="M39" s="49"/>
      <c r="N39" s="45"/>
      <c r="O39" s="40" t="str">
        <f aca="false">IF(OR($D39="",$N39=""),"",$N39*$J39)</f>
        <v/>
      </c>
      <c r="P39" s="41" t="str">
        <f aca="false">IF(OR($D39="",$L39=""),"",MAX($L39-$H39,0))</f>
        <v/>
      </c>
      <c r="Q39" s="40" t="str">
        <f aca="false">IF(OR($D39="",$N39=""),"",IF($E39="LONG",($N39-$I39)*$J39,($I39-$N39)*$J39))</f>
        <v/>
      </c>
      <c r="R39" s="42" t="str">
        <f aca="false">IF(OR($D39="",$Q39="",$K39=0),"",$Q39/$K39)</f>
        <v/>
      </c>
      <c r="S39" s="43" t="str">
        <f aca="false">IF(OR($D39="",$N39=""),"",MIN(INDEX(Config!$C$13:$C$15,$AK39),INDEX(Config!$B$13:$B$15,$AK39)*$K39)+MIN(INDEX(Config!$C$13:$C$15,$AK39),INDEX(Config!$B$13:$B$15,$AK39)*$O39))</f>
        <v/>
      </c>
      <c r="T39" s="43" t="str">
        <f aca="false">IF(OR($D39="",$N39=""),"",INDEX(Config!$D$13:$D$15,$AK39)*$AL39+INDEX(Config!$E$13:$E$15,$AK39)*$AM39)</f>
        <v/>
      </c>
      <c r="U39" s="43" t="str">
        <f aca="false">IF(OR($D39="",$N39=""),"",INDEX(Config!$F$13:$F$15,$AK39)*($K39+$O39))</f>
        <v/>
      </c>
      <c r="V39" s="43" t="str">
        <f aca="false">IF(OR($D39="",$N39=""),"",INDEX(Config!$G$13:$G$15,$AK39)*($K39+$O39)+INDEX(Config!$H$13:$H$15,$AK39)*$AL39+INDEX(Config!$J$13:$J$15,$AK39))</f>
        <v/>
      </c>
      <c r="W39" s="43" t="str">
        <f aca="false">IF(OR($D39="",$N39=""),"",INDEX(Config!$I$13:$I$15,$AK39)*($S39+$U39+INDEX(Config!$G$13:$G$15,$AK39)*($K39+$O39)))</f>
        <v/>
      </c>
      <c r="X39" s="43" t="str">
        <f aca="false">IF(OR($D39="",$N39=""),"",INDEX(Config!$K$13:$K$15,$AK39)/365*$P39*$K39*Config!$B$8)</f>
        <v/>
      </c>
      <c r="Y39" s="43" t="str">
        <f aca="false">IF(OR($D39="",$N39=""),"",SUM($S39:$X39))</f>
        <v/>
      </c>
      <c r="Z39" s="40" t="str">
        <f aca="false">IF(OR($D39="",$Q39=""),"",$Q39-$Y39)</f>
        <v/>
      </c>
      <c r="AA39" s="42" t="str">
        <f aca="false">IF(OR($D39="",$Z39="",$K39=0),"",$Z39/$K39)</f>
        <v/>
      </c>
      <c r="AB39" s="44" t="str">
        <f aca="false">IF(OR($D39="",$Y39="",$K39=0),"",$Y39/$K39*10000)</f>
        <v/>
      </c>
      <c r="AC39" s="44" t="str">
        <f aca="false">IF(OR($D39="",$G39="",$G39=0,$I39=""),"",IF($E39="LONG",($I39-$G39)/$G39,($G39-$I39)/$G39)*10000)</f>
        <v/>
      </c>
      <c r="AD39" s="45"/>
      <c r="AE39" s="40" t="str">
        <f aca="false">IF(OR($D39="",$N39&lt;&gt;"",$AD39=""),"",IF($E39="LONG",($AD39-$I39)*$J39,($I39-$AD39)*$J39))</f>
        <v/>
      </c>
      <c r="AF39" s="40" t="str">
        <f aca="false">IF(OR($D39="",$E39&lt;&gt;"LONG",$Z39=""),"",$Z39+SUMIFS($Z$4:$Z$503,$B$4:$B$503,$B39,$E$4:$E$503,"SHORT"))</f>
        <v/>
      </c>
      <c r="AG39" s="42" t="str">
        <f aca="false">IF(OR($AF39="",$K39=0),"",$AF39/$K39)</f>
        <v/>
      </c>
      <c r="AH39" s="46"/>
      <c r="AI39" s="43" t="str">
        <f aca="false">IF(OR($D39="",$AH39="",$Z39=""),"",$Z39-$AH39)</f>
        <v/>
      </c>
      <c r="AJ39" s="49"/>
      <c r="AK39" s="47" t="str">
        <f aca="false">IF($D39="","",IFERROR(MATCH($F39,Config!$A$13:$A$15,0),1))</f>
        <v/>
      </c>
      <c r="AL39" s="47" t="str">
        <f aca="false">IF(OR($D39="",$N39=""),"",IF($E39="LONG",$K39,$O39))</f>
        <v/>
      </c>
      <c r="AM39" s="47" t="str">
        <f aca="false">IF(OR($D39="",$N39=""),"",IF($E39="LONG",$O39,$K39))</f>
        <v/>
      </c>
    </row>
    <row r="40" customFormat="false" ht="15" hidden="false" customHeight="false" outlineLevel="0" collapsed="false">
      <c r="A40" s="49"/>
      <c r="B40" s="5" t="str">
        <f aca="false">IF($D40="","",IF(OR(RIGHT($A40,2)="-L",RIGHT($A40,2)="-S"),LEFT($A40,LEN($A40)-2),$A40))</f>
        <v/>
      </c>
      <c r="C40" s="50"/>
      <c r="D40" s="49"/>
      <c r="E40" s="49"/>
      <c r="F40" s="49"/>
      <c r="G40" s="45"/>
      <c r="H40" s="50"/>
      <c r="I40" s="45"/>
      <c r="J40" s="51"/>
      <c r="K40" s="40" t="str">
        <f aca="false">IF($D40="","",$I40*$J40)</f>
        <v/>
      </c>
      <c r="L40" s="50"/>
      <c r="M40" s="49"/>
      <c r="N40" s="45"/>
      <c r="O40" s="40" t="str">
        <f aca="false">IF(OR($D40="",$N40=""),"",$N40*$J40)</f>
        <v/>
      </c>
      <c r="P40" s="41" t="str">
        <f aca="false">IF(OR($D40="",$L40=""),"",MAX($L40-$H40,0))</f>
        <v/>
      </c>
      <c r="Q40" s="40" t="str">
        <f aca="false">IF(OR($D40="",$N40=""),"",IF($E40="LONG",($N40-$I40)*$J40,($I40-$N40)*$J40))</f>
        <v/>
      </c>
      <c r="R40" s="42" t="str">
        <f aca="false">IF(OR($D40="",$Q40="",$K40=0),"",$Q40/$K40)</f>
        <v/>
      </c>
      <c r="S40" s="43" t="str">
        <f aca="false">IF(OR($D40="",$N40=""),"",MIN(INDEX(Config!$C$13:$C$15,$AK40),INDEX(Config!$B$13:$B$15,$AK40)*$K40)+MIN(INDEX(Config!$C$13:$C$15,$AK40),INDEX(Config!$B$13:$B$15,$AK40)*$O40))</f>
        <v/>
      </c>
      <c r="T40" s="43" t="str">
        <f aca="false">IF(OR($D40="",$N40=""),"",INDEX(Config!$D$13:$D$15,$AK40)*$AL40+INDEX(Config!$E$13:$E$15,$AK40)*$AM40)</f>
        <v/>
      </c>
      <c r="U40" s="43" t="str">
        <f aca="false">IF(OR($D40="",$N40=""),"",INDEX(Config!$F$13:$F$15,$AK40)*($K40+$O40))</f>
        <v/>
      </c>
      <c r="V40" s="43" t="str">
        <f aca="false">IF(OR($D40="",$N40=""),"",INDEX(Config!$G$13:$G$15,$AK40)*($K40+$O40)+INDEX(Config!$H$13:$H$15,$AK40)*$AL40+INDEX(Config!$J$13:$J$15,$AK40))</f>
        <v/>
      </c>
      <c r="W40" s="43" t="str">
        <f aca="false">IF(OR($D40="",$N40=""),"",INDEX(Config!$I$13:$I$15,$AK40)*($S40+$U40+INDEX(Config!$G$13:$G$15,$AK40)*($K40+$O40)))</f>
        <v/>
      </c>
      <c r="X40" s="43" t="str">
        <f aca="false">IF(OR($D40="",$N40=""),"",INDEX(Config!$K$13:$K$15,$AK40)/365*$P40*$K40*Config!$B$8)</f>
        <v/>
      </c>
      <c r="Y40" s="43" t="str">
        <f aca="false">IF(OR($D40="",$N40=""),"",SUM($S40:$X40))</f>
        <v/>
      </c>
      <c r="Z40" s="40" t="str">
        <f aca="false">IF(OR($D40="",$Q40=""),"",$Q40-$Y40)</f>
        <v/>
      </c>
      <c r="AA40" s="42" t="str">
        <f aca="false">IF(OR($D40="",$Z40="",$K40=0),"",$Z40/$K40)</f>
        <v/>
      </c>
      <c r="AB40" s="44" t="str">
        <f aca="false">IF(OR($D40="",$Y40="",$K40=0),"",$Y40/$K40*10000)</f>
        <v/>
      </c>
      <c r="AC40" s="44" t="str">
        <f aca="false">IF(OR($D40="",$G40="",$G40=0,$I40=""),"",IF($E40="LONG",($I40-$G40)/$G40,($G40-$I40)/$G40)*10000)</f>
        <v/>
      </c>
      <c r="AD40" s="45"/>
      <c r="AE40" s="40" t="str">
        <f aca="false">IF(OR($D40="",$N40&lt;&gt;"",$AD40=""),"",IF($E40="LONG",($AD40-$I40)*$J40,($I40-$AD40)*$J40))</f>
        <v/>
      </c>
      <c r="AF40" s="40" t="str">
        <f aca="false">IF(OR($D40="",$E40&lt;&gt;"LONG",$Z40=""),"",$Z40+SUMIFS($Z$4:$Z$503,$B$4:$B$503,$B40,$E$4:$E$503,"SHORT"))</f>
        <v/>
      </c>
      <c r="AG40" s="42" t="str">
        <f aca="false">IF(OR($AF40="",$K40=0),"",$AF40/$K40)</f>
        <v/>
      </c>
      <c r="AH40" s="46"/>
      <c r="AI40" s="43" t="str">
        <f aca="false">IF(OR($D40="",$AH40="",$Z40=""),"",$Z40-$AH40)</f>
        <v/>
      </c>
      <c r="AJ40" s="49"/>
      <c r="AK40" s="47" t="str">
        <f aca="false">IF($D40="","",IFERROR(MATCH($F40,Config!$A$13:$A$15,0),1))</f>
        <v/>
      </c>
      <c r="AL40" s="47" t="str">
        <f aca="false">IF(OR($D40="",$N40=""),"",IF($E40="LONG",$K40,$O40))</f>
        <v/>
      </c>
      <c r="AM40" s="47" t="str">
        <f aca="false">IF(OR($D40="",$N40=""),"",IF($E40="LONG",$O40,$K40))</f>
        <v/>
      </c>
    </row>
    <row r="41" customFormat="false" ht="15" hidden="false" customHeight="false" outlineLevel="0" collapsed="false">
      <c r="A41" s="49"/>
      <c r="B41" s="5" t="str">
        <f aca="false">IF($D41="","",IF(OR(RIGHT($A41,2)="-L",RIGHT($A41,2)="-S"),LEFT($A41,LEN($A41)-2),$A41))</f>
        <v/>
      </c>
      <c r="C41" s="50"/>
      <c r="D41" s="49"/>
      <c r="E41" s="49"/>
      <c r="F41" s="49"/>
      <c r="G41" s="45"/>
      <c r="H41" s="50"/>
      <c r="I41" s="45"/>
      <c r="J41" s="51"/>
      <c r="K41" s="40" t="str">
        <f aca="false">IF($D41="","",$I41*$J41)</f>
        <v/>
      </c>
      <c r="L41" s="50"/>
      <c r="M41" s="49"/>
      <c r="N41" s="45"/>
      <c r="O41" s="40" t="str">
        <f aca="false">IF(OR($D41="",$N41=""),"",$N41*$J41)</f>
        <v/>
      </c>
      <c r="P41" s="41" t="str">
        <f aca="false">IF(OR($D41="",$L41=""),"",MAX($L41-$H41,0))</f>
        <v/>
      </c>
      <c r="Q41" s="40" t="str">
        <f aca="false">IF(OR($D41="",$N41=""),"",IF($E41="LONG",($N41-$I41)*$J41,($I41-$N41)*$J41))</f>
        <v/>
      </c>
      <c r="R41" s="42" t="str">
        <f aca="false">IF(OR($D41="",$Q41="",$K41=0),"",$Q41/$K41)</f>
        <v/>
      </c>
      <c r="S41" s="43" t="str">
        <f aca="false">IF(OR($D41="",$N41=""),"",MIN(INDEX(Config!$C$13:$C$15,$AK41),INDEX(Config!$B$13:$B$15,$AK41)*$K41)+MIN(INDEX(Config!$C$13:$C$15,$AK41),INDEX(Config!$B$13:$B$15,$AK41)*$O41))</f>
        <v/>
      </c>
      <c r="T41" s="43" t="str">
        <f aca="false">IF(OR($D41="",$N41=""),"",INDEX(Config!$D$13:$D$15,$AK41)*$AL41+INDEX(Config!$E$13:$E$15,$AK41)*$AM41)</f>
        <v/>
      </c>
      <c r="U41" s="43" t="str">
        <f aca="false">IF(OR($D41="",$N41=""),"",INDEX(Config!$F$13:$F$15,$AK41)*($K41+$O41))</f>
        <v/>
      </c>
      <c r="V41" s="43" t="str">
        <f aca="false">IF(OR($D41="",$N41=""),"",INDEX(Config!$G$13:$G$15,$AK41)*($K41+$O41)+INDEX(Config!$H$13:$H$15,$AK41)*$AL41+INDEX(Config!$J$13:$J$15,$AK41))</f>
        <v/>
      </c>
      <c r="W41" s="43" t="str">
        <f aca="false">IF(OR($D41="",$N41=""),"",INDEX(Config!$I$13:$I$15,$AK41)*($S41+$U41+INDEX(Config!$G$13:$G$15,$AK41)*($K41+$O41)))</f>
        <v/>
      </c>
      <c r="X41" s="43" t="str">
        <f aca="false">IF(OR($D41="",$N41=""),"",INDEX(Config!$K$13:$K$15,$AK41)/365*$P41*$K41*Config!$B$8)</f>
        <v/>
      </c>
      <c r="Y41" s="43" t="str">
        <f aca="false">IF(OR($D41="",$N41=""),"",SUM($S41:$X41))</f>
        <v/>
      </c>
      <c r="Z41" s="40" t="str">
        <f aca="false">IF(OR($D41="",$Q41=""),"",$Q41-$Y41)</f>
        <v/>
      </c>
      <c r="AA41" s="42" t="str">
        <f aca="false">IF(OR($D41="",$Z41="",$K41=0),"",$Z41/$K41)</f>
        <v/>
      </c>
      <c r="AB41" s="44" t="str">
        <f aca="false">IF(OR($D41="",$Y41="",$K41=0),"",$Y41/$K41*10000)</f>
        <v/>
      </c>
      <c r="AC41" s="44" t="str">
        <f aca="false">IF(OR($D41="",$G41="",$G41=0,$I41=""),"",IF($E41="LONG",($I41-$G41)/$G41,($G41-$I41)/$G41)*10000)</f>
        <v/>
      </c>
      <c r="AD41" s="45"/>
      <c r="AE41" s="40" t="str">
        <f aca="false">IF(OR($D41="",$N41&lt;&gt;"",$AD41=""),"",IF($E41="LONG",($AD41-$I41)*$J41,($I41-$AD41)*$J41))</f>
        <v/>
      </c>
      <c r="AF41" s="40" t="str">
        <f aca="false">IF(OR($D41="",$E41&lt;&gt;"LONG",$Z41=""),"",$Z41+SUMIFS($Z$4:$Z$503,$B$4:$B$503,$B41,$E$4:$E$503,"SHORT"))</f>
        <v/>
      </c>
      <c r="AG41" s="42" t="str">
        <f aca="false">IF(OR($AF41="",$K41=0),"",$AF41/$K41)</f>
        <v/>
      </c>
      <c r="AH41" s="46"/>
      <c r="AI41" s="43" t="str">
        <f aca="false">IF(OR($D41="",$AH41="",$Z41=""),"",$Z41-$AH41)</f>
        <v/>
      </c>
      <c r="AJ41" s="49"/>
      <c r="AK41" s="47" t="str">
        <f aca="false">IF($D41="","",IFERROR(MATCH($F41,Config!$A$13:$A$15,0),1))</f>
        <v/>
      </c>
      <c r="AL41" s="47" t="str">
        <f aca="false">IF(OR($D41="",$N41=""),"",IF($E41="LONG",$K41,$O41))</f>
        <v/>
      </c>
      <c r="AM41" s="47" t="str">
        <f aca="false">IF(OR($D41="",$N41=""),"",IF($E41="LONG",$O41,$K41))</f>
        <v/>
      </c>
    </row>
    <row r="42" customFormat="false" ht="15" hidden="false" customHeight="false" outlineLevel="0" collapsed="false">
      <c r="A42" s="49"/>
      <c r="B42" s="5" t="str">
        <f aca="false">IF($D42="","",IF(OR(RIGHT($A42,2)="-L",RIGHT($A42,2)="-S"),LEFT($A42,LEN($A42)-2),$A42))</f>
        <v/>
      </c>
      <c r="C42" s="50"/>
      <c r="D42" s="49"/>
      <c r="E42" s="49"/>
      <c r="F42" s="49"/>
      <c r="G42" s="45"/>
      <c r="H42" s="50"/>
      <c r="I42" s="45"/>
      <c r="J42" s="51"/>
      <c r="K42" s="40" t="str">
        <f aca="false">IF($D42="","",$I42*$J42)</f>
        <v/>
      </c>
      <c r="L42" s="50"/>
      <c r="M42" s="49"/>
      <c r="N42" s="45"/>
      <c r="O42" s="40" t="str">
        <f aca="false">IF(OR($D42="",$N42=""),"",$N42*$J42)</f>
        <v/>
      </c>
      <c r="P42" s="41" t="str">
        <f aca="false">IF(OR($D42="",$L42=""),"",MAX($L42-$H42,0))</f>
        <v/>
      </c>
      <c r="Q42" s="40" t="str">
        <f aca="false">IF(OR($D42="",$N42=""),"",IF($E42="LONG",($N42-$I42)*$J42,($I42-$N42)*$J42))</f>
        <v/>
      </c>
      <c r="R42" s="42" t="str">
        <f aca="false">IF(OR($D42="",$Q42="",$K42=0),"",$Q42/$K42)</f>
        <v/>
      </c>
      <c r="S42" s="43" t="str">
        <f aca="false">IF(OR($D42="",$N42=""),"",MIN(INDEX(Config!$C$13:$C$15,$AK42),INDEX(Config!$B$13:$B$15,$AK42)*$K42)+MIN(INDEX(Config!$C$13:$C$15,$AK42),INDEX(Config!$B$13:$B$15,$AK42)*$O42))</f>
        <v/>
      </c>
      <c r="T42" s="43" t="str">
        <f aca="false">IF(OR($D42="",$N42=""),"",INDEX(Config!$D$13:$D$15,$AK42)*$AL42+INDEX(Config!$E$13:$E$15,$AK42)*$AM42)</f>
        <v/>
      </c>
      <c r="U42" s="43" t="str">
        <f aca="false">IF(OR($D42="",$N42=""),"",INDEX(Config!$F$13:$F$15,$AK42)*($K42+$O42))</f>
        <v/>
      </c>
      <c r="V42" s="43" t="str">
        <f aca="false">IF(OR($D42="",$N42=""),"",INDEX(Config!$G$13:$G$15,$AK42)*($K42+$O42)+INDEX(Config!$H$13:$H$15,$AK42)*$AL42+INDEX(Config!$J$13:$J$15,$AK42))</f>
        <v/>
      </c>
      <c r="W42" s="43" t="str">
        <f aca="false">IF(OR($D42="",$N42=""),"",INDEX(Config!$I$13:$I$15,$AK42)*($S42+$U42+INDEX(Config!$G$13:$G$15,$AK42)*($K42+$O42)))</f>
        <v/>
      </c>
      <c r="X42" s="43" t="str">
        <f aca="false">IF(OR($D42="",$N42=""),"",INDEX(Config!$K$13:$K$15,$AK42)/365*$P42*$K42*Config!$B$8)</f>
        <v/>
      </c>
      <c r="Y42" s="43" t="str">
        <f aca="false">IF(OR($D42="",$N42=""),"",SUM($S42:$X42))</f>
        <v/>
      </c>
      <c r="Z42" s="40" t="str">
        <f aca="false">IF(OR($D42="",$Q42=""),"",$Q42-$Y42)</f>
        <v/>
      </c>
      <c r="AA42" s="42" t="str">
        <f aca="false">IF(OR($D42="",$Z42="",$K42=0),"",$Z42/$K42)</f>
        <v/>
      </c>
      <c r="AB42" s="44" t="str">
        <f aca="false">IF(OR($D42="",$Y42="",$K42=0),"",$Y42/$K42*10000)</f>
        <v/>
      </c>
      <c r="AC42" s="44" t="str">
        <f aca="false">IF(OR($D42="",$G42="",$G42=0,$I42=""),"",IF($E42="LONG",($I42-$G42)/$G42,($G42-$I42)/$G42)*10000)</f>
        <v/>
      </c>
      <c r="AD42" s="45"/>
      <c r="AE42" s="40" t="str">
        <f aca="false">IF(OR($D42="",$N42&lt;&gt;"",$AD42=""),"",IF($E42="LONG",($AD42-$I42)*$J42,($I42-$AD42)*$J42))</f>
        <v/>
      </c>
      <c r="AF42" s="40" t="str">
        <f aca="false">IF(OR($D42="",$E42&lt;&gt;"LONG",$Z42=""),"",$Z42+SUMIFS($Z$4:$Z$503,$B$4:$B$503,$B42,$E$4:$E$503,"SHORT"))</f>
        <v/>
      </c>
      <c r="AG42" s="42" t="str">
        <f aca="false">IF(OR($AF42="",$K42=0),"",$AF42/$K42)</f>
        <v/>
      </c>
      <c r="AH42" s="46"/>
      <c r="AI42" s="43" t="str">
        <f aca="false">IF(OR($D42="",$AH42="",$Z42=""),"",$Z42-$AH42)</f>
        <v/>
      </c>
      <c r="AJ42" s="49"/>
      <c r="AK42" s="47" t="str">
        <f aca="false">IF($D42="","",IFERROR(MATCH($F42,Config!$A$13:$A$15,0),1))</f>
        <v/>
      </c>
      <c r="AL42" s="47" t="str">
        <f aca="false">IF(OR($D42="",$N42=""),"",IF($E42="LONG",$K42,$O42))</f>
        <v/>
      </c>
      <c r="AM42" s="47" t="str">
        <f aca="false">IF(OR($D42="",$N42=""),"",IF($E42="LONG",$O42,$K42))</f>
        <v/>
      </c>
    </row>
    <row r="43" customFormat="false" ht="15" hidden="false" customHeight="false" outlineLevel="0" collapsed="false">
      <c r="A43" s="49"/>
      <c r="B43" s="5" t="str">
        <f aca="false">IF($D43="","",IF(OR(RIGHT($A43,2)="-L",RIGHT($A43,2)="-S"),LEFT($A43,LEN($A43)-2),$A43))</f>
        <v/>
      </c>
      <c r="C43" s="50"/>
      <c r="D43" s="49"/>
      <c r="E43" s="49"/>
      <c r="F43" s="49"/>
      <c r="G43" s="45"/>
      <c r="H43" s="50"/>
      <c r="I43" s="45"/>
      <c r="J43" s="51"/>
      <c r="K43" s="40" t="str">
        <f aca="false">IF($D43="","",$I43*$J43)</f>
        <v/>
      </c>
      <c r="L43" s="50"/>
      <c r="M43" s="49"/>
      <c r="N43" s="45"/>
      <c r="O43" s="40" t="str">
        <f aca="false">IF(OR($D43="",$N43=""),"",$N43*$J43)</f>
        <v/>
      </c>
      <c r="P43" s="41" t="str">
        <f aca="false">IF(OR($D43="",$L43=""),"",MAX($L43-$H43,0))</f>
        <v/>
      </c>
      <c r="Q43" s="40" t="str">
        <f aca="false">IF(OR($D43="",$N43=""),"",IF($E43="LONG",($N43-$I43)*$J43,($I43-$N43)*$J43))</f>
        <v/>
      </c>
      <c r="R43" s="42" t="str">
        <f aca="false">IF(OR($D43="",$Q43="",$K43=0),"",$Q43/$K43)</f>
        <v/>
      </c>
      <c r="S43" s="43" t="str">
        <f aca="false">IF(OR($D43="",$N43=""),"",MIN(INDEX(Config!$C$13:$C$15,$AK43),INDEX(Config!$B$13:$B$15,$AK43)*$K43)+MIN(INDEX(Config!$C$13:$C$15,$AK43),INDEX(Config!$B$13:$B$15,$AK43)*$O43))</f>
        <v/>
      </c>
      <c r="T43" s="43" t="str">
        <f aca="false">IF(OR($D43="",$N43=""),"",INDEX(Config!$D$13:$D$15,$AK43)*$AL43+INDEX(Config!$E$13:$E$15,$AK43)*$AM43)</f>
        <v/>
      </c>
      <c r="U43" s="43" t="str">
        <f aca="false">IF(OR($D43="",$N43=""),"",INDEX(Config!$F$13:$F$15,$AK43)*($K43+$O43))</f>
        <v/>
      </c>
      <c r="V43" s="43" t="str">
        <f aca="false">IF(OR($D43="",$N43=""),"",INDEX(Config!$G$13:$G$15,$AK43)*($K43+$O43)+INDEX(Config!$H$13:$H$15,$AK43)*$AL43+INDEX(Config!$J$13:$J$15,$AK43))</f>
        <v/>
      </c>
      <c r="W43" s="43" t="str">
        <f aca="false">IF(OR($D43="",$N43=""),"",INDEX(Config!$I$13:$I$15,$AK43)*($S43+$U43+INDEX(Config!$G$13:$G$15,$AK43)*($K43+$O43)))</f>
        <v/>
      </c>
      <c r="X43" s="43" t="str">
        <f aca="false">IF(OR($D43="",$N43=""),"",INDEX(Config!$K$13:$K$15,$AK43)/365*$P43*$K43*Config!$B$8)</f>
        <v/>
      </c>
      <c r="Y43" s="43" t="str">
        <f aca="false">IF(OR($D43="",$N43=""),"",SUM($S43:$X43))</f>
        <v/>
      </c>
      <c r="Z43" s="40" t="str">
        <f aca="false">IF(OR($D43="",$Q43=""),"",$Q43-$Y43)</f>
        <v/>
      </c>
      <c r="AA43" s="42" t="str">
        <f aca="false">IF(OR($D43="",$Z43="",$K43=0),"",$Z43/$K43)</f>
        <v/>
      </c>
      <c r="AB43" s="44" t="str">
        <f aca="false">IF(OR($D43="",$Y43="",$K43=0),"",$Y43/$K43*10000)</f>
        <v/>
      </c>
      <c r="AC43" s="44" t="str">
        <f aca="false">IF(OR($D43="",$G43="",$G43=0,$I43=""),"",IF($E43="LONG",($I43-$G43)/$G43,($G43-$I43)/$G43)*10000)</f>
        <v/>
      </c>
      <c r="AD43" s="45"/>
      <c r="AE43" s="40" t="str">
        <f aca="false">IF(OR($D43="",$N43&lt;&gt;"",$AD43=""),"",IF($E43="LONG",($AD43-$I43)*$J43,($I43-$AD43)*$J43))</f>
        <v/>
      </c>
      <c r="AF43" s="40" t="str">
        <f aca="false">IF(OR($D43="",$E43&lt;&gt;"LONG",$Z43=""),"",$Z43+SUMIFS($Z$4:$Z$503,$B$4:$B$503,$B43,$E$4:$E$503,"SHORT"))</f>
        <v/>
      </c>
      <c r="AG43" s="42" t="str">
        <f aca="false">IF(OR($AF43="",$K43=0),"",$AF43/$K43)</f>
        <v/>
      </c>
      <c r="AH43" s="46"/>
      <c r="AI43" s="43" t="str">
        <f aca="false">IF(OR($D43="",$AH43="",$Z43=""),"",$Z43-$AH43)</f>
        <v/>
      </c>
      <c r="AJ43" s="49"/>
      <c r="AK43" s="47" t="str">
        <f aca="false">IF($D43="","",IFERROR(MATCH($F43,Config!$A$13:$A$15,0),1))</f>
        <v/>
      </c>
      <c r="AL43" s="47" t="str">
        <f aca="false">IF(OR($D43="",$N43=""),"",IF($E43="LONG",$K43,$O43))</f>
        <v/>
      </c>
      <c r="AM43" s="47" t="str">
        <f aca="false">IF(OR($D43="",$N43=""),"",IF($E43="LONG",$O43,$K43))</f>
        <v/>
      </c>
    </row>
    <row r="44" customFormat="false" ht="15" hidden="false" customHeight="false" outlineLevel="0" collapsed="false">
      <c r="A44" s="49"/>
      <c r="B44" s="5" t="str">
        <f aca="false">IF($D44="","",IF(OR(RIGHT($A44,2)="-L",RIGHT($A44,2)="-S"),LEFT($A44,LEN($A44)-2),$A44))</f>
        <v/>
      </c>
      <c r="C44" s="50"/>
      <c r="D44" s="49"/>
      <c r="E44" s="49"/>
      <c r="F44" s="49"/>
      <c r="G44" s="45"/>
      <c r="H44" s="50"/>
      <c r="I44" s="45"/>
      <c r="J44" s="51"/>
      <c r="K44" s="40" t="str">
        <f aca="false">IF($D44="","",$I44*$J44)</f>
        <v/>
      </c>
      <c r="L44" s="50"/>
      <c r="M44" s="49"/>
      <c r="N44" s="45"/>
      <c r="O44" s="40" t="str">
        <f aca="false">IF(OR($D44="",$N44=""),"",$N44*$J44)</f>
        <v/>
      </c>
      <c r="P44" s="41" t="str">
        <f aca="false">IF(OR($D44="",$L44=""),"",MAX($L44-$H44,0))</f>
        <v/>
      </c>
      <c r="Q44" s="40" t="str">
        <f aca="false">IF(OR($D44="",$N44=""),"",IF($E44="LONG",($N44-$I44)*$J44,($I44-$N44)*$J44))</f>
        <v/>
      </c>
      <c r="R44" s="42" t="str">
        <f aca="false">IF(OR($D44="",$Q44="",$K44=0),"",$Q44/$K44)</f>
        <v/>
      </c>
      <c r="S44" s="43" t="str">
        <f aca="false">IF(OR($D44="",$N44=""),"",MIN(INDEX(Config!$C$13:$C$15,$AK44),INDEX(Config!$B$13:$B$15,$AK44)*$K44)+MIN(INDEX(Config!$C$13:$C$15,$AK44),INDEX(Config!$B$13:$B$15,$AK44)*$O44))</f>
        <v/>
      </c>
      <c r="T44" s="43" t="str">
        <f aca="false">IF(OR($D44="",$N44=""),"",INDEX(Config!$D$13:$D$15,$AK44)*$AL44+INDEX(Config!$E$13:$E$15,$AK44)*$AM44)</f>
        <v/>
      </c>
      <c r="U44" s="43" t="str">
        <f aca="false">IF(OR($D44="",$N44=""),"",INDEX(Config!$F$13:$F$15,$AK44)*($K44+$O44))</f>
        <v/>
      </c>
      <c r="V44" s="43" t="str">
        <f aca="false">IF(OR($D44="",$N44=""),"",INDEX(Config!$G$13:$G$15,$AK44)*($K44+$O44)+INDEX(Config!$H$13:$H$15,$AK44)*$AL44+INDEX(Config!$J$13:$J$15,$AK44))</f>
        <v/>
      </c>
      <c r="W44" s="43" t="str">
        <f aca="false">IF(OR($D44="",$N44=""),"",INDEX(Config!$I$13:$I$15,$AK44)*($S44+$U44+INDEX(Config!$G$13:$G$15,$AK44)*($K44+$O44)))</f>
        <v/>
      </c>
      <c r="X44" s="43" t="str">
        <f aca="false">IF(OR($D44="",$N44=""),"",INDEX(Config!$K$13:$K$15,$AK44)/365*$P44*$K44*Config!$B$8)</f>
        <v/>
      </c>
      <c r="Y44" s="43" t="str">
        <f aca="false">IF(OR($D44="",$N44=""),"",SUM($S44:$X44))</f>
        <v/>
      </c>
      <c r="Z44" s="40" t="str">
        <f aca="false">IF(OR($D44="",$Q44=""),"",$Q44-$Y44)</f>
        <v/>
      </c>
      <c r="AA44" s="42" t="str">
        <f aca="false">IF(OR($D44="",$Z44="",$K44=0),"",$Z44/$K44)</f>
        <v/>
      </c>
      <c r="AB44" s="44" t="str">
        <f aca="false">IF(OR($D44="",$Y44="",$K44=0),"",$Y44/$K44*10000)</f>
        <v/>
      </c>
      <c r="AC44" s="44" t="str">
        <f aca="false">IF(OR($D44="",$G44="",$G44=0,$I44=""),"",IF($E44="LONG",($I44-$G44)/$G44,($G44-$I44)/$G44)*10000)</f>
        <v/>
      </c>
      <c r="AD44" s="45"/>
      <c r="AE44" s="40" t="str">
        <f aca="false">IF(OR($D44="",$N44&lt;&gt;"",$AD44=""),"",IF($E44="LONG",($AD44-$I44)*$J44,($I44-$AD44)*$J44))</f>
        <v/>
      </c>
      <c r="AF44" s="40" t="str">
        <f aca="false">IF(OR($D44="",$E44&lt;&gt;"LONG",$Z44=""),"",$Z44+SUMIFS($Z$4:$Z$503,$B$4:$B$503,$B44,$E$4:$E$503,"SHORT"))</f>
        <v/>
      </c>
      <c r="AG44" s="42" t="str">
        <f aca="false">IF(OR($AF44="",$K44=0),"",$AF44/$K44)</f>
        <v/>
      </c>
      <c r="AH44" s="46"/>
      <c r="AI44" s="43" t="str">
        <f aca="false">IF(OR($D44="",$AH44="",$Z44=""),"",$Z44-$AH44)</f>
        <v/>
      </c>
      <c r="AJ44" s="49"/>
      <c r="AK44" s="47" t="str">
        <f aca="false">IF($D44="","",IFERROR(MATCH($F44,Config!$A$13:$A$15,0),1))</f>
        <v/>
      </c>
      <c r="AL44" s="47" t="str">
        <f aca="false">IF(OR($D44="",$N44=""),"",IF($E44="LONG",$K44,$O44))</f>
        <v/>
      </c>
      <c r="AM44" s="47" t="str">
        <f aca="false">IF(OR($D44="",$N44=""),"",IF($E44="LONG",$O44,$K44))</f>
        <v/>
      </c>
    </row>
    <row r="45" customFormat="false" ht="15" hidden="false" customHeight="false" outlineLevel="0" collapsed="false">
      <c r="A45" s="49"/>
      <c r="B45" s="5" t="str">
        <f aca="false">IF($D45="","",IF(OR(RIGHT($A45,2)="-L",RIGHT($A45,2)="-S"),LEFT($A45,LEN($A45)-2),$A45))</f>
        <v/>
      </c>
      <c r="C45" s="50"/>
      <c r="D45" s="49"/>
      <c r="E45" s="49"/>
      <c r="F45" s="49"/>
      <c r="G45" s="45"/>
      <c r="H45" s="50"/>
      <c r="I45" s="45"/>
      <c r="J45" s="51"/>
      <c r="K45" s="40" t="str">
        <f aca="false">IF($D45="","",$I45*$J45)</f>
        <v/>
      </c>
      <c r="L45" s="50"/>
      <c r="M45" s="49"/>
      <c r="N45" s="45"/>
      <c r="O45" s="40" t="str">
        <f aca="false">IF(OR($D45="",$N45=""),"",$N45*$J45)</f>
        <v/>
      </c>
      <c r="P45" s="41" t="str">
        <f aca="false">IF(OR($D45="",$L45=""),"",MAX($L45-$H45,0))</f>
        <v/>
      </c>
      <c r="Q45" s="40" t="str">
        <f aca="false">IF(OR($D45="",$N45=""),"",IF($E45="LONG",($N45-$I45)*$J45,($I45-$N45)*$J45))</f>
        <v/>
      </c>
      <c r="R45" s="42" t="str">
        <f aca="false">IF(OR($D45="",$Q45="",$K45=0),"",$Q45/$K45)</f>
        <v/>
      </c>
      <c r="S45" s="43" t="str">
        <f aca="false">IF(OR($D45="",$N45=""),"",MIN(INDEX(Config!$C$13:$C$15,$AK45),INDEX(Config!$B$13:$B$15,$AK45)*$K45)+MIN(INDEX(Config!$C$13:$C$15,$AK45),INDEX(Config!$B$13:$B$15,$AK45)*$O45))</f>
        <v/>
      </c>
      <c r="T45" s="43" t="str">
        <f aca="false">IF(OR($D45="",$N45=""),"",INDEX(Config!$D$13:$D$15,$AK45)*$AL45+INDEX(Config!$E$13:$E$15,$AK45)*$AM45)</f>
        <v/>
      </c>
      <c r="U45" s="43" t="str">
        <f aca="false">IF(OR($D45="",$N45=""),"",INDEX(Config!$F$13:$F$15,$AK45)*($K45+$O45))</f>
        <v/>
      </c>
      <c r="V45" s="43" t="str">
        <f aca="false">IF(OR($D45="",$N45=""),"",INDEX(Config!$G$13:$G$15,$AK45)*($K45+$O45)+INDEX(Config!$H$13:$H$15,$AK45)*$AL45+INDEX(Config!$J$13:$J$15,$AK45))</f>
        <v/>
      </c>
      <c r="W45" s="43" t="str">
        <f aca="false">IF(OR($D45="",$N45=""),"",INDEX(Config!$I$13:$I$15,$AK45)*($S45+$U45+INDEX(Config!$G$13:$G$15,$AK45)*($K45+$O45)))</f>
        <v/>
      </c>
      <c r="X45" s="43" t="str">
        <f aca="false">IF(OR($D45="",$N45=""),"",INDEX(Config!$K$13:$K$15,$AK45)/365*$P45*$K45*Config!$B$8)</f>
        <v/>
      </c>
      <c r="Y45" s="43" t="str">
        <f aca="false">IF(OR($D45="",$N45=""),"",SUM($S45:$X45))</f>
        <v/>
      </c>
      <c r="Z45" s="40" t="str">
        <f aca="false">IF(OR($D45="",$Q45=""),"",$Q45-$Y45)</f>
        <v/>
      </c>
      <c r="AA45" s="42" t="str">
        <f aca="false">IF(OR($D45="",$Z45="",$K45=0),"",$Z45/$K45)</f>
        <v/>
      </c>
      <c r="AB45" s="44" t="str">
        <f aca="false">IF(OR($D45="",$Y45="",$K45=0),"",$Y45/$K45*10000)</f>
        <v/>
      </c>
      <c r="AC45" s="44" t="str">
        <f aca="false">IF(OR($D45="",$G45="",$G45=0,$I45=""),"",IF($E45="LONG",($I45-$G45)/$G45,($G45-$I45)/$G45)*10000)</f>
        <v/>
      </c>
      <c r="AD45" s="45"/>
      <c r="AE45" s="40" t="str">
        <f aca="false">IF(OR($D45="",$N45&lt;&gt;"",$AD45=""),"",IF($E45="LONG",($AD45-$I45)*$J45,($I45-$AD45)*$J45))</f>
        <v/>
      </c>
      <c r="AF45" s="40" t="str">
        <f aca="false">IF(OR($D45="",$E45&lt;&gt;"LONG",$Z45=""),"",$Z45+SUMIFS($Z$4:$Z$503,$B$4:$B$503,$B45,$E$4:$E$503,"SHORT"))</f>
        <v/>
      </c>
      <c r="AG45" s="42" t="str">
        <f aca="false">IF(OR($AF45="",$K45=0),"",$AF45/$K45)</f>
        <v/>
      </c>
      <c r="AH45" s="46"/>
      <c r="AI45" s="43" t="str">
        <f aca="false">IF(OR($D45="",$AH45="",$Z45=""),"",$Z45-$AH45)</f>
        <v/>
      </c>
      <c r="AJ45" s="49"/>
      <c r="AK45" s="47" t="str">
        <f aca="false">IF($D45="","",IFERROR(MATCH($F45,Config!$A$13:$A$15,0),1))</f>
        <v/>
      </c>
      <c r="AL45" s="47" t="str">
        <f aca="false">IF(OR($D45="",$N45=""),"",IF($E45="LONG",$K45,$O45))</f>
        <v/>
      </c>
      <c r="AM45" s="47" t="str">
        <f aca="false">IF(OR($D45="",$N45=""),"",IF($E45="LONG",$O45,$K45))</f>
        <v/>
      </c>
    </row>
    <row r="46" customFormat="false" ht="15" hidden="false" customHeight="false" outlineLevel="0" collapsed="false">
      <c r="A46" s="49"/>
      <c r="B46" s="5" t="str">
        <f aca="false">IF($D46="","",IF(OR(RIGHT($A46,2)="-L",RIGHT($A46,2)="-S"),LEFT($A46,LEN($A46)-2),$A46))</f>
        <v/>
      </c>
      <c r="C46" s="50"/>
      <c r="D46" s="49"/>
      <c r="E46" s="49"/>
      <c r="F46" s="49"/>
      <c r="G46" s="45"/>
      <c r="H46" s="50"/>
      <c r="I46" s="45"/>
      <c r="J46" s="51"/>
      <c r="K46" s="40" t="str">
        <f aca="false">IF($D46="","",$I46*$J46)</f>
        <v/>
      </c>
      <c r="L46" s="50"/>
      <c r="M46" s="49"/>
      <c r="N46" s="45"/>
      <c r="O46" s="40" t="str">
        <f aca="false">IF(OR($D46="",$N46=""),"",$N46*$J46)</f>
        <v/>
      </c>
      <c r="P46" s="41" t="str">
        <f aca="false">IF(OR($D46="",$L46=""),"",MAX($L46-$H46,0))</f>
        <v/>
      </c>
      <c r="Q46" s="40" t="str">
        <f aca="false">IF(OR($D46="",$N46=""),"",IF($E46="LONG",($N46-$I46)*$J46,($I46-$N46)*$J46))</f>
        <v/>
      </c>
      <c r="R46" s="42" t="str">
        <f aca="false">IF(OR($D46="",$Q46="",$K46=0),"",$Q46/$K46)</f>
        <v/>
      </c>
      <c r="S46" s="43" t="str">
        <f aca="false">IF(OR($D46="",$N46=""),"",MIN(INDEX(Config!$C$13:$C$15,$AK46),INDEX(Config!$B$13:$B$15,$AK46)*$K46)+MIN(INDEX(Config!$C$13:$C$15,$AK46),INDEX(Config!$B$13:$B$15,$AK46)*$O46))</f>
        <v/>
      </c>
      <c r="T46" s="43" t="str">
        <f aca="false">IF(OR($D46="",$N46=""),"",INDEX(Config!$D$13:$D$15,$AK46)*$AL46+INDEX(Config!$E$13:$E$15,$AK46)*$AM46)</f>
        <v/>
      </c>
      <c r="U46" s="43" t="str">
        <f aca="false">IF(OR($D46="",$N46=""),"",INDEX(Config!$F$13:$F$15,$AK46)*($K46+$O46))</f>
        <v/>
      </c>
      <c r="V46" s="43" t="str">
        <f aca="false">IF(OR($D46="",$N46=""),"",INDEX(Config!$G$13:$G$15,$AK46)*($K46+$O46)+INDEX(Config!$H$13:$H$15,$AK46)*$AL46+INDEX(Config!$J$13:$J$15,$AK46))</f>
        <v/>
      </c>
      <c r="W46" s="43" t="str">
        <f aca="false">IF(OR($D46="",$N46=""),"",INDEX(Config!$I$13:$I$15,$AK46)*($S46+$U46+INDEX(Config!$G$13:$G$15,$AK46)*($K46+$O46)))</f>
        <v/>
      </c>
      <c r="X46" s="43" t="str">
        <f aca="false">IF(OR($D46="",$N46=""),"",INDEX(Config!$K$13:$K$15,$AK46)/365*$P46*$K46*Config!$B$8)</f>
        <v/>
      </c>
      <c r="Y46" s="43" t="str">
        <f aca="false">IF(OR($D46="",$N46=""),"",SUM($S46:$X46))</f>
        <v/>
      </c>
      <c r="Z46" s="40" t="str">
        <f aca="false">IF(OR($D46="",$Q46=""),"",$Q46-$Y46)</f>
        <v/>
      </c>
      <c r="AA46" s="42" t="str">
        <f aca="false">IF(OR($D46="",$Z46="",$K46=0),"",$Z46/$K46)</f>
        <v/>
      </c>
      <c r="AB46" s="44" t="str">
        <f aca="false">IF(OR($D46="",$Y46="",$K46=0),"",$Y46/$K46*10000)</f>
        <v/>
      </c>
      <c r="AC46" s="44" t="str">
        <f aca="false">IF(OR($D46="",$G46="",$G46=0,$I46=""),"",IF($E46="LONG",($I46-$G46)/$G46,($G46-$I46)/$G46)*10000)</f>
        <v/>
      </c>
      <c r="AD46" s="45"/>
      <c r="AE46" s="40" t="str">
        <f aca="false">IF(OR($D46="",$N46&lt;&gt;"",$AD46=""),"",IF($E46="LONG",($AD46-$I46)*$J46,($I46-$AD46)*$J46))</f>
        <v/>
      </c>
      <c r="AF46" s="40" t="str">
        <f aca="false">IF(OR($D46="",$E46&lt;&gt;"LONG",$Z46=""),"",$Z46+SUMIFS($Z$4:$Z$503,$B$4:$B$503,$B46,$E$4:$E$503,"SHORT"))</f>
        <v/>
      </c>
      <c r="AG46" s="42" t="str">
        <f aca="false">IF(OR($AF46="",$K46=0),"",$AF46/$K46)</f>
        <v/>
      </c>
      <c r="AH46" s="46"/>
      <c r="AI46" s="43" t="str">
        <f aca="false">IF(OR($D46="",$AH46="",$Z46=""),"",$Z46-$AH46)</f>
        <v/>
      </c>
      <c r="AJ46" s="49"/>
      <c r="AK46" s="47" t="str">
        <f aca="false">IF($D46="","",IFERROR(MATCH($F46,Config!$A$13:$A$15,0),1))</f>
        <v/>
      </c>
      <c r="AL46" s="47" t="str">
        <f aca="false">IF(OR($D46="",$N46=""),"",IF($E46="LONG",$K46,$O46))</f>
        <v/>
      </c>
      <c r="AM46" s="47" t="str">
        <f aca="false">IF(OR($D46="",$N46=""),"",IF($E46="LONG",$O46,$K46))</f>
        <v/>
      </c>
    </row>
    <row r="47" customFormat="false" ht="15" hidden="false" customHeight="false" outlineLevel="0" collapsed="false">
      <c r="A47" s="49"/>
      <c r="B47" s="5" t="str">
        <f aca="false">IF($D47="","",IF(OR(RIGHT($A47,2)="-L",RIGHT($A47,2)="-S"),LEFT($A47,LEN($A47)-2),$A47))</f>
        <v/>
      </c>
      <c r="C47" s="50"/>
      <c r="D47" s="49"/>
      <c r="E47" s="49"/>
      <c r="F47" s="49"/>
      <c r="G47" s="45"/>
      <c r="H47" s="50"/>
      <c r="I47" s="45"/>
      <c r="J47" s="51"/>
      <c r="K47" s="40" t="str">
        <f aca="false">IF($D47="","",$I47*$J47)</f>
        <v/>
      </c>
      <c r="L47" s="50"/>
      <c r="M47" s="49"/>
      <c r="N47" s="45"/>
      <c r="O47" s="40" t="str">
        <f aca="false">IF(OR($D47="",$N47=""),"",$N47*$J47)</f>
        <v/>
      </c>
      <c r="P47" s="41" t="str">
        <f aca="false">IF(OR($D47="",$L47=""),"",MAX($L47-$H47,0))</f>
        <v/>
      </c>
      <c r="Q47" s="40" t="str">
        <f aca="false">IF(OR($D47="",$N47=""),"",IF($E47="LONG",($N47-$I47)*$J47,($I47-$N47)*$J47))</f>
        <v/>
      </c>
      <c r="R47" s="42" t="str">
        <f aca="false">IF(OR($D47="",$Q47="",$K47=0),"",$Q47/$K47)</f>
        <v/>
      </c>
      <c r="S47" s="43" t="str">
        <f aca="false">IF(OR($D47="",$N47=""),"",MIN(INDEX(Config!$C$13:$C$15,$AK47),INDEX(Config!$B$13:$B$15,$AK47)*$K47)+MIN(INDEX(Config!$C$13:$C$15,$AK47),INDEX(Config!$B$13:$B$15,$AK47)*$O47))</f>
        <v/>
      </c>
      <c r="T47" s="43" t="str">
        <f aca="false">IF(OR($D47="",$N47=""),"",INDEX(Config!$D$13:$D$15,$AK47)*$AL47+INDEX(Config!$E$13:$E$15,$AK47)*$AM47)</f>
        <v/>
      </c>
      <c r="U47" s="43" t="str">
        <f aca="false">IF(OR($D47="",$N47=""),"",INDEX(Config!$F$13:$F$15,$AK47)*($K47+$O47))</f>
        <v/>
      </c>
      <c r="V47" s="43" t="str">
        <f aca="false">IF(OR($D47="",$N47=""),"",INDEX(Config!$G$13:$G$15,$AK47)*($K47+$O47)+INDEX(Config!$H$13:$H$15,$AK47)*$AL47+INDEX(Config!$J$13:$J$15,$AK47))</f>
        <v/>
      </c>
      <c r="W47" s="43" t="str">
        <f aca="false">IF(OR($D47="",$N47=""),"",INDEX(Config!$I$13:$I$15,$AK47)*($S47+$U47+INDEX(Config!$G$13:$G$15,$AK47)*($K47+$O47)))</f>
        <v/>
      </c>
      <c r="X47" s="43" t="str">
        <f aca="false">IF(OR($D47="",$N47=""),"",INDEX(Config!$K$13:$K$15,$AK47)/365*$P47*$K47*Config!$B$8)</f>
        <v/>
      </c>
      <c r="Y47" s="43" t="str">
        <f aca="false">IF(OR($D47="",$N47=""),"",SUM($S47:$X47))</f>
        <v/>
      </c>
      <c r="Z47" s="40" t="str">
        <f aca="false">IF(OR($D47="",$Q47=""),"",$Q47-$Y47)</f>
        <v/>
      </c>
      <c r="AA47" s="42" t="str">
        <f aca="false">IF(OR($D47="",$Z47="",$K47=0),"",$Z47/$K47)</f>
        <v/>
      </c>
      <c r="AB47" s="44" t="str">
        <f aca="false">IF(OR($D47="",$Y47="",$K47=0),"",$Y47/$K47*10000)</f>
        <v/>
      </c>
      <c r="AC47" s="44" t="str">
        <f aca="false">IF(OR($D47="",$G47="",$G47=0,$I47=""),"",IF($E47="LONG",($I47-$G47)/$G47,($G47-$I47)/$G47)*10000)</f>
        <v/>
      </c>
      <c r="AD47" s="45"/>
      <c r="AE47" s="40" t="str">
        <f aca="false">IF(OR($D47="",$N47&lt;&gt;"",$AD47=""),"",IF($E47="LONG",($AD47-$I47)*$J47,($I47-$AD47)*$J47))</f>
        <v/>
      </c>
      <c r="AF47" s="40" t="str">
        <f aca="false">IF(OR($D47="",$E47&lt;&gt;"LONG",$Z47=""),"",$Z47+SUMIFS($Z$4:$Z$503,$B$4:$B$503,$B47,$E$4:$E$503,"SHORT"))</f>
        <v/>
      </c>
      <c r="AG47" s="42" t="str">
        <f aca="false">IF(OR($AF47="",$K47=0),"",$AF47/$K47)</f>
        <v/>
      </c>
      <c r="AH47" s="46"/>
      <c r="AI47" s="43" t="str">
        <f aca="false">IF(OR($D47="",$AH47="",$Z47=""),"",$Z47-$AH47)</f>
        <v/>
      </c>
      <c r="AJ47" s="49"/>
      <c r="AK47" s="47" t="str">
        <f aca="false">IF($D47="","",IFERROR(MATCH($F47,Config!$A$13:$A$15,0),1))</f>
        <v/>
      </c>
      <c r="AL47" s="47" t="str">
        <f aca="false">IF(OR($D47="",$N47=""),"",IF($E47="LONG",$K47,$O47))</f>
        <v/>
      </c>
      <c r="AM47" s="47" t="str">
        <f aca="false">IF(OR($D47="",$N47=""),"",IF($E47="LONG",$O47,$K47))</f>
        <v/>
      </c>
    </row>
    <row r="48" customFormat="false" ht="15" hidden="false" customHeight="false" outlineLevel="0" collapsed="false">
      <c r="A48" s="49"/>
      <c r="B48" s="5" t="str">
        <f aca="false">IF($D48="","",IF(OR(RIGHT($A48,2)="-L",RIGHT($A48,2)="-S"),LEFT($A48,LEN($A48)-2),$A48))</f>
        <v/>
      </c>
      <c r="C48" s="50"/>
      <c r="D48" s="49"/>
      <c r="E48" s="49"/>
      <c r="F48" s="49"/>
      <c r="G48" s="45"/>
      <c r="H48" s="50"/>
      <c r="I48" s="45"/>
      <c r="J48" s="51"/>
      <c r="K48" s="40" t="str">
        <f aca="false">IF($D48="","",$I48*$J48)</f>
        <v/>
      </c>
      <c r="L48" s="50"/>
      <c r="M48" s="49"/>
      <c r="N48" s="45"/>
      <c r="O48" s="40" t="str">
        <f aca="false">IF(OR($D48="",$N48=""),"",$N48*$J48)</f>
        <v/>
      </c>
      <c r="P48" s="41" t="str">
        <f aca="false">IF(OR($D48="",$L48=""),"",MAX($L48-$H48,0))</f>
        <v/>
      </c>
      <c r="Q48" s="40" t="str">
        <f aca="false">IF(OR($D48="",$N48=""),"",IF($E48="LONG",($N48-$I48)*$J48,($I48-$N48)*$J48))</f>
        <v/>
      </c>
      <c r="R48" s="42" t="str">
        <f aca="false">IF(OR($D48="",$Q48="",$K48=0),"",$Q48/$K48)</f>
        <v/>
      </c>
      <c r="S48" s="43" t="str">
        <f aca="false">IF(OR($D48="",$N48=""),"",MIN(INDEX(Config!$C$13:$C$15,$AK48),INDEX(Config!$B$13:$B$15,$AK48)*$K48)+MIN(INDEX(Config!$C$13:$C$15,$AK48),INDEX(Config!$B$13:$B$15,$AK48)*$O48))</f>
        <v/>
      </c>
      <c r="T48" s="43" t="str">
        <f aca="false">IF(OR($D48="",$N48=""),"",INDEX(Config!$D$13:$D$15,$AK48)*$AL48+INDEX(Config!$E$13:$E$15,$AK48)*$AM48)</f>
        <v/>
      </c>
      <c r="U48" s="43" t="str">
        <f aca="false">IF(OR($D48="",$N48=""),"",INDEX(Config!$F$13:$F$15,$AK48)*($K48+$O48))</f>
        <v/>
      </c>
      <c r="V48" s="43" t="str">
        <f aca="false">IF(OR($D48="",$N48=""),"",INDEX(Config!$G$13:$G$15,$AK48)*($K48+$O48)+INDEX(Config!$H$13:$H$15,$AK48)*$AL48+INDEX(Config!$J$13:$J$15,$AK48))</f>
        <v/>
      </c>
      <c r="W48" s="43" t="str">
        <f aca="false">IF(OR($D48="",$N48=""),"",INDEX(Config!$I$13:$I$15,$AK48)*($S48+$U48+INDEX(Config!$G$13:$G$15,$AK48)*($K48+$O48)))</f>
        <v/>
      </c>
      <c r="X48" s="43" t="str">
        <f aca="false">IF(OR($D48="",$N48=""),"",INDEX(Config!$K$13:$K$15,$AK48)/365*$P48*$K48*Config!$B$8)</f>
        <v/>
      </c>
      <c r="Y48" s="43" t="str">
        <f aca="false">IF(OR($D48="",$N48=""),"",SUM($S48:$X48))</f>
        <v/>
      </c>
      <c r="Z48" s="40" t="str">
        <f aca="false">IF(OR($D48="",$Q48=""),"",$Q48-$Y48)</f>
        <v/>
      </c>
      <c r="AA48" s="42" t="str">
        <f aca="false">IF(OR($D48="",$Z48="",$K48=0),"",$Z48/$K48)</f>
        <v/>
      </c>
      <c r="AB48" s="44" t="str">
        <f aca="false">IF(OR($D48="",$Y48="",$K48=0),"",$Y48/$K48*10000)</f>
        <v/>
      </c>
      <c r="AC48" s="44" t="str">
        <f aca="false">IF(OR($D48="",$G48="",$G48=0,$I48=""),"",IF($E48="LONG",($I48-$G48)/$G48,($G48-$I48)/$G48)*10000)</f>
        <v/>
      </c>
      <c r="AD48" s="45"/>
      <c r="AE48" s="40" t="str">
        <f aca="false">IF(OR($D48="",$N48&lt;&gt;"",$AD48=""),"",IF($E48="LONG",($AD48-$I48)*$J48,($I48-$AD48)*$J48))</f>
        <v/>
      </c>
      <c r="AF48" s="40" t="str">
        <f aca="false">IF(OR($D48="",$E48&lt;&gt;"LONG",$Z48=""),"",$Z48+SUMIFS($Z$4:$Z$503,$B$4:$B$503,$B48,$E$4:$E$503,"SHORT"))</f>
        <v/>
      </c>
      <c r="AG48" s="42" t="str">
        <f aca="false">IF(OR($AF48="",$K48=0),"",$AF48/$K48)</f>
        <v/>
      </c>
      <c r="AH48" s="46"/>
      <c r="AI48" s="43" t="str">
        <f aca="false">IF(OR($D48="",$AH48="",$Z48=""),"",$Z48-$AH48)</f>
        <v/>
      </c>
      <c r="AJ48" s="49"/>
      <c r="AK48" s="47" t="str">
        <f aca="false">IF($D48="","",IFERROR(MATCH($F48,Config!$A$13:$A$15,0),1))</f>
        <v/>
      </c>
      <c r="AL48" s="47" t="str">
        <f aca="false">IF(OR($D48="",$N48=""),"",IF($E48="LONG",$K48,$O48))</f>
        <v/>
      </c>
      <c r="AM48" s="47" t="str">
        <f aca="false">IF(OR($D48="",$N48=""),"",IF($E48="LONG",$O48,$K48))</f>
        <v/>
      </c>
    </row>
    <row r="49" customFormat="false" ht="15" hidden="false" customHeight="false" outlineLevel="0" collapsed="false">
      <c r="A49" s="49"/>
      <c r="B49" s="5" t="str">
        <f aca="false">IF($D49="","",IF(OR(RIGHT($A49,2)="-L",RIGHT($A49,2)="-S"),LEFT($A49,LEN($A49)-2),$A49))</f>
        <v/>
      </c>
      <c r="C49" s="50"/>
      <c r="D49" s="49"/>
      <c r="E49" s="49"/>
      <c r="F49" s="49"/>
      <c r="G49" s="45"/>
      <c r="H49" s="50"/>
      <c r="I49" s="45"/>
      <c r="J49" s="51"/>
      <c r="K49" s="40" t="str">
        <f aca="false">IF($D49="","",$I49*$J49)</f>
        <v/>
      </c>
      <c r="L49" s="50"/>
      <c r="M49" s="49"/>
      <c r="N49" s="45"/>
      <c r="O49" s="40" t="str">
        <f aca="false">IF(OR($D49="",$N49=""),"",$N49*$J49)</f>
        <v/>
      </c>
      <c r="P49" s="41" t="str">
        <f aca="false">IF(OR($D49="",$L49=""),"",MAX($L49-$H49,0))</f>
        <v/>
      </c>
      <c r="Q49" s="40" t="str">
        <f aca="false">IF(OR($D49="",$N49=""),"",IF($E49="LONG",($N49-$I49)*$J49,($I49-$N49)*$J49))</f>
        <v/>
      </c>
      <c r="R49" s="42" t="str">
        <f aca="false">IF(OR($D49="",$Q49="",$K49=0),"",$Q49/$K49)</f>
        <v/>
      </c>
      <c r="S49" s="43" t="str">
        <f aca="false">IF(OR($D49="",$N49=""),"",MIN(INDEX(Config!$C$13:$C$15,$AK49),INDEX(Config!$B$13:$B$15,$AK49)*$K49)+MIN(INDEX(Config!$C$13:$C$15,$AK49),INDEX(Config!$B$13:$B$15,$AK49)*$O49))</f>
        <v/>
      </c>
      <c r="T49" s="43" t="str">
        <f aca="false">IF(OR($D49="",$N49=""),"",INDEX(Config!$D$13:$D$15,$AK49)*$AL49+INDEX(Config!$E$13:$E$15,$AK49)*$AM49)</f>
        <v/>
      </c>
      <c r="U49" s="43" t="str">
        <f aca="false">IF(OR($D49="",$N49=""),"",INDEX(Config!$F$13:$F$15,$AK49)*($K49+$O49))</f>
        <v/>
      </c>
      <c r="V49" s="43" t="str">
        <f aca="false">IF(OR($D49="",$N49=""),"",INDEX(Config!$G$13:$G$15,$AK49)*($K49+$O49)+INDEX(Config!$H$13:$H$15,$AK49)*$AL49+INDEX(Config!$J$13:$J$15,$AK49))</f>
        <v/>
      </c>
      <c r="W49" s="43" t="str">
        <f aca="false">IF(OR($D49="",$N49=""),"",INDEX(Config!$I$13:$I$15,$AK49)*($S49+$U49+INDEX(Config!$G$13:$G$15,$AK49)*($K49+$O49)))</f>
        <v/>
      </c>
      <c r="X49" s="43" t="str">
        <f aca="false">IF(OR($D49="",$N49=""),"",INDEX(Config!$K$13:$K$15,$AK49)/365*$P49*$K49*Config!$B$8)</f>
        <v/>
      </c>
      <c r="Y49" s="43" t="str">
        <f aca="false">IF(OR($D49="",$N49=""),"",SUM($S49:$X49))</f>
        <v/>
      </c>
      <c r="Z49" s="40" t="str">
        <f aca="false">IF(OR($D49="",$Q49=""),"",$Q49-$Y49)</f>
        <v/>
      </c>
      <c r="AA49" s="42" t="str">
        <f aca="false">IF(OR($D49="",$Z49="",$K49=0),"",$Z49/$K49)</f>
        <v/>
      </c>
      <c r="AB49" s="44" t="str">
        <f aca="false">IF(OR($D49="",$Y49="",$K49=0),"",$Y49/$K49*10000)</f>
        <v/>
      </c>
      <c r="AC49" s="44" t="str">
        <f aca="false">IF(OR($D49="",$G49="",$G49=0,$I49=""),"",IF($E49="LONG",($I49-$G49)/$G49,($G49-$I49)/$G49)*10000)</f>
        <v/>
      </c>
      <c r="AD49" s="45"/>
      <c r="AE49" s="40" t="str">
        <f aca="false">IF(OR($D49="",$N49&lt;&gt;"",$AD49=""),"",IF($E49="LONG",($AD49-$I49)*$J49,($I49-$AD49)*$J49))</f>
        <v/>
      </c>
      <c r="AF49" s="40" t="str">
        <f aca="false">IF(OR($D49="",$E49&lt;&gt;"LONG",$Z49=""),"",$Z49+SUMIFS($Z$4:$Z$503,$B$4:$B$503,$B49,$E$4:$E$503,"SHORT"))</f>
        <v/>
      </c>
      <c r="AG49" s="42" t="str">
        <f aca="false">IF(OR($AF49="",$K49=0),"",$AF49/$K49)</f>
        <v/>
      </c>
      <c r="AH49" s="46"/>
      <c r="AI49" s="43" t="str">
        <f aca="false">IF(OR($D49="",$AH49="",$Z49=""),"",$Z49-$AH49)</f>
        <v/>
      </c>
      <c r="AJ49" s="49"/>
      <c r="AK49" s="47" t="str">
        <f aca="false">IF($D49="","",IFERROR(MATCH($F49,Config!$A$13:$A$15,0),1))</f>
        <v/>
      </c>
      <c r="AL49" s="47" t="str">
        <f aca="false">IF(OR($D49="",$N49=""),"",IF($E49="LONG",$K49,$O49))</f>
        <v/>
      </c>
      <c r="AM49" s="47" t="str">
        <f aca="false">IF(OR($D49="",$N49=""),"",IF($E49="LONG",$O49,$K49))</f>
        <v/>
      </c>
    </row>
    <row r="50" customFormat="false" ht="15" hidden="false" customHeight="false" outlineLevel="0" collapsed="false">
      <c r="A50" s="49"/>
      <c r="B50" s="5" t="str">
        <f aca="false">IF($D50="","",IF(OR(RIGHT($A50,2)="-L",RIGHT($A50,2)="-S"),LEFT($A50,LEN($A50)-2),$A50))</f>
        <v/>
      </c>
      <c r="C50" s="50"/>
      <c r="D50" s="49"/>
      <c r="E50" s="49"/>
      <c r="F50" s="49"/>
      <c r="G50" s="45"/>
      <c r="H50" s="50"/>
      <c r="I50" s="45"/>
      <c r="J50" s="51"/>
      <c r="K50" s="40" t="str">
        <f aca="false">IF($D50="","",$I50*$J50)</f>
        <v/>
      </c>
      <c r="L50" s="50"/>
      <c r="M50" s="49"/>
      <c r="N50" s="45"/>
      <c r="O50" s="40" t="str">
        <f aca="false">IF(OR($D50="",$N50=""),"",$N50*$J50)</f>
        <v/>
      </c>
      <c r="P50" s="41" t="str">
        <f aca="false">IF(OR($D50="",$L50=""),"",MAX($L50-$H50,0))</f>
        <v/>
      </c>
      <c r="Q50" s="40" t="str">
        <f aca="false">IF(OR($D50="",$N50=""),"",IF($E50="LONG",($N50-$I50)*$J50,($I50-$N50)*$J50))</f>
        <v/>
      </c>
      <c r="R50" s="42" t="str">
        <f aca="false">IF(OR($D50="",$Q50="",$K50=0),"",$Q50/$K50)</f>
        <v/>
      </c>
      <c r="S50" s="43" t="str">
        <f aca="false">IF(OR($D50="",$N50=""),"",MIN(INDEX(Config!$C$13:$C$15,$AK50),INDEX(Config!$B$13:$B$15,$AK50)*$K50)+MIN(INDEX(Config!$C$13:$C$15,$AK50),INDEX(Config!$B$13:$B$15,$AK50)*$O50))</f>
        <v/>
      </c>
      <c r="T50" s="43" t="str">
        <f aca="false">IF(OR($D50="",$N50=""),"",INDEX(Config!$D$13:$D$15,$AK50)*$AL50+INDEX(Config!$E$13:$E$15,$AK50)*$AM50)</f>
        <v/>
      </c>
      <c r="U50" s="43" t="str">
        <f aca="false">IF(OR($D50="",$N50=""),"",INDEX(Config!$F$13:$F$15,$AK50)*($K50+$O50))</f>
        <v/>
      </c>
      <c r="V50" s="43" t="str">
        <f aca="false">IF(OR($D50="",$N50=""),"",INDEX(Config!$G$13:$G$15,$AK50)*($K50+$O50)+INDEX(Config!$H$13:$H$15,$AK50)*$AL50+INDEX(Config!$J$13:$J$15,$AK50))</f>
        <v/>
      </c>
      <c r="W50" s="43" t="str">
        <f aca="false">IF(OR($D50="",$N50=""),"",INDEX(Config!$I$13:$I$15,$AK50)*($S50+$U50+INDEX(Config!$G$13:$G$15,$AK50)*($K50+$O50)))</f>
        <v/>
      </c>
      <c r="X50" s="43" t="str">
        <f aca="false">IF(OR($D50="",$N50=""),"",INDEX(Config!$K$13:$K$15,$AK50)/365*$P50*$K50*Config!$B$8)</f>
        <v/>
      </c>
      <c r="Y50" s="43" t="str">
        <f aca="false">IF(OR($D50="",$N50=""),"",SUM($S50:$X50))</f>
        <v/>
      </c>
      <c r="Z50" s="40" t="str">
        <f aca="false">IF(OR($D50="",$Q50=""),"",$Q50-$Y50)</f>
        <v/>
      </c>
      <c r="AA50" s="42" t="str">
        <f aca="false">IF(OR($D50="",$Z50="",$K50=0),"",$Z50/$K50)</f>
        <v/>
      </c>
      <c r="AB50" s="44" t="str">
        <f aca="false">IF(OR($D50="",$Y50="",$K50=0),"",$Y50/$K50*10000)</f>
        <v/>
      </c>
      <c r="AC50" s="44" t="str">
        <f aca="false">IF(OR($D50="",$G50="",$G50=0,$I50=""),"",IF($E50="LONG",($I50-$G50)/$G50,($G50-$I50)/$G50)*10000)</f>
        <v/>
      </c>
      <c r="AD50" s="45"/>
      <c r="AE50" s="40" t="str">
        <f aca="false">IF(OR($D50="",$N50&lt;&gt;"",$AD50=""),"",IF($E50="LONG",($AD50-$I50)*$J50,($I50-$AD50)*$J50))</f>
        <v/>
      </c>
      <c r="AF50" s="40" t="str">
        <f aca="false">IF(OR($D50="",$E50&lt;&gt;"LONG",$Z50=""),"",$Z50+SUMIFS($Z$4:$Z$503,$B$4:$B$503,$B50,$E$4:$E$503,"SHORT"))</f>
        <v/>
      </c>
      <c r="AG50" s="42" t="str">
        <f aca="false">IF(OR($AF50="",$K50=0),"",$AF50/$K50)</f>
        <v/>
      </c>
      <c r="AH50" s="46"/>
      <c r="AI50" s="43" t="str">
        <f aca="false">IF(OR($D50="",$AH50="",$Z50=""),"",$Z50-$AH50)</f>
        <v/>
      </c>
      <c r="AJ50" s="49"/>
      <c r="AK50" s="47" t="str">
        <f aca="false">IF($D50="","",IFERROR(MATCH($F50,Config!$A$13:$A$15,0),1))</f>
        <v/>
      </c>
      <c r="AL50" s="47" t="str">
        <f aca="false">IF(OR($D50="",$N50=""),"",IF($E50="LONG",$K50,$O50))</f>
        <v/>
      </c>
      <c r="AM50" s="47" t="str">
        <f aca="false">IF(OR($D50="",$N50=""),"",IF($E50="LONG",$O50,$K50))</f>
        <v/>
      </c>
    </row>
    <row r="51" customFormat="false" ht="15" hidden="false" customHeight="false" outlineLevel="0" collapsed="false">
      <c r="A51" s="49"/>
      <c r="B51" s="5" t="str">
        <f aca="false">IF($D51="","",IF(OR(RIGHT($A51,2)="-L",RIGHT($A51,2)="-S"),LEFT($A51,LEN($A51)-2),$A51))</f>
        <v/>
      </c>
      <c r="C51" s="50"/>
      <c r="D51" s="49"/>
      <c r="E51" s="49"/>
      <c r="F51" s="49"/>
      <c r="G51" s="45"/>
      <c r="H51" s="50"/>
      <c r="I51" s="45"/>
      <c r="J51" s="51"/>
      <c r="K51" s="40" t="str">
        <f aca="false">IF($D51="","",$I51*$J51)</f>
        <v/>
      </c>
      <c r="L51" s="50"/>
      <c r="M51" s="49"/>
      <c r="N51" s="45"/>
      <c r="O51" s="40" t="str">
        <f aca="false">IF(OR($D51="",$N51=""),"",$N51*$J51)</f>
        <v/>
      </c>
      <c r="P51" s="41" t="str">
        <f aca="false">IF(OR($D51="",$L51=""),"",MAX($L51-$H51,0))</f>
        <v/>
      </c>
      <c r="Q51" s="40" t="str">
        <f aca="false">IF(OR($D51="",$N51=""),"",IF($E51="LONG",($N51-$I51)*$J51,($I51-$N51)*$J51))</f>
        <v/>
      </c>
      <c r="R51" s="42" t="str">
        <f aca="false">IF(OR($D51="",$Q51="",$K51=0),"",$Q51/$K51)</f>
        <v/>
      </c>
      <c r="S51" s="43" t="str">
        <f aca="false">IF(OR($D51="",$N51=""),"",MIN(INDEX(Config!$C$13:$C$15,$AK51),INDEX(Config!$B$13:$B$15,$AK51)*$K51)+MIN(INDEX(Config!$C$13:$C$15,$AK51),INDEX(Config!$B$13:$B$15,$AK51)*$O51))</f>
        <v/>
      </c>
      <c r="T51" s="43" t="str">
        <f aca="false">IF(OR($D51="",$N51=""),"",INDEX(Config!$D$13:$D$15,$AK51)*$AL51+INDEX(Config!$E$13:$E$15,$AK51)*$AM51)</f>
        <v/>
      </c>
      <c r="U51" s="43" t="str">
        <f aca="false">IF(OR($D51="",$N51=""),"",INDEX(Config!$F$13:$F$15,$AK51)*($K51+$O51))</f>
        <v/>
      </c>
      <c r="V51" s="43" t="str">
        <f aca="false">IF(OR($D51="",$N51=""),"",INDEX(Config!$G$13:$G$15,$AK51)*($K51+$O51)+INDEX(Config!$H$13:$H$15,$AK51)*$AL51+INDEX(Config!$J$13:$J$15,$AK51))</f>
        <v/>
      </c>
      <c r="W51" s="43" t="str">
        <f aca="false">IF(OR($D51="",$N51=""),"",INDEX(Config!$I$13:$I$15,$AK51)*($S51+$U51+INDEX(Config!$G$13:$G$15,$AK51)*($K51+$O51)))</f>
        <v/>
      </c>
      <c r="X51" s="43" t="str">
        <f aca="false">IF(OR($D51="",$N51=""),"",INDEX(Config!$K$13:$K$15,$AK51)/365*$P51*$K51*Config!$B$8)</f>
        <v/>
      </c>
      <c r="Y51" s="43" t="str">
        <f aca="false">IF(OR($D51="",$N51=""),"",SUM($S51:$X51))</f>
        <v/>
      </c>
      <c r="Z51" s="40" t="str">
        <f aca="false">IF(OR($D51="",$Q51=""),"",$Q51-$Y51)</f>
        <v/>
      </c>
      <c r="AA51" s="42" t="str">
        <f aca="false">IF(OR($D51="",$Z51="",$K51=0),"",$Z51/$K51)</f>
        <v/>
      </c>
      <c r="AB51" s="44" t="str">
        <f aca="false">IF(OR($D51="",$Y51="",$K51=0),"",$Y51/$K51*10000)</f>
        <v/>
      </c>
      <c r="AC51" s="44" t="str">
        <f aca="false">IF(OR($D51="",$G51="",$G51=0,$I51=""),"",IF($E51="LONG",($I51-$G51)/$G51,($G51-$I51)/$G51)*10000)</f>
        <v/>
      </c>
      <c r="AD51" s="45"/>
      <c r="AE51" s="40" t="str">
        <f aca="false">IF(OR($D51="",$N51&lt;&gt;"",$AD51=""),"",IF($E51="LONG",($AD51-$I51)*$J51,($I51-$AD51)*$J51))</f>
        <v/>
      </c>
      <c r="AF51" s="40" t="str">
        <f aca="false">IF(OR($D51="",$E51&lt;&gt;"LONG",$Z51=""),"",$Z51+SUMIFS($Z$4:$Z$503,$B$4:$B$503,$B51,$E$4:$E$503,"SHORT"))</f>
        <v/>
      </c>
      <c r="AG51" s="42" t="str">
        <f aca="false">IF(OR($AF51="",$K51=0),"",$AF51/$K51)</f>
        <v/>
      </c>
      <c r="AH51" s="46"/>
      <c r="AI51" s="43" t="str">
        <f aca="false">IF(OR($D51="",$AH51="",$Z51=""),"",$Z51-$AH51)</f>
        <v/>
      </c>
      <c r="AJ51" s="49"/>
      <c r="AK51" s="47" t="str">
        <f aca="false">IF($D51="","",IFERROR(MATCH($F51,Config!$A$13:$A$15,0),1))</f>
        <v/>
      </c>
      <c r="AL51" s="47" t="str">
        <f aca="false">IF(OR($D51="",$N51=""),"",IF($E51="LONG",$K51,$O51))</f>
        <v/>
      </c>
      <c r="AM51" s="47" t="str">
        <f aca="false">IF(OR($D51="",$N51=""),"",IF($E51="LONG",$O51,$K51))</f>
        <v/>
      </c>
    </row>
    <row r="52" customFormat="false" ht="15" hidden="false" customHeight="false" outlineLevel="0" collapsed="false">
      <c r="A52" s="49"/>
      <c r="B52" s="5" t="str">
        <f aca="false">IF($D52="","",IF(OR(RIGHT($A52,2)="-L",RIGHT($A52,2)="-S"),LEFT($A52,LEN($A52)-2),$A52))</f>
        <v/>
      </c>
      <c r="C52" s="50"/>
      <c r="D52" s="49"/>
      <c r="E52" s="49"/>
      <c r="F52" s="49"/>
      <c r="G52" s="45"/>
      <c r="H52" s="50"/>
      <c r="I52" s="45"/>
      <c r="J52" s="51"/>
      <c r="K52" s="40" t="str">
        <f aca="false">IF($D52="","",$I52*$J52)</f>
        <v/>
      </c>
      <c r="L52" s="50"/>
      <c r="M52" s="49"/>
      <c r="N52" s="45"/>
      <c r="O52" s="40" t="str">
        <f aca="false">IF(OR($D52="",$N52=""),"",$N52*$J52)</f>
        <v/>
      </c>
      <c r="P52" s="41" t="str">
        <f aca="false">IF(OR($D52="",$L52=""),"",MAX($L52-$H52,0))</f>
        <v/>
      </c>
      <c r="Q52" s="40" t="str">
        <f aca="false">IF(OR($D52="",$N52=""),"",IF($E52="LONG",($N52-$I52)*$J52,($I52-$N52)*$J52))</f>
        <v/>
      </c>
      <c r="R52" s="42" t="str">
        <f aca="false">IF(OR($D52="",$Q52="",$K52=0),"",$Q52/$K52)</f>
        <v/>
      </c>
      <c r="S52" s="43" t="str">
        <f aca="false">IF(OR($D52="",$N52=""),"",MIN(INDEX(Config!$C$13:$C$15,$AK52),INDEX(Config!$B$13:$B$15,$AK52)*$K52)+MIN(INDEX(Config!$C$13:$C$15,$AK52),INDEX(Config!$B$13:$B$15,$AK52)*$O52))</f>
        <v/>
      </c>
      <c r="T52" s="43" t="str">
        <f aca="false">IF(OR($D52="",$N52=""),"",INDEX(Config!$D$13:$D$15,$AK52)*$AL52+INDEX(Config!$E$13:$E$15,$AK52)*$AM52)</f>
        <v/>
      </c>
      <c r="U52" s="43" t="str">
        <f aca="false">IF(OR($D52="",$N52=""),"",INDEX(Config!$F$13:$F$15,$AK52)*($K52+$O52))</f>
        <v/>
      </c>
      <c r="V52" s="43" t="str">
        <f aca="false">IF(OR($D52="",$N52=""),"",INDEX(Config!$G$13:$G$15,$AK52)*($K52+$O52)+INDEX(Config!$H$13:$H$15,$AK52)*$AL52+INDEX(Config!$J$13:$J$15,$AK52))</f>
        <v/>
      </c>
      <c r="W52" s="43" t="str">
        <f aca="false">IF(OR($D52="",$N52=""),"",INDEX(Config!$I$13:$I$15,$AK52)*($S52+$U52+INDEX(Config!$G$13:$G$15,$AK52)*($K52+$O52)))</f>
        <v/>
      </c>
      <c r="X52" s="43" t="str">
        <f aca="false">IF(OR($D52="",$N52=""),"",INDEX(Config!$K$13:$K$15,$AK52)/365*$P52*$K52*Config!$B$8)</f>
        <v/>
      </c>
      <c r="Y52" s="43" t="str">
        <f aca="false">IF(OR($D52="",$N52=""),"",SUM($S52:$X52))</f>
        <v/>
      </c>
      <c r="Z52" s="40" t="str">
        <f aca="false">IF(OR($D52="",$Q52=""),"",$Q52-$Y52)</f>
        <v/>
      </c>
      <c r="AA52" s="42" t="str">
        <f aca="false">IF(OR($D52="",$Z52="",$K52=0),"",$Z52/$K52)</f>
        <v/>
      </c>
      <c r="AB52" s="44" t="str">
        <f aca="false">IF(OR($D52="",$Y52="",$K52=0),"",$Y52/$K52*10000)</f>
        <v/>
      </c>
      <c r="AC52" s="44" t="str">
        <f aca="false">IF(OR($D52="",$G52="",$G52=0,$I52=""),"",IF($E52="LONG",($I52-$G52)/$G52,($G52-$I52)/$G52)*10000)</f>
        <v/>
      </c>
      <c r="AD52" s="45"/>
      <c r="AE52" s="40" t="str">
        <f aca="false">IF(OR($D52="",$N52&lt;&gt;"",$AD52=""),"",IF($E52="LONG",($AD52-$I52)*$J52,($I52-$AD52)*$J52))</f>
        <v/>
      </c>
      <c r="AF52" s="40" t="str">
        <f aca="false">IF(OR($D52="",$E52&lt;&gt;"LONG",$Z52=""),"",$Z52+SUMIFS($Z$4:$Z$503,$B$4:$B$503,$B52,$E$4:$E$503,"SHORT"))</f>
        <v/>
      </c>
      <c r="AG52" s="42" t="str">
        <f aca="false">IF(OR($AF52="",$K52=0),"",$AF52/$K52)</f>
        <v/>
      </c>
      <c r="AH52" s="46"/>
      <c r="AI52" s="43" t="str">
        <f aca="false">IF(OR($D52="",$AH52="",$Z52=""),"",$Z52-$AH52)</f>
        <v/>
      </c>
      <c r="AJ52" s="49"/>
      <c r="AK52" s="47" t="str">
        <f aca="false">IF($D52="","",IFERROR(MATCH($F52,Config!$A$13:$A$15,0),1))</f>
        <v/>
      </c>
      <c r="AL52" s="47" t="str">
        <f aca="false">IF(OR($D52="",$N52=""),"",IF($E52="LONG",$K52,$O52))</f>
        <v/>
      </c>
      <c r="AM52" s="47" t="str">
        <f aca="false">IF(OR($D52="",$N52=""),"",IF($E52="LONG",$O52,$K52))</f>
        <v/>
      </c>
    </row>
    <row r="53" customFormat="false" ht="15" hidden="false" customHeight="false" outlineLevel="0" collapsed="false">
      <c r="A53" s="49"/>
      <c r="B53" s="5" t="str">
        <f aca="false">IF($D53="","",IF(OR(RIGHT($A53,2)="-L",RIGHT($A53,2)="-S"),LEFT($A53,LEN($A53)-2),$A53))</f>
        <v/>
      </c>
      <c r="C53" s="50"/>
      <c r="D53" s="49"/>
      <c r="E53" s="49"/>
      <c r="F53" s="49"/>
      <c r="G53" s="45"/>
      <c r="H53" s="50"/>
      <c r="I53" s="45"/>
      <c r="J53" s="51"/>
      <c r="K53" s="40" t="str">
        <f aca="false">IF($D53="","",$I53*$J53)</f>
        <v/>
      </c>
      <c r="L53" s="50"/>
      <c r="M53" s="49"/>
      <c r="N53" s="45"/>
      <c r="O53" s="40" t="str">
        <f aca="false">IF(OR($D53="",$N53=""),"",$N53*$J53)</f>
        <v/>
      </c>
      <c r="P53" s="41" t="str">
        <f aca="false">IF(OR($D53="",$L53=""),"",MAX($L53-$H53,0))</f>
        <v/>
      </c>
      <c r="Q53" s="40" t="str">
        <f aca="false">IF(OR($D53="",$N53=""),"",IF($E53="LONG",($N53-$I53)*$J53,($I53-$N53)*$J53))</f>
        <v/>
      </c>
      <c r="R53" s="42" t="str">
        <f aca="false">IF(OR($D53="",$Q53="",$K53=0),"",$Q53/$K53)</f>
        <v/>
      </c>
      <c r="S53" s="43" t="str">
        <f aca="false">IF(OR($D53="",$N53=""),"",MIN(INDEX(Config!$C$13:$C$15,$AK53),INDEX(Config!$B$13:$B$15,$AK53)*$K53)+MIN(INDEX(Config!$C$13:$C$15,$AK53),INDEX(Config!$B$13:$B$15,$AK53)*$O53))</f>
        <v/>
      </c>
      <c r="T53" s="43" t="str">
        <f aca="false">IF(OR($D53="",$N53=""),"",INDEX(Config!$D$13:$D$15,$AK53)*$AL53+INDEX(Config!$E$13:$E$15,$AK53)*$AM53)</f>
        <v/>
      </c>
      <c r="U53" s="43" t="str">
        <f aca="false">IF(OR($D53="",$N53=""),"",INDEX(Config!$F$13:$F$15,$AK53)*($K53+$O53))</f>
        <v/>
      </c>
      <c r="V53" s="43" t="str">
        <f aca="false">IF(OR($D53="",$N53=""),"",INDEX(Config!$G$13:$G$15,$AK53)*($K53+$O53)+INDEX(Config!$H$13:$H$15,$AK53)*$AL53+INDEX(Config!$J$13:$J$15,$AK53))</f>
        <v/>
      </c>
      <c r="W53" s="43" t="str">
        <f aca="false">IF(OR($D53="",$N53=""),"",INDEX(Config!$I$13:$I$15,$AK53)*($S53+$U53+INDEX(Config!$G$13:$G$15,$AK53)*($K53+$O53)))</f>
        <v/>
      </c>
      <c r="X53" s="43" t="str">
        <f aca="false">IF(OR($D53="",$N53=""),"",INDEX(Config!$K$13:$K$15,$AK53)/365*$P53*$K53*Config!$B$8)</f>
        <v/>
      </c>
      <c r="Y53" s="43" t="str">
        <f aca="false">IF(OR($D53="",$N53=""),"",SUM($S53:$X53))</f>
        <v/>
      </c>
      <c r="Z53" s="40" t="str">
        <f aca="false">IF(OR($D53="",$Q53=""),"",$Q53-$Y53)</f>
        <v/>
      </c>
      <c r="AA53" s="42" t="str">
        <f aca="false">IF(OR($D53="",$Z53="",$K53=0),"",$Z53/$K53)</f>
        <v/>
      </c>
      <c r="AB53" s="44" t="str">
        <f aca="false">IF(OR($D53="",$Y53="",$K53=0),"",$Y53/$K53*10000)</f>
        <v/>
      </c>
      <c r="AC53" s="44" t="str">
        <f aca="false">IF(OR($D53="",$G53="",$G53=0,$I53=""),"",IF($E53="LONG",($I53-$G53)/$G53,($G53-$I53)/$G53)*10000)</f>
        <v/>
      </c>
      <c r="AD53" s="45"/>
      <c r="AE53" s="40" t="str">
        <f aca="false">IF(OR($D53="",$N53&lt;&gt;"",$AD53=""),"",IF($E53="LONG",($AD53-$I53)*$J53,($I53-$AD53)*$J53))</f>
        <v/>
      </c>
      <c r="AF53" s="40" t="str">
        <f aca="false">IF(OR($D53="",$E53&lt;&gt;"LONG",$Z53=""),"",$Z53+SUMIFS($Z$4:$Z$503,$B$4:$B$503,$B53,$E$4:$E$503,"SHORT"))</f>
        <v/>
      </c>
      <c r="AG53" s="42" t="str">
        <f aca="false">IF(OR($AF53="",$K53=0),"",$AF53/$K53)</f>
        <v/>
      </c>
      <c r="AH53" s="46"/>
      <c r="AI53" s="43" t="str">
        <f aca="false">IF(OR($D53="",$AH53="",$Z53=""),"",$Z53-$AH53)</f>
        <v/>
      </c>
      <c r="AJ53" s="49"/>
      <c r="AK53" s="47" t="str">
        <f aca="false">IF($D53="","",IFERROR(MATCH($F53,Config!$A$13:$A$15,0),1))</f>
        <v/>
      </c>
      <c r="AL53" s="47" t="str">
        <f aca="false">IF(OR($D53="",$N53=""),"",IF($E53="LONG",$K53,$O53))</f>
        <v/>
      </c>
      <c r="AM53" s="47" t="str">
        <f aca="false">IF(OR($D53="",$N53=""),"",IF($E53="LONG",$O53,$K53))</f>
        <v/>
      </c>
    </row>
    <row r="54" customFormat="false" ht="15" hidden="false" customHeight="false" outlineLevel="0" collapsed="false">
      <c r="A54" s="49"/>
      <c r="B54" s="5" t="str">
        <f aca="false">IF($D54="","",IF(OR(RIGHT($A54,2)="-L",RIGHT($A54,2)="-S"),LEFT($A54,LEN($A54)-2),$A54))</f>
        <v/>
      </c>
      <c r="C54" s="50"/>
      <c r="D54" s="49"/>
      <c r="E54" s="49"/>
      <c r="F54" s="49"/>
      <c r="G54" s="45"/>
      <c r="H54" s="50"/>
      <c r="I54" s="45"/>
      <c r="J54" s="51"/>
      <c r="K54" s="40" t="str">
        <f aca="false">IF($D54="","",$I54*$J54)</f>
        <v/>
      </c>
      <c r="L54" s="50"/>
      <c r="M54" s="49"/>
      <c r="N54" s="45"/>
      <c r="O54" s="40" t="str">
        <f aca="false">IF(OR($D54="",$N54=""),"",$N54*$J54)</f>
        <v/>
      </c>
      <c r="P54" s="41" t="str">
        <f aca="false">IF(OR($D54="",$L54=""),"",MAX($L54-$H54,0))</f>
        <v/>
      </c>
      <c r="Q54" s="40" t="str">
        <f aca="false">IF(OR($D54="",$N54=""),"",IF($E54="LONG",($N54-$I54)*$J54,($I54-$N54)*$J54))</f>
        <v/>
      </c>
      <c r="R54" s="42" t="str">
        <f aca="false">IF(OR($D54="",$Q54="",$K54=0),"",$Q54/$K54)</f>
        <v/>
      </c>
      <c r="S54" s="43" t="str">
        <f aca="false">IF(OR($D54="",$N54=""),"",MIN(INDEX(Config!$C$13:$C$15,$AK54),INDEX(Config!$B$13:$B$15,$AK54)*$K54)+MIN(INDEX(Config!$C$13:$C$15,$AK54),INDEX(Config!$B$13:$B$15,$AK54)*$O54))</f>
        <v/>
      </c>
      <c r="T54" s="43" t="str">
        <f aca="false">IF(OR($D54="",$N54=""),"",INDEX(Config!$D$13:$D$15,$AK54)*$AL54+INDEX(Config!$E$13:$E$15,$AK54)*$AM54)</f>
        <v/>
      </c>
      <c r="U54" s="43" t="str">
        <f aca="false">IF(OR($D54="",$N54=""),"",INDEX(Config!$F$13:$F$15,$AK54)*($K54+$O54))</f>
        <v/>
      </c>
      <c r="V54" s="43" t="str">
        <f aca="false">IF(OR($D54="",$N54=""),"",INDEX(Config!$G$13:$G$15,$AK54)*($K54+$O54)+INDEX(Config!$H$13:$H$15,$AK54)*$AL54+INDEX(Config!$J$13:$J$15,$AK54))</f>
        <v/>
      </c>
      <c r="W54" s="43" t="str">
        <f aca="false">IF(OR($D54="",$N54=""),"",INDEX(Config!$I$13:$I$15,$AK54)*($S54+$U54+INDEX(Config!$G$13:$G$15,$AK54)*($K54+$O54)))</f>
        <v/>
      </c>
      <c r="X54" s="43" t="str">
        <f aca="false">IF(OR($D54="",$N54=""),"",INDEX(Config!$K$13:$K$15,$AK54)/365*$P54*$K54*Config!$B$8)</f>
        <v/>
      </c>
      <c r="Y54" s="43" t="str">
        <f aca="false">IF(OR($D54="",$N54=""),"",SUM($S54:$X54))</f>
        <v/>
      </c>
      <c r="Z54" s="40" t="str">
        <f aca="false">IF(OR($D54="",$Q54=""),"",$Q54-$Y54)</f>
        <v/>
      </c>
      <c r="AA54" s="42" t="str">
        <f aca="false">IF(OR($D54="",$Z54="",$K54=0),"",$Z54/$K54)</f>
        <v/>
      </c>
      <c r="AB54" s="44" t="str">
        <f aca="false">IF(OR($D54="",$Y54="",$K54=0),"",$Y54/$K54*10000)</f>
        <v/>
      </c>
      <c r="AC54" s="44" t="str">
        <f aca="false">IF(OR($D54="",$G54="",$G54=0,$I54=""),"",IF($E54="LONG",($I54-$G54)/$G54,($G54-$I54)/$G54)*10000)</f>
        <v/>
      </c>
      <c r="AD54" s="45"/>
      <c r="AE54" s="40" t="str">
        <f aca="false">IF(OR($D54="",$N54&lt;&gt;"",$AD54=""),"",IF($E54="LONG",($AD54-$I54)*$J54,($I54-$AD54)*$J54))</f>
        <v/>
      </c>
      <c r="AF54" s="40" t="str">
        <f aca="false">IF(OR($D54="",$E54&lt;&gt;"LONG",$Z54=""),"",$Z54+SUMIFS($Z$4:$Z$503,$B$4:$B$503,$B54,$E$4:$E$503,"SHORT"))</f>
        <v/>
      </c>
      <c r="AG54" s="42" t="str">
        <f aca="false">IF(OR($AF54="",$K54=0),"",$AF54/$K54)</f>
        <v/>
      </c>
      <c r="AH54" s="46"/>
      <c r="AI54" s="43" t="str">
        <f aca="false">IF(OR($D54="",$AH54="",$Z54=""),"",$Z54-$AH54)</f>
        <v/>
      </c>
      <c r="AJ54" s="49"/>
      <c r="AK54" s="47" t="str">
        <f aca="false">IF($D54="","",IFERROR(MATCH($F54,Config!$A$13:$A$15,0),1))</f>
        <v/>
      </c>
      <c r="AL54" s="47" t="str">
        <f aca="false">IF(OR($D54="",$N54=""),"",IF($E54="LONG",$K54,$O54))</f>
        <v/>
      </c>
      <c r="AM54" s="47" t="str">
        <f aca="false">IF(OR($D54="",$N54=""),"",IF($E54="LONG",$O54,$K54))</f>
        <v/>
      </c>
    </row>
    <row r="55" customFormat="false" ht="15" hidden="false" customHeight="false" outlineLevel="0" collapsed="false">
      <c r="A55" s="49"/>
      <c r="B55" s="5" t="str">
        <f aca="false">IF($D55="","",IF(OR(RIGHT($A55,2)="-L",RIGHT($A55,2)="-S"),LEFT($A55,LEN($A55)-2),$A55))</f>
        <v/>
      </c>
      <c r="C55" s="50"/>
      <c r="D55" s="49"/>
      <c r="E55" s="49"/>
      <c r="F55" s="49"/>
      <c r="G55" s="45"/>
      <c r="H55" s="50"/>
      <c r="I55" s="45"/>
      <c r="J55" s="51"/>
      <c r="K55" s="40" t="str">
        <f aca="false">IF($D55="","",$I55*$J55)</f>
        <v/>
      </c>
      <c r="L55" s="50"/>
      <c r="M55" s="49"/>
      <c r="N55" s="45"/>
      <c r="O55" s="40" t="str">
        <f aca="false">IF(OR($D55="",$N55=""),"",$N55*$J55)</f>
        <v/>
      </c>
      <c r="P55" s="41" t="str">
        <f aca="false">IF(OR($D55="",$L55=""),"",MAX($L55-$H55,0))</f>
        <v/>
      </c>
      <c r="Q55" s="40" t="str">
        <f aca="false">IF(OR($D55="",$N55=""),"",IF($E55="LONG",($N55-$I55)*$J55,($I55-$N55)*$J55))</f>
        <v/>
      </c>
      <c r="R55" s="42" t="str">
        <f aca="false">IF(OR($D55="",$Q55="",$K55=0),"",$Q55/$K55)</f>
        <v/>
      </c>
      <c r="S55" s="43" t="str">
        <f aca="false">IF(OR($D55="",$N55=""),"",MIN(INDEX(Config!$C$13:$C$15,$AK55),INDEX(Config!$B$13:$B$15,$AK55)*$K55)+MIN(INDEX(Config!$C$13:$C$15,$AK55),INDEX(Config!$B$13:$B$15,$AK55)*$O55))</f>
        <v/>
      </c>
      <c r="T55" s="43" t="str">
        <f aca="false">IF(OR($D55="",$N55=""),"",INDEX(Config!$D$13:$D$15,$AK55)*$AL55+INDEX(Config!$E$13:$E$15,$AK55)*$AM55)</f>
        <v/>
      </c>
      <c r="U55" s="43" t="str">
        <f aca="false">IF(OR($D55="",$N55=""),"",INDEX(Config!$F$13:$F$15,$AK55)*($K55+$O55))</f>
        <v/>
      </c>
      <c r="V55" s="43" t="str">
        <f aca="false">IF(OR($D55="",$N55=""),"",INDEX(Config!$G$13:$G$15,$AK55)*($K55+$O55)+INDEX(Config!$H$13:$H$15,$AK55)*$AL55+INDEX(Config!$J$13:$J$15,$AK55))</f>
        <v/>
      </c>
      <c r="W55" s="43" t="str">
        <f aca="false">IF(OR($D55="",$N55=""),"",INDEX(Config!$I$13:$I$15,$AK55)*($S55+$U55+INDEX(Config!$G$13:$G$15,$AK55)*($K55+$O55)))</f>
        <v/>
      </c>
      <c r="X55" s="43" t="str">
        <f aca="false">IF(OR($D55="",$N55=""),"",INDEX(Config!$K$13:$K$15,$AK55)/365*$P55*$K55*Config!$B$8)</f>
        <v/>
      </c>
      <c r="Y55" s="43" t="str">
        <f aca="false">IF(OR($D55="",$N55=""),"",SUM($S55:$X55))</f>
        <v/>
      </c>
      <c r="Z55" s="40" t="str">
        <f aca="false">IF(OR($D55="",$Q55=""),"",$Q55-$Y55)</f>
        <v/>
      </c>
      <c r="AA55" s="42" t="str">
        <f aca="false">IF(OR($D55="",$Z55="",$K55=0),"",$Z55/$K55)</f>
        <v/>
      </c>
      <c r="AB55" s="44" t="str">
        <f aca="false">IF(OR($D55="",$Y55="",$K55=0),"",$Y55/$K55*10000)</f>
        <v/>
      </c>
      <c r="AC55" s="44" t="str">
        <f aca="false">IF(OR($D55="",$G55="",$G55=0,$I55=""),"",IF($E55="LONG",($I55-$G55)/$G55,($G55-$I55)/$G55)*10000)</f>
        <v/>
      </c>
      <c r="AD55" s="45"/>
      <c r="AE55" s="40" t="str">
        <f aca="false">IF(OR($D55="",$N55&lt;&gt;"",$AD55=""),"",IF($E55="LONG",($AD55-$I55)*$J55,($I55-$AD55)*$J55))</f>
        <v/>
      </c>
      <c r="AF55" s="40" t="str">
        <f aca="false">IF(OR($D55="",$E55&lt;&gt;"LONG",$Z55=""),"",$Z55+SUMIFS($Z$4:$Z$503,$B$4:$B$503,$B55,$E$4:$E$503,"SHORT"))</f>
        <v/>
      </c>
      <c r="AG55" s="42" t="str">
        <f aca="false">IF(OR($AF55="",$K55=0),"",$AF55/$K55)</f>
        <v/>
      </c>
      <c r="AH55" s="46"/>
      <c r="AI55" s="43" t="str">
        <f aca="false">IF(OR($D55="",$AH55="",$Z55=""),"",$Z55-$AH55)</f>
        <v/>
      </c>
      <c r="AJ55" s="49"/>
      <c r="AK55" s="47" t="str">
        <f aca="false">IF($D55="","",IFERROR(MATCH($F55,Config!$A$13:$A$15,0),1))</f>
        <v/>
      </c>
      <c r="AL55" s="47" t="str">
        <f aca="false">IF(OR($D55="",$N55=""),"",IF($E55="LONG",$K55,$O55))</f>
        <v/>
      </c>
      <c r="AM55" s="47" t="str">
        <f aca="false">IF(OR($D55="",$N55=""),"",IF($E55="LONG",$O55,$K55))</f>
        <v/>
      </c>
    </row>
    <row r="56" customFormat="false" ht="15" hidden="false" customHeight="false" outlineLevel="0" collapsed="false">
      <c r="A56" s="49"/>
      <c r="B56" s="5" t="str">
        <f aca="false">IF($D56="","",IF(OR(RIGHT($A56,2)="-L",RIGHT($A56,2)="-S"),LEFT($A56,LEN($A56)-2),$A56))</f>
        <v/>
      </c>
      <c r="C56" s="50"/>
      <c r="D56" s="49"/>
      <c r="E56" s="49"/>
      <c r="F56" s="49"/>
      <c r="G56" s="45"/>
      <c r="H56" s="50"/>
      <c r="I56" s="45"/>
      <c r="J56" s="51"/>
      <c r="K56" s="40" t="str">
        <f aca="false">IF($D56="","",$I56*$J56)</f>
        <v/>
      </c>
      <c r="L56" s="50"/>
      <c r="M56" s="49"/>
      <c r="N56" s="45"/>
      <c r="O56" s="40" t="str">
        <f aca="false">IF(OR($D56="",$N56=""),"",$N56*$J56)</f>
        <v/>
      </c>
      <c r="P56" s="41" t="str">
        <f aca="false">IF(OR($D56="",$L56=""),"",MAX($L56-$H56,0))</f>
        <v/>
      </c>
      <c r="Q56" s="40" t="str">
        <f aca="false">IF(OR($D56="",$N56=""),"",IF($E56="LONG",($N56-$I56)*$J56,($I56-$N56)*$J56))</f>
        <v/>
      </c>
      <c r="R56" s="42" t="str">
        <f aca="false">IF(OR($D56="",$Q56="",$K56=0),"",$Q56/$K56)</f>
        <v/>
      </c>
      <c r="S56" s="43" t="str">
        <f aca="false">IF(OR($D56="",$N56=""),"",MIN(INDEX(Config!$C$13:$C$15,$AK56),INDEX(Config!$B$13:$B$15,$AK56)*$K56)+MIN(INDEX(Config!$C$13:$C$15,$AK56),INDEX(Config!$B$13:$B$15,$AK56)*$O56))</f>
        <v/>
      </c>
      <c r="T56" s="43" t="str">
        <f aca="false">IF(OR($D56="",$N56=""),"",INDEX(Config!$D$13:$D$15,$AK56)*$AL56+INDEX(Config!$E$13:$E$15,$AK56)*$AM56)</f>
        <v/>
      </c>
      <c r="U56" s="43" t="str">
        <f aca="false">IF(OR($D56="",$N56=""),"",INDEX(Config!$F$13:$F$15,$AK56)*($K56+$O56))</f>
        <v/>
      </c>
      <c r="V56" s="43" t="str">
        <f aca="false">IF(OR($D56="",$N56=""),"",INDEX(Config!$G$13:$G$15,$AK56)*($K56+$O56)+INDEX(Config!$H$13:$H$15,$AK56)*$AL56+INDEX(Config!$J$13:$J$15,$AK56))</f>
        <v/>
      </c>
      <c r="W56" s="43" t="str">
        <f aca="false">IF(OR($D56="",$N56=""),"",INDEX(Config!$I$13:$I$15,$AK56)*($S56+$U56+INDEX(Config!$G$13:$G$15,$AK56)*($K56+$O56)))</f>
        <v/>
      </c>
      <c r="X56" s="43" t="str">
        <f aca="false">IF(OR($D56="",$N56=""),"",INDEX(Config!$K$13:$K$15,$AK56)/365*$P56*$K56*Config!$B$8)</f>
        <v/>
      </c>
      <c r="Y56" s="43" t="str">
        <f aca="false">IF(OR($D56="",$N56=""),"",SUM($S56:$X56))</f>
        <v/>
      </c>
      <c r="Z56" s="40" t="str">
        <f aca="false">IF(OR($D56="",$Q56=""),"",$Q56-$Y56)</f>
        <v/>
      </c>
      <c r="AA56" s="42" t="str">
        <f aca="false">IF(OR($D56="",$Z56="",$K56=0),"",$Z56/$K56)</f>
        <v/>
      </c>
      <c r="AB56" s="44" t="str">
        <f aca="false">IF(OR($D56="",$Y56="",$K56=0),"",$Y56/$K56*10000)</f>
        <v/>
      </c>
      <c r="AC56" s="44" t="str">
        <f aca="false">IF(OR($D56="",$G56="",$G56=0,$I56=""),"",IF($E56="LONG",($I56-$G56)/$G56,($G56-$I56)/$G56)*10000)</f>
        <v/>
      </c>
      <c r="AD56" s="45"/>
      <c r="AE56" s="40" t="str">
        <f aca="false">IF(OR($D56="",$N56&lt;&gt;"",$AD56=""),"",IF($E56="LONG",($AD56-$I56)*$J56,($I56-$AD56)*$J56))</f>
        <v/>
      </c>
      <c r="AF56" s="40" t="str">
        <f aca="false">IF(OR($D56="",$E56&lt;&gt;"LONG",$Z56=""),"",$Z56+SUMIFS($Z$4:$Z$503,$B$4:$B$503,$B56,$E$4:$E$503,"SHORT"))</f>
        <v/>
      </c>
      <c r="AG56" s="42" t="str">
        <f aca="false">IF(OR($AF56="",$K56=0),"",$AF56/$K56)</f>
        <v/>
      </c>
      <c r="AH56" s="46"/>
      <c r="AI56" s="43" t="str">
        <f aca="false">IF(OR($D56="",$AH56="",$Z56=""),"",$Z56-$AH56)</f>
        <v/>
      </c>
      <c r="AJ56" s="49"/>
      <c r="AK56" s="47" t="str">
        <f aca="false">IF($D56="","",IFERROR(MATCH($F56,Config!$A$13:$A$15,0),1))</f>
        <v/>
      </c>
      <c r="AL56" s="47" t="str">
        <f aca="false">IF(OR($D56="",$N56=""),"",IF($E56="LONG",$K56,$O56))</f>
        <v/>
      </c>
      <c r="AM56" s="47" t="str">
        <f aca="false">IF(OR($D56="",$N56=""),"",IF($E56="LONG",$O56,$K56))</f>
        <v/>
      </c>
    </row>
    <row r="57" customFormat="false" ht="15" hidden="false" customHeight="false" outlineLevel="0" collapsed="false">
      <c r="A57" s="49"/>
      <c r="B57" s="5" t="str">
        <f aca="false">IF($D57="","",IF(OR(RIGHT($A57,2)="-L",RIGHT($A57,2)="-S"),LEFT($A57,LEN($A57)-2),$A57))</f>
        <v/>
      </c>
      <c r="C57" s="50"/>
      <c r="D57" s="49"/>
      <c r="E57" s="49"/>
      <c r="F57" s="49"/>
      <c r="G57" s="45"/>
      <c r="H57" s="50"/>
      <c r="I57" s="45"/>
      <c r="J57" s="51"/>
      <c r="K57" s="40" t="str">
        <f aca="false">IF($D57="","",$I57*$J57)</f>
        <v/>
      </c>
      <c r="L57" s="50"/>
      <c r="M57" s="49"/>
      <c r="N57" s="45"/>
      <c r="O57" s="40" t="str">
        <f aca="false">IF(OR($D57="",$N57=""),"",$N57*$J57)</f>
        <v/>
      </c>
      <c r="P57" s="41" t="str">
        <f aca="false">IF(OR($D57="",$L57=""),"",MAX($L57-$H57,0))</f>
        <v/>
      </c>
      <c r="Q57" s="40" t="str">
        <f aca="false">IF(OR($D57="",$N57=""),"",IF($E57="LONG",($N57-$I57)*$J57,($I57-$N57)*$J57))</f>
        <v/>
      </c>
      <c r="R57" s="42" t="str">
        <f aca="false">IF(OR($D57="",$Q57="",$K57=0),"",$Q57/$K57)</f>
        <v/>
      </c>
      <c r="S57" s="43" t="str">
        <f aca="false">IF(OR($D57="",$N57=""),"",MIN(INDEX(Config!$C$13:$C$15,$AK57),INDEX(Config!$B$13:$B$15,$AK57)*$K57)+MIN(INDEX(Config!$C$13:$C$15,$AK57),INDEX(Config!$B$13:$B$15,$AK57)*$O57))</f>
        <v/>
      </c>
      <c r="T57" s="43" t="str">
        <f aca="false">IF(OR($D57="",$N57=""),"",INDEX(Config!$D$13:$D$15,$AK57)*$AL57+INDEX(Config!$E$13:$E$15,$AK57)*$AM57)</f>
        <v/>
      </c>
      <c r="U57" s="43" t="str">
        <f aca="false">IF(OR($D57="",$N57=""),"",INDEX(Config!$F$13:$F$15,$AK57)*($K57+$O57))</f>
        <v/>
      </c>
      <c r="V57" s="43" t="str">
        <f aca="false">IF(OR($D57="",$N57=""),"",INDEX(Config!$G$13:$G$15,$AK57)*($K57+$O57)+INDEX(Config!$H$13:$H$15,$AK57)*$AL57+INDEX(Config!$J$13:$J$15,$AK57))</f>
        <v/>
      </c>
      <c r="W57" s="43" t="str">
        <f aca="false">IF(OR($D57="",$N57=""),"",INDEX(Config!$I$13:$I$15,$AK57)*($S57+$U57+INDEX(Config!$G$13:$G$15,$AK57)*($K57+$O57)))</f>
        <v/>
      </c>
      <c r="X57" s="43" t="str">
        <f aca="false">IF(OR($D57="",$N57=""),"",INDEX(Config!$K$13:$K$15,$AK57)/365*$P57*$K57*Config!$B$8)</f>
        <v/>
      </c>
      <c r="Y57" s="43" t="str">
        <f aca="false">IF(OR($D57="",$N57=""),"",SUM($S57:$X57))</f>
        <v/>
      </c>
      <c r="Z57" s="40" t="str">
        <f aca="false">IF(OR($D57="",$Q57=""),"",$Q57-$Y57)</f>
        <v/>
      </c>
      <c r="AA57" s="42" t="str">
        <f aca="false">IF(OR($D57="",$Z57="",$K57=0),"",$Z57/$K57)</f>
        <v/>
      </c>
      <c r="AB57" s="44" t="str">
        <f aca="false">IF(OR($D57="",$Y57="",$K57=0),"",$Y57/$K57*10000)</f>
        <v/>
      </c>
      <c r="AC57" s="44" t="str">
        <f aca="false">IF(OR($D57="",$G57="",$G57=0,$I57=""),"",IF($E57="LONG",($I57-$G57)/$G57,($G57-$I57)/$G57)*10000)</f>
        <v/>
      </c>
      <c r="AD57" s="45"/>
      <c r="AE57" s="40" t="str">
        <f aca="false">IF(OR($D57="",$N57&lt;&gt;"",$AD57=""),"",IF($E57="LONG",($AD57-$I57)*$J57,($I57-$AD57)*$J57))</f>
        <v/>
      </c>
      <c r="AF57" s="40" t="str">
        <f aca="false">IF(OR($D57="",$E57&lt;&gt;"LONG",$Z57=""),"",$Z57+SUMIFS($Z$4:$Z$503,$B$4:$B$503,$B57,$E$4:$E$503,"SHORT"))</f>
        <v/>
      </c>
      <c r="AG57" s="42" t="str">
        <f aca="false">IF(OR($AF57="",$K57=0),"",$AF57/$K57)</f>
        <v/>
      </c>
      <c r="AH57" s="46"/>
      <c r="AI57" s="43" t="str">
        <f aca="false">IF(OR($D57="",$AH57="",$Z57=""),"",$Z57-$AH57)</f>
        <v/>
      </c>
      <c r="AJ57" s="49"/>
      <c r="AK57" s="47" t="str">
        <f aca="false">IF($D57="","",IFERROR(MATCH($F57,Config!$A$13:$A$15,0),1))</f>
        <v/>
      </c>
      <c r="AL57" s="47" t="str">
        <f aca="false">IF(OR($D57="",$N57=""),"",IF($E57="LONG",$K57,$O57))</f>
        <v/>
      </c>
      <c r="AM57" s="47" t="str">
        <f aca="false">IF(OR($D57="",$N57=""),"",IF($E57="LONG",$O57,$K57))</f>
        <v/>
      </c>
    </row>
    <row r="58" customFormat="false" ht="15" hidden="false" customHeight="false" outlineLevel="0" collapsed="false">
      <c r="A58" s="49"/>
      <c r="B58" s="5" t="str">
        <f aca="false">IF($D58="","",IF(OR(RIGHT($A58,2)="-L",RIGHT($A58,2)="-S"),LEFT($A58,LEN($A58)-2),$A58))</f>
        <v/>
      </c>
      <c r="C58" s="50"/>
      <c r="D58" s="49"/>
      <c r="E58" s="49"/>
      <c r="F58" s="49"/>
      <c r="G58" s="45"/>
      <c r="H58" s="50"/>
      <c r="I58" s="45"/>
      <c r="J58" s="51"/>
      <c r="K58" s="40" t="str">
        <f aca="false">IF($D58="","",$I58*$J58)</f>
        <v/>
      </c>
      <c r="L58" s="50"/>
      <c r="M58" s="49"/>
      <c r="N58" s="45"/>
      <c r="O58" s="40" t="str">
        <f aca="false">IF(OR($D58="",$N58=""),"",$N58*$J58)</f>
        <v/>
      </c>
      <c r="P58" s="41" t="str">
        <f aca="false">IF(OR($D58="",$L58=""),"",MAX($L58-$H58,0))</f>
        <v/>
      </c>
      <c r="Q58" s="40" t="str">
        <f aca="false">IF(OR($D58="",$N58=""),"",IF($E58="LONG",($N58-$I58)*$J58,($I58-$N58)*$J58))</f>
        <v/>
      </c>
      <c r="R58" s="42" t="str">
        <f aca="false">IF(OR($D58="",$Q58="",$K58=0),"",$Q58/$K58)</f>
        <v/>
      </c>
      <c r="S58" s="43" t="str">
        <f aca="false">IF(OR($D58="",$N58=""),"",MIN(INDEX(Config!$C$13:$C$15,$AK58),INDEX(Config!$B$13:$B$15,$AK58)*$K58)+MIN(INDEX(Config!$C$13:$C$15,$AK58),INDEX(Config!$B$13:$B$15,$AK58)*$O58))</f>
        <v/>
      </c>
      <c r="T58" s="43" t="str">
        <f aca="false">IF(OR($D58="",$N58=""),"",INDEX(Config!$D$13:$D$15,$AK58)*$AL58+INDEX(Config!$E$13:$E$15,$AK58)*$AM58)</f>
        <v/>
      </c>
      <c r="U58" s="43" t="str">
        <f aca="false">IF(OR($D58="",$N58=""),"",INDEX(Config!$F$13:$F$15,$AK58)*($K58+$O58))</f>
        <v/>
      </c>
      <c r="V58" s="43" t="str">
        <f aca="false">IF(OR($D58="",$N58=""),"",INDEX(Config!$G$13:$G$15,$AK58)*($K58+$O58)+INDEX(Config!$H$13:$H$15,$AK58)*$AL58+INDEX(Config!$J$13:$J$15,$AK58))</f>
        <v/>
      </c>
      <c r="W58" s="43" t="str">
        <f aca="false">IF(OR($D58="",$N58=""),"",INDEX(Config!$I$13:$I$15,$AK58)*($S58+$U58+INDEX(Config!$G$13:$G$15,$AK58)*($K58+$O58)))</f>
        <v/>
      </c>
      <c r="X58" s="43" t="str">
        <f aca="false">IF(OR($D58="",$N58=""),"",INDEX(Config!$K$13:$K$15,$AK58)/365*$P58*$K58*Config!$B$8)</f>
        <v/>
      </c>
      <c r="Y58" s="43" t="str">
        <f aca="false">IF(OR($D58="",$N58=""),"",SUM($S58:$X58))</f>
        <v/>
      </c>
      <c r="Z58" s="40" t="str">
        <f aca="false">IF(OR($D58="",$Q58=""),"",$Q58-$Y58)</f>
        <v/>
      </c>
      <c r="AA58" s="42" t="str">
        <f aca="false">IF(OR($D58="",$Z58="",$K58=0),"",$Z58/$K58)</f>
        <v/>
      </c>
      <c r="AB58" s="44" t="str">
        <f aca="false">IF(OR($D58="",$Y58="",$K58=0),"",$Y58/$K58*10000)</f>
        <v/>
      </c>
      <c r="AC58" s="44" t="str">
        <f aca="false">IF(OR($D58="",$G58="",$G58=0,$I58=""),"",IF($E58="LONG",($I58-$G58)/$G58,($G58-$I58)/$G58)*10000)</f>
        <v/>
      </c>
      <c r="AD58" s="45"/>
      <c r="AE58" s="40" t="str">
        <f aca="false">IF(OR($D58="",$N58&lt;&gt;"",$AD58=""),"",IF($E58="LONG",($AD58-$I58)*$J58,($I58-$AD58)*$J58))</f>
        <v/>
      </c>
      <c r="AF58" s="40" t="str">
        <f aca="false">IF(OR($D58="",$E58&lt;&gt;"LONG",$Z58=""),"",$Z58+SUMIFS($Z$4:$Z$503,$B$4:$B$503,$B58,$E$4:$E$503,"SHORT"))</f>
        <v/>
      </c>
      <c r="AG58" s="42" t="str">
        <f aca="false">IF(OR($AF58="",$K58=0),"",$AF58/$K58)</f>
        <v/>
      </c>
      <c r="AH58" s="46"/>
      <c r="AI58" s="43" t="str">
        <f aca="false">IF(OR($D58="",$AH58="",$Z58=""),"",$Z58-$AH58)</f>
        <v/>
      </c>
      <c r="AJ58" s="49"/>
      <c r="AK58" s="47" t="str">
        <f aca="false">IF($D58="","",IFERROR(MATCH($F58,Config!$A$13:$A$15,0),1))</f>
        <v/>
      </c>
      <c r="AL58" s="47" t="str">
        <f aca="false">IF(OR($D58="",$N58=""),"",IF($E58="LONG",$K58,$O58))</f>
        <v/>
      </c>
      <c r="AM58" s="47" t="str">
        <f aca="false">IF(OR($D58="",$N58=""),"",IF($E58="LONG",$O58,$K58))</f>
        <v/>
      </c>
    </row>
    <row r="59" customFormat="false" ht="15" hidden="false" customHeight="false" outlineLevel="0" collapsed="false">
      <c r="A59" s="49"/>
      <c r="B59" s="5" t="str">
        <f aca="false">IF($D59="","",IF(OR(RIGHT($A59,2)="-L",RIGHT($A59,2)="-S"),LEFT($A59,LEN($A59)-2),$A59))</f>
        <v/>
      </c>
      <c r="C59" s="50"/>
      <c r="D59" s="49"/>
      <c r="E59" s="49"/>
      <c r="F59" s="49"/>
      <c r="G59" s="45"/>
      <c r="H59" s="50"/>
      <c r="I59" s="45"/>
      <c r="J59" s="51"/>
      <c r="K59" s="40" t="str">
        <f aca="false">IF($D59="","",$I59*$J59)</f>
        <v/>
      </c>
      <c r="L59" s="50"/>
      <c r="M59" s="49"/>
      <c r="N59" s="45"/>
      <c r="O59" s="40" t="str">
        <f aca="false">IF(OR($D59="",$N59=""),"",$N59*$J59)</f>
        <v/>
      </c>
      <c r="P59" s="41" t="str">
        <f aca="false">IF(OR($D59="",$L59=""),"",MAX($L59-$H59,0))</f>
        <v/>
      </c>
      <c r="Q59" s="40" t="str">
        <f aca="false">IF(OR($D59="",$N59=""),"",IF($E59="LONG",($N59-$I59)*$J59,($I59-$N59)*$J59))</f>
        <v/>
      </c>
      <c r="R59" s="42" t="str">
        <f aca="false">IF(OR($D59="",$Q59="",$K59=0),"",$Q59/$K59)</f>
        <v/>
      </c>
      <c r="S59" s="43" t="str">
        <f aca="false">IF(OR($D59="",$N59=""),"",MIN(INDEX(Config!$C$13:$C$15,$AK59),INDEX(Config!$B$13:$B$15,$AK59)*$K59)+MIN(INDEX(Config!$C$13:$C$15,$AK59),INDEX(Config!$B$13:$B$15,$AK59)*$O59))</f>
        <v/>
      </c>
      <c r="T59" s="43" t="str">
        <f aca="false">IF(OR($D59="",$N59=""),"",INDEX(Config!$D$13:$D$15,$AK59)*$AL59+INDEX(Config!$E$13:$E$15,$AK59)*$AM59)</f>
        <v/>
      </c>
      <c r="U59" s="43" t="str">
        <f aca="false">IF(OR($D59="",$N59=""),"",INDEX(Config!$F$13:$F$15,$AK59)*($K59+$O59))</f>
        <v/>
      </c>
      <c r="V59" s="43" t="str">
        <f aca="false">IF(OR($D59="",$N59=""),"",INDEX(Config!$G$13:$G$15,$AK59)*($K59+$O59)+INDEX(Config!$H$13:$H$15,$AK59)*$AL59+INDEX(Config!$J$13:$J$15,$AK59))</f>
        <v/>
      </c>
      <c r="W59" s="43" t="str">
        <f aca="false">IF(OR($D59="",$N59=""),"",INDEX(Config!$I$13:$I$15,$AK59)*($S59+$U59+INDEX(Config!$G$13:$G$15,$AK59)*($K59+$O59)))</f>
        <v/>
      </c>
      <c r="X59" s="43" t="str">
        <f aca="false">IF(OR($D59="",$N59=""),"",INDEX(Config!$K$13:$K$15,$AK59)/365*$P59*$K59*Config!$B$8)</f>
        <v/>
      </c>
      <c r="Y59" s="43" t="str">
        <f aca="false">IF(OR($D59="",$N59=""),"",SUM($S59:$X59))</f>
        <v/>
      </c>
      <c r="Z59" s="40" t="str">
        <f aca="false">IF(OR($D59="",$Q59=""),"",$Q59-$Y59)</f>
        <v/>
      </c>
      <c r="AA59" s="42" t="str">
        <f aca="false">IF(OR($D59="",$Z59="",$K59=0),"",$Z59/$K59)</f>
        <v/>
      </c>
      <c r="AB59" s="44" t="str">
        <f aca="false">IF(OR($D59="",$Y59="",$K59=0),"",$Y59/$K59*10000)</f>
        <v/>
      </c>
      <c r="AC59" s="44" t="str">
        <f aca="false">IF(OR($D59="",$G59="",$G59=0,$I59=""),"",IF($E59="LONG",($I59-$G59)/$G59,($G59-$I59)/$G59)*10000)</f>
        <v/>
      </c>
      <c r="AD59" s="45"/>
      <c r="AE59" s="40" t="str">
        <f aca="false">IF(OR($D59="",$N59&lt;&gt;"",$AD59=""),"",IF($E59="LONG",($AD59-$I59)*$J59,($I59-$AD59)*$J59))</f>
        <v/>
      </c>
      <c r="AF59" s="40" t="str">
        <f aca="false">IF(OR($D59="",$E59&lt;&gt;"LONG",$Z59=""),"",$Z59+SUMIFS($Z$4:$Z$503,$B$4:$B$503,$B59,$E$4:$E$503,"SHORT"))</f>
        <v/>
      </c>
      <c r="AG59" s="42" t="str">
        <f aca="false">IF(OR($AF59="",$K59=0),"",$AF59/$K59)</f>
        <v/>
      </c>
      <c r="AH59" s="46"/>
      <c r="AI59" s="43" t="str">
        <f aca="false">IF(OR($D59="",$AH59="",$Z59=""),"",$Z59-$AH59)</f>
        <v/>
      </c>
      <c r="AJ59" s="49"/>
      <c r="AK59" s="47" t="str">
        <f aca="false">IF($D59="","",IFERROR(MATCH($F59,Config!$A$13:$A$15,0),1))</f>
        <v/>
      </c>
      <c r="AL59" s="47" t="str">
        <f aca="false">IF(OR($D59="",$N59=""),"",IF($E59="LONG",$K59,$O59))</f>
        <v/>
      </c>
      <c r="AM59" s="47" t="str">
        <f aca="false">IF(OR($D59="",$N59=""),"",IF($E59="LONG",$O59,$K59))</f>
        <v/>
      </c>
    </row>
    <row r="60" customFormat="false" ht="15" hidden="false" customHeight="false" outlineLevel="0" collapsed="false">
      <c r="A60" s="49"/>
      <c r="B60" s="5" t="str">
        <f aca="false">IF($D60="","",IF(OR(RIGHT($A60,2)="-L",RIGHT($A60,2)="-S"),LEFT($A60,LEN($A60)-2),$A60))</f>
        <v/>
      </c>
      <c r="C60" s="50"/>
      <c r="D60" s="49"/>
      <c r="E60" s="49"/>
      <c r="F60" s="49"/>
      <c r="G60" s="45"/>
      <c r="H60" s="50"/>
      <c r="I60" s="45"/>
      <c r="J60" s="51"/>
      <c r="K60" s="40" t="str">
        <f aca="false">IF($D60="","",$I60*$J60)</f>
        <v/>
      </c>
      <c r="L60" s="50"/>
      <c r="M60" s="49"/>
      <c r="N60" s="45"/>
      <c r="O60" s="40" t="str">
        <f aca="false">IF(OR($D60="",$N60=""),"",$N60*$J60)</f>
        <v/>
      </c>
      <c r="P60" s="41" t="str">
        <f aca="false">IF(OR($D60="",$L60=""),"",MAX($L60-$H60,0))</f>
        <v/>
      </c>
      <c r="Q60" s="40" t="str">
        <f aca="false">IF(OR($D60="",$N60=""),"",IF($E60="LONG",($N60-$I60)*$J60,($I60-$N60)*$J60))</f>
        <v/>
      </c>
      <c r="R60" s="42" t="str">
        <f aca="false">IF(OR($D60="",$Q60="",$K60=0),"",$Q60/$K60)</f>
        <v/>
      </c>
      <c r="S60" s="43" t="str">
        <f aca="false">IF(OR($D60="",$N60=""),"",MIN(INDEX(Config!$C$13:$C$15,$AK60),INDEX(Config!$B$13:$B$15,$AK60)*$K60)+MIN(INDEX(Config!$C$13:$C$15,$AK60),INDEX(Config!$B$13:$B$15,$AK60)*$O60))</f>
        <v/>
      </c>
      <c r="T60" s="43" t="str">
        <f aca="false">IF(OR($D60="",$N60=""),"",INDEX(Config!$D$13:$D$15,$AK60)*$AL60+INDEX(Config!$E$13:$E$15,$AK60)*$AM60)</f>
        <v/>
      </c>
      <c r="U60" s="43" t="str">
        <f aca="false">IF(OR($D60="",$N60=""),"",INDEX(Config!$F$13:$F$15,$AK60)*($K60+$O60))</f>
        <v/>
      </c>
      <c r="V60" s="43" t="str">
        <f aca="false">IF(OR($D60="",$N60=""),"",INDEX(Config!$G$13:$G$15,$AK60)*($K60+$O60)+INDEX(Config!$H$13:$H$15,$AK60)*$AL60+INDEX(Config!$J$13:$J$15,$AK60))</f>
        <v/>
      </c>
      <c r="W60" s="43" t="str">
        <f aca="false">IF(OR($D60="",$N60=""),"",INDEX(Config!$I$13:$I$15,$AK60)*($S60+$U60+INDEX(Config!$G$13:$G$15,$AK60)*($K60+$O60)))</f>
        <v/>
      </c>
      <c r="X60" s="43" t="str">
        <f aca="false">IF(OR($D60="",$N60=""),"",INDEX(Config!$K$13:$K$15,$AK60)/365*$P60*$K60*Config!$B$8)</f>
        <v/>
      </c>
      <c r="Y60" s="43" t="str">
        <f aca="false">IF(OR($D60="",$N60=""),"",SUM($S60:$X60))</f>
        <v/>
      </c>
      <c r="Z60" s="40" t="str">
        <f aca="false">IF(OR($D60="",$Q60=""),"",$Q60-$Y60)</f>
        <v/>
      </c>
      <c r="AA60" s="42" t="str">
        <f aca="false">IF(OR($D60="",$Z60="",$K60=0),"",$Z60/$K60)</f>
        <v/>
      </c>
      <c r="AB60" s="44" t="str">
        <f aca="false">IF(OR($D60="",$Y60="",$K60=0),"",$Y60/$K60*10000)</f>
        <v/>
      </c>
      <c r="AC60" s="44" t="str">
        <f aca="false">IF(OR($D60="",$G60="",$G60=0,$I60=""),"",IF($E60="LONG",($I60-$G60)/$G60,($G60-$I60)/$G60)*10000)</f>
        <v/>
      </c>
      <c r="AD60" s="45"/>
      <c r="AE60" s="40" t="str">
        <f aca="false">IF(OR($D60="",$N60&lt;&gt;"",$AD60=""),"",IF($E60="LONG",($AD60-$I60)*$J60,($I60-$AD60)*$J60))</f>
        <v/>
      </c>
      <c r="AF60" s="40" t="str">
        <f aca="false">IF(OR($D60="",$E60&lt;&gt;"LONG",$Z60=""),"",$Z60+SUMIFS($Z$4:$Z$503,$B$4:$B$503,$B60,$E$4:$E$503,"SHORT"))</f>
        <v/>
      </c>
      <c r="AG60" s="42" t="str">
        <f aca="false">IF(OR($AF60="",$K60=0),"",$AF60/$K60)</f>
        <v/>
      </c>
      <c r="AH60" s="46"/>
      <c r="AI60" s="43" t="str">
        <f aca="false">IF(OR($D60="",$AH60="",$Z60=""),"",$Z60-$AH60)</f>
        <v/>
      </c>
      <c r="AJ60" s="49"/>
      <c r="AK60" s="47" t="str">
        <f aca="false">IF($D60="","",IFERROR(MATCH($F60,Config!$A$13:$A$15,0),1))</f>
        <v/>
      </c>
      <c r="AL60" s="47" t="str">
        <f aca="false">IF(OR($D60="",$N60=""),"",IF($E60="LONG",$K60,$O60))</f>
        <v/>
      </c>
      <c r="AM60" s="47" t="str">
        <f aca="false">IF(OR($D60="",$N60=""),"",IF($E60="LONG",$O60,$K60))</f>
        <v/>
      </c>
    </row>
    <row r="61" customFormat="false" ht="15" hidden="false" customHeight="false" outlineLevel="0" collapsed="false">
      <c r="A61" s="49"/>
      <c r="B61" s="5" t="str">
        <f aca="false">IF($D61="","",IF(OR(RIGHT($A61,2)="-L",RIGHT($A61,2)="-S"),LEFT($A61,LEN($A61)-2),$A61))</f>
        <v/>
      </c>
      <c r="C61" s="50"/>
      <c r="D61" s="49"/>
      <c r="E61" s="49"/>
      <c r="F61" s="49"/>
      <c r="G61" s="45"/>
      <c r="H61" s="50"/>
      <c r="I61" s="45"/>
      <c r="J61" s="51"/>
      <c r="K61" s="40" t="str">
        <f aca="false">IF($D61="","",$I61*$J61)</f>
        <v/>
      </c>
      <c r="L61" s="50"/>
      <c r="M61" s="49"/>
      <c r="N61" s="45"/>
      <c r="O61" s="40" t="str">
        <f aca="false">IF(OR($D61="",$N61=""),"",$N61*$J61)</f>
        <v/>
      </c>
      <c r="P61" s="41" t="str">
        <f aca="false">IF(OR($D61="",$L61=""),"",MAX($L61-$H61,0))</f>
        <v/>
      </c>
      <c r="Q61" s="40" t="str">
        <f aca="false">IF(OR($D61="",$N61=""),"",IF($E61="LONG",($N61-$I61)*$J61,($I61-$N61)*$J61))</f>
        <v/>
      </c>
      <c r="R61" s="42" t="str">
        <f aca="false">IF(OR($D61="",$Q61="",$K61=0),"",$Q61/$K61)</f>
        <v/>
      </c>
      <c r="S61" s="43" t="str">
        <f aca="false">IF(OR($D61="",$N61=""),"",MIN(INDEX(Config!$C$13:$C$15,$AK61),INDEX(Config!$B$13:$B$15,$AK61)*$K61)+MIN(INDEX(Config!$C$13:$C$15,$AK61),INDEX(Config!$B$13:$B$15,$AK61)*$O61))</f>
        <v/>
      </c>
      <c r="T61" s="43" t="str">
        <f aca="false">IF(OR($D61="",$N61=""),"",INDEX(Config!$D$13:$D$15,$AK61)*$AL61+INDEX(Config!$E$13:$E$15,$AK61)*$AM61)</f>
        <v/>
      </c>
      <c r="U61" s="43" t="str">
        <f aca="false">IF(OR($D61="",$N61=""),"",INDEX(Config!$F$13:$F$15,$AK61)*($K61+$O61))</f>
        <v/>
      </c>
      <c r="V61" s="43" t="str">
        <f aca="false">IF(OR($D61="",$N61=""),"",INDEX(Config!$G$13:$G$15,$AK61)*($K61+$O61)+INDEX(Config!$H$13:$H$15,$AK61)*$AL61+INDEX(Config!$J$13:$J$15,$AK61))</f>
        <v/>
      </c>
      <c r="W61" s="43" t="str">
        <f aca="false">IF(OR($D61="",$N61=""),"",INDEX(Config!$I$13:$I$15,$AK61)*($S61+$U61+INDEX(Config!$G$13:$G$15,$AK61)*($K61+$O61)))</f>
        <v/>
      </c>
      <c r="X61" s="43" t="str">
        <f aca="false">IF(OR($D61="",$N61=""),"",INDEX(Config!$K$13:$K$15,$AK61)/365*$P61*$K61*Config!$B$8)</f>
        <v/>
      </c>
      <c r="Y61" s="43" t="str">
        <f aca="false">IF(OR($D61="",$N61=""),"",SUM($S61:$X61))</f>
        <v/>
      </c>
      <c r="Z61" s="40" t="str">
        <f aca="false">IF(OR($D61="",$Q61=""),"",$Q61-$Y61)</f>
        <v/>
      </c>
      <c r="AA61" s="42" t="str">
        <f aca="false">IF(OR($D61="",$Z61="",$K61=0),"",$Z61/$K61)</f>
        <v/>
      </c>
      <c r="AB61" s="44" t="str">
        <f aca="false">IF(OR($D61="",$Y61="",$K61=0),"",$Y61/$K61*10000)</f>
        <v/>
      </c>
      <c r="AC61" s="44" t="str">
        <f aca="false">IF(OR($D61="",$G61="",$G61=0,$I61=""),"",IF($E61="LONG",($I61-$G61)/$G61,($G61-$I61)/$G61)*10000)</f>
        <v/>
      </c>
      <c r="AD61" s="45"/>
      <c r="AE61" s="40" t="str">
        <f aca="false">IF(OR($D61="",$N61&lt;&gt;"",$AD61=""),"",IF($E61="LONG",($AD61-$I61)*$J61,($I61-$AD61)*$J61))</f>
        <v/>
      </c>
      <c r="AF61" s="40" t="str">
        <f aca="false">IF(OR($D61="",$E61&lt;&gt;"LONG",$Z61=""),"",$Z61+SUMIFS($Z$4:$Z$503,$B$4:$B$503,$B61,$E$4:$E$503,"SHORT"))</f>
        <v/>
      </c>
      <c r="AG61" s="42" t="str">
        <f aca="false">IF(OR($AF61="",$K61=0),"",$AF61/$K61)</f>
        <v/>
      </c>
      <c r="AH61" s="46"/>
      <c r="AI61" s="43" t="str">
        <f aca="false">IF(OR($D61="",$AH61="",$Z61=""),"",$Z61-$AH61)</f>
        <v/>
      </c>
      <c r="AJ61" s="49"/>
      <c r="AK61" s="47" t="str">
        <f aca="false">IF($D61="","",IFERROR(MATCH($F61,Config!$A$13:$A$15,0),1))</f>
        <v/>
      </c>
      <c r="AL61" s="47" t="str">
        <f aca="false">IF(OR($D61="",$N61=""),"",IF($E61="LONG",$K61,$O61))</f>
        <v/>
      </c>
      <c r="AM61" s="47" t="str">
        <f aca="false">IF(OR($D61="",$N61=""),"",IF($E61="LONG",$O61,$K61))</f>
        <v/>
      </c>
    </row>
    <row r="62" customFormat="false" ht="15" hidden="false" customHeight="false" outlineLevel="0" collapsed="false">
      <c r="A62" s="49"/>
      <c r="B62" s="5" t="str">
        <f aca="false">IF($D62="","",IF(OR(RIGHT($A62,2)="-L",RIGHT($A62,2)="-S"),LEFT($A62,LEN($A62)-2),$A62))</f>
        <v/>
      </c>
      <c r="C62" s="50"/>
      <c r="D62" s="49"/>
      <c r="E62" s="49"/>
      <c r="F62" s="49"/>
      <c r="G62" s="45"/>
      <c r="H62" s="50"/>
      <c r="I62" s="45"/>
      <c r="J62" s="51"/>
      <c r="K62" s="40" t="str">
        <f aca="false">IF($D62="","",$I62*$J62)</f>
        <v/>
      </c>
      <c r="L62" s="50"/>
      <c r="M62" s="49"/>
      <c r="N62" s="45"/>
      <c r="O62" s="40" t="str">
        <f aca="false">IF(OR($D62="",$N62=""),"",$N62*$J62)</f>
        <v/>
      </c>
      <c r="P62" s="41" t="str">
        <f aca="false">IF(OR($D62="",$L62=""),"",MAX($L62-$H62,0))</f>
        <v/>
      </c>
      <c r="Q62" s="40" t="str">
        <f aca="false">IF(OR($D62="",$N62=""),"",IF($E62="LONG",($N62-$I62)*$J62,($I62-$N62)*$J62))</f>
        <v/>
      </c>
      <c r="R62" s="42" t="str">
        <f aca="false">IF(OR($D62="",$Q62="",$K62=0),"",$Q62/$K62)</f>
        <v/>
      </c>
      <c r="S62" s="43" t="str">
        <f aca="false">IF(OR($D62="",$N62=""),"",MIN(INDEX(Config!$C$13:$C$15,$AK62),INDEX(Config!$B$13:$B$15,$AK62)*$K62)+MIN(INDEX(Config!$C$13:$C$15,$AK62),INDEX(Config!$B$13:$B$15,$AK62)*$O62))</f>
        <v/>
      </c>
      <c r="T62" s="43" t="str">
        <f aca="false">IF(OR($D62="",$N62=""),"",INDEX(Config!$D$13:$D$15,$AK62)*$AL62+INDEX(Config!$E$13:$E$15,$AK62)*$AM62)</f>
        <v/>
      </c>
      <c r="U62" s="43" t="str">
        <f aca="false">IF(OR($D62="",$N62=""),"",INDEX(Config!$F$13:$F$15,$AK62)*($K62+$O62))</f>
        <v/>
      </c>
      <c r="V62" s="43" t="str">
        <f aca="false">IF(OR($D62="",$N62=""),"",INDEX(Config!$G$13:$G$15,$AK62)*($K62+$O62)+INDEX(Config!$H$13:$H$15,$AK62)*$AL62+INDEX(Config!$J$13:$J$15,$AK62))</f>
        <v/>
      </c>
      <c r="W62" s="43" t="str">
        <f aca="false">IF(OR($D62="",$N62=""),"",INDEX(Config!$I$13:$I$15,$AK62)*($S62+$U62+INDEX(Config!$G$13:$G$15,$AK62)*($K62+$O62)))</f>
        <v/>
      </c>
      <c r="X62" s="43" t="str">
        <f aca="false">IF(OR($D62="",$N62=""),"",INDEX(Config!$K$13:$K$15,$AK62)/365*$P62*$K62*Config!$B$8)</f>
        <v/>
      </c>
      <c r="Y62" s="43" t="str">
        <f aca="false">IF(OR($D62="",$N62=""),"",SUM($S62:$X62))</f>
        <v/>
      </c>
      <c r="Z62" s="40" t="str">
        <f aca="false">IF(OR($D62="",$Q62=""),"",$Q62-$Y62)</f>
        <v/>
      </c>
      <c r="AA62" s="42" t="str">
        <f aca="false">IF(OR($D62="",$Z62="",$K62=0),"",$Z62/$K62)</f>
        <v/>
      </c>
      <c r="AB62" s="44" t="str">
        <f aca="false">IF(OR($D62="",$Y62="",$K62=0),"",$Y62/$K62*10000)</f>
        <v/>
      </c>
      <c r="AC62" s="44" t="str">
        <f aca="false">IF(OR($D62="",$G62="",$G62=0,$I62=""),"",IF($E62="LONG",($I62-$G62)/$G62,($G62-$I62)/$G62)*10000)</f>
        <v/>
      </c>
      <c r="AD62" s="45"/>
      <c r="AE62" s="40" t="str">
        <f aca="false">IF(OR($D62="",$N62&lt;&gt;"",$AD62=""),"",IF($E62="LONG",($AD62-$I62)*$J62,($I62-$AD62)*$J62))</f>
        <v/>
      </c>
      <c r="AF62" s="40" t="str">
        <f aca="false">IF(OR($D62="",$E62&lt;&gt;"LONG",$Z62=""),"",$Z62+SUMIFS($Z$4:$Z$503,$B$4:$B$503,$B62,$E$4:$E$503,"SHORT"))</f>
        <v/>
      </c>
      <c r="AG62" s="42" t="str">
        <f aca="false">IF(OR($AF62="",$K62=0),"",$AF62/$K62)</f>
        <v/>
      </c>
      <c r="AH62" s="46"/>
      <c r="AI62" s="43" t="str">
        <f aca="false">IF(OR($D62="",$AH62="",$Z62=""),"",$Z62-$AH62)</f>
        <v/>
      </c>
      <c r="AJ62" s="49"/>
      <c r="AK62" s="47" t="str">
        <f aca="false">IF($D62="","",IFERROR(MATCH($F62,Config!$A$13:$A$15,0),1))</f>
        <v/>
      </c>
      <c r="AL62" s="47" t="str">
        <f aca="false">IF(OR($D62="",$N62=""),"",IF($E62="LONG",$K62,$O62))</f>
        <v/>
      </c>
      <c r="AM62" s="47" t="str">
        <f aca="false">IF(OR($D62="",$N62=""),"",IF($E62="LONG",$O62,$K62))</f>
        <v/>
      </c>
    </row>
    <row r="63" customFormat="false" ht="15" hidden="false" customHeight="false" outlineLevel="0" collapsed="false">
      <c r="A63" s="49"/>
      <c r="B63" s="5" t="str">
        <f aca="false">IF($D63="","",IF(OR(RIGHT($A63,2)="-L",RIGHT($A63,2)="-S"),LEFT($A63,LEN($A63)-2),$A63))</f>
        <v/>
      </c>
      <c r="C63" s="50"/>
      <c r="D63" s="49"/>
      <c r="E63" s="49"/>
      <c r="F63" s="49"/>
      <c r="G63" s="45"/>
      <c r="H63" s="50"/>
      <c r="I63" s="45"/>
      <c r="J63" s="51"/>
      <c r="K63" s="40" t="str">
        <f aca="false">IF($D63="","",$I63*$J63)</f>
        <v/>
      </c>
      <c r="L63" s="50"/>
      <c r="M63" s="49"/>
      <c r="N63" s="45"/>
      <c r="O63" s="40" t="str">
        <f aca="false">IF(OR($D63="",$N63=""),"",$N63*$J63)</f>
        <v/>
      </c>
      <c r="P63" s="41" t="str">
        <f aca="false">IF(OR($D63="",$L63=""),"",MAX($L63-$H63,0))</f>
        <v/>
      </c>
      <c r="Q63" s="40" t="str">
        <f aca="false">IF(OR($D63="",$N63=""),"",IF($E63="LONG",($N63-$I63)*$J63,($I63-$N63)*$J63))</f>
        <v/>
      </c>
      <c r="R63" s="42" t="str">
        <f aca="false">IF(OR($D63="",$Q63="",$K63=0),"",$Q63/$K63)</f>
        <v/>
      </c>
      <c r="S63" s="43" t="str">
        <f aca="false">IF(OR($D63="",$N63=""),"",MIN(INDEX(Config!$C$13:$C$15,$AK63),INDEX(Config!$B$13:$B$15,$AK63)*$K63)+MIN(INDEX(Config!$C$13:$C$15,$AK63),INDEX(Config!$B$13:$B$15,$AK63)*$O63))</f>
        <v/>
      </c>
      <c r="T63" s="43" t="str">
        <f aca="false">IF(OR($D63="",$N63=""),"",INDEX(Config!$D$13:$D$15,$AK63)*$AL63+INDEX(Config!$E$13:$E$15,$AK63)*$AM63)</f>
        <v/>
      </c>
      <c r="U63" s="43" t="str">
        <f aca="false">IF(OR($D63="",$N63=""),"",INDEX(Config!$F$13:$F$15,$AK63)*($K63+$O63))</f>
        <v/>
      </c>
      <c r="V63" s="43" t="str">
        <f aca="false">IF(OR($D63="",$N63=""),"",INDEX(Config!$G$13:$G$15,$AK63)*($K63+$O63)+INDEX(Config!$H$13:$H$15,$AK63)*$AL63+INDEX(Config!$J$13:$J$15,$AK63))</f>
        <v/>
      </c>
      <c r="W63" s="43" t="str">
        <f aca="false">IF(OR($D63="",$N63=""),"",INDEX(Config!$I$13:$I$15,$AK63)*($S63+$U63+INDEX(Config!$G$13:$G$15,$AK63)*($K63+$O63)))</f>
        <v/>
      </c>
      <c r="X63" s="43" t="str">
        <f aca="false">IF(OR($D63="",$N63=""),"",INDEX(Config!$K$13:$K$15,$AK63)/365*$P63*$K63*Config!$B$8)</f>
        <v/>
      </c>
      <c r="Y63" s="43" t="str">
        <f aca="false">IF(OR($D63="",$N63=""),"",SUM($S63:$X63))</f>
        <v/>
      </c>
      <c r="Z63" s="40" t="str">
        <f aca="false">IF(OR($D63="",$Q63=""),"",$Q63-$Y63)</f>
        <v/>
      </c>
      <c r="AA63" s="42" t="str">
        <f aca="false">IF(OR($D63="",$Z63="",$K63=0),"",$Z63/$K63)</f>
        <v/>
      </c>
      <c r="AB63" s="44" t="str">
        <f aca="false">IF(OR($D63="",$Y63="",$K63=0),"",$Y63/$K63*10000)</f>
        <v/>
      </c>
      <c r="AC63" s="44" t="str">
        <f aca="false">IF(OR($D63="",$G63="",$G63=0,$I63=""),"",IF($E63="LONG",($I63-$G63)/$G63,($G63-$I63)/$G63)*10000)</f>
        <v/>
      </c>
      <c r="AD63" s="45"/>
      <c r="AE63" s="40" t="str">
        <f aca="false">IF(OR($D63="",$N63&lt;&gt;"",$AD63=""),"",IF($E63="LONG",($AD63-$I63)*$J63,($I63-$AD63)*$J63))</f>
        <v/>
      </c>
      <c r="AF63" s="40" t="str">
        <f aca="false">IF(OR($D63="",$E63&lt;&gt;"LONG",$Z63=""),"",$Z63+SUMIFS($Z$4:$Z$503,$B$4:$B$503,$B63,$E$4:$E$503,"SHORT"))</f>
        <v/>
      </c>
      <c r="AG63" s="42" t="str">
        <f aca="false">IF(OR($AF63="",$K63=0),"",$AF63/$K63)</f>
        <v/>
      </c>
      <c r="AH63" s="46"/>
      <c r="AI63" s="43" t="str">
        <f aca="false">IF(OR($D63="",$AH63="",$Z63=""),"",$Z63-$AH63)</f>
        <v/>
      </c>
      <c r="AJ63" s="49"/>
      <c r="AK63" s="47" t="str">
        <f aca="false">IF($D63="","",IFERROR(MATCH($F63,Config!$A$13:$A$15,0),1))</f>
        <v/>
      </c>
      <c r="AL63" s="47" t="str">
        <f aca="false">IF(OR($D63="",$N63=""),"",IF($E63="LONG",$K63,$O63))</f>
        <v/>
      </c>
      <c r="AM63" s="47" t="str">
        <f aca="false">IF(OR($D63="",$N63=""),"",IF($E63="LONG",$O63,$K63))</f>
        <v/>
      </c>
    </row>
    <row r="64" customFormat="false" ht="15" hidden="false" customHeight="false" outlineLevel="0" collapsed="false">
      <c r="A64" s="49"/>
      <c r="B64" s="5" t="str">
        <f aca="false">IF($D64="","",IF(OR(RIGHT($A64,2)="-L",RIGHT($A64,2)="-S"),LEFT($A64,LEN($A64)-2),$A64))</f>
        <v/>
      </c>
      <c r="C64" s="50"/>
      <c r="D64" s="49"/>
      <c r="E64" s="49"/>
      <c r="F64" s="49"/>
      <c r="G64" s="45"/>
      <c r="H64" s="50"/>
      <c r="I64" s="45"/>
      <c r="J64" s="51"/>
      <c r="K64" s="40" t="str">
        <f aca="false">IF($D64="","",$I64*$J64)</f>
        <v/>
      </c>
      <c r="L64" s="50"/>
      <c r="M64" s="49"/>
      <c r="N64" s="45"/>
      <c r="O64" s="40" t="str">
        <f aca="false">IF(OR($D64="",$N64=""),"",$N64*$J64)</f>
        <v/>
      </c>
      <c r="P64" s="41" t="str">
        <f aca="false">IF(OR($D64="",$L64=""),"",MAX($L64-$H64,0))</f>
        <v/>
      </c>
      <c r="Q64" s="40" t="str">
        <f aca="false">IF(OR($D64="",$N64=""),"",IF($E64="LONG",($N64-$I64)*$J64,($I64-$N64)*$J64))</f>
        <v/>
      </c>
      <c r="R64" s="42" t="str">
        <f aca="false">IF(OR($D64="",$Q64="",$K64=0),"",$Q64/$K64)</f>
        <v/>
      </c>
      <c r="S64" s="43" t="str">
        <f aca="false">IF(OR($D64="",$N64=""),"",MIN(INDEX(Config!$C$13:$C$15,$AK64),INDEX(Config!$B$13:$B$15,$AK64)*$K64)+MIN(INDEX(Config!$C$13:$C$15,$AK64),INDEX(Config!$B$13:$B$15,$AK64)*$O64))</f>
        <v/>
      </c>
      <c r="T64" s="43" t="str">
        <f aca="false">IF(OR($D64="",$N64=""),"",INDEX(Config!$D$13:$D$15,$AK64)*$AL64+INDEX(Config!$E$13:$E$15,$AK64)*$AM64)</f>
        <v/>
      </c>
      <c r="U64" s="43" t="str">
        <f aca="false">IF(OR($D64="",$N64=""),"",INDEX(Config!$F$13:$F$15,$AK64)*($K64+$O64))</f>
        <v/>
      </c>
      <c r="V64" s="43" t="str">
        <f aca="false">IF(OR($D64="",$N64=""),"",INDEX(Config!$G$13:$G$15,$AK64)*($K64+$O64)+INDEX(Config!$H$13:$H$15,$AK64)*$AL64+INDEX(Config!$J$13:$J$15,$AK64))</f>
        <v/>
      </c>
      <c r="W64" s="43" t="str">
        <f aca="false">IF(OR($D64="",$N64=""),"",INDEX(Config!$I$13:$I$15,$AK64)*($S64+$U64+INDEX(Config!$G$13:$G$15,$AK64)*($K64+$O64)))</f>
        <v/>
      </c>
      <c r="X64" s="43" t="str">
        <f aca="false">IF(OR($D64="",$N64=""),"",INDEX(Config!$K$13:$K$15,$AK64)/365*$P64*$K64*Config!$B$8)</f>
        <v/>
      </c>
      <c r="Y64" s="43" t="str">
        <f aca="false">IF(OR($D64="",$N64=""),"",SUM($S64:$X64))</f>
        <v/>
      </c>
      <c r="Z64" s="40" t="str">
        <f aca="false">IF(OR($D64="",$Q64=""),"",$Q64-$Y64)</f>
        <v/>
      </c>
      <c r="AA64" s="42" t="str">
        <f aca="false">IF(OR($D64="",$Z64="",$K64=0),"",$Z64/$K64)</f>
        <v/>
      </c>
      <c r="AB64" s="44" t="str">
        <f aca="false">IF(OR($D64="",$Y64="",$K64=0),"",$Y64/$K64*10000)</f>
        <v/>
      </c>
      <c r="AC64" s="44" t="str">
        <f aca="false">IF(OR($D64="",$G64="",$G64=0,$I64=""),"",IF($E64="LONG",($I64-$G64)/$G64,($G64-$I64)/$G64)*10000)</f>
        <v/>
      </c>
      <c r="AD64" s="45"/>
      <c r="AE64" s="40" t="str">
        <f aca="false">IF(OR($D64="",$N64&lt;&gt;"",$AD64=""),"",IF($E64="LONG",($AD64-$I64)*$J64,($I64-$AD64)*$J64))</f>
        <v/>
      </c>
      <c r="AF64" s="40" t="str">
        <f aca="false">IF(OR($D64="",$E64&lt;&gt;"LONG",$Z64=""),"",$Z64+SUMIFS($Z$4:$Z$503,$B$4:$B$503,$B64,$E$4:$E$503,"SHORT"))</f>
        <v/>
      </c>
      <c r="AG64" s="42" t="str">
        <f aca="false">IF(OR($AF64="",$K64=0),"",$AF64/$K64)</f>
        <v/>
      </c>
      <c r="AH64" s="46"/>
      <c r="AI64" s="43" t="str">
        <f aca="false">IF(OR($D64="",$AH64="",$Z64=""),"",$Z64-$AH64)</f>
        <v/>
      </c>
      <c r="AJ64" s="49"/>
      <c r="AK64" s="47" t="str">
        <f aca="false">IF($D64="","",IFERROR(MATCH($F64,Config!$A$13:$A$15,0),1))</f>
        <v/>
      </c>
      <c r="AL64" s="47" t="str">
        <f aca="false">IF(OR($D64="",$N64=""),"",IF($E64="LONG",$K64,$O64))</f>
        <v/>
      </c>
      <c r="AM64" s="47" t="str">
        <f aca="false">IF(OR($D64="",$N64=""),"",IF($E64="LONG",$O64,$K64))</f>
        <v/>
      </c>
    </row>
    <row r="65" customFormat="false" ht="15" hidden="false" customHeight="false" outlineLevel="0" collapsed="false">
      <c r="A65" s="49"/>
      <c r="B65" s="5" t="str">
        <f aca="false">IF($D65="","",IF(OR(RIGHT($A65,2)="-L",RIGHT($A65,2)="-S"),LEFT($A65,LEN($A65)-2),$A65))</f>
        <v/>
      </c>
      <c r="C65" s="50"/>
      <c r="D65" s="49"/>
      <c r="E65" s="49"/>
      <c r="F65" s="49"/>
      <c r="G65" s="45"/>
      <c r="H65" s="50"/>
      <c r="I65" s="45"/>
      <c r="J65" s="51"/>
      <c r="K65" s="40" t="str">
        <f aca="false">IF($D65="","",$I65*$J65)</f>
        <v/>
      </c>
      <c r="L65" s="50"/>
      <c r="M65" s="49"/>
      <c r="N65" s="45"/>
      <c r="O65" s="40" t="str">
        <f aca="false">IF(OR($D65="",$N65=""),"",$N65*$J65)</f>
        <v/>
      </c>
      <c r="P65" s="41" t="str">
        <f aca="false">IF(OR($D65="",$L65=""),"",MAX($L65-$H65,0))</f>
        <v/>
      </c>
      <c r="Q65" s="40" t="str">
        <f aca="false">IF(OR($D65="",$N65=""),"",IF($E65="LONG",($N65-$I65)*$J65,($I65-$N65)*$J65))</f>
        <v/>
      </c>
      <c r="R65" s="42" t="str">
        <f aca="false">IF(OR($D65="",$Q65="",$K65=0),"",$Q65/$K65)</f>
        <v/>
      </c>
      <c r="S65" s="43" t="str">
        <f aca="false">IF(OR($D65="",$N65=""),"",MIN(INDEX(Config!$C$13:$C$15,$AK65),INDEX(Config!$B$13:$B$15,$AK65)*$K65)+MIN(INDEX(Config!$C$13:$C$15,$AK65),INDEX(Config!$B$13:$B$15,$AK65)*$O65))</f>
        <v/>
      </c>
      <c r="T65" s="43" t="str">
        <f aca="false">IF(OR($D65="",$N65=""),"",INDEX(Config!$D$13:$D$15,$AK65)*$AL65+INDEX(Config!$E$13:$E$15,$AK65)*$AM65)</f>
        <v/>
      </c>
      <c r="U65" s="43" t="str">
        <f aca="false">IF(OR($D65="",$N65=""),"",INDEX(Config!$F$13:$F$15,$AK65)*($K65+$O65))</f>
        <v/>
      </c>
      <c r="V65" s="43" t="str">
        <f aca="false">IF(OR($D65="",$N65=""),"",INDEX(Config!$G$13:$G$15,$AK65)*($K65+$O65)+INDEX(Config!$H$13:$H$15,$AK65)*$AL65+INDEX(Config!$J$13:$J$15,$AK65))</f>
        <v/>
      </c>
      <c r="W65" s="43" t="str">
        <f aca="false">IF(OR($D65="",$N65=""),"",INDEX(Config!$I$13:$I$15,$AK65)*($S65+$U65+INDEX(Config!$G$13:$G$15,$AK65)*($K65+$O65)))</f>
        <v/>
      </c>
      <c r="X65" s="43" t="str">
        <f aca="false">IF(OR($D65="",$N65=""),"",INDEX(Config!$K$13:$K$15,$AK65)/365*$P65*$K65*Config!$B$8)</f>
        <v/>
      </c>
      <c r="Y65" s="43" t="str">
        <f aca="false">IF(OR($D65="",$N65=""),"",SUM($S65:$X65))</f>
        <v/>
      </c>
      <c r="Z65" s="40" t="str">
        <f aca="false">IF(OR($D65="",$Q65=""),"",$Q65-$Y65)</f>
        <v/>
      </c>
      <c r="AA65" s="42" t="str">
        <f aca="false">IF(OR($D65="",$Z65="",$K65=0),"",$Z65/$K65)</f>
        <v/>
      </c>
      <c r="AB65" s="44" t="str">
        <f aca="false">IF(OR($D65="",$Y65="",$K65=0),"",$Y65/$K65*10000)</f>
        <v/>
      </c>
      <c r="AC65" s="44" t="str">
        <f aca="false">IF(OR($D65="",$G65="",$G65=0,$I65=""),"",IF($E65="LONG",($I65-$G65)/$G65,($G65-$I65)/$G65)*10000)</f>
        <v/>
      </c>
      <c r="AD65" s="45"/>
      <c r="AE65" s="40" t="str">
        <f aca="false">IF(OR($D65="",$N65&lt;&gt;"",$AD65=""),"",IF($E65="LONG",($AD65-$I65)*$J65,($I65-$AD65)*$J65))</f>
        <v/>
      </c>
      <c r="AF65" s="40" t="str">
        <f aca="false">IF(OR($D65="",$E65&lt;&gt;"LONG",$Z65=""),"",$Z65+SUMIFS($Z$4:$Z$503,$B$4:$B$503,$B65,$E$4:$E$503,"SHORT"))</f>
        <v/>
      </c>
      <c r="AG65" s="42" t="str">
        <f aca="false">IF(OR($AF65="",$K65=0),"",$AF65/$K65)</f>
        <v/>
      </c>
      <c r="AH65" s="46"/>
      <c r="AI65" s="43" t="str">
        <f aca="false">IF(OR($D65="",$AH65="",$Z65=""),"",$Z65-$AH65)</f>
        <v/>
      </c>
      <c r="AJ65" s="49"/>
      <c r="AK65" s="47" t="str">
        <f aca="false">IF($D65="","",IFERROR(MATCH($F65,Config!$A$13:$A$15,0),1))</f>
        <v/>
      </c>
      <c r="AL65" s="47" t="str">
        <f aca="false">IF(OR($D65="",$N65=""),"",IF($E65="LONG",$K65,$O65))</f>
        <v/>
      </c>
      <c r="AM65" s="47" t="str">
        <f aca="false">IF(OR($D65="",$N65=""),"",IF($E65="LONG",$O65,$K65))</f>
        <v/>
      </c>
    </row>
    <row r="66" customFormat="false" ht="15" hidden="false" customHeight="false" outlineLevel="0" collapsed="false">
      <c r="A66" s="49"/>
      <c r="B66" s="5" t="str">
        <f aca="false">IF($D66="","",IF(OR(RIGHT($A66,2)="-L",RIGHT($A66,2)="-S"),LEFT($A66,LEN($A66)-2),$A66))</f>
        <v/>
      </c>
      <c r="C66" s="50"/>
      <c r="D66" s="49"/>
      <c r="E66" s="49"/>
      <c r="F66" s="49"/>
      <c r="G66" s="45"/>
      <c r="H66" s="50"/>
      <c r="I66" s="45"/>
      <c r="J66" s="51"/>
      <c r="K66" s="40" t="str">
        <f aca="false">IF($D66="","",$I66*$J66)</f>
        <v/>
      </c>
      <c r="L66" s="50"/>
      <c r="M66" s="49"/>
      <c r="N66" s="45"/>
      <c r="O66" s="40" t="str">
        <f aca="false">IF(OR($D66="",$N66=""),"",$N66*$J66)</f>
        <v/>
      </c>
      <c r="P66" s="41" t="str">
        <f aca="false">IF(OR($D66="",$L66=""),"",MAX($L66-$H66,0))</f>
        <v/>
      </c>
      <c r="Q66" s="40" t="str">
        <f aca="false">IF(OR($D66="",$N66=""),"",IF($E66="LONG",($N66-$I66)*$J66,($I66-$N66)*$J66))</f>
        <v/>
      </c>
      <c r="R66" s="42" t="str">
        <f aca="false">IF(OR($D66="",$Q66="",$K66=0),"",$Q66/$K66)</f>
        <v/>
      </c>
      <c r="S66" s="43" t="str">
        <f aca="false">IF(OR($D66="",$N66=""),"",MIN(INDEX(Config!$C$13:$C$15,$AK66),INDEX(Config!$B$13:$B$15,$AK66)*$K66)+MIN(INDEX(Config!$C$13:$C$15,$AK66),INDEX(Config!$B$13:$B$15,$AK66)*$O66))</f>
        <v/>
      </c>
      <c r="T66" s="43" t="str">
        <f aca="false">IF(OR($D66="",$N66=""),"",INDEX(Config!$D$13:$D$15,$AK66)*$AL66+INDEX(Config!$E$13:$E$15,$AK66)*$AM66)</f>
        <v/>
      </c>
      <c r="U66" s="43" t="str">
        <f aca="false">IF(OR($D66="",$N66=""),"",INDEX(Config!$F$13:$F$15,$AK66)*($K66+$O66))</f>
        <v/>
      </c>
      <c r="V66" s="43" t="str">
        <f aca="false">IF(OR($D66="",$N66=""),"",INDEX(Config!$G$13:$G$15,$AK66)*($K66+$O66)+INDEX(Config!$H$13:$H$15,$AK66)*$AL66+INDEX(Config!$J$13:$J$15,$AK66))</f>
        <v/>
      </c>
      <c r="W66" s="43" t="str">
        <f aca="false">IF(OR($D66="",$N66=""),"",INDEX(Config!$I$13:$I$15,$AK66)*($S66+$U66+INDEX(Config!$G$13:$G$15,$AK66)*($K66+$O66)))</f>
        <v/>
      </c>
      <c r="X66" s="43" t="str">
        <f aca="false">IF(OR($D66="",$N66=""),"",INDEX(Config!$K$13:$K$15,$AK66)/365*$P66*$K66*Config!$B$8)</f>
        <v/>
      </c>
      <c r="Y66" s="43" t="str">
        <f aca="false">IF(OR($D66="",$N66=""),"",SUM($S66:$X66))</f>
        <v/>
      </c>
      <c r="Z66" s="40" t="str">
        <f aca="false">IF(OR($D66="",$Q66=""),"",$Q66-$Y66)</f>
        <v/>
      </c>
      <c r="AA66" s="42" t="str">
        <f aca="false">IF(OR($D66="",$Z66="",$K66=0),"",$Z66/$K66)</f>
        <v/>
      </c>
      <c r="AB66" s="44" t="str">
        <f aca="false">IF(OR($D66="",$Y66="",$K66=0),"",$Y66/$K66*10000)</f>
        <v/>
      </c>
      <c r="AC66" s="44" t="str">
        <f aca="false">IF(OR($D66="",$G66="",$G66=0,$I66=""),"",IF($E66="LONG",($I66-$G66)/$G66,($G66-$I66)/$G66)*10000)</f>
        <v/>
      </c>
      <c r="AD66" s="45"/>
      <c r="AE66" s="40" t="str">
        <f aca="false">IF(OR($D66="",$N66&lt;&gt;"",$AD66=""),"",IF($E66="LONG",($AD66-$I66)*$J66,($I66-$AD66)*$J66))</f>
        <v/>
      </c>
      <c r="AF66" s="40" t="str">
        <f aca="false">IF(OR($D66="",$E66&lt;&gt;"LONG",$Z66=""),"",$Z66+SUMIFS($Z$4:$Z$503,$B$4:$B$503,$B66,$E$4:$E$503,"SHORT"))</f>
        <v/>
      </c>
      <c r="AG66" s="42" t="str">
        <f aca="false">IF(OR($AF66="",$K66=0),"",$AF66/$K66)</f>
        <v/>
      </c>
      <c r="AH66" s="46"/>
      <c r="AI66" s="43" t="str">
        <f aca="false">IF(OR($D66="",$AH66="",$Z66=""),"",$Z66-$AH66)</f>
        <v/>
      </c>
      <c r="AJ66" s="49"/>
      <c r="AK66" s="47" t="str">
        <f aca="false">IF($D66="","",IFERROR(MATCH($F66,Config!$A$13:$A$15,0),1))</f>
        <v/>
      </c>
      <c r="AL66" s="47" t="str">
        <f aca="false">IF(OR($D66="",$N66=""),"",IF($E66="LONG",$K66,$O66))</f>
        <v/>
      </c>
      <c r="AM66" s="47" t="str">
        <f aca="false">IF(OR($D66="",$N66=""),"",IF($E66="LONG",$O66,$K66))</f>
        <v/>
      </c>
    </row>
    <row r="67" customFormat="false" ht="15" hidden="false" customHeight="false" outlineLevel="0" collapsed="false">
      <c r="A67" s="49"/>
      <c r="B67" s="5" t="str">
        <f aca="false">IF($D67="","",IF(OR(RIGHT($A67,2)="-L",RIGHT($A67,2)="-S"),LEFT($A67,LEN($A67)-2),$A67))</f>
        <v/>
      </c>
      <c r="C67" s="50"/>
      <c r="D67" s="49"/>
      <c r="E67" s="49"/>
      <c r="F67" s="49"/>
      <c r="G67" s="45"/>
      <c r="H67" s="50"/>
      <c r="I67" s="45"/>
      <c r="J67" s="51"/>
      <c r="K67" s="40" t="str">
        <f aca="false">IF($D67="","",$I67*$J67)</f>
        <v/>
      </c>
      <c r="L67" s="50"/>
      <c r="M67" s="49"/>
      <c r="N67" s="45"/>
      <c r="O67" s="40" t="str">
        <f aca="false">IF(OR($D67="",$N67=""),"",$N67*$J67)</f>
        <v/>
      </c>
      <c r="P67" s="41" t="str">
        <f aca="false">IF(OR($D67="",$L67=""),"",MAX($L67-$H67,0))</f>
        <v/>
      </c>
      <c r="Q67" s="40" t="str">
        <f aca="false">IF(OR($D67="",$N67=""),"",IF($E67="LONG",($N67-$I67)*$J67,($I67-$N67)*$J67))</f>
        <v/>
      </c>
      <c r="R67" s="42" t="str">
        <f aca="false">IF(OR($D67="",$Q67="",$K67=0),"",$Q67/$K67)</f>
        <v/>
      </c>
      <c r="S67" s="43" t="str">
        <f aca="false">IF(OR($D67="",$N67=""),"",MIN(INDEX(Config!$C$13:$C$15,$AK67),INDEX(Config!$B$13:$B$15,$AK67)*$K67)+MIN(INDEX(Config!$C$13:$C$15,$AK67),INDEX(Config!$B$13:$B$15,$AK67)*$O67))</f>
        <v/>
      </c>
      <c r="T67" s="43" t="str">
        <f aca="false">IF(OR($D67="",$N67=""),"",INDEX(Config!$D$13:$D$15,$AK67)*$AL67+INDEX(Config!$E$13:$E$15,$AK67)*$AM67)</f>
        <v/>
      </c>
      <c r="U67" s="43" t="str">
        <f aca="false">IF(OR($D67="",$N67=""),"",INDEX(Config!$F$13:$F$15,$AK67)*($K67+$O67))</f>
        <v/>
      </c>
      <c r="V67" s="43" t="str">
        <f aca="false">IF(OR($D67="",$N67=""),"",INDEX(Config!$G$13:$G$15,$AK67)*($K67+$O67)+INDEX(Config!$H$13:$H$15,$AK67)*$AL67+INDEX(Config!$J$13:$J$15,$AK67))</f>
        <v/>
      </c>
      <c r="W67" s="43" t="str">
        <f aca="false">IF(OR($D67="",$N67=""),"",INDEX(Config!$I$13:$I$15,$AK67)*($S67+$U67+INDEX(Config!$G$13:$G$15,$AK67)*($K67+$O67)))</f>
        <v/>
      </c>
      <c r="X67" s="43" t="str">
        <f aca="false">IF(OR($D67="",$N67=""),"",INDEX(Config!$K$13:$K$15,$AK67)/365*$P67*$K67*Config!$B$8)</f>
        <v/>
      </c>
      <c r="Y67" s="43" t="str">
        <f aca="false">IF(OR($D67="",$N67=""),"",SUM($S67:$X67))</f>
        <v/>
      </c>
      <c r="Z67" s="40" t="str">
        <f aca="false">IF(OR($D67="",$Q67=""),"",$Q67-$Y67)</f>
        <v/>
      </c>
      <c r="AA67" s="42" t="str">
        <f aca="false">IF(OR($D67="",$Z67="",$K67=0),"",$Z67/$K67)</f>
        <v/>
      </c>
      <c r="AB67" s="44" t="str">
        <f aca="false">IF(OR($D67="",$Y67="",$K67=0),"",$Y67/$K67*10000)</f>
        <v/>
      </c>
      <c r="AC67" s="44" t="str">
        <f aca="false">IF(OR($D67="",$G67="",$G67=0,$I67=""),"",IF($E67="LONG",($I67-$G67)/$G67,($G67-$I67)/$G67)*10000)</f>
        <v/>
      </c>
      <c r="AD67" s="45"/>
      <c r="AE67" s="40" t="str">
        <f aca="false">IF(OR($D67="",$N67&lt;&gt;"",$AD67=""),"",IF($E67="LONG",($AD67-$I67)*$J67,($I67-$AD67)*$J67))</f>
        <v/>
      </c>
      <c r="AF67" s="40" t="str">
        <f aca="false">IF(OR($D67="",$E67&lt;&gt;"LONG",$Z67=""),"",$Z67+SUMIFS($Z$4:$Z$503,$B$4:$B$503,$B67,$E$4:$E$503,"SHORT"))</f>
        <v/>
      </c>
      <c r="AG67" s="42" t="str">
        <f aca="false">IF(OR($AF67="",$K67=0),"",$AF67/$K67)</f>
        <v/>
      </c>
      <c r="AH67" s="46"/>
      <c r="AI67" s="43" t="str">
        <f aca="false">IF(OR($D67="",$AH67="",$Z67=""),"",$Z67-$AH67)</f>
        <v/>
      </c>
      <c r="AJ67" s="49"/>
      <c r="AK67" s="47" t="str">
        <f aca="false">IF($D67="","",IFERROR(MATCH($F67,Config!$A$13:$A$15,0),1))</f>
        <v/>
      </c>
      <c r="AL67" s="47" t="str">
        <f aca="false">IF(OR($D67="",$N67=""),"",IF($E67="LONG",$K67,$O67))</f>
        <v/>
      </c>
      <c r="AM67" s="47" t="str">
        <f aca="false">IF(OR($D67="",$N67=""),"",IF($E67="LONG",$O67,$K67))</f>
        <v/>
      </c>
    </row>
    <row r="68" customFormat="false" ht="15" hidden="false" customHeight="false" outlineLevel="0" collapsed="false">
      <c r="A68" s="49"/>
      <c r="B68" s="5" t="str">
        <f aca="false">IF($D68="","",IF(OR(RIGHT($A68,2)="-L",RIGHT($A68,2)="-S"),LEFT($A68,LEN($A68)-2),$A68))</f>
        <v/>
      </c>
      <c r="C68" s="50"/>
      <c r="D68" s="49"/>
      <c r="E68" s="49"/>
      <c r="F68" s="49"/>
      <c r="G68" s="45"/>
      <c r="H68" s="50"/>
      <c r="I68" s="45"/>
      <c r="J68" s="51"/>
      <c r="K68" s="40" t="str">
        <f aca="false">IF($D68="","",$I68*$J68)</f>
        <v/>
      </c>
      <c r="L68" s="50"/>
      <c r="M68" s="49"/>
      <c r="N68" s="45"/>
      <c r="O68" s="40" t="str">
        <f aca="false">IF(OR($D68="",$N68=""),"",$N68*$J68)</f>
        <v/>
      </c>
      <c r="P68" s="41" t="str">
        <f aca="false">IF(OR($D68="",$L68=""),"",MAX($L68-$H68,0))</f>
        <v/>
      </c>
      <c r="Q68" s="40" t="str">
        <f aca="false">IF(OR($D68="",$N68=""),"",IF($E68="LONG",($N68-$I68)*$J68,($I68-$N68)*$J68))</f>
        <v/>
      </c>
      <c r="R68" s="42" t="str">
        <f aca="false">IF(OR($D68="",$Q68="",$K68=0),"",$Q68/$K68)</f>
        <v/>
      </c>
      <c r="S68" s="43" t="str">
        <f aca="false">IF(OR($D68="",$N68=""),"",MIN(INDEX(Config!$C$13:$C$15,$AK68),INDEX(Config!$B$13:$B$15,$AK68)*$K68)+MIN(INDEX(Config!$C$13:$C$15,$AK68),INDEX(Config!$B$13:$B$15,$AK68)*$O68))</f>
        <v/>
      </c>
      <c r="T68" s="43" t="str">
        <f aca="false">IF(OR($D68="",$N68=""),"",INDEX(Config!$D$13:$D$15,$AK68)*$AL68+INDEX(Config!$E$13:$E$15,$AK68)*$AM68)</f>
        <v/>
      </c>
      <c r="U68" s="43" t="str">
        <f aca="false">IF(OR($D68="",$N68=""),"",INDEX(Config!$F$13:$F$15,$AK68)*($K68+$O68))</f>
        <v/>
      </c>
      <c r="V68" s="43" t="str">
        <f aca="false">IF(OR($D68="",$N68=""),"",INDEX(Config!$G$13:$G$15,$AK68)*($K68+$O68)+INDEX(Config!$H$13:$H$15,$AK68)*$AL68+INDEX(Config!$J$13:$J$15,$AK68))</f>
        <v/>
      </c>
      <c r="W68" s="43" t="str">
        <f aca="false">IF(OR($D68="",$N68=""),"",INDEX(Config!$I$13:$I$15,$AK68)*($S68+$U68+INDEX(Config!$G$13:$G$15,$AK68)*($K68+$O68)))</f>
        <v/>
      </c>
      <c r="X68" s="43" t="str">
        <f aca="false">IF(OR($D68="",$N68=""),"",INDEX(Config!$K$13:$K$15,$AK68)/365*$P68*$K68*Config!$B$8)</f>
        <v/>
      </c>
      <c r="Y68" s="43" t="str">
        <f aca="false">IF(OR($D68="",$N68=""),"",SUM($S68:$X68))</f>
        <v/>
      </c>
      <c r="Z68" s="40" t="str">
        <f aca="false">IF(OR($D68="",$Q68=""),"",$Q68-$Y68)</f>
        <v/>
      </c>
      <c r="AA68" s="42" t="str">
        <f aca="false">IF(OR($D68="",$Z68="",$K68=0),"",$Z68/$K68)</f>
        <v/>
      </c>
      <c r="AB68" s="44" t="str">
        <f aca="false">IF(OR($D68="",$Y68="",$K68=0),"",$Y68/$K68*10000)</f>
        <v/>
      </c>
      <c r="AC68" s="44" t="str">
        <f aca="false">IF(OR($D68="",$G68="",$G68=0,$I68=""),"",IF($E68="LONG",($I68-$G68)/$G68,($G68-$I68)/$G68)*10000)</f>
        <v/>
      </c>
      <c r="AD68" s="45"/>
      <c r="AE68" s="40" t="str">
        <f aca="false">IF(OR($D68="",$N68&lt;&gt;"",$AD68=""),"",IF($E68="LONG",($AD68-$I68)*$J68,($I68-$AD68)*$J68))</f>
        <v/>
      </c>
      <c r="AF68" s="40" t="str">
        <f aca="false">IF(OR($D68="",$E68&lt;&gt;"LONG",$Z68=""),"",$Z68+SUMIFS($Z$4:$Z$503,$B$4:$B$503,$B68,$E$4:$E$503,"SHORT"))</f>
        <v/>
      </c>
      <c r="AG68" s="42" t="str">
        <f aca="false">IF(OR($AF68="",$K68=0),"",$AF68/$K68)</f>
        <v/>
      </c>
      <c r="AH68" s="46"/>
      <c r="AI68" s="43" t="str">
        <f aca="false">IF(OR($D68="",$AH68="",$Z68=""),"",$Z68-$AH68)</f>
        <v/>
      </c>
      <c r="AJ68" s="49"/>
      <c r="AK68" s="47" t="str">
        <f aca="false">IF($D68="","",IFERROR(MATCH($F68,Config!$A$13:$A$15,0),1))</f>
        <v/>
      </c>
      <c r="AL68" s="47" t="str">
        <f aca="false">IF(OR($D68="",$N68=""),"",IF($E68="LONG",$K68,$O68))</f>
        <v/>
      </c>
      <c r="AM68" s="47" t="str">
        <f aca="false">IF(OR($D68="",$N68=""),"",IF($E68="LONG",$O68,$K68))</f>
        <v/>
      </c>
    </row>
    <row r="69" customFormat="false" ht="15" hidden="false" customHeight="false" outlineLevel="0" collapsed="false">
      <c r="A69" s="49"/>
      <c r="B69" s="5" t="str">
        <f aca="false">IF($D69="","",IF(OR(RIGHT($A69,2)="-L",RIGHT($A69,2)="-S"),LEFT($A69,LEN($A69)-2),$A69))</f>
        <v/>
      </c>
      <c r="C69" s="50"/>
      <c r="D69" s="49"/>
      <c r="E69" s="49"/>
      <c r="F69" s="49"/>
      <c r="G69" s="45"/>
      <c r="H69" s="50"/>
      <c r="I69" s="45"/>
      <c r="J69" s="51"/>
      <c r="K69" s="40" t="str">
        <f aca="false">IF($D69="","",$I69*$J69)</f>
        <v/>
      </c>
      <c r="L69" s="50"/>
      <c r="M69" s="49"/>
      <c r="N69" s="45"/>
      <c r="O69" s="40" t="str">
        <f aca="false">IF(OR($D69="",$N69=""),"",$N69*$J69)</f>
        <v/>
      </c>
      <c r="P69" s="41" t="str">
        <f aca="false">IF(OR($D69="",$L69=""),"",MAX($L69-$H69,0))</f>
        <v/>
      </c>
      <c r="Q69" s="40" t="str">
        <f aca="false">IF(OR($D69="",$N69=""),"",IF($E69="LONG",($N69-$I69)*$J69,($I69-$N69)*$J69))</f>
        <v/>
      </c>
      <c r="R69" s="42" t="str">
        <f aca="false">IF(OR($D69="",$Q69="",$K69=0),"",$Q69/$K69)</f>
        <v/>
      </c>
      <c r="S69" s="43" t="str">
        <f aca="false">IF(OR($D69="",$N69=""),"",MIN(INDEX(Config!$C$13:$C$15,$AK69),INDEX(Config!$B$13:$B$15,$AK69)*$K69)+MIN(INDEX(Config!$C$13:$C$15,$AK69),INDEX(Config!$B$13:$B$15,$AK69)*$O69))</f>
        <v/>
      </c>
      <c r="T69" s="43" t="str">
        <f aca="false">IF(OR($D69="",$N69=""),"",INDEX(Config!$D$13:$D$15,$AK69)*$AL69+INDEX(Config!$E$13:$E$15,$AK69)*$AM69)</f>
        <v/>
      </c>
      <c r="U69" s="43" t="str">
        <f aca="false">IF(OR($D69="",$N69=""),"",INDEX(Config!$F$13:$F$15,$AK69)*($K69+$O69))</f>
        <v/>
      </c>
      <c r="V69" s="43" t="str">
        <f aca="false">IF(OR($D69="",$N69=""),"",INDEX(Config!$G$13:$G$15,$AK69)*($K69+$O69)+INDEX(Config!$H$13:$H$15,$AK69)*$AL69+INDEX(Config!$J$13:$J$15,$AK69))</f>
        <v/>
      </c>
      <c r="W69" s="43" t="str">
        <f aca="false">IF(OR($D69="",$N69=""),"",INDEX(Config!$I$13:$I$15,$AK69)*($S69+$U69+INDEX(Config!$G$13:$G$15,$AK69)*($K69+$O69)))</f>
        <v/>
      </c>
      <c r="X69" s="43" t="str">
        <f aca="false">IF(OR($D69="",$N69=""),"",INDEX(Config!$K$13:$K$15,$AK69)/365*$P69*$K69*Config!$B$8)</f>
        <v/>
      </c>
      <c r="Y69" s="43" t="str">
        <f aca="false">IF(OR($D69="",$N69=""),"",SUM($S69:$X69))</f>
        <v/>
      </c>
      <c r="Z69" s="40" t="str">
        <f aca="false">IF(OR($D69="",$Q69=""),"",$Q69-$Y69)</f>
        <v/>
      </c>
      <c r="AA69" s="42" t="str">
        <f aca="false">IF(OR($D69="",$Z69="",$K69=0),"",$Z69/$K69)</f>
        <v/>
      </c>
      <c r="AB69" s="44" t="str">
        <f aca="false">IF(OR($D69="",$Y69="",$K69=0),"",$Y69/$K69*10000)</f>
        <v/>
      </c>
      <c r="AC69" s="44" t="str">
        <f aca="false">IF(OR($D69="",$G69="",$G69=0,$I69=""),"",IF($E69="LONG",($I69-$G69)/$G69,($G69-$I69)/$G69)*10000)</f>
        <v/>
      </c>
      <c r="AD69" s="45"/>
      <c r="AE69" s="40" t="str">
        <f aca="false">IF(OR($D69="",$N69&lt;&gt;"",$AD69=""),"",IF($E69="LONG",($AD69-$I69)*$J69,($I69-$AD69)*$J69))</f>
        <v/>
      </c>
      <c r="AF69" s="40" t="str">
        <f aca="false">IF(OR($D69="",$E69&lt;&gt;"LONG",$Z69=""),"",$Z69+SUMIFS($Z$4:$Z$503,$B$4:$B$503,$B69,$E$4:$E$503,"SHORT"))</f>
        <v/>
      </c>
      <c r="AG69" s="42" t="str">
        <f aca="false">IF(OR($AF69="",$K69=0),"",$AF69/$K69)</f>
        <v/>
      </c>
      <c r="AH69" s="46"/>
      <c r="AI69" s="43" t="str">
        <f aca="false">IF(OR($D69="",$AH69="",$Z69=""),"",$Z69-$AH69)</f>
        <v/>
      </c>
      <c r="AJ69" s="49"/>
      <c r="AK69" s="47" t="str">
        <f aca="false">IF($D69="","",IFERROR(MATCH($F69,Config!$A$13:$A$15,0),1))</f>
        <v/>
      </c>
      <c r="AL69" s="47" t="str">
        <f aca="false">IF(OR($D69="",$N69=""),"",IF($E69="LONG",$K69,$O69))</f>
        <v/>
      </c>
      <c r="AM69" s="47" t="str">
        <f aca="false">IF(OR($D69="",$N69=""),"",IF($E69="LONG",$O69,$K69))</f>
        <v/>
      </c>
    </row>
    <row r="70" customFormat="false" ht="15" hidden="false" customHeight="false" outlineLevel="0" collapsed="false">
      <c r="A70" s="49"/>
      <c r="B70" s="5" t="str">
        <f aca="false">IF($D70="","",IF(OR(RIGHT($A70,2)="-L",RIGHT($A70,2)="-S"),LEFT($A70,LEN($A70)-2),$A70))</f>
        <v/>
      </c>
      <c r="C70" s="50"/>
      <c r="D70" s="49"/>
      <c r="E70" s="49"/>
      <c r="F70" s="49"/>
      <c r="G70" s="45"/>
      <c r="H70" s="50"/>
      <c r="I70" s="45"/>
      <c r="J70" s="51"/>
      <c r="K70" s="40" t="str">
        <f aca="false">IF($D70="","",$I70*$J70)</f>
        <v/>
      </c>
      <c r="L70" s="50"/>
      <c r="M70" s="49"/>
      <c r="N70" s="45"/>
      <c r="O70" s="40" t="str">
        <f aca="false">IF(OR($D70="",$N70=""),"",$N70*$J70)</f>
        <v/>
      </c>
      <c r="P70" s="41" t="str">
        <f aca="false">IF(OR($D70="",$L70=""),"",MAX($L70-$H70,0))</f>
        <v/>
      </c>
      <c r="Q70" s="40" t="str">
        <f aca="false">IF(OR($D70="",$N70=""),"",IF($E70="LONG",($N70-$I70)*$J70,($I70-$N70)*$J70))</f>
        <v/>
      </c>
      <c r="R70" s="42" t="str">
        <f aca="false">IF(OR($D70="",$Q70="",$K70=0),"",$Q70/$K70)</f>
        <v/>
      </c>
      <c r="S70" s="43" t="str">
        <f aca="false">IF(OR($D70="",$N70=""),"",MIN(INDEX(Config!$C$13:$C$15,$AK70),INDEX(Config!$B$13:$B$15,$AK70)*$K70)+MIN(INDEX(Config!$C$13:$C$15,$AK70),INDEX(Config!$B$13:$B$15,$AK70)*$O70))</f>
        <v/>
      </c>
      <c r="T70" s="43" t="str">
        <f aca="false">IF(OR($D70="",$N70=""),"",INDEX(Config!$D$13:$D$15,$AK70)*$AL70+INDEX(Config!$E$13:$E$15,$AK70)*$AM70)</f>
        <v/>
      </c>
      <c r="U70" s="43" t="str">
        <f aca="false">IF(OR($D70="",$N70=""),"",INDEX(Config!$F$13:$F$15,$AK70)*($K70+$O70))</f>
        <v/>
      </c>
      <c r="V70" s="43" t="str">
        <f aca="false">IF(OR($D70="",$N70=""),"",INDEX(Config!$G$13:$G$15,$AK70)*($K70+$O70)+INDEX(Config!$H$13:$H$15,$AK70)*$AL70+INDEX(Config!$J$13:$J$15,$AK70))</f>
        <v/>
      </c>
      <c r="W70" s="43" t="str">
        <f aca="false">IF(OR($D70="",$N70=""),"",INDEX(Config!$I$13:$I$15,$AK70)*($S70+$U70+INDEX(Config!$G$13:$G$15,$AK70)*($K70+$O70)))</f>
        <v/>
      </c>
      <c r="X70" s="43" t="str">
        <f aca="false">IF(OR($D70="",$N70=""),"",INDEX(Config!$K$13:$K$15,$AK70)/365*$P70*$K70*Config!$B$8)</f>
        <v/>
      </c>
      <c r="Y70" s="43" t="str">
        <f aca="false">IF(OR($D70="",$N70=""),"",SUM($S70:$X70))</f>
        <v/>
      </c>
      <c r="Z70" s="40" t="str">
        <f aca="false">IF(OR($D70="",$Q70=""),"",$Q70-$Y70)</f>
        <v/>
      </c>
      <c r="AA70" s="42" t="str">
        <f aca="false">IF(OR($D70="",$Z70="",$K70=0),"",$Z70/$K70)</f>
        <v/>
      </c>
      <c r="AB70" s="44" t="str">
        <f aca="false">IF(OR($D70="",$Y70="",$K70=0),"",$Y70/$K70*10000)</f>
        <v/>
      </c>
      <c r="AC70" s="44" t="str">
        <f aca="false">IF(OR($D70="",$G70="",$G70=0,$I70=""),"",IF($E70="LONG",($I70-$G70)/$G70,($G70-$I70)/$G70)*10000)</f>
        <v/>
      </c>
      <c r="AD70" s="45"/>
      <c r="AE70" s="40" t="str">
        <f aca="false">IF(OR($D70="",$N70&lt;&gt;"",$AD70=""),"",IF($E70="LONG",($AD70-$I70)*$J70,($I70-$AD70)*$J70))</f>
        <v/>
      </c>
      <c r="AF70" s="40" t="str">
        <f aca="false">IF(OR($D70="",$E70&lt;&gt;"LONG",$Z70=""),"",$Z70+SUMIFS($Z$4:$Z$503,$B$4:$B$503,$B70,$E$4:$E$503,"SHORT"))</f>
        <v/>
      </c>
      <c r="AG70" s="42" t="str">
        <f aca="false">IF(OR($AF70="",$K70=0),"",$AF70/$K70)</f>
        <v/>
      </c>
      <c r="AH70" s="46"/>
      <c r="AI70" s="43" t="str">
        <f aca="false">IF(OR($D70="",$AH70="",$Z70=""),"",$Z70-$AH70)</f>
        <v/>
      </c>
      <c r="AJ70" s="49"/>
      <c r="AK70" s="47" t="str">
        <f aca="false">IF($D70="","",IFERROR(MATCH($F70,Config!$A$13:$A$15,0),1))</f>
        <v/>
      </c>
      <c r="AL70" s="47" t="str">
        <f aca="false">IF(OR($D70="",$N70=""),"",IF($E70="LONG",$K70,$O70))</f>
        <v/>
      </c>
      <c r="AM70" s="47" t="str">
        <f aca="false">IF(OR($D70="",$N70=""),"",IF($E70="LONG",$O70,$K70))</f>
        <v/>
      </c>
    </row>
    <row r="71" customFormat="false" ht="15" hidden="false" customHeight="false" outlineLevel="0" collapsed="false">
      <c r="A71" s="49"/>
      <c r="B71" s="5" t="str">
        <f aca="false">IF($D71="","",IF(OR(RIGHT($A71,2)="-L",RIGHT($A71,2)="-S"),LEFT($A71,LEN($A71)-2),$A71))</f>
        <v/>
      </c>
      <c r="C71" s="50"/>
      <c r="D71" s="49"/>
      <c r="E71" s="49"/>
      <c r="F71" s="49"/>
      <c r="G71" s="45"/>
      <c r="H71" s="50"/>
      <c r="I71" s="45"/>
      <c r="J71" s="51"/>
      <c r="K71" s="40" t="str">
        <f aca="false">IF($D71="","",$I71*$J71)</f>
        <v/>
      </c>
      <c r="L71" s="50"/>
      <c r="M71" s="49"/>
      <c r="N71" s="45"/>
      <c r="O71" s="40" t="str">
        <f aca="false">IF(OR($D71="",$N71=""),"",$N71*$J71)</f>
        <v/>
      </c>
      <c r="P71" s="41" t="str">
        <f aca="false">IF(OR($D71="",$L71=""),"",MAX($L71-$H71,0))</f>
        <v/>
      </c>
      <c r="Q71" s="40" t="str">
        <f aca="false">IF(OR($D71="",$N71=""),"",IF($E71="LONG",($N71-$I71)*$J71,($I71-$N71)*$J71))</f>
        <v/>
      </c>
      <c r="R71" s="42" t="str">
        <f aca="false">IF(OR($D71="",$Q71="",$K71=0),"",$Q71/$K71)</f>
        <v/>
      </c>
      <c r="S71" s="43" t="str">
        <f aca="false">IF(OR($D71="",$N71=""),"",MIN(INDEX(Config!$C$13:$C$15,$AK71),INDEX(Config!$B$13:$B$15,$AK71)*$K71)+MIN(INDEX(Config!$C$13:$C$15,$AK71),INDEX(Config!$B$13:$B$15,$AK71)*$O71))</f>
        <v/>
      </c>
      <c r="T71" s="43" t="str">
        <f aca="false">IF(OR($D71="",$N71=""),"",INDEX(Config!$D$13:$D$15,$AK71)*$AL71+INDEX(Config!$E$13:$E$15,$AK71)*$AM71)</f>
        <v/>
      </c>
      <c r="U71" s="43" t="str">
        <f aca="false">IF(OR($D71="",$N71=""),"",INDEX(Config!$F$13:$F$15,$AK71)*($K71+$O71))</f>
        <v/>
      </c>
      <c r="V71" s="43" t="str">
        <f aca="false">IF(OR($D71="",$N71=""),"",INDEX(Config!$G$13:$G$15,$AK71)*($K71+$O71)+INDEX(Config!$H$13:$H$15,$AK71)*$AL71+INDEX(Config!$J$13:$J$15,$AK71))</f>
        <v/>
      </c>
      <c r="W71" s="43" t="str">
        <f aca="false">IF(OR($D71="",$N71=""),"",INDEX(Config!$I$13:$I$15,$AK71)*($S71+$U71+INDEX(Config!$G$13:$G$15,$AK71)*($K71+$O71)))</f>
        <v/>
      </c>
      <c r="X71" s="43" t="str">
        <f aca="false">IF(OR($D71="",$N71=""),"",INDEX(Config!$K$13:$K$15,$AK71)/365*$P71*$K71*Config!$B$8)</f>
        <v/>
      </c>
      <c r="Y71" s="43" t="str">
        <f aca="false">IF(OR($D71="",$N71=""),"",SUM($S71:$X71))</f>
        <v/>
      </c>
      <c r="Z71" s="40" t="str">
        <f aca="false">IF(OR($D71="",$Q71=""),"",$Q71-$Y71)</f>
        <v/>
      </c>
      <c r="AA71" s="42" t="str">
        <f aca="false">IF(OR($D71="",$Z71="",$K71=0),"",$Z71/$K71)</f>
        <v/>
      </c>
      <c r="AB71" s="44" t="str">
        <f aca="false">IF(OR($D71="",$Y71="",$K71=0),"",$Y71/$K71*10000)</f>
        <v/>
      </c>
      <c r="AC71" s="44" t="str">
        <f aca="false">IF(OR($D71="",$G71="",$G71=0,$I71=""),"",IF($E71="LONG",($I71-$G71)/$G71,($G71-$I71)/$G71)*10000)</f>
        <v/>
      </c>
      <c r="AD71" s="45"/>
      <c r="AE71" s="40" t="str">
        <f aca="false">IF(OR($D71="",$N71&lt;&gt;"",$AD71=""),"",IF($E71="LONG",($AD71-$I71)*$J71,($I71-$AD71)*$J71))</f>
        <v/>
      </c>
      <c r="AF71" s="40" t="str">
        <f aca="false">IF(OR($D71="",$E71&lt;&gt;"LONG",$Z71=""),"",$Z71+SUMIFS($Z$4:$Z$503,$B$4:$B$503,$B71,$E$4:$E$503,"SHORT"))</f>
        <v/>
      </c>
      <c r="AG71" s="42" t="str">
        <f aca="false">IF(OR($AF71="",$K71=0),"",$AF71/$K71)</f>
        <v/>
      </c>
      <c r="AH71" s="46"/>
      <c r="AI71" s="43" t="str">
        <f aca="false">IF(OR($D71="",$AH71="",$Z71=""),"",$Z71-$AH71)</f>
        <v/>
      </c>
      <c r="AJ71" s="49"/>
      <c r="AK71" s="47" t="str">
        <f aca="false">IF($D71="","",IFERROR(MATCH($F71,Config!$A$13:$A$15,0),1))</f>
        <v/>
      </c>
      <c r="AL71" s="47" t="str">
        <f aca="false">IF(OR($D71="",$N71=""),"",IF($E71="LONG",$K71,$O71))</f>
        <v/>
      </c>
      <c r="AM71" s="47" t="str">
        <f aca="false">IF(OR($D71="",$N71=""),"",IF($E71="LONG",$O71,$K71))</f>
        <v/>
      </c>
    </row>
    <row r="72" customFormat="false" ht="15" hidden="false" customHeight="false" outlineLevel="0" collapsed="false">
      <c r="A72" s="49"/>
      <c r="B72" s="5" t="str">
        <f aca="false">IF($D72="","",IF(OR(RIGHT($A72,2)="-L",RIGHT($A72,2)="-S"),LEFT($A72,LEN($A72)-2),$A72))</f>
        <v/>
      </c>
      <c r="C72" s="50"/>
      <c r="D72" s="49"/>
      <c r="E72" s="49"/>
      <c r="F72" s="49"/>
      <c r="G72" s="45"/>
      <c r="H72" s="50"/>
      <c r="I72" s="45"/>
      <c r="J72" s="51"/>
      <c r="K72" s="40" t="str">
        <f aca="false">IF($D72="","",$I72*$J72)</f>
        <v/>
      </c>
      <c r="L72" s="50"/>
      <c r="M72" s="49"/>
      <c r="N72" s="45"/>
      <c r="O72" s="40" t="str">
        <f aca="false">IF(OR($D72="",$N72=""),"",$N72*$J72)</f>
        <v/>
      </c>
      <c r="P72" s="41" t="str">
        <f aca="false">IF(OR($D72="",$L72=""),"",MAX($L72-$H72,0))</f>
        <v/>
      </c>
      <c r="Q72" s="40" t="str">
        <f aca="false">IF(OR($D72="",$N72=""),"",IF($E72="LONG",($N72-$I72)*$J72,($I72-$N72)*$J72))</f>
        <v/>
      </c>
      <c r="R72" s="42" t="str">
        <f aca="false">IF(OR($D72="",$Q72="",$K72=0),"",$Q72/$K72)</f>
        <v/>
      </c>
      <c r="S72" s="43" t="str">
        <f aca="false">IF(OR($D72="",$N72=""),"",MIN(INDEX(Config!$C$13:$C$15,$AK72),INDEX(Config!$B$13:$B$15,$AK72)*$K72)+MIN(INDEX(Config!$C$13:$C$15,$AK72),INDEX(Config!$B$13:$B$15,$AK72)*$O72))</f>
        <v/>
      </c>
      <c r="T72" s="43" t="str">
        <f aca="false">IF(OR($D72="",$N72=""),"",INDEX(Config!$D$13:$D$15,$AK72)*$AL72+INDEX(Config!$E$13:$E$15,$AK72)*$AM72)</f>
        <v/>
      </c>
      <c r="U72" s="43" t="str">
        <f aca="false">IF(OR($D72="",$N72=""),"",INDEX(Config!$F$13:$F$15,$AK72)*($K72+$O72))</f>
        <v/>
      </c>
      <c r="V72" s="43" t="str">
        <f aca="false">IF(OR($D72="",$N72=""),"",INDEX(Config!$G$13:$G$15,$AK72)*($K72+$O72)+INDEX(Config!$H$13:$H$15,$AK72)*$AL72+INDEX(Config!$J$13:$J$15,$AK72))</f>
        <v/>
      </c>
      <c r="W72" s="43" t="str">
        <f aca="false">IF(OR($D72="",$N72=""),"",INDEX(Config!$I$13:$I$15,$AK72)*($S72+$U72+INDEX(Config!$G$13:$G$15,$AK72)*($K72+$O72)))</f>
        <v/>
      </c>
      <c r="X72" s="43" t="str">
        <f aca="false">IF(OR($D72="",$N72=""),"",INDEX(Config!$K$13:$K$15,$AK72)/365*$P72*$K72*Config!$B$8)</f>
        <v/>
      </c>
      <c r="Y72" s="43" t="str">
        <f aca="false">IF(OR($D72="",$N72=""),"",SUM($S72:$X72))</f>
        <v/>
      </c>
      <c r="Z72" s="40" t="str">
        <f aca="false">IF(OR($D72="",$Q72=""),"",$Q72-$Y72)</f>
        <v/>
      </c>
      <c r="AA72" s="42" t="str">
        <f aca="false">IF(OR($D72="",$Z72="",$K72=0),"",$Z72/$K72)</f>
        <v/>
      </c>
      <c r="AB72" s="44" t="str">
        <f aca="false">IF(OR($D72="",$Y72="",$K72=0),"",$Y72/$K72*10000)</f>
        <v/>
      </c>
      <c r="AC72" s="44" t="str">
        <f aca="false">IF(OR($D72="",$G72="",$G72=0,$I72=""),"",IF($E72="LONG",($I72-$G72)/$G72,($G72-$I72)/$G72)*10000)</f>
        <v/>
      </c>
      <c r="AD72" s="45"/>
      <c r="AE72" s="40" t="str">
        <f aca="false">IF(OR($D72="",$N72&lt;&gt;"",$AD72=""),"",IF($E72="LONG",($AD72-$I72)*$J72,($I72-$AD72)*$J72))</f>
        <v/>
      </c>
      <c r="AF72" s="40" t="str">
        <f aca="false">IF(OR($D72="",$E72&lt;&gt;"LONG",$Z72=""),"",$Z72+SUMIFS($Z$4:$Z$503,$B$4:$B$503,$B72,$E$4:$E$503,"SHORT"))</f>
        <v/>
      </c>
      <c r="AG72" s="42" t="str">
        <f aca="false">IF(OR($AF72="",$K72=0),"",$AF72/$K72)</f>
        <v/>
      </c>
      <c r="AH72" s="46"/>
      <c r="AI72" s="43" t="str">
        <f aca="false">IF(OR($D72="",$AH72="",$Z72=""),"",$Z72-$AH72)</f>
        <v/>
      </c>
      <c r="AJ72" s="49"/>
      <c r="AK72" s="47" t="str">
        <f aca="false">IF($D72="","",IFERROR(MATCH($F72,Config!$A$13:$A$15,0),1))</f>
        <v/>
      </c>
      <c r="AL72" s="47" t="str">
        <f aca="false">IF(OR($D72="",$N72=""),"",IF($E72="LONG",$K72,$O72))</f>
        <v/>
      </c>
      <c r="AM72" s="47" t="str">
        <f aca="false">IF(OR($D72="",$N72=""),"",IF($E72="LONG",$O72,$K72))</f>
        <v/>
      </c>
    </row>
    <row r="73" customFormat="false" ht="15" hidden="false" customHeight="false" outlineLevel="0" collapsed="false">
      <c r="A73" s="49"/>
      <c r="B73" s="5" t="str">
        <f aca="false">IF($D73="","",IF(OR(RIGHT($A73,2)="-L",RIGHT($A73,2)="-S"),LEFT($A73,LEN($A73)-2),$A73))</f>
        <v/>
      </c>
      <c r="C73" s="50"/>
      <c r="D73" s="49"/>
      <c r="E73" s="49"/>
      <c r="F73" s="49"/>
      <c r="G73" s="45"/>
      <c r="H73" s="50"/>
      <c r="I73" s="45"/>
      <c r="J73" s="51"/>
      <c r="K73" s="40" t="str">
        <f aca="false">IF($D73="","",$I73*$J73)</f>
        <v/>
      </c>
      <c r="L73" s="50"/>
      <c r="M73" s="49"/>
      <c r="N73" s="45"/>
      <c r="O73" s="40" t="str">
        <f aca="false">IF(OR($D73="",$N73=""),"",$N73*$J73)</f>
        <v/>
      </c>
      <c r="P73" s="41" t="str">
        <f aca="false">IF(OR($D73="",$L73=""),"",MAX($L73-$H73,0))</f>
        <v/>
      </c>
      <c r="Q73" s="40" t="str">
        <f aca="false">IF(OR($D73="",$N73=""),"",IF($E73="LONG",($N73-$I73)*$J73,($I73-$N73)*$J73))</f>
        <v/>
      </c>
      <c r="R73" s="42" t="str">
        <f aca="false">IF(OR($D73="",$Q73="",$K73=0),"",$Q73/$K73)</f>
        <v/>
      </c>
      <c r="S73" s="43" t="str">
        <f aca="false">IF(OR($D73="",$N73=""),"",MIN(INDEX(Config!$C$13:$C$15,$AK73),INDEX(Config!$B$13:$B$15,$AK73)*$K73)+MIN(INDEX(Config!$C$13:$C$15,$AK73),INDEX(Config!$B$13:$B$15,$AK73)*$O73))</f>
        <v/>
      </c>
      <c r="T73" s="43" t="str">
        <f aca="false">IF(OR($D73="",$N73=""),"",INDEX(Config!$D$13:$D$15,$AK73)*$AL73+INDEX(Config!$E$13:$E$15,$AK73)*$AM73)</f>
        <v/>
      </c>
      <c r="U73" s="43" t="str">
        <f aca="false">IF(OR($D73="",$N73=""),"",INDEX(Config!$F$13:$F$15,$AK73)*($K73+$O73))</f>
        <v/>
      </c>
      <c r="V73" s="43" t="str">
        <f aca="false">IF(OR($D73="",$N73=""),"",INDEX(Config!$G$13:$G$15,$AK73)*($K73+$O73)+INDEX(Config!$H$13:$H$15,$AK73)*$AL73+INDEX(Config!$J$13:$J$15,$AK73))</f>
        <v/>
      </c>
      <c r="W73" s="43" t="str">
        <f aca="false">IF(OR($D73="",$N73=""),"",INDEX(Config!$I$13:$I$15,$AK73)*($S73+$U73+INDEX(Config!$G$13:$G$15,$AK73)*($K73+$O73)))</f>
        <v/>
      </c>
      <c r="X73" s="43" t="str">
        <f aca="false">IF(OR($D73="",$N73=""),"",INDEX(Config!$K$13:$K$15,$AK73)/365*$P73*$K73*Config!$B$8)</f>
        <v/>
      </c>
      <c r="Y73" s="43" t="str">
        <f aca="false">IF(OR($D73="",$N73=""),"",SUM($S73:$X73))</f>
        <v/>
      </c>
      <c r="Z73" s="40" t="str">
        <f aca="false">IF(OR($D73="",$Q73=""),"",$Q73-$Y73)</f>
        <v/>
      </c>
      <c r="AA73" s="42" t="str">
        <f aca="false">IF(OR($D73="",$Z73="",$K73=0),"",$Z73/$K73)</f>
        <v/>
      </c>
      <c r="AB73" s="44" t="str">
        <f aca="false">IF(OR($D73="",$Y73="",$K73=0),"",$Y73/$K73*10000)</f>
        <v/>
      </c>
      <c r="AC73" s="44" t="str">
        <f aca="false">IF(OR($D73="",$G73="",$G73=0,$I73=""),"",IF($E73="LONG",($I73-$G73)/$G73,($G73-$I73)/$G73)*10000)</f>
        <v/>
      </c>
      <c r="AD73" s="45"/>
      <c r="AE73" s="40" t="str">
        <f aca="false">IF(OR($D73="",$N73&lt;&gt;"",$AD73=""),"",IF($E73="LONG",($AD73-$I73)*$J73,($I73-$AD73)*$J73))</f>
        <v/>
      </c>
      <c r="AF73" s="40" t="str">
        <f aca="false">IF(OR($D73="",$E73&lt;&gt;"LONG",$Z73=""),"",$Z73+SUMIFS($Z$4:$Z$503,$B$4:$B$503,$B73,$E$4:$E$503,"SHORT"))</f>
        <v/>
      </c>
      <c r="AG73" s="42" t="str">
        <f aca="false">IF(OR($AF73="",$K73=0),"",$AF73/$K73)</f>
        <v/>
      </c>
      <c r="AH73" s="46"/>
      <c r="AI73" s="43" t="str">
        <f aca="false">IF(OR($D73="",$AH73="",$Z73=""),"",$Z73-$AH73)</f>
        <v/>
      </c>
      <c r="AJ73" s="49"/>
      <c r="AK73" s="47" t="str">
        <f aca="false">IF($D73="","",IFERROR(MATCH($F73,Config!$A$13:$A$15,0),1))</f>
        <v/>
      </c>
      <c r="AL73" s="47" t="str">
        <f aca="false">IF(OR($D73="",$N73=""),"",IF($E73="LONG",$K73,$O73))</f>
        <v/>
      </c>
      <c r="AM73" s="47" t="str">
        <f aca="false">IF(OR($D73="",$N73=""),"",IF($E73="LONG",$O73,$K73))</f>
        <v/>
      </c>
    </row>
    <row r="74" customFormat="false" ht="15" hidden="false" customHeight="false" outlineLevel="0" collapsed="false">
      <c r="A74" s="49"/>
      <c r="B74" s="5" t="str">
        <f aca="false">IF($D74="","",IF(OR(RIGHT($A74,2)="-L",RIGHT($A74,2)="-S"),LEFT($A74,LEN($A74)-2),$A74))</f>
        <v/>
      </c>
      <c r="C74" s="50"/>
      <c r="D74" s="49"/>
      <c r="E74" s="49"/>
      <c r="F74" s="49"/>
      <c r="G74" s="45"/>
      <c r="H74" s="50"/>
      <c r="I74" s="45"/>
      <c r="J74" s="51"/>
      <c r="K74" s="40" t="str">
        <f aca="false">IF($D74="","",$I74*$J74)</f>
        <v/>
      </c>
      <c r="L74" s="50"/>
      <c r="M74" s="49"/>
      <c r="N74" s="45"/>
      <c r="O74" s="40" t="str">
        <f aca="false">IF(OR($D74="",$N74=""),"",$N74*$J74)</f>
        <v/>
      </c>
      <c r="P74" s="41" t="str">
        <f aca="false">IF(OR($D74="",$L74=""),"",MAX($L74-$H74,0))</f>
        <v/>
      </c>
      <c r="Q74" s="40" t="str">
        <f aca="false">IF(OR($D74="",$N74=""),"",IF($E74="LONG",($N74-$I74)*$J74,($I74-$N74)*$J74))</f>
        <v/>
      </c>
      <c r="R74" s="42" t="str">
        <f aca="false">IF(OR($D74="",$Q74="",$K74=0),"",$Q74/$K74)</f>
        <v/>
      </c>
      <c r="S74" s="43" t="str">
        <f aca="false">IF(OR($D74="",$N74=""),"",MIN(INDEX(Config!$C$13:$C$15,$AK74),INDEX(Config!$B$13:$B$15,$AK74)*$K74)+MIN(INDEX(Config!$C$13:$C$15,$AK74),INDEX(Config!$B$13:$B$15,$AK74)*$O74))</f>
        <v/>
      </c>
      <c r="T74" s="43" t="str">
        <f aca="false">IF(OR($D74="",$N74=""),"",INDEX(Config!$D$13:$D$15,$AK74)*$AL74+INDEX(Config!$E$13:$E$15,$AK74)*$AM74)</f>
        <v/>
      </c>
      <c r="U74" s="43" t="str">
        <f aca="false">IF(OR($D74="",$N74=""),"",INDEX(Config!$F$13:$F$15,$AK74)*($K74+$O74))</f>
        <v/>
      </c>
      <c r="V74" s="43" t="str">
        <f aca="false">IF(OR($D74="",$N74=""),"",INDEX(Config!$G$13:$G$15,$AK74)*($K74+$O74)+INDEX(Config!$H$13:$H$15,$AK74)*$AL74+INDEX(Config!$J$13:$J$15,$AK74))</f>
        <v/>
      </c>
      <c r="W74" s="43" t="str">
        <f aca="false">IF(OR($D74="",$N74=""),"",INDEX(Config!$I$13:$I$15,$AK74)*($S74+$U74+INDEX(Config!$G$13:$G$15,$AK74)*($K74+$O74)))</f>
        <v/>
      </c>
      <c r="X74" s="43" t="str">
        <f aca="false">IF(OR($D74="",$N74=""),"",INDEX(Config!$K$13:$K$15,$AK74)/365*$P74*$K74*Config!$B$8)</f>
        <v/>
      </c>
      <c r="Y74" s="43" t="str">
        <f aca="false">IF(OR($D74="",$N74=""),"",SUM($S74:$X74))</f>
        <v/>
      </c>
      <c r="Z74" s="40" t="str">
        <f aca="false">IF(OR($D74="",$Q74=""),"",$Q74-$Y74)</f>
        <v/>
      </c>
      <c r="AA74" s="42" t="str">
        <f aca="false">IF(OR($D74="",$Z74="",$K74=0),"",$Z74/$K74)</f>
        <v/>
      </c>
      <c r="AB74" s="44" t="str">
        <f aca="false">IF(OR($D74="",$Y74="",$K74=0),"",$Y74/$K74*10000)</f>
        <v/>
      </c>
      <c r="AC74" s="44" t="str">
        <f aca="false">IF(OR($D74="",$G74="",$G74=0,$I74=""),"",IF($E74="LONG",($I74-$G74)/$G74,($G74-$I74)/$G74)*10000)</f>
        <v/>
      </c>
      <c r="AD74" s="45"/>
      <c r="AE74" s="40" t="str">
        <f aca="false">IF(OR($D74="",$N74&lt;&gt;"",$AD74=""),"",IF($E74="LONG",($AD74-$I74)*$J74,($I74-$AD74)*$J74))</f>
        <v/>
      </c>
      <c r="AF74" s="40" t="str">
        <f aca="false">IF(OR($D74="",$E74&lt;&gt;"LONG",$Z74=""),"",$Z74+SUMIFS($Z$4:$Z$503,$B$4:$B$503,$B74,$E$4:$E$503,"SHORT"))</f>
        <v/>
      </c>
      <c r="AG74" s="42" t="str">
        <f aca="false">IF(OR($AF74="",$K74=0),"",$AF74/$K74)</f>
        <v/>
      </c>
      <c r="AH74" s="46"/>
      <c r="AI74" s="43" t="str">
        <f aca="false">IF(OR($D74="",$AH74="",$Z74=""),"",$Z74-$AH74)</f>
        <v/>
      </c>
      <c r="AJ74" s="49"/>
      <c r="AK74" s="47" t="str">
        <f aca="false">IF($D74="","",IFERROR(MATCH($F74,Config!$A$13:$A$15,0),1))</f>
        <v/>
      </c>
      <c r="AL74" s="47" t="str">
        <f aca="false">IF(OR($D74="",$N74=""),"",IF($E74="LONG",$K74,$O74))</f>
        <v/>
      </c>
      <c r="AM74" s="47" t="str">
        <f aca="false">IF(OR($D74="",$N74=""),"",IF($E74="LONG",$O74,$K74))</f>
        <v/>
      </c>
    </row>
    <row r="75" customFormat="false" ht="15" hidden="false" customHeight="false" outlineLevel="0" collapsed="false">
      <c r="A75" s="49"/>
      <c r="B75" s="5" t="str">
        <f aca="false">IF($D75="","",IF(OR(RIGHT($A75,2)="-L",RIGHT($A75,2)="-S"),LEFT($A75,LEN($A75)-2),$A75))</f>
        <v/>
      </c>
      <c r="C75" s="50"/>
      <c r="D75" s="49"/>
      <c r="E75" s="49"/>
      <c r="F75" s="49"/>
      <c r="G75" s="45"/>
      <c r="H75" s="50"/>
      <c r="I75" s="45"/>
      <c r="J75" s="51"/>
      <c r="K75" s="40" t="str">
        <f aca="false">IF($D75="","",$I75*$J75)</f>
        <v/>
      </c>
      <c r="L75" s="50"/>
      <c r="M75" s="49"/>
      <c r="N75" s="45"/>
      <c r="O75" s="40" t="str">
        <f aca="false">IF(OR($D75="",$N75=""),"",$N75*$J75)</f>
        <v/>
      </c>
      <c r="P75" s="41" t="str">
        <f aca="false">IF(OR($D75="",$L75=""),"",MAX($L75-$H75,0))</f>
        <v/>
      </c>
      <c r="Q75" s="40" t="str">
        <f aca="false">IF(OR($D75="",$N75=""),"",IF($E75="LONG",($N75-$I75)*$J75,($I75-$N75)*$J75))</f>
        <v/>
      </c>
      <c r="R75" s="42" t="str">
        <f aca="false">IF(OR($D75="",$Q75="",$K75=0),"",$Q75/$K75)</f>
        <v/>
      </c>
      <c r="S75" s="43" t="str">
        <f aca="false">IF(OR($D75="",$N75=""),"",MIN(INDEX(Config!$C$13:$C$15,$AK75),INDEX(Config!$B$13:$B$15,$AK75)*$K75)+MIN(INDEX(Config!$C$13:$C$15,$AK75),INDEX(Config!$B$13:$B$15,$AK75)*$O75))</f>
        <v/>
      </c>
      <c r="T75" s="43" t="str">
        <f aca="false">IF(OR($D75="",$N75=""),"",INDEX(Config!$D$13:$D$15,$AK75)*$AL75+INDEX(Config!$E$13:$E$15,$AK75)*$AM75)</f>
        <v/>
      </c>
      <c r="U75" s="43" t="str">
        <f aca="false">IF(OR($D75="",$N75=""),"",INDEX(Config!$F$13:$F$15,$AK75)*($K75+$O75))</f>
        <v/>
      </c>
      <c r="V75" s="43" t="str">
        <f aca="false">IF(OR($D75="",$N75=""),"",INDEX(Config!$G$13:$G$15,$AK75)*($K75+$O75)+INDEX(Config!$H$13:$H$15,$AK75)*$AL75+INDEX(Config!$J$13:$J$15,$AK75))</f>
        <v/>
      </c>
      <c r="W75" s="43" t="str">
        <f aca="false">IF(OR($D75="",$N75=""),"",INDEX(Config!$I$13:$I$15,$AK75)*($S75+$U75+INDEX(Config!$G$13:$G$15,$AK75)*($K75+$O75)))</f>
        <v/>
      </c>
      <c r="X75" s="43" t="str">
        <f aca="false">IF(OR($D75="",$N75=""),"",INDEX(Config!$K$13:$K$15,$AK75)/365*$P75*$K75*Config!$B$8)</f>
        <v/>
      </c>
      <c r="Y75" s="43" t="str">
        <f aca="false">IF(OR($D75="",$N75=""),"",SUM($S75:$X75))</f>
        <v/>
      </c>
      <c r="Z75" s="40" t="str">
        <f aca="false">IF(OR($D75="",$Q75=""),"",$Q75-$Y75)</f>
        <v/>
      </c>
      <c r="AA75" s="42" t="str">
        <f aca="false">IF(OR($D75="",$Z75="",$K75=0),"",$Z75/$K75)</f>
        <v/>
      </c>
      <c r="AB75" s="44" t="str">
        <f aca="false">IF(OR($D75="",$Y75="",$K75=0),"",$Y75/$K75*10000)</f>
        <v/>
      </c>
      <c r="AC75" s="44" t="str">
        <f aca="false">IF(OR($D75="",$G75="",$G75=0,$I75=""),"",IF($E75="LONG",($I75-$G75)/$G75,($G75-$I75)/$G75)*10000)</f>
        <v/>
      </c>
      <c r="AD75" s="45"/>
      <c r="AE75" s="40" t="str">
        <f aca="false">IF(OR($D75="",$N75&lt;&gt;"",$AD75=""),"",IF($E75="LONG",($AD75-$I75)*$J75,($I75-$AD75)*$J75))</f>
        <v/>
      </c>
      <c r="AF75" s="40" t="str">
        <f aca="false">IF(OR($D75="",$E75&lt;&gt;"LONG",$Z75=""),"",$Z75+SUMIFS($Z$4:$Z$503,$B$4:$B$503,$B75,$E$4:$E$503,"SHORT"))</f>
        <v/>
      </c>
      <c r="AG75" s="42" t="str">
        <f aca="false">IF(OR($AF75="",$K75=0),"",$AF75/$K75)</f>
        <v/>
      </c>
      <c r="AH75" s="46"/>
      <c r="AI75" s="43" t="str">
        <f aca="false">IF(OR($D75="",$AH75="",$Z75=""),"",$Z75-$AH75)</f>
        <v/>
      </c>
      <c r="AJ75" s="49"/>
      <c r="AK75" s="47" t="str">
        <f aca="false">IF($D75="","",IFERROR(MATCH($F75,Config!$A$13:$A$15,0),1))</f>
        <v/>
      </c>
      <c r="AL75" s="47" t="str">
        <f aca="false">IF(OR($D75="",$N75=""),"",IF($E75="LONG",$K75,$O75))</f>
        <v/>
      </c>
      <c r="AM75" s="47" t="str">
        <f aca="false">IF(OR($D75="",$N75=""),"",IF($E75="LONG",$O75,$K75))</f>
        <v/>
      </c>
    </row>
    <row r="76" customFormat="false" ht="15" hidden="false" customHeight="false" outlineLevel="0" collapsed="false">
      <c r="A76" s="49"/>
      <c r="B76" s="5" t="str">
        <f aca="false">IF($D76="","",IF(OR(RIGHT($A76,2)="-L",RIGHT($A76,2)="-S"),LEFT($A76,LEN($A76)-2),$A76))</f>
        <v/>
      </c>
      <c r="C76" s="50"/>
      <c r="D76" s="49"/>
      <c r="E76" s="49"/>
      <c r="F76" s="49"/>
      <c r="G76" s="45"/>
      <c r="H76" s="50"/>
      <c r="I76" s="45"/>
      <c r="J76" s="51"/>
      <c r="K76" s="40" t="str">
        <f aca="false">IF($D76="","",$I76*$J76)</f>
        <v/>
      </c>
      <c r="L76" s="50"/>
      <c r="M76" s="49"/>
      <c r="N76" s="45"/>
      <c r="O76" s="40" t="str">
        <f aca="false">IF(OR($D76="",$N76=""),"",$N76*$J76)</f>
        <v/>
      </c>
      <c r="P76" s="41" t="str">
        <f aca="false">IF(OR($D76="",$L76=""),"",MAX($L76-$H76,0))</f>
        <v/>
      </c>
      <c r="Q76" s="40" t="str">
        <f aca="false">IF(OR($D76="",$N76=""),"",IF($E76="LONG",($N76-$I76)*$J76,($I76-$N76)*$J76))</f>
        <v/>
      </c>
      <c r="R76" s="42" t="str">
        <f aca="false">IF(OR($D76="",$Q76="",$K76=0),"",$Q76/$K76)</f>
        <v/>
      </c>
      <c r="S76" s="43" t="str">
        <f aca="false">IF(OR($D76="",$N76=""),"",MIN(INDEX(Config!$C$13:$C$15,$AK76),INDEX(Config!$B$13:$B$15,$AK76)*$K76)+MIN(INDEX(Config!$C$13:$C$15,$AK76),INDEX(Config!$B$13:$B$15,$AK76)*$O76))</f>
        <v/>
      </c>
      <c r="T76" s="43" t="str">
        <f aca="false">IF(OR($D76="",$N76=""),"",INDEX(Config!$D$13:$D$15,$AK76)*$AL76+INDEX(Config!$E$13:$E$15,$AK76)*$AM76)</f>
        <v/>
      </c>
      <c r="U76" s="43" t="str">
        <f aca="false">IF(OR($D76="",$N76=""),"",INDEX(Config!$F$13:$F$15,$AK76)*($K76+$O76))</f>
        <v/>
      </c>
      <c r="V76" s="43" t="str">
        <f aca="false">IF(OR($D76="",$N76=""),"",INDEX(Config!$G$13:$G$15,$AK76)*($K76+$O76)+INDEX(Config!$H$13:$H$15,$AK76)*$AL76+INDEX(Config!$J$13:$J$15,$AK76))</f>
        <v/>
      </c>
      <c r="W76" s="43" t="str">
        <f aca="false">IF(OR($D76="",$N76=""),"",INDEX(Config!$I$13:$I$15,$AK76)*($S76+$U76+INDEX(Config!$G$13:$G$15,$AK76)*($K76+$O76)))</f>
        <v/>
      </c>
      <c r="X76" s="43" t="str">
        <f aca="false">IF(OR($D76="",$N76=""),"",INDEX(Config!$K$13:$K$15,$AK76)/365*$P76*$K76*Config!$B$8)</f>
        <v/>
      </c>
      <c r="Y76" s="43" t="str">
        <f aca="false">IF(OR($D76="",$N76=""),"",SUM($S76:$X76))</f>
        <v/>
      </c>
      <c r="Z76" s="40" t="str">
        <f aca="false">IF(OR($D76="",$Q76=""),"",$Q76-$Y76)</f>
        <v/>
      </c>
      <c r="AA76" s="42" t="str">
        <f aca="false">IF(OR($D76="",$Z76="",$K76=0),"",$Z76/$K76)</f>
        <v/>
      </c>
      <c r="AB76" s="44" t="str">
        <f aca="false">IF(OR($D76="",$Y76="",$K76=0),"",$Y76/$K76*10000)</f>
        <v/>
      </c>
      <c r="AC76" s="44" t="str">
        <f aca="false">IF(OR($D76="",$G76="",$G76=0,$I76=""),"",IF($E76="LONG",($I76-$G76)/$G76,($G76-$I76)/$G76)*10000)</f>
        <v/>
      </c>
      <c r="AD76" s="45"/>
      <c r="AE76" s="40" t="str">
        <f aca="false">IF(OR($D76="",$N76&lt;&gt;"",$AD76=""),"",IF($E76="LONG",($AD76-$I76)*$J76,($I76-$AD76)*$J76))</f>
        <v/>
      </c>
      <c r="AF76" s="40" t="str">
        <f aca="false">IF(OR($D76="",$E76&lt;&gt;"LONG",$Z76=""),"",$Z76+SUMIFS($Z$4:$Z$503,$B$4:$B$503,$B76,$E$4:$E$503,"SHORT"))</f>
        <v/>
      </c>
      <c r="AG76" s="42" t="str">
        <f aca="false">IF(OR($AF76="",$K76=0),"",$AF76/$K76)</f>
        <v/>
      </c>
      <c r="AH76" s="46"/>
      <c r="AI76" s="43" t="str">
        <f aca="false">IF(OR($D76="",$AH76="",$Z76=""),"",$Z76-$AH76)</f>
        <v/>
      </c>
      <c r="AJ76" s="49"/>
      <c r="AK76" s="47" t="str">
        <f aca="false">IF($D76="","",IFERROR(MATCH($F76,Config!$A$13:$A$15,0),1))</f>
        <v/>
      </c>
      <c r="AL76" s="47" t="str">
        <f aca="false">IF(OR($D76="",$N76=""),"",IF($E76="LONG",$K76,$O76))</f>
        <v/>
      </c>
      <c r="AM76" s="47" t="str">
        <f aca="false">IF(OR($D76="",$N76=""),"",IF($E76="LONG",$O76,$K76))</f>
        <v/>
      </c>
    </row>
    <row r="77" customFormat="false" ht="15" hidden="false" customHeight="false" outlineLevel="0" collapsed="false">
      <c r="A77" s="49"/>
      <c r="B77" s="5" t="str">
        <f aca="false">IF($D77="","",IF(OR(RIGHT($A77,2)="-L",RIGHT($A77,2)="-S"),LEFT($A77,LEN($A77)-2),$A77))</f>
        <v/>
      </c>
      <c r="C77" s="50"/>
      <c r="D77" s="49"/>
      <c r="E77" s="49"/>
      <c r="F77" s="49"/>
      <c r="G77" s="45"/>
      <c r="H77" s="50"/>
      <c r="I77" s="45"/>
      <c r="J77" s="51"/>
      <c r="K77" s="40" t="str">
        <f aca="false">IF($D77="","",$I77*$J77)</f>
        <v/>
      </c>
      <c r="L77" s="50"/>
      <c r="M77" s="49"/>
      <c r="N77" s="45"/>
      <c r="O77" s="40" t="str">
        <f aca="false">IF(OR($D77="",$N77=""),"",$N77*$J77)</f>
        <v/>
      </c>
      <c r="P77" s="41" t="str">
        <f aca="false">IF(OR($D77="",$L77=""),"",MAX($L77-$H77,0))</f>
        <v/>
      </c>
      <c r="Q77" s="40" t="str">
        <f aca="false">IF(OR($D77="",$N77=""),"",IF($E77="LONG",($N77-$I77)*$J77,($I77-$N77)*$J77))</f>
        <v/>
      </c>
      <c r="R77" s="42" t="str">
        <f aca="false">IF(OR($D77="",$Q77="",$K77=0),"",$Q77/$K77)</f>
        <v/>
      </c>
      <c r="S77" s="43" t="str">
        <f aca="false">IF(OR($D77="",$N77=""),"",MIN(INDEX(Config!$C$13:$C$15,$AK77),INDEX(Config!$B$13:$B$15,$AK77)*$K77)+MIN(INDEX(Config!$C$13:$C$15,$AK77),INDEX(Config!$B$13:$B$15,$AK77)*$O77))</f>
        <v/>
      </c>
      <c r="T77" s="43" t="str">
        <f aca="false">IF(OR($D77="",$N77=""),"",INDEX(Config!$D$13:$D$15,$AK77)*$AL77+INDEX(Config!$E$13:$E$15,$AK77)*$AM77)</f>
        <v/>
      </c>
      <c r="U77" s="43" t="str">
        <f aca="false">IF(OR($D77="",$N77=""),"",INDEX(Config!$F$13:$F$15,$AK77)*($K77+$O77))</f>
        <v/>
      </c>
      <c r="V77" s="43" t="str">
        <f aca="false">IF(OR($D77="",$N77=""),"",INDEX(Config!$G$13:$G$15,$AK77)*($K77+$O77)+INDEX(Config!$H$13:$H$15,$AK77)*$AL77+INDEX(Config!$J$13:$J$15,$AK77))</f>
        <v/>
      </c>
      <c r="W77" s="43" t="str">
        <f aca="false">IF(OR($D77="",$N77=""),"",INDEX(Config!$I$13:$I$15,$AK77)*($S77+$U77+INDEX(Config!$G$13:$G$15,$AK77)*($K77+$O77)))</f>
        <v/>
      </c>
      <c r="X77" s="43" t="str">
        <f aca="false">IF(OR($D77="",$N77=""),"",INDEX(Config!$K$13:$K$15,$AK77)/365*$P77*$K77*Config!$B$8)</f>
        <v/>
      </c>
      <c r="Y77" s="43" t="str">
        <f aca="false">IF(OR($D77="",$N77=""),"",SUM($S77:$X77))</f>
        <v/>
      </c>
      <c r="Z77" s="40" t="str">
        <f aca="false">IF(OR($D77="",$Q77=""),"",$Q77-$Y77)</f>
        <v/>
      </c>
      <c r="AA77" s="42" t="str">
        <f aca="false">IF(OR($D77="",$Z77="",$K77=0),"",$Z77/$K77)</f>
        <v/>
      </c>
      <c r="AB77" s="44" t="str">
        <f aca="false">IF(OR($D77="",$Y77="",$K77=0),"",$Y77/$K77*10000)</f>
        <v/>
      </c>
      <c r="AC77" s="44" t="str">
        <f aca="false">IF(OR($D77="",$G77="",$G77=0,$I77=""),"",IF($E77="LONG",($I77-$G77)/$G77,($G77-$I77)/$G77)*10000)</f>
        <v/>
      </c>
      <c r="AD77" s="45"/>
      <c r="AE77" s="40" t="str">
        <f aca="false">IF(OR($D77="",$N77&lt;&gt;"",$AD77=""),"",IF($E77="LONG",($AD77-$I77)*$J77,($I77-$AD77)*$J77))</f>
        <v/>
      </c>
      <c r="AF77" s="40" t="str">
        <f aca="false">IF(OR($D77="",$E77&lt;&gt;"LONG",$Z77=""),"",$Z77+SUMIFS($Z$4:$Z$503,$B$4:$B$503,$B77,$E$4:$E$503,"SHORT"))</f>
        <v/>
      </c>
      <c r="AG77" s="42" t="str">
        <f aca="false">IF(OR($AF77="",$K77=0),"",$AF77/$K77)</f>
        <v/>
      </c>
      <c r="AH77" s="46"/>
      <c r="AI77" s="43" t="str">
        <f aca="false">IF(OR($D77="",$AH77="",$Z77=""),"",$Z77-$AH77)</f>
        <v/>
      </c>
      <c r="AJ77" s="49"/>
      <c r="AK77" s="47" t="str">
        <f aca="false">IF($D77="","",IFERROR(MATCH($F77,Config!$A$13:$A$15,0),1))</f>
        <v/>
      </c>
      <c r="AL77" s="47" t="str">
        <f aca="false">IF(OR($D77="",$N77=""),"",IF($E77="LONG",$K77,$O77))</f>
        <v/>
      </c>
      <c r="AM77" s="47" t="str">
        <f aca="false">IF(OR($D77="",$N77=""),"",IF($E77="LONG",$O77,$K77))</f>
        <v/>
      </c>
    </row>
    <row r="78" customFormat="false" ht="15" hidden="false" customHeight="false" outlineLevel="0" collapsed="false">
      <c r="A78" s="49"/>
      <c r="B78" s="5" t="str">
        <f aca="false">IF($D78="","",IF(OR(RIGHT($A78,2)="-L",RIGHT($A78,2)="-S"),LEFT($A78,LEN($A78)-2),$A78))</f>
        <v/>
      </c>
      <c r="C78" s="50"/>
      <c r="D78" s="49"/>
      <c r="E78" s="49"/>
      <c r="F78" s="49"/>
      <c r="G78" s="45"/>
      <c r="H78" s="50"/>
      <c r="I78" s="45"/>
      <c r="J78" s="51"/>
      <c r="K78" s="40" t="str">
        <f aca="false">IF($D78="","",$I78*$J78)</f>
        <v/>
      </c>
      <c r="L78" s="50"/>
      <c r="M78" s="49"/>
      <c r="N78" s="45"/>
      <c r="O78" s="40" t="str">
        <f aca="false">IF(OR($D78="",$N78=""),"",$N78*$J78)</f>
        <v/>
      </c>
      <c r="P78" s="41" t="str">
        <f aca="false">IF(OR($D78="",$L78=""),"",MAX($L78-$H78,0))</f>
        <v/>
      </c>
      <c r="Q78" s="40" t="str">
        <f aca="false">IF(OR($D78="",$N78=""),"",IF($E78="LONG",($N78-$I78)*$J78,($I78-$N78)*$J78))</f>
        <v/>
      </c>
      <c r="R78" s="42" t="str">
        <f aca="false">IF(OR($D78="",$Q78="",$K78=0),"",$Q78/$K78)</f>
        <v/>
      </c>
      <c r="S78" s="43" t="str">
        <f aca="false">IF(OR($D78="",$N78=""),"",MIN(INDEX(Config!$C$13:$C$15,$AK78),INDEX(Config!$B$13:$B$15,$AK78)*$K78)+MIN(INDEX(Config!$C$13:$C$15,$AK78),INDEX(Config!$B$13:$B$15,$AK78)*$O78))</f>
        <v/>
      </c>
      <c r="T78" s="43" t="str">
        <f aca="false">IF(OR($D78="",$N78=""),"",INDEX(Config!$D$13:$D$15,$AK78)*$AL78+INDEX(Config!$E$13:$E$15,$AK78)*$AM78)</f>
        <v/>
      </c>
      <c r="U78" s="43" t="str">
        <f aca="false">IF(OR($D78="",$N78=""),"",INDEX(Config!$F$13:$F$15,$AK78)*($K78+$O78))</f>
        <v/>
      </c>
      <c r="V78" s="43" t="str">
        <f aca="false">IF(OR($D78="",$N78=""),"",INDEX(Config!$G$13:$G$15,$AK78)*($K78+$O78)+INDEX(Config!$H$13:$H$15,$AK78)*$AL78+INDEX(Config!$J$13:$J$15,$AK78))</f>
        <v/>
      </c>
      <c r="W78" s="43" t="str">
        <f aca="false">IF(OR($D78="",$N78=""),"",INDEX(Config!$I$13:$I$15,$AK78)*($S78+$U78+INDEX(Config!$G$13:$G$15,$AK78)*($K78+$O78)))</f>
        <v/>
      </c>
      <c r="X78" s="43" t="str">
        <f aca="false">IF(OR($D78="",$N78=""),"",INDEX(Config!$K$13:$K$15,$AK78)/365*$P78*$K78*Config!$B$8)</f>
        <v/>
      </c>
      <c r="Y78" s="43" t="str">
        <f aca="false">IF(OR($D78="",$N78=""),"",SUM($S78:$X78))</f>
        <v/>
      </c>
      <c r="Z78" s="40" t="str">
        <f aca="false">IF(OR($D78="",$Q78=""),"",$Q78-$Y78)</f>
        <v/>
      </c>
      <c r="AA78" s="42" t="str">
        <f aca="false">IF(OR($D78="",$Z78="",$K78=0),"",$Z78/$K78)</f>
        <v/>
      </c>
      <c r="AB78" s="44" t="str">
        <f aca="false">IF(OR($D78="",$Y78="",$K78=0),"",$Y78/$K78*10000)</f>
        <v/>
      </c>
      <c r="AC78" s="44" t="str">
        <f aca="false">IF(OR($D78="",$G78="",$G78=0,$I78=""),"",IF($E78="LONG",($I78-$G78)/$G78,($G78-$I78)/$G78)*10000)</f>
        <v/>
      </c>
      <c r="AD78" s="45"/>
      <c r="AE78" s="40" t="str">
        <f aca="false">IF(OR($D78="",$N78&lt;&gt;"",$AD78=""),"",IF($E78="LONG",($AD78-$I78)*$J78,($I78-$AD78)*$J78))</f>
        <v/>
      </c>
      <c r="AF78" s="40" t="str">
        <f aca="false">IF(OR($D78="",$E78&lt;&gt;"LONG",$Z78=""),"",$Z78+SUMIFS($Z$4:$Z$503,$B$4:$B$503,$B78,$E$4:$E$503,"SHORT"))</f>
        <v/>
      </c>
      <c r="AG78" s="42" t="str">
        <f aca="false">IF(OR($AF78="",$K78=0),"",$AF78/$K78)</f>
        <v/>
      </c>
      <c r="AH78" s="46"/>
      <c r="AI78" s="43" t="str">
        <f aca="false">IF(OR($D78="",$AH78="",$Z78=""),"",$Z78-$AH78)</f>
        <v/>
      </c>
      <c r="AJ78" s="49"/>
      <c r="AK78" s="47" t="str">
        <f aca="false">IF($D78="","",IFERROR(MATCH($F78,Config!$A$13:$A$15,0),1))</f>
        <v/>
      </c>
      <c r="AL78" s="47" t="str">
        <f aca="false">IF(OR($D78="",$N78=""),"",IF($E78="LONG",$K78,$O78))</f>
        <v/>
      </c>
      <c r="AM78" s="47" t="str">
        <f aca="false">IF(OR($D78="",$N78=""),"",IF($E78="LONG",$O78,$K78))</f>
        <v/>
      </c>
    </row>
    <row r="79" customFormat="false" ht="15" hidden="false" customHeight="false" outlineLevel="0" collapsed="false">
      <c r="A79" s="49"/>
      <c r="B79" s="5" t="str">
        <f aca="false">IF($D79="","",IF(OR(RIGHT($A79,2)="-L",RIGHT($A79,2)="-S"),LEFT($A79,LEN($A79)-2),$A79))</f>
        <v/>
      </c>
      <c r="C79" s="50"/>
      <c r="D79" s="49"/>
      <c r="E79" s="49"/>
      <c r="F79" s="49"/>
      <c r="G79" s="45"/>
      <c r="H79" s="50"/>
      <c r="I79" s="45"/>
      <c r="J79" s="51"/>
      <c r="K79" s="40" t="str">
        <f aca="false">IF($D79="","",$I79*$J79)</f>
        <v/>
      </c>
      <c r="L79" s="50"/>
      <c r="M79" s="49"/>
      <c r="N79" s="45"/>
      <c r="O79" s="40" t="str">
        <f aca="false">IF(OR($D79="",$N79=""),"",$N79*$J79)</f>
        <v/>
      </c>
      <c r="P79" s="41" t="str">
        <f aca="false">IF(OR($D79="",$L79=""),"",MAX($L79-$H79,0))</f>
        <v/>
      </c>
      <c r="Q79" s="40" t="str">
        <f aca="false">IF(OR($D79="",$N79=""),"",IF($E79="LONG",($N79-$I79)*$J79,($I79-$N79)*$J79))</f>
        <v/>
      </c>
      <c r="R79" s="42" t="str">
        <f aca="false">IF(OR($D79="",$Q79="",$K79=0),"",$Q79/$K79)</f>
        <v/>
      </c>
      <c r="S79" s="43" t="str">
        <f aca="false">IF(OR($D79="",$N79=""),"",MIN(INDEX(Config!$C$13:$C$15,$AK79),INDEX(Config!$B$13:$B$15,$AK79)*$K79)+MIN(INDEX(Config!$C$13:$C$15,$AK79),INDEX(Config!$B$13:$B$15,$AK79)*$O79))</f>
        <v/>
      </c>
      <c r="T79" s="43" t="str">
        <f aca="false">IF(OR($D79="",$N79=""),"",INDEX(Config!$D$13:$D$15,$AK79)*$AL79+INDEX(Config!$E$13:$E$15,$AK79)*$AM79)</f>
        <v/>
      </c>
      <c r="U79" s="43" t="str">
        <f aca="false">IF(OR($D79="",$N79=""),"",INDEX(Config!$F$13:$F$15,$AK79)*($K79+$O79))</f>
        <v/>
      </c>
      <c r="V79" s="43" t="str">
        <f aca="false">IF(OR($D79="",$N79=""),"",INDEX(Config!$G$13:$G$15,$AK79)*($K79+$O79)+INDEX(Config!$H$13:$H$15,$AK79)*$AL79+INDEX(Config!$J$13:$J$15,$AK79))</f>
        <v/>
      </c>
      <c r="W79" s="43" t="str">
        <f aca="false">IF(OR($D79="",$N79=""),"",INDEX(Config!$I$13:$I$15,$AK79)*($S79+$U79+INDEX(Config!$G$13:$G$15,$AK79)*($K79+$O79)))</f>
        <v/>
      </c>
      <c r="X79" s="43" t="str">
        <f aca="false">IF(OR($D79="",$N79=""),"",INDEX(Config!$K$13:$K$15,$AK79)/365*$P79*$K79*Config!$B$8)</f>
        <v/>
      </c>
      <c r="Y79" s="43" t="str">
        <f aca="false">IF(OR($D79="",$N79=""),"",SUM($S79:$X79))</f>
        <v/>
      </c>
      <c r="Z79" s="40" t="str">
        <f aca="false">IF(OR($D79="",$Q79=""),"",$Q79-$Y79)</f>
        <v/>
      </c>
      <c r="AA79" s="42" t="str">
        <f aca="false">IF(OR($D79="",$Z79="",$K79=0),"",$Z79/$K79)</f>
        <v/>
      </c>
      <c r="AB79" s="44" t="str">
        <f aca="false">IF(OR($D79="",$Y79="",$K79=0),"",$Y79/$K79*10000)</f>
        <v/>
      </c>
      <c r="AC79" s="44" t="str">
        <f aca="false">IF(OR($D79="",$G79="",$G79=0,$I79=""),"",IF($E79="LONG",($I79-$G79)/$G79,($G79-$I79)/$G79)*10000)</f>
        <v/>
      </c>
      <c r="AD79" s="45"/>
      <c r="AE79" s="40" t="str">
        <f aca="false">IF(OR($D79="",$N79&lt;&gt;"",$AD79=""),"",IF($E79="LONG",($AD79-$I79)*$J79,($I79-$AD79)*$J79))</f>
        <v/>
      </c>
      <c r="AF79" s="40" t="str">
        <f aca="false">IF(OR($D79="",$E79&lt;&gt;"LONG",$Z79=""),"",$Z79+SUMIFS($Z$4:$Z$503,$B$4:$B$503,$B79,$E$4:$E$503,"SHORT"))</f>
        <v/>
      </c>
      <c r="AG79" s="42" t="str">
        <f aca="false">IF(OR($AF79="",$K79=0),"",$AF79/$K79)</f>
        <v/>
      </c>
      <c r="AH79" s="46"/>
      <c r="AI79" s="43" t="str">
        <f aca="false">IF(OR($D79="",$AH79="",$Z79=""),"",$Z79-$AH79)</f>
        <v/>
      </c>
      <c r="AJ79" s="49"/>
      <c r="AK79" s="47" t="str">
        <f aca="false">IF($D79="","",IFERROR(MATCH($F79,Config!$A$13:$A$15,0),1))</f>
        <v/>
      </c>
      <c r="AL79" s="47" t="str">
        <f aca="false">IF(OR($D79="",$N79=""),"",IF($E79="LONG",$K79,$O79))</f>
        <v/>
      </c>
      <c r="AM79" s="47" t="str">
        <f aca="false">IF(OR($D79="",$N79=""),"",IF($E79="LONG",$O79,$K79))</f>
        <v/>
      </c>
    </row>
    <row r="80" customFormat="false" ht="15" hidden="false" customHeight="false" outlineLevel="0" collapsed="false">
      <c r="A80" s="49"/>
      <c r="B80" s="5" t="str">
        <f aca="false">IF($D80="","",IF(OR(RIGHT($A80,2)="-L",RIGHT($A80,2)="-S"),LEFT($A80,LEN($A80)-2),$A80))</f>
        <v/>
      </c>
      <c r="C80" s="50"/>
      <c r="D80" s="49"/>
      <c r="E80" s="49"/>
      <c r="F80" s="49"/>
      <c r="G80" s="45"/>
      <c r="H80" s="50"/>
      <c r="I80" s="45"/>
      <c r="J80" s="51"/>
      <c r="K80" s="40" t="str">
        <f aca="false">IF($D80="","",$I80*$J80)</f>
        <v/>
      </c>
      <c r="L80" s="50"/>
      <c r="M80" s="49"/>
      <c r="N80" s="45"/>
      <c r="O80" s="40" t="str">
        <f aca="false">IF(OR($D80="",$N80=""),"",$N80*$J80)</f>
        <v/>
      </c>
      <c r="P80" s="41" t="str">
        <f aca="false">IF(OR($D80="",$L80=""),"",MAX($L80-$H80,0))</f>
        <v/>
      </c>
      <c r="Q80" s="40" t="str">
        <f aca="false">IF(OR($D80="",$N80=""),"",IF($E80="LONG",($N80-$I80)*$J80,($I80-$N80)*$J80))</f>
        <v/>
      </c>
      <c r="R80" s="42" t="str">
        <f aca="false">IF(OR($D80="",$Q80="",$K80=0),"",$Q80/$K80)</f>
        <v/>
      </c>
      <c r="S80" s="43" t="str">
        <f aca="false">IF(OR($D80="",$N80=""),"",MIN(INDEX(Config!$C$13:$C$15,$AK80),INDEX(Config!$B$13:$B$15,$AK80)*$K80)+MIN(INDEX(Config!$C$13:$C$15,$AK80),INDEX(Config!$B$13:$B$15,$AK80)*$O80))</f>
        <v/>
      </c>
      <c r="T80" s="43" t="str">
        <f aca="false">IF(OR($D80="",$N80=""),"",INDEX(Config!$D$13:$D$15,$AK80)*$AL80+INDEX(Config!$E$13:$E$15,$AK80)*$AM80)</f>
        <v/>
      </c>
      <c r="U80" s="43" t="str">
        <f aca="false">IF(OR($D80="",$N80=""),"",INDEX(Config!$F$13:$F$15,$AK80)*($K80+$O80))</f>
        <v/>
      </c>
      <c r="V80" s="43" t="str">
        <f aca="false">IF(OR($D80="",$N80=""),"",INDEX(Config!$G$13:$G$15,$AK80)*($K80+$O80)+INDEX(Config!$H$13:$H$15,$AK80)*$AL80+INDEX(Config!$J$13:$J$15,$AK80))</f>
        <v/>
      </c>
      <c r="W80" s="43" t="str">
        <f aca="false">IF(OR($D80="",$N80=""),"",INDEX(Config!$I$13:$I$15,$AK80)*($S80+$U80+INDEX(Config!$G$13:$G$15,$AK80)*($K80+$O80)))</f>
        <v/>
      </c>
      <c r="X80" s="43" t="str">
        <f aca="false">IF(OR($D80="",$N80=""),"",INDEX(Config!$K$13:$K$15,$AK80)/365*$P80*$K80*Config!$B$8)</f>
        <v/>
      </c>
      <c r="Y80" s="43" t="str">
        <f aca="false">IF(OR($D80="",$N80=""),"",SUM($S80:$X80))</f>
        <v/>
      </c>
      <c r="Z80" s="40" t="str">
        <f aca="false">IF(OR($D80="",$Q80=""),"",$Q80-$Y80)</f>
        <v/>
      </c>
      <c r="AA80" s="42" t="str">
        <f aca="false">IF(OR($D80="",$Z80="",$K80=0),"",$Z80/$K80)</f>
        <v/>
      </c>
      <c r="AB80" s="44" t="str">
        <f aca="false">IF(OR($D80="",$Y80="",$K80=0),"",$Y80/$K80*10000)</f>
        <v/>
      </c>
      <c r="AC80" s="44" t="str">
        <f aca="false">IF(OR($D80="",$G80="",$G80=0,$I80=""),"",IF($E80="LONG",($I80-$G80)/$G80,($G80-$I80)/$G80)*10000)</f>
        <v/>
      </c>
      <c r="AD80" s="45"/>
      <c r="AE80" s="40" t="str">
        <f aca="false">IF(OR($D80="",$N80&lt;&gt;"",$AD80=""),"",IF($E80="LONG",($AD80-$I80)*$J80,($I80-$AD80)*$J80))</f>
        <v/>
      </c>
      <c r="AF80" s="40" t="str">
        <f aca="false">IF(OR($D80="",$E80&lt;&gt;"LONG",$Z80=""),"",$Z80+SUMIFS($Z$4:$Z$503,$B$4:$B$503,$B80,$E$4:$E$503,"SHORT"))</f>
        <v/>
      </c>
      <c r="AG80" s="42" t="str">
        <f aca="false">IF(OR($AF80="",$K80=0),"",$AF80/$K80)</f>
        <v/>
      </c>
      <c r="AH80" s="46"/>
      <c r="AI80" s="43" t="str">
        <f aca="false">IF(OR($D80="",$AH80="",$Z80=""),"",$Z80-$AH80)</f>
        <v/>
      </c>
      <c r="AJ80" s="49"/>
      <c r="AK80" s="47" t="str">
        <f aca="false">IF($D80="","",IFERROR(MATCH($F80,Config!$A$13:$A$15,0),1))</f>
        <v/>
      </c>
      <c r="AL80" s="47" t="str">
        <f aca="false">IF(OR($D80="",$N80=""),"",IF($E80="LONG",$K80,$O80))</f>
        <v/>
      </c>
      <c r="AM80" s="47" t="str">
        <f aca="false">IF(OR($D80="",$N80=""),"",IF($E80="LONG",$O80,$K80))</f>
        <v/>
      </c>
    </row>
    <row r="81" customFormat="false" ht="15" hidden="false" customHeight="false" outlineLevel="0" collapsed="false">
      <c r="A81" s="49"/>
      <c r="B81" s="5" t="str">
        <f aca="false">IF($D81="","",IF(OR(RIGHT($A81,2)="-L",RIGHT($A81,2)="-S"),LEFT($A81,LEN($A81)-2),$A81))</f>
        <v/>
      </c>
      <c r="C81" s="50"/>
      <c r="D81" s="49"/>
      <c r="E81" s="49"/>
      <c r="F81" s="49"/>
      <c r="G81" s="45"/>
      <c r="H81" s="50"/>
      <c r="I81" s="45"/>
      <c r="J81" s="51"/>
      <c r="K81" s="40" t="str">
        <f aca="false">IF($D81="","",$I81*$J81)</f>
        <v/>
      </c>
      <c r="L81" s="50"/>
      <c r="M81" s="49"/>
      <c r="N81" s="45"/>
      <c r="O81" s="40" t="str">
        <f aca="false">IF(OR($D81="",$N81=""),"",$N81*$J81)</f>
        <v/>
      </c>
      <c r="P81" s="41" t="str">
        <f aca="false">IF(OR($D81="",$L81=""),"",MAX($L81-$H81,0))</f>
        <v/>
      </c>
      <c r="Q81" s="40" t="str">
        <f aca="false">IF(OR($D81="",$N81=""),"",IF($E81="LONG",($N81-$I81)*$J81,($I81-$N81)*$J81))</f>
        <v/>
      </c>
      <c r="R81" s="42" t="str">
        <f aca="false">IF(OR($D81="",$Q81="",$K81=0),"",$Q81/$K81)</f>
        <v/>
      </c>
      <c r="S81" s="43" t="str">
        <f aca="false">IF(OR($D81="",$N81=""),"",MIN(INDEX(Config!$C$13:$C$15,$AK81),INDEX(Config!$B$13:$B$15,$AK81)*$K81)+MIN(INDEX(Config!$C$13:$C$15,$AK81),INDEX(Config!$B$13:$B$15,$AK81)*$O81))</f>
        <v/>
      </c>
      <c r="T81" s="43" t="str">
        <f aca="false">IF(OR($D81="",$N81=""),"",INDEX(Config!$D$13:$D$15,$AK81)*$AL81+INDEX(Config!$E$13:$E$15,$AK81)*$AM81)</f>
        <v/>
      </c>
      <c r="U81" s="43" t="str">
        <f aca="false">IF(OR($D81="",$N81=""),"",INDEX(Config!$F$13:$F$15,$AK81)*($K81+$O81))</f>
        <v/>
      </c>
      <c r="V81" s="43" t="str">
        <f aca="false">IF(OR($D81="",$N81=""),"",INDEX(Config!$G$13:$G$15,$AK81)*($K81+$O81)+INDEX(Config!$H$13:$H$15,$AK81)*$AL81+INDEX(Config!$J$13:$J$15,$AK81))</f>
        <v/>
      </c>
      <c r="W81" s="43" t="str">
        <f aca="false">IF(OR($D81="",$N81=""),"",INDEX(Config!$I$13:$I$15,$AK81)*($S81+$U81+INDEX(Config!$G$13:$G$15,$AK81)*($K81+$O81)))</f>
        <v/>
      </c>
      <c r="X81" s="43" t="str">
        <f aca="false">IF(OR($D81="",$N81=""),"",INDEX(Config!$K$13:$K$15,$AK81)/365*$P81*$K81*Config!$B$8)</f>
        <v/>
      </c>
      <c r="Y81" s="43" t="str">
        <f aca="false">IF(OR($D81="",$N81=""),"",SUM($S81:$X81))</f>
        <v/>
      </c>
      <c r="Z81" s="40" t="str">
        <f aca="false">IF(OR($D81="",$Q81=""),"",$Q81-$Y81)</f>
        <v/>
      </c>
      <c r="AA81" s="42" t="str">
        <f aca="false">IF(OR($D81="",$Z81="",$K81=0),"",$Z81/$K81)</f>
        <v/>
      </c>
      <c r="AB81" s="44" t="str">
        <f aca="false">IF(OR($D81="",$Y81="",$K81=0),"",$Y81/$K81*10000)</f>
        <v/>
      </c>
      <c r="AC81" s="44" t="str">
        <f aca="false">IF(OR($D81="",$G81="",$G81=0,$I81=""),"",IF($E81="LONG",($I81-$G81)/$G81,($G81-$I81)/$G81)*10000)</f>
        <v/>
      </c>
      <c r="AD81" s="45"/>
      <c r="AE81" s="40" t="str">
        <f aca="false">IF(OR($D81="",$N81&lt;&gt;"",$AD81=""),"",IF($E81="LONG",($AD81-$I81)*$J81,($I81-$AD81)*$J81))</f>
        <v/>
      </c>
      <c r="AF81" s="40" t="str">
        <f aca="false">IF(OR($D81="",$E81&lt;&gt;"LONG",$Z81=""),"",$Z81+SUMIFS($Z$4:$Z$503,$B$4:$B$503,$B81,$E$4:$E$503,"SHORT"))</f>
        <v/>
      </c>
      <c r="AG81" s="42" t="str">
        <f aca="false">IF(OR($AF81="",$K81=0),"",$AF81/$K81)</f>
        <v/>
      </c>
      <c r="AH81" s="46"/>
      <c r="AI81" s="43" t="str">
        <f aca="false">IF(OR($D81="",$AH81="",$Z81=""),"",$Z81-$AH81)</f>
        <v/>
      </c>
      <c r="AJ81" s="49"/>
      <c r="AK81" s="47" t="str">
        <f aca="false">IF($D81="","",IFERROR(MATCH($F81,Config!$A$13:$A$15,0),1))</f>
        <v/>
      </c>
      <c r="AL81" s="47" t="str">
        <f aca="false">IF(OR($D81="",$N81=""),"",IF($E81="LONG",$K81,$O81))</f>
        <v/>
      </c>
      <c r="AM81" s="47" t="str">
        <f aca="false">IF(OR($D81="",$N81=""),"",IF($E81="LONG",$O81,$K81))</f>
        <v/>
      </c>
    </row>
    <row r="82" customFormat="false" ht="15" hidden="false" customHeight="false" outlineLevel="0" collapsed="false">
      <c r="A82" s="49"/>
      <c r="B82" s="5" t="str">
        <f aca="false">IF($D82="","",IF(OR(RIGHT($A82,2)="-L",RIGHT($A82,2)="-S"),LEFT($A82,LEN($A82)-2),$A82))</f>
        <v/>
      </c>
      <c r="C82" s="50"/>
      <c r="D82" s="49"/>
      <c r="E82" s="49"/>
      <c r="F82" s="49"/>
      <c r="G82" s="45"/>
      <c r="H82" s="50"/>
      <c r="I82" s="45"/>
      <c r="J82" s="51"/>
      <c r="K82" s="40" t="str">
        <f aca="false">IF($D82="","",$I82*$J82)</f>
        <v/>
      </c>
      <c r="L82" s="50"/>
      <c r="M82" s="49"/>
      <c r="N82" s="45"/>
      <c r="O82" s="40" t="str">
        <f aca="false">IF(OR($D82="",$N82=""),"",$N82*$J82)</f>
        <v/>
      </c>
      <c r="P82" s="41" t="str">
        <f aca="false">IF(OR($D82="",$L82=""),"",MAX($L82-$H82,0))</f>
        <v/>
      </c>
      <c r="Q82" s="40" t="str">
        <f aca="false">IF(OR($D82="",$N82=""),"",IF($E82="LONG",($N82-$I82)*$J82,($I82-$N82)*$J82))</f>
        <v/>
      </c>
      <c r="R82" s="42" t="str">
        <f aca="false">IF(OR($D82="",$Q82="",$K82=0),"",$Q82/$K82)</f>
        <v/>
      </c>
      <c r="S82" s="43" t="str">
        <f aca="false">IF(OR($D82="",$N82=""),"",MIN(INDEX(Config!$C$13:$C$15,$AK82),INDEX(Config!$B$13:$B$15,$AK82)*$K82)+MIN(INDEX(Config!$C$13:$C$15,$AK82),INDEX(Config!$B$13:$B$15,$AK82)*$O82))</f>
        <v/>
      </c>
      <c r="T82" s="43" t="str">
        <f aca="false">IF(OR($D82="",$N82=""),"",INDEX(Config!$D$13:$D$15,$AK82)*$AL82+INDEX(Config!$E$13:$E$15,$AK82)*$AM82)</f>
        <v/>
      </c>
      <c r="U82" s="43" t="str">
        <f aca="false">IF(OR($D82="",$N82=""),"",INDEX(Config!$F$13:$F$15,$AK82)*($K82+$O82))</f>
        <v/>
      </c>
      <c r="V82" s="43" t="str">
        <f aca="false">IF(OR($D82="",$N82=""),"",INDEX(Config!$G$13:$G$15,$AK82)*($K82+$O82)+INDEX(Config!$H$13:$H$15,$AK82)*$AL82+INDEX(Config!$J$13:$J$15,$AK82))</f>
        <v/>
      </c>
      <c r="W82" s="43" t="str">
        <f aca="false">IF(OR($D82="",$N82=""),"",INDEX(Config!$I$13:$I$15,$AK82)*($S82+$U82+INDEX(Config!$G$13:$G$15,$AK82)*($K82+$O82)))</f>
        <v/>
      </c>
      <c r="X82" s="43" t="str">
        <f aca="false">IF(OR($D82="",$N82=""),"",INDEX(Config!$K$13:$K$15,$AK82)/365*$P82*$K82*Config!$B$8)</f>
        <v/>
      </c>
      <c r="Y82" s="43" t="str">
        <f aca="false">IF(OR($D82="",$N82=""),"",SUM($S82:$X82))</f>
        <v/>
      </c>
      <c r="Z82" s="40" t="str">
        <f aca="false">IF(OR($D82="",$Q82=""),"",$Q82-$Y82)</f>
        <v/>
      </c>
      <c r="AA82" s="42" t="str">
        <f aca="false">IF(OR($D82="",$Z82="",$K82=0),"",$Z82/$K82)</f>
        <v/>
      </c>
      <c r="AB82" s="44" t="str">
        <f aca="false">IF(OR($D82="",$Y82="",$K82=0),"",$Y82/$K82*10000)</f>
        <v/>
      </c>
      <c r="AC82" s="44" t="str">
        <f aca="false">IF(OR($D82="",$G82="",$G82=0,$I82=""),"",IF($E82="LONG",($I82-$G82)/$G82,($G82-$I82)/$G82)*10000)</f>
        <v/>
      </c>
      <c r="AD82" s="45"/>
      <c r="AE82" s="40" t="str">
        <f aca="false">IF(OR($D82="",$N82&lt;&gt;"",$AD82=""),"",IF($E82="LONG",($AD82-$I82)*$J82,($I82-$AD82)*$J82))</f>
        <v/>
      </c>
      <c r="AF82" s="40" t="str">
        <f aca="false">IF(OR($D82="",$E82&lt;&gt;"LONG",$Z82=""),"",$Z82+SUMIFS($Z$4:$Z$503,$B$4:$B$503,$B82,$E$4:$E$503,"SHORT"))</f>
        <v/>
      </c>
      <c r="AG82" s="42" t="str">
        <f aca="false">IF(OR($AF82="",$K82=0),"",$AF82/$K82)</f>
        <v/>
      </c>
      <c r="AH82" s="46"/>
      <c r="AI82" s="43" t="str">
        <f aca="false">IF(OR($D82="",$AH82="",$Z82=""),"",$Z82-$AH82)</f>
        <v/>
      </c>
      <c r="AJ82" s="49"/>
      <c r="AK82" s="47" t="str">
        <f aca="false">IF($D82="","",IFERROR(MATCH($F82,Config!$A$13:$A$15,0),1))</f>
        <v/>
      </c>
      <c r="AL82" s="47" t="str">
        <f aca="false">IF(OR($D82="",$N82=""),"",IF($E82="LONG",$K82,$O82))</f>
        <v/>
      </c>
      <c r="AM82" s="47" t="str">
        <f aca="false">IF(OR($D82="",$N82=""),"",IF($E82="LONG",$O82,$K82))</f>
        <v/>
      </c>
    </row>
    <row r="83" customFormat="false" ht="15" hidden="false" customHeight="false" outlineLevel="0" collapsed="false">
      <c r="A83" s="49"/>
      <c r="B83" s="5" t="str">
        <f aca="false">IF($D83="","",IF(OR(RIGHT($A83,2)="-L",RIGHT($A83,2)="-S"),LEFT($A83,LEN($A83)-2),$A83))</f>
        <v/>
      </c>
      <c r="C83" s="50"/>
      <c r="D83" s="49"/>
      <c r="E83" s="49"/>
      <c r="F83" s="49"/>
      <c r="G83" s="45"/>
      <c r="H83" s="50"/>
      <c r="I83" s="45"/>
      <c r="J83" s="51"/>
      <c r="K83" s="40" t="str">
        <f aca="false">IF($D83="","",$I83*$J83)</f>
        <v/>
      </c>
      <c r="L83" s="50"/>
      <c r="M83" s="49"/>
      <c r="N83" s="45"/>
      <c r="O83" s="40" t="str">
        <f aca="false">IF(OR($D83="",$N83=""),"",$N83*$J83)</f>
        <v/>
      </c>
      <c r="P83" s="41" t="str">
        <f aca="false">IF(OR($D83="",$L83=""),"",MAX($L83-$H83,0))</f>
        <v/>
      </c>
      <c r="Q83" s="40" t="str">
        <f aca="false">IF(OR($D83="",$N83=""),"",IF($E83="LONG",($N83-$I83)*$J83,($I83-$N83)*$J83))</f>
        <v/>
      </c>
      <c r="R83" s="42" t="str">
        <f aca="false">IF(OR($D83="",$Q83="",$K83=0),"",$Q83/$K83)</f>
        <v/>
      </c>
      <c r="S83" s="43" t="str">
        <f aca="false">IF(OR($D83="",$N83=""),"",MIN(INDEX(Config!$C$13:$C$15,$AK83),INDEX(Config!$B$13:$B$15,$AK83)*$K83)+MIN(INDEX(Config!$C$13:$C$15,$AK83),INDEX(Config!$B$13:$B$15,$AK83)*$O83))</f>
        <v/>
      </c>
      <c r="T83" s="43" t="str">
        <f aca="false">IF(OR($D83="",$N83=""),"",INDEX(Config!$D$13:$D$15,$AK83)*$AL83+INDEX(Config!$E$13:$E$15,$AK83)*$AM83)</f>
        <v/>
      </c>
      <c r="U83" s="43" t="str">
        <f aca="false">IF(OR($D83="",$N83=""),"",INDEX(Config!$F$13:$F$15,$AK83)*($K83+$O83))</f>
        <v/>
      </c>
      <c r="V83" s="43" t="str">
        <f aca="false">IF(OR($D83="",$N83=""),"",INDEX(Config!$G$13:$G$15,$AK83)*($K83+$O83)+INDEX(Config!$H$13:$H$15,$AK83)*$AL83+INDEX(Config!$J$13:$J$15,$AK83))</f>
        <v/>
      </c>
      <c r="W83" s="43" t="str">
        <f aca="false">IF(OR($D83="",$N83=""),"",INDEX(Config!$I$13:$I$15,$AK83)*($S83+$U83+INDEX(Config!$G$13:$G$15,$AK83)*($K83+$O83)))</f>
        <v/>
      </c>
      <c r="X83" s="43" t="str">
        <f aca="false">IF(OR($D83="",$N83=""),"",INDEX(Config!$K$13:$K$15,$AK83)/365*$P83*$K83*Config!$B$8)</f>
        <v/>
      </c>
      <c r="Y83" s="43" t="str">
        <f aca="false">IF(OR($D83="",$N83=""),"",SUM($S83:$X83))</f>
        <v/>
      </c>
      <c r="Z83" s="40" t="str">
        <f aca="false">IF(OR($D83="",$Q83=""),"",$Q83-$Y83)</f>
        <v/>
      </c>
      <c r="AA83" s="42" t="str">
        <f aca="false">IF(OR($D83="",$Z83="",$K83=0),"",$Z83/$K83)</f>
        <v/>
      </c>
      <c r="AB83" s="44" t="str">
        <f aca="false">IF(OR($D83="",$Y83="",$K83=0),"",$Y83/$K83*10000)</f>
        <v/>
      </c>
      <c r="AC83" s="44" t="str">
        <f aca="false">IF(OR($D83="",$G83="",$G83=0,$I83=""),"",IF($E83="LONG",($I83-$G83)/$G83,($G83-$I83)/$G83)*10000)</f>
        <v/>
      </c>
      <c r="AD83" s="45"/>
      <c r="AE83" s="40" t="str">
        <f aca="false">IF(OR($D83="",$N83&lt;&gt;"",$AD83=""),"",IF($E83="LONG",($AD83-$I83)*$J83,($I83-$AD83)*$J83))</f>
        <v/>
      </c>
      <c r="AF83" s="40" t="str">
        <f aca="false">IF(OR($D83="",$E83&lt;&gt;"LONG",$Z83=""),"",$Z83+SUMIFS($Z$4:$Z$503,$B$4:$B$503,$B83,$E$4:$E$503,"SHORT"))</f>
        <v/>
      </c>
      <c r="AG83" s="42" t="str">
        <f aca="false">IF(OR($AF83="",$K83=0),"",$AF83/$K83)</f>
        <v/>
      </c>
      <c r="AH83" s="46"/>
      <c r="AI83" s="43" t="str">
        <f aca="false">IF(OR($D83="",$AH83="",$Z83=""),"",$Z83-$AH83)</f>
        <v/>
      </c>
      <c r="AJ83" s="49"/>
      <c r="AK83" s="47" t="str">
        <f aca="false">IF($D83="","",IFERROR(MATCH($F83,Config!$A$13:$A$15,0),1))</f>
        <v/>
      </c>
      <c r="AL83" s="47" t="str">
        <f aca="false">IF(OR($D83="",$N83=""),"",IF($E83="LONG",$K83,$O83))</f>
        <v/>
      </c>
      <c r="AM83" s="47" t="str">
        <f aca="false">IF(OR($D83="",$N83=""),"",IF($E83="LONG",$O83,$K83))</f>
        <v/>
      </c>
    </row>
    <row r="84" customFormat="false" ht="15" hidden="false" customHeight="false" outlineLevel="0" collapsed="false">
      <c r="A84" s="49"/>
      <c r="B84" s="5" t="str">
        <f aca="false">IF($D84="","",IF(OR(RIGHT($A84,2)="-L",RIGHT($A84,2)="-S"),LEFT($A84,LEN($A84)-2),$A84))</f>
        <v/>
      </c>
      <c r="C84" s="50"/>
      <c r="D84" s="49"/>
      <c r="E84" s="49"/>
      <c r="F84" s="49"/>
      <c r="G84" s="45"/>
      <c r="H84" s="50"/>
      <c r="I84" s="45"/>
      <c r="J84" s="51"/>
      <c r="K84" s="40" t="str">
        <f aca="false">IF($D84="","",$I84*$J84)</f>
        <v/>
      </c>
      <c r="L84" s="50"/>
      <c r="M84" s="49"/>
      <c r="N84" s="45"/>
      <c r="O84" s="40" t="str">
        <f aca="false">IF(OR($D84="",$N84=""),"",$N84*$J84)</f>
        <v/>
      </c>
      <c r="P84" s="41" t="str">
        <f aca="false">IF(OR($D84="",$L84=""),"",MAX($L84-$H84,0))</f>
        <v/>
      </c>
      <c r="Q84" s="40" t="str">
        <f aca="false">IF(OR($D84="",$N84=""),"",IF($E84="LONG",($N84-$I84)*$J84,($I84-$N84)*$J84))</f>
        <v/>
      </c>
      <c r="R84" s="42" t="str">
        <f aca="false">IF(OR($D84="",$Q84="",$K84=0),"",$Q84/$K84)</f>
        <v/>
      </c>
      <c r="S84" s="43" t="str">
        <f aca="false">IF(OR($D84="",$N84=""),"",MIN(INDEX(Config!$C$13:$C$15,$AK84),INDEX(Config!$B$13:$B$15,$AK84)*$K84)+MIN(INDEX(Config!$C$13:$C$15,$AK84),INDEX(Config!$B$13:$B$15,$AK84)*$O84))</f>
        <v/>
      </c>
      <c r="T84" s="43" t="str">
        <f aca="false">IF(OR($D84="",$N84=""),"",INDEX(Config!$D$13:$D$15,$AK84)*$AL84+INDEX(Config!$E$13:$E$15,$AK84)*$AM84)</f>
        <v/>
      </c>
      <c r="U84" s="43" t="str">
        <f aca="false">IF(OR($D84="",$N84=""),"",INDEX(Config!$F$13:$F$15,$AK84)*($K84+$O84))</f>
        <v/>
      </c>
      <c r="V84" s="43" t="str">
        <f aca="false">IF(OR($D84="",$N84=""),"",INDEX(Config!$G$13:$G$15,$AK84)*($K84+$O84)+INDEX(Config!$H$13:$H$15,$AK84)*$AL84+INDEX(Config!$J$13:$J$15,$AK84))</f>
        <v/>
      </c>
      <c r="W84" s="43" t="str">
        <f aca="false">IF(OR($D84="",$N84=""),"",INDEX(Config!$I$13:$I$15,$AK84)*($S84+$U84+INDEX(Config!$G$13:$G$15,$AK84)*($K84+$O84)))</f>
        <v/>
      </c>
      <c r="X84" s="43" t="str">
        <f aca="false">IF(OR($D84="",$N84=""),"",INDEX(Config!$K$13:$K$15,$AK84)/365*$P84*$K84*Config!$B$8)</f>
        <v/>
      </c>
      <c r="Y84" s="43" t="str">
        <f aca="false">IF(OR($D84="",$N84=""),"",SUM($S84:$X84))</f>
        <v/>
      </c>
      <c r="Z84" s="40" t="str">
        <f aca="false">IF(OR($D84="",$Q84=""),"",$Q84-$Y84)</f>
        <v/>
      </c>
      <c r="AA84" s="42" t="str">
        <f aca="false">IF(OR($D84="",$Z84="",$K84=0),"",$Z84/$K84)</f>
        <v/>
      </c>
      <c r="AB84" s="44" t="str">
        <f aca="false">IF(OR($D84="",$Y84="",$K84=0),"",$Y84/$K84*10000)</f>
        <v/>
      </c>
      <c r="AC84" s="44" t="str">
        <f aca="false">IF(OR($D84="",$G84="",$G84=0,$I84=""),"",IF($E84="LONG",($I84-$G84)/$G84,($G84-$I84)/$G84)*10000)</f>
        <v/>
      </c>
      <c r="AD84" s="45"/>
      <c r="AE84" s="40" t="str">
        <f aca="false">IF(OR($D84="",$N84&lt;&gt;"",$AD84=""),"",IF($E84="LONG",($AD84-$I84)*$J84,($I84-$AD84)*$J84))</f>
        <v/>
      </c>
      <c r="AF84" s="40" t="str">
        <f aca="false">IF(OR($D84="",$E84&lt;&gt;"LONG",$Z84=""),"",$Z84+SUMIFS($Z$4:$Z$503,$B$4:$B$503,$B84,$E$4:$E$503,"SHORT"))</f>
        <v/>
      </c>
      <c r="AG84" s="42" t="str">
        <f aca="false">IF(OR($AF84="",$K84=0),"",$AF84/$K84)</f>
        <v/>
      </c>
      <c r="AH84" s="46"/>
      <c r="AI84" s="43" t="str">
        <f aca="false">IF(OR($D84="",$AH84="",$Z84=""),"",$Z84-$AH84)</f>
        <v/>
      </c>
      <c r="AJ84" s="49"/>
      <c r="AK84" s="47" t="str">
        <f aca="false">IF($D84="","",IFERROR(MATCH($F84,Config!$A$13:$A$15,0),1))</f>
        <v/>
      </c>
      <c r="AL84" s="47" t="str">
        <f aca="false">IF(OR($D84="",$N84=""),"",IF($E84="LONG",$K84,$O84))</f>
        <v/>
      </c>
      <c r="AM84" s="47" t="str">
        <f aca="false">IF(OR($D84="",$N84=""),"",IF($E84="LONG",$O84,$K84))</f>
        <v/>
      </c>
    </row>
    <row r="85" customFormat="false" ht="15" hidden="false" customHeight="false" outlineLevel="0" collapsed="false">
      <c r="A85" s="49"/>
      <c r="B85" s="5" t="str">
        <f aca="false">IF($D85="","",IF(OR(RIGHT($A85,2)="-L",RIGHT($A85,2)="-S"),LEFT($A85,LEN($A85)-2),$A85))</f>
        <v/>
      </c>
      <c r="C85" s="50"/>
      <c r="D85" s="49"/>
      <c r="E85" s="49"/>
      <c r="F85" s="49"/>
      <c r="G85" s="45"/>
      <c r="H85" s="50"/>
      <c r="I85" s="45"/>
      <c r="J85" s="51"/>
      <c r="K85" s="40" t="str">
        <f aca="false">IF($D85="","",$I85*$J85)</f>
        <v/>
      </c>
      <c r="L85" s="50"/>
      <c r="M85" s="49"/>
      <c r="N85" s="45"/>
      <c r="O85" s="40" t="str">
        <f aca="false">IF(OR($D85="",$N85=""),"",$N85*$J85)</f>
        <v/>
      </c>
      <c r="P85" s="41" t="str">
        <f aca="false">IF(OR($D85="",$L85=""),"",MAX($L85-$H85,0))</f>
        <v/>
      </c>
      <c r="Q85" s="40" t="str">
        <f aca="false">IF(OR($D85="",$N85=""),"",IF($E85="LONG",($N85-$I85)*$J85,($I85-$N85)*$J85))</f>
        <v/>
      </c>
      <c r="R85" s="42" t="str">
        <f aca="false">IF(OR($D85="",$Q85="",$K85=0),"",$Q85/$K85)</f>
        <v/>
      </c>
      <c r="S85" s="43" t="str">
        <f aca="false">IF(OR($D85="",$N85=""),"",MIN(INDEX(Config!$C$13:$C$15,$AK85),INDEX(Config!$B$13:$B$15,$AK85)*$K85)+MIN(INDEX(Config!$C$13:$C$15,$AK85),INDEX(Config!$B$13:$B$15,$AK85)*$O85))</f>
        <v/>
      </c>
      <c r="T85" s="43" t="str">
        <f aca="false">IF(OR($D85="",$N85=""),"",INDEX(Config!$D$13:$D$15,$AK85)*$AL85+INDEX(Config!$E$13:$E$15,$AK85)*$AM85)</f>
        <v/>
      </c>
      <c r="U85" s="43" t="str">
        <f aca="false">IF(OR($D85="",$N85=""),"",INDEX(Config!$F$13:$F$15,$AK85)*($K85+$O85))</f>
        <v/>
      </c>
      <c r="V85" s="43" t="str">
        <f aca="false">IF(OR($D85="",$N85=""),"",INDEX(Config!$G$13:$G$15,$AK85)*($K85+$O85)+INDEX(Config!$H$13:$H$15,$AK85)*$AL85+INDEX(Config!$J$13:$J$15,$AK85))</f>
        <v/>
      </c>
      <c r="W85" s="43" t="str">
        <f aca="false">IF(OR($D85="",$N85=""),"",INDEX(Config!$I$13:$I$15,$AK85)*($S85+$U85+INDEX(Config!$G$13:$G$15,$AK85)*($K85+$O85)))</f>
        <v/>
      </c>
      <c r="X85" s="43" t="str">
        <f aca="false">IF(OR($D85="",$N85=""),"",INDEX(Config!$K$13:$K$15,$AK85)/365*$P85*$K85*Config!$B$8)</f>
        <v/>
      </c>
      <c r="Y85" s="43" t="str">
        <f aca="false">IF(OR($D85="",$N85=""),"",SUM($S85:$X85))</f>
        <v/>
      </c>
      <c r="Z85" s="40" t="str">
        <f aca="false">IF(OR($D85="",$Q85=""),"",$Q85-$Y85)</f>
        <v/>
      </c>
      <c r="AA85" s="42" t="str">
        <f aca="false">IF(OR($D85="",$Z85="",$K85=0),"",$Z85/$K85)</f>
        <v/>
      </c>
      <c r="AB85" s="44" t="str">
        <f aca="false">IF(OR($D85="",$Y85="",$K85=0),"",$Y85/$K85*10000)</f>
        <v/>
      </c>
      <c r="AC85" s="44" t="str">
        <f aca="false">IF(OR($D85="",$G85="",$G85=0,$I85=""),"",IF($E85="LONG",($I85-$G85)/$G85,($G85-$I85)/$G85)*10000)</f>
        <v/>
      </c>
      <c r="AD85" s="45"/>
      <c r="AE85" s="40" t="str">
        <f aca="false">IF(OR($D85="",$N85&lt;&gt;"",$AD85=""),"",IF($E85="LONG",($AD85-$I85)*$J85,($I85-$AD85)*$J85))</f>
        <v/>
      </c>
      <c r="AF85" s="40" t="str">
        <f aca="false">IF(OR($D85="",$E85&lt;&gt;"LONG",$Z85=""),"",$Z85+SUMIFS($Z$4:$Z$503,$B$4:$B$503,$B85,$E$4:$E$503,"SHORT"))</f>
        <v/>
      </c>
      <c r="AG85" s="42" t="str">
        <f aca="false">IF(OR($AF85="",$K85=0),"",$AF85/$K85)</f>
        <v/>
      </c>
      <c r="AH85" s="46"/>
      <c r="AI85" s="43" t="str">
        <f aca="false">IF(OR($D85="",$AH85="",$Z85=""),"",$Z85-$AH85)</f>
        <v/>
      </c>
      <c r="AJ85" s="49"/>
      <c r="AK85" s="47" t="str">
        <f aca="false">IF($D85="","",IFERROR(MATCH($F85,Config!$A$13:$A$15,0),1))</f>
        <v/>
      </c>
      <c r="AL85" s="47" t="str">
        <f aca="false">IF(OR($D85="",$N85=""),"",IF($E85="LONG",$K85,$O85))</f>
        <v/>
      </c>
      <c r="AM85" s="47" t="str">
        <f aca="false">IF(OR($D85="",$N85=""),"",IF($E85="LONG",$O85,$K85))</f>
        <v/>
      </c>
    </row>
    <row r="86" customFormat="false" ht="15" hidden="false" customHeight="false" outlineLevel="0" collapsed="false">
      <c r="A86" s="49"/>
      <c r="B86" s="5" t="str">
        <f aca="false">IF($D86="","",IF(OR(RIGHT($A86,2)="-L",RIGHT($A86,2)="-S"),LEFT($A86,LEN($A86)-2),$A86))</f>
        <v/>
      </c>
      <c r="C86" s="50"/>
      <c r="D86" s="49"/>
      <c r="E86" s="49"/>
      <c r="F86" s="49"/>
      <c r="G86" s="45"/>
      <c r="H86" s="50"/>
      <c r="I86" s="45"/>
      <c r="J86" s="51"/>
      <c r="K86" s="40" t="str">
        <f aca="false">IF($D86="","",$I86*$J86)</f>
        <v/>
      </c>
      <c r="L86" s="50"/>
      <c r="M86" s="49"/>
      <c r="N86" s="45"/>
      <c r="O86" s="40" t="str">
        <f aca="false">IF(OR($D86="",$N86=""),"",$N86*$J86)</f>
        <v/>
      </c>
      <c r="P86" s="41" t="str">
        <f aca="false">IF(OR($D86="",$L86=""),"",MAX($L86-$H86,0))</f>
        <v/>
      </c>
      <c r="Q86" s="40" t="str">
        <f aca="false">IF(OR($D86="",$N86=""),"",IF($E86="LONG",($N86-$I86)*$J86,($I86-$N86)*$J86))</f>
        <v/>
      </c>
      <c r="R86" s="42" t="str">
        <f aca="false">IF(OR($D86="",$Q86="",$K86=0),"",$Q86/$K86)</f>
        <v/>
      </c>
      <c r="S86" s="43" t="str">
        <f aca="false">IF(OR($D86="",$N86=""),"",MIN(INDEX(Config!$C$13:$C$15,$AK86),INDEX(Config!$B$13:$B$15,$AK86)*$K86)+MIN(INDEX(Config!$C$13:$C$15,$AK86),INDEX(Config!$B$13:$B$15,$AK86)*$O86))</f>
        <v/>
      </c>
      <c r="T86" s="43" t="str">
        <f aca="false">IF(OR($D86="",$N86=""),"",INDEX(Config!$D$13:$D$15,$AK86)*$AL86+INDEX(Config!$E$13:$E$15,$AK86)*$AM86)</f>
        <v/>
      </c>
      <c r="U86" s="43" t="str">
        <f aca="false">IF(OR($D86="",$N86=""),"",INDEX(Config!$F$13:$F$15,$AK86)*($K86+$O86))</f>
        <v/>
      </c>
      <c r="V86" s="43" t="str">
        <f aca="false">IF(OR($D86="",$N86=""),"",INDEX(Config!$G$13:$G$15,$AK86)*($K86+$O86)+INDEX(Config!$H$13:$H$15,$AK86)*$AL86+INDEX(Config!$J$13:$J$15,$AK86))</f>
        <v/>
      </c>
      <c r="W86" s="43" t="str">
        <f aca="false">IF(OR($D86="",$N86=""),"",INDEX(Config!$I$13:$I$15,$AK86)*($S86+$U86+INDEX(Config!$G$13:$G$15,$AK86)*($K86+$O86)))</f>
        <v/>
      </c>
      <c r="X86" s="43" t="str">
        <f aca="false">IF(OR($D86="",$N86=""),"",INDEX(Config!$K$13:$K$15,$AK86)/365*$P86*$K86*Config!$B$8)</f>
        <v/>
      </c>
      <c r="Y86" s="43" t="str">
        <f aca="false">IF(OR($D86="",$N86=""),"",SUM($S86:$X86))</f>
        <v/>
      </c>
      <c r="Z86" s="40" t="str">
        <f aca="false">IF(OR($D86="",$Q86=""),"",$Q86-$Y86)</f>
        <v/>
      </c>
      <c r="AA86" s="42" t="str">
        <f aca="false">IF(OR($D86="",$Z86="",$K86=0),"",$Z86/$K86)</f>
        <v/>
      </c>
      <c r="AB86" s="44" t="str">
        <f aca="false">IF(OR($D86="",$Y86="",$K86=0),"",$Y86/$K86*10000)</f>
        <v/>
      </c>
      <c r="AC86" s="44" t="str">
        <f aca="false">IF(OR($D86="",$G86="",$G86=0,$I86=""),"",IF($E86="LONG",($I86-$G86)/$G86,($G86-$I86)/$G86)*10000)</f>
        <v/>
      </c>
      <c r="AD86" s="45"/>
      <c r="AE86" s="40" t="str">
        <f aca="false">IF(OR($D86="",$N86&lt;&gt;"",$AD86=""),"",IF($E86="LONG",($AD86-$I86)*$J86,($I86-$AD86)*$J86))</f>
        <v/>
      </c>
      <c r="AF86" s="40" t="str">
        <f aca="false">IF(OR($D86="",$E86&lt;&gt;"LONG",$Z86=""),"",$Z86+SUMIFS($Z$4:$Z$503,$B$4:$B$503,$B86,$E$4:$E$503,"SHORT"))</f>
        <v/>
      </c>
      <c r="AG86" s="42" t="str">
        <f aca="false">IF(OR($AF86="",$K86=0),"",$AF86/$K86)</f>
        <v/>
      </c>
      <c r="AH86" s="46"/>
      <c r="AI86" s="43" t="str">
        <f aca="false">IF(OR($D86="",$AH86="",$Z86=""),"",$Z86-$AH86)</f>
        <v/>
      </c>
      <c r="AJ86" s="49"/>
      <c r="AK86" s="47" t="str">
        <f aca="false">IF($D86="","",IFERROR(MATCH($F86,Config!$A$13:$A$15,0),1))</f>
        <v/>
      </c>
      <c r="AL86" s="47" t="str">
        <f aca="false">IF(OR($D86="",$N86=""),"",IF($E86="LONG",$K86,$O86))</f>
        <v/>
      </c>
      <c r="AM86" s="47" t="str">
        <f aca="false">IF(OR($D86="",$N86=""),"",IF($E86="LONG",$O86,$K86))</f>
        <v/>
      </c>
    </row>
    <row r="87" customFormat="false" ht="15" hidden="false" customHeight="false" outlineLevel="0" collapsed="false">
      <c r="A87" s="49"/>
      <c r="B87" s="5" t="str">
        <f aca="false">IF($D87="","",IF(OR(RIGHT($A87,2)="-L",RIGHT($A87,2)="-S"),LEFT($A87,LEN($A87)-2),$A87))</f>
        <v/>
      </c>
      <c r="C87" s="50"/>
      <c r="D87" s="49"/>
      <c r="E87" s="49"/>
      <c r="F87" s="49"/>
      <c r="G87" s="45"/>
      <c r="H87" s="50"/>
      <c r="I87" s="45"/>
      <c r="J87" s="51"/>
      <c r="K87" s="40" t="str">
        <f aca="false">IF($D87="","",$I87*$J87)</f>
        <v/>
      </c>
      <c r="L87" s="50"/>
      <c r="M87" s="49"/>
      <c r="N87" s="45"/>
      <c r="O87" s="40" t="str">
        <f aca="false">IF(OR($D87="",$N87=""),"",$N87*$J87)</f>
        <v/>
      </c>
      <c r="P87" s="41" t="str">
        <f aca="false">IF(OR($D87="",$L87=""),"",MAX($L87-$H87,0))</f>
        <v/>
      </c>
      <c r="Q87" s="40" t="str">
        <f aca="false">IF(OR($D87="",$N87=""),"",IF($E87="LONG",($N87-$I87)*$J87,($I87-$N87)*$J87))</f>
        <v/>
      </c>
      <c r="R87" s="42" t="str">
        <f aca="false">IF(OR($D87="",$Q87="",$K87=0),"",$Q87/$K87)</f>
        <v/>
      </c>
      <c r="S87" s="43" t="str">
        <f aca="false">IF(OR($D87="",$N87=""),"",MIN(INDEX(Config!$C$13:$C$15,$AK87),INDEX(Config!$B$13:$B$15,$AK87)*$K87)+MIN(INDEX(Config!$C$13:$C$15,$AK87),INDEX(Config!$B$13:$B$15,$AK87)*$O87))</f>
        <v/>
      </c>
      <c r="T87" s="43" t="str">
        <f aca="false">IF(OR($D87="",$N87=""),"",INDEX(Config!$D$13:$D$15,$AK87)*$AL87+INDEX(Config!$E$13:$E$15,$AK87)*$AM87)</f>
        <v/>
      </c>
      <c r="U87" s="43" t="str">
        <f aca="false">IF(OR($D87="",$N87=""),"",INDEX(Config!$F$13:$F$15,$AK87)*($K87+$O87))</f>
        <v/>
      </c>
      <c r="V87" s="43" t="str">
        <f aca="false">IF(OR($D87="",$N87=""),"",INDEX(Config!$G$13:$G$15,$AK87)*($K87+$O87)+INDEX(Config!$H$13:$H$15,$AK87)*$AL87+INDEX(Config!$J$13:$J$15,$AK87))</f>
        <v/>
      </c>
      <c r="W87" s="43" t="str">
        <f aca="false">IF(OR($D87="",$N87=""),"",INDEX(Config!$I$13:$I$15,$AK87)*($S87+$U87+INDEX(Config!$G$13:$G$15,$AK87)*($K87+$O87)))</f>
        <v/>
      </c>
      <c r="X87" s="43" t="str">
        <f aca="false">IF(OR($D87="",$N87=""),"",INDEX(Config!$K$13:$K$15,$AK87)/365*$P87*$K87*Config!$B$8)</f>
        <v/>
      </c>
      <c r="Y87" s="43" t="str">
        <f aca="false">IF(OR($D87="",$N87=""),"",SUM($S87:$X87))</f>
        <v/>
      </c>
      <c r="Z87" s="40" t="str">
        <f aca="false">IF(OR($D87="",$Q87=""),"",$Q87-$Y87)</f>
        <v/>
      </c>
      <c r="AA87" s="42" t="str">
        <f aca="false">IF(OR($D87="",$Z87="",$K87=0),"",$Z87/$K87)</f>
        <v/>
      </c>
      <c r="AB87" s="44" t="str">
        <f aca="false">IF(OR($D87="",$Y87="",$K87=0),"",$Y87/$K87*10000)</f>
        <v/>
      </c>
      <c r="AC87" s="44" t="str">
        <f aca="false">IF(OR($D87="",$G87="",$G87=0,$I87=""),"",IF($E87="LONG",($I87-$G87)/$G87,($G87-$I87)/$G87)*10000)</f>
        <v/>
      </c>
      <c r="AD87" s="45"/>
      <c r="AE87" s="40" t="str">
        <f aca="false">IF(OR($D87="",$N87&lt;&gt;"",$AD87=""),"",IF($E87="LONG",($AD87-$I87)*$J87,($I87-$AD87)*$J87))</f>
        <v/>
      </c>
      <c r="AF87" s="40" t="str">
        <f aca="false">IF(OR($D87="",$E87&lt;&gt;"LONG",$Z87=""),"",$Z87+SUMIFS($Z$4:$Z$503,$B$4:$B$503,$B87,$E$4:$E$503,"SHORT"))</f>
        <v/>
      </c>
      <c r="AG87" s="42" t="str">
        <f aca="false">IF(OR($AF87="",$K87=0),"",$AF87/$K87)</f>
        <v/>
      </c>
      <c r="AH87" s="46"/>
      <c r="AI87" s="43" t="str">
        <f aca="false">IF(OR($D87="",$AH87="",$Z87=""),"",$Z87-$AH87)</f>
        <v/>
      </c>
      <c r="AJ87" s="49"/>
      <c r="AK87" s="47" t="str">
        <f aca="false">IF($D87="","",IFERROR(MATCH($F87,Config!$A$13:$A$15,0),1))</f>
        <v/>
      </c>
      <c r="AL87" s="47" t="str">
        <f aca="false">IF(OR($D87="",$N87=""),"",IF($E87="LONG",$K87,$O87))</f>
        <v/>
      </c>
      <c r="AM87" s="47" t="str">
        <f aca="false">IF(OR($D87="",$N87=""),"",IF($E87="LONG",$O87,$K87))</f>
        <v/>
      </c>
    </row>
    <row r="88" customFormat="false" ht="15" hidden="false" customHeight="false" outlineLevel="0" collapsed="false">
      <c r="A88" s="49"/>
      <c r="B88" s="5" t="str">
        <f aca="false">IF($D88="","",IF(OR(RIGHT($A88,2)="-L",RIGHT($A88,2)="-S"),LEFT($A88,LEN($A88)-2),$A88))</f>
        <v/>
      </c>
      <c r="C88" s="50"/>
      <c r="D88" s="49"/>
      <c r="E88" s="49"/>
      <c r="F88" s="49"/>
      <c r="G88" s="45"/>
      <c r="H88" s="50"/>
      <c r="I88" s="45"/>
      <c r="J88" s="51"/>
      <c r="K88" s="40" t="str">
        <f aca="false">IF($D88="","",$I88*$J88)</f>
        <v/>
      </c>
      <c r="L88" s="50"/>
      <c r="M88" s="49"/>
      <c r="N88" s="45"/>
      <c r="O88" s="40" t="str">
        <f aca="false">IF(OR($D88="",$N88=""),"",$N88*$J88)</f>
        <v/>
      </c>
      <c r="P88" s="41" t="str">
        <f aca="false">IF(OR($D88="",$L88=""),"",MAX($L88-$H88,0))</f>
        <v/>
      </c>
      <c r="Q88" s="40" t="str">
        <f aca="false">IF(OR($D88="",$N88=""),"",IF($E88="LONG",($N88-$I88)*$J88,($I88-$N88)*$J88))</f>
        <v/>
      </c>
      <c r="R88" s="42" t="str">
        <f aca="false">IF(OR($D88="",$Q88="",$K88=0),"",$Q88/$K88)</f>
        <v/>
      </c>
      <c r="S88" s="43" t="str">
        <f aca="false">IF(OR($D88="",$N88=""),"",MIN(INDEX(Config!$C$13:$C$15,$AK88),INDEX(Config!$B$13:$B$15,$AK88)*$K88)+MIN(INDEX(Config!$C$13:$C$15,$AK88),INDEX(Config!$B$13:$B$15,$AK88)*$O88))</f>
        <v/>
      </c>
      <c r="T88" s="43" t="str">
        <f aca="false">IF(OR($D88="",$N88=""),"",INDEX(Config!$D$13:$D$15,$AK88)*$AL88+INDEX(Config!$E$13:$E$15,$AK88)*$AM88)</f>
        <v/>
      </c>
      <c r="U88" s="43" t="str">
        <f aca="false">IF(OR($D88="",$N88=""),"",INDEX(Config!$F$13:$F$15,$AK88)*($K88+$O88))</f>
        <v/>
      </c>
      <c r="V88" s="43" t="str">
        <f aca="false">IF(OR($D88="",$N88=""),"",INDEX(Config!$G$13:$G$15,$AK88)*($K88+$O88)+INDEX(Config!$H$13:$H$15,$AK88)*$AL88+INDEX(Config!$J$13:$J$15,$AK88))</f>
        <v/>
      </c>
      <c r="W88" s="43" t="str">
        <f aca="false">IF(OR($D88="",$N88=""),"",INDEX(Config!$I$13:$I$15,$AK88)*($S88+$U88+INDEX(Config!$G$13:$G$15,$AK88)*($K88+$O88)))</f>
        <v/>
      </c>
      <c r="X88" s="43" t="str">
        <f aca="false">IF(OR($D88="",$N88=""),"",INDEX(Config!$K$13:$K$15,$AK88)/365*$P88*$K88*Config!$B$8)</f>
        <v/>
      </c>
      <c r="Y88" s="43" t="str">
        <f aca="false">IF(OR($D88="",$N88=""),"",SUM($S88:$X88))</f>
        <v/>
      </c>
      <c r="Z88" s="40" t="str">
        <f aca="false">IF(OR($D88="",$Q88=""),"",$Q88-$Y88)</f>
        <v/>
      </c>
      <c r="AA88" s="42" t="str">
        <f aca="false">IF(OR($D88="",$Z88="",$K88=0),"",$Z88/$K88)</f>
        <v/>
      </c>
      <c r="AB88" s="44" t="str">
        <f aca="false">IF(OR($D88="",$Y88="",$K88=0),"",$Y88/$K88*10000)</f>
        <v/>
      </c>
      <c r="AC88" s="44" t="str">
        <f aca="false">IF(OR($D88="",$G88="",$G88=0,$I88=""),"",IF($E88="LONG",($I88-$G88)/$G88,($G88-$I88)/$G88)*10000)</f>
        <v/>
      </c>
      <c r="AD88" s="45"/>
      <c r="AE88" s="40" t="str">
        <f aca="false">IF(OR($D88="",$N88&lt;&gt;"",$AD88=""),"",IF($E88="LONG",($AD88-$I88)*$J88,($I88-$AD88)*$J88))</f>
        <v/>
      </c>
      <c r="AF88" s="40" t="str">
        <f aca="false">IF(OR($D88="",$E88&lt;&gt;"LONG",$Z88=""),"",$Z88+SUMIFS($Z$4:$Z$503,$B$4:$B$503,$B88,$E$4:$E$503,"SHORT"))</f>
        <v/>
      </c>
      <c r="AG88" s="42" t="str">
        <f aca="false">IF(OR($AF88="",$K88=0),"",$AF88/$K88)</f>
        <v/>
      </c>
      <c r="AH88" s="46"/>
      <c r="AI88" s="43" t="str">
        <f aca="false">IF(OR($D88="",$AH88="",$Z88=""),"",$Z88-$AH88)</f>
        <v/>
      </c>
      <c r="AJ88" s="49"/>
      <c r="AK88" s="47" t="str">
        <f aca="false">IF($D88="","",IFERROR(MATCH($F88,Config!$A$13:$A$15,0),1))</f>
        <v/>
      </c>
      <c r="AL88" s="47" t="str">
        <f aca="false">IF(OR($D88="",$N88=""),"",IF($E88="LONG",$K88,$O88))</f>
        <v/>
      </c>
      <c r="AM88" s="47" t="str">
        <f aca="false">IF(OR($D88="",$N88=""),"",IF($E88="LONG",$O88,$K88))</f>
        <v/>
      </c>
    </row>
    <row r="89" customFormat="false" ht="15" hidden="false" customHeight="false" outlineLevel="0" collapsed="false">
      <c r="A89" s="49"/>
      <c r="B89" s="5" t="str">
        <f aca="false">IF($D89="","",IF(OR(RIGHT($A89,2)="-L",RIGHT($A89,2)="-S"),LEFT($A89,LEN($A89)-2),$A89))</f>
        <v/>
      </c>
      <c r="C89" s="50"/>
      <c r="D89" s="49"/>
      <c r="E89" s="49"/>
      <c r="F89" s="49"/>
      <c r="G89" s="45"/>
      <c r="H89" s="50"/>
      <c r="I89" s="45"/>
      <c r="J89" s="51"/>
      <c r="K89" s="40" t="str">
        <f aca="false">IF($D89="","",$I89*$J89)</f>
        <v/>
      </c>
      <c r="L89" s="50"/>
      <c r="M89" s="49"/>
      <c r="N89" s="45"/>
      <c r="O89" s="40" t="str">
        <f aca="false">IF(OR($D89="",$N89=""),"",$N89*$J89)</f>
        <v/>
      </c>
      <c r="P89" s="41" t="str">
        <f aca="false">IF(OR($D89="",$L89=""),"",MAX($L89-$H89,0))</f>
        <v/>
      </c>
      <c r="Q89" s="40" t="str">
        <f aca="false">IF(OR($D89="",$N89=""),"",IF($E89="LONG",($N89-$I89)*$J89,($I89-$N89)*$J89))</f>
        <v/>
      </c>
      <c r="R89" s="42" t="str">
        <f aca="false">IF(OR($D89="",$Q89="",$K89=0),"",$Q89/$K89)</f>
        <v/>
      </c>
      <c r="S89" s="43" t="str">
        <f aca="false">IF(OR($D89="",$N89=""),"",MIN(INDEX(Config!$C$13:$C$15,$AK89),INDEX(Config!$B$13:$B$15,$AK89)*$K89)+MIN(INDEX(Config!$C$13:$C$15,$AK89),INDEX(Config!$B$13:$B$15,$AK89)*$O89))</f>
        <v/>
      </c>
      <c r="T89" s="43" t="str">
        <f aca="false">IF(OR($D89="",$N89=""),"",INDEX(Config!$D$13:$D$15,$AK89)*$AL89+INDEX(Config!$E$13:$E$15,$AK89)*$AM89)</f>
        <v/>
      </c>
      <c r="U89" s="43" t="str">
        <f aca="false">IF(OR($D89="",$N89=""),"",INDEX(Config!$F$13:$F$15,$AK89)*($K89+$O89))</f>
        <v/>
      </c>
      <c r="V89" s="43" t="str">
        <f aca="false">IF(OR($D89="",$N89=""),"",INDEX(Config!$G$13:$G$15,$AK89)*($K89+$O89)+INDEX(Config!$H$13:$H$15,$AK89)*$AL89+INDEX(Config!$J$13:$J$15,$AK89))</f>
        <v/>
      </c>
      <c r="W89" s="43" t="str">
        <f aca="false">IF(OR($D89="",$N89=""),"",INDEX(Config!$I$13:$I$15,$AK89)*($S89+$U89+INDEX(Config!$G$13:$G$15,$AK89)*($K89+$O89)))</f>
        <v/>
      </c>
      <c r="X89" s="43" t="str">
        <f aca="false">IF(OR($D89="",$N89=""),"",INDEX(Config!$K$13:$K$15,$AK89)/365*$P89*$K89*Config!$B$8)</f>
        <v/>
      </c>
      <c r="Y89" s="43" t="str">
        <f aca="false">IF(OR($D89="",$N89=""),"",SUM($S89:$X89))</f>
        <v/>
      </c>
      <c r="Z89" s="40" t="str">
        <f aca="false">IF(OR($D89="",$Q89=""),"",$Q89-$Y89)</f>
        <v/>
      </c>
      <c r="AA89" s="42" t="str">
        <f aca="false">IF(OR($D89="",$Z89="",$K89=0),"",$Z89/$K89)</f>
        <v/>
      </c>
      <c r="AB89" s="44" t="str">
        <f aca="false">IF(OR($D89="",$Y89="",$K89=0),"",$Y89/$K89*10000)</f>
        <v/>
      </c>
      <c r="AC89" s="44" t="str">
        <f aca="false">IF(OR($D89="",$G89="",$G89=0,$I89=""),"",IF($E89="LONG",($I89-$G89)/$G89,($G89-$I89)/$G89)*10000)</f>
        <v/>
      </c>
      <c r="AD89" s="45"/>
      <c r="AE89" s="40" t="str">
        <f aca="false">IF(OR($D89="",$N89&lt;&gt;"",$AD89=""),"",IF($E89="LONG",($AD89-$I89)*$J89,($I89-$AD89)*$J89))</f>
        <v/>
      </c>
      <c r="AF89" s="40" t="str">
        <f aca="false">IF(OR($D89="",$E89&lt;&gt;"LONG",$Z89=""),"",$Z89+SUMIFS($Z$4:$Z$503,$B$4:$B$503,$B89,$E$4:$E$503,"SHORT"))</f>
        <v/>
      </c>
      <c r="AG89" s="42" t="str">
        <f aca="false">IF(OR($AF89="",$K89=0),"",$AF89/$K89)</f>
        <v/>
      </c>
      <c r="AH89" s="46"/>
      <c r="AI89" s="43" t="str">
        <f aca="false">IF(OR($D89="",$AH89="",$Z89=""),"",$Z89-$AH89)</f>
        <v/>
      </c>
      <c r="AJ89" s="49"/>
      <c r="AK89" s="47" t="str">
        <f aca="false">IF($D89="","",IFERROR(MATCH($F89,Config!$A$13:$A$15,0),1))</f>
        <v/>
      </c>
      <c r="AL89" s="47" t="str">
        <f aca="false">IF(OR($D89="",$N89=""),"",IF($E89="LONG",$K89,$O89))</f>
        <v/>
      </c>
      <c r="AM89" s="47" t="str">
        <f aca="false">IF(OR($D89="",$N89=""),"",IF($E89="LONG",$O89,$K89))</f>
        <v/>
      </c>
    </row>
    <row r="90" customFormat="false" ht="15" hidden="false" customHeight="false" outlineLevel="0" collapsed="false">
      <c r="A90" s="49"/>
      <c r="B90" s="5" t="str">
        <f aca="false">IF($D90="","",IF(OR(RIGHT($A90,2)="-L",RIGHT($A90,2)="-S"),LEFT($A90,LEN($A90)-2),$A90))</f>
        <v/>
      </c>
      <c r="C90" s="50"/>
      <c r="D90" s="49"/>
      <c r="E90" s="49"/>
      <c r="F90" s="49"/>
      <c r="G90" s="45"/>
      <c r="H90" s="50"/>
      <c r="I90" s="45"/>
      <c r="J90" s="51"/>
      <c r="K90" s="40" t="str">
        <f aca="false">IF($D90="","",$I90*$J90)</f>
        <v/>
      </c>
      <c r="L90" s="50"/>
      <c r="M90" s="49"/>
      <c r="N90" s="45"/>
      <c r="O90" s="40" t="str">
        <f aca="false">IF(OR($D90="",$N90=""),"",$N90*$J90)</f>
        <v/>
      </c>
      <c r="P90" s="41" t="str">
        <f aca="false">IF(OR($D90="",$L90=""),"",MAX($L90-$H90,0))</f>
        <v/>
      </c>
      <c r="Q90" s="40" t="str">
        <f aca="false">IF(OR($D90="",$N90=""),"",IF($E90="LONG",($N90-$I90)*$J90,($I90-$N90)*$J90))</f>
        <v/>
      </c>
      <c r="R90" s="42" t="str">
        <f aca="false">IF(OR($D90="",$Q90="",$K90=0),"",$Q90/$K90)</f>
        <v/>
      </c>
      <c r="S90" s="43" t="str">
        <f aca="false">IF(OR($D90="",$N90=""),"",MIN(INDEX(Config!$C$13:$C$15,$AK90),INDEX(Config!$B$13:$B$15,$AK90)*$K90)+MIN(INDEX(Config!$C$13:$C$15,$AK90),INDEX(Config!$B$13:$B$15,$AK90)*$O90))</f>
        <v/>
      </c>
      <c r="T90" s="43" t="str">
        <f aca="false">IF(OR($D90="",$N90=""),"",INDEX(Config!$D$13:$D$15,$AK90)*$AL90+INDEX(Config!$E$13:$E$15,$AK90)*$AM90)</f>
        <v/>
      </c>
      <c r="U90" s="43" t="str">
        <f aca="false">IF(OR($D90="",$N90=""),"",INDEX(Config!$F$13:$F$15,$AK90)*($K90+$O90))</f>
        <v/>
      </c>
      <c r="V90" s="43" t="str">
        <f aca="false">IF(OR($D90="",$N90=""),"",INDEX(Config!$G$13:$G$15,$AK90)*($K90+$O90)+INDEX(Config!$H$13:$H$15,$AK90)*$AL90+INDEX(Config!$J$13:$J$15,$AK90))</f>
        <v/>
      </c>
      <c r="W90" s="43" t="str">
        <f aca="false">IF(OR($D90="",$N90=""),"",INDEX(Config!$I$13:$I$15,$AK90)*($S90+$U90+INDEX(Config!$G$13:$G$15,$AK90)*($K90+$O90)))</f>
        <v/>
      </c>
      <c r="X90" s="43" t="str">
        <f aca="false">IF(OR($D90="",$N90=""),"",INDEX(Config!$K$13:$K$15,$AK90)/365*$P90*$K90*Config!$B$8)</f>
        <v/>
      </c>
      <c r="Y90" s="43" t="str">
        <f aca="false">IF(OR($D90="",$N90=""),"",SUM($S90:$X90))</f>
        <v/>
      </c>
      <c r="Z90" s="40" t="str">
        <f aca="false">IF(OR($D90="",$Q90=""),"",$Q90-$Y90)</f>
        <v/>
      </c>
      <c r="AA90" s="42" t="str">
        <f aca="false">IF(OR($D90="",$Z90="",$K90=0),"",$Z90/$K90)</f>
        <v/>
      </c>
      <c r="AB90" s="44" t="str">
        <f aca="false">IF(OR($D90="",$Y90="",$K90=0),"",$Y90/$K90*10000)</f>
        <v/>
      </c>
      <c r="AC90" s="44" t="str">
        <f aca="false">IF(OR($D90="",$G90="",$G90=0,$I90=""),"",IF($E90="LONG",($I90-$G90)/$G90,($G90-$I90)/$G90)*10000)</f>
        <v/>
      </c>
      <c r="AD90" s="45"/>
      <c r="AE90" s="40" t="str">
        <f aca="false">IF(OR($D90="",$N90&lt;&gt;"",$AD90=""),"",IF($E90="LONG",($AD90-$I90)*$J90,($I90-$AD90)*$J90))</f>
        <v/>
      </c>
      <c r="AF90" s="40" t="str">
        <f aca="false">IF(OR($D90="",$E90&lt;&gt;"LONG",$Z90=""),"",$Z90+SUMIFS($Z$4:$Z$503,$B$4:$B$503,$B90,$E$4:$E$503,"SHORT"))</f>
        <v/>
      </c>
      <c r="AG90" s="42" t="str">
        <f aca="false">IF(OR($AF90="",$K90=0),"",$AF90/$K90)</f>
        <v/>
      </c>
      <c r="AH90" s="46"/>
      <c r="AI90" s="43" t="str">
        <f aca="false">IF(OR($D90="",$AH90="",$Z90=""),"",$Z90-$AH90)</f>
        <v/>
      </c>
      <c r="AJ90" s="49"/>
      <c r="AK90" s="47" t="str">
        <f aca="false">IF($D90="","",IFERROR(MATCH($F90,Config!$A$13:$A$15,0),1))</f>
        <v/>
      </c>
      <c r="AL90" s="47" t="str">
        <f aca="false">IF(OR($D90="",$N90=""),"",IF($E90="LONG",$K90,$O90))</f>
        <v/>
      </c>
      <c r="AM90" s="47" t="str">
        <f aca="false">IF(OR($D90="",$N90=""),"",IF($E90="LONG",$O90,$K90))</f>
        <v/>
      </c>
    </row>
    <row r="91" customFormat="false" ht="15" hidden="false" customHeight="false" outlineLevel="0" collapsed="false">
      <c r="A91" s="49"/>
      <c r="B91" s="5" t="str">
        <f aca="false">IF($D91="","",IF(OR(RIGHT($A91,2)="-L",RIGHT($A91,2)="-S"),LEFT($A91,LEN($A91)-2),$A91))</f>
        <v/>
      </c>
      <c r="C91" s="50"/>
      <c r="D91" s="49"/>
      <c r="E91" s="49"/>
      <c r="F91" s="49"/>
      <c r="G91" s="45"/>
      <c r="H91" s="50"/>
      <c r="I91" s="45"/>
      <c r="J91" s="51"/>
      <c r="K91" s="40" t="str">
        <f aca="false">IF($D91="","",$I91*$J91)</f>
        <v/>
      </c>
      <c r="L91" s="50"/>
      <c r="M91" s="49"/>
      <c r="N91" s="45"/>
      <c r="O91" s="40" t="str">
        <f aca="false">IF(OR($D91="",$N91=""),"",$N91*$J91)</f>
        <v/>
      </c>
      <c r="P91" s="41" t="str">
        <f aca="false">IF(OR($D91="",$L91=""),"",MAX($L91-$H91,0))</f>
        <v/>
      </c>
      <c r="Q91" s="40" t="str">
        <f aca="false">IF(OR($D91="",$N91=""),"",IF($E91="LONG",($N91-$I91)*$J91,($I91-$N91)*$J91))</f>
        <v/>
      </c>
      <c r="R91" s="42" t="str">
        <f aca="false">IF(OR($D91="",$Q91="",$K91=0),"",$Q91/$K91)</f>
        <v/>
      </c>
      <c r="S91" s="43" t="str">
        <f aca="false">IF(OR($D91="",$N91=""),"",MIN(INDEX(Config!$C$13:$C$15,$AK91),INDEX(Config!$B$13:$B$15,$AK91)*$K91)+MIN(INDEX(Config!$C$13:$C$15,$AK91),INDEX(Config!$B$13:$B$15,$AK91)*$O91))</f>
        <v/>
      </c>
      <c r="T91" s="43" t="str">
        <f aca="false">IF(OR($D91="",$N91=""),"",INDEX(Config!$D$13:$D$15,$AK91)*$AL91+INDEX(Config!$E$13:$E$15,$AK91)*$AM91)</f>
        <v/>
      </c>
      <c r="U91" s="43" t="str">
        <f aca="false">IF(OR($D91="",$N91=""),"",INDEX(Config!$F$13:$F$15,$AK91)*($K91+$O91))</f>
        <v/>
      </c>
      <c r="V91" s="43" t="str">
        <f aca="false">IF(OR($D91="",$N91=""),"",INDEX(Config!$G$13:$G$15,$AK91)*($K91+$O91)+INDEX(Config!$H$13:$H$15,$AK91)*$AL91+INDEX(Config!$J$13:$J$15,$AK91))</f>
        <v/>
      </c>
      <c r="W91" s="43" t="str">
        <f aca="false">IF(OR($D91="",$N91=""),"",INDEX(Config!$I$13:$I$15,$AK91)*($S91+$U91+INDEX(Config!$G$13:$G$15,$AK91)*($K91+$O91)))</f>
        <v/>
      </c>
      <c r="X91" s="43" t="str">
        <f aca="false">IF(OR($D91="",$N91=""),"",INDEX(Config!$K$13:$K$15,$AK91)/365*$P91*$K91*Config!$B$8)</f>
        <v/>
      </c>
      <c r="Y91" s="43" t="str">
        <f aca="false">IF(OR($D91="",$N91=""),"",SUM($S91:$X91))</f>
        <v/>
      </c>
      <c r="Z91" s="40" t="str">
        <f aca="false">IF(OR($D91="",$Q91=""),"",$Q91-$Y91)</f>
        <v/>
      </c>
      <c r="AA91" s="42" t="str">
        <f aca="false">IF(OR($D91="",$Z91="",$K91=0),"",$Z91/$K91)</f>
        <v/>
      </c>
      <c r="AB91" s="44" t="str">
        <f aca="false">IF(OR($D91="",$Y91="",$K91=0),"",$Y91/$K91*10000)</f>
        <v/>
      </c>
      <c r="AC91" s="44" t="str">
        <f aca="false">IF(OR($D91="",$G91="",$G91=0,$I91=""),"",IF($E91="LONG",($I91-$G91)/$G91,($G91-$I91)/$G91)*10000)</f>
        <v/>
      </c>
      <c r="AD91" s="45"/>
      <c r="AE91" s="40" t="str">
        <f aca="false">IF(OR($D91="",$N91&lt;&gt;"",$AD91=""),"",IF($E91="LONG",($AD91-$I91)*$J91,($I91-$AD91)*$J91))</f>
        <v/>
      </c>
      <c r="AF91" s="40" t="str">
        <f aca="false">IF(OR($D91="",$E91&lt;&gt;"LONG",$Z91=""),"",$Z91+SUMIFS($Z$4:$Z$503,$B$4:$B$503,$B91,$E$4:$E$503,"SHORT"))</f>
        <v/>
      </c>
      <c r="AG91" s="42" t="str">
        <f aca="false">IF(OR($AF91="",$K91=0),"",$AF91/$K91)</f>
        <v/>
      </c>
      <c r="AH91" s="46"/>
      <c r="AI91" s="43" t="str">
        <f aca="false">IF(OR($D91="",$AH91="",$Z91=""),"",$Z91-$AH91)</f>
        <v/>
      </c>
      <c r="AJ91" s="49"/>
      <c r="AK91" s="47" t="str">
        <f aca="false">IF($D91="","",IFERROR(MATCH($F91,Config!$A$13:$A$15,0),1))</f>
        <v/>
      </c>
      <c r="AL91" s="47" t="str">
        <f aca="false">IF(OR($D91="",$N91=""),"",IF($E91="LONG",$K91,$O91))</f>
        <v/>
      </c>
      <c r="AM91" s="47" t="str">
        <f aca="false">IF(OR($D91="",$N91=""),"",IF($E91="LONG",$O91,$K91))</f>
        <v/>
      </c>
    </row>
    <row r="92" customFormat="false" ht="15" hidden="false" customHeight="false" outlineLevel="0" collapsed="false">
      <c r="A92" s="49"/>
      <c r="B92" s="5" t="str">
        <f aca="false">IF($D92="","",IF(OR(RIGHT($A92,2)="-L",RIGHT($A92,2)="-S"),LEFT($A92,LEN($A92)-2),$A92))</f>
        <v/>
      </c>
      <c r="C92" s="50"/>
      <c r="D92" s="49"/>
      <c r="E92" s="49"/>
      <c r="F92" s="49"/>
      <c r="G92" s="45"/>
      <c r="H92" s="50"/>
      <c r="I92" s="45"/>
      <c r="J92" s="51"/>
      <c r="K92" s="40" t="str">
        <f aca="false">IF($D92="","",$I92*$J92)</f>
        <v/>
      </c>
      <c r="L92" s="50"/>
      <c r="M92" s="49"/>
      <c r="N92" s="45"/>
      <c r="O92" s="40" t="str">
        <f aca="false">IF(OR($D92="",$N92=""),"",$N92*$J92)</f>
        <v/>
      </c>
      <c r="P92" s="41" t="str">
        <f aca="false">IF(OR($D92="",$L92=""),"",MAX($L92-$H92,0))</f>
        <v/>
      </c>
      <c r="Q92" s="40" t="str">
        <f aca="false">IF(OR($D92="",$N92=""),"",IF($E92="LONG",($N92-$I92)*$J92,($I92-$N92)*$J92))</f>
        <v/>
      </c>
      <c r="R92" s="42" t="str">
        <f aca="false">IF(OR($D92="",$Q92="",$K92=0),"",$Q92/$K92)</f>
        <v/>
      </c>
      <c r="S92" s="43" t="str">
        <f aca="false">IF(OR($D92="",$N92=""),"",MIN(INDEX(Config!$C$13:$C$15,$AK92),INDEX(Config!$B$13:$B$15,$AK92)*$K92)+MIN(INDEX(Config!$C$13:$C$15,$AK92),INDEX(Config!$B$13:$B$15,$AK92)*$O92))</f>
        <v/>
      </c>
      <c r="T92" s="43" t="str">
        <f aca="false">IF(OR($D92="",$N92=""),"",INDEX(Config!$D$13:$D$15,$AK92)*$AL92+INDEX(Config!$E$13:$E$15,$AK92)*$AM92)</f>
        <v/>
      </c>
      <c r="U92" s="43" t="str">
        <f aca="false">IF(OR($D92="",$N92=""),"",INDEX(Config!$F$13:$F$15,$AK92)*($K92+$O92))</f>
        <v/>
      </c>
      <c r="V92" s="43" t="str">
        <f aca="false">IF(OR($D92="",$N92=""),"",INDEX(Config!$G$13:$G$15,$AK92)*($K92+$O92)+INDEX(Config!$H$13:$H$15,$AK92)*$AL92+INDEX(Config!$J$13:$J$15,$AK92))</f>
        <v/>
      </c>
      <c r="W92" s="43" t="str">
        <f aca="false">IF(OR($D92="",$N92=""),"",INDEX(Config!$I$13:$I$15,$AK92)*($S92+$U92+INDEX(Config!$G$13:$G$15,$AK92)*($K92+$O92)))</f>
        <v/>
      </c>
      <c r="X92" s="43" t="str">
        <f aca="false">IF(OR($D92="",$N92=""),"",INDEX(Config!$K$13:$K$15,$AK92)/365*$P92*$K92*Config!$B$8)</f>
        <v/>
      </c>
      <c r="Y92" s="43" t="str">
        <f aca="false">IF(OR($D92="",$N92=""),"",SUM($S92:$X92))</f>
        <v/>
      </c>
      <c r="Z92" s="40" t="str">
        <f aca="false">IF(OR($D92="",$Q92=""),"",$Q92-$Y92)</f>
        <v/>
      </c>
      <c r="AA92" s="42" t="str">
        <f aca="false">IF(OR($D92="",$Z92="",$K92=0),"",$Z92/$K92)</f>
        <v/>
      </c>
      <c r="AB92" s="44" t="str">
        <f aca="false">IF(OR($D92="",$Y92="",$K92=0),"",$Y92/$K92*10000)</f>
        <v/>
      </c>
      <c r="AC92" s="44" t="str">
        <f aca="false">IF(OR($D92="",$G92="",$G92=0,$I92=""),"",IF($E92="LONG",($I92-$G92)/$G92,($G92-$I92)/$G92)*10000)</f>
        <v/>
      </c>
      <c r="AD92" s="45"/>
      <c r="AE92" s="40" t="str">
        <f aca="false">IF(OR($D92="",$N92&lt;&gt;"",$AD92=""),"",IF($E92="LONG",($AD92-$I92)*$J92,($I92-$AD92)*$J92))</f>
        <v/>
      </c>
      <c r="AF92" s="40" t="str">
        <f aca="false">IF(OR($D92="",$E92&lt;&gt;"LONG",$Z92=""),"",$Z92+SUMIFS($Z$4:$Z$503,$B$4:$B$503,$B92,$E$4:$E$503,"SHORT"))</f>
        <v/>
      </c>
      <c r="AG92" s="42" t="str">
        <f aca="false">IF(OR($AF92="",$K92=0),"",$AF92/$K92)</f>
        <v/>
      </c>
      <c r="AH92" s="46"/>
      <c r="AI92" s="43" t="str">
        <f aca="false">IF(OR($D92="",$AH92="",$Z92=""),"",$Z92-$AH92)</f>
        <v/>
      </c>
      <c r="AJ92" s="49"/>
      <c r="AK92" s="47" t="str">
        <f aca="false">IF($D92="","",IFERROR(MATCH($F92,Config!$A$13:$A$15,0),1))</f>
        <v/>
      </c>
      <c r="AL92" s="47" t="str">
        <f aca="false">IF(OR($D92="",$N92=""),"",IF($E92="LONG",$K92,$O92))</f>
        <v/>
      </c>
      <c r="AM92" s="47" t="str">
        <f aca="false">IF(OR($D92="",$N92=""),"",IF($E92="LONG",$O92,$K92))</f>
        <v/>
      </c>
    </row>
    <row r="93" customFormat="false" ht="15" hidden="false" customHeight="false" outlineLevel="0" collapsed="false">
      <c r="A93" s="49"/>
      <c r="B93" s="5" t="str">
        <f aca="false">IF($D93="","",IF(OR(RIGHT($A93,2)="-L",RIGHT($A93,2)="-S"),LEFT($A93,LEN($A93)-2),$A93))</f>
        <v/>
      </c>
      <c r="C93" s="50"/>
      <c r="D93" s="49"/>
      <c r="E93" s="49"/>
      <c r="F93" s="49"/>
      <c r="G93" s="45"/>
      <c r="H93" s="50"/>
      <c r="I93" s="45"/>
      <c r="J93" s="51"/>
      <c r="K93" s="40" t="str">
        <f aca="false">IF($D93="","",$I93*$J93)</f>
        <v/>
      </c>
      <c r="L93" s="50"/>
      <c r="M93" s="49"/>
      <c r="N93" s="45"/>
      <c r="O93" s="40" t="str">
        <f aca="false">IF(OR($D93="",$N93=""),"",$N93*$J93)</f>
        <v/>
      </c>
      <c r="P93" s="41" t="str">
        <f aca="false">IF(OR($D93="",$L93=""),"",MAX($L93-$H93,0))</f>
        <v/>
      </c>
      <c r="Q93" s="40" t="str">
        <f aca="false">IF(OR($D93="",$N93=""),"",IF($E93="LONG",($N93-$I93)*$J93,($I93-$N93)*$J93))</f>
        <v/>
      </c>
      <c r="R93" s="42" t="str">
        <f aca="false">IF(OR($D93="",$Q93="",$K93=0),"",$Q93/$K93)</f>
        <v/>
      </c>
      <c r="S93" s="43" t="str">
        <f aca="false">IF(OR($D93="",$N93=""),"",MIN(INDEX(Config!$C$13:$C$15,$AK93),INDEX(Config!$B$13:$B$15,$AK93)*$K93)+MIN(INDEX(Config!$C$13:$C$15,$AK93),INDEX(Config!$B$13:$B$15,$AK93)*$O93))</f>
        <v/>
      </c>
      <c r="T93" s="43" t="str">
        <f aca="false">IF(OR($D93="",$N93=""),"",INDEX(Config!$D$13:$D$15,$AK93)*$AL93+INDEX(Config!$E$13:$E$15,$AK93)*$AM93)</f>
        <v/>
      </c>
      <c r="U93" s="43" t="str">
        <f aca="false">IF(OR($D93="",$N93=""),"",INDEX(Config!$F$13:$F$15,$AK93)*($K93+$O93))</f>
        <v/>
      </c>
      <c r="V93" s="43" t="str">
        <f aca="false">IF(OR($D93="",$N93=""),"",INDEX(Config!$G$13:$G$15,$AK93)*($K93+$O93)+INDEX(Config!$H$13:$H$15,$AK93)*$AL93+INDEX(Config!$J$13:$J$15,$AK93))</f>
        <v/>
      </c>
      <c r="W93" s="43" t="str">
        <f aca="false">IF(OR($D93="",$N93=""),"",INDEX(Config!$I$13:$I$15,$AK93)*($S93+$U93+INDEX(Config!$G$13:$G$15,$AK93)*($K93+$O93)))</f>
        <v/>
      </c>
      <c r="X93" s="43" t="str">
        <f aca="false">IF(OR($D93="",$N93=""),"",INDEX(Config!$K$13:$K$15,$AK93)/365*$P93*$K93*Config!$B$8)</f>
        <v/>
      </c>
      <c r="Y93" s="43" t="str">
        <f aca="false">IF(OR($D93="",$N93=""),"",SUM($S93:$X93))</f>
        <v/>
      </c>
      <c r="Z93" s="40" t="str">
        <f aca="false">IF(OR($D93="",$Q93=""),"",$Q93-$Y93)</f>
        <v/>
      </c>
      <c r="AA93" s="42" t="str">
        <f aca="false">IF(OR($D93="",$Z93="",$K93=0),"",$Z93/$K93)</f>
        <v/>
      </c>
      <c r="AB93" s="44" t="str">
        <f aca="false">IF(OR($D93="",$Y93="",$K93=0),"",$Y93/$K93*10000)</f>
        <v/>
      </c>
      <c r="AC93" s="44" t="str">
        <f aca="false">IF(OR($D93="",$G93="",$G93=0,$I93=""),"",IF($E93="LONG",($I93-$G93)/$G93,($G93-$I93)/$G93)*10000)</f>
        <v/>
      </c>
      <c r="AD93" s="45"/>
      <c r="AE93" s="40" t="str">
        <f aca="false">IF(OR($D93="",$N93&lt;&gt;"",$AD93=""),"",IF($E93="LONG",($AD93-$I93)*$J93,($I93-$AD93)*$J93))</f>
        <v/>
      </c>
      <c r="AF93" s="40" t="str">
        <f aca="false">IF(OR($D93="",$E93&lt;&gt;"LONG",$Z93=""),"",$Z93+SUMIFS($Z$4:$Z$503,$B$4:$B$503,$B93,$E$4:$E$503,"SHORT"))</f>
        <v/>
      </c>
      <c r="AG93" s="42" t="str">
        <f aca="false">IF(OR($AF93="",$K93=0),"",$AF93/$K93)</f>
        <v/>
      </c>
      <c r="AH93" s="46"/>
      <c r="AI93" s="43" t="str">
        <f aca="false">IF(OR($D93="",$AH93="",$Z93=""),"",$Z93-$AH93)</f>
        <v/>
      </c>
      <c r="AJ93" s="49"/>
      <c r="AK93" s="47" t="str">
        <f aca="false">IF($D93="","",IFERROR(MATCH($F93,Config!$A$13:$A$15,0),1))</f>
        <v/>
      </c>
      <c r="AL93" s="47" t="str">
        <f aca="false">IF(OR($D93="",$N93=""),"",IF($E93="LONG",$K93,$O93))</f>
        <v/>
      </c>
      <c r="AM93" s="47" t="str">
        <f aca="false">IF(OR($D93="",$N93=""),"",IF($E93="LONG",$O93,$K93))</f>
        <v/>
      </c>
    </row>
    <row r="94" customFormat="false" ht="15" hidden="false" customHeight="false" outlineLevel="0" collapsed="false">
      <c r="A94" s="49"/>
      <c r="B94" s="5" t="str">
        <f aca="false">IF($D94="","",IF(OR(RIGHT($A94,2)="-L",RIGHT($A94,2)="-S"),LEFT($A94,LEN($A94)-2),$A94))</f>
        <v/>
      </c>
      <c r="C94" s="50"/>
      <c r="D94" s="49"/>
      <c r="E94" s="49"/>
      <c r="F94" s="49"/>
      <c r="G94" s="45"/>
      <c r="H94" s="50"/>
      <c r="I94" s="45"/>
      <c r="J94" s="51"/>
      <c r="K94" s="40" t="str">
        <f aca="false">IF($D94="","",$I94*$J94)</f>
        <v/>
      </c>
      <c r="L94" s="50"/>
      <c r="M94" s="49"/>
      <c r="N94" s="45"/>
      <c r="O94" s="40" t="str">
        <f aca="false">IF(OR($D94="",$N94=""),"",$N94*$J94)</f>
        <v/>
      </c>
      <c r="P94" s="41" t="str">
        <f aca="false">IF(OR($D94="",$L94=""),"",MAX($L94-$H94,0))</f>
        <v/>
      </c>
      <c r="Q94" s="40" t="str">
        <f aca="false">IF(OR($D94="",$N94=""),"",IF($E94="LONG",($N94-$I94)*$J94,($I94-$N94)*$J94))</f>
        <v/>
      </c>
      <c r="R94" s="42" t="str">
        <f aca="false">IF(OR($D94="",$Q94="",$K94=0),"",$Q94/$K94)</f>
        <v/>
      </c>
      <c r="S94" s="43" t="str">
        <f aca="false">IF(OR($D94="",$N94=""),"",MIN(INDEX(Config!$C$13:$C$15,$AK94),INDEX(Config!$B$13:$B$15,$AK94)*$K94)+MIN(INDEX(Config!$C$13:$C$15,$AK94),INDEX(Config!$B$13:$B$15,$AK94)*$O94))</f>
        <v/>
      </c>
      <c r="T94" s="43" t="str">
        <f aca="false">IF(OR($D94="",$N94=""),"",INDEX(Config!$D$13:$D$15,$AK94)*$AL94+INDEX(Config!$E$13:$E$15,$AK94)*$AM94)</f>
        <v/>
      </c>
      <c r="U94" s="43" t="str">
        <f aca="false">IF(OR($D94="",$N94=""),"",INDEX(Config!$F$13:$F$15,$AK94)*($K94+$O94))</f>
        <v/>
      </c>
      <c r="V94" s="43" t="str">
        <f aca="false">IF(OR($D94="",$N94=""),"",INDEX(Config!$G$13:$G$15,$AK94)*($K94+$O94)+INDEX(Config!$H$13:$H$15,$AK94)*$AL94+INDEX(Config!$J$13:$J$15,$AK94))</f>
        <v/>
      </c>
      <c r="W94" s="43" t="str">
        <f aca="false">IF(OR($D94="",$N94=""),"",INDEX(Config!$I$13:$I$15,$AK94)*($S94+$U94+INDEX(Config!$G$13:$G$15,$AK94)*($K94+$O94)))</f>
        <v/>
      </c>
      <c r="X94" s="43" t="str">
        <f aca="false">IF(OR($D94="",$N94=""),"",INDEX(Config!$K$13:$K$15,$AK94)/365*$P94*$K94*Config!$B$8)</f>
        <v/>
      </c>
      <c r="Y94" s="43" t="str">
        <f aca="false">IF(OR($D94="",$N94=""),"",SUM($S94:$X94))</f>
        <v/>
      </c>
      <c r="Z94" s="40" t="str">
        <f aca="false">IF(OR($D94="",$Q94=""),"",$Q94-$Y94)</f>
        <v/>
      </c>
      <c r="AA94" s="42" t="str">
        <f aca="false">IF(OR($D94="",$Z94="",$K94=0),"",$Z94/$K94)</f>
        <v/>
      </c>
      <c r="AB94" s="44" t="str">
        <f aca="false">IF(OR($D94="",$Y94="",$K94=0),"",$Y94/$K94*10000)</f>
        <v/>
      </c>
      <c r="AC94" s="44" t="str">
        <f aca="false">IF(OR($D94="",$G94="",$G94=0,$I94=""),"",IF($E94="LONG",($I94-$G94)/$G94,($G94-$I94)/$G94)*10000)</f>
        <v/>
      </c>
      <c r="AD94" s="45"/>
      <c r="AE94" s="40" t="str">
        <f aca="false">IF(OR($D94="",$N94&lt;&gt;"",$AD94=""),"",IF($E94="LONG",($AD94-$I94)*$J94,($I94-$AD94)*$J94))</f>
        <v/>
      </c>
      <c r="AF94" s="40" t="str">
        <f aca="false">IF(OR($D94="",$E94&lt;&gt;"LONG",$Z94=""),"",$Z94+SUMIFS($Z$4:$Z$503,$B$4:$B$503,$B94,$E$4:$E$503,"SHORT"))</f>
        <v/>
      </c>
      <c r="AG94" s="42" t="str">
        <f aca="false">IF(OR($AF94="",$K94=0),"",$AF94/$K94)</f>
        <v/>
      </c>
      <c r="AH94" s="46"/>
      <c r="AI94" s="43" t="str">
        <f aca="false">IF(OR($D94="",$AH94="",$Z94=""),"",$Z94-$AH94)</f>
        <v/>
      </c>
      <c r="AJ94" s="49"/>
      <c r="AK94" s="47" t="str">
        <f aca="false">IF($D94="","",IFERROR(MATCH($F94,Config!$A$13:$A$15,0),1))</f>
        <v/>
      </c>
      <c r="AL94" s="47" t="str">
        <f aca="false">IF(OR($D94="",$N94=""),"",IF($E94="LONG",$K94,$O94))</f>
        <v/>
      </c>
      <c r="AM94" s="47" t="str">
        <f aca="false">IF(OR($D94="",$N94=""),"",IF($E94="LONG",$O94,$K94))</f>
        <v/>
      </c>
    </row>
    <row r="95" customFormat="false" ht="15" hidden="false" customHeight="false" outlineLevel="0" collapsed="false">
      <c r="A95" s="49"/>
      <c r="B95" s="5" t="str">
        <f aca="false">IF($D95="","",IF(OR(RIGHT($A95,2)="-L",RIGHT($A95,2)="-S"),LEFT($A95,LEN($A95)-2),$A95))</f>
        <v/>
      </c>
      <c r="C95" s="50"/>
      <c r="D95" s="49"/>
      <c r="E95" s="49"/>
      <c r="F95" s="49"/>
      <c r="G95" s="45"/>
      <c r="H95" s="50"/>
      <c r="I95" s="45"/>
      <c r="J95" s="51"/>
      <c r="K95" s="40" t="str">
        <f aca="false">IF($D95="","",$I95*$J95)</f>
        <v/>
      </c>
      <c r="L95" s="50"/>
      <c r="M95" s="49"/>
      <c r="N95" s="45"/>
      <c r="O95" s="40" t="str">
        <f aca="false">IF(OR($D95="",$N95=""),"",$N95*$J95)</f>
        <v/>
      </c>
      <c r="P95" s="41" t="str">
        <f aca="false">IF(OR($D95="",$L95=""),"",MAX($L95-$H95,0))</f>
        <v/>
      </c>
      <c r="Q95" s="40" t="str">
        <f aca="false">IF(OR($D95="",$N95=""),"",IF($E95="LONG",($N95-$I95)*$J95,($I95-$N95)*$J95))</f>
        <v/>
      </c>
      <c r="R95" s="42" t="str">
        <f aca="false">IF(OR($D95="",$Q95="",$K95=0),"",$Q95/$K95)</f>
        <v/>
      </c>
      <c r="S95" s="43" t="str">
        <f aca="false">IF(OR($D95="",$N95=""),"",MIN(INDEX(Config!$C$13:$C$15,$AK95),INDEX(Config!$B$13:$B$15,$AK95)*$K95)+MIN(INDEX(Config!$C$13:$C$15,$AK95),INDEX(Config!$B$13:$B$15,$AK95)*$O95))</f>
        <v/>
      </c>
      <c r="T95" s="43" t="str">
        <f aca="false">IF(OR($D95="",$N95=""),"",INDEX(Config!$D$13:$D$15,$AK95)*$AL95+INDEX(Config!$E$13:$E$15,$AK95)*$AM95)</f>
        <v/>
      </c>
      <c r="U95" s="43" t="str">
        <f aca="false">IF(OR($D95="",$N95=""),"",INDEX(Config!$F$13:$F$15,$AK95)*($K95+$O95))</f>
        <v/>
      </c>
      <c r="V95" s="43" t="str">
        <f aca="false">IF(OR($D95="",$N95=""),"",INDEX(Config!$G$13:$G$15,$AK95)*($K95+$O95)+INDEX(Config!$H$13:$H$15,$AK95)*$AL95+INDEX(Config!$J$13:$J$15,$AK95))</f>
        <v/>
      </c>
      <c r="W95" s="43" t="str">
        <f aca="false">IF(OR($D95="",$N95=""),"",INDEX(Config!$I$13:$I$15,$AK95)*($S95+$U95+INDEX(Config!$G$13:$G$15,$AK95)*($K95+$O95)))</f>
        <v/>
      </c>
      <c r="X95" s="43" t="str">
        <f aca="false">IF(OR($D95="",$N95=""),"",INDEX(Config!$K$13:$K$15,$AK95)/365*$P95*$K95*Config!$B$8)</f>
        <v/>
      </c>
      <c r="Y95" s="43" t="str">
        <f aca="false">IF(OR($D95="",$N95=""),"",SUM($S95:$X95))</f>
        <v/>
      </c>
      <c r="Z95" s="40" t="str">
        <f aca="false">IF(OR($D95="",$Q95=""),"",$Q95-$Y95)</f>
        <v/>
      </c>
      <c r="AA95" s="42" t="str">
        <f aca="false">IF(OR($D95="",$Z95="",$K95=0),"",$Z95/$K95)</f>
        <v/>
      </c>
      <c r="AB95" s="44" t="str">
        <f aca="false">IF(OR($D95="",$Y95="",$K95=0),"",$Y95/$K95*10000)</f>
        <v/>
      </c>
      <c r="AC95" s="44" t="str">
        <f aca="false">IF(OR($D95="",$G95="",$G95=0,$I95=""),"",IF($E95="LONG",($I95-$G95)/$G95,($G95-$I95)/$G95)*10000)</f>
        <v/>
      </c>
      <c r="AD95" s="45"/>
      <c r="AE95" s="40" t="str">
        <f aca="false">IF(OR($D95="",$N95&lt;&gt;"",$AD95=""),"",IF($E95="LONG",($AD95-$I95)*$J95,($I95-$AD95)*$J95))</f>
        <v/>
      </c>
      <c r="AF95" s="40" t="str">
        <f aca="false">IF(OR($D95="",$E95&lt;&gt;"LONG",$Z95=""),"",$Z95+SUMIFS($Z$4:$Z$503,$B$4:$B$503,$B95,$E$4:$E$503,"SHORT"))</f>
        <v/>
      </c>
      <c r="AG95" s="42" t="str">
        <f aca="false">IF(OR($AF95="",$K95=0),"",$AF95/$K95)</f>
        <v/>
      </c>
      <c r="AH95" s="46"/>
      <c r="AI95" s="43" t="str">
        <f aca="false">IF(OR($D95="",$AH95="",$Z95=""),"",$Z95-$AH95)</f>
        <v/>
      </c>
      <c r="AJ95" s="49"/>
      <c r="AK95" s="47" t="str">
        <f aca="false">IF($D95="","",IFERROR(MATCH($F95,Config!$A$13:$A$15,0),1))</f>
        <v/>
      </c>
      <c r="AL95" s="47" t="str">
        <f aca="false">IF(OR($D95="",$N95=""),"",IF($E95="LONG",$K95,$O95))</f>
        <v/>
      </c>
      <c r="AM95" s="47" t="str">
        <f aca="false">IF(OR($D95="",$N95=""),"",IF($E95="LONG",$O95,$K95))</f>
        <v/>
      </c>
    </row>
    <row r="96" customFormat="false" ht="15" hidden="false" customHeight="false" outlineLevel="0" collapsed="false">
      <c r="A96" s="49"/>
      <c r="B96" s="5" t="str">
        <f aca="false">IF($D96="","",IF(OR(RIGHT($A96,2)="-L",RIGHT($A96,2)="-S"),LEFT($A96,LEN($A96)-2),$A96))</f>
        <v/>
      </c>
      <c r="C96" s="50"/>
      <c r="D96" s="49"/>
      <c r="E96" s="49"/>
      <c r="F96" s="49"/>
      <c r="G96" s="45"/>
      <c r="H96" s="50"/>
      <c r="I96" s="45"/>
      <c r="J96" s="51"/>
      <c r="K96" s="40" t="str">
        <f aca="false">IF($D96="","",$I96*$J96)</f>
        <v/>
      </c>
      <c r="L96" s="50"/>
      <c r="M96" s="49"/>
      <c r="N96" s="45"/>
      <c r="O96" s="40" t="str">
        <f aca="false">IF(OR($D96="",$N96=""),"",$N96*$J96)</f>
        <v/>
      </c>
      <c r="P96" s="41" t="str">
        <f aca="false">IF(OR($D96="",$L96=""),"",MAX($L96-$H96,0))</f>
        <v/>
      </c>
      <c r="Q96" s="40" t="str">
        <f aca="false">IF(OR($D96="",$N96=""),"",IF($E96="LONG",($N96-$I96)*$J96,($I96-$N96)*$J96))</f>
        <v/>
      </c>
      <c r="R96" s="42" t="str">
        <f aca="false">IF(OR($D96="",$Q96="",$K96=0),"",$Q96/$K96)</f>
        <v/>
      </c>
      <c r="S96" s="43" t="str">
        <f aca="false">IF(OR($D96="",$N96=""),"",MIN(INDEX(Config!$C$13:$C$15,$AK96),INDEX(Config!$B$13:$B$15,$AK96)*$K96)+MIN(INDEX(Config!$C$13:$C$15,$AK96),INDEX(Config!$B$13:$B$15,$AK96)*$O96))</f>
        <v/>
      </c>
      <c r="T96" s="43" t="str">
        <f aca="false">IF(OR($D96="",$N96=""),"",INDEX(Config!$D$13:$D$15,$AK96)*$AL96+INDEX(Config!$E$13:$E$15,$AK96)*$AM96)</f>
        <v/>
      </c>
      <c r="U96" s="43" t="str">
        <f aca="false">IF(OR($D96="",$N96=""),"",INDEX(Config!$F$13:$F$15,$AK96)*($K96+$O96))</f>
        <v/>
      </c>
      <c r="V96" s="43" t="str">
        <f aca="false">IF(OR($D96="",$N96=""),"",INDEX(Config!$G$13:$G$15,$AK96)*($K96+$O96)+INDEX(Config!$H$13:$H$15,$AK96)*$AL96+INDEX(Config!$J$13:$J$15,$AK96))</f>
        <v/>
      </c>
      <c r="W96" s="43" t="str">
        <f aca="false">IF(OR($D96="",$N96=""),"",INDEX(Config!$I$13:$I$15,$AK96)*($S96+$U96+INDEX(Config!$G$13:$G$15,$AK96)*($K96+$O96)))</f>
        <v/>
      </c>
      <c r="X96" s="43" t="str">
        <f aca="false">IF(OR($D96="",$N96=""),"",INDEX(Config!$K$13:$K$15,$AK96)/365*$P96*$K96*Config!$B$8)</f>
        <v/>
      </c>
      <c r="Y96" s="43" t="str">
        <f aca="false">IF(OR($D96="",$N96=""),"",SUM($S96:$X96))</f>
        <v/>
      </c>
      <c r="Z96" s="40" t="str">
        <f aca="false">IF(OR($D96="",$Q96=""),"",$Q96-$Y96)</f>
        <v/>
      </c>
      <c r="AA96" s="42" t="str">
        <f aca="false">IF(OR($D96="",$Z96="",$K96=0),"",$Z96/$K96)</f>
        <v/>
      </c>
      <c r="AB96" s="44" t="str">
        <f aca="false">IF(OR($D96="",$Y96="",$K96=0),"",$Y96/$K96*10000)</f>
        <v/>
      </c>
      <c r="AC96" s="44" t="str">
        <f aca="false">IF(OR($D96="",$G96="",$G96=0,$I96=""),"",IF($E96="LONG",($I96-$G96)/$G96,($G96-$I96)/$G96)*10000)</f>
        <v/>
      </c>
      <c r="AD96" s="45"/>
      <c r="AE96" s="40" t="str">
        <f aca="false">IF(OR($D96="",$N96&lt;&gt;"",$AD96=""),"",IF($E96="LONG",($AD96-$I96)*$J96,($I96-$AD96)*$J96))</f>
        <v/>
      </c>
      <c r="AF96" s="40" t="str">
        <f aca="false">IF(OR($D96="",$E96&lt;&gt;"LONG",$Z96=""),"",$Z96+SUMIFS($Z$4:$Z$503,$B$4:$B$503,$B96,$E$4:$E$503,"SHORT"))</f>
        <v/>
      </c>
      <c r="AG96" s="42" t="str">
        <f aca="false">IF(OR($AF96="",$K96=0),"",$AF96/$K96)</f>
        <v/>
      </c>
      <c r="AH96" s="46"/>
      <c r="AI96" s="43" t="str">
        <f aca="false">IF(OR($D96="",$AH96="",$Z96=""),"",$Z96-$AH96)</f>
        <v/>
      </c>
      <c r="AJ96" s="49"/>
      <c r="AK96" s="47" t="str">
        <f aca="false">IF($D96="","",IFERROR(MATCH($F96,Config!$A$13:$A$15,0),1))</f>
        <v/>
      </c>
      <c r="AL96" s="47" t="str">
        <f aca="false">IF(OR($D96="",$N96=""),"",IF($E96="LONG",$K96,$O96))</f>
        <v/>
      </c>
      <c r="AM96" s="47" t="str">
        <f aca="false">IF(OR($D96="",$N96=""),"",IF($E96="LONG",$O96,$K96))</f>
        <v/>
      </c>
    </row>
    <row r="97" customFormat="false" ht="15" hidden="false" customHeight="false" outlineLevel="0" collapsed="false">
      <c r="A97" s="49"/>
      <c r="B97" s="5" t="str">
        <f aca="false">IF($D97="","",IF(OR(RIGHT($A97,2)="-L",RIGHT($A97,2)="-S"),LEFT($A97,LEN($A97)-2),$A97))</f>
        <v/>
      </c>
      <c r="C97" s="50"/>
      <c r="D97" s="49"/>
      <c r="E97" s="49"/>
      <c r="F97" s="49"/>
      <c r="G97" s="45"/>
      <c r="H97" s="50"/>
      <c r="I97" s="45"/>
      <c r="J97" s="51"/>
      <c r="K97" s="40" t="str">
        <f aca="false">IF($D97="","",$I97*$J97)</f>
        <v/>
      </c>
      <c r="L97" s="50"/>
      <c r="M97" s="49"/>
      <c r="N97" s="45"/>
      <c r="O97" s="40" t="str">
        <f aca="false">IF(OR($D97="",$N97=""),"",$N97*$J97)</f>
        <v/>
      </c>
      <c r="P97" s="41" t="str">
        <f aca="false">IF(OR($D97="",$L97=""),"",MAX($L97-$H97,0))</f>
        <v/>
      </c>
      <c r="Q97" s="40" t="str">
        <f aca="false">IF(OR($D97="",$N97=""),"",IF($E97="LONG",($N97-$I97)*$J97,($I97-$N97)*$J97))</f>
        <v/>
      </c>
      <c r="R97" s="42" t="str">
        <f aca="false">IF(OR($D97="",$Q97="",$K97=0),"",$Q97/$K97)</f>
        <v/>
      </c>
      <c r="S97" s="43" t="str">
        <f aca="false">IF(OR($D97="",$N97=""),"",MIN(INDEX(Config!$C$13:$C$15,$AK97),INDEX(Config!$B$13:$B$15,$AK97)*$K97)+MIN(INDEX(Config!$C$13:$C$15,$AK97),INDEX(Config!$B$13:$B$15,$AK97)*$O97))</f>
        <v/>
      </c>
      <c r="T97" s="43" t="str">
        <f aca="false">IF(OR($D97="",$N97=""),"",INDEX(Config!$D$13:$D$15,$AK97)*$AL97+INDEX(Config!$E$13:$E$15,$AK97)*$AM97)</f>
        <v/>
      </c>
      <c r="U97" s="43" t="str">
        <f aca="false">IF(OR($D97="",$N97=""),"",INDEX(Config!$F$13:$F$15,$AK97)*($K97+$O97))</f>
        <v/>
      </c>
      <c r="V97" s="43" t="str">
        <f aca="false">IF(OR($D97="",$N97=""),"",INDEX(Config!$G$13:$G$15,$AK97)*($K97+$O97)+INDEX(Config!$H$13:$H$15,$AK97)*$AL97+INDEX(Config!$J$13:$J$15,$AK97))</f>
        <v/>
      </c>
      <c r="W97" s="43" t="str">
        <f aca="false">IF(OR($D97="",$N97=""),"",INDEX(Config!$I$13:$I$15,$AK97)*($S97+$U97+INDEX(Config!$G$13:$G$15,$AK97)*($K97+$O97)))</f>
        <v/>
      </c>
      <c r="X97" s="43" t="str">
        <f aca="false">IF(OR($D97="",$N97=""),"",INDEX(Config!$K$13:$K$15,$AK97)/365*$P97*$K97*Config!$B$8)</f>
        <v/>
      </c>
      <c r="Y97" s="43" t="str">
        <f aca="false">IF(OR($D97="",$N97=""),"",SUM($S97:$X97))</f>
        <v/>
      </c>
      <c r="Z97" s="40" t="str">
        <f aca="false">IF(OR($D97="",$Q97=""),"",$Q97-$Y97)</f>
        <v/>
      </c>
      <c r="AA97" s="42" t="str">
        <f aca="false">IF(OR($D97="",$Z97="",$K97=0),"",$Z97/$K97)</f>
        <v/>
      </c>
      <c r="AB97" s="44" t="str">
        <f aca="false">IF(OR($D97="",$Y97="",$K97=0),"",$Y97/$K97*10000)</f>
        <v/>
      </c>
      <c r="AC97" s="44" t="str">
        <f aca="false">IF(OR($D97="",$G97="",$G97=0,$I97=""),"",IF($E97="LONG",($I97-$G97)/$G97,($G97-$I97)/$G97)*10000)</f>
        <v/>
      </c>
      <c r="AD97" s="45"/>
      <c r="AE97" s="40" t="str">
        <f aca="false">IF(OR($D97="",$N97&lt;&gt;"",$AD97=""),"",IF($E97="LONG",($AD97-$I97)*$J97,($I97-$AD97)*$J97))</f>
        <v/>
      </c>
      <c r="AF97" s="40" t="str">
        <f aca="false">IF(OR($D97="",$E97&lt;&gt;"LONG",$Z97=""),"",$Z97+SUMIFS($Z$4:$Z$503,$B$4:$B$503,$B97,$E$4:$E$503,"SHORT"))</f>
        <v/>
      </c>
      <c r="AG97" s="42" t="str">
        <f aca="false">IF(OR($AF97="",$K97=0),"",$AF97/$K97)</f>
        <v/>
      </c>
      <c r="AH97" s="46"/>
      <c r="AI97" s="43" t="str">
        <f aca="false">IF(OR($D97="",$AH97="",$Z97=""),"",$Z97-$AH97)</f>
        <v/>
      </c>
      <c r="AJ97" s="49"/>
      <c r="AK97" s="47" t="str">
        <f aca="false">IF($D97="","",IFERROR(MATCH($F97,Config!$A$13:$A$15,0),1))</f>
        <v/>
      </c>
      <c r="AL97" s="47" t="str">
        <f aca="false">IF(OR($D97="",$N97=""),"",IF($E97="LONG",$K97,$O97))</f>
        <v/>
      </c>
      <c r="AM97" s="47" t="str">
        <f aca="false">IF(OR($D97="",$N97=""),"",IF($E97="LONG",$O97,$K97))</f>
        <v/>
      </c>
    </row>
    <row r="98" customFormat="false" ht="15" hidden="false" customHeight="false" outlineLevel="0" collapsed="false">
      <c r="A98" s="49"/>
      <c r="B98" s="5" t="str">
        <f aca="false">IF($D98="","",IF(OR(RIGHT($A98,2)="-L",RIGHT($A98,2)="-S"),LEFT($A98,LEN($A98)-2),$A98))</f>
        <v/>
      </c>
      <c r="C98" s="50"/>
      <c r="D98" s="49"/>
      <c r="E98" s="49"/>
      <c r="F98" s="49"/>
      <c r="G98" s="45"/>
      <c r="H98" s="50"/>
      <c r="I98" s="45"/>
      <c r="J98" s="51"/>
      <c r="K98" s="40" t="str">
        <f aca="false">IF($D98="","",$I98*$J98)</f>
        <v/>
      </c>
      <c r="L98" s="50"/>
      <c r="M98" s="49"/>
      <c r="N98" s="45"/>
      <c r="O98" s="40" t="str">
        <f aca="false">IF(OR($D98="",$N98=""),"",$N98*$J98)</f>
        <v/>
      </c>
      <c r="P98" s="41" t="str">
        <f aca="false">IF(OR($D98="",$L98=""),"",MAX($L98-$H98,0))</f>
        <v/>
      </c>
      <c r="Q98" s="40" t="str">
        <f aca="false">IF(OR($D98="",$N98=""),"",IF($E98="LONG",($N98-$I98)*$J98,($I98-$N98)*$J98))</f>
        <v/>
      </c>
      <c r="R98" s="42" t="str">
        <f aca="false">IF(OR($D98="",$Q98="",$K98=0),"",$Q98/$K98)</f>
        <v/>
      </c>
      <c r="S98" s="43" t="str">
        <f aca="false">IF(OR($D98="",$N98=""),"",MIN(INDEX(Config!$C$13:$C$15,$AK98),INDEX(Config!$B$13:$B$15,$AK98)*$K98)+MIN(INDEX(Config!$C$13:$C$15,$AK98),INDEX(Config!$B$13:$B$15,$AK98)*$O98))</f>
        <v/>
      </c>
      <c r="T98" s="43" t="str">
        <f aca="false">IF(OR($D98="",$N98=""),"",INDEX(Config!$D$13:$D$15,$AK98)*$AL98+INDEX(Config!$E$13:$E$15,$AK98)*$AM98)</f>
        <v/>
      </c>
      <c r="U98" s="43" t="str">
        <f aca="false">IF(OR($D98="",$N98=""),"",INDEX(Config!$F$13:$F$15,$AK98)*($K98+$O98))</f>
        <v/>
      </c>
      <c r="V98" s="43" t="str">
        <f aca="false">IF(OR($D98="",$N98=""),"",INDEX(Config!$G$13:$G$15,$AK98)*($K98+$O98)+INDEX(Config!$H$13:$H$15,$AK98)*$AL98+INDEX(Config!$J$13:$J$15,$AK98))</f>
        <v/>
      </c>
      <c r="W98" s="43" t="str">
        <f aca="false">IF(OR($D98="",$N98=""),"",INDEX(Config!$I$13:$I$15,$AK98)*($S98+$U98+INDEX(Config!$G$13:$G$15,$AK98)*($K98+$O98)))</f>
        <v/>
      </c>
      <c r="X98" s="43" t="str">
        <f aca="false">IF(OR($D98="",$N98=""),"",INDEX(Config!$K$13:$K$15,$AK98)/365*$P98*$K98*Config!$B$8)</f>
        <v/>
      </c>
      <c r="Y98" s="43" t="str">
        <f aca="false">IF(OR($D98="",$N98=""),"",SUM($S98:$X98))</f>
        <v/>
      </c>
      <c r="Z98" s="40" t="str">
        <f aca="false">IF(OR($D98="",$Q98=""),"",$Q98-$Y98)</f>
        <v/>
      </c>
      <c r="AA98" s="42" t="str">
        <f aca="false">IF(OR($D98="",$Z98="",$K98=0),"",$Z98/$K98)</f>
        <v/>
      </c>
      <c r="AB98" s="44" t="str">
        <f aca="false">IF(OR($D98="",$Y98="",$K98=0),"",$Y98/$K98*10000)</f>
        <v/>
      </c>
      <c r="AC98" s="44" t="str">
        <f aca="false">IF(OR($D98="",$G98="",$G98=0,$I98=""),"",IF($E98="LONG",($I98-$G98)/$G98,($G98-$I98)/$G98)*10000)</f>
        <v/>
      </c>
      <c r="AD98" s="45"/>
      <c r="AE98" s="40" t="str">
        <f aca="false">IF(OR($D98="",$N98&lt;&gt;"",$AD98=""),"",IF($E98="LONG",($AD98-$I98)*$J98,($I98-$AD98)*$J98))</f>
        <v/>
      </c>
      <c r="AF98" s="40" t="str">
        <f aca="false">IF(OR($D98="",$E98&lt;&gt;"LONG",$Z98=""),"",$Z98+SUMIFS($Z$4:$Z$503,$B$4:$B$503,$B98,$E$4:$E$503,"SHORT"))</f>
        <v/>
      </c>
      <c r="AG98" s="42" t="str">
        <f aca="false">IF(OR($AF98="",$K98=0),"",$AF98/$K98)</f>
        <v/>
      </c>
      <c r="AH98" s="46"/>
      <c r="AI98" s="43" t="str">
        <f aca="false">IF(OR($D98="",$AH98="",$Z98=""),"",$Z98-$AH98)</f>
        <v/>
      </c>
      <c r="AJ98" s="49"/>
      <c r="AK98" s="47" t="str">
        <f aca="false">IF($D98="","",IFERROR(MATCH($F98,Config!$A$13:$A$15,0),1))</f>
        <v/>
      </c>
      <c r="AL98" s="47" t="str">
        <f aca="false">IF(OR($D98="",$N98=""),"",IF($E98="LONG",$K98,$O98))</f>
        <v/>
      </c>
      <c r="AM98" s="47" t="str">
        <f aca="false">IF(OR($D98="",$N98=""),"",IF($E98="LONG",$O98,$K98))</f>
        <v/>
      </c>
    </row>
    <row r="99" customFormat="false" ht="15" hidden="false" customHeight="false" outlineLevel="0" collapsed="false">
      <c r="A99" s="49"/>
      <c r="B99" s="5" t="str">
        <f aca="false">IF($D99="","",IF(OR(RIGHT($A99,2)="-L",RIGHT($A99,2)="-S"),LEFT($A99,LEN($A99)-2),$A99))</f>
        <v/>
      </c>
      <c r="C99" s="50"/>
      <c r="D99" s="49"/>
      <c r="E99" s="49"/>
      <c r="F99" s="49"/>
      <c r="G99" s="45"/>
      <c r="H99" s="50"/>
      <c r="I99" s="45"/>
      <c r="J99" s="51"/>
      <c r="K99" s="40" t="str">
        <f aca="false">IF($D99="","",$I99*$J99)</f>
        <v/>
      </c>
      <c r="L99" s="50"/>
      <c r="M99" s="49"/>
      <c r="N99" s="45"/>
      <c r="O99" s="40" t="str">
        <f aca="false">IF(OR($D99="",$N99=""),"",$N99*$J99)</f>
        <v/>
      </c>
      <c r="P99" s="41" t="str">
        <f aca="false">IF(OR($D99="",$L99=""),"",MAX($L99-$H99,0))</f>
        <v/>
      </c>
      <c r="Q99" s="40" t="str">
        <f aca="false">IF(OR($D99="",$N99=""),"",IF($E99="LONG",($N99-$I99)*$J99,($I99-$N99)*$J99))</f>
        <v/>
      </c>
      <c r="R99" s="42" t="str">
        <f aca="false">IF(OR($D99="",$Q99="",$K99=0),"",$Q99/$K99)</f>
        <v/>
      </c>
      <c r="S99" s="43" t="str">
        <f aca="false">IF(OR($D99="",$N99=""),"",MIN(INDEX(Config!$C$13:$C$15,$AK99),INDEX(Config!$B$13:$B$15,$AK99)*$K99)+MIN(INDEX(Config!$C$13:$C$15,$AK99),INDEX(Config!$B$13:$B$15,$AK99)*$O99))</f>
        <v/>
      </c>
      <c r="T99" s="43" t="str">
        <f aca="false">IF(OR($D99="",$N99=""),"",INDEX(Config!$D$13:$D$15,$AK99)*$AL99+INDEX(Config!$E$13:$E$15,$AK99)*$AM99)</f>
        <v/>
      </c>
      <c r="U99" s="43" t="str">
        <f aca="false">IF(OR($D99="",$N99=""),"",INDEX(Config!$F$13:$F$15,$AK99)*($K99+$O99))</f>
        <v/>
      </c>
      <c r="V99" s="43" t="str">
        <f aca="false">IF(OR($D99="",$N99=""),"",INDEX(Config!$G$13:$G$15,$AK99)*($K99+$O99)+INDEX(Config!$H$13:$H$15,$AK99)*$AL99+INDEX(Config!$J$13:$J$15,$AK99))</f>
        <v/>
      </c>
      <c r="W99" s="43" t="str">
        <f aca="false">IF(OR($D99="",$N99=""),"",INDEX(Config!$I$13:$I$15,$AK99)*($S99+$U99+INDEX(Config!$G$13:$G$15,$AK99)*($K99+$O99)))</f>
        <v/>
      </c>
      <c r="X99" s="43" t="str">
        <f aca="false">IF(OR($D99="",$N99=""),"",INDEX(Config!$K$13:$K$15,$AK99)/365*$P99*$K99*Config!$B$8)</f>
        <v/>
      </c>
      <c r="Y99" s="43" t="str">
        <f aca="false">IF(OR($D99="",$N99=""),"",SUM($S99:$X99))</f>
        <v/>
      </c>
      <c r="Z99" s="40" t="str">
        <f aca="false">IF(OR($D99="",$Q99=""),"",$Q99-$Y99)</f>
        <v/>
      </c>
      <c r="AA99" s="42" t="str">
        <f aca="false">IF(OR($D99="",$Z99="",$K99=0),"",$Z99/$K99)</f>
        <v/>
      </c>
      <c r="AB99" s="44" t="str">
        <f aca="false">IF(OR($D99="",$Y99="",$K99=0),"",$Y99/$K99*10000)</f>
        <v/>
      </c>
      <c r="AC99" s="44" t="str">
        <f aca="false">IF(OR($D99="",$G99="",$G99=0,$I99=""),"",IF($E99="LONG",($I99-$G99)/$G99,($G99-$I99)/$G99)*10000)</f>
        <v/>
      </c>
      <c r="AD99" s="45"/>
      <c r="AE99" s="40" t="str">
        <f aca="false">IF(OR($D99="",$N99&lt;&gt;"",$AD99=""),"",IF($E99="LONG",($AD99-$I99)*$J99,($I99-$AD99)*$J99))</f>
        <v/>
      </c>
      <c r="AF99" s="40" t="str">
        <f aca="false">IF(OR($D99="",$E99&lt;&gt;"LONG",$Z99=""),"",$Z99+SUMIFS($Z$4:$Z$503,$B$4:$B$503,$B99,$E$4:$E$503,"SHORT"))</f>
        <v/>
      </c>
      <c r="AG99" s="42" t="str">
        <f aca="false">IF(OR($AF99="",$K99=0),"",$AF99/$K99)</f>
        <v/>
      </c>
      <c r="AH99" s="46"/>
      <c r="AI99" s="43" t="str">
        <f aca="false">IF(OR($D99="",$AH99="",$Z99=""),"",$Z99-$AH99)</f>
        <v/>
      </c>
      <c r="AJ99" s="49"/>
      <c r="AK99" s="47" t="str">
        <f aca="false">IF($D99="","",IFERROR(MATCH($F99,Config!$A$13:$A$15,0),1))</f>
        <v/>
      </c>
      <c r="AL99" s="47" t="str">
        <f aca="false">IF(OR($D99="",$N99=""),"",IF($E99="LONG",$K99,$O99))</f>
        <v/>
      </c>
      <c r="AM99" s="47" t="str">
        <f aca="false">IF(OR($D99="",$N99=""),"",IF($E99="LONG",$O99,$K99))</f>
        <v/>
      </c>
    </row>
    <row r="100" customFormat="false" ht="15" hidden="false" customHeight="false" outlineLevel="0" collapsed="false">
      <c r="A100" s="49"/>
      <c r="B100" s="5" t="str">
        <f aca="false">IF($D100="","",IF(OR(RIGHT($A100,2)="-L",RIGHT($A100,2)="-S"),LEFT($A100,LEN($A100)-2),$A100))</f>
        <v/>
      </c>
      <c r="C100" s="50"/>
      <c r="D100" s="49"/>
      <c r="E100" s="49"/>
      <c r="F100" s="49"/>
      <c r="G100" s="45"/>
      <c r="H100" s="50"/>
      <c r="I100" s="45"/>
      <c r="J100" s="51"/>
      <c r="K100" s="40" t="str">
        <f aca="false">IF($D100="","",$I100*$J100)</f>
        <v/>
      </c>
      <c r="L100" s="50"/>
      <c r="M100" s="49"/>
      <c r="N100" s="45"/>
      <c r="O100" s="40" t="str">
        <f aca="false">IF(OR($D100="",$N100=""),"",$N100*$J100)</f>
        <v/>
      </c>
      <c r="P100" s="41" t="str">
        <f aca="false">IF(OR($D100="",$L100=""),"",MAX($L100-$H100,0))</f>
        <v/>
      </c>
      <c r="Q100" s="40" t="str">
        <f aca="false">IF(OR($D100="",$N100=""),"",IF($E100="LONG",($N100-$I100)*$J100,($I100-$N100)*$J100))</f>
        <v/>
      </c>
      <c r="R100" s="42" t="str">
        <f aca="false">IF(OR($D100="",$Q100="",$K100=0),"",$Q100/$K100)</f>
        <v/>
      </c>
      <c r="S100" s="43" t="str">
        <f aca="false">IF(OR($D100="",$N100=""),"",MIN(INDEX(Config!$C$13:$C$15,$AK100),INDEX(Config!$B$13:$B$15,$AK100)*$K100)+MIN(INDEX(Config!$C$13:$C$15,$AK100),INDEX(Config!$B$13:$B$15,$AK100)*$O100))</f>
        <v/>
      </c>
      <c r="T100" s="43" t="str">
        <f aca="false">IF(OR($D100="",$N100=""),"",INDEX(Config!$D$13:$D$15,$AK100)*$AL100+INDEX(Config!$E$13:$E$15,$AK100)*$AM100)</f>
        <v/>
      </c>
      <c r="U100" s="43" t="str">
        <f aca="false">IF(OR($D100="",$N100=""),"",INDEX(Config!$F$13:$F$15,$AK100)*($K100+$O100))</f>
        <v/>
      </c>
      <c r="V100" s="43" t="str">
        <f aca="false">IF(OR($D100="",$N100=""),"",INDEX(Config!$G$13:$G$15,$AK100)*($K100+$O100)+INDEX(Config!$H$13:$H$15,$AK100)*$AL100+INDEX(Config!$J$13:$J$15,$AK100))</f>
        <v/>
      </c>
      <c r="W100" s="43" t="str">
        <f aca="false">IF(OR($D100="",$N100=""),"",INDEX(Config!$I$13:$I$15,$AK100)*($S100+$U100+INDEX(Config!$G$13:$G$15,$AK100)*($K100+$O100)))</f>
        <v/>
      </c>
      <c r="X100" s="43" t="str">
        <f aca="false">IF(OR($D100="",$N100=""),"",INDEX(Config!$K$13:$K$15,$AK100)/365*$P100*$K100*Config!$B$8)</f>
        <v/>
      </c>
      <c r="Y100" s="43" t="str">
        <f aca="false">IF(OR($D100="",$N100=""),"",SUM($S100:$X100))</f>
        <v/>
      </c>
      <c r="Z100" s="40" t="str">
        <f aca="false">IF(OR($D100="",$Q100=""),"",$Q100-$Y100)</f>
        <v/>
      </c>
      <c r="AA100" s="42" t="str">
        <f aca="false">IF(OR($D100="",$Z100="",$K100=0),"",$Z100/$K100)</f>
        <v/>
      </c>
      <c r="AB100" s="44" t="str">
        <f aca="false">IF(OR($D100="",$Y100="",$K100=0),"",$Y100/$K100*10000)</f>
        <v/>
      </c>
      <c r="AC100" s="44" t="str">
        <f aca="false">IF(OR($D100="",$G100="",$G100=0,$I100=""),"",IF($E100="LONG",($I100-$G100)/$G100,($G100-$I100)/$G100)*10000)</f>
        <v/>
      </c>
      <c r="AD100" s="45"/>
      <c r="AE100" s="40" t="str">
        <f aca="false">IF(OR($D100="",$N100&lt;&gt;"",$AD100=""),"",IF($E100="LONG",($AD100-$I100)*$J100,($I100-$AD100)*$J100))</f>
        <v/>
      </c>
      <c r="AF100" s="40" t="str">
        <f aca="false">IF(OR($D100="",$E100&lt;&gt;"LONG",$Z100=""),"",$Z100+SUMIFS($Z$4:$Z$503,$B$4:$B$503,$B100,$E$4:$E$503,"SHORT"))</f>
        <v/>
      </c>
      <c r="AG100" s="42" t="str">
        <f aca="false">IF(OR($AF100="",$K100=0),"",$AF100/$K100)</f>
        <v/>
      </c>
      <c r="AH100" s="46"/>
      <c r="AI100" s="43" t="str">
        <f aca="false">IF(OR($D100="",$AH100="",$Z100=""),"",$Z100-$AH100)</f>
        <v/>
      </c>
      <c r="AJ100" s="49"/>
      <c r="AK100" s="47" t="str">
        <f aca="false">IF($D100="","",IFERROR(MATCH($F100,Config!$A$13:$A$15,0),1))</f>
        <v/>
      </c>
      <c r="AL100" s="47" t="str">
        <f aca="false">IF(OR($D100="",$N100=""),"",IF($E100="LONG",$K100,$O100))</f>
        <v/>
      </c>
      <c r="AM100" s="47" t="str">
        <f aca="false">IF(OR($D100="",$N100=""),"",IF($E100="LONG",$O100,$K100))</f>
        <v/>
      </c>
    </row>
    <row r="101" customFormat="false" ht="15" hidden="false" customHeight="false" outlineLevel="0" collapsed="false">
      <c r="A101" s="49"/>
      <c r="B101" s="5" t="str">
        <f aca="false">IF($D101="","",IF(OR(RIGHT($A101,2)="-L",RIGHT($A101,2)="-S"),LEFT($A101,LEN($A101)-2),$A101))</f>
        <v/>
      </c>
      <c r="C101" s="50"/>
      <c r="D101" s="49"/>
      <c r="E101" s="49"/>
      <c r="F101" s="49"/>
      <c r="G101" s="45"/>
      <c r="H101" s="50"/>
      <c r="I101" s="45"/>
      <c r="J101" s="51"/>
      <c r="K101" s="40" t="str">
        <f aca="false">IF($D101="","",$I101*$J101)</f>
        <v/>
      </c>
      <c r="L101" s="50"/>
      <c r="M101" s="49"/>
      <c r="N101" s="45"/>
      <c r="O101" s="40" t="str">
        <f aca="false">IF(OR($D101="",$N101=""),"",$N101*$J101)</f>
        <v/>
      </c>
      <c r="P101" s="41" t="str">
        <f aca="false">IF(OR($D101="",$L101=""),"",MAX($L101-$H101,0))</f>
        <v/>
      </c>
      <c r="Q101" s="40" t="str">
        <f aca="false">IF(OR($D101="",$N101=""),"",IF($E101="LONG",($N101-$I101)*$J101,($I101-$N101)*$J101))</f>
        <v/>
      </c>
      <c r="R101" s="42" t="str">
        <f aca="false">IF(OR($D101="",$Q101="",$K101=0),"",$Q101/$K101)</f>
        <v/>
      </c>
      <c r="S101" s="43" t="str">
        <f aca="false">IF(OR($D101="",$N101=""),"",MIN(INDEX(Config!$C$13:$C$15,$AK101),INDEX(Config!$B$13:$B$15,$AK101)*$K101)+MIN(INDEX(Config!$C$13:$C$15,$AK101),INDEX(Config!$B$13:$B$15,$AK101)*$O101))</f>
        <v/>
      </c>
      <c r="T101" s="43" t="str">
        <f aca="false">IF(OR($D101="",$N101=""),"",INDEX(Config!$D$13:$D$15,$AK101)*$AL101+INDEX(Config!$E$13:$E$15,$AK101)*$AM101)</f>
        <v/>
      </c>
      <c r="U101" s="43" t="str">
        <f aca="false">IF(OR($D101="",$N101=""),"",INDEX(Config!$F$13:$F$15,$AK101)*($K101+$O101))</f>
        <v/>
      </c>
      <c r="V101" s="43" t="str">
        <f aca="false">IF(OR($D101="",$N101=""),"",INDEX(Config!$G$13:$G$15,$AK101)*($K101+$O101)+INDEX(Config!$H$13:$H$15,$AK101)*$AL101+INDEX(Config!$J$13:$J$15,$AK101))</f>
        <v/>
      </c>
      <c r="W101" s="43" t="str">
        <f aca="false">IF(OR($D101="",$N101=""),"",INDEX(Config!$I$13:$I$15,$AK101)*($S101+$U101+INDEX(Config!$G$13:$G$15,$AK101)*($K101+$O101)))</f>
        <v/>
      </c>
      <c r="X101" s="43" t="str">
        <f aca="false">IF(OR($D101="",$N101=""),"",INDEX(Config!$K$13:$K$15,$AK101)/365*$P101*$K101*Config!$B$8)</f>
        <v/>
      </c>
      <c r="Y101" s="43" t="str">
        <f aca="false">IF(OR($D101="",$N101=""),"",SUM($S101:$X101))</f>
        <v/>
      </c>
      <c r="Z101" s="40" t="str">
        <f aca="false">IF(OR($D101="",$Q101=""),"",$Q101-$Y101)</f>
        <v/>
      </c>
      <c r="AA101" s="42" t="str">
        <f aca="false">IF(OR($D101="",$Z101="",$K101=0),"",$Z101/$K101)</f>
        <v/>
      </c>
      <c r="AB101" s="44" t="str">
        <f aca="false">IF(OR($D101="",$Y101="",$K101=0),"",$Y101/$K101*10000)</f>
        <v/>
      </c>
      <c r="AC101" s="44" t="str">
        <f aca="false">IF(OR($D101="",$G101="",$G101=0,$I101=""),"",IF($E101="LONG",($I101-$G101)/$G101,($G101-$I101)/$G101)*10000)</f>
        <v/>
      </c>
      <c r="AD101" s="45"/>
      <c r="AE101" s="40" t="str">
        <f aca="false">IF(OR($D101="",$N101&lt;&gt;"",$AD101=""),"",IF($E101="LONG",($AD101-$I101)*$J101,($I101-$AD101)*$J101))</f>
        <v/>
      </c>
      <c r="AF101" s="40" t="str">
        <f aca="false">IF(OR($D101="",$E101&lt;&gt;"LONG",$Z101=""),"",$Z101+SUMIFS($Z$4:$Z$503,$B$4:$B$503,$B101,$E$4:$E$503,"SHORT"))</f>
        <v/>
      </c>
      <c r="AG101" s="42" t="str">
        <f aca="false">IF(OR($AF101="",$K101=0),"",$AF101/$K101)</f>
        <v/>
      </c>
      <c r="AH101" s="46"/>
      <c r="AI101" s="43" t="str">
        <f aca="false">IF(OR($D101="",$AH101="",$Z101=""),"",$Z101-$AH101)</f>
        <v/>
      </c>
      <c r="AJ101" s="49"/>
      <c r="AK101" s="47" t="str">
        <f aca="false">IF($D101="","",IFERROR(MATCH($F101,Config!$A$13:$A$15,0),1))</f>
        <v/>
      </c>
      <c r="AL101" s="47" t="str">
        <f aca="false">IF(OR($D101="",$N101=""),"",IF($E101="LONG",$K101,$O101))</f>
        <v/>
      </c>
      <c r="AM101" s="47" t="str">
        <f aca="false">IF(OR($D101="",$N101=""),"",IF($E101="LONG",$O101,$K101))</f>
        <v/>
      </c>
    </row>
    <row r="102" customFormat="false" ht="15" hidden="false" customHeight="false" outlineLevel="0" collapsed="false">
      <c r="A102" s="49"/>
      <c r="B102" s="5" t="str">
        <f aca="false">IF($D102="","",IF(OR(RIGHT($A102,2)="-L",RIGHT($A102,2)="-S"),LEFT($A102,LEN($A102)-2),$A102))</f>
        <v/>
      </c>
      <c r="C102" s="50"/>
      <c r="D102" s="49"/>
      <c r="E102" s="49"/>
      <c r="F102" s="49"/>
      <c r="G102" s="45"/>
      <c r="H102" s="50"/>
      <c r="I102" s="45"/>
      <c r="J102" s="51"/>
      <c r="K102" s="40" t="str">
        <f aca="false">IF($D102="","",$I102*$J102)</f>
        <v/>
      </c>
      <c r="L102" s="50"/>
      <c r="M102" s="49"/>
      <c r="N102" s="45"/>
      <c r="O102" s="40" t="str">
        <f aca="false">IF(OR($D102="",$N102=""),"",$N102*$J102)</f>
        <v/>
      </c>
      <c r="P102" s="41" t="str">
        <f aca="false">IF(OR($D102="",$L102=""),"",MAX($L102-$H102,0))</f>
        <v/>
      </c>
      <c r="Q102" s="40" t="str">
        <f aca="false">IF(OR($D102="",$N102=""),"",IF($E102="LONG",($N102-$I102)*$J102,($I102-$N102)*$J102))</f>
        <v/>
      </c>
      <c r="R102" s="42" t="str">
        <f aca="false">IF(OR($D102="",$Q102="",$K102=0),"",$Q102/$K102)</f>
        <v/>
      </c>
      <c r="S102" s="43" t="str">
        <f aca="false">IF(OR($D102="",$N102=""),"",MIN(INDEX(Config!$C$13:$C$15,$AK102),INDEX(Config!$B$13:$B$15,$AK102)*$K102)+MIN(INDEX(Config!$C$13:$C$15,$AK102),INDEX(Config!$B$13:$B$15,$AK102)*$O102))</f>
        <v/>
      </c>
      <c r="T102" s="43" t="str">
        <f aca="false">IF(OR($D102="",$N102=""),"",INDEX(Config!$D$13:$D$15,$AK102)*$AL102+INDEX(Config!$E$13:$E$15,$AK102)*$AM102)</f>
        <v/>
      </c>
      <c r="U102" s="43" t="str">
        <f aca="false">IF(OR($D102="",$N102=""),"",INDEX(Config!$F$13:$F$15,$AK102)*($K102+$O102))</f>
        <v/>
      </c>
      <c r="V102" s="43" t="str">
        <f aca="false">IF(OR($D102="",$N102=""),"",INDEX(Config!$G$13:$G$15,$AK102)*($K102+$O102)+INDEX(Config!$H$13:$H$15,$AK102)*$AL102+INDEX(Config!$J$13:$J$15,$AK102))</f>
        <v/>
      </c>
      <c r="W102" s="43" t="str">
        <f aca="false">IF(OR($D102="",$N102=""),"",INDEX(Config!$I$13:$I$15,$AK102)*($S102+$U102+INDEX(Config!$G$13:$G$15,$AK102)*($K102+$O102)))</f>
        <v/>
      </c>
      <c r="X102" s="43" t="str">
        <f aca="false">IF(OR($D102="",$N102=""),"",INDEX(Config!$K$13:$K$15,$AK102)/365*$P102*$K102*Config!$B$8)</f>
        <v/>
      </c>
      <c r="Y102" s="43" t="str">
        <f aca="false">IF(OR($D102="",$N102=""),"",SUM($S102:$X102))</f>
        <v/>
      </c>
      <c r="Z102" s="40" t="str">
        <f aca="false">IF(OR($D102="",$Q102=""),"",$Q102-$Y102)</f>
        <v/>
      </c>
      <c r="AA102" s="42" t="str">
        <f aca="false">IF(OR($D102="",$Z102="",$K102=0),"",$Z102/$K102)</f>
        <v/>
      </c>
      <c r="AB102" s="44" t="str">
        <f aca="false">IF(OR($D102="",$Y102="",$K102=0),"",$Y102/$K102*10000)</f>
        <v/>
      </c>
      <c r="AC102" s="44" t="str">
        <f aca="false">IF(OR($D102="",$G102="",$G102=0,$I102=""),"",IF($E102="LONG",($I102-$G102)/$G102,($G102-$I102)/$G102)*10000)</f>
        <v/>
      </c>
      <c r="AD102" s="45"/>
      <c r="AE102" s="40" t="str">
        <f aca="false">IF(OR($D102="",$N102&lt;&gt;"",$AD102=""),"",IF($E102="LONG",($AD102-$I102)*$J102,($I102-$AD102)*$J102))</f>
        <v/>
      </c>
      <c r="AF102" s="40" t="str">
        <f aca="false">IF(OR($D102="",$E102&lt;&gt;"LONG",$Z102=""),"",$Z102+SUMIFS($Z$4:$Z$503,$B$4:$B$503,$B102,$E$4:$E$503,"SHORT"))</f>
        <v/>
      </c>
      <c r="AG102" s="42" t="str">
        <f aca="false">IF(OR($AF102="",$K102=0),"",$AF102/$K102)</f>
        <v/>
      </c>
      <c r="AH102" s="46"/>
      <c r="AI102" s="43" t="str">
        <f aca="false">IF(OR($D102="",$AH102="",$Z102=""),"",$Z102-$AH102)</f>
        <v/>
      </c>
      <c r="AJ102" s="49"/>
      <c r="AK102" s="47" t="str">
        <f aca="false">IF($D102="","",IFERROR(MATCH($F102,Config!$A$13:$A$15,0),1))</f>
        <v/>
      </c>
      <c r="AL102" s="47" t="str">
        <f aca="false">IF(OR($D102="",$N102=""),"",IF($E102="LONG",$K102,$O102))</f>
        <v/>
      </c>
      <c r="AM102" s="47" t="str">
        <f aca="false">IF(OR($D102="",$N102=""),"",IF($E102="LONG",$O102,$K102))</f>
        <v/>
      </c>
    </row>
    <row r="103" customFormat="false" ht="15" hidden="false" customHeight="false" outlineLevel="0" collapsed="false">
      <c r="A103" s="49"/>
      <c r="B103" s="5" t="str">
        <f aca="false">IF($D103="","",IF(OR(RIGHT($A103,2)="-L",RIGHT($A103,2)="-S"),LEFT($A103,LEN($A103)-2),$A103))</f>
        <v/>
      </c>
      <c r="C103" s="50"/>
      <c r="D103" s="49"/>
      <c r="E103" s="49"/>
      <c r="F103" s="49"/>
      <c r="G103" s="45"/>
      <c r="H103" s="50"/>
      <c r="I103" s="45"/>
      <c r="J103" s="51"/>
      <c r="K103" s="40" t="str">
        <f aca="false">IF($D103="","",$I103*$J103)</f>
        <v/>
      </c>
      <c r="L103" s="50"/>
      <c r="M103" s="49"/>
      <c r="N103" s="45"/>
      <c r="O103" s="40" t="str">
        <f aca="false">IF(OR($D103="",$N103=""),"",$N103*$J103)</f>
        <v/>
      </c>
      <c r="P103" s="41" t="str">
        <f aca="false">IF(OR($D103="",$L103=""),"",MAX($L103-$H103,0))</f>
        <v/>
      </c>
      <c r="Q103" s="40" t="str">
        <f aca="false">IF(OR($D103="",$N103=""),"",IF($E103="LONG",($N103-$I103)*$J103,($I103-$N103)*$J103))</f>
        <v/>
      </c>
      <c r="R103" s="42" t="str">
        <f aca="false">IF(OR($D103="",$Q103="",$K103=0),"",$Q103/$K103)</f>
        <v/>
      </c>
      <c r="S103" s="43" t="str">
        <f aca="false">IF(OR($D103="",$N103=""),"",MIN(INDEX(Config!$C$13:$C$15,$AK103),INDEX(Config!$B$13:$B$15,$AK103)*$K103)+MIN(INDEX(Config!$C$13:$C$15,$AK103),INDEX(Config!$B$13:$B$15,$AK103)*$O103))</f>
        <v/>
      </c>
      <c r="T103" s="43" t="str">
        <f aca="false">IF(OR($D103="",$N103=""),"",INDEX(Config!$D$13:$D$15,$AK103)*$AL103+INDEX(Config!$E$13:$E$15,$AK103)*$AM103)</f>
        <v/>
      </c>
      <c r="U103" s="43" t="str">
        <f aca="false">IF(OR($D103="",$N103=""),"",INDEX(Config!$F$13:$F$15,$AK103)*($K103+$O103))</f>
        <v/>
      </c>
      <c r="V103" s="43" t="str">
        <f aca="false">IF(OR($D103="",$N103=""),"",INDEX(Config!$G$13:$G$15,$AK103)*($K103+$O103)+INDEX(Config!$H$13:$H$15,$AK103)*$AL103+INDEX(Config!$J$13:$J$15,$AK103))</f>
        <v/>
      </c>
      <c r="W103" s="43" t="str">
        <f aca="false">IF(OR($D103="",$N103=""),"",INDEX(Config!$I$13:$I$15,$AK103)*($S103+$U103+INDEX(Config!$G$13:$G$15,$AK103)*($K103+$O103)))</f>
        <v/>
      </c>
      <c r="X103" s="43" t="str">
        <f aca="false">IF(OR($D103="",$N103=""),"",INDEX(Config!$K$13:$K$15,$AK103)/365*$P103*$K103*Config!$B$8)</f>
        <v/>
      </c>
      <c r="Y103" s="43" t="str">
        <f aca="false">IF(OR($D103="",$N103=""),"",SUM($S103:$X103))</f>
        <v/>
      </c>
      <c r="Z103" s="40" t="str">
        <f aca="false">IF(OR($D103="",$Q103=""),"",$Q103-$Y103)</f>
        <v/>
      </c>
      <c r="AA103" s="42" t="str">
        <f aca="false">IF(OR($D103="",$Z103="",$K103=0),"",$Z103/$K103)</f>
        <v/>
      </c>
      <c r="AB103" s="44" t="str">
        <f aca="false">IF(OR($D103="",$Y103="",$K103=0),"",$Y103/$K103*10000)</f>
        <v/>
      </c>
      <c r="AC103" s="44" t="str">
        <f aca="false">IF(OR($D103="",$G103="",$G103=0,$I103=""),"",IF($E103="LONG",($I103-$G103)/$G103,($G103-$I103)/$G103)*10000)</f>
        <v/>
      </c>
      <c r="AD103" s="45"/>
      <c r="AE103" s="40" t="str">
        <f aca="false">IF(OR($D103="",$N103&lt;&gt;"",$AD103=""),"",IF($E103="LONG",($AD103-$I103)*$J103,($I103-$AD103)*$J103))</f>
        <v/>
      </c>
      <c r="AF103" s="40" t="str">
        <f aca="false">IF(OR($D103="",$E103&lt;&gt;"LONG",$Z103=""),"",$Z103+SUMIFS($Z$4:$Z$503,$B$4:$B$503,$B103,$E$4:$E$503,"SHORT"))</f>
        <v/>
      </c>
      <c r="AG103" s="42" t="str">
        <f aca="false">IF(OR($AF103="",$K103=0),"",$AF103/$K103)</f>
        <v/>
      </c>
      <c r="AH103" s="46"/>
      <c r="AI103" s="43" t="str">
        <f aca="false">IF(OR($D103="",$AH103="",$Z103=""),"",$Z103-$AH103)</f>
        <v/>
      </c>
      <c r="AJ103" s="49"/>
      <c r="AK103" s="47" t="str">
        <f aca="false">IF($D103="","",IFERROR(MATCH($F103,Config!$A$13:$A$15,0),1))</f>
        <v/>
      </c>
      <c r="AL103" s="47" t="str">
        <f aca="false">IF(OR($D103="",$N103=""),"",IF($E103="LONG",$K103,$O103))</f>
        <v/>
      </c>
      <c r="AM103" s="47" t="str">
        <f aca="false">IF(OR($D103="",$N103=""),"",IF($E103="LONG",$O103,$K103))</f>
        <v/>
      </c>
    </row>
    <row r="104" customFormat="false" ht="15" hidden="false" customHeight="false" outlineLevel="0" collapsed="false">
      <c r="A104" s="49"/>
      <c r="B104" s="5" t="str">
        <f aca="false">IF($D104="","",IF(OR(RIGHT($A104,2)="-L",RIGHT($A104,2)="-S"),LEFT($A104,LEN($A104)-2),$A104))</f>
        <v/>
      </c>
      <c r="C104" s="50"/>
      <c r="D104" s="49"/>
      <c r="E104" s="49"/>
      <c r="F104" s="49"/>
      <c r="G104" s="45"/>
      <c r="H104" s="50"/>
      <c r="I104" s="45"/>
      <c r="J104" s="51"/>
      <c r="K104" s="40" t="str">
        <f aca="false">IF($D104="","",$I104*$J104)</f>
        <v/>
      </c>
      <c r="L104" s="50"/>
      <c r="M104" s="49"/>
      <c r="N104" s="45"/>
      <c r="O104" s="40" t="str">
        <f aca="false">IF(OR($D104="",$N104=""),"",$N104*$J104)</f>
        <v/>
      </c>
      <c r="P104" s="41" t="str">
        <f aca="false">IF(OR($D104="",$L104=""),"",MAX($L104-$H104,0))</f>
        <v/>
      </c>
      <c r="Q104" s="40" t="str">
        <f aca="false">IF(OR($D104="",$N104=""),"",IF($E104="LONG",($N104-$I104)*$J104,($I104-$N104)*$J104))</f>
        <v/>
      </c>
      <c r="R104" s="42" t="str">
        <f aca="false">IF(OR($D104="",$Q104="",$K104=0),"",$Q104/$K104)</f>
        <v/>
      </c>
      <c r="S104" s="43" t="str">
        <f aca="false">IF(OR($D104="",$N104=""),"",MIN(INDEX(Config!$C$13:$C$15,$AK104),INDEX(Config!$B$13:$B$15,$AK104)*$K104)+MIN(INDEX(Config!$C$13:$C$15,$AK104),INDEX(Config!$B$13:$B$15,$AK104)*$O104))</f>
        <v/>
      </c>
      <c r="T104" s="43" t="str">
        <f aca="false">IF(OR($D104="",$N104=""),"",INDEX(Config!$D$13:$D$15,$AK104)*$AL104+INDEX(Config!$E$13:$E$15,$AK104)*$AM104)</f>
        <v/>
      </c>
      <c r="U104" s="43" t="str">
        <f aca="false">IF(OR($D104="",$N104=""),"",INDEX(Config!$F$13:$F$15,$AK104)*($K104+$O104))</f>
        <v/>
      </c>
      <c r="V104" s="43" t="str">
        <f aca="false">IF(OR($D104="",$N104=""),"",INDEX(Config!$G$13:$G$15,$AK104)*($K104+$O104)+INDEX(Config!$H$13:$H$15,$AK104)*$AL104+INDEX(Config!$J$13:$J$15,$AK104))</f>
        <v/>
      </c>
      <c r="W104" s="43" t="str">
        <f aca="false">IF(OR($D104="",$N104=""),"",INDEX(Config!$I$13:$I$15,$AK104)*($S104+$U104+INDEX(Config!$G$13:$G$15,$AK104)*($K104+$O104)))</f>
        <v/>
      </c>
      <c r="X104" s="43" t="str">
        <f aca="false">IF(OR($D104="",$N104=""),"",INDEX(Config!$K$13:$K$15,$AK104)/365*$P104*$K104*Config!$B$8)</f>
        <v/>
      </c>
      <c r="Y104" s="43" t="str">
        <f aca="false">IF(OR($D104="",$N104=""),"",SUM($S104:$X104))</f>
        <v/>
      </c>
      <c r="Z104" s="40" t="str">
        <f aca="false">IF(OR($D104="",$Q104=""),"",$Q104-$Y104)</f>
        <v/>
      </c>
      <c r="AA104" s="42" t="str">
        <f aca="false">IF(OR($D104="",$Z104="",$K104=0),"",$Z104/$K104)</f>
        <v/>
      </c>
      <c r="AB104" s="44" t="str">
        <f aca="false">IF(OR($D104="",$Y104="",$K104=0),"",$Y104/$K104*10000)</f>
        <v/>
      </c>
      <c r="AC104" s="44" t="str">
        <f aca="false">IF(OR($D104="",$G104="",$G104=0,$I104=""),"",IF($E104="LONG",($I104-$G104)/$G104,($G104-$I104)/$G104)*10000)</f>
        <v/>
      </c>
      <c r="AD104" s="45"/>
      <c r="AE104" s="40" t="str">
        <f aca="false">IF(OR($D104="",$N104&lt;&gt;"",$AD104=""),"",IF($E104="LONG",($AD104-$I104)*$J104,($I104-$AD104)*$J104))</f>
        <v/>
      </c>
      <c r="AF104" s="40" t="str">
        <f aca="false">IF(OR($D104="",$E104&lt;&gt;"LONG",$Z104=""),"",$Z104+SUMIFS($Z$4:$Z$503,$B$4:$B$503,$B104,$E$4:$E$503,"SHORT"))</f>
        <v/>
      </c>
      <c r="AG104" s="42" t="str">
        <f aca="false">IF(OR($AF104="",$K104=0),"",$AF104/$K104)</f>
        <v/>
      </c>
      <c r="AH104" s="46"/>
      <c r="AI104" s="43" t="str">
        <f aca="false">IF(OR($D104="",$AH104="",$Z104=""),"",$Z104-$AH104)</f>
        <v/>
      </c>
      <c r="AJ104" s="49"/>
      <c r="AK104" s="47" t="str">
        <f aca="false">IF($D104="","",IFERROR(MATCH($F104,Config!$A$13:$A$15,0),1))</f>
        <v/>
      </c>
      <c r="AL104" s="47" t="str">
        <f aca="false">IF(OR($D104="",$N104=""),"",IF($E104="LONG",$K104,$O104))</f>
        <v/>
      </c>
      <c r="AM104" s="47" t="str">
        <f aca="false">IF(OR($D104="",$N104=""),"",IF($E104="LONG",$O104,$K104))</f>
        <v/>
      </c>
    </row>
    <row r="105" customFormat="false" ht="15" hidden="false" customHeight="false" outlineLevel="0" collapsed="false">
      <c r="A105" s="49"/>
      <c r="B105" s="5" t="str">
        <f aca="false">IF($D105="","",IF(OR(RIGHT($A105,2)="-L",RIGHT($A105,2)="-S"),LEFT($A105,LEN($A105)-2),$A105))</f>
        <v/>
      </c>
      <c r="C105" s="50"/>
      <c r="D105" s="49"/>
      <c r="E105" s="49"/>
      <c r="F105" s="49"/>
      <c r="G105" s="45"/>
      <c r="H105" s="50"/>
      <c r="I105" s="45"/>
      <c r="J105" s="51"/>
      <c r="K105" s="40" t="str">
        <f aca="false">IF($D105="","",$I105*$J105)</f>
        <v/>
      </c>
      <c r="L105" s="50"/>
      <c r="M105" s="49"/>
      <c r="N105" s="45"/>
      <c r="O105" s="40" t="str">
        <f aca="false">IF(OR($D105="",$N105=""),"",$N105*$J105)</f>
        <v/>
      </c>
      <c r="P105" s="41" t="str">
        <f aca="false">IF(OR($D105="",$L105=""),"",MAX($L105-$H105,0))</f>
        <v/>
      </c>
      <c r="Q105" s="40" t="str">
        <f aca="false">IF(OR($D105="",$N105=""),"",IF($E105="LONG",($N105-$I105)*$J105,($I105-$N105)*$J105))</f>
        <v/>
      </c>
      <c r="R105" s="42" t="str">
        <f aca="false">IF(OR($D105="",$Q105="",$K105=0),"",$Q105/$K105)</f>
        <v/>
      </c>
      <c r="S105" s="43" t="str">
        <f aca="false">IF(OR($D105="",$N105=""),"",MIN(INDEX(Config!$C$13:$C$15,$AK105),INDEX(Config!$B$13:$B$15,$AK105)*$K105)+MIN(INDEX(Config!$C$13:$C$15,$AK105),INDEX(Config!$B$13:$B$15,$AK105)*$O105))</f>
        <v/>
      </c>
      <c r="T105" s="43" t="str">
        <f aca="false">IF(OR($D105="",$N105=""),"",INDEX(Config!$D$13:$D$15,$AK105)*$AL105+INDEX(Config!$E$13:$E$15,$AK105)*$AM105)</f>
        <v/>
      </c>
      <c r="U105" s="43" t="str">
        <f aca="false">IF(OR($D105="",$N105=""),"",INDEX(Config!$F$13:$F$15,$AK105)*($K105+$O105))</f>
        <v/>
      </c>
      <c r="V105" s="43" t="str">
        <f aca="false">IF(OR($D105="",$N105=""),"",INDEX(Config!$G$13:$G$15,$AK105)*($K105+$O105)+INDEX(Config!$H$13:$H$15,$AK105)*$AL105+INDEX(Config!$J$13:$J$15,$AK105))</f>
        <v/>
      </c>
      <c r="W105" s="43" t="str">
        <f aca="false">IF(OR($D105="",$N105=""),"",INDEX(Config!$I$13:$I$15,$AK105)*($S105+$U105+INDEX(Config!$G$13:$G$15,$AK105)*($K105+$O105)))</f>
        <v/>
      </c>
      <c r="X105" s="43" t="str">
        <f aca="false">IF(OR($D105="",$N105=""),"",INDEX(Config!$K$13:$K$15,$AK105)/365*$P105*$K105*Config!$B$8)</f>
        <v/>
      </c>
      <c r="Y105" s="43" t="str">
        <f aca="false">IF(OR($D105="",$N105=""),"",SUM($S105:$X105))</f>
        <v/>
      </c>
      <c r="Z105" s="40" t="str">
        <f aca="false">IF(OR($D105="",$Q105=""),"",$Q105-$Y105)</f>
        <v/>
      </c>
      <c r="AA105" s="42" t="str">
        <f aca="false">IF(OR($D105="",$Z105="",$K105=0),"",$Z105/$K105)</f>
        <v/>
      </c>
      <c r="AB105" s="44" t="str">
        <f aca="false">IF(OR($D105="",$Y105="",$K105=0),"",$Y105/$K105*10000)</f>
        <v/>
      </c>
      <c r="AC105" s="44" t="str">
        <f aca="false">IF(OR($D105="",$G105="",$G105=0,$I105=""),"",IF($E105="LONG",($I105-$G105)/$G105,($G105-$I105)/$G105)*10000)</f>
        <v/>
      </c>
      <c r="AD105" s="45"/>
      <c r="AE105" s="40" t="str">
        <f aca="false">IF(OR($D105="",$N105&lt;&gt;"",$AD105=""),"",IF($E105="LONG",($AD105-$I105)*$J105,($I105-$AD105)*$J105))</f>
        <v/>
      </c>
      <c r="AF105" s="40" t="str">
        <f aca="false">IF(OR($D105="",$E105&lt;&gt;"LONG",$Z105=""),"",$Z105+SUMIFS($Z$4:$Z$503,$B$4:$B$503,$B105,$E$4:$E$503,"SHORT"))</f>
        <v/>
      </c>
      <c r="AG105" s="42" t="str">
        <f aca="false">IF(OR($AF105="",$K105=0),"",$AF105/$K105)</f>
        <v/>
      </c>
      <c r="AH105" s="46"/>
      <c r="AI105" s="43" t="str">
        <f aca="false">IF(OR($D105="",$AH105="",$Z105=""),"",$Z105-$AH105)</f>
        <v/>
      </c>
      <c r="AJ105" s="49"/>
      <c r="AK105" s="47" t="str">
        <f aca="false">IF($D105="","",IFERROR(MATCH($F105,Config!$A$13:$A$15,0),1))</f>
        <v/>
      </c>
      <c r="AL105" s="47" t="str">
        <f aca="false">IF(OR($D105="",$N105=""),"",IF($E105="LONG",$K105,$O105))</f>
        <v/>
      </c>
      <c r="AM105" s="47" t="str">
        <f aca="false">IF(OR($D105="",$N105=""),"",IF($E105="LONG",$O105,$K105))</f>
        <v/>
      </c>
    </row>
    <row r="106" customFormat="false" ht="15" hidden="false" customHeight="false" outlineLevel="0" collapsed="false">
      <c r="A106" s="49"/>
      <c r="B106" s="5" t="str">
        <f aca="false">IF($D106="","",IF(OR(RIGHT($A106,2)="-L",RIGHT($A106,2)="-S"),LEFT($A106,LEN($A106)-2),$A106))</f>
        <v/>
      </c>
      <c r="C106" s="50"/>
      <c r="D106" s="49"/>
      <c r="E106" s="49"/>
      <c r="F106" s="49"/>
      <c r="G106" s="45"/>
      <c r="H106" s="50"/>
      <c r="I106" s="45"/>
      <c r="J106" s="51"/>
      <c r="K106" s="40" t="str">
        <f aca="false">IF($D106="","",$I106*$J106)</f>
        <v/>
      </c>
      <c r="L106" s="50"/>
      <c r="M106" s="49"/>
      <c r="N106" s="45"/>
      <c r="O106" s="40" t="str">
        <f aca="false">IF(OR($D106="",$N106=""),"",$N106*$J106)</f>
        <v/>
      </c>
      <c r="P106" s="41" t="str">
        <f aca="false">IF(OR($D106="",$L106=""),"",MAX($L106-$H106,0))</f>
        <v/>
      </c>
      <c r="Q106" s="40" t="str">
        <f aca="false">IF(OR($D106="",$N106=""),"",IF($E106="LONG",($N106-$I106)*$J106,($I106-$N106)*$J106))</f>
        <v/>
      </c>
      <c r="R106" s="42" t="str">
        <f aca="false">IF(OR($D106="",$Q106="",$K106=0),"",$Q106/$K106)</f>
        <v/>
      </c>
      <c r="S106" s="43" t="str">
        <f aca="false">IF(OR($D106="",$N106=""),"",MIN(INDEX(Config!$C$13:$C$15,$AK106),INDEX(Config!$B$13:$B$15,$AK106)*$K106)+MIN(INDEX(Config!$C$13:$C$15,$AK106),INDEX(Config!$B$13:$B$15,$AK106)*$O106))</f>
        <v/>
      </c>
      <c r="T106" s="43" t="str">
        <f aca="false">IF(OR($D106="",$N106=""),"",INDEX(Config!$D$13:$D$15,$AK106)*$AL106+INDEX(Config!$E$13:$E$15,$AK106)*$AM106)</f>
        <v/>
      </c>
      <c r="U106" s="43" t="str">
        <f aca="false">IF(OR($D106="",$N106=""),"",INDEX(Config!$F$13:$F$15,$AK106)*($K106+$O106))</f>
        <v/>
      </c>
      <c r="V106" s="43" t="str">
        <f aca="false">IF(OR($D106="",$N106=""),"",INDEX(Config!$G$13:$G$15,$AK106)*($K106+$O106)+INDEX(Config!$H$13:$H$15,$AK106)*$AL106+INDEX(Config!$J$13:$J$15,$AK106))</f>
        <v/>
      </c>
      <c r="W106" s="43" t="str">
        <f aca="false">IF(OR($D106="",$N106=""),"",INDEX(Config!$I$13:$I$15,$AK106)*($S106+$U106+INDEX(Config!$G$13:$G$15,$AK106)*($K106+$O106)))</f>
        <v/>
      </c>
      <c r="X106" s="43" t="str">
        <f aca="false">IF(OR($D106="",$N106=""),"",INDEX(Config!$K$13:$K$15,$AK106)/365*$P106*$K106*Config!$B$8)</f>
        <v/>
      </c>
      <c r="Y106" s="43" t="str">
        <f aca="false">IF(OR($D106="",$N106=""),"",SUM($S106:$X106))</f>
        <v/>
      </c>
      <c r="Z106" s="40" t="str">
        <f aca="false">IF(OR($D106="",$Q106=""),"",$Q106-$Y106)</f>
        <v/>
      </c>
      <c r="AA106" s="42" t="str">
        <f aca="false">IF(OR($D106="",$Z106="",$K106=0),"",$Z106/$K106)</f>
        <v/>
      </c>
      <c r="AB106" s="44" t="str">
        <f aca="false">IF(OR($D106="",$Y106="",$K106=0),"",$Y106/$K106*10000)</f>
        <v/>
      </c>
      <c r="AC106" s="44" t="str">
        <f aca="false">IF(OR($D106="",$G106="",$G106=0,$I106=""),"",IF($E106="LONG",($I106-$G106)/$G106,($G106-$I106)/$G106)*10000)</f>
        <v/>
      </c>
      <c r="AD106" s="45"/>
      <c r="AE106" s="40" t="str">
        <f aca="false">IF(OR($D106="",$N106&lt;&gt;"",$AD106=""),"",IF($E106="LONG",($AD106-$I106)*$J106,($I106-$AD106)*$J106))</f>
        <v/>
      </c>
      <c r="AF106" s="40" t="str">
        <f aca="false">IF(OR($D106="",$E106&lt;&gt;"LONG",$Z106=""),"",$Z106+SUMIFS($Z$4:$Z$503,$B$4:$B$503,$B106,$E$4:$E$503,"SHORT"))</f>
        <v/>
      </c>
      <c r="AG106" s="42" t="str">
        <f aca="false">IF(OR($AF106="",$K106=0),"",$AF106/$K106)</f>
        <v/>
      </c>
      <c r="AH106" s="46"/>
      <c r="AI106" s="43" t="str">
        <f aca="false">IF(OR($D106="",$AH106="",$Z106=""),"",$Z106-$AH106)</f>
        <v/>
      </c>
      <c r="AJ106" s="49"/>
      <c r="AK106" s="47" t="str">
        <f aca="false">IF($D106="","",IFERROR(MATCH($F106,Config!$A$13:$A$15,0),1))</f>
        <v/>
      </c>
      <c r="AL106" s="47" t="str">
        <f aca="false">IF(OR($D106="",$N106=""),"",IF($E106="LONG",$K106,$O106))</f>
        <v/>
      </c>
      <c r="AM106" s="47" t="str">
        <f aca="false">IF(OR($D106="",$N106=""),"",IF($E106="LONG",$O106,$K106))</f>
        <v/>
      </c>
    </row>
    <row r="107" customFormat="false" ht="15" hidden="false" customHeight="false" outlineLevel="0" collapsed="false">
      <c r="A107" s="49"/>
      <c r="B107" s="5" t="str">
        <f aca="false">IF($D107="","",IF(OR(RIGHT($A107,2)="-L",RIGHT($A107,2)="-S"),LEFT($A107,LEN($A107)-2),$A107))</f>
        <v/>
      </c>
      <c r="C107" s="50"/>
      <c r="D107" s="49"/>
      <c r="E107" s="49"/>
      <c r="F107" s="49"/>
      <c r="G107" s="45"/>
      <c r="H107" s="50"/>
      <c r="I107" s="45"/>
      <c r="J107" s="51"/>
      <c r="K107" s="40" t="str">
        <f aca="false">IF($D107="","",$I107*$J107)</f>
        <v/>
      </c>
      <c r="L107" s="50"/>
      <c r="M107" s="49"/>
      <c r="N107" s="45"/>
      <c r="O107" s="40" t="str">
        <f aca="false">IF(OR($D107="",$N107=""),"",$N107*$J107)</f>
        <v/>
      </c>
      <c r="P107" s="41" t="str">
        <f aca="false">IF(OR($D107="",$L107=""),"",MAX($L107-$H107,0))</f>
        <v/>
      </c>
      <c r="Q107" s="40" t="str">
        <f aca="false">IF(OR($D107="",$N107=""),"",IF($E107="LONG",($N107-$I107)*$J107,($I107-$N107)*$J107))</f>
        <v/>
      </c>
      <c r="R107" s="42" t="str">
        <f aca="false">IF(OR($D107="",$Q107="",$K107=0),"",$Q107/$K107)</f>
        <v/>
      </c>
      <c r="S107" s="43" t="str">
        <f aca="false">IF(OR($D107="",$N107=""),"",MIN(INDEX(Config!$C$13:$C$15,$AK107),INDEX(Config!$B$13:$B$15,$AK107)*$K107)+MIN(INDEX(Config!$C$13:$C$15,$AK107),INDEX(Config!$B$13:$B$15,$AK107)*$O107))</f>
        <v/>
      </c>
      <c r="T107" s="43" t="str">
        <f aca="false">IF(OR($D107="",$N107=""),"",INDEX(Config!$D$13:$D$15,$AK107)*$AL107+INDEX(Config!$E$13:$E$15,$AK107)*$AM107)</f>
        <v/>
      </c>
      <c r="U107" s="43" t="str">
        <f aca="false">IF(OR($D107="",$N107=""),"",INDEX(Config!$F$13:$F$15,$AK107)*($K107+$O107))</f>
        <v/>
      </c>
      <c r="V107" s="43" t="str">
        <f aca="false">IF(OR($D107="",$N107=""),"",INDEX(Config!$G$13:$G$15,$AK107)*($K107+$O107)+INDEX(Config!$H$13:$H$15,$AK107)*$AL107+INDEX(Config!$J$13:$J$15,$AK107))</f>
        <v/>
      </c>
      <c r="W107" s="43" t="str">
        <f aca="false">IF(OR($D107="",$N107=""),"",INDEX(Config!$I$13:$I$15,$AK107)*($S107+$U107+INDEX(Config!$G$13:$G$15,$AK107)*($K107+$O107)))</f>
        <v/>
      </c>
      <c r="X107" s="43" t="str">
        <f aca="false">IF(OR($D107="",$N107=""),"",INDEX(Config!$K$13:$K$15,$AK107)/365*$P107*$K107*Config!$B$8)</f>
        <v/>
      </c>
      <c r="Y107" s="43" t="str">
        <f aca="false">IF(OR($D107="",$N107=""),"",SUM($S107:$X107))</f>
        <v/>
      </c>
      <c r="Z107" s="40" t="str">
        <f aca="false">IF(OR($D107="",$Q107=""),"",$Q107-$Y107)</f>
        <v/>
      </c>
      <c r="AA107" s="42" t="str">
        <f aca="false">IF(OR($D107="",$Z107="",$K107=0),"",$Z107/$K107)</f>
        <v/>
      </c>
      <c r="AB107" s="44" t="str">
        <f aca="false">IF(OR($D107="",$Y107="",$K107=0),"",$Y107/$K107*10000)</f>
        <v/>
      </c>
      <c r="AC107" s="44" t="str">
        <f aca="false">IF(OR($D107="",$G107="",$G107=0,$I107=""),"",IF($E107="LONG",($I107-$G107)/$G107,($G107-$I107)/$G107)*10000)</f>
        <v/>
      </c>
      <c r="AD107" s="45"/>
      <c r="AE107" s="40" t="str">
        <f aca="false">IF(OR($D107="",$N107&lt;&gt;"",$AD107=""),"",IF($E107="LONG",($AD107-$I107)*$J107,($I107-$AD107)*$J107))</f>
        <v/>
      </c>
      <c r="AF107" s="40" t="str">
        <f aca="false">IF(OR($D107="",$E107&lt;&gt;"LONG",$Z107=""),"",$Z107+SUMIFS($Z$4:$Z$503,$B$4:$B$503,$B107,$E$4:$E$503,"SHORT"))</f>
        <v/>
      </c>
      <c r="AG107" s="42" t="str">
        <f aca="false">IF(OR($AF107="",$K107=0),"",$AF107/$K107)</f>
        <v/>
      </c>
      <c r="AH107" s="46"/>
      <c r="AI107" s="43" t="str">
        <f aca="false">IF(OR($D107="",$AH107="",$Z107=""),"",$Z107-$AH107)</f>
        <v/>
      </c>
      <c r="AJ107" s="49"/>
      <c r="AK107" s="47" t="str">
        <f aca="false">IF($D107="","",IFERROR(MATCH($F107,Config!$A$13:$A$15,0),1))</f>
        <v/>
      </c>
      <c r="AL107" s="47" t="str">
        <f aca="false">IF(OR($D107="",$N107=""),"",IF($E107="LONG",$K107,$O107))</f>
        <v/>
      </c>
      <c r="AM107" s="47" t="str">
        <f aca="false">IF(OR($D107="",$N107=""),"",IF($E107="LONG",$O107,$K107))</f>
        <v/>
      </c>
    </row>
    <row r="108" customFormat="false" ht="15" hidden="false" customHeight="false" outlineLevel="0" collapsed="false">
      <c r="A108" s="49"/>
      <c r="B108" s="5" t="str">
        <f aca="false">IF($D108="","",IF(OR(RIGHT($A108,2)="-L",RIGHT($A108,2)="-S"),LEFT($A108,LEN($A108)-2),$A108))</f>
        <v/>
      </c>
      <c r="C108" s="50"/>
      <c r="D108" s="49"/>
      <c r="E108" s="49"/>
      <c r="F108" s="49"/>
      <c r="G108" s="45"/>
      <c r="H108" s="50"/>
      <c r="I108" s="45"/>
      <c r="J108" s="51"/>
      <c r="K108" s="40" t="str">
        <f aca="false">IF($D108="","",$I108*$J108)</f>
        <v/>
      </c>
      <c r="L108" s="50"/>
      <c r="M108" s="49"/>
      <c r="N108" s="45"/>
      <c r="O108" s="40" t="str">
        <f aca="false">IF(OR($D108="",$N108=""),"",$N108*$J108)</f>
        <v/>
      </c>
      <c r="P108" s="41" t="str">
        <f aca="false">IF(OR($D108="",$L108=""),"",MAX($L108-$H108,0))</f>
        <v/>
      </c>
      <c r="Q108" s="40" t="str">
        <f aca="false">IF(OR($D108="",$N108=""),"",IF($E108="LONG",($N108-$I108)*$J108,($I108-$N108)*$J108))</f>
        <v/>
      </c>
      <c r="R108" s="42" t="str">
        <f aca="false">IF(OR($D108="",$Q108="",$K108=0),"",$Q108/$K108)</f>
        <v/>
      </c>
      <c r="S108" s="43" t="str">
        <f aca="false">IF(OR($D108="",$N108=""),"",MIN(INDEX(Config!$C$13:$C$15,$AK108),INDEX(Config!$B$13:$B$15,$AK108)*$K108)+MIN(INDEX(Config!$C$13:$C$15,$AK108),INDEX(Config!$B$13:$B$15,$AK108)*$O108))</f>
        <v/>
      </c>
      <c r="T108" s="43" t="str">
        <f aca="false">IF(OR($D108="",$N108=""),"",INDEX(Config!$D$13:$D$15,$AK108)*$AL108+INDEX(Config!$E$13:$E$15,$AK108)*$AM108)</f>
        <v/>
      </c>
      <c r="U108" s="43" t="str">
        <f aca="false">IF(OR($D108="",$N108=""),"",INDEX(Config!$F$13:$F$15,$AK108)*($K108+$O108))</f>
        <v/>
      </c>
      <c r="V108" s="43" t="str">
        <f aca="false">IF(OR($D108="",$N108=""),"",INDEX(Config!$G$13:$G$15,$AK108)*($K108+$O108)+INDEX(Config!$H$13:$H$15,$AK108)*$AL108+INDEX(Config!$J$13:$J$15,$AK108))</f>
        <v/>
      </c>
      <c r="W108" s="43" t="str">
        <f aca="false">IF(OR($D108="",$N108=""),"",INDEX(Config!$I$13:$I$15,$AK108)*($S108+$U108+INDEX(Config!$G$13:$G$15,$AK108)*($K108+$O108)))</f>
        <v/>
      </c>
      <c r="X108" s="43" t="str">
        <f aca="false">IF(OR($D108="",$N108=""),"",INDEX(Config!$K$13:$K$15,$AK108)/365*$P108*$K108*Config!$B$8)</f>
        <v/>
      </c>
      <c r="Y108" s="43" t="str">
        <f aca="false">IF(OR($D108="",$N108=""),"",SUM($S108:$X108))</f>
        <v/>
      </c>
      <c r="Z108" s="40" t="str">
        <f aca="false">IF(OR($D108="",$Q108=""),"",$Q108-$Y108)</f>
        <v/>
      </c>
      <c r="AA108" s="42" t="str">
        <f aca="false">IF(OR($D108="",$Z108="",$K108=0),"",$Z108/$K108)</f>
        <v/>
      </c>
      <c r="AB108" s="44" t="str">
        <f aca="false">IF(OR($D108="",$Y108="",$K108=0),"",$Y108/$K108*10000)</f>
        <v/>
      </c>
      <c r="AC108" s="44" t="str">
        <f aca="false">IF(OR($D108="",$G108="",$G108=0,$I108=""),"",IF($E108="LONG",($I108-$G108)/$G108,($G108-$I108)/$G108)*10000)</f>
        <v/>
      </c>
      <c r="AD108" s="45"/>
      <c r="AE108" s="40" t="str">
        <f aca="false">IF(OR($D108="",$N108&lt;&gt;"",$AD108=""),"",IF($E108="LONG",($AD108-$I108)*$J108,($I108-$AD108)*$J108))</f>
        <v/>
      </c>
      <c r="AF108" s="40" t="str">
        <f aca="false">IF(OR($D108="",$E108&lt;&gt;"LONG",$Z108=""),"",$Z108+SUMIFS($Z$4:$Z$503,$B$4:$B$503,$B108,$E$4:$E$503,"SHORT"))</f>
        <v/>
      </c>
      <c r="AG108" s="42" t="str">
        <f aca="false">IF(OR($AF108="",$K108=0),"",$AF108/$K108)</f>
        <v/>
      </c>
      <c r="AH108" s="46"/>
      <c r="AI108" s="43" t="str">
        <f aca="false">IF(OR($D108="",$AH108="",$Z108=""),"",$Z108-$AH108)</f>
        <v/>
      </c>
      <c r="AJ108" s="49"/>
      <c r="AK108" s="47" t="str">
        <f aca="false">IF($D108="","",IFERROR(MATCH($F108,Config!$A$13:$A$15,0),1))</f>
        <v/>
      </c>
      <c r="AL108" s="47" t="str">
        <f aca="false">IF(OR($D108="",$N108=""),"",IF($E108="LONG",$K108,$O108))</f>
        <v/>
      </c>
      <c r="AM108" s="47" t="str">
        <f aca="false">IF(OR($D108="",$N108=""),"",IF($E108="LONG",$O108,$K108))</f>
        <v/>
      </c>
    </row>
    <row r="109" customFormat="false" ht="15" hidden="false" customHeight="false" outlineLevel="0" collapsed="false">
      <c r="A109" s="49"/>
      <c r="B109" s="5" t="str">
        <f aca="false">IF($D109="","",IF(OR(RIGHT($A109,2)="-L",RIGHT($A109,2)="-S"),LEFT($A109,LEN($A109)-2),$A109))</f>
        <v/>
      </c>
      <c r="C109" s="50"/>
      <c r="D109" s="49"/>
      <c r="E109" s="49"/>
      <c r="F109" s="49"/>
      <c r="G109" s="45"/>
      <c r="H109" s="50"/>
      <c r="I109" s="45"/>
      <c r="J109" s="51"/>
      <c r="K109" s="40" t="str">
        <f aca="false">IF($D109="","",$I109*$J109)</f>
        <v/>
      </c>
      <c r="L109" s="50"/>
      <c r="M109" s="49"/>
      <c r="N109" s="45"/>
      <c r="O109" s="40" t="str">
        <f aca="false">IF(OR($D109="",$N109=""),"",$N109*$J109)</f>
        <v/>
      </c>
      <c r="P109" s="41" t="str">
        <f aca="false">IF(OR($D109="",$L109=""),"",MAX($L109-$H109,0))</f>
        <v/>
      </c>
      <c r="Q109" s="40" t="str">
        <f aca="false">IF(OR($D109="",$N109=""),"",IF($E109="LONG",($N109-$I109)*$J109,($I109-$N109)*$J109))</f>
        <v/>
      </c>
      <c r="R109" s="42" t="str">
        <f aca="false">IF(OR($D109="",$Q109="",$K109=0),"",$Q109/$K109)</f>
        <v/>
      </c>
      <c r="S109" s="43" t="str">
        <f aca="false">IF(OR($D109="",$N109=""),"",MIN(INDEX(Config!$C$13:$C$15,$AK109),INDEX(Config!$B$13:$B$15,$AK109)*$K109)+MIN(INDEX(Config!$C$13:$C$15,$AK109),INDEX(Config!$B$13:$B$15,$AK109)*$O109))</f>
        <v/>
      </c>
      <c r="T109" s="43" t="str">
        <f aca="false">IF(OR($D109="",$N109=""),"",INDEX(Config!$D$13:$D$15,$AK109)*$AL109+INDEX(Config!$E$13:$E$15,$AK109)*$AM109)</f>
        <v/>
      </c>
      <c r="U109" s="43" t="str">
        <f aca="false">IF(OR($D109="",$N109=""),"",INDEX(Config!$F$13:$F$15,$AK109)*($K109+$O109))</f>
        <v/>
      </c>
      <c r="V109" s="43" t="str">
        <f aca="false">IF(OR($D109="",$N109=""),"",INDEX(Config!$G$13:$G$15,$AK109)*($K109+$O109)+INDEX(Config!$H$13:$H$15,$AK109)*$AL109+INDEX(Config!$J$13:$J$15,$AK109))</f>
        <v/>
      </c>
      <c r="W109" s="43" t="str">
        <f aca="false">IF(OR($D109="",$N109=""),"",INDEX(Config!$I$13:$I$15,$AK109)*($S109+$U109+INDEX(Config!$G$13:$G$15,$AK109)*($K109+$O109)))</f>
        <v/>
      </c>
      <c r="X109" s="43" t="str">
        <f aca="false">IF(OR($D109="",$N109=""),"",INDEX(Config!$K$13:$K$15,$AK109)/365*$P109*$K109*Config!$B$8)</f>
        <v/>
      </c>
      <c r="Y109" s="43" t="str">
        <f aca="false">IF(OR($D109="",$N109=""),"",SUM($S109:$X109))</f>
        <v/>
      </c>
      <c r="Z109" s="40" t="str">
        <f aca="false">IF(OR($D109="",$Q109=""),"",$Q109-$Y109)</f>
        <v/>
      </c>
      <c r="AA109" s="42" t="str">
        <f aca="false">IF(OR($D109="",$Z109="",$K109=0),"",$Z109/$K109)</f>
        <v/>
      </c>
      <c r="AB109" s="44" t="str">
        <f aca="false">IF(OR($D109="",$Y109="",$K109=0),"",$Y109/$K109*10000)</f>
        <v/>
      </c>
      <c r="AC109" s="44" t="str">
        <f aca="false">IF(OR($D109="",$G109="",$G109=0,$I109=""),"",IF($E109="LONG",($I109-$G109)/$G109,($G109-$I109)/$G109)*10000)</f>
        <v/>
      </c>
      <c r="AD109" s="45"/>
      <c r="AE109" s="40" t="str">
        <f aca="false">IF(OR($D109="",$N109&lt;&gt;"",$AD109=""),"",IF($E109="LONG",($AD109-$I109)*$J109,($I109-$AD109)*$J109))</f>
        <v/>
      </c>
      <c r="AF109" s="40" t="str">
        <f aca="false">IF(OR($D109="",$E109&lt;&gt;"LONG",$Z109=""),"",$Z109+SUMIFS($Z$4:$Z$503,$B$4:$B$503,$B109,$E$4:$E$503,"SHORT"))</f>
        <v/>
      </c>
      <c r="AG109" s="42" t="str">
        <f aca="false">IF(OR($AF109="",$K109=0),"",$AF109/$K109)</f>
        <v/>
      </c>
      <c r="AH109" s="46"/>
      <c r="AI109" s="43" t="str">
        <f aca="false">IF(OR($D109="",$AH109="",$Z109=""),"",$Z109-$AH109)</f>
        <v/>
      </c>
      <c r="AJ109" s="49"/>
      <c r="AK109" s="47" t="str">
        <f aca="false">IF($D109="","",IFERROR(MATCH($F109,Config!$A$13:$A$15,0),1))</f>
        <v/>
      </c>
      <c r="AL109" s="47" t="str">
        <f aca="false">IF(OR($D109="",$N109=""),"",IF($E109="LONG",$K109,$O109))</f>
        <v/>
      </c>
      <c r="AM109" s="47" t="str">
        <f aca="false">IF(OR($D109="",$N109=""),"",IF($E109="LONG",$O109,$K109))</f>
        <v/>
      </c>
    </row>
    <row r="110" customFormat="false" ht="15" hidden="false" customHeight="false" outlineLevel="0" collapsed="false">
      <c r="A110" s="49"/>
      <c r="B110" s="5" t="str">
        <f aca="false">IF($D110="","",IF(OR(RIGHT($A110,2)="-L",RIGHT($A110,2)="-S"),LEFT($A110,LEN($A110)-2),$A110))</f>
        <v/>
      </c>
      <c r="C110" s="50"/>
      <c r="D110" s="49"/>
      <c r="E110" s="49"/>
      <c r="F110" s="49"/>
      <c r="G110" s="45"/>
      <c r="H110" s="50"/>
      <c r="I110" s="45"/>
      <c r="J110" s="51"/>
      <c r="K110" s="40" t="str">
        <f aca="false">IF($D110="","",$I110*$J110)</f>
        <v/>
      </c>
      <c r="L110" s="50"/>
      <c r="M110" s="49"/>
      <c r="N110" s="45"/>
      <c r="O110" s="40" t="str">
        <f aca="false">IF(OR($D110="",$N110=""),"",$N110*$J110)</f>
        <v/>
      </c>
      <c r="P110" s="41" t="str">
        <f aca="false">IF(OR($D110="",$L110=""),"",MAX($L110-$H110,0))</f>
        <v/>
      </c>
      <c r="Q110" s="40" t="str">
        <f aca="false">IF(OR($D110="",$N110=""),"",IF($E110="LONG",($N110-$I110)*$J110,($I110-$N110)*$J110))</f>
        <v/>
      </c>
      <c r="R110" s="42" t="str">
        <f aca="false">IF(OR($D110="",$Q110="",$K110=0),"",$Q110/$K110)</f>
        <v/>
      </c>
      <c r="S110" s="43" t="str">
        <f aca="false">IF(OR($D110="",$N110=""),"",MIN(INDEX(Config!$C$13:$C$15,$AK110),INDEX(Config!$B$13:$B$15,$AK110)*$K110)+MIN(INDEX(Config!$C$13:$C$15,$AK110),INDEX(Config!$B$13:$B$15,$AK110)*$O110))</f>
        <v/>
      </c>
      <c r="T110" s="43" t="str">
        <f aca="false">IF(OR($D110="",$N110=""),"",INDEX(Config!$D$13:$D$15,$AK110)*$AL110+INDEX(Config!$E$13:$E$15,$AK110)*$AM110)</f>
        <v/>
      </c>
      <c r="U110" s="43" t="str">
        <f aca="false">IF(OR($D110="",$N110=""),"",INDEX(Config!$F$13:$F$15,$AK110)*($K110+$O110))</f>
        <v/>
      </c>
      <c r="V110" s="43" t="str">
        <f aca="false">IF(OR($D110="",$N110=""),"",INDEX(Config!$G$13:$G$15,$AK110)*($K110+$O110)+INDEX(Config!$H$13:$H$15,$AK110)*$AL110+INDEX(Config!$J$13:$J$15,$AK110))</f>
        <v/>
      </c>
      <c r="W110" s="43" t="str">
        <f aca="false">IF(OR($D110="",$N110=""),"",INDEX(Config!$I$13:$I$15,$AK110)*($S110+$U110+INDEX(Config!$G$13:$G$15,$AK110)*($K110+$O110)))</f>
        <v/>
      </c>
      <c r="X110" s="43" t="str">
        <f aca="false">IF(OR($D110="",$N110=""),"",INDEX(Config!$K$13:$K$15,$AK110)/365*$P110*$K110*Config!$B$8)</f>
        <v/>
      </c>
      <c r="Y110" s="43" t="str">
        <f aca="false">IF(OR($D110="",$N110=""),"",SUM($S110:$X110))</f>
        <v/>
      </c>
      <c r="Z110" s="40" t="str">
        <f aca="false">IF(OR($D110="",$Q110=""),"",$Q110-$Y110)</f>
        <v/>
      </c>
      <c r="AA110" s="42" t="str">
        <f aca="false">IF(OR($D110="",$Z110="",$K110=0),"",$Z110/$K110)</f>
        <v/>
      </c>
      <c r="AB110" s="44" t="str">
        <f aca="false">IF(OR($D110="",$Y110="",$K110=0),"",$Y110/$K110*10000)</f>
        <v/>
      </c>
      <c r="AC110" s="44" t="str">
        <f aca="false">IF(OR($D110="",$G110="",$G110=0,$I110=""),"",IF($E110="LONG",($I110-$G110)/$G110,($G110-$I110)/$G110)*10000)</f>
        <v/>
      </c>
      <c r="AD110" s="45"/>
      <c r="AE110" s="40" t="str">
        <f aca="false">IF(OR($D110="",$N110&lt;&gt;"",$AD110=""),"",IF($E110="LONG",($AD110-$I110)*$J110,($I110-$AD110)*$J110))</f>
        <v/>
      </c>
      <c r="AF110" s="40" t="str">
        <f aca="false">IF(OR($D110="",$E110&lt;&gt;"LONG",$Z110=""),"",$Z110+SUMIFS($Z$4:$Z$503,$B$4:$B$503,$B110,$E$4:$E$503,"SHORT"))</f>
        <v/>
      </c>
      <c r="AG110" s="42" t="str">
        <f aca="false">IF(OR($AF110="",$K110=0),"",$AF110/$K110)</f>
        <v/>
      </c>
      <c r="AH110" s="46"/>
      <c r="AI110" s="43" t="str">
        <f aca="false">IF(OR($D110="",$AH110="",$Z110=""),"",$Z110-$AH110)</f>
        <v/>
      </c>
      <c r="AJ110" s="49"/>
      <c r="AK110" s="47" t="str">
        <f aca="false">IF($D110="","",IFERROR(MATCH($F110,Config!$A$13:$A$15,0),1))</f>
        <v/>
      </c>
      <c r="AL110" s="47" t="str">
        <f aca="false">IF(OR($D110="",$N110=""),"",IF($E110="LONG",$K110,$O110))</f>
        <v/>
      </c>
      <c r="AM110" s="47" t="str">
        <f aca="false">IF(OR($D110="",$N110=""),"",IF($E110="LONG",$O110,$K110))</f>
        <v/>
      </c>
    </row>
    <row r="111" customFormat="false" ht="15" hidden="false" customHeight="false" outlineLevel="0" collapsed="false">
      <c r="A111" s="49"/>
      <c r="B111" s="5" t="str">
        <f aca="false">IF($D111="","",IF(OR(RIGHT($A111,2)="-L",RIGHT($A111,2)="-S"),LEFT($A111,LEN($A111)-2),$A111))</f>
        <v/>
      </c>
      <c r="C111" s="50"/>
      <c r="D111" s="49"/>
      <c r="E111" s="49"/>
      <c r="F111" s="49"/>
      <c r="G111" s="45"/>
      <c r="H111" s="50"/>
      <c r="I111" s="45"/>
      <c r="J111" s="51"/>
      <c r="K111" s="40" t="str">
        <f aca="false">IF($D111="","",$I111*$J111)</f>
        <v/>
      </c>
      <c r="L111" s="50"/>
      <c r="M111" s="49"/>
      <c r="N111" s="45"/>
      <c r="O111" s="40" t="str">
        <f aca="false">IF(OR($D111="",$N111=""),"",$N111*$J111)</f>
        <v/>
      </c>
      <c r="P111" s="41" t="str">
        <f aca="false">IF(OR($D111="",$L111=""),"",MAX($L111-$H111,0))</f>
        <v/>
      </c>
      <c r="Q111" s="40" t="str">
        <f aca="false">IF(OR($D111="",$N111=""),"",IF($E111="LONG",($N111-$I111)*$J111,($I111-$N111)*$J111))</f>
        <v/>
      </c>
      <c r="R111" s="42" t="str">
        <f aca="false">IF(OR($D111="",$Q111="",$K111=0),"",$Q111/$K111)</f>
        <v/>
      </c>
      <c r="S111" s="43" t="str">
        <f aca="false">IF(OR($D111="",$N111=""),"",MIN(INDEX(Config!$C$13:$C$15,$AK111),INDEX(Config!$B$13:$B$15,$AK111)*$K111)+MIN(INDEX(Config!$C$13:$C$15,$AK111),INDEX(Config!$B$13:$B$15,$AK111)*$O111))</f>
        <v/>
      </c>
      <c r="T111" s="43" t="str">
        <f aca="false">IF(OR($D111="",$N111=""),"",INDEX(Config!$D$13:$D$15,$AK111)*$AL111+INDEX(Config!$E$13:$E$15,$AK111)*$AM111)</f>
        <v/>
      </c>
      <c r="U111" s="43" t="str">
        <f aca="false">IF(OR($D111="",$N111=""),"",INDEX(Config!$F$13:$F$15,$AK111)*($K111+$O111))</f>
        <v/>
      </c>
      <c r="V111" s="43" t="str">
        <f aca="false">IF(OR($D111="",$N111=""),"",INDEX(Config!$G$13:$G$15,$AK111)*($K111+$O111)+INDEX(Config!$H$13:$H$15,$AK111)*$AL111+INDEX(Config!$J$13:$J$15,$AK111))</f>
        <v/>
      </c>
      <c r="W111" s="43" t="str">
        <f aca="false">IF(OR($D111="",$N111=""),"",INDEX(Config!$I$13:$I$15,$AK111)*($S111+$U111+INDEX(Config!$G$13:$G$15,$AK111)*($K111+$O111)))</f>
        <v/>
      </c>
      <c r="X111" s="43" t="str">
        <f aca="false">IF(OR($D111="",$N111=""),"",INDEX(Config!$K$13:$K$15,$AK111)/365*$P111*$K111*Config!$B$8)</f>
        <v/>
      </c>
      <c r="Y111" s="43" t="str">
        <f aca="false">IF(OR($D111="",$N111=""),"",SUM($S111:$X111))</f>
        <v/>
      </c>
      <c r="Z111" s="40" t="str">
        <f aca="false">IF(OR($D111="",$Q111=""),"",$Q111-$Y111)</f>
        <v/>
      </c>
      <c r="AA111" s="42" t="str">
        <f aca="false">IF(OR($D111="",$Z111="",$K111=0),"",$Z111/$K111)</f>
        <v/>
      </c>
      <c r="AB111" s="44" t="str">
        <f aca="false">IF(OR($D111="",$Y111="",$K111=0),"",$Y111/$K111*10000)</f>
        <v/>
      </c>
      <c r="AC111" s="44" t="str">
        <f aca="false">IF(OR($D111="",$G111="",$G111=0,$I111=""),"",IF($E111="LONG",($I111-$G111)/$G111,($G111-$I111)/$G111)*10000)</f>
        <v/>
      </c>
      <c r="AD111" s="45"/>
      <c r="AE111" s="40" t="str">
        <f aca="false">IF(OR($D111="",$N111&lt;&gt;"",$AD111=""),"",IF($E111="LONG",($AD111-$I111)*$J111,($I111-$AD111)*$J111))</f>
        <v/>
      </c>
      <c r="AF111" s="40" t="str">
        <f aca="false">IF(OR($D111="",$E111&lt;&gt;"LONG",$Z111=""),"",$Z111+SUMIFS($Z$4:$Z$503,$B$4:$B$503,$B111,$E$4:$E$503,"SHORT"))</f>
        <v/>
      </c>
      <c r="AG111" s="42" t="str">
        <f aca="false">IF(OR($AF111="",$K111=0),"",$AF111/$K111)</f>
        <v/>
      </c>
      <c r="AH111" s="46"/>
      <c r="AI111" s="43" t="str">
        <f aca="false">IF(OR($D111="",$AH111="",$Z111=""),"",$Z111-$AH111)</f>
        <v/>
      </c>
      <c r="AJ111" s="49"/>
      <c r="AK111" s="47" t="str">
        <f aca="false">IF($D111="","",IFERROR(MATCH($F111,Config!$A$13:$A$15,0),1))</f>
        <v/>
      </c>
      <c r="AL111" s="47" t="str">
        <f aca="false">IF(OR($D111="",$N111=""),"",IF($E111="LONG",$K111,$O111))</f>
        <v/>
      </c>
      <c r="AM111" s="47" t="str">
        <f aca="false">IF(OR($D111="",$N111=""),"",IF($E111="LONG",$O111,$K111))</f>
        <v/>
      </c>
    </row>
    <row r="112" customFormat="false" ht="15" hidden="false" customHeight="false" outlineLevel="0" collapsed="false">
      <c r="A112" s="49"/>
      <c r="B112" s="5" t="str">
        <f aca="false">IF($D112="","",IF(OR(RIGHT($A112,2)="-L",RIGHT($A112,2)="-S"),LEFT($A112,LEN($A112)-2),$A112))</f>
        <v/>
      </c>
      <c r="C112" s="50"/>
      <c r="D112" s="49"/>
      <c r="E112" s="49"/>
      <c r="F112" s="49"/>
      <c r="G112" s="45"/>
      <c r="H112" s="50"/>
      <c r="I112" s="45"/>
      <c r="J112" s="51"/>
      <c r="K112" s="40" t="str">
        <f aca="false">IF($D112="","",$I112*$J112)</f>
        <v/>
      </c>
      <c r="L112" s="50"/>
      <c r="M112" s="49"/>
      <c r="N112" s="45"/>
      <c r="O112" s="40" t="str">
        <f aca="false">IF(OR($D112="",$N112=""),"",$N112*$J112)</f>
        <v/>
      </c>
      <c r="P112" s="41" t="str">
        <f aca="false">IF(OR($D112="",$L112=""),"",MAX($L112-$H112,0))</f>
        <v/>
      </c>
      <c r="Q112" s="40" t="str">
        <f aca="false">IF(OR($D112="",$N112=""),"",IF($E112="LONG",($N112-$I112)*$J112,($I112-$N112)*$J112))</f>
        <v/>
      </c>
      <c r="R112" s="42" t="str">
        <f aca="false">IF(OR($D112="",$Q112="",$K112=0),"",$Q112/$K112)</f>
        <v/>
      </c>
      <c r="S112" s="43" t="str">
        <f aca="false">IF(OR($D112="",$N112=""),"",MIN(INDEX(Config!$C$13:$C$15,$AK112),INDEX(Config!$B$13:$B$15,$AK112)*$K112)+MIN(INDEX(Config!$C$13:$C$15,$AK112),INDEX(Config!$B$13:$B$15,$AK112)*$O112))</f>
        <v/>
      </c>
      <c r="T112" s="43" t="str">
        <f aca="false">IF(OR($D112="",$N112=""),"",INDEX(Config!$D$13:$D$15,$AK112)*$AL112+INDEX(Config!$E$13:$E$15,$AK112)*$AM112)</f>
        <v/>
      </c>
      <c r="U112" s="43" t="str">
        <f aca="false">IF(OR($D112="",$N112=""),"",INDEX(Config!$F$13:$F$15,$AK112)*($K112+$O112))</f>
        <v/>
      </c>
      <c r="V112" s="43" t="str">
        <f aca="false">IF(OR($D112="",$N112=""),"",INDEX(Config!$G$13:$G$15,$AK112)*($K112+$O112)+INDEX(Config!$H$13:$H$15,$AK112)*$AL112+INDEX(Config!$J$13:$J$15,$AK112))</f>
        <v/>
      </c>
      <c r="W112" s="43" t="str">
        <f aca="false">IF(OR($D112="",$N112=""),"",INDEX(Config!$I$13:$I$15,$AK112)*($S112+$U112+INDEX(Config!$G$13:$G$15,$AK112)*($K112+$O112)))</f>
        <v/>
      </c>
      <c r="X112" s="43" t="str">
        <f aca="false">IF(OR($D112="",$N112=""),"",INDEX(Config!$K$13:$K$15,$AK112)/365*$P112*$K112*Config!$B$8)</f>
        <v/>
      </c>
      <c r="Y112" s="43" t="str">
        <f aca="false">IF(OR($D112="",$N112=""),"",SUM($S112:$X112))</f>
        <v/>
      </c>
      <c r="Z112" s="40" t="str">
        <f aca="false">IF(OR($D112="",$Q112=""),"",$Q112-$Y112)</f>
        <v/>
      </c>
      <c r="AA112" s="42" t="str">
        <f aca="false">IF(OR($D112="",$Z112="",$K112=0),"",$Z112/$K112)</f>
        <v/>
      </c>
      <c r="AB112" s="44" t="str">
        <f aca="false">IF(OR($D112="",$Y112="",$K112=0),"",$Y112/$K112*10000)</f>
        <v/>
      </c>
      <c r="AC112" s="44" t="str">
        <f aca="false">IF(OR($D112="",$G112="",$G112=0,$I112=""),"",IF($E112="LONG",($I112-$G112)/$G112,($G112-$I112)/$G112)*10000)</f>
        <v/>
      </c>
      <c r="AD112" s="45"/>
      <c r="AE112" s="40" t="str">
        <f aca="false">IF(OR($D112="",$N112&lt;&gt;"",$AD112=""),"",IF($E112="LONG",($AD112-$I112)*$J112,($I112-$AD112)*$J112))</f>
        <v/>
      </c>
      <c r="AF112" s="40" t="str">
        <f aca="false">IF(OR($D112="",$E112&lt;&gt;"LONG",$Z112=""),"",$Z112+SUMIFS($Z$4:$Z$503,$B$4:$B$503,$B112,$E$4:$E$503,"SHORT"))</f>
        <v/>
      </c>
      <c r="AG112" s="42" t="str">
        <f aca="false">IF(OR($AF112="",$K112=0),"",$AF112/$K112)</f>
        <v/>
      </c>
      <c r="AH112" s="46"/>
      <c r="AI112" s="43" t="str">
        <f aca="false">IF(OR($D112="",$AH112="",$Z112=""),"",$Z112-$AH112)</f>
        <v/>
      </c>
      <c r="AJ112" s="49"/>
      <c r="AK112" s="47" t="str">
        <f aca="false">IF($D112="","",IFERROR(MATCH($F112,Config!$A$13:$A$15,0),1))</f>
        <v/>
      </c>
      <c r="AL112" s="47" t="str">
        <f aca="false">IF(OR($D112="",$N112=""),"",IF($E112="LONG",$K112,$O112))</f>
        <v/>
      </c>
      <c r="AM112" s="47" t="str">
        <f aca="false">IF(OR($D112="",$N112=""),"",IF($E112="LONG",$O112,$K112))</f>
        <v/>
      </c>
    </row>
    <row r="113" customFormat="false" ht="15" hidden="false" customHeight="false" outlineLevel="0" collapsed="false">
      <c r="A113" s="49"/>
      <c r="B113" s="5" t="str">
        <f aca="false">IF($D113="","",IF(OR(RIGHT($A113,2)="-L",RIGHT($A113,2)="-S"),LEFT($A113,LEN($A113)-2),$A113))</f>
        <v/>
      </c>
      <c r="C113" s="50"/>
      <c r="D113" s="49"/>
      <c r="E113" s="49"/>
      <c r="F113" s="49"/>
      <c r="G113" s="45"/>
      <c r="H113" s="50"/>
      <c r="I113" s="45"/>
      <c r="J113" s="51"/>
      <c r="K113" s="40" t="str">
        <f aca="false">IF($D113="","",$I113*$J113)</f>
        <v/>
      </c>
      <c r="L113" s="50"/>
      <c r="M113" s="49"/>
      <c r="N113" s="45"/>
      <c r="O113" s="40" t="str">
        <f aca="false">IF(OR($D113="",$N113=""),"",$N113*$J113)</f>
        <v/>
      </c>
      <c r="P113" s="41" t="str">
        <f aca="false">IF(OR($D113="",$L113=""),"",MAX($L113-$H113,0))</f>
        <v/>
      </c>
      <c r="Q113" s="40" t="str">
        <f aca="false">IF(OR($D113="",$N113=""),"",IF($E113="LONG",($N113-$I113)*$J113,($I113-$N113)*$J113))</f>
        <v/>
      </c>
      <c r="R113" s="42" t="str">
        <f aca="false">IF(OR($D113="",$Q113="",$K113=0),"",$Q113/$K113)</f>
        <v/>
      </c>
      <c r="S113" s="43" t="str">
        <f aca="false">IF(OR($D113="",$N113=""),"",MIN(INDEX(Config!$C$13:$C$15,$AK113),INDEX(Config!$B$13:$B$15,$AK113)*$K113)+MIN(INDEX(Config!$C$13:$C$15,$AK113),INDEX(Config!$B$13:$B$15,$AK113)*$O113))</f>
        <v/>
      </c>
      <c r="T113" s="43" t="str">
        <f aca="false">IF(OR($D113="",$N113=""),"",INDEX(Config!$D$13:$D$15,$AK113)*$AL113+INDEX(Config!$E$13:$E$15,$AK113)*$AM113)</f>
        <v/>
      </c>
      <c r="U113" s="43" t="str">
        <f aca="false">IF(OR($D113="",$N113=""),"",INDEX(Config!$F$13:$F$15,$AK113)*($K113+$O113))</f>
        <v/>
      </c>
      <c r="V113" s="43" t="str">
        <f aca="false">IF(OR($D113="",$N113=""),"",INDEX(Config!$G$13:$G$15,$AK113)*($K113+$O113)+INDEX(Config!$H$13:$H$15,$AK113)*$AL113+INDEX(Config!$J$13:$J$15,$AK113))</f>
        <v/>
      </c>
      <c r="W113" s="43" t="str">
        <f aca="false">IF(OR($D113="",$N113=""),"",INDEX(Config!$I$13:$I$15,$AK113)*($S113+$U113+INDEX(Config!$G$13:$G$15,$AK113)*($K113+$O113)))</f>
        <v/>
      </c>
      <c r="X113" s="43" t="str">
        <f aca="false">IF(OR($D113="",$N113=""),"",INDEX(Config!$K$13:$K$15,$AK113)/365*$P113*$K113*Config!$B$8)</f>
        <v/>
      </c>
      <c r="Y113" s="43" t="str">
        <f aca="false">IF(OR($D113="",$N113=""),"",SUM($S113:$X113))</f>
        <v/>
      </c>
      <c r="Z113" s="40" t="str">
        <f aca="false">IF(OR($D113="",$Q113=""),"",$Q113-$Y113)</f>
        <v/>
      </c>
      <c r="AA113" s="42" t="str">
        <f aca="false">IF(OR($D113="",$Z113="",$K113=0),"",$Z113/$K113)</f>
        <v/>
      </c>
      <c r="AB113" s="44" t="str">
        <f aca="false">IF(OR($D113="",$Y113="",$K113=0),"",$Y113/$K113*10000)</f>
        <v/>
      </c>
      <c r="AC113" s="44" t="str">
        <f aca="false">IF(OR($D113="",$G113="",$G113=0,$I113=""),"",IF($E113="LONG",($I113-$G113)/$G113,($G113-$I113)/$G113)*10000)</f>
        <v/>
      </c>
      <c r="AD113" s="45"/>
      <c r="AE113" s="40" t="str">
        <f aca="false">IF(OR($D113="",$N113&lt;&gt;"",$AD113=""),"",IF($E113="LONG",($AD113-$I113)*$J113,($I113-$AD113)*$J113))</f>
        <v/>
      </c>
      <c r="AF113" s="40" t="str">
        <f aca="false">IF(OR($D113="",$E113&lt;&gt;"LONG",$Z113=""),"",$Z113+SUMIFS($Z$4:$Z$503,$B$4:$B$503,$B113,$E$4:$E$503,"SHORT"))</f>
        <v/>
      </c>
      <c r="AG113" s="42" t="str">
        <f aca="false">IF(OR($AF113="",$K113=0),"",$AF113/$K113)</f>
        <v/>
      </c>
      <c r="AH113" s="46"/>
      <c r="AI113" s="43" t="str">
        <f aca="false">IF(OR($D113="",$AH113="",$Z113=""),"",$Z113-$AH113)</f>
        <v/>
      </c>
      <c r="AJ113" s="49"/>
      <c r="AK113" s="47" t="str">
        <f aca="false">IF($D113="","",IFERROR(MATCH($F113,Config!$A$13:$A$15,0),1))</f>
        <v/>
      </c>
      <c r="AL113" s="47" t="str">
        <f aca="false">IF(OR($D113="",$N113=""),"",IF($E113="LONG",$K113,$O113))</f>
        <v/>
      </c>
      <c r="AM113" s="47" t="str">
        <f aca="false">IF(OR($D113="",$N113=""),"",IF($E113="LONG",$O113,$K113))</f>
        <v/>
      </c>
    </row>
    <row r="114" customFormat="false" ht="15" hidden="false" customHeight="false" outlineLevel="0" collapsed="false">
      <c r="A114" s="49"/>
      <c r="B114" s="5" t="str">
        <f aca="false">IF($D114="","",IF(OR(RIGHT($A114,2)="-L",RIGHT($A114,2)="-S"),LEFT($A114,LEN($A114)-2),$A114))</f>
        <v/>
      </c>
      <c r="C114" s="50"/>
      <c r="D114" s="49"/>
      <c r="E114" s="49"/>
      <c r="F114" s="49"/>
      <c r="G114" s="45"/>
      <c r="H114" s="50"/>
      <c r="I114" s="45"/>
      <c r="J114" s="51"/>
      <c r="K114" s="40" t="str">
        <f aca="false">IF($D114="","",$I114*$J114)</f>
        <v/>
      </c>
      <c r="L114" s="50"/>
      <c r="M114" s="49"/>
      <c r="N114" s="45"/>
      <c r="O114" s="40" t="str">
        <f aca="false">IF(OR($D114="",$N114=""),"",$N114*$J114)</f>
        <v/>
      </c>
      <c r="P114" s="41" t="str">
        <f aca="false">IF(OR($D114="",$L114=""),"",MAX($L114-$H114,0))</f>
        <v/>
      </c>
      <c r="Q114" s="40" t="str">
        <f aca="false">IF(OR($D114="",$N114=""),"",IF($E114="LONG",($N114-$I114)*$J114,($I114-$N114)*$J114))</f>
        <v/>
      </c>
      <c r="R114" s="42" t="str">
        <f aca="false">IF(OR($D114="",$Q114="",$K114=0),"",$Q114/$K114)</f>
        <v/>
      </c>
      <c r="S114" s="43" t="str">
        <f aca="false">IF(OR($D114="",$N114=""),"",MIN(INDEX(Config!$C$13:$C$15,$AK114),INDEX(Config!$B$13:$B$15,$AK114)*$K114)+MIN(INDEX(Config!$C$13:$C$15,$AK114),INDEX(Config!$B$13:$B$15,$AK114)*$O114))</f>
        <v/>
      </c>
      <c r="T114" s="43" t="str">
        <f aca="false">IF(OR($D114="",$N114=""),"",INDEX(Config!$D$13:$D$15,$AK114)*$AL114+INDEX(Config!$E$13:$E$15,$AK114)*$AM114)</f>
        <v/>
      </c>
      <c r="U114" s="43" t="str">
        <f aca="false">IF(OR($D114="",$N114=""),"",INDEX(Config!$F$13:$F$15,$AK114)*($K114+$O114))</f>
        <v/>
      </c>
      <c r="V114" s="43" t="str">
        <f aca="false">IF(OR($D114="",$N114=""),"",INDEX(Config!$G$13:$G$15,$AK114)*($K114+$O114)+INDEX(Config!$H$13:$H$15,$AK114)*$AL114+INDEX(Config!$J$13:$J$15,$AK114))</f>
        <v/>
      </c>
      <c r="W114" s="43" t="str">
        <f aca="false">IF(OR($D114="",$N114=""),"",INDEX(Config!$I$13:$I$15,$AK114)*($S114+$U114+INDEX(Config!$G$13:$G$15,$AK114)*($K114+$O114)))</f>
        <v/>
      </c>
      <c r="X114" s="43" t="str">
        <f aca="false">IF(OR($D114="",$N114=""),"",INDEX(Config!$K$13:$K$15,$AK114)/365*$P114*$K114*Config!$B$8)</f>
        <v/>
      </c>
      <c r="Y114" s="43" t="str">
        <f aca="false">IF(OR($D114="",$N114=""),"",SUM($S114:$X114))</f>
        <v/>
      </c>
      <c r="Z114" s="40" t="str">
        <f aca="false">IF(OR($D114="",$Q114=""),"",$Q114-$Y114)</f>
        <v/>
      </c>
      <c r="AA114" s="42" t="str">
        <f aca="false">IF(OR($D114="",$Z114="",$K114=0),"",$Z114/$K114)</f>
        <v/>
      </c>
      <c r="AB114" s="44" t="str">
        <f aca="false">IF(OR($D114="",$Y114="",$K114=0),"",$Y114/$K114*10000)</f>
        <v/>
      </c>
      <c r="AC114" s="44" t="str">
        <f aca="false">IF(OR($D114="",$G114="",$G114=0,$I114=""),"",IF($E114="LONG",($I114-$G114)/$G114,($G114-$I114)/$G114)*10000)</f>
        <v/>
      </c>
      <c r="AD114" s="45"/>
      <c r="AE114" s="40" t="str">
        <f aca="false">IF(OR($D114="",$N114&lt;&gt;"",$AD114=""),"",IF($E114="LONG",($AD114-$I114)*$J114,($I114-$AD114)*$J114))</f>
        <v/>
      </c>
      <c r="AF114" s="40" t="str">
        <f aca="false">IF(OR($D114="",$E114&lt;&gt;"LONG",$Z114=""),"",$Z114+SUMIFS($Z$4:$Z$503,$B$4:$B$503,$B114,$E$4:$E$503,"SHORT"))</f>
        <v/>
      </c>
      <c r="AG114" s="42" t="str">
        <f aca="false">IF(OR($AF114="",$K114=0),"",$AF114/$K114)</f>
        <v/>
      </c>
      <c r="AH114" s="46"/>
      <c r="AI114" s="43" t="str">
        <f aca="false">IF(OR($D114="",$AH114="",$Z114=""),"",$Z114-$AH114)</f>
        <v/>
      </c>
      <c r="AJ114" s="49"/>
      <c r="AK114" s="47" t="str">
        <f aca="false">IF($D114="","",IFERROR(MATCH($F114,Config!$A$13:$A$15,0),1))</f>
        <v/>
      </c>
      <c r="AL114" s="47" t="str">
        <f aca="false">IF(OR($D114="",$N114=""),"",IF($E114="LONG",$K114,$O114))</f>
        <v/>
      </c>
      <c r="AM114" s="47" t="str">
        <f aca="false">IF(OR($D114="",$N114=""),"",IF($E114="LONG",$O114,$K114))</f>
        <v/>
      </c>
    </row>
    <row r="115" customFormat="false" ht="15" hidden="false" customHeight="false" outlineLevel="0" collapsed="false">
      <c r="A115" s="49"/>
      <c r="B115" s="5" t="str">
        <f aca="false">IF($D115="","",IF(OR(RIGHT($A115,2)="-L",RIGHT($A115,2)="-S"),LEFT($A115,LEN($A115)-2),$A115))</f>
        <v/>
      </c>
      <c r="C115" s="50"/>
      <c r="D115" s="49"/>
      <c r="E115" s="49"/>
      <c r="F115" s="49"/>
      <c r="G115" s="45"/>
      <c r="H115" s="50"/>
      <c r="I115" s="45"/>
      <c r="J115" s="51"/>
      <c r="K115" s="40" t="str">
        <f aca="false">IF($D115="","",$I115*$J115)</f>
        <v/>
      </c>
      <c r="L115" s="50"/>
      <c r="M115" s="49"/>
      <c r="N115" s="45"/>
      <c r="O115" s="40" t="str">
        <f aca="false">IF(OR($D115="",$N115=""),"",$N115*$J115)</f>
        <v/>
      </c>
      <c r="P115" s="41" t="str">
        <f aca="false">IF(OR($D115="",$L115=""),"",MAX($L115-$H115,0))</f>
        <v/>
      </c>
      <c r="Q115" s="40" t="str">
        <f aca="false">IF(OR($D115="",$N115=""),"",IF($E115="LONG",($N115-$I115)*$J115,($I115-$N115)*$J115))</f>
        <v/>
      </c>
      <c r="R115" s="42" t="str">
        <f aca="false">IF(OR($D115="",$Q115="",$K115=0),"",$Q115/$K115)</f>
        <v/>
      </c>
      <c r="S115" s="43" t="str">
        <f aca="false">IF(OR($D115="",$N115=""),"",MIN(INDEX(Config!$C$13:$C$15,$AK115),INDEX(Config!$B$13:$B$15,$AK115)*$K115)+MIN(INDEX(Config!$C$13:$C$15,$AK115),INDEX(Config!$B$13:$B$15,$AK115)*$O115))</f>
        <v/>
      </c>
      <c r="T115" s="43" t="str">
        <f aca="false">IF(OR($D115="",$N115=""),"",INDEX(Config!$D$13:$D$15,$AK115)*$AL115+INDEX(Config!$E$13:$E$15,$AK115)*$AM115)</f>
        <v/>
      </c>
      <c r="U115" s="43" t="str">
        <f aca="false">IF(OR($D115="",$N115=""),"",INDEX(Config!$F$13:$F$15,$AK115)*($K115+$O115))</f>
        <v/>
      </c>
      <c r="V115" s="43" t="str">
        <f aca="false">IF(OR($D115="",$N115=""),"",INDEX(Config!$G$13:$G$15,$AK115)*($K115+$O115)+INDEX(Config!$H$13:$H$15,$AK115)*$AL115+INDEX(Config!$J$13:$J$15,$AK115))</f>
        <v/>
      </c>
      <c r="W115" s="43" t="str">
        <f aca="false">IF(OR($D115="",$N115=""),"",INDEX(Config!$I$13:$I$15,$AK115)*($S115+$U115+INDEX(Config!$G$13:$G$15,$AK115)*($K115+$O115)))</f>
        <v/>
      </c>
      <c r="X115" s="43" t="str">
        <f aca="false">IF(OR($D115="",$N115=""),"",INDEX(Config!$K$13:$K$15,$AK115)/365*$P115*$K115*Config!$B$8)</f>
        <v/>
      </c>
      <c r="Y115" s="43" t="str">
        <f aca="false">IF(OR($D115="",$N115=""),"",SUM($S115:$X115))</f>
        <v/>
      </c>
      <c r="Z115" s="40" t="str">
        <f aca="false">IF(OR($D115="",$Q115=""),"",$Q115-$Y115)</f>
        <v/>
      </c>
      <c r="AA115" s="42" t="str">
        <f aca="false">IF(OR($D115="",$Z115="",$K115=0),"",$Z115/$K115)</f>
        <v/>
      </c>
      <c r="AB115" s="44" t="str">
        <f aca="false">IF(OR($D115="",$Y115="",$K115=0),"",$Y115/$K115*10000)</f>
        <v/>
      </c>
      <c r="AC115" s="44" t="str">
        <f aca="false">IF(OR($D115="",$G115="",$G115=0,$I115=""),"",IF($E115="LONG",($I115-$G115)/$G115,($G115-$I115)/$G115)*10000)</f>
        <v/>
      </c>
      <c r="AD115" s="45"/>
      <c r="AE115" s="40" t="str">
        <f aca="false">IF(OR($D115="",$N115&lt;&gt;"",$AD115=""),"",IF($E115="LONG",($AD115-$I115)*$J115,($I115-$AD115)*$J115))</f>
        <v/>
      </c>
      <c r="AF115" s="40" t="str">
        <f aca="false">IF(OR($D115="",$E115&lt;&gt;"LONG",$Z115=""),"",$Z115+SUMIFS($Z$4:$Z$503,$B$4:$B$503,$B115,$E$4:$E$503,"SHORT"))</f>
        <v/>
      </c>
      <c r="AG115" s="42" t="str">
        <f aca="false">IF(OR($AF115="",$K115=0),"",$AF115/$K115)</f>
        <v/>
      </c>
      <c r="AH115" s="46"/>
      <c r="AI115" s="43" t="str">
        <f aca="false">IF(OR($D115="",$AH115="",$Z115=""),"",$Z115-$AH115)</f>
        <v/>
      </c>
      <c r="AJ115" s="49"/>
      <c r="AK115" s="47" t="str">
        <f aca="false">IF($D115="","",IFERROR(MATCH($F115,Config!$A$13:$A$15,0),1))</f>
        <v/>
      </c>
      <c r="AL115" s="47" t="str">
        <f aca="false">IF(OR($D115="",$N115=""),"",IF($E115="LONG",$K115,$O115))</f>
        <v/>
      </c>
      <c r="AM115" s="47" t="str">
        <f aca="false">IF(OR($D115="",$N115=""),"",IF($E115="LONG",$O115,$K115))</f>
        <v/>
      </c>
    </row>
    <row r="116" customFormat="false" ht="15" hidden="false" customHeight="false" outlineLevel="0" collapsed="false">
      <c r="A116" s="49"/>
      <c r="B116" s="5" t="str">
        <f aca="false">IF($D116="","",IF(OR(RIGHT($A116,2)="-L",RIGHT($A116,2)="-S"),LEFT($A116,LEN($A116)-2),$A116))</f>
        <v/>
      </c>
      <c r="C116" s="50"/>
      <c r="D116" s="49"/>
      <c r="E116" s="49"/>
      <c r="F116" s="49"/>
      <c r="G116" s="45"/>
      <c r="H116" s="50"/>
      <c r="I116" s="45"/>
      <c r="J116" s="51"/>
      <c r="K116" s="40" t="str">
        <f aca="false">IF($D116="","",$I116*$J116)</f>
        <v/>
      </c>
      <c r="L116" s="50"/>
      <c r="M116" s="49"/>
      <c r="N116" s="45"/>
      <c r="O116" s="40" t="str">
        <f aca="false">IF(OR($D116="",$N116=""),"",$N116*$J116)</f>
        <v/>
      </c>
      <c r="P116" s="41" t="str">
        <f aca="false">IF(OR($D116="",$L116=""),"",MAX($L116-$H116,0))</f>
        <v/>
      </c>
      <c r="Q116" s="40" t="str">
        <f aca="false">IF(OR($D116="",$N116=""),"",IF($E116="LONG",($N116-$I116)*$J116,($I116-$N116)*$J116))</f>
        <v/>
      </c>
      <c r="R116" s="42" t="str">
        <f aca="false">IF(OR($D116="",$Q116="",$K116=0),"",$Q116/$K116)</f>
        <v/>
      </c>
      <c r="S116" s="43" t="str">
        <f aca="false">IF(OR($D116="",$N116=""),"",MIN(INDEX(Config!$C$13:$C$15,$AK116),INDEX(Config!$B$13:$B$15,$AK116)*$K116)+MIN(INDEX(Config!$C$13:$C$15,$AK116),INDEX(Config!$B$13:$B$15,$AK116)*$O116))</f>
        <v/>
      </c>
      <c r="T116" s="43" t="str">
        <f aca="false">IF(OR($D116="",$N116=""),"",INDEX(Config!$D$13:$D$15,$AK116)*$AL116+INDEX(Config!$E$13:$E$15,$AK116)*$AM116)</f>
        <v/>
      </c>
      <c r="U116" s="43" t="str">
        <f aca="false">IF(OR($D116="",$N116=""),"",INDEX(Config!$F$13:$F$15,$AK116)*($K116+$O116))</f>
        <v/>
      </c>
      <c r="V116" s="43" t="str">
        <f aca="false">IF(OR($D116="",$N116=""),"",INDEX(Config!$G$13:$G$15,$AK116)*($K116+$O116)+INDEX(Config!$H$13:$H$15,$AK116)*$AL116+INDEX(Config!$J$13:$J$15,$AK116))</f>
        <v/>
      </c>
      <c r="W116" s="43" t="str">
        <f aca="false">IF(OR($D116="",$N116=""),"",INDEX(Config!$I$13:$I$15,$AK116)*($S116+$U116+INDEX(Config!$G$13:$G$15,$AK116)*($K116+$O116)))</f>
        <v/>
      </c>
      <c r="X116" s="43" t="str">
        <f aca="false">IF(OR($D116="",$N116=""),"",INDEX(Config!$K$13:$K$15,$AK116)/365*$P116*$K116*Config!$B$8)</f>
        <v/>
      </c>
      <c r="Y116" s="43" t="str">
        <f aca="false">IF(OR($D116="",$N116=""),"",SUM($S116:$X116))</f>
        <v/>
      </c>
      <c r="Z116" s="40" t="str">
        <f aca="false">IF(OR($D116="",$Q116=""),"",$Q116-$Y116)</f>
        <v/>
      </c>
      <c r="AA116" s="42" t="str">
        <f aca="false">IF(OR($D116="",$Z116="",$K116=0),"",$Z116/$K116)</f>
        <v/>
      </c>
      <c r="AB116" s="44" t="str">
        <f aca="false">IF(OR($D116="",$Y116="",$K116=0),"",$Y116/$K116*10000)</f>
        <v/>
      </c>
      <c r="AC116" s="44" t="str">
        <f aca="false">IF(OR($D116="",$G116="",$G116=0,$I116=""),"",IF($E116="LONG",($I116-$G116)/$G116,($G116-$I116)/$G116)*10000)</f>
        <v/>
      </c>
      <c r="AD116" s="45"/>
      <c r="AE116" s="40" t="str">
        <f aca="false">IF(OR($D116="",$N116&lt;&gt;"",$AD116=""),"",IF($E116="LONG",($AD116-$I116)*$J116,($I116-$AD116)*$J116))</f>
        <v/>
      </c>
      <c r="AF116" s="40" t="str">
        <f aca="false">IF(OR($D116="",$E116&lt;&gt;"LONG",$Z116=""),"",$Z116+SUMIFS($Z$4:$Z$503,$B$4:$B$503,$B116,$E$4:$E$503,"SHORT"))</f>
        <v/>
      </c>
      <c r="AG116" s="42" t="str">
        <f aca="false">IF(OR($AF116="",$K116=0),"",$AF116/$K116)</f>
        <v/>
      </c>
      <c r="AH116" s="46"/>
      <c r="AI116" s="43" t="str">
        <f aca="false">IF(OR($D116="",$AH116="",$Z116=""),"",$Z116-$AH116)</f>
        <v/>
      </c>
      <c r="AJ116" s="49"/>
      <c r="AK116" s="47" t="str">
        <f aca="false">IF($D116="","",IFERROR(MATCH($F116,Config!$A$13:$A$15,0),1))</f>
        <v/>
      </c>
      <c r="AL116" s="47" t="str">
        <f aca="false">IF(OR($D116="",$N116=""),"",IF($E116="LONG",$K116,$O116))</f>
        <v/>
      </c>
      <c r="AM116" s="47" t="str">
        <f aca="false">IF(OR($D116="",$N116=""),"",IF($E116="LONG",$O116,$K116))</f>
        <v/>
      </c>
    </row>
    <row r="117" customFormat="false" ht="15" hidden="false" customHeight="false" outlineLevel="0" collapsed="false">
      <c r="A117" s="49"/>
      <c r="B117" s="5" t="str">
        <f aca="false">IF($D117="","",IF(OR(RIGHT($A117,2)="-L",RIGHT($A117,2)="-S"),LEFT($A117,LEN($A117)-2),$A117))</f>
        <v/>
      </c>
      <c r="C117" s="50"/>
      <c r="D117" s="49"/>
      <c r="E117" s="49"/>
      <c r="F117" s="49"/>
      <c r="G117" s="45"/>
      <c r="H117" s="50"/>
      <c r="I117" s="45"/>
      <c r="J117" s="51"/>
      <c r="K117" s="40" t="str">
        <f aca="false">IF($D117="","",$I117*$J117)</f>
        <v/>
      </c>
      <c r="L117" s="50"/>
      <c r="M117" s="49"/>
      <c r="N117" s="45"/>
      <c r="O117" s="40" t="str">
        <f aca="false">IF(OR($D117="",$N117=""),"",$N117*$J117)</f>
        <v/>
      </c>
      <c r="P117" s="41" t="str">
        <f aca="false">IF(OR($D117="",$L117=""),"",MAX($L117-$H117,0))</f>
        <v/>
      </c>
      <c r="Q117" s="40" t="str">
        <f aca="false">IF(OR($D117="",$N117=""),"",IF($E117="LONG",($N117-$I117)*$J117,($I117-$N117)*$J117))</f>
        <v/>
      </c>
      <c r="R117" s="42" t="str">
        <f aca="false">IF(OR($D117="",$Q117="",$K117=0),"",$Q117/$K117)</f>
        <v/>
      </c>
      <c r="S117" s="43" t="str">
        <f aca="false">IF(OR($D117="",$N117=""),"",MIN(INDEX(Config!$C$13:$C$15,$AK117),INDEX(Config!$B$13:$B$15,$AK117)*$K117)+MIN(INDEX(Config!$C$13:$C$15,$AK117),INDEX(Config!$B$13:$B$15,$AK117)*$O117))</f>
        <v/>
      </c>
      <c r="T117" s="43" t="str">
        <f aca="false">IF(OR($D117="",$N117=""),"",INDEX(Config!$D$13:$D$15,$AK117)*$AL117+INDEX(Config!$E$13:$E$15,$AK117)*$AM117)</f>
        <v/>
      </c>
      <c r="U117" s="43" t="str">
        <f aca="false">IF(OR($D117="",$N117=""),"",INDEX(Config!$F$13:$F$15,$AK117)*($K117+$O117))</f>
        <v/>
      </c>
      <c r="V117" s="43" t="str">
        <f aca="false">IF(OR($D117="",$N117=""),"",INDEX(Config!$G$13:$G$15,$AK117)*($K117+$O117)+INDEX(Config!$H$13:$H$15,$AK117)*$AL117+INDEX(Config!$J$13:$J$15,$AK117))</f>
        <v/>
      </c>
      <c r="W117" s="43" t="str">
        <f aca="false">IF(OR($D117="",$N117=""),"",INDEX(Config!$I$13:$I$15,$AK117)*($S117+$U117+INDEX(Config!$G$13:$G$15,$AK117)*($K117+$O117)))</f>
        <v/>
      </c>
      <c r="X117" s="43" t="str">
        <f aca="false">IF(OR($D117="",$N117=""),"",INDEX(Config!$K$13:$K$15,$AK117)/365*$P117*$K117*Config!$B$8)</f>
        <v/>
      </c>
      <c r="Y117" s="43" t="str">
        <f aca="false">IF(OR($D117="",$N117=""),"",SUM($S117:$X117))</f>
        <v/>
      </c>
      <c r="Z117" s="40" t="str">
        <f aca="false">IF(OR($D117="",$Q117=""),"",$Q117-$Y117)</f>
        <v/>
      </c>
      <c r="AA117" s="42" t="str">
        <f aca="false">IF(OR($D117="",$Z117="",$K117=0),"",$Z117/$K117)</f>
        <v/>
      </c>
      <c r="AB117" s="44" t="str">
        <f aca="false">IF(OR($D117="",$Y117="",$K117=0),"",$Y117/$K117*10000)</f>
        <v/>
      </c>
      <c r="AC117" s="44" t="str">
        <f aca="false">IF(OR($D117="",$G117="",$G117=0,$I117=""),"",IF($E117="LONG",($I117-$G117)/$G117,($G117-$I117)/$G117)*10000)</f>
        <v/>
      </c>
      <c r="AD117" s="45"/>
      <c r="AE117" s="40" t="str">
        <f aca="false">IF(OR($D117="",$N117&lt;&gt;"",$AD117=""),"",IF($E117="LONG",($AD117-$I117)*$J117,($I117-$AD117)*$J117))</f>
        <v/>
      </c>
      <c r="AF117" s="40" t="str">
        <f aca="false">IF(OR($D117="",$E117&lt;&gt;"LONG",$Z117=""),"",$Z117+SUMIFS($Z$4:$Z$503,$B$4:$B$503,$B117,$E$4:$E$503,"SHORT"))</f>
        <v/>
      </c>
      <c r="AG117" s="42" t="str">
        <f aca="false">IF(OR($AF117="",$K117=0),"",$AF117/$K117)</f>
        <v/>
      </c>
      <c r="AH117" s="46"/>
      <c r="AI117" s="43" t="str">
        <f aca="false">IF(OR($D117="",$AH117="",$Z117=""),"",$Z117-$AH117)</f>
        <v/>
      </c>
      <c r="AJ117" s="49"/>
      <c r="AK117" s="47" t="str">
        <f aca="false">IF($D117="","",IFERROR(MATCH($F117,Config!$A$13:$A$15,0),1))</f>
        <v/>
      </c>
      <c r="AL117" s="47" t="str">
        <f aca="false">IF(OR($D117="",$N117=""),"",IF($E117="LONG",$K117,$O117))</f>
        <v/>
      </c>
      <c r="AM117" s="47" t="str">
        <f aca="false">IF(OR($D117="",$N117=""),"",IF($E117="LONG",$O117,$K117))</f>
        <v/>
      </c>
    </row>
    <row r="118" customFormat="false" ht="15" hidden="false" customHeight="false" outlineLevel="0" collapsed="false">
      <c r="A118" s="49"/>
      <c r="B118" s="5" t="str">
        <f aca="false">IF($D118="","",IF(OR(RIGHT($A118,2)="-L",RIGHT($A118,2)="-S"),LEFT($A118,LEN($A118)-2),$A118))</f>
        <v/>
      </c>
      <c r="C118" s="50"/>
      <c r="D118" s="49"/>
      <c r="E118" s="49"/>
      <c r="F118" s="49"/>
      <c r="G118" s="45"/>
      <c r="H118" s="50"/>
      <c r="I118" s="45"/>
      <c r="J118" s="51"/>
      <c r="K118" s="40" t="str">
        <f aca="false">IF($D118="","",$I118*$J118)</f>
        <v/>
      </c>
      <c r="L118" s="50"/>
      <c r="M118" s="49"/>
      <c r="N118" s="45"/>
      <c r="O118" s="40" t="str">
        <f aca="false">IF(OR($D118="",$N118=""),"",$N118*$J118)</f>
        <v/>
      </c>
      <c r="P118" s="41" t="str">
        <f aca="false">IF(OR($D118="",$L118=""),"",MAX($L118-$H118,0))</f>
        <v/>
      </c>
      <c r="Q118" s="40" t="str">
        <f aca="false">IF(OR($D118="",$N118=""),"",IF($E118="LONG",($N118-$I118)*$J118,($I118-$N118)*$J118))</f>
        <v/>
      </c>
      <c r="R118" s="42" t="str">
        <f aca="false">IF(OR($D118="",$Q118="",$K118=0),"",$Q118/$K118)</f>
        <v/>
      </c>
      <c r="S118" s="43" t="str">
        <f aca="false">IF(OR($D118="",$N118=""),"",MIN(INDEX(Config!$C$13:$C$15,$AK118),INDEX(Config!$B$13:$B$15,$AK118)*$K118)+MIN(INDEX(Config!$C$13:$C$15,$AK118),INDEX(Config!$B$13:$B$15,$AK118)*$O118))</f>
        <v/>
      </c>
      <c r="T118" s="43" t="str">
        <f aca="false">IF(OR($D118="",$N118=""),"",INDEX(Config!$D$13:$D$15,$AK118)*$AL118+INDEX(Config!$E$13:$E$15,$AK118)*$AM118)</f>
        <v/>
      </c>
      <c r="U118" s="43" t="str">
        <f aca="false">IF(OR($D118="",$N118=""),"",INDEX(Config!$F$13:$F$15,$AK118)*($K118+$O118))</f>
        <v/>
      </c>
      <c r="V118" s="43" t="str">
        <f aca="false">IF(OR($D118="",$N118=""),"",INDEX(Config!$G$13:$G$15,$AK118)*($K118+$O118)+INDEX(Config!$H$13:$H$15,$AK118)*$AL118+INDEX(Config!$J$13:$J$15,$AK118))</f>
        <v/>
      </c>
      <c r="W118" s="43" t="str">
        <f aca="false">IF(OR($D118="",$N118=""),"",INDEX(Config!$I$13:$I$15,$AK118)*($S118+$U118+INDEX(Config!$G$13:$G$15,$AK118)*($K118+$O118)))</f>
        <v/>
      </c>
      <c r="X118" s="43" t="str">
        <f aca="false">IF(OR($D118="",$N118=""),"",INDEX(Config!$K$13:$K$15,$AK118)/365*$P118*$K118*Config!$B$8)</f>
        <v/>
      </c>
      <c r="Y118" s="43" t="str">
        <f aca="false">IF(OR($D118="",$N118=""),"",SUM($S118:$X118))</f>
        <v/>
      </c>
      <c r="Z118" s="40" t="str">
        <f aca="false">IF(OR($D118="",$Q118=""),"",$Q118-$Y118)</f>
        <v/>
      </c>
      <c r="AA118" s="42" t="str">
        <f aca="false">IF(OR($D118="",$Z118="",$K118=0),"",$Z118/$K118)</f>
        <v/>
      </c>
      <c r="AB118" s="44" t="str">
        <f aca="false">IF(OR($D118="",$Y118="",$K118=0),"",$Y118/$K118*10000)</f>
        <v/>
      </c>
      <c r="AC118" s="44" t="str">
        <f aca="false">IF(OR($D118="",$G118="",$G118=0,$I118=""),"",IF($E118="LONG",($I118-$G118)/$G118,($G118-$I118)/$G118)*10000)</f>
        <v/>
      </c>
      <c r="AD118" s="45"/>
      <c r="AE118" s="40" t="str">
        <f aca="false">IF(OR($D118="",$N118&lt;&gt;"",$AD118=""),"",IF($E118="LONG",($AD118-$I118)*$J118,($I118-$AD118)*$J118))</f>
        <v/>
      </c>
      <c r="AF118" s="40" t="str">
        <f aca="false">IF(OR($D118="",$E118&lt;&gt;"LONG",$Z118=""),"",$Z118+SUMIFS($Z$4:$Z$503,$B$4:$B$503,$B118,$E$4:$E$503,"SHORT"))</f>
        <v/>
      </c>
      <c r="AG118" s="42" t="str">
        <f aca="false">IF(OR($AF118="",$K118=0),"",$AF118/$K118)</f>
        <v/>
      </c>
      <c r="AH118" s="46"/>
      <c r="AI118" s="43" t="str">
        <f aca="false">IF(OR($D118="",$AH118="",$Z118=""),"",$Z118-$AH118)</f>
        <v/>
      </c>
      <c r="AJ118" s="49"/>
      <c r="AK118" s="47" t="str">
        <f aca="false">IF($D118="","",IFERROR(MATCH($F118,Config!$A$13:$A$15,0),1))</f>
        <v/>
      </c>
      <c r="AL118" s="47" t="str">
        <f aca="false">IF(OR($D118="",$N118=""),"",IF($E118="LONG",$K118,$O118))</f>
        <v/>
      </c>
      <c r="AM118" s="47" t="str">
        <f aca="false">IF(OR($D118="",$N118=""),"",IF($E118="LONG",$O118,$K118))</f>
        <v/>
      </c>
    </row>
    <row r="119" customFormat="false" ht="15" hidden="false" customHeight="false" outlineLevel="0" collapsed="false">
      <c r="A119" s="49"/>
      <c r="B119" s="5" t="str">
        <f aca="false">IF($D119="","",IF(OR(RIGHT($A119,2)="-L",RIGHT($A119,2)="-S"),LEFT($A119,LEN($A119)-2),$A119))</f>
        <v/>
      </c>
      <c r="C119" s="50"/>
      <c r="D119" s="49"/>
      <c r="E119" s="49"/>
      <c r="F119" s="49"/>
      <c r="G119" s="45"/>
      <c r="H119" s="50"/>
      <c r="I119" s="45"/>
      <c r="J119" s="51"/>
      <c r="K119" s="40" t="str">
        <f aca="false">IF($D119="","",$I119*$J119)</f>
        <v/>
      </c>
      <c r="L119" s="50"/>
      <c r="M119" s="49"/>
      <c r="N119" s="45"/>
      <c r="O119" s="40" t="str">
        <f aca="false">IF(OR($D119="",$N119=""),"",$N119*$J119)</f>
        <v/>
      </c>
      <c r="P119" s="41" t="str">
        <f aca="false">IF(OR($D119="",$L119=""),"",MAX($L119-$H119,0))</f>
        <v/>
      </c>
      <c r="Q119" s="40" t="str">
        <f aca="false">IF(OR($D119="",$N119=""),"",IF($E119="LONG",($N119-$I119)*$J119,($I119-$N119)*$J119))</f>
        <v/>
      </c>
      <c r="R119" s="42" t="str">
        <f aca="false">IF(OR($D119="",$Q119="",$K119=0),"",$Q119/$K119)</f>
        <v/>
      </c>
      <c r="S119" s="43" t="str">
        <f aca="false">IF(OR($D119="",$N119=""),"",MIN(INDEX(Config!$C$13:$C$15,$AK119),INDEX(Config!$B$13:$B$15,$AK119)*$K119)+MIN(INDEX(Config!$C$13:$C$15,$AK119),INDEX(Config!$B$13:$B$15,$AK119)*$O119))</f>
        <v/>
      </c>
      <c r="T119" s="43" t="str">
        <f aca="false">IF(OR($D119="",$N119=""),"",INDEX(Config!$D$13:$D$15,$AK119)*$AL119+INDEX(Config!$E$13:$E$15,$AK119)*$AM119)</f>
        <v/>
      </c>
      <c r="U119" s="43" t="str">
        <f aca="false">IF(OR($D119="",$N119=""),"",INDEX(Config!$F$13:$F$15,$AK119)*($K119+$O119))</f>
        <v/>
      </c>
      <c r="V119" s="43" t="str">
        <f aca="false">IF(OR($D119="",$N119=""),"",INDEX(Config!$G$13:$G$15,$AK119)*($K119+$O119)+INDEX(Config!$H$13:$H$15,$AK119)*$AL119+INDEX(Config!$J$13:$J$15,$AK119))</f>
        <v/>
      </c>
      <c r="W119" s="43" t="str">
        <f aca="false">IF(OR($D119="",$N119=""),"",INDEX(Config!$I$13:$I$15,$AK119)*($S119+$U119+INDEX(Config!$G$13:$G$15,$AK119)*($K119+$O119)))</f>
        <v/>
      </c>
      <c r="X119" s="43" t="str">
        <f aca="false">IF(OR($D119="",$N119=""),"",INDEX(Config!$K$13:$K$15,$AK119)/365*$P119*$K119*Config!$B$8)</f>
        <v/>
      </c>
      <c r="Y119" s="43" t="str">
        <f aca="false">IF(OR($D119="",$N119=""),"",SUM($S119:$X119))</f>
        <v/>
      </c>
      <c r="Z119" s="40" t="str">
        <f aca="false">IF(OR($D119="",$Q119=""),"",$Q119-$Y119)</f>
        <v/>
      </c>
      <c r="AA119" s="42" t="str">
        <f aca="false">IF(OR($D119="",$Z119="",$K119=0),"",$Z119/$K119)</f>
        <v/>
      </c>
      <c r="AB119" s="44" t="str">
        <f aca="false">IF(OR($D119="",$Y119="",$K119=0),"",$Y119/$K119*10000)</f>
        <v/>
      </c>
      <c r="AC119" s="44" t="str">
        <f aca="false">IF(OR($D119="",$G119="",$G119=0,$I119=""),"",IF($E119="LONG",($I119-$G119)/$G119,($G119-$I119)/$G119)*10000)</f>
        <v/>
      </c>
      <c r="AD119" s="45"/>
      <c r="AE119" s="40" t="str">
        <f aca="false">IF(OR($D119="",$N119&lt;&gt;"",$AD119=""),"",IF($E119="LONG",($AD119-$I119)*$J119,($I119-$AD119)*$J119))</f>
        <v/>
      </c>
      <c r="AF119" s="40" t="str">
        <f aca="false">IF(OR($D119="",$E119&lt;&gt;"LONG",$Z119=""),"",$Z119+SUMIFS($Z$4:$Z$503,$B$4:$B$503,$B119,$E$4:$E$503,"SHORT"))</f>
        <v/>
      </c>
      <c r="AG119" s="42" t="str">
        <f aca="false">IF(OR($AF119="",$K119=0),"",$AF119/$K119)</f>
        <v/>
      </c>
      <c r="AH119" s="46"/>
      <c r="AI119" s="43" t="str">
        <f aca="false">IF(OR($D119="",$AH119="",$Z119=""),"",$Z119-$AH119)</f>
        <v/>
      </c>
      <c r="AJ119" s="49"/>
      <c r="AK119" s="47" t="str">
        <f aca="false">IF($D119="","",IFERROR(MATCH($F119,Config!$A$13:$A$15,0),1))</f>
        <v/>
      </c>
      <c r="AL119" s="47" t="str">
        <f aca="false">IF(OR($D119="",$N119=""),"",IF($E119="LONG",$K119,$O119))</f>
        <v/>
      </c>
      <c r="AM119" s="47" t="str">
        <f aca="false">IF(OR($D119="",$N119=""),"",IF($E119="LONG",$O119,$K119))</f>
        <v/>
      </c>
    </row>
    <row r="120" customFormat="false" ht="15" hidden="false" customHeight="false" outlineLevel="0" collapsed="false">
      <c r="A120" s="49"/>
      <c r="B120" s="5" t="str">
        <f aca="false">IF($D120="","",IF(OR(RIGHT($A120,2)="-L",RIGHT($A120,2)="-S"),LEFT($A120,LEN($A120)-2),$A120))</f>
        <v/>
      </c>
      <c r="C120" s="50"/>
      <c r="D120" s="49"/>
      <c r="E120" s="49"/>
      <c r="F120" s="49"/>
      <c r="G120" s="45"/>
      <c r="H120" s="50"/>
      <c r="I120" s="45"/>
      <c r="J120" s="51"/>
      <c r="K120" s="40" t="str">
        <f aca="false">IF($D120="","",$I120*$J120)</f>
        <v/>
      </c>
      <c r="L120" s="50"/>
      <c r="M120" s="49"/>
      <c r="N120" s="45"/>
      <c r="O120" s="40" t="str">
        <f aca="false">IF(OR($D120="",$N120=""),"",$N120*$J120)</f>
        <v/>
      </c>
      <c r="P120" s="41" t="str">
        <f aca="false">IF(OR($D120="",$L120=""),"",MAX($L120-$H120,0))</f>
        <v/>
      </c>
      <c r="Q120" s="40" t="str">
        <f aca="false">IF(OR($D120="",$N120=""),"",IF($E120="LONG",($N120-$I120)*$J120,($I120-$N120)*$J120))</f>
        <v/>
      </c>
      <c r="R120" s="42" t="str">
        <f aca="false">IF(OR($D120="",$Q120="",$K120=0),"",$Q120/$K120)</f>
        <v/>
      </c>
      <c r="S120" s="43" t="str">
        <f aca="false">IF(OR($D120="",$N120=""),"",MIN(INDEX(Config!$C$13:$C$15,$AK120),INDEX(Config!$B$13:$B$15,$AK120)*$K120)+MIN(INDEX(Config!$C$13:$C$15,$AK120),INDEX(Config!$B$13:$B$15,$AK120)*$O120))</f>
        <v/>
      </c>
      <c r="T120" s="43" t="str">
        <f aca="false">IF(OR($D120="",$N120=""),"",INDEX(Config!$D$13:$D$15,$AK120)*$AL120+INDEX(Config!$E$13:$E$15,$AK120)*$AM120)</f>
        <v/>
      </c>
      <c r="U120" s="43" t="str">
        <f aca="false">IF(OR($D120="",$N120=""),"",INDEX(Config!$F$13:$F$15,$AK120)*($K120+$O120))</f>
        <v/>
      </c>
      <c r="V120" s="43" t="str">
        <f aca="false">IF(OR($D120="",$N120=""),"",INDEX(Config!$G$13:$G$15,$AK120)*($K120+$O120)+INDEX(Config!$H$13:$H$15,$AK120)*$AL120+INDEX(Config!$J$13:$J$15,$AK120))</f>
        <v/>
      </c>
      <c r="W120" s="43" t="str">
        <f aca="false">IF(OR($D120="",$N120=""),"",INDEX(Config!$I$13:$I$15,$AK120)*($S120+$U120+INDEX(Config!$G$13:$G$15,$AK120)*($K120+$O120)))</f>
        <v/>
      </c>
      <c r="X120" s="43" t="str">
        <f aca="false">IF(OR($D120="",$N120=""),"",INDEX(Config!$K$13:$K$15,$AK120)/365*$P120*$K120*Config!$B$8)</f>
        <v/>
      </c>
      <c r="Y120" s="43" t="str">
        <f aca="false">IF(OR($D120="",$N120=""),"",SUM($S120:$X120))</f>
        <v/>
      </c>
      <c r="Z120" s="40" t="str">
        <f aca="false">IF(OR($D120="",$Q120=""),"",$Q120-$Y120)</f>
        <v/>
      </c>
      <c r="AA120" s="42" t="str">
        <f aca="false">IF(OR($D120="",$Z120="",$K120=0),"",$Z120/$K120)</f>
        <v/>
      </c>
      <c r="AB120" s="44" t="str">
        <f aca="false">IF(OR($D120="",$Y120="",$K120=0),"",$Y120/$K120*10000)</f>
        <v/>
      </c>
      <c r="AC120" s="44" t="str">
        <f aca="false">IF(OR($D120="",$G120="",$G120=0,$I120=""),"",IF($E120="LONG",($I120-$G120)/$G120,($G120-$I120)/$G120)*10000)</f>
        <v/>
      </c>
      <c r="AD120" s="45"/>
      <c r="AE120" s="40" t="str">
        <f aca="false">IF(OR($D120="",$N120&lt;&gt;"",$AD120=""),"",IF($E120="LONG",($AD120-$I120)*$J120,($I120-$AD120)*$J120))</f>
        <v/>
      </c>
      <c r="AF120" s="40" t="str">
        <f aca="false">IF(OR($D120="",$E120&lt;&gt;"LONG",$Z120=""),"",$Z120+SUMIFS($Z$4:$Z$503,$B$4:$B$503,$B120,$E$4:$E$503,"SHORT"))</f>
        <v/>
      </c>
      <c r="AG120" s="42" t="str">
        <f aca="false">IF(OR($AF120="",$K120=0),"",$AF120/$K120)</f>
        <v/>
      </c>
      <c r="AH120" s="46"/>
      <c r="AI120" s="43" t="str">
        <f aca="false">IF(OR($D120="",$AH120="",$Z120=""),"",$Z120-$AH120)</f>
        <v/>
      </c>
      <c r="AJ120" s="49"/>
      <c r="AK120" s="47" t="str">
        <f aca="false">IF($D120="","",IFERROR(MATCH($F120,Config!$A$13:$A$15,0),1))</f>
        <v/>
      </c>
      <c r="AL120" s="47" t="str">
        <f aca="false">IF(OR($D120="",$N120=""),"",IF($E120="LONG",$K120,$O120))</f>
        <v/>
      </c>
      <c r="AM120" s="47" t="str">
        <f aca="false">IF(OR($D120="",$N120=""),"",IF($E120="LONG",$O120,$K120))</f>
        <v/>
      </c>
    </row>
    <row r="121" customFormat="false" ht="15" hidden="false" customHeight="false" outlineLevel="0" collapsed="false">
      <c r="A121" s="49"/>
      <c r="B121" s="5" t="str">
        <f aca="false">IF($D121="","",IF(OR(RIGHT($A121,2)="-L",RIGHT($A121,2)="-S"),LEFT($A121,LEN($A121)-2),$A121))</f>
        <v/>
      </c>
      <c r="C121" s="50"/>
      <c r="D121" s="49"/>
      <c r="E121" s="49"/>
      <c r="F121" s="49"/>
      <c r="G121" s="45"/>
      <c r="H121" s="50"/>
      <c r="I121" s="45"/>
      <c r="J121" s="51"/>
      <c r="K121" s="40" t="str">
        <f aca="false">IF($D121="","",$I121*$J121)</f>
        <v/>
      </c>
      <c r="L121" s="50"/>
      <c r="M121" s="49"/>
      <c r="N121" s="45"/>
      <c r="O121" s="40" t="str">
        <f aca="false">IF(OR($D121="",$N121=""),"",$N121*$J121)</f>
        <v/>
      </c>
      <c r="P121" s="41" t="str">
        <f aca="false">IF(OR($D121="",$L121=""),"",MAX($L121-$H121,0))</f>
        <v/>
      </c>
      <c r="Q121" s="40" t="str">
        <f aca="false">IF(OR($D121="",$N121=""),"",IF($E121="LONG",($N121-$I121)*$J121,($I121-$N121)*$J121))</f>
        <v/>
      </c>
      <c r="R121" s="42" t="str">
        <f aca="false">IF(OR($D121="",$Q121="",$K121=0),"",$Q121/$K121)</f>
        <v/>
      </c>
      <c r="S121" s="43" t="str">
        <f aca="false">IF(OR($D121="",$N121=""),"",MIN(INDEX(Config!$C$13:$C$15,$AK121),INDEX(Config!$B$13:$B$15,$AK121)*$K121)+MIN(INDEX(Config!$C$13:$C$15,$AK121),INDEX(Config!$B$13:$B$15,$AK121)*$O121))</f>
        <v/>
      </c>
      <c r="T121" s="43" t="str">
        <f aca="false">IF(OR($D121="",$N121=""),"",INDEX(Config!$D$13:$D$15,$AK121)*$AL121+INDEX(Config!$E$13:$E$15,$AK121)*$AM121)</f>
        <v/>
      </c>
      <c r="U121" s="43" t="str">
        <f aca="false">IF(OR($D121="",$N121=""),"",INDEX(Config!$F$13:$F$15,$AK121)*($K121+$O121))</f>
        <v/>
      </c>
      <c r="V121" s="43" t="str">
        <f aca="false">IF(OR($D121="",$N121=""),"",INDEX(Config!$G$13:$G$15,$AK121)*($K121+$O121)+INDEX(Config!$H$13:$H$15,$AK121)*$AL121+INDEX(Config!$J$13:$J$15,$AK121))</f>
        <v/>
      </c>
      <c r="W121" s="43" t="str">
        <f aca="false">IF(OR($D121="",$N121=""),"",INDEX(Config!$I$13:$I$15,$AK121)*($S121+$U121+INDEX(Config!$G$13:$G$15,$AK121)*($K121+$O121)))</f>
        <v/>
      </c>
      <c r="X121" s="43" t="str">
        <f aca="false">IF(OR($D121="",$N121=""),"",INDEX(Config!$K$13:$K$15,$AK121)/365*$P121*$K121*Config!$B$8)</f>
        <v/>
      </c>
      <c r="Y121" s="43" t="str">
        <f aca="false">IF(OR($D121="",$N121=""),"",SUM($S121:$X121))</f>
        <v/>
      </c>
      <c r="Z121" s="40" t="str">
        <f aca="false">IF(OR($D121="",$Q121=""),"",$Q121-$Y121)</f>
        <v/>
      </c>
      <c r="AA121" s="42" t="str">
        <f aca="false">IF(OR($D121="",$Z121="",$K121=0),"",$Z121/$K121)</f>
        <v/>
      </c>
      <c r="AB121" s="44" t="str">
        <f aca="false">IF(OR($D121="",$Y121="",$K121=0),"",$Y121/$K121*10000)</f>
        <v/>
      </c>
      <c r="AC121" s="44" t="str">
        <f aca="false">IF(OR($D121="",$G121="",$G121=0,$I121=""),"",IF($E121="LONG",($I121-$G121)/$G121,($G121-$I121)/$G121)*10000)</f>
        <v/>
      </c>
      <c r="AD121" s="45"/>
      <c r="AE121" s="40" t="str">
        <f aca="false">IF(OR($D121="",$N121&lt;&gt;"",$AD121=""),"",IF($E121="LONG",($AD121-$I121)*$J121,($I121-$AD121)*$J121))</f>
        <v/>
      </c>
      <c r="AF121" s="40" t="str">
        <f aca="false">IF(OR($D121="",$E121&lt;&gt;"LONG",$Z121=""),"",$Z121+SUMIFS($Z$4:$Z$503,$B$4:$B$503,$B121,$E$4:$E$503,"SHORT"))</f>
        <v/>
      </c>
      <c r="AG121" s="42" t="str">
        <f aca="false">IF(OR($AF121="",$K121=0),"",$AF121/$K121)</f>
        <v/>
      </c>
      <c r="AH121" s="46"/>
      <c r="AI121" s="43" t="str">
        <f aca="false">IF(OR($D121="",$AH121="",$Z121=""),"",$Z121-$AH121)</f>
        <v/>
      </c>
      <c r="AJ121" s="49"/>
      <c r="AK121" s="47" t="str">
        <f aca="false">IF($D121="","",IFERROR(MATCH($F121,Config!$A$13:$A$15,0),1))</f>
        <v/>
      </c>
      <c r="AL121" s="47" t="str">
        <f aca="false">IF(OR($D121="",$N121=""),"",IF($E121="LONG",$K121,$O121))</f>
        <v/>
      </c>
      <c r="AM121" s="47" t="str">
        <f aca="false">IF(OR($D121="",$N121=""),"",IF($E121="LONG",$O121,$K121))</f>
        <v/>
      </c>
    </row>
    <row r="122" customFormat="false" ht="15" hidden="false" customHeight="false" outlineLevel="0" collapsed="false">
      <c r="A122" s="49"/>
      <c r="B122" s="5" t="str">
        <f aca="false">IF($D122="","",IF(OR(RIGHT($A122,2)="-L",RIGHT($A122,2)="-S"),LEFT($A122,LEN($A122)-2),$A122))</f>
        <v/>
      </c>
      <c r="C122" s="50"/>
      <c r="D122" s="49"/>
      <c r="E122" s="49"/>
      <c r="F122" s="49"/>
      <c r="G122" s="45"/>
      <c r="H122" s="50"/>
      <c r="I122" s="45"/>
      <c r="J122" s="51"/>
      <c r="K122" s="40" t="str">
        <f aca="false">IF($D122="","",$I122*$J122)</f>
        <v/>
      </c>
      <c r="L122" s="50"/>
      <c r="M122" s="49"/>
      <c r="N122" s="45"/>
      <c r="O122" s="40" t="str">
        <f aca="false">IF(OR($D122="",$N122=""),"",$N122*$J122)</f>
        <v/>
      </c>
      <c r="P122" s="41" t="str">
        <f aca="false">IF(OR($D122="",$L122=""),"",MAX($L122-$H122,0))</f>
        <v/>
      </c>
      <c r="Q122" s="40" t="str">
        <f aca="false">IF(OR($D122="",$N122=""),"",IF($E122="LONG",($N122-$I122)*$J122,($I122-$N122)*$J122))</f>
        <v/>
      </c>
      <c r="R122" s="42" t="str">
        <f aca="false">IF(OR($D122="",$Q122="",$K122=0),"",$Q122/$K122)</f>
        <v/>
      </c>
      <c r="S122" s="43" t="str">
        <f aca="false">IF(OR($D122="",$N122=""),"",MIN(INDEX(Config!$C$13:$C$15,$AK122),INDEX(Config!$B$13:$B$15,$AK122)*$K122)+MIN(INDEX(Config!$C$13:$C$15,$AK122),INDEX(Config!$B$13:$B$15,$AK122)*$O122))</f>
        <v/>
      </c>
      <c r="T122" s="43" t="str">
        <f aca="false">IF(OR($D122="",$N122=""),"",INDEX(Config!$D$13:$D$15,$AK122)*$AL122+INDEX(Config!$E$13:$E$15,$AK122)*$AM122)</f>
        <v/>
      </c>
      <c r="U122" s="43" t="str">
        <f aca="false">IF(OR($D122="",$N122=""),"",INDEX(Config!$F$13:$F$15,$AK122)*($K122+$O122))</f>
        <v/>
      </c>
      <c r="V122" s="43" t="str">
        <f aca="false">IF(OR($D122="",$N122=""),"",INDEX(Config!$G$13:$G$15,$AK122)*($K122+$O122)+INDEX(Config!$H$13:$H$15,$AK122)*$AL122+INDEX(Config!$J$13:$J$15,$AK122))</f>
        <v/>
      </c>
      <c r="W122" s="43" t="str">
        <f aca="false">IF(OR($D122="",$N122=""),"",INDEX(Config!$I$13:$I$15,$AK122)*($S122+$U122+INDEX(Config!$G$13:$G$15,$AK122)*($K122+$O122)))</f>
        <v/>
      </c>
      <c r="X122" s="43" t="str">
        <f aca="false">IF(OR($D122="",$N122=""),"",INDEX(Config!$K$13:$K$15,$AK122)/365*$P122*$K122*Config!$B$8)</f>
        <v/>
      </c>
      <c r="Y122" s="43" t="str">
        <f aca="false">IF(OR($D122="",$N122=""),"",SUM($S122:$X122))</f>
        <v/>
      </c>
      <c r="Z122" s="40" t="str">
        <f aca="false">IF(OR($D122="",$Q122=""),"",$Q122-$Y122)</f>
        <v/>
      </c>
      <c r="AA122" s="42" t="str">
        <f aca="false">IF(OR($D122="",$Z122="",$K122=0),"",$Z122/$K122)</f>
        <v/>
      </c>
      <c r="AB122" s="44" t="str">
        <f aca="false">IF(OR($D122="",$Y122="",$K122=0),"",$Y122/$K122*10000)</f>
        <v/>
      </c>
      <c r="AC122" s="44" t="str">
        <f aca="false">IF(OR($D122="",$G122="",$G122=0,$I122=""),"",IF($E122="LONG",($I122-$G122)/$G122,($G122-$I122)/$G122)*10000)</f>
        <v/>
      </c>
      <c r="AD122" s="45"/>
      <c r="AE122" s="40" t="str">
        <f aca="false">IF(OR($D122="",$N122&lt;&gt;"",$AD122=""),"",IF($E122="LONG",($AD122-$I122)*$J122,($I122-$AD122)*$J122))</f>
        <v/>
      </c>
      <c r="AF122" s="40" t="str">
        <f aca="false">IF(OR($D122="",$E122&lt;&gt;"LONG",$Z122=""),"",$Z122+SUMIFS($Z$4:$Z$503,$B$4:$B$503,$B122,$E$4:$E$503,"SHORT"))</f>
        <v/>
      </c>
      <c r="AG122" s="42" t="str">
        <f aca="false">IF(OR($AF122="",$K122=0),"",$AF122/$K122)</f>
        <v/>
      </c>
      <c r="AH122" s="46"/>
      <c r="AI122" s="43" t="str">
        <f aca="false">IF(OR($D122="",$AH122="",$Z122=""),"",$Z122-$AH122)</f>
        <v/>
      </c>
      <c r="AJ122" s="49"/>
      <c r="AK122" s="47" t="str">
        <f aca="false">IF($D122="","",IFERROR(MATCH($F122,Config!$A$13:$A$15,0),1))</f>
        <v/>
      </c>
      <c r="AL122" s="47" t="str">
        <f aca="false">IF(OR($D122="",$N122=""),"",IF($E122="LONG",$K122,$O122))</f>
        <v/>
      </c>
      <c r="AM122" s="47" t="str">
        <f aca="false">IF(OR($D122="",$N122=""),"",IF($E122="LONG",$O122,$K122))</f>
        <v/>
      </c>
    </row>
    <row r="123" customFormat="false" ht="15" hidden="false" customHeight="false" outlineLevel="0" collapsed="false">
      <c r="A123" s="49"/>
      <c r="B123" s="5" t="str">
        <f aca="false">IF($D123="","",IF(OR(RIGHT($A123,2)="-L",RIGHT($A123,2)="-S"),LEFT($A123,LEN($A123)-2),$A123))</f>
        <v/>
      </c>
      <c r="C123" s="50"/>
      <c r="D123" s="49"/>
      <c r="E123" s="49"/>
      <c r="F123" s="49"/>
      <c r="G123" s="45"/>
      <c r="H123" s="50"/>
      <c r="I123" s="45"/>
      <c r="J123" s="51"/>
      <c r="K123" s="40" t="str">
        <f aca="false">IF($D123="","",$I123*$J123)</f>
        <v/>
      </c>
      <c r="L123" s="50"/>
      <c r="M123" s="49"/>
      <c r="N123" s="45"/>
      <c r="O123" s="40" t="str">
        <f aca="false">IF(OR($D123="",$N123=""),"",$N123*$J123)</f>
        <v/>
      </c>
      <c r="P123" s="41" t="str">
        <f aca="false">IF(OR($D123="",$L123=""),"",MAX($L123-$H123,0))</f>
        <v/>
      </c>
      <c r="Q123" s="40" t="str">
        <f aca="false">IF(OR($D123="",$N123=""),"",IF($E123="LONG",($N123-$I123)*$J123,($I123-$N123)*$J123))</f>
        <v/>
      </c>
      <c r="R123" s="42" t="str">
        <f aca="false">IF(OR($D123="",$Q123="",$K123=0),"",$Q123/$K123)</f>
        <v/>
      </c>
      <c r="S123" s="43" t="str">
        <f aca="false">IF(OR($D123="",$N123=""),"",MIN(INDEX(Config!$C$13:$C$15,$AK123),INDEX(Config!$B$13:$B$15,$AK123)*$K123)+MIN(INDEX(Config!$C$13:$C$15,$AK123),INDEX(Config!$B$13:$B$15,$AK123)*$O123))</f>
        <v/>
      </c>
      <c r="T123" s="43" t="str">
        <f aca="false">IF(OR($D123="",$N123=""),"",INDEX(Config!$D$13:$D$15,$AK123)*$AL123+INDEX(Config!$E$13:$E$15,$AK123)*$AM123)</f>
        <v/>
      </c>
      <c r="U123" s="43" t="str">
        <f aca="false">IF(OR($D123="",$N123=""),"",INDEX(Config!$F$13:$F$15,$AK123)*($K123+$O123))</f>
        <v/>
      </c>
      <c r="V123" s="43" t="str">
        <f aca="false">IF(OR($D123="",$N123=""),"",INDEX(Config!$G$13:$G$15,$AK123)*($K123+$O123)+INDEX(Config!$H$13:$H$15,$AK123)*$AL123+INDEX(Config!$J$13:$J$15,$AK123))</f>
        <v/>
      </c>
      <c r="W123" s="43" t="str">
        <f aca="false">IF(OR($D123="",$N123=""),"",INDEX(Config!$I$13:$I$15,$AK123)*($S123+$U123+INDEX(Config!$G$13:$G$15,$AK123)*($K123+$O123)))</f>
        <v/>
      </c>
      <c r="X123" s="43" t="str">
        <f aca="false">IF(OR($D123="",$N123=""),"",INDEX(Config!$K$13:$K$15,$AK123)/365*$P123*$K123*Config!$B$8)</f>
        <v/>
      </c>
      <c r="Y123" s="43" t="str">
        <f aca="false">IF(OR($D123="",$N123=""),"",SUM($S123:$X123))</f>
        <v/>
      </c>
      <c r="Z123" s="40" t="str">
        <f aca="false">IF(OR($D123="",$Q123=""),"",$Q123-$Y123)</f>
        <v/>
      </c>
      <c r="AA123" s="42" t="str">
        <f aca="false">IF(OR($D123="",$Z123="",$K123=0),"",$Z123/$K123)</f>
        <v/>
      </c>
      <c r="AB123" s="44" t="str">
        <f aca="false">IF(OR($D123="",$Y123="",$K123=0),"",$Y123/$K123*10000)</f>
        <v/>
      </c>
      <c r="AC123" s="44" t="str">
        <f aca="false">IF(OR($D123="",$G123="",$G123=0,$I123=""),"",IF($E123="LONG",($I123-$G123)/$G123,($G123-$I123)/$G123)*10000)</f>
        <v/>
      </c>
      <c r="AD123" s="45"/>
      <c r="AE123" s="40" t="str">
        <f aca="false">IF(OR($D123="",$N123&lt;&gt;"",$AD123=""),"",IF($E123="LONG",($AD123-$I123)*$J123,($I123-$AD123)*$J123))</f>
        <v/>
      </c>
      <c r="AF123" s="40" t="str">
        <f aca="false">IF(OR($D123="",$E123&lt;&gt;"LONG",$Z123=""),"",$Z123+SUMIFS($Z$4:$Z$503,$B$4:$B$503,$B123,$E$4:$E$503,"SHORT"))</f>
        <v/>
      </c>
      <c r="AG123" s="42" t="str">
        <f aca="false">IF(OR($AF123="",$K123=0),"",$AF123/$K123)</f>
        <v/>
      </c>
      <c r="AH123" s="46"/>
      <c r="AI123" s="43" t="str">
        <f aca="false">IF(OR($D123="",$AH123="",$Z123=""),"",$Z123-$AH123)</f>
        <v/>
      </c>
      <c r="AJ123" s="49"/>
      <c r="AK123" s="47" t="str">
        <f aca="false">IF($D123="","",IFERROR(MATCH($F123,Config!$A$13:$A$15,0),1))</f>
        <v/>
      </c>
      <c r="AL123" s="47" t="str">
        <f aca="false">IF(OR($D123="",$N123=""),"",IF($E123="LONG",$K123,$O123))</f>
        <v/>
      </c>
      <c r="AM123" s="47" t="str">
        <f aca="false">IF(OR($D123="",$N123=""),"",IF($E123="LONG",$O123,$K123))</f>
        <v/>
      </c>
    </row>
    <row r="124" customFormat="false" ht="15" hidden="false" customHeight="false" outlineLevel="0" collapsed="false">
      <c r="A124" s="49"/>
      <c r="B124" s="5" t="str">
        <f aca="false">IF($D124="","",IF(OR(RIGHT($A124,2)="-L",RIGHT($A124,2)="-S"),LEFT($A124,LEN($A124)-2),$A124))</f>
        <v/>
      </c>
      <c r="C124" s="50"/>
      <c r="D124" s="49"/>
      <c r="E124" s="49"/>
      <c r="F124" s="49"/>
      <c r="G124" s="45"/>
      <c r="H124" s="50"/>
      <c r="I124" s="45"/>
      <c r="J124" s="51"/>
      <c r="K124" s="40" t="str">
        <f aca="false">IF($D124="","",$I124*$J124)</f>
        <v/>
      </c>
      <c r="L124" s="50"/>
      <c r="M124" s="49"/>
      <c r="N124" s="45"/>
      <c r="O124" s="40" t="str">
        <f aca="false">IF(OR($D124="",$N124=""),"",$N124*$J124)</f>
        <v/>
      </c>
      <c r="P124" s="41" t="str">
        <f aca="false">IF(OR($D124="",$L124=""),"",MAX($L124-$H124,0))</f>
        <v/>
      </c>
      <c r="Q124" s="40" t="str">
        <f aca="false">IF(OR($D124="",$N124=""),"",IF($E124="LONG",($N124-$I124)*$J124,($I124-$N124)*$J124))</f>
        <v/>
      </c>
      <c r="R124" s="42" t="str">
        <f aca="false">IF(OR($D124="",$Q124="",$K124=0),"",$Q124/$K124)</f>
        <v/>
      </c>
      <c r="S124" s="43" t="str">
        <f aca="false">IF(OR($D124="",$N124=""),"",MIN(INDEX(Config!$C$13:$C$15,$AK124),INDEX(Config!$B$13:$B$15,$AK124)*$K124)+MIN(INDEX(Config!$C$13:$C$15,$AK124),INDEX(Config!$B$13:$B$15,$AK124)*$O124))</f>
        <v/>
      </c>
      <c r="T124" s="43" t="str">
        <f aca="false">IF(OR($D124="",$N124=""),"",INDEX(Config!$D$13:$D$15,$AK124)*$AL124+INDEX(Config!$E$13:$E$15,$AK124)*$AM124)</f>
        <v/>
      </c>
      <c r="U124" s="43" t="str">
        <f aca="false">IF(OR($D124="",$N124=""),"",INDEX(Config!$F$13:$F$15,$AK124)*($K124+$O124))</f>
        <v/>
      </c>
      <c r="V124" s="43" t="str">
        <f aca="false">IF(OR($D124="",$N124=""),"",INDEX(Config!$G$13:$G$15,$AK124)*($K124+$O124)+INDEX(Config!$H$13:$H$15,$AK124)*$AL124+INDEX(Config!$J$13:$J$15,$AK124))</f>
        <v/>
      </c>
      <c r="W124" s="43" t="str">
        <f aca="false">IF(OR($D124="",$N124=""),"",INDEX(Config!$I$13:$I$15,$AK124)*($S124+$U124+INDEX(Config!$G$13:$G$15,$AK124)*($K124+$O124)))</f>
        <v/>
      </c>
      <c r="X124" s="43" t="str">
        <f aca="false">IF(OR($D124="",$N124=""),"",INDEX(Config!$K$13:$K$15,$AK124)/365*$P124*$K124*Config!$B$8)</f>
        <v/>
      </c>
      <c r="Y124" s="43" t="str">
        <f aca="false">IF(OR($D124="",$N124=""),"",SUM($S124:$X124))</f>
        <v/>
      </c>
      <c r="Z124" s="40" t="str">
        <f aca="false">IF(OR($D124="",$Q124=""),"",$Q124-$Y124)</f>
        <v/>
      </c>
      <c r="AA124" s="42" t="str">
        <f aca="false">IF(OR($D124="",$Z124="",$K124=0),"",$Z124/$K124)</f>
        <v/>
      </c>
      <c r="AB124" s="44" t="str">
        <f aca="false">IF(OR($D124="",$Y124="",$K124=0),"",$Y124/$K124*10000)</f>
        <v/>
      </c>
      <c r="AC124" s="44" t="str">
        <f aca="false">IF(OR($D124="",$G124="",$G124=0,$I124=""),"",IF($E124="LONG",($I124-$G124)/$G124,($G124-$I124)/$G124)*10000)</f>
        <v/>
      </c>
      <c r="AD124" s="45"/>
      <c r="AE124" s="40" t="str">
        <f aca="false">IF(OR($D124="",$N124&lt;&gt;"",$AD124=""),"",IF($E124="LONG",($AD124-$I124)*$J124,($I124-$AD124)*$J124))</f>
        <v/>
      </c>
      <c r="AF124" s="40" t="str">
        <f aca="false">IF(OR($D124="",$E124&lt;&gt;"LONG",$Z124=""),"",$Z124+SUMIFS($Z$4:$Z$503,$B$4:$B$503,$B124,$E$4:$E$503,"SHORT"))</f>
        <v/>
      </c>
      <c r="AG124" s="42" t="str">
        <f aca="false">IF(OR($AF124="",$K124=0),"",$AF124/$K124)</f>
        <v/>
      </c>
      <c r="AH124" s="46"/>
      <c r="AI124" s="43" t="str">
        <f aca="false">IF(OR($D124="",$AH124="",$Z124=""),"",$Z124-$AH124)</f>
        <v/>
      </c>
      <c r="AJ124" s="49"/>
      <c r="AK124" s="47" t="str">
        <f aca="false">IF($D124="","",IFERROR(MATCH($F124,Config!$A$13:$A$15,0),1))</f>
        <v/>
      </c>
      <c r="AL124" s="47" t="str">
        <f aca="false">IF(OR($D124="",$N124=""),"",IF($E124="LONG",$K124,$O124))</f>
        <v/>
      </c>
      <c r="AM124" s="47" t="str">
        <f aca="false">IF(OR($D124="",$N124=""),"",IF($E124="LONG",$O124,$K124))</f>
        <v/>
      </c>
    </row>
    <row r="125" customFormat="false" ht="15" hidden="false" customHeight="false" outlineLevel="0" collapsed="false">
      <c r="A125" s="49"/>
      <c r="B125" s="5" t="str">
        <f aca="false">IF($D125="","",IF(OR(RIGHT($A125,2)="-L",RIGHT($A125,2)="-S"),LEFT($A125,LEN($A125)-2),$A125))</f>
        <v/>
      </c>
      <c r="C125" s="50"/>
      <c r="D125" s="49"/>
      <c r="E125" s="49"/>
      <c r="F125" s="49"/>
      <c r="G125" s="45"/>
      <c r="H125" s="50"/>
      <c r="I125" s="45"/>
      <c r="J125" s="51"/>
      <c r="K125" s="40" t="str">
        <f aca="false">IF($D125="","",$I125*$J125)</f>
        <v/>
      </c>
      <c r="L125" s="50"/>
      <c r="M125" s="49"/>
      <c r="N125" s="45"/>
      <c r="O125" s="40" t="str">
        <f aca="false">IF(OR($D125="",$N125=""),"",$N125*$J125)</f>
        <v/>
      </c>
      <c r="P125" s="41" t="str">
        <f aca="false">IF(OR($D125="",$L125=""),"",MAX($L125-$H125,0))</f>
        <v/>
      </c>
      <c r="Q125" s="40" t="str">
        <f aca="false">IF(OR($D125="",$N125=""),"",IF($E125="LONG",($N125-$I125)*$J125,($I125-$N125)*$J125))</f>
        <v/>
      </c>
      <c r="R125" s="42" t="str">
        <f aca="false">IF(OR($D125="",$Q125="",$K125=0),"",$Q125/$K125)</f>
        <v/>
      </c>
      <c r="S125" s="43" t="str">
        <f aca="false">IF(OR($D125="",$N125=""),"",MIN(INDEX(Config!$C$13:$C$15,$AK125),INDEX(Config!$B$13:$B$15,$AK125)*$K125)+MIN(INDEX(Config!$C$13:$C$15,$AK125),INDEX(Config!$B$13:$B$15,$AK125)*$O125))</f>
        <v/>
      </c>
      <c r="T125" s="43" t="str">
        <f aca="false">IF(OR($D125="",$N125=""),"",INDEX(Config!$D$13:$D$15,$AK125)*$AL125+INDEX(Config!$E$13:$E$15,$AK125)*$AM125)</f>
        <v/>
      </c>
      <c r="U125" s="43" t="str">
        <f aca="false">IF(OR($D125="",$N125=""),"",INDEX(Config!$F$13:$F$15,$AK125)*($K125+$O125))</f>
        <v/>
      </c>
      <c r="V125" s="43" t="str">
        <f aca="false">IF(OR($D125="",$N125=""),"",INDEX(Config!$G$13:$G$15,$AK125)*($K125+$O125)+INDEX(Config!$H$13:$H$15,$AK125)*$AL125+INDEX(Config!$J$13:$J$15,$AK125))</f>
        <v/>
      </c>
      <c r="W125" s="43" t="str">
        <f aca="false">IF(OR($D125="",$N125=""),"",INDEX(Config!$I$13:$I$15,$AK125)*($S125+$U125+INDEX(Config!$G$13:$G$15,$AK125)*($K125+$O125)))</f>
        <v/>
      </c>
      <c r="X125" s="43" t="str">
        <f aca="false">IF(OR($D125="",$N125=""),"",INDEX(Config!$K$13:$K$15,$AK125)/365*$P125*$K125*Config!$B$8)</f>
        <v/>
      </c>
      <c r="Y125" s="43" t="str">
        <f aca="false">IF(OR($D125="",$N125=""),"",SUM($S125:$X125))</f>
        <v/>
      </c>
      <c r="Z125" s="40" t="str">
        <f aca="false">IF(OR($D125="",$Q125=""),"",$Q125-$Y125)</f>
        <v/>
      </c>
      <c r="AA125" s="42" t="str">
        <f aca="false">IF(OR($D125="",$Z125="",$K125=0),"",$Z125/$K125)</f>
        <v/>
      </c>
      <c r="AB125" s="44" t="str">
        <f aca="false">IF(OR($D125="",$Y125="",$K125=0),"",$Y125/$K125*10000)</f>
        <v/>
      </c>
      <c r="AC125" s="44" t="str">
        <f aca="false">IF(OR($D125="",$G125="",$G125=0,$I125=""),"",IF($E125="LONG",($I125-$G125)/$G125,($G125-$I125)/$G125)*10000)</f>
        <v/>
      </c>
      <c r="AD125" s="45"/>
      <c r="AE125" s="40" t="str">
        <f aca="false">IF(OR($D125="",$N125&lt;&gt;"",$AD125=""),"",IF($E125="LONG",($AD125-$I125)*$J125,($I125-$AD125)*$J125))</f>
        <v/>
      </c>
      <c r="AF125" s="40" t="str">
        <f aca="false">IF(OR($D125="",$E125&lt;&gt;"LONG",$Z125=""),"",$Z125+SUMIFS($Z$4:$Z$503,$B$4:$B$503,$B125,$E$4:$E$503,"SHORT"))</f>
        <v/>
      </c>
      <c r="AG125" s="42" t="str">
        <f aca="false">IF(OR($AF125="",$K125=0),"",$AF125/$K125)</f>
        <v/>
      </c>
      <c r="AH125" s="46"/>
      <c r="AI125" s="43" t="str">
        <f aca="false">IF(OR($D125="",$AH125="",$Z125=""),"",$Z125-$AH125)</f>
        <v/>
      </c>
      <c r="AJ125" s="49"/>
      <c r="AK125" s="47" t="str">
        <f aca="false">IF($D125="","",IFERROR(MATCH($F125,Config!$A$13:$A$15,0),1))</f>
        <v/>
      </c>
      <c r="AL125" s="47" t="str">
        <f aca="false">IF(OR($D125="",$N125=""),"",IF($E125="LONG",$K125,$O125))</f>
        <v/>
      </c>
      <c r="AM125" s="47" t="str">
        <f aca="false">IF(OR($D125="",$N125=""),"",IF($E125="LONG",$O125,$K125))</f>
        <v/>
      </c>
    </row>
    <row r="126" customFormat="false" ht="15" hidden="false" customHeight="false" outlineLevel="0" collapsed="false">
      <c r="A126" s="49"/>
      <c r="B126" s="5" t="str">
        <f aca="false">IF($D126="","",IF(OR(RIGHT($A126,2)="-L",RIGHT($A126,2)="-S"),LEFT($A126,LEN($A126)-2),$A126))</f>
        <v/>
      </c>
      <c r="C126" s="50"/>
      <c r="D126" s="49"/>
      <c r="E126" s="49"/>
      <c r="F126" s="49"/>
      <c r="G126" s="45"/>
      <c r="H126" s="50"/>
      <c r="I126" s="45"/>
      <c r="J126" s="51"/>
      <c r="K126" s="40" t="str">
        <f aca="false">IF($D126="","",$I126*$J126)</f>
        <v/>
      </c>
      <c r="L126" s="50"/>
      <c r="M126" s="49"/>
      <c r="N126" s="45"/>
      <c r="O126" s="40" t="str">
        <f aca="false">IF(OR($D126="",$N126=""),"",$N126*$J126)</f>
        <v/>
      </c>
      <c r="P126" s="41" t="str">
        <f aca="false">IF(OR($D126="",$L126=""),"",MAX($L126-$H126,0))</f>
        <v/>
      </c>
      <c r="Q126" s="40" t="str">
        <f aca="false">IF(OR($D126="",$N126=""),"",IF($E126="LONG",($N126-$I126)*$J126,($I126-$N126)*$J126))</f>
        <v/>
      </c>
      <c r="R126" s="42" t="str">
        <f aca="false">IF(OR($D126="",$Q126="",$K126=0),"",$Q126/$K126)</f>
        <v/>
      </c>
      <c r="S126" s="43" t="str">
        <f aca="false">IF(OR($D126="",$N126=""),"",MIN(INDEX(Config!$C$13:$C$15,$AK126),INDEX(Config!$B$13:$B$15,$AK126)*$K126)+MIN(INDEX(Config!$C$13:$C$15,$AK126),INDEX(Config!$B$13:$B$15,$AK126)*$O126))</f>
        <v/>
      </c>
      <c r="T126" s="43" t="str">
        <f aca="false">IF(OR($D126="",$N126=""),"",INDEX(Config!$D$13:$D$15,$AK126)*$AL126+INDEX(Config!$E$13:$E$15,$AK126)*$AM126)</f>
        <v/>
      </c>
      <c r="U126" s="43" t="str">
        <f aca="false">IF(OR($D126="",$N126=""),"",INDEX(Config!$F$13:$F$15,$AK126)*($K126+$O126))</f>
        <v/>
      </c>
      <c r="V126" s="43" t="str">
        <f aca="false">IF(OR($D126="",$N126=""),"",INDEX(Config!$G$13:$G$15,$AK126)*($K126+$O126)+INDEX(Config!$H$13:$H$15,$AK126)*$AL126+INDEX(Config!$J$13:$J$15,$AK126))</f>
        <v/>
      </c>
      <c r="W126" s="43" t="str">
        <f aca="false">IF(OR($D126="",$N126=""),"",INDEX(Config!$I$13:$I$15,$AK126)*($S126+$U126+INDEX(Config!$G$13:$G$15,$AK126)*($K126+$O126)))</f>
        <v/>
      </c>
      <c r="X126" s="43" t="str">
        <f aca="false">IF(OR($D126="",$N126=""),"",INDEX(Config!$K$13:$K$15,$AK126)/365*$P126*$K126*Config!$B$8)</f>
        <v/>
      </c>
      <c r="Y126" s="43" t="str">
        <f aca="false">IF(OR($D126="",$N126=""),"",SUM($S126:$X126))</f>
        <v/>
      </c>
      <c r="Z126" s="40" t="str">
        <f aca="false">IF(OR($D126="",$Q126=""),"",$Q126-$Y126)</f>
        <v/>
      </c>
      <c r="AA126" s="42" t="str">
        <f aca="false">IF(OR($D126="",$Z126="",$K126=0),"",$Z126/$K126)</f>
        <v/>
      </c>
      <c r="AB126" s="44" t="str">
        <f aca="false">IF(OR($D126="",$Y126="",$K126=0),"",$Y126/$K126*10000)</f>
        <v/>
      </c>
      <c r="AC126" s="44" t="str">
        <f aca="false">IF(OR($D126="",$G126="",$G126=0,$I126=""),"",IF($E126="LONG",($I126-$G126)/$G126,($G126-$I126)/$G126)*10000)</f>
        <v/>
      </c>
      <c r="AD126" s="45"/>
      <c r="AE126" s="40" t="str">
        <f aca="false">IF(OR($D126="",$N126&lt;&gt;"",$AD126=""),"",IF($E126="LONG",($AD126-$I126)*$J126,($I126-$AD126)*$J126))</f>
        <v/>
      </c>
      <c r="AF126" s="40" t="str">
        <f aca="false">IF(OR($D126="",$E126&lt;&gt;"LONG",$Z126=""),"",$Z126+SUMIFS($Z$4:$Z$503,$B$4:$B$503,$B126,$E$4:$E$503,"SHORT"))</f>
        <v/>
      </c>
      <c r="AG126" s="42" t="str">
        <f aca="false">IF(OR($AF126="",$K126=0),"",$AF126/$K126)</f>
        <v/>
      </c>
      <c r="AH126" s="46"/>
      <c r="AI126" s="43" t="str">
        <f aca="false">IF(OR($D126="",$AH126="",$Z126=""),"",$Z126-$AH126)</f>
        <v/>
      </c>
      <c r="AJ126" s="49"/>
      <c r="AK126" s="47" t="str">
        <f aca="false">IF($D126="","",IFERROR(MATCH($F126,Config!$A$13:$A$15,0),1))</f>
        <v/>
      </c>
      <c r="AL126" s="47" t="str">
        <f aca="false">IF(OR($D126="",$N126=""),"",IF($E126="LONG",$K126,$O126))</f>
        <v/>
      </c>
      <c r="AM126" s="47" t="str">
        <f aca="false">IF(OR($D126="",$N126=""),"",IF($E126="LONG",$O126,$K126))</f>
        <v/>
      </c>
    </row>
    <row r="127" customFormat="false" ht="15" hidden="false" customHeight="false" outlineLevel="0" collapsed="false">
      <c r="A127" s="49"/>
      <c r="B127" s="5" t="str">
        <f aca="false">IF($D127="","",IF(OR(RIGHT($A127,2)="-L",RIGHT($A127,2)="-S"),LEFT($A127,LEN($A127)-2),$A127))</f>
        <v/>
      </c>
      <c r="C127" s="50"/>
      <c r="D127" s="49"/>
      <c r="E127" s="49"/>
      <c r="F127" s="49"/>
      <c r="G127" s="45"/>
      <c r="H127" s="50"/>
      <c r="I127" s="45"/>
      <c r="J127" s="51"/>
      <c r="K127" s="40" t="str">
        <f aca="false">IF($D127="","",$I127*$J127)</f>
        <v/>
      </c>
      <c r="L127" s="50"/>
      <c r="M127" s="49"/>
      <c r="N127" s="45"/>
      <c r="O127" s="40" t="str">
        <f aca="false">IF(OR($D127="",$N127=""),"",$N127*$J127)</f>
        <v/>
      </c>
      <c r="P127" s="41" t="str">
        <f aca="false">IF(OR($D127="",$L127=""),"",MAX($L127-$H127,0))</f>
        <v/>
      </c>
      <c r="Q127" s="40" t="str">
        <f aca="false">IF(OR($D127="",$N127=""),"",IF($E127="LONG",($N127-$I127)*$J127,($I127-$N127)*$J127))</f>
        <v/>
      </c>
      <c r="R127" s="42" t="str">
        <f aca="false">IF(OR($D127="",$Q127="",$K127=0),"",$Q127/$K127)</f>
        <v/>
      </c>
      <c r="S127" s="43" t="str">
        <f aca="false">IF(OR($D127="",$N127=""),"",MIN(INDEX(Config!$C$13:$C$15,$AK127),INDEX(Config!$B$13:$B$15,$AK127)*$K127)+MIN(INDEX(Config!$C$13:$C$15,$AK127),INDEX(Config!$B$13:$B$15,$AK127)*$O127))</f>
        <v/>
      </c>
      <c r="T127" s="43" t="str">
        <f aca="false">IF(OR($D127="",$N127=""),"",INDEX(Config!$D$13:$D$15,$AK127)*$AL127+INDEX(Config!$E$13:$E$15,$AK127)*$AM127)</f>
        <v/>
      </c>
      <c r="U127" s="43" t="str">
        <f aca="false">IF(OR($D127="",$N127=""),"",INDEX(Config!$F$13:$F$15,$AK127)*($K127+$O127))</f>
        <v/>
      </c>
      <c r="V127" s="43" t="str">
        <f aca="false">IF(OR($D127="",$N127=""),"",INDEX(Config!$G$13:$G$15,$AK127)*($K127+$O127)+INDEX(Config!$H$13:$H$15,$AK127)*$AL127+INDEX(Config!$J$13:$J$15,$AK127))</f>
        <v/>
      </c>
      <c r="W127" s="43" t="str">
        <f aca="false">IF(OR($D127="",$N127=""),"",INDEX(Config!$I$13:$I$15,$AK127)*($S127+$U127+INDEX(Config!$G$13:$G$15,$AK127)*($K127+$O127)))</f>
        <v/>
      </c>
      <c r="X127" s="43" t="str">
        <f aca="false">IF(OR($D127="",$N127=""),"",INDEX(Config!$K$13:$K$15,$AK127)/365*$P127*$K127*Config!$B$8)</f>
        <v/>
      </c>
      <c r="Y127" s="43" t="str">
        <f aca="false">IF(OR($D127="",$N127=""),"",SUM($S127:$X127))</f>
        <v/>
      </c>
      <c r="Z127" s="40" t="str">
        <f aca="false">IF(OR($D127="",$Q127=""),"",$Q127-$Y127)</f>
        <v/>
      </c>
      <c r="AA127" s="42" t="str">
        <f aca="false">IF(OR($D127="",$Z127="",$K127=0),"",$Z127/$K127)</f>
        <v/>
      </c>
      <c r="AB127" s="44" t="str">
        <f aca="false">IF(OR($D127="",$Y127="",$K127=0),"",$Y127/$K127*10000)</f>
        <v/>
      </c>
      <c r="AC127" s="44" t="str">
        <f aca="false">IF(OR($D127="",$G127="",$G127=0,$I127=""),"",IF($E127="LONG",($I127-$G127)/$G127,($G127-$I127)/$G127)*10000)</f>
        <v/>
      </c>
      <c r="AD127" s="45"/>
      <c r="AE127" s="40" t="str">
        <f aca="false">IF(OR($D127="",$N127&lt;&gt;"",$AD127=""),"",IF($E127="LONG",($AD127-$I127)*$J127,($I127-$AD127)*$J127))</f>
        <v/>
      </c>
      <c r="AF127" s="40" t="str">
        <f aca="false">IF(OR($D127="",$E127&lt;&gt;"LONG",$Z127=""),"",$Z127+SUMIFS($Z$4:$Z$503,$B$4:$B$503,$B127,$E$4:$E$503,"SHORT"))</f>
        <v/>
      </c>
      <c r="AG127" s="42" t="str">
        <f aca="false">IF(OR($AF127="",$K127=0),"",$AF127/$K127)</f>
        <v/>
      </c>
      <c r="AH127" s="46"/>
      <c r="AI127" s="43" t="str">
        <f aca="false">IF(OR($D127="",$AH127="",$Z127=""),"",$Z127-$AH127)</f>
        <v/>
      </c>
      <c r="AJ127" s="49"/>
      <c r="AK127" s="47" t="str">
        <f aca="false">IF($D127="","",IFERROR(MATCH($F127,Config!$A$13:$A$15,0),1))</f>
        <v/>
      </c>
      <c r="AL127" s="47" t="str">
        <f aca="false">IF(OR($D127="",$N127=""),"",IF($E127="LONG",$K127,$O127))</f>
        <v/>
      </c>
      <c r="AM127" s="47" t="str">
        <f aca="false">IF(OR($D127="",$N127=""),"",IF($E127="LONG",$O127,$K127))</f>
        <v/>
      </c>
    </row>
    <row r="128" customFormat="false" ht="15" hidden="false" customHeight="false" outlineLevel="0" collapsed="false">
      <c r="A128" s="49"/>
      <c r="B128" s="5" t="str">
        <f aca="false">IF($D128="","",IF(OR(RIGHT($A128,2)="-L",RIGHT($A128,2)="-S"),LEFT($A128,LEN($A128)-2),$A128))</f>
        <v/>
      </c>
      <c r="C128" s="50"/>
      <c r="D128" s="49"/>
      <c r="E128" s="49"/>
      <c r="F128" s="49"/>
      <c r="G128" s="45"/>
      <c r="H128" s="50"/>
      <c r="I128" s="45"/>
      <c r="J128" s="51"/>
      <c r="K128" s="40" t="str">
        <f aca="false">IF($D128="","",$I128*$J128)</f>
        <v/>
      </c>
      <c r="L128" s="50"/>
      <c r="M128" s="49"/>
      <c r="N128" s="45"/>
      <c r="O128" s="40" t="str">
        <f aca="false">IF(OR($D128="",$N128=""),"",$N128*$J128)</f>
        <v/>
      </c>
      <c r="P128" s="41" t="str">
        <f aca="false">IF(OR($D128="",$L128=""),"",MAX($L128-$H128,0))</f>
        <v/>
      </c>
      <c r="Q128" s="40" t="str">
        <f aca="false">IF(OR($D128="",$N128=""),"",IF($E128="LONG",($N128-$I128)*$J128,($I128-$N128)*$J128))</f>
        <v/>
      </c>
      <c r="R128" s="42" t="str">
        <f aca="false">IF(OR($D128="",$Q128="",$K128=0),"",$Q128/$K128)</f>
        <v/>
      </c>
      <c r="S128" s="43" t="str">
        <f aca="false">IF(OR($D128="",$N128=""),"",MIN(INDEX(Config!$C$13:$C$15,$AK128),INDEX(Config!$B$13:$B$15,$AK128)*$K128)+MIN(INDEX(Config!$C$13:$C$15,$AK128),INDEX(Config!$B$13:$B$15,$AK128)*$O128))</f>
        <v/>
      </c>
      <c r="T128" s="43" t="str">
        <f aca="false">IF(OR($D128="",$N128=""),"",INDEX(Config!$D$13:$D$15,$AK128)*$AL128+INDEX(Config!$E$13:$E$15,$AK128)*$AM128)</f>
        <v/>
      </c>
      <c r="U128" s="43" t="str">
        <f aca="false">IF(OR($D128="",$N128=""),"",INDEX(Config!$F$13:$F$15,$AK128)*($K128+$O128))</f>
        <v/>
      </c>
      <c r="V128" s="43" t="str">
        <f aca="false">IF(OR($D128="",$N128=""),"",INDEX(Config!$G$13:$G$15,$AK128)*($K128+$O128)+INDEX(Config!$H$13:$H$15,$AK128)*$AL128+INDEX(Config!$J$13:$J$15,$AK128))</f>
        <v/>
      </c>
      <c r="W128" s="43" t="str">
        <f aca="false">IF(OR($D128="",$N128=""),"",INDEX(Config!$I$13:$I$15,$AK128)*($S128+$U128+INDEX(Config!$G$13:$G$15,$AK128)*($K128+$O128)))</f>
        <v/>
      </c>
      <c r="X128" s="43" t="str">
        <f aca="false">IF(OR($D128="",$N128=""),"",INDEX(Config!$K$13:$K$15,$AK128)/365*$P128*$K128*Config!$B$8)</f>
        <v/>
      </c>
      <c r="Y128" s="43" t="str">
        <f aca="false">IF(OR($D128="",$N128=""),"",SUM($S128:$X128))</f>
        <v/>
      </c>
      <c r="Z128" s="40" t="str">
        <f aca="false">IF(OR($D128="",$Q128=""),"",$Q128-$Y128)</f>
        <v/>
      </c>
      <c r="AA128" s="42" t="str">
        <f aca="false">IF(OR($D128="",$Z128="",$K128=0),"",$Z128/$K128)</f>
        <v/>
      </c>
      <c r="AB128" s="44" t="str">
        <f aca="false">IF(OR($D128="",$Y128="",$K128=0),"",$Y128/$K128*10000)</f>
        <v/>
      </c>
      <c r="AC128" s="44" t="str">
        <f aca="false">IF(OR($D128="",$G128="",$G128=0,$I128=""),"",IF($E128="LONG",($I128-$G128)/$G128,($G128-$I128)/$G128)*10000)</f>
        <v/>
      </c>
      <c r="AD128" s="45"/>
      <c r="AE128" s="40" t="str">
        <f aca="false">IF(OR($D128="",$N128&lt;&gt;"",$AD128=""),"",IF($E128="LONG",($AD128-$I128)*$J128,($I128-$AD128)*$J128))</f>
        <v/>
      </c>
      <c r="AF128" s="40" t="str">
        <f aca="false">IF(OR($D128="",$E128&lt;&gt;"LONG",$Z128=""),"",$Z128+SUMIFS($Z$4:$Z$503,$B$4:$B$503,$B128,$E$4:$E$503,"SHORT"))</f>
        <v/>
      </c>
      <c r="AG128" s="42" t="str">
        <f aca="false">IF(OR($AF128="",$K128=0),"",$AF128/$K128)</f>
        <v/>
      </c>
      <c r="AH128" s="46"/>
      <c r="AI128" s="43" t="str">
        <f aca="false">IF(OR($D128="",$AH128="",$Z128=""),"",$Z128-$AH128)</f>
        <v/>
      </c>
      <c r="AJ128" s="49"/>
      <c r="AK128" s="47" t="str">
        <f aca="false">IF($D128="","",IFERROR(MATCH($F128,Config!$A$13:$A$15,0),1))</f>
        <v/>
      </c>
      <c r="AL128" s="47" t="str">
        <f aca="false">IF(OR($D128="",$N128=""),"",IF($E128="LONG",$K128,$O128))</f>
        <v/>
      </c>
      <c r="AM128" s="47" t="str">
        <f aca="false">IF(OR($D128="",$N128=""),"",IF($E128="LONG",$O128,$K128))</f>
        <v/>
      </c>
    </row>
    <row r="129" customFormat="false" ht="15" hidden="false" customHeight="false" outlineLevel="0" collapsed="false">
      <c r="A129" s="49"/>
      <c r="B129" s="5" t="str">
        <f aca="false">IF($D129="","",IF(OR(RIGHT($A129,2)="-L",RIGHT($A129,2)="-S"),LEFT($A129,LEN($A129)-2),$A129))</f>
        <v/>
      </c>
      <c r="C129" s="50"/>
      <c r="D129" s="49"/>
      <c r="E129" s="49"/>
      <c r="F129" s="49"/>
      <c r="G129" s="45"/>
      <c r="H129" s="50"/>
      <c r="I129" s="45"/>
      <c r="J129" s="51"/>
      <c r="K129" s="40" t="str">
        <f aca="false">IF($D129="","",$I129*$J129)</f>
        <v/>
      </c>
      <c r="L129" s="50"/>
      <c r="M129" s="49"/>
      <c r="N129" s="45"/>
      <c r="O129" s="40" t="str">
        <f aca="false">IF(OR($D129="",$N129=""),"",$N129*$J129)</f>
        <v/>
      </c>
      <c r="P129" s="41" t="str">
        <f aca="false">IF(OR($D129="",$L129=""),"",MAX($L129-$H129,0))</f>
        <v/>
      </c>
      <c r="Q129" s="40" t="str">
        <f aca="false">IF(OR($D129="",$N129=""),"",IF($E129="LONG",($N129-$I129)*$J129,($I129-$N129)*$J129))</f>
        <v/>
      </c>
      <c r="R129" s="42" t="str">
        <f aca="false">IF(OR($D129="",$Q129="",$K129=0),"",$Q129/$K129)</f>
        <v/>
      </c>
      <c r="S129" s="43" t="str">
        <f aca="false">IF(OR($D129="",$N129=""),"",MIN(INDEX(Config!$C$13:$C$15,$AK129),INDEX(Config!$B$13:$B$15,$AK129)*$K129)+MIN(INDEX(Config!$C$13:$C$15,$AK129),INDEX(Config!$B$13:$B$15,$AK129)*$O129))</f>
        <v/>
      </c>
      <c r="T129" s="43" t="str">
        <f aca="false">IF(OR($D129="",$N129=""),"",INDEX(Config!$D$13:$D$15,$AK129)*$AL129+INDEX(Config!$E$13:$E$15,$AK129)*$AM129)</f>
        <v/>
      </c>
      <c r="U129" s="43" t="str">
        <f aca="false">IF(OR($D129="",$N129=""),"",INDEX(Config!$F$13:$F$15,$AK129)*($K129+$O129))</f>
        <v/>
      </c>
      <c r="V129" s="43" t="str">
        <f aca="false">IF(OR($D129="",$N129=""),"",INDEX(Config!$G$13:$G$15,$AK129)*($K129+$O129)+INDEX(Config!$H$13:$H$15,$AK129)*$AL129+INDEX(Config!$J$13:$J$15,$AK129))</f>
        <v/>
      </c>
      <c r="W129" s="43" t="str">
        <f aca="false">IF(OR($D129="",$N129=""),"",INDEX(Config!$I$13:$I$15,$AK129)*($S129+$U129+INDEX(Config!$G$13:$G$15,$AK129)*($K129+$O129)))</f>
        <v/>
      </c>
      <c r="X129" s="43" t="str">
        <f aca="false">IF(OR($D129="",$N129=""),"",INDEX(Config!$K$13:$K$15,$AK129)/365*$P129*$K129*Config!$B$8)</f>
        <v/>
      </c>
      <c r="Y129" s="43" t="str">
        <f aca="false">IF(OR($D129="",$N129=""),"",SUM($S129:$X129))</f>
        <v/>
      </c>
      <c r="Z129" s="40" t="str">
        <f aca="false">IF(OR($D129="",$Q129=""),"",$Q129-$Y129)</f>
        <v/>
      </c>
      <c r="AA129" s="42" t="str">
        <f aca="false">IF(OR($D129="",$Z129="",$K129=0),"",$Z129/$K129)</f>
        <v/>
      </c>
      <c r="AB129" s="44" t="str">
        <f aca="false">IF(OR($D129="",$Y129="",$K129=0),"",$Y129/$K129*10000)</f>
        <v/>
      </c>
      <c r="AC129" s="44" t="str">
        <f aca="false">IF(OR($D129="",$G129="",$G129=0,$I129=""),"",IF($E129="LONG",($I129-$G129)/$G129,($G129-$I129)/$G129)*10000)</f>
        <v/>
      </c>
      <c r="AD129" s="45"/>
      <c r="AE129" s="40" t="str">
        <f aca="false">IF(OR($D129="",$N129&lt;&gt;"",$AD129=""),"",IF($E129="LONG",($AD129-$I129)*$J129,($I129-$AD129)*$J129))</f>
        <v/>
      </c>
      <c r="AF129" s="40" t="str">
        <f aca="false">IF(OR($D129="",$E129&lt;&gt;"LONG",$Z129=""),"",$Z129+SUMIFS($Z$4:$Z$503,$B$4:$B$503,$B129,$E$4:$E$503,"SHORT"))</f>
        <v/>
      </c>
      <c r="AG129" s="42" t="str">
        <f aca="false">IF(OR($AF129="",$K129=0),"",$AF129/$K129)</f>
        <v/>
      </c>
      <c r="AH129" s="46"/>
      <c r="AI129" s="43" t="str">
        <f aca="false">IF(OR($D129="",$AH129="",$Z129=""),"",$Z129-$AH129)</f>
        <v/>
      </c>
      <c r="AJ129" s="49"/>
      <c r="AK129" s="47" t="str">
        <f aca="false">IF($D129="","",IFERROR(MATCH($F129,Config!$A$13:$A$15,0),1))</f>
        <v/>
      </c>
      <c r="AL129" s="47" t="str">
        <f aca="false">IF(OR($D129="",$N129=""),"",IF($E129="LONG",$K129,$O129))</f>
        <v/>
      </c>
      <c r="AM129" s="47" t="str">
        <f aca="false">IF(OR($D129="",$N129=""),"",IF($E129="LONG",$O129,$K129))</f>
        <v/>
      </c>
    </row>
    <row r="130" customFormat="false" ht="15" hidden="false" customHeight="false" outlineLevel="0" collapsed="false">
      <c r="A130" s="49"/>
      <c r="B130" s="5" t="str">
        <f aca="false">IF($D130="","",IF(OR(RIGHT($A130,2)="-L",RIGHT($A130,2)="-S"),LEFT($A130,LEN($A130)-2),$A130))</f>
        <v/>
      </c>
      <c r="C130" s="50"/>
      <c r="D130" s="49"/>
      <c r="E130" s="49"/>
      <c r="F130" s="49"/>
      <c r="G130" s="45"/>
      <c r="H130" s="50"/>
      <c r="I130" s="45"/>
      <c r="J130" s="51"/>
      <c r="K130" s="40" t="str">
        <f aca="false">IF($D130="","",$I130*$J130)</f>
        <v/>
      </c>
      <c r="L130" s="50"/>
      <c r="M130" s="49"/>
      <c r="N130" s="45"/>
      <c r="O130" s="40" t="str">
        <f aca="false">IF(OR($D130="",$N130=""),"",$N130*$J130)</f>
        <v/>
      </c>
      <c r="P130" s="41" t="str">
        <f aca="false">IF(OR($D130="",$L130=""),"",MAX($L130-$H130,0))</f>
        <v/>
      </c>
      <c r="Q130" s="40" t="str">
        <f aca="false">IF(OR($D130="",$N130=""),"",IF($E130="LONG",($N130-$I130)*$J130,($I130-$N130)*$J130))</f>
        <v/>
      </c>
      <c r="R130" s="42" t="str">
        <f aca="false">IF(OR($D130="",$Q130="",$K130=0),"",$Q130/$K130)</f>
        <v/>
      </c>
      <c r="S130" s="43" t="str">
        <f aca="false">IF(OR($D130="",$N130=""),"",MIN(INDEX(Config!$C$13:$C$15,$AK130),INDEX(Config!$B$13:$B$15,$AK130)*$K130)+MIN(INDEX(Config!$C$13:$C$15,$AK130),INDEX(Config!$B$13:$B$15,$AK130)*$O130))</f>
        <v/>
      </c>
      <c r="T130" s="43" t="str">
        <f aca="false">IF(OR($D130="",$N130=""),"",INDEX(Config!$D$13:$D$15,$AK130)*$AL130+INDEX(Config!$E$13:$E$15,$AK130)*$AM130)</f>
        <v/>
      </c>
      <c r="U130" s="43" t="str">
        <f aca="false">IF(OR($D130="",$N130=""),"",INDEX(Config!$F$13:$F$15,$AK130)*($K130+$O130))</f>
        <v/>
      </c>
      <c r="V130" s="43" t="str">
        <f aca="false">IF(OR($D130="",$N130=""),"",INDEX(Config!$G$13:$G$15,$AK130)*($K130+$O130)+INDEX(Config!$H$13:$H$15,$AK130)*$AL130+INDEX(Config!$J$13:$J$15,$AK130))</f>
        <v/>
      </c>
      <c r="W130" s="43" t="str">
        <f aca="false">IF(OR($D130="",$N130=""),"",INDEX(Config!$I$13:$I$15,$AK130)*($S130+$U130+INDEX(Config!$G$13:$G$15,$AK130)*($K130+$O130)))</f>
        <v/>
      </c>
      <c r="X130" s="43" t="str">
        <f aca="false">IF(OR($D130="",$N130=""),"",INDEX(Config!$K$13:$K$15,$AK130)/365*$P130*$K130*Config!$B$8)</f>
        <v/>
      </c>
      <c r="Y130" s="43" t="str">
        <f aca="false">IF(OR($D130="",$N130=""),"",SUM($S130:$X130))</f>
        <v/>
      </c>
      <c r="Z130" s="40" t="str">
        <f aca="false">IF(OR($D130="",$Q130=""),"",$Q130-$Y130)</f>
        <v/>
      </c>
      <c r="AA130" s="42" t="str">
        <f aca="false">IF(OR($D130="",$Z130="",$K130=0),"",$Z130/$K130)</f>
        <v/>
      </c>
      <c r="AB130" s="44" t="str">
        <f aca="false">IF(OR($D130="",$Y130="",$K130=0),"",$Y130/$K130*10000)</f>
        <v/>
      </c>
      <c r="AC130" s="44" t="str">
        <f aca="false">IF(OR($D130="",$G130="",$G130=0,$I130=""),"",IF($E130="LONG",($I130-$G130)/$G130,($G130-$I130)/$G130)*10000)</f>
        <v/>
      </c>
      <c r="AD130" s="45"/>
      <c r="AE130" s="40" t="str">
        <f aca="false">IF(OR($D130="",$N130&lt;&gt;"",$AD130=""),"",IF($E130="LONG",($AD130-$I130)*$J130,($I130-$AD130)*$J130))</f>
        <v/>
      </c>
      <c r="AF130" s="40" t="str">
        <f aca="false">IF(OR($D130="",$E130&lt;&gt;"LONG",$Z130=""),"",$Z130+SUMIFS($Z$4:$Z$503,$B$4:$B$503,$B130,$E$4:$E$503,"SHORT"))</f>
        <v/>
      </c>
      <c r="AG130" s="42" t="str">
        <f aca="false">IF(OR($AF130="",$K130=0),"",$AF130/$K130)</f>
        <v/>
      </c>
      <c r="AH130" s="46"/>
      <c r="AI130" s="43" t="str">
        <f aca="false">IF(OR($D130="",$AH130="",$Z130=""),"",$Z130-$AH130)</f>
        <v/>
      </c>
      <c r="AJ130" s="49"/>
      <c r="AK130" s="47" t="str">
        <f aca="false">IF($D130="","",IFERROR(MATCH($F130,Config!$A$13:$A$15,0),1))</f>
        <v/>
      </c>
      <c r="AL130" s="47" t="str">
        <f aca="false">IF(OR($D130="",$N130=""),"",IF($E130="LONG",$K130,$O130))</f>
        <v/>
      </c>
      <c r="AM130" s="47" t="str">
        <f aca="false">IF(OR($D130="",$N130=""),"",IF($E130="LONG",$O130,$K130))</f>
        <v/>
      </c>
    </row>
    <row r="131" customFormat="false" ht="15" hidden="false" customHeight="false" outlineLevel="0" collapsed="false">
      <c r="A131" s="49"/>
      <c r="B131" s="5" t="str">
        <f aca="false">IF($D131="","",IF(OR(RIGHT($A131,2)="-L",RIGHT($A131,2)="-S"),LEFT($A131,LEN($A131)-2),$A131))</f>
        <v/>
      </c>
      <c r="C131" s="50"/>
      <c r="D131" s="49"/>
      <c r="E131" s="49"/>
      <c r="F131" s="49"/>
      <c r="G131" s="45"/>
      <c r="H131" s="50"/>
      <c r="I131" s="45"/>
      <c r="J131" s="51"/>
      <c r="K131" s="40" t="str">
        <f aca="false">IF($D131="","",$I131*$J131)</f>
        <v/>
      </c>
      <c r="L131" s="50"/>
      <c r="M131" s="49"/>
      <c r="N131" s="45"/>
      <c r="O131" s="40" t="str">
        <f aca="false">IF(OR($D131="",$N131=""),"",$N131*$J131)</f>
        <v/>
      </c>
      <c r="P131" s="41" t="str">
        <f aca="false">IF(OR($D131="",$L131=""),"",MAX($L131-$H131,0))</f>
        <v/>
      </c>
      <c r="Q131" s="40" t="str">
        <f aca="false">IF(OR($D131="",$N131=""),"",IF($E131="LONG",($N131-$I131)*$J131,($I131-$N131)*$J131))</f>
        <v/>
      </c>
      <c r="R131" s="42" t="str">
        <f aca="false">IF(OR($D131="",$Q131="",$K131=0),"",$Q131/$K131)</f>
        <v/>
      </c>
      <c r="S131" s="43" t="str">
        <f aca="false">IF(OR($D131="",$N131=""),"",MIN(INDEX(Config!$C$13:$C$15,$AK131),INDEX(Config!$B$13:$B$15,$AK131)*$K131)+MIN(INDEX(Config!$C$13:$C$15,$AK131),INDEX(Config!$B$13:$B$15,$AK131)*$O131))</f>
        <v/>
      </c>
      <c r="T131" s="43" t="str">
        <f aca="false">IF(OR($D131="",$N131=""),"",INDEX(Config!$D$13:$D$15,$AK131)*$AL131+INDEX(Config!$E$13:$E$15,$AK131)*$AM131)</f>
        <v/>
      </c>
      <c r="U131" s="43" t="str">
        <f aca="false">IF(OR($D131="",$N131=""),"",INDEX(Config!$F$13:$F$15,$AK131)*($K131+$O131))</f>
        <v/>
      </c>
      <c r="V131" s="43" t="str">
        <f aca="false">IF(OR($D131="",$N131=""),"",INDEX(Config!$G$13:$G$15,$AK131)*($K131+$O131)+INDEX(Config!$H$13:$H$15,$AK131)*$AL131+INDEX(Config!$J$13:$J$15,$AK131))</f>
        <v/>
      </c>
      <c r="W131" s="43" t="str">
        <f aca="false">IF(OR($D131="",$N131=""),"",INDEX(Config!$I$13:$I$15,$AK131)*($S131+$U131+INDEX(Config!$G$13:$G$15,$AK131)*($K131+$O131)))</f>
        <v/>
      </c>
      <c r="X131" s="43" t="str">
        <f aca="false">IF(OR($D131="",$N131=""),"",INDEX(Config!$K$13:$K$15,$AK131)/365*$P131*$K131*Config!$B$8)</f>
        <v/>
      </c>
      <c r="Y131" s="43" t="str">
        <f aca="false">IF(OR($D131="",$N131=""),"",SUM($S131:$X131))</f>
        <v/>
      </c>
      <c r="Z131" s="40" t="str">
        <f aca="false">IF(OR($D131="",$Q131=""),"",$Q131-$Y131)</f>
        <v/>
      </c>
      <c r="AA131" s="42" t="str">
        <f aca="false">IF(OR($D131="",$Z131="",$K131=0),"",$Z131/$K131)</f>
        <v/>
      </c>
      <c r="AB131" s="44" t="str">
        <f aca="false">IF(OR($D131="",$Y131="",$K131=0),"",$Y131/$K131*10000)</f>
        <v/>
      </c>
      <c r="AC131" s="44" t="str">
        <f aca="false">IF(OR($D131="",$G131="",$G131=0,$I131=""),"",IF($E131="LONG",($I131-$G131)/$G131,($G131-$I131)/$G131)*10000)</f>
        <v/>
      </c>
      <c r="AD131" s="45"/>
      <c r="AE131" s="40" t="str">
        <f aca="false">IF(OR($D131="",$N131&lt;&gt;"",$AD131=""),"",IF($E131="LONG",($AD131-$I131)*$J131,($I131-$AD131)*$J131))</f>
        <v/>
      </c>
      <c r="AF131" s="40" t="str">
        <f aca="false">IF(OR($D131="",$E131&lt;&gt;"LONG",$Z131=""),"",$Z131+SUMIFS($Z$4:$Z$503,$B$4:$B$503,$B131,$E$4:$E$503,"SHORT"))</f>
        <v/>
      </c>
      <c r="AG131" s="42" t="str">
        <f aca="false">IF(OR($AF131="",$K131=0),"",$AF131/$K131)</f>
        <v/>
      </c>
      <c r="AH131" s="46"/>
      <c r="AI131" s="43" t="str">
        <f aca="false">IF(OR($D131="",$AH131="",$Z131=""),"",$Z131-$AH131)</f>
        <v/>
      </c>
      <c r="AJ131" s="49"/>
      <c r="AK131" s="47" t="str">
        <f aca="false">IF($D131="","",IFERROR(MATCH($F131,Config!$A$13:$A$15,0),1))</f>
        <v/>
      </c>
      <c r="AL131" s="47" t="str">
        <f aca="false">IF(OR($D131="",$N131=""),"",IF($E131="LONG",$K131,$O131))</f>
        <v/>
      </c>
      <c r="AM131" s="47" t="str">
        <f aca="false">IF(OR($D131="",$N131=""),"",IF($E131="LONG",$O131,$K131))</f>
        <v/>
      </c>
    </row>
    <row r="132" customFormat="false" ht="15" hidden="false" customHeight="false" outlineLevel="0" collapsed="false">
      <c r="A132" s="49"/>
      <c r="B132" s="5" t="str">
        <f aca="false">IF($D132="","",IF(OR(RIGHT($A132,2)="-L",RIGHT($A132,2)="-S"),LEFT($A132,LEN($A132)-2),$A132))</f>
        <v/>
      </c>
      <c r="C132" s="50"/>
      <c r="D132" s="49"/>
      <c r="E132" s="49"/>
      <c r="F132" s="49"/>
      <c r="G132" s="45"/>
      <c r="H132" s="50"/>
      <c r="I132" s="45"/>
      <c r="J132" s="51"/>
      <c r="K132" s="40" t="str">
        <f aca="false">IF($D132="","",$I132*$J132)</f>
        <v/>
      </c>
      <c r="L132" s="50"/>
      <c r="M132" s="49"/>
      <c r="N132" s="45"/>
      <c r="O132" s="40" t="str">
        <f aca="false">IF(OR($D132="",$N132=""),"",$N132*$J132)</f>
        <v/>
      </c>
      <c r="P132" s="41" t="str">
        <f aca="false">IF(OR($D132="",$L132=""),"",MAX($L132-$H132,0))</f>
        <v/>
      </c>
      <c r="Q132" s="40" t="str">
        <f aca="false">IF(OR($D132="",$N132=""),"",IF($E132="LONG",($N132-$I132)*$J132,($I132-$N132)*$J132))</f>
        <v/>
      </c>
      <c r="R132" s="42" t="str">
        <f aca="false">IF(OR($D132="",$Q132="",$K132=0),"",$Q132/$K132)</f>
        <v/>
      </c>
      <c r="S132" s="43" t="str">
        <f aca="false">IF(OR($D132="",$N132=""),"",MIN(INDEX(Config!$C$13:$C$15,$AK132),INDEX(Config!$B$13:$B$15,$AK132)*$K132)+MIN(INDEX(Config!$C$13:$C$15,$AK132),INDEX(Config!$B$13:$B$15,$AK132)*$O132))</f>
        <v/>
      </c>
      <c r="T132" s="43" t="str">
        <f aca="false">IF(OR($D132="",$N132=""),"",INDEX(Config!$D$13:$D$15,$AK132)*$AL132+INDEX(Config!$E$13:$E$15,$AK132)*$AM132)</f>
        <v/>
      </c>
      <c r="U132" s="43" t="str">
        <f aca="false">IF(OR($D132="",$N132=""),"",INDEX(Config!$F$13:$F$15,$AK132)*($K132+$O132))</f>
        <v/>
      </c>
      <c r="V132" s="43" t="str">
        <f aca="false">IF(OR($D132="",$N132=""),"",INDEX(Config!$G$13:$G$15,$AK132)*($K132+$O132)+INDEX(Config!$H$13:$H$15,$AK132)*$AL132+INDEX(Config!$J$13:$J$15,$AK132))</f>
        <v/>
      </c>
      <c r="W132" s="43" t="str">
        <f aca="false">IF(OR($D132="",$N132=""),"",INDEX(Config!$I$13:$I$15,$AK132)*($S132+$U132+INDEX(Config!$G$13:$G$15,$AK132)*($K132+$O132)))</f>
        <v/>
      </c>
      <c r="X132" s="43" t="str">
        <f aca="false">IF(OR($D132="",$N132=""),"",INDEX(Config!$K$13:$K$15,$AK132)/365*$P132*$K132*Config!$B$8)</f>
        <v/>
      </c>
      <c r="Y132" s="43" t="str">
        <f aca="false">IF(OR($D132="",$N132=""),"",SUM($S132:$X132))</f>
        <v/>
      </c>
      <c r="Z132" s="40" t="str">
        <f aca="false">IF(OR($D132="",$Q132=""),"",$Q132-$Y132)</f>
        <v/>
      </c>
      <c r="AA132" s="42" t="str">
        <f aca="false">IF(OR($D132="",$Z132="",$K132=0),"",$Z132/$K132)</f>
        <v/>
      </c>
      <c r="AB132" s="44" t="str">
        <f aca="false">IF(OR($D132="",$Y132="",$K132=0),"",$Y132/$K132*10000)</f>
        <v/>
      </c>
      <c r="AC132" s="44" t="str">
        <f aca="false">IF(OR($D132="",$G132="",$G132=0,$I132=""),"",IF($E132="LONG",($I132-$G132)/$G132,($G132-$I132)/$G132)*10000)</f>
        <v/>
      </c>
      <c r="AD132" s="45"/>
      <c r="AE132" s="40" t="str">
        <f aca="false">IF(OR($D132="",$N132&lt;&gt;"",$AD132=""),"",IF($E132="LONG",($AD132-$I132)*$J132,($I132-$AD132)*$J132))</f>
        <v/>
      </c>
      <c r="AF132" s="40" t="str">
        <f aca="false">IF(OR($D132="",$E132&lt;&gt;"LONG",$Z132=""),"",$Z132+SUMIFS($Z$4:$Z$503,$B$4:$B$503,$B132,$E$4:$E$503,"SHORT"))</f>
        <v/>
      </c>
      <c r="AG132" s="42" t="str">
        <f aca="false">IF(OR($AF132="",$K132=0),"",$AF132/$K132)</f>
        <v/>
      </c>
      <c r="AH132" s="46"/>
      <c r="AI132" s="43" t="str">
        <f aca="false">IF(OR($D132="",$AH132="",$Z132=""),"",$Z132-$AH132)</f>
        <v/>
      </c>
      <c r="AJ132" s="49"/>
      <c r="AK132" s="47" t="str">
        <f aca="false">IF($D132="","",IFERROR(MATCH($F132,Config!$A$13:$A$15,0),1))</f>
        <v/>
      </c>
      <c r="AL132" s="47" t="str">
        <f aca="false">IF(OR($D132="",$N132=""),"",IF($E132="LONG",$K132,$O132))</f>
        <v/>
      </c>
      <c r="AM132" s="47" t="str">
        <f aca="false">IF(OR($D132="",$N132=""),"",IF($E132="LONG",$O132,$K132))</f>
        <v/>
      </c>
    </row>
    <row r="133" customFormat="false" ht="15" hidden="false" customHeight="false" outlineLevel="0" collapsed="false">
      <c r="A133" s="49"/>
      <c r="B133" s="5" t="str">
        <f aca="false">IF($D133="","",IF(OR(RIGHT($A133,2)="-L",RIGHT($A133,2)="-S"),LEFT($A133,LEN($A133)-2),$A133))</f>
        <v/>
      </c>
      <c r="C133" s="50"/>
      <c r="D133" s="49"/>
      <c r="E133" s="49"/>
      <c r="F133" s="49"/>
      <c r="G133" s="45"/>
      <c r="H133" s="50"/>
      <c r="I133" s="45"/>
      <c r="J133" s="51"/>
      <c r="K133" s="40" t="str">
        <f aca="false">IF($D133="","",$I133*$J133)</f>
        <v/>
      </c>
      <c r="L133" s="50"/>
      <c r="M133" s="49"/>
      <c r="N133" s="45"/>
      <c r="O133" s="40" t="str">
        <f aca="false">IF(OR($D133="",$N133=""),"",$N133*$J133)</f>
        <v/>
      </c>
      <c r="P133" s="41" t="str">
        <f aca="false">IF(OR($D133="",$L133=""),"",MAX($L133-$H133,0))</f>
        <v/>
      </c>
      <c r="Q133" s="40" t="str">
        <f aca="false">IF(OR($D133="",$N133=""),"",IF($E133="LONG",($N133-$I133)*$J133,($I133-$N133)*$J133))</f>
        <v/>
      </c>
      <c r="R133" s="42" t="str">
        <f aca="false">IF(OR($D133="",$Q133="",$K133=0),"",$Q133/$K133)</f>
        <v/>
      </c>
      <c r="S133" s="43" t="str">
        <f aca="false">IF(OR($D133="",$N133=""),"",MIN(INDEX(Config!$C$13:$C$15,$AK133),INDEX(Config!$B$13:$B$15,$AK133)*$K133)+MIN(INDEX(Config!$C$13:$C$15,$AK133),INDEX(Config!$B$13:$B$15,$AK133)*$O133))</f>
        <v/>
      </c>
      <c r="T133" s="43" t="str">
        <f aca="false">IF(OR($D133="",$N133=""),"",INDEX(Config!$D$13:$D$15,$AK133)*$AL133+INDEX(Config!$E$13:$E$15,$AK133)*$AM133)</f>
        <v/>
      </c>
      <c r="U133" s="43" t="str">
        <f aca="false">IF(OR($D133="",$N133=""),"",INDEX(Config!$F$13:$F$15,$AK133)*($K133+$O133))</f>
        <v/>
      </c>
      <c r="V133" s="43" t="str">
        <f aca="false">IF(OR($D133="",$N133=""),"",INDEX(Config!$G$13:$G$15,$AK133)*($K133+$O133)+INDEX(Config!$H$13:$H$15,$AK133)*$AL133+INDEX(Config!$J$13:$J$15,$AK133))</f>
        <v/>
      </c>
      <c r="W133" s="43" t="str">
        <f aca="false">IF(OR($D133="",$N133=""),"",INDEX(Config!$I$13:$I$15,$AK133)*($S133+$U133+INDEX(Config!$G$13:$G$15,$AK133)*($K133+$O133)))</f>
        <v/>
      </c>
      <c r="X133" s="43" t="str">
        <f aca="false">IF(OR($D133="",$N133=""),"",INDEX(Config!$K$13:$K$15,$AK133)/365*$P133*$K133*Config!$B$8)</f>
        <v/>
      </c>
      <c r="Y133" s="43" t="str">
        <f aca="false">IF(OR($D133="",$N133=""),"",SUM($S133:$X133))</f>
        <v/>
      </c>
      <c r="Z133" s="40" t="str">
        <f aca="false">IF(OR($D133="",$Q133=""),"",$Q133-$Y133)</f>
        <v/>
      </c>
      <c r="AA133" s="42" t="str">
        <f aca="false">IF(OR($D133="",$Z133="",$K133=0),"",$Z133/$K133)</f>
        <v/>
      </c>
      <c r="AB133" s="44" t="str">
        <f aca="false">IF(OR($D133="",$Y133="",$K133=0),"",$Y133/$K133*10000)</f>
        <v/>
      </c>
      <c r="AC133" s="44" t="str">
        <f aca="false">IF(OR($D133="",$G133="",$G133=0,$I133=""),"",IF($E133="LONG",($I133-$G133)/$G133,($G133-$I133)/$G133)*10000)</f>
        <v/>
      </c>
      <c r="AD133" s="45"/>
      <c r="AE133" s="40" t="str">
        <f aca="false">IF(OR($D133="",$N133&lt;&gt;"",$AD133=""),"",IF($E133="LONG",($AD133-$I133)*$J133,($I133-$AD133)*$J133))</f>
        <v/>
      </c>
      <c r="AF133" s="40" t="str">
        <f aca="false">IF(OR($D133="",$E133&lt;&gt;"LONG",$Z133=""),"",$Z133+SUMIFS($Z$4:$Z$503,$B$4:$B$503,$B133,$E$4:$E$503,"SHORT"))</f>
        <v/>
      </c>
      <c r="AG133" s="42" t="str">
        <f aca="false">IF(OR($AF133="",$K133=0),"",$AF133/$K133)</f>
        <v/>
      </c>
      <c r="AH133" s="46"/>
      <c r="AI133" s="43" t="str">
        <f aca="false">IF(OR($D133="",$AH133="",$Z133=""),"",$Z133-$AH133)</f>
        <v/>
      </c>
      <c r="AJ133" s="49"/>
      <c r="AK133" s="47" t="str">
        <f aca="false">IF($D133="","",IFERROR(MATCH($F133,Config!$A$13:$A$15,0),1))</f>
        <v/>
      </c>
      <c r="AL133" s="47" t="str">
        <f aca="false">IF(OR($D133="",$N133=""),"",IF($E133="LONG",$K133,$O133))</f>
        <v/>
      </c>
      <c r="AM133" s="47" t="str">
        <f aca="false">IF(OR($D133="",$N133=""),"",IF($E133="LONG",$O133,$K133))</f>
        <v/>
      </c>
    </row>
    <row r="134" customFormat="false" ht="15" hidden="false" customHeight="false" outlineLevel="0" collapsed="false">
      <c r="A134" s="49"/>
      <c r="B134" s="5" t="str">
        <f aca="false">IF($D134="","",IF(OR(RIGHT($A134,2)="-L",RIGHT($A134,2)="-S"),LEFT($A134,LEN($A134)-2),$A134))</f>
        <v/>
      </c>
      <c r="C134" s="50"/>
      <c r="D134" s="49"/>
      <c r="E134" s="49"/>
      <c r="F134" s="49"/>
      <c r="G134" s="45"/>
      <c r="H134" s="50"/>
      <c r="I134" s="45"/>
      <c r="J134" s="51"/>
      <c r="K134" s="40" t="str">
        <f aca="false">IF($D134="","",$I134*$J134)</f>
        <v/>
      </c>
      <c r="L134" s="50"/>
      <c r="M134" s="49"/>
      <c r="N134" s="45"/>
      <c r="O134" s="40" t="str">
        <f aca="false">IF(OR($D134="",$N134=""),"",$N134*$J134)</f>
        <v/>
      </c>
      <c r="P134" s="41" t="str">
        <f aca="false">IF(OR($D134="",$L134=""),"",MAX($L134-$H134,0))</f>
        <v/>
      </c>
      <c r="Q134" s="40" t="str">
        <f aca="false">IF(OR($D134="",$N134=""),"",IF($E134="LONG",($N134-$I134)*$J134,($I134-$N134)*$J134))</f>
        <v/>
      </c>
      <c r="R134" s="42" t="str">
        <f aca="false">IF(OR($D134="",$Q134="",$K134=0),"",$Q134/$K134)</f>
        <v/>
      </c>
      <c r="S134" s="43" t="str">
        <f aca="false">IF(OR($D134="",$N134=""),"",MIN(INDEX(Config!$C$13:$C$15,$AK134),INDEX(Config!$B$13:$B$15,$AK134)*$K134)+MIN(INDEX(Config!$C$13:$C$15,$AK134),INDEX(Config!$B$13:$B$15,$AK134)*$O134))</f>
        <v/>
      </c>
      <c r="T134" s="43" t="str">
        <f aca="false">IF(OR($D134="",$N134=""),"",INDEX(Config!$D$13:$D$15,$AK134)*$AL134+INDEX(Config!$E$13:$E$15,$AK134)*$AM134)</f>
        <v/>
      </c>
      <c r="U134" s="43" t="str">
        <f aca="false">IF(OR($D134="",$N134=""),"",INDEX(Config!$F$13:$F$15,$AK134)*($K134+$O134))</f>
        <v/>
      </c>
      <c r="V134" s="43" t="str">
        <f aca="false">IF(OR($D134="",$N134=""),"",INDEX(Config!$G$13:$G$15,$AK134)*($K134+$O134)+INDEX(Config!$H$13:$H$15,$AK134)*$AL134+INDEX(Config!$J$13:$J$15,$AK134))</f>
        <v/>
      </c>
      <c r="W134" s="43" t="str">
        <f aca="false">IF(OR($D134="",$N134=""),"",INDEX(Config!$I$13:$I$15,$AK134)*($S134+$U134+INDEX(Config!$G$13:$G$15,$AK134)*($K134+$O134)))</f>
        <v/>
      </c>
      <c r="X134" s="43" t="str">
        <f aca="false">IF(OR($D134="",$N134=""),"",INDEX(Config!$K$13:$K$15,$AK134)/365*$P134*$K134*Config!$B$8)</f>
        <v/>
      </c>
      <c r="Y134" s="43" t="str">
        <f aca="false">IF(OR($D134="",$N134=""),"",SUM($S134:$X134))</f>
        <v/>
      </c>
      <c r="Z134" s="40" t="str">
        <f aca="false">IF(OR($D134="",$Q134=""),"",$Q134-$Y134)</f>
        <v/>
      </c>
      <c r="AA134" s="42" t="str">
        <f aca="false">IF(OR($D134="",$Z134="",$K134=0),"",$Z134/$K134)</f>
        <v/>
      </c>
      <c r="AB134" s="44" t="str">
        <f aca="false">IF(OR($D134="",$Y134="",$K134=0),"",$Y134/$K134*10000)</f>
        <v/>
      </c>
      <c r="AC134" s="44" t="str">
        <f aca="false">IF(OR($D134="",$G134="",$G134=0,$I134=""),"",IF($E134="LONG",($I134-$G134)/$G134,($G134-$I134)/$G134)*10000)</f>
        <v/>
      </c>
      <c r="AD134" s="45"/>
      <c r="AE134" s="40" t="str">
        <f aca="false">IF(OR($D134="",$N134&lt;&gt;"",$AD134=""),"",IF($E134="LONG",($AD134-$I134)*$J134,($I134-$AD134)*$J134))</f>
        <v/>
      </c>
      <c r="AF134" s="40" t="str">
        <f aca="false">IF(OR($D134="",$E134&lt;&gt;"LONG",$Z134=""),"",$Z134+SUMIFS($Z$4:$Z$503,$B$4:$B$503,$B134,$E$4:$E$503,"SHORT"))</f>
        <v/>
      </c>
      <c r="AG134" s="42" t="str">
        <f aca="false">IF(OR($AF134="",$K134=0),"",$AF134/$K134)</f>
        <v/>
      </c>
      <c r="AH134" s="46"/>
      <c r="AI134" s="43" t="str">
        <f aca="false">IF(OR($D134="",$AH134="",$Z134=""),"",$Z134-$AH134)</f>
        <v/>
      </c>
      <c r="AJ134" s="49"/>
      <c r="AK134" s="47" t="str">
        <f aca="false">IF($D134="","",IFERROR(MATCH($F134,Config!$A$13:$A$15,0),1))</f>
        <v/>
      </c>
      <c r="AL134" s="47" t="str">
        <f aca="false">IF(OR($D134="",$N134=""),"",IF($E134="LONG",$K134,$O134))</f>
        <v/>
      </c>
      <c r="AM134" s="47" t="str">
        <f aca="false">IF(OR($D134="",$N134=""),"",IF($E134="LONG",$O134,$K134))</f>
        <v/>
      </c>
    </row>
    <row r="135" customFormat="false" ht="15" hidden="false" customHeight="false" outlineLevel="0" collapsed="false">
      <c r="A135" s="49"/>
      <c r="B135" s="5" t="str">
        <f aca="false">IF($D135="","",IF(OR(RIGHT($A135,2)="-L",RIGHT($A135,2)="-S"),LEFT($A135,LEN($A135)-2),$A135))</f>
        <v/>
      </c>
      <c r="C135" s="50"/>
      <c r="D135" s="49"/>
      <c r="E135" s="49"/>
      <c r="F135" s="49"/>
      <c r="G135" s="45"/>
      <c r="H135" s="50"/>
      <c r="I135" s="45"/>
      <c r="J135" s="51"/>
      <c r="K135" s="40" t="str">
        <f aca="false">IF($D135="","",$I135*$J135)</f>
        <v/>
      </c>
      <c r="L135" s="50"/>
      <c r="M135" s="49"/>
      <c r="N135" s="45"/>
      <c r="O135" s="40" t="str">
        <f aca="false">IF(OR($D135="",$N135=""),"",$N135*$J135)</f>
        <v/>
      </c>
      <c r="P135" s="41" t="str">
        <f aca="false">IF(OR($D135="",$L135=""),"",MAX($L135-$H135,0))</f>
        <v/>
      </c>
      <c r="Q135" s="40" t="str">
        <f aca="false">IF(OR($D135="",$N135=""),"",IF($E135="LONG",($N135-$I135)*$J135,($I135-$N135)*$J135))</f>
        <v/>
      </c>
      <c r="R135" s="42" t="str">
        <f aca="false">IF(OR($D135="",$Q135="",$K135=0),"",$Q135/$K135)</f>
        <v/>
      </c>
      <c r="S135" s="43" t="str">
        <f aca="false">IF(OR($D135="",$N135=""),"",MIN(INDEX(Config!$C$13:$C$15,$AK135),INDEX(Config!$B$13:$B$15,$AK135)*$K135)+MIN(INDEX(Config!$C$13:$C$15,$AK135),INDEX(Config!$B$13:$B$15,$AK135)*$O135))</f>
        <v/>
      </c>
      <c r="T135" s="43" t="str">
        <f aca="false">IF(OR($D135="",$N135=""),"",INDEX(Config!$D$13:$D$15,$AK135)*$AL135+INDEX(Config!$E$13:$E$15,$AK135)*$AM135)</f>
        <v/>
      </c>
      <c r="U135" s="43" t="str">
        <f aca="false">IF(OR($D135="",$N135=""),"",INDEX(Config!$F$13:$F$15,$AK135)*($K135+$O135))</f>
        <v/>
      </c>
      <c r="V135" s="43" t="str">
        <f aca="false">IF(OR($D135="",$N135=""),"",INDEX(Config!$G$13:$G$15,$AK135)*($K135+$O135)+INDEX(Config!$H$13:$H$15,$AK135)*$AL135+INDEX(Config!$J$13:$J$15,$AK135))</f>
        <v/>
      </c>
      <c r="W135" s="43" t="str">
        <f aca="false">IF(OR($D135="",$N135=""),"",INDEX(Config!$I$13:$I$15,$AK135)*($S135+$U135+INDEX(Config!$G$13:$G$15,$AK135)*($K135+$O135)))</f>
        <v/>
      </c>
      <c r="X135" s="43" t="str">
        <f aca="false">IF(OR($D135="",$N135=""),"",INDEX(Config!$K$13:$K$15,$AK135)/365*$P135*$K135*Config!$B$8)</f>
        <v/>
      </c>
      <c r="Y135" s="43" t="str">
        <f aca="false">IF(OR($D135="",$N135=""),"",SUM($S135:$X135))</f>
        <v/>
      </c>
      <c r="Z135" s="40" t="str">
        <f aca="false">IF(OR($D135="",$Q135=""),"",$Q135-$Y135)</f>
        <v/>
      </c>
      <c r="AA135" s="42" t="str">
        <f aca="false">IF(OR($D135="",$Z135="",$K135=0),"",$Z135/$K135)</f>
        <v/>
      </c>
      <c r="AB135" s="44" t="str">
        <f aca="false">IF(OR($D135="",$Y135="",$K135=0),"",$Y135/$K135*10000)</f>
        <v/>
      </c>
      <c r="AC135" s="44" t="str">
        <f aca="false">IF(OR($D135="",$G135="",$G135=0,$I135=""),"",IF($E135="LONG",($I135-$G135)/$G135,($G135-$I135)/$G135)*10000)</f>
        <v/>
      </c>
      <c r="AD135" s="45"/>
      <c r="AE135" s="40" t="str">
        <f aca="false">IF(OR($D135="",$N135&lt;&gt;"",$AD135=""),"",IF($E135="LONG",($AD135-$I135)*$J135,($I135-$AD135)*$J135))</f>
        <v/>
      </c>
      <c r="AF135" s="40" t="str">
        <f aca="false">IF(OR($D135="",$E135&lt;&gt;"LONG",$Z135=""),"",$Z135+SUMIFS($Z$4:$Z$503,$B$4:$B$503,$B135,$E$4:$E$503,"SHORT"))</f>
        <v/>
      </c>
      <c r="AG135" s="42" t="str">
        <f aca="false">IF(OR($AF135="",$K135=0),"",$AF135/$K135)</f>
        <v/>
      </c>
      <c r="AH135" s="46"/>
      <c r="AI135" s="43" t="str">
        <f aca="false">IF(OR($D135="",$AH135="",$Z135=""),"",$Z135-$AH135)</f>
        <v/>
      </c>
      <c r="AJ135" s="49"/>
      <c r="AK135" s="47" t="str">
        <f aca="false">IF($D135="","",IFERROR(MATCH($F135,Config!$A$13:$A$15,0),1))</f>
        <v/>
      </c>
      <c r="AL135" s="47" t="str">
        <f aca="false">IF(OR($D135="",$N135=""),"",IF($E135="LONG",$K135,$O135))</f>
        <v/>
      </c>
      <c r="AM135" s="47" t="str">
        <f aca="false">IF(OR($D135="",$N135=""),"",IF($E135="LONG",$O135,$K135))</f>
        <v/>
      </c>
    </row>
    <row r="136" customFormat="false" ht="15" hidden="false" customHeight="false" outlineLevel="0" collapsed="false">
      <c r="A136" s="49"/>
      <c r="B136" s="5" t="str">
        <f aca="false">IF($D136="","",IF(OR(RIGHT($A136,2)="-L",RIGHT($A136,2)="-S"),LEFT($A136,LEN($A136)-2),$A136))</f>
        <v/>
      </c>
      <c r="C136" s="50"/>
      <c r="D136" s="49"/>
      <c r="E136" s="49"/>
      <c r="F136" s="49"/>
      <c r="G136" s="45"/>
      <c r="H136" s="50"/>
      <c r="I136" s="45"/>
      <c r="J136" s="51"/>
      <c r="K136" s="40" t="str">
        <f aca="false">IF($D136="","",$I136*$J136)</f>
        <v/>
      </c>
      <c r="L136" s="50"/>
      <c r="M136" s="49"/>
      <c r="N136" s="45"/>
      <c r="O136" s="40" t="str">
        <f aca="false">IF(OR($D136="",$N136=""),"",$N136*$J136)</f>
        <v/>
      </c>
      <c r="P136" s="41" t="str">
        <f aca="false">IF(OR($D136="",$L136=""),"",MAX($L136-$H136,0))</f>
        <v/>
      </c>
      <c r="Q136" s="40" t="str">
        <f aca="false">IF(OR($D136="",$N136=""),"",IF($E136="LONG",($N136-$I136)*$J136,($I136-$N136)*$J136))</f>
        <v/>
      </c>
      <c r="R136" s="42" t="str">
        <f aca="false">IF(OR($D136="",$Q136="",$K136=0),"",$Q136/$K136)</f>
        <v/>
      </c>
      <c r="S136" s="43" t="str">
        <f aca="false">IF(OR($D136="",$N136=""),"",MIN(INDEX(Config!$C$13:$C$15,$AK136),INDEX(Config!$B$13:$B$15,$AK136)*$K136)+MIN(INDEX(Config!$C$13:$C$15,$AK136),INDEX(Config!$B$13:$B$15,$AK136)*$O136))</f>
        <v/>
      </c>
      <c r="T136" s="43" t="str">
        <f aca="false">IF(OR($D136="",$N136=""),"",INDEX(Config!$D$13:$D$15,$AK136)*$AL136+INDEX(Config!$E$13:$E$15,$AK136)*$AM136)</f>
        <v/>
      </c>
      <c r="U136" s="43" t="str">
        <f aca="false">IF(OR($D136="",$N136=""),"",INDEX(Config!$F$13:$F$15,$AK136)*($K136+$O136))</f>
        <v/>
      </c>
      <c r="V136" s="43" t="str">
        <f aca="false">IF(OR($D136="",$N136=""),"",INDEX(Config!$G$13:$G$15,$AK136)*($K136+$O136)+INDEX(Config!$H$13:$H$15,$AK136)*$AL136+INDEX(Config!$J$13:$J$15,$AK136))</f>
        <v/>
      </c>
      <c r="W136" s="43" t="str">
        <f aca="false">IF(OR($D136="",$N136=""),"",INDEX(Config!$I$13:$I$15,$AK136)*($S136+$U136+INDEX(Config!$G$13:$G$15,$AK136)*($K136+$O136)))</f>
        <v/>
      </c>
      <c r="X136" s="43" t="str">
        <f aca="false">IF(OR($D136="",$N136=""),"",INDEX(Config!$K$13:$K$15,$AK136)/365*$P136*$K136*Config!$B$8)</f>
        <v/>
      </c>
      <c r="Y136" s="43" t="str">
        <f aca="false">IF(OR($D136="",$N136=""),"",SUM($S136:$X136))</f>
        <v/>
      </c>
      <c r="Z136" s="40" t="str">
        <f aca="false">IF(OR($D136="",$Q136=""),"",$Q136-$Y136)</f>
        <v/>
      </c>
      <c r="AA136" s="42" t="str">
        <f aca="false">IF(OR($D136="",$Z136="",$K136=0),"",$Z136/$K136)</f>
        <v/>
      </c>
      <c r="AB136" s="44" t="str">
        <f aca="false">IF(OR($D136="",$Y136="",$K136=0),"",$Y136/$K136*10000)</f>
        <v/>
      </c>
      <c r="AC136" s="44" t="str">
        <f aca="false">IF(OR($D136="",$G136="",$G136=0,$I136=""),"",IF($E136="LONG",($I136-$G136)/$G136,($G136-$I136)/$G136)*10000)</f>
        <v/>
      </c>
      <c r="AD136" s="45"/>
      <c r="AE136" s="40" t="str">
        <f aca="false">IF(OR($D136="",$N136&lt;&gt;"",$AD136=""),"",IF($E136="LONG",($AD136-$I136)*$J136,($I136-$AD136)*$J136))</f>
        <v/>
      </c>
      <c r="AF136" s="40" t="str">
        <f aca="false">IF(OR($D136="",$E136&lt;&gt;"LONG",$Z136=""),"",$Z136+SUMIFS($Z$4:$Z$503,$B$4:$B$503,$B136,$E$4:$E$503,"SHORT"))</f>
        <v/>
      </c>
      <c r="AG136" s="42" t="str">
        <f aca="false">IF(OR($AF136="",$K136=0),"",$AF136/$K136)</f>
        <v/>
      </c>
      <c r="AH136" s="46"/>
      <c r="AI136" s="43" t="str">
        <f aca="false">IF(OR($D136="",$AH136="",$Z136=""),"",$Z136-$AH136)</f>
        <v/>
      </c>
      <c r="AJ136" s="49"/>
      <c r="AK136" s="47" t="str">
        <f aca="false">IF($D136="","",IFERROR(MATCH($F136,Config!$A$13:$A$15,0),1))</f>
        <v/>
      </c>
      <c r="AL136" s="47" t="str">
        <f aca="false">IF(OR($D136="",$N136=""),"",IF($E136="LONG",$K136,$O136))</f>
        <v/>
      </c>
      <c r="AM136" s="47" t="str">
        <f aca="false">IF(OR($D136="",$N136=""),"",IF($E136="LONG",$O136,$K136))</f>
        <v/>
      </c>
    </row>
    <row r="137" customFormat="false" ht="15" hidden="false" customHeight="false" outlineLevel="0" collapsed="false">
      <c r="A137" s="49"/>
      <c r="B137" s="5" t="str">
        <f aca="false">IF($D137="","",IF(OR(RIGHT($A137,2)="-L",RIGHT($A137,2)="-S"),LEFT($A137,LEN($A137)-2),$A137))</f>
        <v/>
      </c>
      <c r="C137" s="50"/>
      <c r="D137" s="49"/>
      <c r="E137" s="49"/>
      <c r="F137" s="49"/>
      <c r="G137" s="45"/>
      <c r="H137" s="50"/>
      <c r="I137" s="45"/>
      <c r="J137" s="51"/>
      <c r="K137" s="40" t="str">
        <f aca="false">IF($D137="","",$I137*$J137)</f>
        <v/>
      </c>
      <c r="L137" s="50"/>
      <c r="M137" s="49"/>
      <c r="N137" s="45"/>
      <c r="O137" s="40" t="str">
        <f aca="false">IF(OR($D137="",$N137=""),"",$N137*$J137)</f>
        <v/>
      </c>
      <c r="P137" s="41" t="str">
        <f aca="false">IF(OR($D137="",$L137=""),"",MAX($L137-$H137,0))</f>
        <v/>
      </c>
      <c r="Q137" s="40" t="str">
        <f aca="false">IF(OR($D137="",$N137=""),"",IF($E137="LONG",($N137-$I137)*$J137,($I137-$N137)*$J137))</f>
        <v/>
      </c>
      <c r="R137" s="42" t="str">
        <f aca="false">IF(OR($D137="",$Q137="",$K137=0),"",$Q137/$K137)</f>
        <v/>
      </c>
      <c r="S137" s="43" t="str">
        <f aca="false">IF(OR($D137="",$N137=""),"",MIN(INDEX(Config!$C$13:$C$15,$AK137),INDEX(Config!$B$13:$B$15,$AK137)*$K137)+MIN(INDEX(Config!$C$13:$C$15,$AK137),INDEX(Config!$B$13:$B$15,$AK137)*$O137))</f>
        <v/>
      </c>
      <c r="T137" s="43" t="str">
        <f aca="false">IF(OR($D137="",$N137=""),"",INDEX(Config!$D$13:$D$15,$AK137)*$AL137+INDEX(Config!$E$13:$E$15,$AK137)*$AM137)</f>
        <v/>
      </c>
      <c r="U137" s="43" t="str">
        <f aca="false">IF(OR($D137="",$N137=""),"",INDEX(Config!$F$13:$F$15,$AK137)*($K137+$O137))</f>
        <v/>
      </c>
      <c r="V137" s="43" t="str">
        <f aca="false">IF(OR($D137="",$N137=""),"",INDEX(Config!$G$13:$G$15,$AK137)*($K137+$O137)+INDEX(Config!$H$13:$H$15,$AK137)*$AL137+INDEX(Config!$J$13:$J$15,$AK137))</f>
        <v/>
      </c>
      <c r="W137" s="43" t="str">
        <f aca="false">IF(OR($D137="",$N137=""),"",INDEX(Config!$I$13:$I$15,$AK137)*($S137+$U137+INDEX(Config!$G$13:$G$15,$AK137)*($K137+$O137)))</f>
        <v/>
      </c>
      <c r="X137" s="43" t="str">
        <f aca="false">IF(OR($D137="",$N137=""),"",INDEX(Config!$K$13:$K$15,$AK137)/365*$P137*$K137*Config!$B$8)</f>
        <v/>
      </c>
      <c r="Y137" s="43" t="str">
        <f aca="false">IF(OR($D137="",$N137=""),"",SUM($S137:$X137))</f>
        <v/>
      </c>
      <c r="Z137" s="40" t="str">
        <f aca="false">IF(OR($D137="",$Q137=""),"",$Q137-$Y137)</f>
        <v/>
      </c>
      <c r="AA137" s="42" t="str">
        <f aca="false">IF(OR($D137="",$Z137="",$K137=0),"",$Z137/$K137)</f>
        <v/>
      </c>
      <c r="AB137" s="44" t="str">
        <f aca="false">IF(OR($D137="",$Y137="",$K137=0),"",$Y137/$K137*10000)</f>
        <v/>
      </c>
      <c r="AC137" s="44" t="str">
        <f aca="false">IF(OR($D137="",$G137="",$G137=0,$I137=""),"",IF($E137="LONG",($I137-$G137)/$G137,($G137-$I137)/$G137)*10000)</f>
        <v/>
      </c>
      <c r="AD137" s="45"/>
      <c r="AE137" s="40" t="str">
        <f aca="false">IF(OR($D137="",$N137&lt;&gt;"",$AD137=""),"",IF($E137="LONG",($AD137-$I137)*$J137,($I137-$AD137)*$J137))</f>
        <v/>
      </c>
      <c r="AF137" s="40" t="str">
        <f aca="false">IF(OR($D137="",$E137&lt;&gt;"LONG",$Z137=""),"",$Z137+SUMIFS($Z$4:$Z$503,$B$4:$B$503,$B137,$E$4:$E$503,"SHORT"))</f>
        <v/>
      </c>
      <c r="AG137" s="42" t="str">
        <f aca="false">IF(OR($AF137="",$K137=0),"",$AF137/$K137)</f>
        <v/>
      </c>
      <c r="AH137" s="46"/>
      <c r="AI137" s="43" t="str">
        <f aca="false">IF(OR($D137="",$AH137="",$Z137=""),"",$Z137-$AH137)</f>
        <v/>
      </c>
      <c r="AJ137" s="49"/>
      <c r="AK137" s="47" t="str">
        <f aca="false">IF($D137="","",IFERROR(MATCH($F137,Config!$A$13:$A$15,0),1))</f>
        <v/>
      </c>
      <c r="AL137" s="47" t="str">
        <f aca="false">IF(OR($D137="",$N137=""),"",IF($E137="LONG",$K137,$O137))</f>
        <v/>
      </c>
      <c r="AM137" s="47" t="str">
        <f aca="false">IF(OR($D137="",$N137=""),"",IF($E137="LONG",$O137,$K137))</f>
        <v/>
      </c>
    </row>
    <row r="138" customFormat="false" ht="15" hidden="false" customHeight="false" outlineLevel="0" collapsed="false">
      <c r="A138" s="49"/>
      <c r="B138" s="5" t="str">
        <f aca="false">IF($D138="","",IF(OR(RIGHT($A138,2)="-L",RIGHT($A138,2)="-S"),LEFT($A138,LEN($A138)-2),$A138))</f>
        <v/>
      </c>
      <c r="C138" s="50"/>
      <c r="D138" s="49"/>
      <c r="E138" s="49"/>
      <c r="F138" s="49"/>
      <c r="G138" s="45"/>
      <c r="H138" s="50"/>
      <c r="I138" s="45"/>
      <c r="J138" s="51"/>
      <c r="K138" s="40" t="str">
        <f aca="false">IF($D138="","",$I138*$J138)</f>
        <v/>
      </c>
      <c r="L138" s="50"/>
      <c r="M138" s="49"/>
      <c r="N138" s="45"/>
      <c r="O138" s="40" t="str">
        <f aca="false">IF(OR($D138="",$N138=""),"",$N138*$J138)</f>
        <v/>
      </c>
      <c r="P138" s="41" t="str">
        <f aca="false">IF(OR($D138="",$L138=""),"",MAX($L138-$H138,0))</f>
        <v/>
      </c>
      <c r="Q138" s="40" t="str">
        <f aca="false">IF(OR($D138="",$N138=""),"",IF($E138="LONG",($N138-$I138)*$J138,($I138-$N138)*$J138))</f>
        <v/>
      </c>
      <c r="R138" s="42" t="str">
        <f aca="false">IF(OR($D138="",$Q138="",$K138=0),"",$Q138/$K138)</f>
        <v/>
      </c>
      <c r="S138" s="43" t="str">
        <f aca="false">IF(OR($D138="",$N138=""),"",MIN(INDEX(Config!$C$13:$C$15,$AK138),INDEX(Config!$B$13:$B$15,$AK138)*$K138)+MIN(INDEX(Config!$C$13:$C$15,$AK138),INDEX(Config!$B$13:$B$15,$AK138)*$O138))</f>
        <v/>
      </c>
      <c r="T138" s="43" t="str">
        <f aca="false">IF(OR($D138="",$N138=""),"",INDEX(Config!$D$13:$D$15,$AK138)*$AL138+INDEX(Config!$E$13:$E$15,$AK138)*$AM138)</f>
        <v/>
      </c>
      <c r="U138" s="43" t="str">
        <f aca="false">IF(OR($D138="",$N138=""),"",INDEX(Config!$F$13:$F$15,$AK138)*($K138+$O138))</f>
        <v/>
      </c>
      <c r="V138" s="43" t="str">
        <f aca="false">IF(OR($D138="",$N138=""),"",INDEX(Config!$G$13:$G$15,$AK138)*($K138+$O138)+INDEX(Config!$H$13:$H$15,$AK138)*$AL138+INDEX(Config!$J$13:$J$15,$AK138))</f>
        <v/>
      </c>
      <c r="W138" s="43" t="str">
        <f aca="false">IF(OR($D138="",$N138=""),"",INDEX(Config!$I$13:$I$15,$AK138)*($S138+$U138+INDEX(Config!$G$13:$G$15,$AK138)*($K138+$O138)))</f>
        <v/>
      </c>
      <c r="X138" s="43" t="str">
        <f aca="false">IF(OR($D138="",$N138=""),"",INDEX(Config!$K$13:$K$15,$AK138)/365*$P138*$K138*Config!$B$8)</f>
        <v/>
      </c>
      <c r="Y138" s="43" t="str">
        <f aca="false">IF(OR($D138="",$N138=""),"",SUM($S138:$X138))</f>
        <v/>
      </c>
      <c r="Z138" s="40" t="str">
        <f aca="false">IF(OR($D138="",$Q138=""),"",$Q138-$Y138)</f>
        <v/>
      </c>
      <c r="AA138" s="42" t="str">
        <f aca="false">IF(OR($D138="",$Z138="",$K138=0),"",$Z138/$K138)</f>
        <v/>
      </c>
      <c r="AB138" s="44" t="str">
        <f aca="false">IF(OR($D138="",$Y138="",$K138=0),"",$Y138/$K138*10000)</f>
        <v/>
      </c>
      <c r="AC138" s="44" t="str">
        <f aca="false">IF(OR($D138="",$G138="",$G138=0,$I138=""),"",IF($E138="LONG",($I138-$G138)/$G138,($G138-$I138)/$G138)*10000)</f>
        <v/>
      </c>
      <c r="AD138" s="45"/>
      <c r="AE138" s="40" t="str">
        <f aca="false">IF(OR($D138="",$N138&lt;&gt;"",$AD138=""),"",IF($E138="LONG",($AD138-$I138)*$J138,($I138-$AD138)*$J138))</f>
        <v/>
      </c>
      <c r="AF138" s="40" t="str">
        <f aca="false">IF(OR($D138="",$E138&lt;&gt;"LONG",$Z138=""),"",$Z138+SUMIFS($Z$4:$Z$503,$B$4:$B$503,$B138,$E$4:$E$503,"SHORT"))</f>
        <v/>
      </c>
      <c r="AG138" s="42" t="str">
        <f aca="false">IF(OR($AF138="",$K138=0),"",$AF138/$K138)</f>
        <v/>
      </c>
      <c r="AH138" s="46"/>
      <c r="AI138" s="43" t="str">
        <f aca="false">IF(OR($D138="",$AH138="",$Z138=""),"",$Z138-$AH138)</f>
        <v/>
      </c>
      <c r="AJ138" s="49"/>
      <c r="AK138" s="47" t="str">
        <f aca="false">IF($D138="","",IFERROR(MATCH($F138,Config!$A$13:$A$15,0),1))</f>
        <v/>
      </c>
      <c r="AL138" s="47" t="str">
        <f aca="false">IF(OR($D138="",$N138=""),"",IF($E138="LONG",$K138,$O138))</f>
        <v/>
      </c>
      <c r="AM138" s="47" t="str">
        <f aca="false">IF(OR($D138="",$N138=""),"",IF($E138="LONG",$O138,$K138))</f>
        <v/>
      </c>
    </row>
    <row r="139" customFormat="false" ht="15" hidden="false" customHeight="false" outlineLevel="0" collapsed="false">
      <c r="A139" s="49"/>
      <c r="B139" s="5" t="str">
        <f aca="false">IF($D139="","",IF(OR(RIGHT($A139,2)="-L",RIGHT($A139,2)="-S"),LEFT($A139,LEN($A139)-2),$A139))</f>
        <v/>
      </c>
      <c r="C139" s="50"/>
      <c r="D139" s="49"/>
      <c r="E139" s="49"/>
      <c r="F139" s="49"/>
      <c r="G139" s="45"/>
      <c r="H139" s="50"/>
      <c r="I139" s="45"/>
      <c r="J139" s="51"/>
      <c r="K139" s="40" t="str">
        <f aca="false">IF($D139="","",$I139*$J139)</f>
        <v/>
      </c>
      <c r="L139" s="50"/>
      <c r="M139" s="49"/>
      <c r="N139" s="45"/>
      <c r="O139" s="40" t="str">
        <f aca="false">IF(OR($D139="",$N139=""),"",$N139*$J139)</f>
        <v/>
      </c>
      <c r="P139" s="41" t="str">
        <f aca="false">IF(OR($D139="",$L139=""),"",MAX($L139-$H139,0))</f>
        <v/>
      </c>
      <c r="Q139" s="40" t="str">
        <f aca="false">IF(OR($D139="",$N139=""),"",IF($E139="LONG",($N139-$I139)*$J139,($I139-$N139)*$J139))</f>
        <v/>
      </c>
      <c r="R139" s="42" t="str">
        <f aca="false">IF(OR($D139="",$Q139="",$K139=0),"",$Q139/$K139)</f>
        <v/>
      </c>
      <c r="S139" s="43" t="str">
        <f aca="false">IF(OR($D139="",$N139=""),"",MIN(INDEX(Config!$C$13:$C$15,$AK139),INDEX(Config!$B$13:$B$15,$AK139)*$K139)+MIN(INDEX(Config!$C$13:$C$15,$AK139),INDEX(Config!$B$13:$B$15,$AK139)*$O139))</f>
        <v/>
      </c>
      <c r="T139" s="43" t="str">
        <f aca="false">IF(OR($D139="",$N139=""),"",INDEX(Config!$D$13:$D$15,$AK139)*$AL139+INDEX(Config!$E$13:$E$15,$AK139)*$AM139)</f>
        <v/>
      </c>
      <c r="U139" s="43" t="str">
        <f aca="false">IF(OR($D139="",$N139=""),"",INDEX(Config!$F$13:$F$15,$AK139)*($K139+$O139))</f>
        <v/>
      </c>
      <c r="V139" s="43" t="str">
        <f aca="false">IF(OR($D139="",$N139=""),"",INDEX(Config!$G$13:$G$15,$AK139)*($K139+$O139)+INDEX(Config!$H$13:$H$15,$AK139)*$AL139+INDEX(Config!$J$13:$J$15,$AK139))</f>
        <v/>
      </c>
      <c r="W139" s="43" t="str">
        <f aca="false">IF(OR($D139="",$N139=""),"",INDEX(Config!$I$13:$I$15,$AK139)*($S139+$U139+INDEX(Config!$G$13:$G$15,$AK139)*($K139+$O139)))</f>
        <v/>
      </c>
      <c r="X139" s="43" t="str">
        <f aca="false">IF(OR($D139="",$N139=""),"",INDEX(Config!$K$13:$K$15,$AK139)/365*$P139*$K139*Config!$B$8)</f>
        <v/>
      </c>
      <c r="Y139" s="43" t="str">
        <f aca="false">IF(OR($D139="",$N139=""),"",SUM($S139:$X139))</f>
        <v/>
      </c>
      <c r="Z139" s="40" t="str">
        <f aca="false">IF(OR($D139="",$Q139=""),"",$Q139-$Y139)</f>
        <v/>
      </c>
      <c r="AA139" s="42" t="str">
        <f aca="false">IF(OR($D139="",$Z139="",$K139=0),"",$Z139/$K139)</f>
        <v/>
      </c>
      <c r="AB139" s="44" t="str">
        <f aca="false">IF(OR($D139="",$Y139="",$K139=0),"",$Y139/$K139*10000)</f>
        <v/>
      </c>
      <c r="AC139" s="44" t="str">
        <f aca="false">IF(OR($D139="",$G139="",$G139=0,$I139=""),"",IF($E139="LONG",($I139-$G139)/$G139,($G139-$I139)/$G139)*10000)</f>
        <v/>
      </c>
      <c r="AD139" s="45"/>
      <c r="AE139" s="40" t="str">
        <f aca="false">IF(OR($D139="",$N139&lt;&gt;"",$AD139=""),"",IF($E139="LONG",($AD139-$I139)*$J139,($I139-$AD139)*$J139))</f>
        <v/>
      </c>
      <c r="AF139" s="40" t="str">
        <f aca="false">IF(OR($D139="",$E139&lt;&gt;"LONG",$Z139=""),"",$Z139+SUMIFS($Z$4:$Z$503,$B$4:$B$503,$B139,$E$4:$E$503,"SHORT"))</f>
        <v/>
      </c>
      <c r="AG139" s="42" t="str">
        <f aca="false">IF(OR($AF139="",$K139=0),"",$AF139/$K139)</f>
        <v/>
      </c>
      <c r="AH139" s="46"/>
      <c r="AI139" s="43" t="str">
        <f aca="false">IF(OR($D139="",$AH139="",$Z139=""),"",$Z139-$AH139)</f>
        <v/>
      </c>
      <c r="AJ139" s="49"/>
      <c r="AK139" s="47" t="str">
        <f aca="false">IF($D139="","",IFERROR(MATCH($F139,Config!$A$13:$A$15,0),1))</f>
        <v/>
      </c>
      <c r="AL139" s="47" t="str">
        <f aca="false">IF(OR($D139="",$N139=""),"",IF($E139="LONG",$K139,$O139))</f>
        <v/>
      </c>
      <c r="AM139" s="47" t="str">
        <f aca="false">IF(OR($D139="",$N139=""),"",IF($E139="LONG",$O139,$K139))</f>
        <v/>
      </c>
    </row>
    <row r="140" customFormat="false" ht="15" hidden="false" customHeight="false" outlineLevel="0" collapsed="false">
      <c r="A140" s="49"/>
      <c r="B140" s="5" t="str">
        <f aca="false">IF($D140="","",IF(OR(RIGHT($A140,2)="-L",RIGHT($A140,2)="-S"),LEFT($A140,LEN($A140)-2),$A140))</f>
        <v/>
      </c>
      <c r="C140" s="50"/>
      <c r="D140" s="49"/>
      <c r="E140" s="49"/>
      <c r="F140" s="49"/>
      <c r="G140" s="45"/>
      <c r="H140" s="50"/>
      <c r="I140" s="45"/>
      <c r="J140" s="51"/>
      <c r="K140" s="40" t="str">
        <f aca="false">IF($D140="","",$I140*$J140)</f>
        <v/>
      </c>
      <c r="L140" s="50"/>
      <c r="M140" s="49"/>
      <c r="N140" s="45"/>
      <c r="O140" s="40" t="str">
        <f aca="false">IF(OR($D140="",$N140=""),"",$N140*$J140)</f>
        <v/>
      </c>
      <c r="P140" s="41" t="str">
        <f aca="false">IF(OR($D140="",$L140=""),"",MAX($L140-$H140,0))</f>
        <v/>
      </c>
      <c r="Q140" s="40" t="str">
        <f aca="false">IF(OR($D140="",$N140=""),"",IF($E140="LONG",($N140-$I140)*$J140,($I140-$N140)*$J140))</f>
        <v/>
      </c>
      <c r="R140" s="42" t="str">
        <f aca="false">IF(OR($D140="",$Q140="",$K140=0),"",$Q140/$K140)</f>
        <v/>
      </c>
      <c r="S140" s="43" t="str">
        <f aca="false">IF(OR($D140="",$N140=""),"",MIN(INDEX(Config!$C$13:$C$15,$AK140),INDEX(Config!$B$13:$B$15,$AK140)*$K140)+MIN(INDEX(Config!$C$13:$C$15,$AK140),INDEX(Config!$B$13:$B$15,$AK140)*$O140))</f>
        <v/>
      </c>
      <c r="T140" s="43" t="str">
        <f aca="false">IF(OR($D140="",$N140=""),"",INDEX(Config!$D$13:$D$15,$AK140)*$AL140+INDEX(Config!$E$13:$E$15,$AK140)*$AM140)</f>
        <v/>
      </c>
      <c r="U140" s="43" t="str">
        <f aca="false">IF(OR($D140="",$N140=""),"",INDEX(Config!$F$13:$F$15,$AK140)*($K140+$O140))</f>
        <v/>
      </c>
      <c r="V140" s="43" t="str">
        <f aca="false">IF(OR($D140="",$N140=""),"",INDEX(Config!$G$13:$G$15,$AK140)*($K140+$O140)+INDEX(Config!$H$13:$H$15,$AK140)*$AL140+INDEX(Config!$J$13:$J$15,$AK140))</f>
        <v/>
      </c>
      <c r="W140" s="43" t="str">
        <f aca="false">IF(OR($D140="",$N140=""),"",INDEX(Config!$I$13:$I$15,$AK140)*($S140+$U140+INDEX(Config!$G$13:$G$15,$AK140)*($K140+$O140)))</f>
        <v/>
      </c>
      <c r="X140" s="43" t="str">
        <f aca="false">IF(OR($D140="",$N140=""),"",INDEX(Config!$K$13:$K$15,$AK140)/365*$P140*$K140*Config!$B$8)</f>
        <v/>
      </c>
      <c r="Y140" s="43" t="str">
        <f aca="false">IF(OR($D140="",$N140=""),"",SUM($S140:$X140))</f>
        <v/>
      </c>
      <c r="Z140" s="40" t="str">
        <f aca="false">IF(OR($D140="",$Q140=""),"",$Q140-$Y140)</f>
        <v/>
      </c>
      <c r="AA140" s="42" t="str">
        <f aca="false">IF(OR($D140="",$Z140="",$K140=0),"",$Z140/$K140)</f>
        <v/>
      </c>
      <c r="AB140" s="44" t="str">
        <f aca="false">IF(OR($D140="",$Y140="",$K140=0),"",$Y140/$K140*10000)</f>
        <v/>
      </c>
      <c r="AC140" s="44" t="str">
        <f aca="false">IF(OR($D140="",$G140="",$G140=0,$I140=""),"",IF($E140="LONG",($I140-$G140)/$G140,($G140-$I140)/$G140)*10000)</f>
        <v/>
      </c>
      <c r="AD140" s="45"/>
      <c r="AE140" s="40" t="str">
        <f aca="false">IF(OR($D140="",$N140&lt;&gt;"",$AD140=""),"",IF($E140="LONG",($AD140-$I140)*$J140,($I140-$AD140)*$J140))</f>
        <v/>
      </c>
      <c r="AF140" s="40" t="str">
        <f aca="false">IF(OR($D140="",$E140&lt;&gt;"LONG",$Z140=""),"",$Z140+SUMIFS($Z$4:$Z$503,$B$4:$B$503,$B140,$E$4:$E$503,"SHORT"))</f>
        <v/>
      </c>
      <c r="AG140" s="42" t="str">
        <f aca="false">IF(OR($AF140="",$K140=0),"",$AF140/$K140)</f>
        <v/>
      </c>
      <c r="AH140" s="46"/>
      <c r="AI140" s="43" t="str">
        <f aca="false">IF(OR($D140="",$AH140="",$Z140=""),"",$Z140-$AH140)</f>
        <v/>
      </c>
      <c r="AJ140" s="49"/>
      <c r="AK140" s="47" t="str">
        <f aca="false">IF($D140="","",IFERROR(MATCH($F140,Config!$A$13:$A$15,0),1))</f>
        <v/>
      </c>
      <c r="AL140" s="47" t="str">
        <f aca="false">IF(OR($D140="",$N140=""),"",IF($E140="LONG",$K140,$O140))</f>
        <v/>
      </c>
      <c r="AM140" s="47" t="str">
        <f aca="false">IF(OR($D140="",$N140=""),"",IF($E140="LONG",$O140,$K140))</f>
        <v/>
      </c>
    </row>
    <row r="141" customFormat="false" ht="15" hidden="false" customHeight="false" outlineLevel="0" collapsed="false">
      <c r="A141" s="49"/>
      <c r="B141" s="5" t="str">
        <f aca="false">IF($D141="","",IF(OR(RIGHT($A141,2)="-L",RIGHT($A141,2)="-S"),LEFT($A141,LEN($A141)-2),$A141))</f>
        <v/>
      </c>
      <c r="C141" s="50"/>
      <c r="D141" s="49"/>
      <c r="E141" s="49"/>
      <c r="F141" s="49"/>
      <c r="G141" s="45"/>
      <c r="H141" s="50"/>
      <c r="I141" s="45"/>
      <c r="J141" s="51"/>
      <c r="K141" s="40" t="str">
        <f aca="false">IF($D141="","",$I141*$J141)</f>
        <v/>
      </c>
      <c r="L141" s="50"/>
      <c r="M141" s="49"/>
      <c r="N141" s="45"/>
      <c r="O141" s="40" t="str">
        <f aca="false">IF(OR($D141="",$N141=""),"",$N141*$J141)</f>
        <v/>
      </c>
      <c r="P141" s="41" t="str">
        <f aca="false">IF(OR($D141="",$L141=""),"",MAX($L141-$H141,0))</f>
        <v/>
      </c>
      <c r="Q141" s="40" t="str">
        <f aca="false">IF(OR($D141="",$N141=""),"",IF($E141="LONG",($N141-$I141)*$J141,($I141-$N141)*$J141))</f>
        <v/>
      </c>
      <c r="R141" s="42" t="str">
        <f aca="false">IF(OR($D141="",$Q141="",$K141=0),"",$Q141/$K141)</f>
        <v/>
      </c>
      <c r="S141" s="43" t="str">
        <f aca="false">IF(OR($D141="",$N141=""),"",MIN(INDEX(Config!$C$13:$C$15,$AK141),INDEX(Config!$B$13:$B$15,$AK141)*$K141)+MIN(INDEX(Config!$C$13:$C$15,$AK141),INDEX(Config!$B$13:$B$15,$AK141)*$O141))</f>
        <v/>
      </c>
      <c r="T141" s="43" t="str">
        <f aca="false">IF(OR($D141="",$N141=""),"",INDEX(Config!$D$13:$D$15,$AK141)*$AL141+INDEX(Config!$E$13:$E$15,$AK141)*$AM141)</f>
        <v/>
      </c>
      <c r="U141" s="43" t="str">
        <f aca="false">IF(OR($D141="",$N141=""),"",INDEX(Config!$F$13:$F$15,$AK141)*($K141+$O141))</f>
        <v/>
      </c>
      <c r="V141" s="43" t="str">
        <f aca="false">IF(OR($D141="",$N141=""),"",INDEX(Config!$G$13:$G$15,$AK141)*($K141+$O141)+INDEX(Config!$H$13:$H$15,$AK141)*$AL141+INDEX(Config!$J$13:$J$15,$AK141))</f>
        <v/>
      </c>
      <c r="W141" s="43" t="str">
        <f aca="false">IF(OR($D141="",$N141=""),"",INDEX(Config!$I$13:$I$15,$AK141)*($S141+$U141+INDEX(Config!$G$13:$G$15,$AK141)*($K141+$O141)))</f>
        <v/>
      </c>
      <c r="X141" s="43" t="str">
        <f aca="false">IF(OR($D141="",$N141=""),"",INDEX(Config!$K$13:$K$15,$AK141)/365*$P141*$K141*Config!$B$8)</f>
        <v/>
      </c>
      <c r="Y141" s="43" t="str">
        <f aca="false">IF(OR($D141="",$N141=""),"",SUM($S141:$X141))</f>
        <v/>
      </c>
      <c r="Z141" s="40" t="str">
        <f aca="false">IF(OR($D141="",$Q141=""),"",$Q141-$Y141)</f>
        <v/>
      </c>
      <c r="AA141" s="42" t="str">
        <f aca="false">IF(OR($D141="",$Z141="",$K141=0),"",$Z141/$K141)</f>
        <v/>
      </c>
      <c r="AB141" s="44" t="str">
        <f aca="false">IF(OR($D141="",$Y141="",$K141=0),"",$Y141/$K141*10000)</f>
        <v/>
      </c>
      <c r="AC141" s="44" t="str">
        <f aca="false">IF(OR($D141="",$G141="",$G141=0,$I141=""),"",IF($E141="LONG",($I141-$G141)/$G141,($G141-$I141)/$G141)*10000)</f>
        <v/>
      </c>
      <c r="AD141" s="45"/>
      <c r="AE141" s="40" t="str">
        <f aca="false">IF(OR($D141="",$N141&lt;&gt;"",$AD141=""),"",IF($E141="LONG",($AD141-$I141)*$J141,($I141-$AD141)*$J141))</f>
        <v/>
      </c>
      <c r="AF141" s="40" t="str">
        <f aca="false">IF(OR($D141="",$E141&lt;&gt;"LONG",$Z141=""),"",$Z141+SUMIFS($Z$4:$Z$503,$B$4:$B$503,$B141,$E$4:$E$503,"SHORT"))</f>
        <v/>
      </c>
      <c r="AG141" s="42" t="str">
        <f aca="false">IF(OR($AF141="",$K141=0),"",$AF141/$K141)</f>
        <v/>
      </c>
      <c r="AH141" s="46"/>
      <c r="AI141" s="43" t="str">
        <f aca="false">IF(OR($D141="",$AH141="",$Z141=""),"",$Z141-$AH141)</f>
        <v/>
      </c>
      <c r="AJ141" s="49"/>
      <c r="AK141" s="47" t="str">
        <f aca="false">IF($D141="","",IFERROR(MATCH($F141,Config!$A$13:$A$15,0),1))</f>
        <v/>
      </c>
      <c r="AL141" s="47" t="str">
        <f aca="false">IF(OR($D141="",$N141=""),"",IF($E141="LONG",$K141,$O141))</f>
        <v/>
      </c>
      <c r="AM141" s="47" t="str">
        <f aca="false">IF(OR($D141="",$N141=""),"",IF($E141="LONG",$O141,$K141))</f>
        <v/>
      </c>
    </row>
    <row r="142" customFormat="false" ht="15" hidden="false" customHeight="false" outlineLevel="0" collapsed="false">
      <c r="A142" s="49"/>
      <c r="B142" s="5" t="str">
        <f aca="false">IF($D142="","",IF(OR(RIGHT($A142,2)="-L",RIGHT($A142,2)="-S"),LEFT($A142,LEN($A142)-2),$A142))</f>
        <v/>
      </c>
      <c r="C142" s="50"/>
      <c r="D142" s="49"/>
      <c r="E142" s="49"/>
      <c r="F142" s="49"/>
      <c r="G142" s="45"/>
      <c r="H142" s="50"/>
      <c r="I142" s="45"/>
      <c r="J142" s="51"/>
      <c r="K142" s="40" t="str">
        <f aca="false">IF($D142="","",$I142*$J142)</f>
        <v/>
      </c>
      <c r="L142" s="50"/>
      <c r="M142" s="49"/>
      <c r="N142" s="45"/>
      <c r="O142" s="40" t="str">
        <f aca="false">IF(OR($D142="",$N142=""),"",$N142*$J142)</f>
        <v/>
      </c>
      <c r="P142" s="41" t="str">
        <f aca="false">IF(OR($D142="",$L142=""),"",MAX($L142-$H142,0))</f>
        <v/>
      </c>
      <c r="Q142" s="40" t="str">
        <f aca="false">IF(OR($D142="",$N142=""),"",IF($E142="LONG",($N142-$I142)*$J142,($I142-$N142)*$J142))</f>
        <v/>
      </c>
      <c r="R142" s="42" t="str">
        <f aca="false">IF(OR($D142="",$Q142="",$K142=0),"",$Q142/$K142)</f>
        <v/>
      </c>
      <c r="S142" s="43" t="str">
        <f aca="false">IF(OR($D142="",$N142=""),"",MIN(INDEX(Config!$C$13:$C$15,$AK142),INDEX(Config!$B$13:$B$15,$AK142)*$K142)+MIN(INDEX(Config!$C$13:$C$15,$AK142),INDEX(Config!$B$13:$B$15,$AK142)*$O142))</f>
        <v/>
      </c>
      <c r="T142" s="43" t="str">
        <f aca="false">IF(OR($D142="",$N142=""),"",INDEX(Config!$D$13:$D$15,$AK142)*$AL142+INDEX(Config!$E$13:$E$15,$AK142)*$AM142)</f>
        <v/>
      </c>
      <c r="U142" s="43" t="str">
        <f aca="false">IF(OR($D142="",$N142=""),"",INDEX(Config!$F$13:$F$15,$AK142)*($K142+$O142))</f>
        <v/>
      </c>
      <c r="V142" s="43" t="str">
        <f aca="false">IF(OR($D142="",$N142=""),"",INDEX(Config!$G$13:$G$15,$AK142)*($K142+$O142)+INDEX(Config!$H$13:$H$15,$AK142)*$AL142+INDEX(Config!$J$13:$J$15,$AK142))</f>
        <v/>
      </c>
      <c r="W142" s="43" t="str">
        <f aca="false">IF(OR($D142="",$N142=""),"",INDEX(Config!$I$13:$I$15,$AK142)*($S142+$U142+INDEX(Config!$G$13:$G$15,$AK142)*($K142+$O142)))</f>
        <v/>
      </c>
      <c r="X142" s="43" t="str">
        <f aca="false">IF(OR($D142="",$N142=""),"",INDEX(Config!$K$13:$K$15,$AK142)/365*$P142*$K142*Config!$B$8)</f>
        <v/>
      </c>
      <c r="Y142" s="43" t="str">
        <f aca="false">IF(OR($D142="",$N142=""),"",SUM($S142:$X142))</f>
        <v/>
      </c>
      <c r="Z142" s="40" t="str">
        <f aca="false">IF(OR($D142="",$Q142=""),"",$Q142-$Y142)</f>
        <v/>
      </c>
      <c r="AA142" s="42" t="str">
        <f aca="false">IF(OR($D142="",$Z142="",$K142=0),"",$Z142/$K142)</f>
        <v/>
      </c>
      <c r="AB142" s="44" t="str">
        <f aca="false">IF(OR($D142="",$Y142="",$K142=0),"",$Y142/$K142*10000)</f>
        <v/>
      </c>
      <c r="AC142" s="44" t="str">
        <f aca="false">IF(OR($D142="",$G142="",$G142=0,$I142=""),"",IF($E142="LONG",($I142-$G142)/$G142,($G142-$I142)/$G142)*10000)</f>
        <v/>
      </c>
      <c r="AD142" s="45"/>
      <c r="AE142" s="40" t="str">
        <f aca="false">IF(OR($D142="",$N142&lt;&gt;"",$AD142=""),"",IF($E142="LONG",($AD142-$I142)*$J142,($I142-$AD142)*$J142))</f>
        <v/>
      </c>
      <c r="AF142" s="40" t="str">
        <f aca="false">IF(OR($D142="",$E142&lt;&gt;"LONG",$Z142=""),"",$Z142+SUMIFS($Z$4:$Z$503,$B$4:$B$503,$B142,$E$4:$E$503,"SHORT"))</f>
        <v/>
      </c>
      <c r="AG142" s="42" t="str">
        <f aca="false">IF(OR($AF142="",$K142=0),"",$AF142/$K142)</f>
        <v/>
      </c>
      <c r="AH142" s="46"/>
      <c r="AI142" s="43" t="str">
        <f aca="false">IF(OR($D142="",$AH142="",$Z142=""),"",$Z142-$AH142)</f>
        <v/>
      </c>
      <c r="AJ142" s="49"/>
      <c r="AK142" s="47" t="str">
        <f aca="false">IF($D142="","",IFERROR(MATCH($F142,Config!$A$13:$A$15,0),1))</f>
        <v/>
      </c>
      <c r="AL142" s="47" t="str">
        <f aca="false">IF(OR($D142="",$N142=""),"",IF($E142="LONG",$K142,$O142))</f>
        <v/>
      </c>
      <c r="AM142" s="47" t="str">
        <f aca="false">IF(OR($D142="",$N142=""),"",IF($E142="LONG",$O142,$K142))</f>
        <v/>
      </c>
    </row>
    <row r="143" customFormat="false" ht="15" hidden="false" customHeight="false" outlineLevel="0" collapsed="false">
      <c r="A143" s="49"/>
      <c r="B143" s="5" t="str">
        <f aca="false">IF($D143="","",IF(OR(RIGHT($A143,2)="-L",RIGHT($A143,2)="-S"),LEFT($A143,LEN($A143)-2),$A143))</f>
        <v/>
      </c>
      <c r="C143" s="50"/>
      <c r="D143" s="49"/>
      <c r="E143" s="49"/>
      <c r="F143" s="49"/>
      <c r="G143" s="45"/>
      <c r="H143" s="50"/>
      <c r="I143" s="45"/>
      <c r="J143" s="51"/>
      <c r="K143" s="40" t="str">
        <f aca="false">IF($D143="","",$I143*$J143)</f>
        <v/>
      </c>
      <c r="L143" s="50"/>
      <c r="M143" s="49"/>
      <c r="N143" s="45"/>
      <c r="O143" s="40" t="str">
        <f aca="false">IF(OR($D143="",$N143=""),"",$N143*$J143)</f>
        <v/>
      </c>
      <c r="P143" s="41" t="str">
        <f aca="false">IF(OR($D143="",$L143=""),"",MAX($L143-$H143,0))</f>
        <v/>
      </c>
      <c r="Q143" s="40" t="str">
        <f aca="false">IF(OR($D143="",$N143=""),"",IF($E143="LONG",($N143-$I143)*$J143,($I143-$N143)*$J143))</f>
        <v/>
      </c>
      <c r="R143" s="42" t="str">
        <f aca="false">IF(OR($D143="",$Q143="",$K143=0),"",$Q143/$K143)</f>
        <v/>
      </c>
      <c r="S143" s="43" t="str">
        <f aca="false">IF(OR($D143="",$N143=""),"",MIN(INDEX(Config!$C$13:$C$15,$AK143),INDEX(Config!$B$13:$B$15,$AK143)*$K143)+MIN(INDEX(Config!$C$13:$C$15,$AK143),INDEX(Config!$B$13:$B$15,$AK143)*$O143))</f>
        <v/>
      </c>
      <c r="T143" s="43" t="str">
        <f aca="false">IF(OR($D143="",$N143=""),"",INDEX(Config!$D$13:$D$15,$AK143)*$AL143+INDEX(Config!$E$13:$E$15,$AK143)*$AM143)</f>
        <v/>
      </c>
      <c r="U143" s="43" t="str">
        <f aca="false">IF(OR($D143="",$N143=""),"",INDEX(Config!$F$13:$F$15,$AK143)*($K143+$O143))</f>
        <v/>
      </c>
      <c r="V143" s="43" t="str">
        <f aca="false">IF(OR($D143="",$N143=""),"",INDEX(Config!$G$13:$G$15,$AK143)*($K143+$O143)+INDEX(Config!$H$13:$H$15,$AK143)*$AL143+INDEX(Config!$J$13:$J$15,$AK143))</f>
        <v/>
      </c>
      <c r="W143" s="43" t="str">
        <f aca="false">IF(OR($D143="",$N143=""),"",INDEX(Config!$I$13:$I$15,$AK143)*($S143+$U143+INDEX(Config!$G$13:$G$15,$AK143)*($K143+$O143)))</f>
        <v/>
      </c>
      <c r="X143" s="43" t="str">
        <f aca="false">IF(OR($D143="",$N143=""),"",INDEX(Config!$K$13:$K$15,$AK143)/365*$P143*$K143*Config!$B$8)</f>
        <v/>
      </c>
      <c r="Y143" s="43" t="str">
        <f aca="false">IF(OR($D143="",$N143=""),"",SUM($S143:$X143))</f>
        <v/>
      </c>
      <c r="Z143" s="40" t="str">
        <f aca="false">IF(OR($D143="",$Q143=""),"",$Q143-$Y143)</f>
        <v/>
      </c>
      <c r="AA143" s="42" t="str">
        <f aca="false">IF(OR($D143="",$Z143="",$K143=0),"",$Z143/$K143)</f>
        <v/>
      </c>
      <c r="AB143" s="44" t="str">
        <f aca="false">IF(OR($D143="",$Y143="",$K143=0),"",$Y143/$K143*10000)</f>
        <v/>
      </c>
      <c r="AC143" s="44" t="str">
        <f aca="false">IF(OR($D143="",$G143="",$G143=0,$I143=""),"",IF($E143="LONG",($I143-$G143)/$G143,($G143-$I143)/$G143)*10000)</f>
        <v/>
      </c>
      <c r="AD143" s="45"/>
      <c r="AE143" s="40" t="str">
        <f aca="false">IF(OR($D143="",$N143&lt;&gt;"",$AD143=""),"",IF($E143="LONG",($AD143-$I143)*$J143,($I143-$AD143)*$J143))</f>
        <v/>
      </c>
      <c r="AF143" s="40" t="str">
        <f aca="false">IF(OR($D143="",$E143&lt;&gt;"LONG",$Z143=""),"",$Z143+SUMIFS($Z$4:$Z$503,$B$4:$B$503,$B143,$E$4:$E$503,"SHORT"))</f>
        <v/>
      </c>
      <c r="AG143" s="42" t="str">
        <f aca="false">IF(OR($AF143="",$K143=0),"",$AF143/$K143)</f>
        <v/>
      </c>
      <c r="AH143" s="46"/>
      <c r="AI143" s="43" t="str">
        <f aca="false">IF(OR($D143="",$AH143="",$Z143=""),"",$Z143-$AH143)</f>
        <v/>
      </c>
      <c r="AJ143" s="49"/>
      <c r="AK143" s="47" t="str">
        <f aca="false">IF($D143="","",IFERROR(MATCH($F143,Config!$A$13:$A$15,0),1))</f>
        <v/>
      </c>
      <c r="AL143" s="47" t="str">
        <f aca="false">IF(OR($D143="",$N143=""),"",IF($E143="LONG",$K143,$O143))</f>
        <v/>
      </c>
      <c r="AM143" s="47" t="str">
        <f aca="false">IF(OR($D143="",$N143=""),"",IF($E143="LONG",$O143,$K143))</f>
        <v/>
      </c>
    </row>
    <row r="144" customFormat="false" ht="15" hidden="false" customHeight="false" outlineLevel="0" collapsed="false">
      <c r="A144" s="49"/>
      <c r="B144" s="5" t="str">
        <f aca="false">IF($D144="","",IF(OR(RIGHT($A144,2)="-L",RIGHT($A144,2)="-S"),LEFT($A144,LEN($A144)-2),$A144))</f>
        <v/>
      </c>
      <c r="C144" s="50"/>
      <c r="D144" s="49"/>
      <c r="E144" s="49"/>
      <c r="F144" s="49"/>
      <c r="G144" s="45"/>
      <c r="H144" s="50"/>
      <c r="I144" s="45"/>
      <c r="J144" s="51"/>
      <c r="K144" s="40" t="str">
        <f aca="false">IF($D144="","",$I144*$J144)</f>
        <v/>
      </c>
      <c r="L144" s="50"/>
      <c r="M144" s="49"/>
      <c r="N144" s="45"/>
      <c r="O144" s="40" t="str">
        <f aca="false">IF(OR($D144="",$N144=""),"",$N144*$J144)</f>
        <v/>
      </c>
      <c r="P144" s="41" t="str">
        <f aca="false">IF(OR($D144="",$L144=""),"",MAX($L144-$H144,0))</f>
        <v/>
      </c>
      <c r="Q144" s="40" t="str">
        <f aca="false">IF(OR($D144="",$N144=""),"",IF($E144="LONG",($N144-$I144)*$J144,($I144-$N144)*$J144))</f>
        <v/>
      </c>
      <c r="R144" s="42" t="str">
        <f aca="false">IF(OR($D144="",$Q144="",$K144=0),"",$Q144/$K144)</f>
        <v/>
      </c>
      <c r="S144" s="43" t="str">
        <f aca="false">IF(OR($D144="",$N144=""),"",MIN(INDEX(Config!$C$13:$C$15,$AK144),INDEX(Config!$B$13:$B$15,$AK144)*$K144)+MIN(INDEX(Config!$C$13:$C$15,$AK144),INDEX(Config!$B$13:$B$15,$AK144)*$O144))</f>
        <v/>
      </c>
      <c r="T144" s="43" t="str">
        <f aca="false">IF(OR($D144="",$N144=""),"",INDEX(Config!$D$13:$D$15,$AK144)*$AL144+INDEX(Config!$E$13:$E$15,$AK144)*$AM144)</f>
        <v/>
      </c>
      <c r="U144" s="43" t="str">
        <f aca="false">IF(OR($D144="",$N144=""),"",INDEX(Config!$F$13:$F$15,$AK144)*($K144+$O144))</f>
        <v/>
      </c>
      <c r="V144" s="43" t="str">
        <f aca="false">IF(OR($D144="",$N144=""),"",INDEX(Config!$G$13:$G$15,$AK144)*($K144+$O144)+INDEX(Config!$H$13:$H$15,$AK144)*$AL144+INDEX(Config!$J$13:$J$15,$AK144))</f>
        <v/>
      </c>
      <c r="W144" s="43" t="str">
        <f aca="false">IF(OR($D144="",$N144=""),"",INDEX(Config!$I$13:$I$15,$AK144)*($S144+$U144+INDEX(Config!$G$13:$G$15,$AK144)*($K144+$O144)))</f>
        <v/>
      </c>
      <c r="X144" s="43" t="str">
        <f aca="false">IF(OR($D144="",$N144=""),"",INDEX(Config!$K$13:$K$15,$AK144)/365*$P144*$K144*Config!$B$8)</f>
        <v/>
      </c>
      <c r="Y144" s="43" t="str">
        <f aca="false">IF(OR($D144="",$N144=""),"",SUM($S144:$X144))</f>
        <v/>
      </c>
      <c r="Z144" s="40" t="str">
        <f aca="false">IF(OR($D144="",$Q144=""),"",$Q144-$Y144)</f>
        <v/>
      </c>
      <c r="AA144" s="42" t="str">
        <f aca="false">IF(OR($D144="",$Z144="",$K144=0),"",$Z144/$K144)</f>
        <v/>
      </c>
      <c r="AB144" s="44" t="str">
        <f aca="false">IF(OR($D144="",$Y144="",$K144=0),"",$Y144/$K144*10000)</f>
        <v/>
      </c>
      <c r="AC144" s="44" t="str">
        <f aca="false">IF(OR($D144="",$G144="",$G144=0,$I144=""),"",IF($E144="LONG",($I144-$G144)/$G144,($G144-$I144)/$G144)*10000)</f>
        <v/>
      </c>
      <c r="AD144" s="45"/>
      <c r="AE144" s="40" t="str">
        <f aca="false">IF(OR($D144="",$N144&lt;&gt;"",$AD144=""),"",IF($E144="LONG",($AD144-$I144)*$J144,($I144-$AD144)*$J144))</f>
        <v/>
      </c>
      <c r="AF144" s="40" t="str">
        <f aca="false">IF(OR($D144="",$E144&lt;&gt;"LONG",$Z144=""),"",$Z144+SUMIFS($Z$4:$Z$503,$B$4:$B$503,$B144,$E$4:$E$503,"SHORT"))</f>
        <v/>
      </c>
      <c r="AG144" s="42" t="str">
        <f aca="false">IF(OR($AF144="",$K144=0),"",$AF144/$K144)</f>
        <v/>
      </c>
      <c r="AH144" s="46"/>
      <c r="AI144" s="43" t="str">
        <f aca="false">IF(OR($D144="",$AH144="",$Z144=""),"",$Z144-$AH144)</f>
        <v/>
      </c>
      <c r="AJ144" s="49"/>
      <c r="AK144" s="47" t="str">
        <f aca="false">IF($D144="","",IFERROR(MATCH($F144,Config!$A$13:$A$15,0),1))</f>
        <v/>
      </c>
      <c r="AL144" s="47" t="str">
        <f aca="false">IF(OR($D144="",$N144=""),"",IF($E144="LONG",$K144,$O144))</f>
        <v/>
      </c>
      <c r="AM144" s="47" t="str">
        <f aca="false">IF(OR($D144="",$N144=""),"",IF($E144="LONG",$O144,$K144))</f>
        <v/>
      </c>
    </row>
    <row r="145" customFormat="false" ht="15" hidden="false" customHeight="false" outlineLevel="0" collapsed="false">
      <c r="A145" s="49"/>
      <c r="B145" s="5" t="str">
        <f aca="false">IF($D145="","",IF(OR(RIGHT($A145,2)="-L",RIGHT($A145,2)="-S"),LEFT($A145,LEN($A145)-2),$A145))</f>
        <v/>
      </c>
      <c r="C145" s="50"/>
      <c r="D145" s="49"/>
      <c r="E145" s="49"/>
      <c r="F145" s="49"/>
      <c r="G145" s="45"/>
      <c r="H145" s="50"/>
      <c r="I145" s="45"/>
      <c r="J145" s="51"/>
      <c r="K145" s="40" t="str">
        <f aca="false">IF($D145="","",$I145*$J145)</f>
        <v/>
      </c>
      <c r="L145" s="50"/>
      <c r="M145" s="49"/>
      <c r="N145" s="45"/>
      <c r="O145" s="40" t="str">
        <f aca="false">IF(OR($D145="",$N145=""),"",$N145*$J145)</f>
        <v/>
      </c>
      <c r="P145" s="41" t="str">
        <f aca="false">IF(OR($D145="",$L145=""),"",MAX($L145-$H145,0))</f>
        <v/>
      </c>
      <c r="Q145" s="40" t="str">
        <f aca="false">IF(OR($D145="",$N145=""),"",IF($E145="LONG",($N145-$I145)*$J145,($I145-$N145)*$J145))</f>
        <v/>
      </c>
      <c r="R145" s="42" t="str">
        <f aca="false">IF(OR($D145="",$Q145="",$K145=0),"",$Q145/$K145)</f>
        <v/>
      </c>
      <c r="S145" s="43" t="str">
        <f aca="false">IF(OR($D145="",$N145=""),"",MIN(INDEX(Config!$C$13:$C$15,$AK145),INDEX(Config!$B$13:$B$15,$AK145)*$K145)+MIN(INDEX(Config!$C$13:$C$15,$AK145),INDEX(Config!$B$13:$B$15,$AK145)*$O145))</f>
        <v/>
      </c>
      <c r="T145" s="43" t="str">
        <f aca="false">IF(OR($D145="",$N145=""),"",INDEX(Config!$D$13:$D$15,$AK145)*$AL145+INDEX(Config!$E$13:$E$15,$AK145)*$AM145)</f>
        <v/>
      </c>
      <c r="U145" s="43" t="str">
        <f aca="false">IF(OR($D145="",$N145=""),"",INDEX(Config!$F$13:$F$15,$AK145)*($K145+$O145))</f>
        <v/>
      </c>
      <c r="V145" s="43" t="str">
        <f aca="false">IF(OR($D145="",$N145=""),"",INDEX(Config!$G$13:$G$15,$AK145)*($K145+$O145)+INDEX(Config!$H$13:$H$15,$AK145)*$AL145+INDEX(Config!$J$13:$J$15,$AK145))</f>
        <v/>
      </c>
      <c r="W145" s="43" t="str">
        <f aca="false">IF(OR($D145="",$N145=""),"",INDEX(Config!$I$13:$I$15,$AK145)*($S145+$U145+INDEX(Config!$G$13:$G$15,$AK145)*($K145+$O145)))</f>
        <v/>
      </c>
      <c r="X145" s="43" t="str">
        <f aca="false">IF(OR($D145="",$N145=""),"",INDEX(Config!$K$13:$K$15,$AK145)/365*$P145*$K145*Config!$B$8)</f>
        <v/>
      </c>
      <c r="Y145" s="43" t="str">
        <f aca="false">IF(OR($D145="",$N145=""),"",SUM($S145:$X145))</f>
        <v/>
      </c>
      <c r="Z145" s="40" t="str">
        <f aca="false">IF(OR($D145="",$Q145=""),"",$Q145-$Y145)</f>
        <v/>
      </c>
      <c r="AA145" s="42" t="str">
        <f aca="false">IF(OR($D145="",$Z145="",$K145=0),"",$Z145/$K145)</f>
        <v/>
      </c>
      <c r="AB145" s="44" t="str">
        <f aca="false">IF(OR($D145="",$Y145="",$K145=0),"",$Y145/$K145*10000)</f>
        <v/>
      </c>
      <c r="AC145" s="44" t="str">
        <f aca="false">IF(OR($D145="",$G145="",$G145=0,$I145=""),"",IF($E145="LONG",($I145-$G145)/$G145,($G145-$I145)/$G145)*10000)</f>
        <v/>
      </c>
      <c r="AD145" s="45"/>
      <c r="AE145" s="40" t="str">
        <f aca="false">IF(OR($D145="",$N145&lt;&gt;"",$AD145=""),"",IF($E145="LONG",($AD145-$I145)*$J145,($I145-$AD145)*$J145))</f>
        <v/>
      </c>
      <c r="AF145" s="40" t="str">
        <f aca="false">IF(OR($D145="",$E145&lt;&gt;"LONG",$Z145=""),"",$Z145+SUMIFS($Z$4:$Z$503,$B$4:$B$503,$B145,$E$4:$E$503,"SHORT"))</f>
        <v/>
      </c>
      <c r="AG145" s="42" t="str">
        <f aca="false">IF(OR($AF145="",$K145=0),"",$AF145/$K145)</f>
        <v/>
      </c>
      <c r="AH145" s="46"/>
      <c r="AI145" s="43" t="str">
        <f aca="false">IF(OR($D145="",$AH145="",$Z145=""),"",$Z145-$AH145)</f>
        <v/>
      </c>
      <c r="AJ145" s="49"/>
      <c r="AK145" s="47" t="str">
        <f aca="false">IF($D145="","",IFERROR(MATCH($F145,Config!$A$13:$A$15,0),1))</f>
        <v/>
      </c>
      <c r="AL145" s="47" t="str">
        <f aca="false">IF(OR($D145="",$N145=""),"",IF($E145="LONG",$K145,$O145))</f>
        <v/>
      </c>
      <c r="AM145" s="47" t="str">
        <f aca="false">IF(OR($D145="",$N145=""),"",IF($E145="LONG",$O145,$K145))</f>
        <v/>
      </c>
    </row>
    <row r="146" customFormat="false" ht="15" hidden="false" customHeight="false" outlineLevel="0" collapsed="false">
      <c r="A146" s="49"/>
      <c r="B146" s="5" t="str">
        <f aca="false">IF($D146="","",IF(OR(RIGHT($A146,2)="-L",RIGHT($A146,2)="-S"),LEFT($A146,LEN($A146)-2),$A146))</f>
        <v/>
      </c>
      <c r="C146" s="50"/>
      <c r="D146" s="49"/>
      <c r="E146" s="49"/>
      <c r="F146" s="49"/>
      <c r="G146" s="45"/>
      <c r="H146" s="50"/>
      <c r="I146" s="45"/>
      <c r="J146" s="51"/>
      <c r="K146" s="40" t="str">
        <f aca="false">IF($D146="","",$I146*$J146)</f>
        <v/>
      </c>
      <c r="L146" s="50"/>
      <c r="M146" s="49"/>
      <c r="N146" s="45"/>
      <c r="O146" s="40" t="str">
        <f aca="false">IF(OR($D146="",$N146=""),"",$N146*$J146)</f>
        <v/>
      </c>
      <c r="P146" s="41" t="str">
        <f aca="false">IF(OR($D146="",$L146=""),"",MAX($L146-$H146,0))</f>
        <v/>
      </c>
      <c r="Q146" s="40" t="str">
        <f aca="false">IF(OR($D146="",$N146=""),"",IF($E146="LONG",($N146-$I146)*$J146,($I146-$N146)*$J146))</f>
        <v/>
      </c>
      <c r="R146" s="42" t="str">
        <f aca="false">IF(OR($D146="",$Q146="",$K146=0),"",$Q146/$K146)</f>
        <v/>
      </c>
      <c r="S146" s="43" t="str">
        <f aca="false">IF(OR($D146="",$N146=""),"",MIN(INDEX(Config!$C$13:$C$15,$AK146),INDEX(Config!$B$13:$B$15,$AK146)*$K146)+MIN(INDEX(Config!$C$13:$C$15,$AK146),INDEX(Config!$B$13:$B$15,$AK146)*$O146))</f>
        <v/>
      </c>
      <c r="T146" s="43" t="str">
        <f aca="false">IF(OR($D146="",$N146=""),"",INDEX(Config!$D$13:$D$15,$AK146)*$AL146+INDEX(Config!$E$13:$E$15,$AK146)*$AM146)</f>
        <v/>
      </c>
      <c r="U146" s="43" t="str">
        <f aca="false">IF(OR($D146="",$N146=""),"",INDEX(Config!$F$13:$F$15,$AK146)*($K146+$O146))</f>
        <v/>
      </c>
      <c r="V146" s="43" t="str">
        <f aca="false">IF(OR($D146="",$N146=""),"",INDEX(Config!$G$13:$G$15,$AK146)*($K146+$O146)+INDEX(Config!$H$13:$H$15,$AK146)*$AL146+INDEX(Config!$J$13:$J$15,$AK146))</f>
        <v/>
      </c>
      <c r="W146" s="43" t="str">
        <f aca="false">IF(OR($D146="",$N146=""),"",INDEX(Config!$I$13:$I$15,$AK146)*($S146+$U146+INDEX(Config!$G$13:$G$15,$AK146)*($K146+$O146)))</f>
        <v/>
      </c>
      <c r="X146" s="43" t="str">
        <f aca="false">IF(OR($D146="",$N146=""),"",INDEX(Config!$K$13:$K$15,$AK146)/365*$P146*$K146*Config!$B$8)</f>
        <v/>
      </c>
      <c r="Y146" s="43" t="str">
        <f aca="false">IF(OR($D146="",$N146=""),"",SUM($S146:$X146))</f>
        <v/>
      </c>
      <c r="Z146" s="40" t="str">
        <f aca="false">IF(OR($D146="",$Q146=""),"",$Q146-$Y146)</f>
        <v/>
      </c>
      <c r="AA146" s="42" t="str">
        <f aca="false">IF(OR($D146="",$Z146="",$K146=0),"",$Z146/$K146)</f>
        <v/>
      </c>
      <c r="AB146" s="44" t="str">
        <f aca="false">IF(OR($D146="",$Y146="",$K146=0),"",$Y146/$K146*10000)</f>
        <v/>
      </c>
      <c r="AC146" s="44" t="str">
        <f aca="false">IF(OR($D146="",$G146="",$G146=0,$I146=""),"",IF($E146="LONG",($I146-$G146)/$G146,($G146-$I146)/$G146)*10000)</f>
        <v/>
      </c>
      <c r="AD146" s="45"/>
      <c r="AE146" s="40" t="str">
        <f aca="false">IF(OR($D146="",$N146&lt;&gt;"",$AD146=""),"",IF($E146="LONG",($AD146-$I146)*$J146,($I146-$AD146)*$J146))</f>
        <v/>
      </c>
      <c r="AF146" s="40" t="str">
        <f aca="false">IF(OR($D146="",$E146&lt;&gt;"LONG",$Z146=""),"",$Z146+SUMIFS($Z$4:$Z$503,$B$4:$B$503,$B146,$E$4:$E$503,"SHORT"))</f>
        <v/>
      </c>
      <c r="AG146" s="42" t="str">
        <f aca="false">IF(OR($AF146="",$K146=0),"",$AF146/$K146)</f>
        <v/>
      </c>
      <c r="AH146" s="46"/>
      <c r="AI146" s="43" t="str">
        <f aca="false">IF(OR($D146="",$AH146="",$Z146=""),"",$Z146-$AH146)</f>
        <v/>
      </c>
      <c r="AJ146" s="49"/>
      <c r="AK146" s="47" t="str">
        <f aca="false">IF($D146="","",IFERROR(MATCH($F146,Config!$A$13:$A$15,0),1))</f>
        <v/>
      </c>
      <c r="AL146" s="47" t="str">
        <f aca="false">IF(OR($D146="",$N146=""),"",IF($E146="LONG",$K146,$O146))</f>
        <v/>
      </c>
      <c r="AM146" s="47" t="str">
        <f aca="false">IF(OR($D146="",$N146=""),"",IF($E146="LONG",$O146,$K146))</f>
        <v/>
      </c>
    </row>
    <row r="147" customFormat="false" ht="15" hidden="false" customHeight="false" outlineLevel="0" collapsed="false">
      <c r="A147" s="49"/>
      <c r="B147" s="5" t="str">
        <f aca="false">IF($D147="","",IF(OR(RIGHT($A147,2)="-L",RIGHT($A147,2)="-S"),LEFT($A147,LEN($A147)-2),$A147))</f>
        <v/>
      </c>
      <c r="C147" s="50"/>
      <c r="D147" s="49"/>
      <c r="E147" s="49"/>
      <c r="F147" s="49"/>
      <c r="G147" s="45"/>
      <c r="H147" s="50"/>
      <c r="I147" s="45"/>
      <c r="J147" s="51"/>
      <c r="K147" s="40" t="str">
        <f aca="false">IF($D147="","",$I147*$J147)</f>
        <v/>
      </c>
      <c r="L147" s="50"/>
      <c r="M147" s="49"/>
      <c r="N147" s="45"/>
      <c r="O147" s="40" t="str">
        <f aca="false">IF(OR($D147="",$N147=""),"",$N147*$J147)</f>
        <v/>
      </c>
      <c r="P147" s="41" t="str">
        <f aca="false">IF(OR($D147="",$L147=""),"",MAX($L147-$H147,0))</f>
        <v/>
      </c>
      <c r="Q147" s="40" t="str">
        <f aca="false">IF(OR($D147="",$N147=""),"",IF($E147="LONG",($N147-$I147)*$J147,($I147-$N147)*$J147))</f>
        <v/>
      </c>
      <c r="R147" s="42" t="str">
        <f aca="false">IF(OR($D147="",$Q147="",$K147=0),"",$Q147/$K147)</f>
        <v/>
      </c>
      <c r="S147" s="43" t="str">
        <f aca="false">IF(OR($D147="",$N147=""),"",MIN(INDEX(Config!$C$13:$C$15,$AK147),INDEX(Config!$B$13:$B$15,$AK147)*$K147)+MIN(INDEX(Config!$C$13:$C$15,$AK147),INDEX(Config!$B$13:$B$15,$AK147)*$O147))</f>
        <v/>
      </c>
      <c r="T147" s="43" t="str">
        <f aca="false">IF(OR($D147="",$N147=""),"",INDEX(Config!$D$13:$D$15,$AK147)*$AL147+INDEX(Config!$E$13:$E$15,$AK147)*$AM147)</f>
        <v/>
      </c>
      <c r="U147" s="43" t="str">
        <f aca="false">IF(OR($D147="",$N147=""),"",INDEX(Config!$F$13:$F$15,$AK147)*($K147+$O147))</f>
        <v/>
      </c>
      <c r="V147" s="43" t="str">
        <f aca="false">IF(OR($D147="",$N147=""),"",INDEX(Config!$G$13:$G$15,$AK147)*($K147+$O147)+INDEX(Config!$H$13:$H$15,$AK147)*$AL147+INDEX(Config!$J$13:$J$15,$AK147))</f>
        <v/>
      </c>
      <c r="W147" s="43" t="str">
        <f aca="false">IF(OR($D147="",$N147=""),"",INDEX(Config!$I$13:$I$15,$AK147)*($S147+$U147+INDEX(Config!$G$13:$G$15,$AK147)*($K147+$O147)))</f>
        <v/>
      </c>
      <c r="X147" s="43" t="str">
        <f aca="false">IF(OR($D147="",$N147=""),"",INDEX(Config!$K$13:$K$15,$AK147)/365*$P147*$K147*Config!$B$8)</f>
        <v/>
      </c>
      <c r="Y147" s="43" t="str">
        <f aca="false">IF(OR($D147="",$N147=""),"",SUM($S147:$X147))</f>
        <v/>
      </c>
      <c r="Z147" s="40" t="str">
        <f aca="false">IF(OR($D147="",$Q147=""),"",$Q147-$Y147)</f>
        <v/>
      </c>
      <c r="AA147" s="42" t="str">
        <f aca="false">IF(OR($D147="",$Z147="",$K147=0),"",$Z147/$K147)</f>
        <v/>
      </c>
      <c r="AB147" s="44" t="str">
        <f aca="false">IF(OR($D147="",$Y147="",$K147=0),"",$Y147/$K147*10000)</f>
        <v/>
      </c>
      <c r="AC147" s="44" t="str">
        <f aca="false">IF(OR($D147="",$G147="",$G147=0,$I147=""),"",IF($E147="LONG",($I147-$G147)/$G147,($G147-$I147)/$G147)*10000)</f>
        <v/>
      </c>
      <c r="AD147" s="45"/>
      <c r="AE147" s="40" t="str">
        <f aca="false">IF(OR($D147="",$N147&lt;&gt;"",$AD147=""),"",IF($E147="LONG",($AD147-$I147)*$J147,($I147-$AD147)*$J147))</f>
        <v/>
      </c>
      <c r="AF147" s="40" t="str">
        <f aca="false">IF(OR($D147="",$E147&lt;&gt;"LONG",$Z147=""),"",$Z147+SUMIFS($Z$4:$Z$503,$B$4:$B$503,$B147,$E$4:$E$503,"SHORT"))</f>
        <v/>
      </c>
      <c r="AG147" s="42" t="str">
        <f aca="false">IF(OR($AF147="",$K147=0),"",$AF147/$K147)</f>
        <v/>
      </c>
      <c r="AH147" s="46"/>
      <c r="AI147" s="43" t="str">
        <f aca="false">IF(OR($D147="",$AH147="",$Z147=""),"",$Z147-$AH147)</f>
        <v/>
      </c>
      <c r="AJ147" s="49"/>
      <c r="AK147" s="47" t="str">
        <f aca="false">IF($D147="","",IFERROR(MATCH($F147,Config!$A$13:$A$15,0),1))</f>
        <v/>
      </c>
      <c r="AL147" s="47" t="str">
        <f aca="false">IF(OR($D147="",$N147=""),"",IF($E147="LONG",$K147,$O147))</f>
        <v/>
      </c>
      <c r="AM147" s="47" t="str">
        <f aca="false">IF(OR($D147="",$N147=""),"",IF($E147="LONG",$O147,$K147))</f>
        <v/>
      </c>
    </row>
    <row r="148" customFormat="false" ht="15" hidden="false" customHeight="false" outlineLevel="0" collapsed="false">
      <c r="A148" s="49"/>
      <c r="B148" s="5" t="str">
        <f aca="false">IF($D148="","",IF(OR(RIGHT($A148,2)="-L",RIGHT($A148,2)="-S"),LEFT($A148,LEN($A148)-2),$A148))</f>
        <v/>
      </c>
      <c r="C148" s="50"/>
      <c r="D148" s="49"/>
      <c r="E148" s="49"/>
      <c r="F148" s="49"/>
      <c r="G148" s="45"/>
      <c r="H148" s="50"/>
      <c r="I148" s="45"/>
      <c r="J148" s="51"/>
      <c r="K148" s="40" t="str">
        <f aca="false">IF($D148="","",$I148*$J148)</f>
        <v/>
      </c>
      <c r="L148" s="50"/>
      <c r="M148" s="49"/>
      <c r="N148" s="45"/>
      <c r="O148" s="40" t="str">
        <f aca="false">IF(OR($D148="",$N148=""),"",$N148*$J148)</f>
        <v/>
      </c>
      <c r="P148" s="41" t="str">
        <f aca="false">IF(OR($D148="",$L148=""),"",MAX($L148-$H148,0))</f>
        <v/>
      </c>
      <c r="Q148" s="40" t="str">
        <f aca="false">IF(OR($D148="",$N148=""),"",IF($E148="LONG",($N148-$I148)*$J148,($I148-$N148)*$J148))</f>
        <v/>
      </c>
      <c r="R148" s="42" t="str">
        <f aca="false">IF(OR($D148="",$Q148="",$K148=0),"",$Q148/$K148)</f>
        <v/>
      </c>
      <c r="S148" s="43" t="str">
        <f aca="false">IF(OR($D148="",$N148=""),"",MIN(INDEX(Config!$C$13:$C$15,$AK148),INDEX(Config!$B$13:$B$15,$AK148)*$K148)+MIN(INDEX(Config!$C$13:$C$15,$AK148),INDEX(Config!$B$13:$B$15,$AK148)*$O148))</f>
        <v/>
      </c>
      <c r="T148" s="43" t="str">
        <f aca="false">IF(OR($D148="",$N148=""),"",INDEX(Config!$D$13:$D$15,$AK148)*$AL148+INDEX(Config!$E$13:$E$15,$AK148)*$AM148)</f>
        <v/>
      </c>
      <c r="U148" s="43" t="str">
        <f aca="false">IF(OR($D148="",$N148=""),"",INDEX(Config!$F$13:$F$15,$AK148)*($K148+$O148))</f>
        <v/>
      </c>
      <c r="V148" s="43" t="str">
        <f aca="false">IF(OR($D148="",$N148=""),"",INDEX(Config!$G$13:$G$15,$AK148)*($K148+$O148)+INDEX(Config!$H$13:$H$15,$AK148)*$AL148+INDEX(Config!$J$13:$J$15,$AK148))</f>
        <v/>
      </c>
      <c r="W148" s="43" t="str">
        <f aca="false">IF(OR($D148="",$N148=""),"",INDEX(Config!$I$13:$I$15,$AK148)*($S148+$U148+INDEX(Config!$G$13:$G$15,$AK148)*($K148+$O148)))</f>
        <v/>
      </c>
      <c r="X148" s="43" t="str">
        <f aca="false">IF(OR($D148="",$N148=""),"",INDEX(Config!$K$13:$K$15,$AK148)/365*$P148*$K148*Config!$B$8)</f>
        <v/>
      </c>
      <c r="Y148" s="43" t="str">
        <f aca="false">IF(OR($D148="",$N148=""),"",SUM($S148:$X148))</f>
        <v/>
      </c>
      <c r="Z148" s="40" t="str">
        <f aca="false">IF(OR($D148="",$Q148=""),"",$Q148-$Y148)</f>
        <v/>
      </c>
      <c r="AA148" s="42" t="str">
        <f aca="false">IF(OR($D148="",$Z148="",$K148=0),"",$Z148/$K148)</f>
        <v/>
      </c>
      <c r="AB148" s="44" t="str">
        <f aca="false">IF(OR($D148="",$Y148="",$K148=0),"",$Y148/$K148*10000)</f>
        <v/>
      </c>
      <c r="AC148" s="44" t="str">
        <f aca="false">IF(OR($D148="",$G148="",$G148=0,$I148=""),"",IF($E148="LONG",($I148-$G148)/$G148,($G148-$I148)/$G148)*10000)</f>
        <v/>
      </c>
      <c r="AD148" s="45"/>
      <c r="AE148" s="40" t="str">
        <f aca="false">IF(OR($D148="",$N148&lt;&gt;"",$AD148=""),"",IF($E148="LONG",($AD148-$I148)*$J148,($I148-$AD148)*$J148))</f>
        <v/>
      </c>
      <c r="AF148" s="40" t="str">
        <f aca="false">IF(OR($D148="",$E148&lt;&gt;"LONG",$Z148=""),"",$Z148+SUMIFS($Z$4:$Z$503,$B$4:$B$503,$B148,$E$4:$E$503,"SHORT"))</f>
        <v/>
      </c>
      <c r="AG148" s="42" t="str">
        <f aca="false">IF(OR($AF148="",$K148=0),"",$AF148/$K148)</f>
        <v/>
      </c>
      <c r="AH148" s="46"/>
      <c r="AI148" s="43" t="str">
        <f aca="false">IF(OR($D148="",$AH148="",$Z148=""),"",$Z148-$AH148)</f>
        <v/>
      </c>
      <c r="AJ148" s="49"/>
      <c r="AK148" s="47" t="str">
        <f aca="false">IF($D148="","",IFERROR(MATCH($F148,Config!$A$13:$A$15,0),1))</f>
        <v/>
      </c>
      <c r="AL148" s="47" t="str">
        <f aca="false">IF(OR($D148="",$N148=""),"",IF($E148="LONG",$K148,$O148))</f>
        <v/>
      </c>
      <c r="AM148" s="47" t="str">
        <f aca="false">IF(OR($D148="",$N148=""),"",IF($E148="LONG",$O148,$K148))</f>
        <v/>
      </c>
    </row>
    <row r="149" customFormat="false" ht="15" hidden="false" customHeight="false" outlineLevel="0" collapsed="false">
      <c r="A149" s="49"/>
      <c r="B149" s="5" t="str">
        <f aca="false">IF($D149="","",IF(OR(RIGHT($A149,2)="-L",RIGHT($A149,2)="-S"),LEFT($A149,LEN($A149)-2),$A149))</f>
        <v/>
      </c>
      <c r="C149" s="50"/>
      <c r="D149" s="49"/>
      <c r="E149" s="49"/>
      <c r="F149" s="49"/>
      <c r="G149" s="45"/>
      <c r="H149" s="50"/>
      <c r="I149" s="45"/>
      <c r="J149" s="51"/>
      <c r="K149" s="40" t="str">
        <f aca="false">IF($D149="","",$I149*$J149)</f>
        <v/>
      </c>
      <c r="L149" s="50"/>
      <c r="M149" s="49"/>
      <c r="N149" s="45"/>
      <c r="O149" s="40" t="str">
        <f aca="false">IF(OR($D149="",$N149=""),"",$N149*$J149)</f>
        <v/>
      </c>
      <c r="P149" s="41" t="str">
        <f aca="false">IF(OR($D149="",$L149=""),"",MAX($L149-$H149,0))</f>
        <v/>
      </c>
      <c r="Q149" s="40" t="str">
        <f aca="false">IF(OR($D149="",$N149=""),"",IF($E149="LONG",($N149-$I149)*$J149,($I149-$N149)*$J149))</f>
        <v/>
      </c>
      <c r="R149" s="42" t="str">
        <f aca="false">IF(OR($D149="",$Q149="",$K149=0),"",$Q149/$K149)</f>
        <v/>
      </c>
      <c r="S149" s="43" t="str">
        <f aca="false">IF(OR($D149="",$N149=""),"",MIN(INDEX(Config!$C$13:$C$15,$AK149),INDEX(Config!$B$13:$B$15,$AK149)*$K149)+MIN(INDEX(Config!$C$13:$C$15,$AK149),INDEX(Config!$B$13:$B$15,$AK149)*$O149))</f>
        <v/>
      </c>
      <c r="T149" s="43" t="str">
        <f aca="false">IF(OR($D149="",$N149=""),"",INDEX(Config!$D$13:$D$15,$AK149)*$AL149+INDEX(Config!$E$13:$E$15,$AK149)*$AM149)</f>
        <v/>
      </c>
      <c r="U149" s="43" t="str">
        <f aca="false">IF(OR($D149="",$N149=""),"",INDEX(Config!$F$13:$F$15,$AK149)*($K149+$O149))</f>
        <v/>
      </c>
      <c r="V149" s="43" t="str">
        <f aca="false">IF(OR($D149="",$N149=""),"",INDEX(Config!$G$13:$G$15,$AK149)*($K149+$O149)+INDEX(Config!$H$13:$H$15,$AK149)*$AL149+INDEX(Config!$J$13:$J$15,$AK149))</f>
        <v/>
      </c>
      <c r="W149" s="43" t="str">
        <f aca="false">IF(OR($D149="",$N149=""),"",INDEX(Config!$I$13:$I$15,$AK149)*($S149+$U149+INDEX(Config!$G$13:$G$15,$AK149)*($K149+$O149)))</f>
        <v/>
      </c>
      <c r="X149" s="43" t="str">
        <f aca="false">IF(OR($D149="",$N149=""),"",INDEX(Config!$K$13:$K$15,$AK149)/365*$P149*$K149*Config!$B$8)</f>
        <v/>
      </c>
      <c r="Y149" s="43" t="str">
        <f aca="false">IF(OR($D149="",$N149=""),"",SUM($S149:$X149))</f>
        <v/>
      </c>
      <c r="Z149" s="40" t="str">
        <f aca="false">IF(OR($D149="",$Q149=""),"",$Q149-$Y149)</f>
        <v/>
      </c>
      <c r="AA149" s="42" t="str">
        <f aca="false">IF(OR($D149="",$Z149="",$K149=0),"",$Z149/$K149)</f>
        <v/>
      </c>
      <c r="AB149" s="44" t="str">
        <f aca="false">IF(OR($D149="",$Y149="",$K149=0),"",$Y149/$K149*10000)</f>
        <v/>
      </c>
      <c r="AC149" s="44" t="str">
        <f aca="false">IF(OR($D149="",$G149="",$G149=0,$I149=""),"",IF($E149="LONG",($I149-$G149)/$G149,($G149-$I149)/$G149)*10000)</f>
        <v/>
      </c>
      <c r="AD149" s="45"/>
      <c r="AE149" s="40" t="str">
        <f aca="false">IF(OR($D149="",$N149&lt;&gt;"",$AD149=""),"",IF($E149="LONG",($AD149-$I149)*$J149,($I149-$AD149)*$J149))</f>
        <v/>
      </c>
      <c r="AF149" s="40" t="str">
        <f aca="false">IF(OR($D149="",$E149&lt;&gt;"LONG",$Z149=""),"",$Z149+SUMIFS($Z$4:$Z$503,$B$4:$B$503,$B149,$E$4:$E$503,"SHORT"))</f>
        <v/>
      </c>
      <c r="AG149" s="42" t="str">
        <f aca="false">IF(OR($AF149="",$K149=0),"",$AF149/$K149)</f>
        <v/>
      </c>
      <c r="AH149" s="46"/>
      <c r="AI149" s="43" t="str">
        <f aca="false">IF(OR($D149="",$AH149="",$Z149=""),"",$Z149-$AH149)</f>
        <v/>
      </c>
      <c r="AJ149" s="49"/>
      <c r="AK149" s="47" t="str">
        <f aca="false">IF($D149="","",IFERROR(MATCH($F149,Config!$A$13:$A$15,0),1))</f>
        <v/>
      </c>
      <c r="AL149" s="47" t="str">
        <f aca="false">IF(OR($D149="",$N149=""),"",IF($E149="LONG",$K149,$O149))</f>
        <v/>
      </c>
      <c r="AM149" s="47" t="str">
        <f aca="false">IF(OR($D149="",$N149=""),"",IF($E149="LONG",$O149,$K149))</f>
        <v/>
      </c>
    </row>
    <row r="150" customFormat="false" ht="15" hidden="false" customHeight="false" outlineLevel="0" collapsed="false">
      <c r="A150" s="49"/>
      <c r="B150" s="5" t="str">
        <f aca="false">IF($D150="","",IF(OR(RIGHT($A150,2)="-L",RIGHT($A150,2)="-S"),LEFT($A150,LEN($A150)-2),$A150))</f>
        <v/>
      </c>
      <c r="C150" s="50"/>
      <c r="D150" s="49"/>
      <c r="E150" s="49"/>
      <c r="F150" s="49"/>
      <c r="G150" s="45"/>
      <c r="H150" s="50"/>
      <c r="I150" s="45"/>
      <c r="J150" s="51"/>
      <c r="K150" s="40" t="str">
        <f aca="false">IF($D150="","",$I150*$J150)</f>
        <v/>
      </c>
      <c r="L150" s="50"/>
      <c r="M150" s="49"/>
      <c r="N150" s="45"/>
      <c r="O150" s="40" t="str">
        <f aca="false">IF(OR($D150="",$N150=""),"",$N150*$J150)</f>
        <v/>
      </c>
      <c r="P150" s="41" t="str">
        <f aca="false">IF(OR($D150="",$L150=""),"",MAX($L150-$H150,0))</f>
        <v/>
      </c>
      <c r="Q150" s="40" t="str">
        <f aca="false">IF(OR($D150="",$N150=""),"",IF($E150="LONG",($N150-$I150)*$J150,($I150-$N150)*$J150))</f>
        <v/>
      </c>
      <c r="R150" s="42" t="str">
        <f aca="false">IF(OR($D150="",$Q150="",$K150=0),"",$Q150/$K150)</f>
        <v/>
      </c>
      <c r="S150" s="43" t="str">
        <f aca="false">IF(OR($D150="",$N150=""),"",MIN(INDEX(Config!$C$13:$C$15,$AK150),INDEX(Config!$B$13:$B$15,$AK150)*$K150)+MIN(INDEX(Config!$C$13:$C$15,$AK150),INDEX(Config!$B$13:$B$15,$AK150)*$O150))</f>
        <v/>
      </c>
      <c r="T150" s="43" t="str">
        <f aca="false">IF(OR($D150="",$N150=""),"",INDEX(Config!$D$13:$D$15,$AK150)*$AL150+INDEX(Config!$E$13:$E$15,$AK150)*$AM150)</f>
        <v/>
      </c>
      <c r="U150" s="43" t="str">
        <f aca="false">IF(OR($D150="",$N150=""),"",INDEX(Config!$F$13:$F$15,$AK150)*($K150+$O150))</f>
        <v/>
      </c>
      <c r="V150" s="43" t="str">
        <f aca="false">IF(OR($D150="",$N150=""),"",INDEX(Config!$G$13:$G$15,$AK150)*($K150+$O150)+INDEX(Config!$H$13:$H$15,$AK150)*$AL150+INDEX(Config!$J$13:$J$15,$AK150))</f>
        <v/>
      </c>
      <c r="W150" s="43" t="str">
        <f aca="false">IF(OR($D150="",$N150=""),"",INDEX(Config!$I$13:$I$15,$AK150)*($S150+$U150+INDEX(Config!$G$13:$G$15,$AK150)*($K150+$O150)))</f>
        <v/>
      </c>
      <c r="X150" s="43" t="str">
        <f aca="false">IF(OR($D150="",$N150=""),"",INDEX(Config!$K$13:$K$15,$AK150)/365*$P150*$K150*Config!$B$8)</f>
        <v/>
      </c>
      <c r="Y150" s="43" t="str">
        <f aca="false">IF(OR($D150="",$N150=""),"",SUM($S150:$X150))</f>
        <v/>
      </c>
      <c r="Z150" s="40" t="str">
        <f aca="false">IF(OR($D150="",$Q150=""),"",$Q150-$Y150)</f>
        <v/>
      </c>
      <c r="AA150" s="42" t="str">
        <f aca="false">IF(OR($D150="",$Z150="",$K150=0),"",$Z150/$K150)</f>
        <v/>
      </c>
      <c r="AB150" s="44" t="str">
        <f aca="false">IF(OR($D150="",$Y150="",$K150=0),"",$Y150/$K150*10000)</f>
        <v/>
      </c>
      <c r="AC150" s="44" t="str">
        <f aca="false">IF(OR($D150="",$G150="",$G150=0,$I150=""),"",IF($E150="LONG",($I150-$G150)/$G150,($G150-$I150)/$G150)*10000)</f>
        <v/>
      </c>
      <c r="AD150" s="45"/>
      <c r="AE150" s="40" t="str">
        <f aca="false">IF(OR($D150="",$N150&lt;&gt;"",$AD150=""),"",IF($E150="LONG",($AD150-$I150)*$J150,($I150-$AD150)*$J150))</f>
        <v/>
      </c>
      <c r="AF150" s="40" t="str">
        <f aca="false">IF(OR($D150="",$E150&lt;&gt;"LONG",$Z150=""),"",$Z150+SUMIFS($Z$4:$Z$503,$B$4:$B$503,$B150,$E$4:$E$503,"SHORT"))</f>
        <v/>
      </c>
      <c r="AG150" s="42" t="str">
        <f aca="false">IF(OR($AF150="",$K150=0),"",$AF150/$K150)</f>
        <v/>
      </c>
      <c r="AH150" s="46"/>
      <c r="AI150" s="43" t="str">
        <f aca="false">IF(OR($D150="",$AH150="",$Z150=""),"",$Z150-$AH150)</f>
        <v/>
      </c>
      <c r="AJ150" s="49"/>
      <c r="AK150" s="47" t="str">
        <f aca="false">IF($D150="","",IFERROR(MATCH($F150,Config!$A$13:$A$15,0),1))</f>
        <v/>
      </c>
      <c r="AL150" s="47" t="str">
        <f aca="false">IF(OR($D150="",$N150=""),"",IF($E150="LONG",$K150,$O150))</f>
        <v/>
      </c>
      <c r="AM150" s="47" t="str">
        <f aca="false">IF(OR($D150="",$N150=""),"",IF($E150="LONG",$O150,$K150))</f>
        <v/>
      </c>
    </row>
    <row r="151" customFormat="false" ht="15" hidden="false" customHeight="false" outlineLevel="0" collapsed="false">
      <c r="A151" s="49"/>
      <c r="B151" s="5" t="str">
        <f aca="false">IF($D151="","",IF(OR(RIGHT($A151,2)="-L",RIGHT($A151,2)="-S"),LEFT($A151,LEN($A151)-2),$A151))</f>
        <v/>
      </c>
      <c r="C151" s="50"/>
      <c r="D151" s="49"/>
      <c r="E151" s="49"/>
      <c r="F151" s="49"/>
      <c r="G151" s="45"/>
      <c r="H151" s="50"/>
      <c r="I151" s="45"/>
      <c r="J151" s="51"/>
      <c r="K151" s="40" t="str">
        <f aca="false">IF($D151="","",$I151*$J151)</f>
        <v/>
      </c>
      <c r="L151" s="50"/>
      <c r="M151" s="49"/>
      <c r="N151" s="45"/>
      <c r="O151" s="40" t="str">
        <f aca="false">IF(OR($D151="",$N151=""),"",$N151*$J151)</f>
        <v/>
      </c>
      <c r="P151" s="41" t="str">
        <f aca="false">IF(OR($D151="",$L151=""),"",MAX($L151-$H151,0))</f>
        <v/>
      </c>
      <c r="Q151" s="40" t="str">
        <f aca="false">IF(OR($D151="",$N151=""),"",IF($E151="LONG",($N151-$I151)*$J151,($I151-$N151)*$J151))</f>
        <v/>
      </c>
      <c r="R151" s="42" t="str">
        <f aca="false">IF(OR($D151="",$Q151="",$K151=0),"",$Q151/$K151)</f>
        <v/>
      </c>
      <c r="S151" s="43" t="str">
        <f aca="false">IF(OR($D151="",$N151=""),"",MIN(INDEX(Config!$C$13:$C$15,$AK151),INDEX(Config!$B$13:$B$15,$AK151)*$K151)+MIN(INDEX(Config!$C$13:$C$15,$AK151),INDEX(Config!$B$13:$B$15,$AK151)*$O151))</f>
        <v/>
      </c>
      <c r="T151" s="43" t="str">
        <f aca="false">IF(OR($D151="",$N151=""),"",INDEX(Config!$D$13:$D$15,$AK151)*$AL151+INDEX(Config!$E$13:$E$15,$AK151)*$AM151)</f>
        <v/>
      </c>
      <c r="U151" s="43" t="str">
        <f aca="false">IF(OR($D151="",$N151=""),"",INDEX(Config!$F$13:$F$15,$AK151)*($K151+$O151))</f>
        <v/>
      </c>
      <c r="V151" s="43" t="str">
        <f aca="false">IF(OR($D151="",$N151=""),"",INDEX(Config!$G$13:$G$15,$AK151)*($K151+$O151)+INDEX(Config!$H$13:$H$15,$AK151)*$AL151+INDEX(Config!$J$13:$J$15,$AK151))</f>
        <v/>
      </c>
      <c r="W151" s="43" t="str">
        <f aca="false">IF(OR($D151="",$N151=""),"",INDEX(Config!$I$13:$I$15,$AK151)*($S151+$U151+INDEX(Config!$G$13:$G$15,$AK151)*($K151+$O151)))</f>
        <v/>
      </c>
      <c r="X151" s="43" t="str">
        <f aca="false">IF(OR($D151="",$N151=""),"",INDEX(Config!$K$13:$K$15,$AK151)/365*$P151*$K151*Config!$B$8)</f>
        <v/>
      </c>
      <c r="Y151" s="43" t="str">
        <f aca="false">IF(OR($D151="",$N151=""),"",SUM($S151:$X151))</f>
        <v/>
      </c>
      <c r="Z151" s="40" t="str">
        <f aca="false">IF(OR($D151="",$Q151=""),"",$Q151-$Y151)</f>
        <v/>
      </c>
      <c r="AA151" s="42" t="str">
        <f aca="false">IF(OR($D151="",$Z151="",$K151=0),"",$Z151/$K151)</f>
        <v/>
      </c>
      <c r="AB151" s="44" t="str">
        <f aca="false">IF(OR($D151="",$Y151="",$K151=0),"",$Y151/$K151*10000)</f>
        <v/>
      </c>
      <c r="AC151" s="44" t="str">
        <f aca="false">IF(OR($D151="",$G151="",$G151=0,$I151=""),"",IF($E151="LONG",($I151-$G151)/$G151,($G151-$I151)/$G151)*10000)</f>
        <v/>
      </c>
      <c r="AD151" s="45"/>
      <c r="AE151" s="40" t="str">
        <f aca="false">IF(OR($D151="",$N151&lt;&gt;"",$AD151=""),"",IF($E151="LONG",($AD151-$I151)*$J151,($I151-$AD151)*$J151))</f>
        <v/>
      </c>
      <c r="AF151" s="40" t="str">
        <f aca="false">IF(OR($D151="",$E151&lt;&gt;"LONG",$Z151=""),"",$Z151+SUMIFS($Z$4:$Z$503,$B$4:$B$503,$B151,$E$4:$E$503,"SHORT"))</f>
        <v/>
      </c>
      <c r="AG151" s="42" t="str">
        <f aca="false">IF(OR($AF151="",$K151=0),"",$AF151/$K151)</f>
        <v/>
      </c>
      <c r="AH151" s="46"/>
      <c r="AI151" s="43" t="str">
        <f aca="false">IF(OR($D151="",$AH151="",$Z151=""),"",$Z151-$AH151)</f>
        <v/>
      </c>
      <c r="AJ151" s="49"/>
      <c r="AK151" s="47" t="str">
        <f aca="false">IF($D151="","",IFERROR(MATCH($F151,Config!$A$13:$A$15,0),1))</f>
        <v/>
      </c>
      <c r="AL151" s="47" t="str">
        <f aca="false">IF(OR($D151="",$N151=""),"",IF($E151="LONG",$K151,$O151))</f>
        <v/>
      </c>
      <c r="AM151" s="47" t="str">
        <f aca="false">IF(OR($D151="",$N151=""),"",IF($E151="LONG",$O151,$K151))</f>
        <v/>
      </c>
    </row>
    <row r="152" customFormat="false" ht="15" hidden="false" customHeight="false" outlineLevel="0" collapsed="false">
      <c r="A152" s="49"/>
      <c r="B152" s="5" t="str">
        <f aca="false">IF($D152="","",IF(OR(RIGHT($A152,2)="-L",RIGHT($A152,2)="-S"),LEFT($A152,LEN($A152)-2),$A152))</f>
        <v/>
      </c>
      <c r="C152" s="50"/>
      <c r="D152" s="49"/>
      <c r="E152" s="49"/>
      <c r="F152" s="49"/>
      <c r="G152" s="45"/>
      <c r="H152" s="50"/>
      <c r="I152" s="45"/>
      <c r="J152" s="51"/>
      <c r="K152" s="40" t="str">
        <f aca="false">IF($D152="","",$I152*$J152)</f>
        <v/>
      </c>
      <c r="L152" s="50"/>
      <c r="M152" s="49"/>
      <c r="N152" s="45"/>
      <c r="O152" s="40" t="str">
        <f aca="false">IF(OR($D152="",$N152=""),"",$N152*$J152)</f>
        <v/>
      </c>
      <c r="P152" s="41" t="str">
        <f aca="false">IF(OR($D152="",$L152=""),"",MAX($L152-$H152,0))</f>
        <v/>
      </c>
      <c r="Q152" s="40" t="str">
        <f aca="false">IF(OR($D152="",$N152=""),"",IF($E152="LONG",($N152-$I152)*$J152,($I152-$N152)*$J152))</f>
        <v/>
      </c>
      <c r="R152" s="42" t="str">
        <f aca="false">IF(OR($D152="",$Q152="",$K152=0),"",$Q152/$K152)</f>
        <v/>
      </c>
      <c r="S152" s="43" t="str">
        <f aca="false">IF(OR($D152="",$N152=""),"",MIN(INDEX(Config!$C$13:$C$15,$AK152),INDEX(Config!$B$13:$B$15,$AK152)*$K152)+MIN(INDEX(Config!$C$13:$C$15,$AK152),INDEX(Config!$B$13:$B$15,$AK152)*$O152))</f>
        <v/>
      </c>
      <c r="T152" s="43" t="str">
        <f aca="false">IF(OR($D152="",$N152=""),"",INDEX(Config!$D$13:$D$15,$AK152)*$AL152+INDEX(Config!$E$13:$E$15,$AK152)*$AM152)</f>
        <v/>
      </c>
      <c r="U152" s="43" t="str">
        <f aca="false">IF(OR($D152="",$N152=""),"",INDEX(Config!$F$13:$F$15,$AK152)*($K152+$O152))</f>
        <v/>
      </c>
      <c r="V152" s="43" t="str">
        <f aca="false">IF(OR($D152="",$N152=""),"",INDEX(Config!$G$13:$G$15,$AK152)*($K152+$O152)+INDEX(Config!$H$13:$H$15,$AK152)*$AL152+INDEX(Config!$J$13:$J$15,$AK152))</f>
        <v/>
      </c>
      <c r="W152" s="43" t="str">
        <f aca="false">IF(OR($D152="",$N152=""),"",INDEX(Config!$I$13:$I$15,$AK152)*($S152+$U152+INDEX(Config!$G$13:$G$15,$AK152)*($K152+$O152)))</f>
        <v/>
      </c>
      <c r="X152" s="43" t="str">
        <f aca="false">IF(OR($D152="",$N152=""),"",INDEX(Config!$K$13:$K$15,$AK152)/365*$P152*$K152*Config!$B$8)</f>
        <v/>
      </c>
      <c r="Y152" s="43" t="str">
        <f aca="false">IF(OR($D152="",$N152=""),"",SUM($S152:$X152))</f>
        <v/>
      </c>
      <c r="Z152" s="40" t="str">
        <f aca="false">IF(OR($D152="",$Q152=""),"",$Q152-$Y152)</f>
        <v/>
      </c>
      <c r="AA152" s="42" t="str">
        <f aca="false">IF(OR($D152="",$Z152="",$K152=0),"",$Z152/$K152)</f>
        <v/>
      </c>
      <c r="AB152" s="44" t="str">
        <f aca="false">IF(OR($D152="",$Y152="",$K152=0),"",$Y152/$K152*10000)</f>
        <v/>
      </c>
      <c r="AC152" s="44" t="str">
        <f aca="false">IF(OR($D152="",$G152="",$G152=0,$I152=""),"",IF($E152="LONG",($I152-$G152)/$G152,($G152-$I152)/$G152)*10000)</f>
        <v/>
      </c>
      <c r="AD152" s="45"/>
      <c r="AE152" s="40" t="str">
        <f aca="false">IF(OR($D152="",$N152&lt;&gt;"",$AD152=""),"",IF($E152="LONG",($AD152-$I152)*$J152,($I152-$AD152)*$J152))</f>
        <v/>
      </c>
      <c r="AF152" s="40" t="str">
        <f aca="false">IF(OR($D152="",$E152&lt;&gt;"LONG",$Z152=""),"",$Z152+SUMIFS($Z$4:$Z$503,$B$4:$B$503,$B152,$E$4:$E$503,"SHORT"))</f>
        <v/>
      </c>
      <c r="AG152" s="42" t="str">
        <f aca="false">IF(OR($AF152="",$K152=0),"",$AF152/$K152)</f>
        <v/>
      </c>
      <c r="AH152" s="46"/>
      <c r="AI152" s="43" t="str">
        <f aca="false">IF(OR($D152="",$AH152="",$Z152=""),"",$Z152-$AH152)</f>
        <v/>
      </c>
      <c r="AJ152" s="49"/>
      <c r="AK152" s="47" t="str">
        <f aca="false">IF($D152="","",IFERROR(MATCH($F152,Config!$A$13:$A$15,0),1))</f>
        <v/>
      </c>
      <c r="AL152" s="47" t="str">
        <f aca="false">IF(OR($D152="",$N152=""),"",IF($E152="LONG",$K152,$O152))</f>
        <v/>
      </c>
      <c r="AM152" s="47" t="str">
        <f aca="false">IF(OR($D152="",$N152=""),"",IF($E152="LONG",$O152,$K152))</f>
        <v/>
      </c>
    </row>
    <row r="153" customFormat="false" ht="15" hidden="false" customHeight="false" outlineLevel="0" collapsed="false">
      <c r="A153" s="49"/>
      <c r="B153" s="5" t="str">
        <f aca="false">IF($D153="","",IF(OR(RIGHT($A153,2)="-L",RIGHT($A153,2)="-S"),LEFT($A153,LEN($A153)-2),$A153))</f>
        <v/>
      </c>
      <c r="C153" s="50"/>
      <c r="D153" s="49"/>
      <c r="E153" s="49"/>
      <c r="F153" s="49"/>
      <c r="G153" s="45"/>
      <c r="H153" s="50"/>
      <c r="I153" s="45"/>
      <c r="J153" s="51"/>
      <c r="K153" s="40" t="str">
        <f aca="false">IF($D153="","",$I153*$J153)</f>
        <v/>
      </c>
      <c r="L153" s="50"/>
      <c r="M153" s="49"/>
      <c r="N153" s="45"/>
      <c r="O153" s="40" t="str">
        <f aca="false">IF(OR($D153="",$N153=""),"",$N153*$J153)</f>
        <v/>
      </c>
      <c r="P153" s="41" t="str">
        <f aca="false">IF(OR($D153="",$L153=""),"",MAX($L153-$H153,0))</f>
        <v/>
      </c>
      <c r="Q153" s="40" t="str">
        <f aca="false">IF(OR($D153="",$N153=""),"",IF($E153="LONG",($N153-$I153)*$J153,($I153-$N153)*$J153))</f>
        <v/>
      </c>
      <c r="R153" s="42" t="str">
        <f aca="false">IF(OR($D153="",$Q153="",$K153=0),"",$Q153/$K153)</f>
        <v/>
      </c>
      <c r="S153" s="43" t="str">
        <f aca="false">IF(OR($D153="",$N153=""),"",MIN(INDEX(Config!$C$13:$C$15,$AK153),INDEX(Config!$B$13:$B$15,$AK153)*$K153)+MIN(INDEX(Config!$C$13:$C$15,$AK153),INDEX(Config!$B$13:$B$15,$AK153)*$O153))</f>
        <v/>
      </c>
      <c r="T153" s="43" t="str">
        <f aca="false">IF(OR($D153="",$N153=""),"",INDEX(Config!$D$13:$D$15,$AK153)*$AL153+INDEX(Config!$E$13:$E$15,$AK153)*$AM153)</f>
        <v/>
      </c>
      <c r="U153" s="43" t="str">
        <f aca="false">IF(OR($D153="",$N153=""),"",INDEX(Config!$F$13:$F$15,$AK153)*($K153+$O153))</f>
        <v/>
      </c>
      <c r="V153" s="43" t="str">
        <f aca="false">IF(OR($D153="",$N153=""),"",INDEX(Config!$G$13:$G$15,$AK153)*($K153+$O153)+INDEX(Config!$H$13:$H$15,$AK153)*$AL153+INDEX(Config!$J$13:$J$15,$AK153))</f>
        <v/>
      </c>
      <c r="W153" s="43" t="str">
        <f aca="false">IF(OR($D153="",$N153=""),"",INDEX(Config!$I$13:$I$15,$AK153)*($S153+$U153+INDEX(Config!$G$13:$G$15,$AK153)*($K153+$O153)))</f>
        <v/>
      </c>
      <c r="X153" s="43" t="str">
        <f aca="false">IF(OR($D153="",$N153=""),"",INDEX(Config!$K$13:$K$15,$AK153)/365*$P153*$K153*Config!$B$8)</f>
        <v/>
      </c>
      <c r="Y153" s="43" t="str">
        <f aca="false">IF(OR($D153="",$N153=""),"",SUM($S153:$X153))</f>
        <v/>
      </c>
      <c r="Z153" s="40" t="str">
        <f aca="false">IF(OR($D153="",$Q153=""),"",$Q153-$Y153)</f>
        <v/>
      </c>
      <c r="AA153" s="42" t="str">
        <f aca="false">IF(OR($D153="",$Z153="",$K153=0),"",$Z153/$K153)</f>
        <v/>
      </c>
      <c r="AB153" s="44" t="str">
        <f aca="false">IF(OR($D153="",$Y153="",$K153=0),"",$Y153/$K153*10000)</f>
        <v/>
      </c>
      <c r="AC153" s="44" t="str">
        <f aca="false">IF(OR($D153="",$G153="",$G153=0,$I153=""),"",IF($E153="LONG",($I153-$G153)/$G153,($G153-$I153)/$G153)*10000)</f>
        <v/>
      </c>
      <c r="AD153" s="45"/>
      <c r="AE153" s="40" t="str">
        <f aca="false">IF(OR($D153="",$N153&lt;&gt;"",$AD153=""),"",IF($E153="LONG",($AD153-$I153)*$J153,($I153-$AD153)*$J153))</f>
        <v/>
      </c>
      <c r="AF153" s="40" t="str">
        <f aca="false">IF(OR($D153="",$E153&lt;&gt;"LONG",$Z153=""),"",$Z153+SUMIFS($Z$4:$Z$503,$B$4:$B$503,$B153,$E$4:$E$503,"SHORT"))</f>
        <v/>
      </c>
      <c r="AG153" s="42" t="str">
        <f aca="false">IF(OR($AF153="",$K153=0),"",$AF153/$K153)</f>
        <v/>
      </c>
      <c r="AH153" s="46"/>
      <c r="AI153" s="43" t="str">
        <f aca="false">IF(OR($D153="",$AH153="",$Z153=""),"",$Z153-$AH153)</f>
        <v/>
      </c>
      <c r="AJ153" s="49"/>
      <c r="AK153" s="47" t="str">
        <f aca="false">IF($D153="","",IFERROR(MATCH($F153,Config!$A$13:$A$15,0),1))</f>
        <v/>
      </c>
      <c r="AL153" s="47" t="str">
        <f aca="false">IF(OR($D153="",$N153=""),"",IF($E153="LONG",$K153,$O153))</f>
        <v/>
      </c>
      <c r="AM153" s="47" t="str">
        <f aca="false">IF(OR($D153="",$N153=""),"",IF($E153="LONG",$O153,$K153))</f>
        <v/>
      </c>
    </row>
    <row r="154" customFormat="false" ht="15" hidden="false" customHeight="false" outlineLevel="0" collapsed="false">
      <c r="A154" s="49"/>
      <c r="B154" s="5" t="str">
        <f aca="false">IF($D154="","",IF(OR(RIGHT($A154,2)="-L",RIGHT($A154,2)="-S"),LEFT($A154,LEN($A154)-2),$A154))</f>
        <v/>
      </c>
      <c r="C154" s="50"/>
      <c r="D154" s="49"/>
      <c r="E154" s="49"/>
      <c r="F154" s="49"/>
      <c r="G154" s="45"/>
      <c r="H154" s="50"/>
      <c r="I154" s="45"/>
      <c r="J154" s="51"/>
      <c r="K154" s="40" t="str">
        <f aca="false">IF($D154="","",$I154*$J154)</f>
        <v/>
      </c>
      <c r="L154" s="50"/>
      <c r="M154" s="49"/>
      <c r="N154" s="45"/>
      <c r="O154" s="40" t="str">
        <f aca="false">IF(OR($D154="",$N154=""),"",$N154*$J154)</f>
        <v/>
      </c>
      <c r="P154" s="41" t="str">
        <f aca="false">IF(OR($D154="",$L154=""),"",MAX($L154-$H154,0))</f>
        <v/>
      </c>
      <c r="Q154" s="40" t="str">
        <f aca="false">IF(OR($D154="",$N154=""),"",IF($E154="LONG",($N154-$I154)*$J154,($I154-$N154)*$J154))</f>
        <v/>
      </c>
      <c r="R154" s="42" t="str">
        <f aca="false">IF(OR($D154="",$Q154="",$K154=0),"",$Q154/$K154)</f>
        <v/>
      </c>
      <c r="S154" s="43" t="str">
        <f aca="false">IF(OR($D154="",$N154=""),"",MIN(INDEX(Config!$C$13:$C$15,$AK154),INDEX(Config!$B$13:$B$15,$AK154)*$K154)+MIN(INDEX(Config!$C$13:$C$15,$AK154),INDEX(Config!$B$13:$B$15,$AK154)*$O154))</f>
        <v/>
      </c>
      <c r="T154" s="43" t="str">
        <f aca="false">IF(OR($D154="",$N154=""),"",INDEX(Config!$D$13:$D$15,$AK154)*$AL154+INDEX(Config!$E$13:$E$15,$AK154)*$AM154)</f>
        <v/>
      </c>
      <c r="U154" s="43" t="str">
        <f aca="false">IF(OR($D154="",$N154=""),"",INDEX(Config!$F$13:$F$15,$AK154)*($K154+$O154))</f>
        <v/>
      </c>
      <c r="V154" s="43" t="str">
        <f aca="false">IF(OR($D154="",$N154=""),"",INDEX(Config!$G$13:$G$15,$AK154)*($K154+$O154)+INDEX(Config!$H$13:$H$15,$AK154)*$AL154+INDEX(Config!$J$13:$J$15,$AK154))</f>
        <v/>
      </c>
      <c r="W154" s="43" t="str">
        <f aca="false">IF(OR($D154="",$N154=""),"",INDEX(Config!$I$13:$I$15,$AK154)*($S154+$U154+INDEX(Config!$G$13:$G$15,$AK154)*($K154+$O154)))</f>
        <v/>
      </c>
      <c r="X154" s="43" t="str">
        <f aca="false">IF(OR($D154="",$N154=""),"",INDEX(Config!$K$13:$K$15,$AK154)/365*$P154*$K154*Config!$B$8)</f>
        <v/>
      </c>
      <c r="Y154" s="43" t="str">
        <f aca="false">IF(OR($D154="",$N154=""),"",SUM($S154:$X154))</f>
        <v/>
      </c>
      <c r="Z154" s="40" t="str">
        <f aca="false">IF(OR($D154="",$Q154=""),"",$Q154-$Y154)</f>
        <v/>
      </c>
      <c r="AA154" s="42" t="str">
        <f aca="false">IF(OR($D154="",$Z154="",$K154=0),"",$Z154/$K154)</f>
        <v/>
      </c>
      <c r="AB154" s="44" t="str">
        <f aca="false">IF(OR($D154="",$Y154="",$K154=0),"",$Y154/$K154*10000)</f>
        <v/>
      </c>
      <c r="AC154" s="44" t="str">
        <f aca="false">IF(OR($D154="",$G154="",$G154=0,$I154=""),"",IF($E154="LONG",($I154-$G154)/$G154,($G154-$I154)/$G154)*10000)</f>
        <v/>
      </c>
      <c r="AD154" s="45"/>
      <c r="AE154" s="40" t="str">
        <f aca="false">IF(OR($D154="",$N154&lt;&gt;"",$AD154=""),"",IF($E154="LONG",($AD154-$I154)*$J154,($I154-$AD154)*$J154))</f>
        <v/>
      </c>
      <c r="AF154" s="40" t="str">
        <f aca="false">IF(OR($D154="",$E154&lt;&gt;"LONG",$Z154=""),"",$Z154+SUMIFS($Z$4:$Z$503,$B$4:$B$503,$B154,$E$4:$E$503,"SHORT"))</f>
        <v/>
      </c>
      <c r="AG154" s="42" t="str">
        <f aca="false">IF(OR($AF154="",$K154=0),"",$AF154/$K154)</f>
        <v/>
      </c>
      <c r="AH154" s="46"/>
      <c r="AI154" s="43" t="str">
        <f aca="false">IF(OR($D154="",$AH154="",$Z154=""),"",$Z154-$AH154)</f>
        <v/>
      </c>
      <c r="AJ154" s="49"/>
      <c r="AK154" s="47" t="str">
        <f aca="false">IF($D154="","",IFERROR(MATCH($F154,Config!$A$13:$A$15,0),1))</f>
        <v/>
      </c>
      <c r="AL154" s="47" t="str">
        <f aca="false">IF(OR($D154="",$N154=""),"",IF($E154="LONG",$K154,$O154))</f>
        <v/>
      </c>
      <c r="AM154" s="47" t="str">
        <f aca="false">IF(OR($D154="",$N154=""),"",IF($E154="LONG",$O154,$K154))</f>
        <v/>
      </c>
    </row>
    <row r="155" customFormat="false" ht="15" hidden="false" customHeight="false" outlineLevel="0" collapsed="false">
      <c r="A155" s="49"/>
      <c r="B155" s="5" t="str">
        <f aca="false">IF($D155="","",IF(OR(RIGHT($A155,2)="-L",RIGHT($A155,2)="-S"),LEFT($A155,LEN($A155)-2),$A155))</f>
        <v/>
      </c>
      <c r="C155" s="50"/>
      <c r="D155" s="49"/>
      <c r="E155" s="49"/>
      <c r="F155" s="49"/>
      <c r="G155" s="45"/>
      <c r="H155" s="50"/>
      <c r="I155" s="45"/>
      <c r="J155" s="51"/>
      <c r="K155" s="40" t="str">
        <f aca="false">IF($D155="","",$I155*$J155)</f>
        <v/>
      </c>
      <c r="L155" s="50"/>
      <c r="M155" s="49"/>
      <c r="N155" s="45"/>
      <c r="O155" s="40" t="str">
        <f aca="false">IF(OR($D155="",$N155=""),"",$N155*$J155)</f>
        <v/>
      </c>
      <c r="P155" s="41" t="str">
        <f aca="false">IF(OR($D155="",$L155=""),"",MAX($L155-$H155,0))</f>
        <v/>
      </c>
      <c r="Q155" s="40" t="str">
        <f aca="false">IF(OR($D155="",$N155=""),"",IF($E155="LONG",($N155-$I155)*$J155,($I155-$N155)*$J155))</f>
        <v/>
      </c>
      <c r="R155" s="42" t="str">
        <f aca="false">IF(OR($D155="",$Q155="",$K155=0),"",$Q155/$K155)</f>
        <v/>
      </c>
      <c r="S155" s="43" t="str">
        <f aca="false">IF(OR($D155="",$N155=""),"",MIN(INDEX(Config!$C$13:$C$15,$AK155),INDEX(Config!$B$13:$B$15,$AK155)*$K155)+MIN(INDEX(Config!$C$13:$C$15,$AK155),INDEX(Config!$B$13:$B$15,$AK155)*$O155))</f>
        <v/>
      </c>
      <c r="T155" s="43" t="str">
        <f aca="false">IF(OR($D155="",$N155=""),"",INDEX(Config!$D$13:$D$15,$AK155)*$AL155+INDEX(Config!$E$13:$E$15,$AK155)*$AM155)</f>
        <v/>
      </c>
      <c r="U155" s="43" t="str">
        <f aca="false">IF(OR($D155="",$N155=""),"",INDEX(Config!$F$13:$F$15,$AK155)*($K155+$O155))</f>
        <v/>
      </c>
      <c r="V155" s="43" t="str">
        <f aca="false">IF(OR($D155="",$N155=""),"",INDEX(Config!$G$13:$G$15,$AK155)*($K155+$O155)+INDEX(Config!$H$13:$H$15,$AK155)*$AL155+INDEX(Config!$J$13:$J$15,$AK155))</f>
        <v/>
      </c>
      <c r="W155" s="43" t="str">
        <f aca="false">IF(OR($D155="",$N155=""),"",INDEX(Config!$I$13:$I$15,$AK155)*($S155+$U155+INDEX(Config!$G$13:$G$15,$AK155)*($K155+$O155)))</f>
        <v/>
      </c>
      <c r="X155" s="43" t="str">
        <f aca="false">IF(OR($D155="",$N155=""),"",INDEX(Config!$K$13:$K$15,$AK155)/365*$P155*$K155*Config!$B$8)</f>
        <v/>
      </c>
      <c r="Y155" s="43" t="str">
        <f aca="false">IF(OR($D155="",$N155=""),"",SUM($S155:$X155))</f>
        <v/>
      </c>
      <c r="Z155" s="40" t="str">
        <f aca="false">IF(OR($D155="",$Q155=""),"",$Q155-$Y155)</f>
        <v/>
      </c>
      <c r="AA155" s="42" t="str">
        <f aca="false">IF(OR($D155="",$Z155="",$K155=0),"",$Z155/$K155)</f>
        <v/>
      </c>
      <c r="AB155" s="44" t="str">
        <f aca="false">IF(OR($D155="",$Y155="",$K155=0),"",$Y155/$K155*10000)</f>
        <v/>
      </c>
      <c r="AC155" s="44" t="str">
        <f aca="false">IF(OR($D155="",$G155="",$G155=0,$I155=""),"",IF($E155="LONG",($I155-$G155)/$G155,($G155-$I155)/$G155)*10000)</f>
        <v/>
      </c>
      <c r="AD155" s="45"/>
      <c r="AE155" s="40" t="str">
        <f aca="false">IF(OR($D155="",$N155&lt;&gt;"",$AD155=""),"",IF($E155="LONG",($AD155-$I155)*$J155,($I155-$AD155)*$J155))</f>
        <v/>
      </c>
      <c r="AF155" s="40" t="str">
        <f aca="false">IF(OR($D155="",$E155&lt;&gt;"LONG",$Z155=""),"",$Z155+SUMIFS($Z$4:$Z$503,$B$4:$B$503,$B155,$E$4:$E$503,"SHORT"))</f>
        <v/>
      </c>
      <c r="AG155" s="42" t="str">
        <f aca="false">IF(OR($AF155="",$K155=0),"",$AF155/$K155)</f>
        <v/>
      </c>
      <c r="AH155" s="46"/>
      <c r="AI155" s="43" t="str">
        <f aca="false">IF(OR($D155="",$AH155="",$Z155=""),"",$Z155-$AH155)</f>
        <v/>
      </c>
      <c r="AJ155" s="49"/>
      <c r="AK155" s="47" t="str">
        <f aca="false">IF($D155="","",IFERROR(MATCH($F155,Config!$A$13:$A$15,0),1))</f>
        <v/>
      </c>
      <c r="AL155" s="47" t="str">
        <f aca="false">IF(OR($D155="",$N155=""),"",IF($E155="LONG",$K155,$O155))</f>
        <v/>
      </c>
      <c r="AM155" s="47" t="str">
        <f aca="false">IF(OR($D155="",$N155=""),"",IF($E155="LONG",$O155,$K155))</f>
        <v/>
      </c>
    </row>
    <row r="156" customFormat="false" ht="15" hidden="false" customHeight="false" outlineLevel="0" collapsed="false">
      <c r="A156" s="49"/>
      <c r="B156" s="5" t="str">
        <f aca="false">IF($D156="","",IF(OR(RIGHT($A156,2)="-L",RIGHT($A156,2)="-S"),LEFT($A156,LEN($A156)-2),$A156))</f>
        <v/>
      </c>
      <c r="C156" s="50"/>
      <c r="D156" s="49"/>
      <c r="E156" s="49"/>
      <c r="F156" s="49"/>
      <c r="G156" s="45"/>
      <c r="H156" s="50"/>
      <c r="I156" s="45"/>
      <c r="J156" s="51"/>
      <c r="K156" s="40" t="str">
        <f aca="false">IF($D156="","",$I156*$J156)</f>
        <v/>
      </c>
      <c r="L156" s="50"/>
      <c r="M156" s="49"/>
      <c r="N156" s="45"/>
      <c r="O156" s="40" t="str">
        <f aca="false">IF(OR($D156="",$N156=""),"",$N156*$J156)</f>
        <v/>
      </c>
      <c r="P156" s="41" t="str">
        <f aca="false">IF(OR($D156="",$L156=""),"",MAX($L156-$H156,0))</f>
        <v/>
      </c>
      <c r="Q156" s="40" t="str">
        <f aca="false">IF(OR($D156="",$N156=""),"",IF($E156="LONG",($N156-$I156)*$J156,($I156-$N156)*$J156))</f>
        <v/>
      </c>
      <c r="R156" s="42" t="str">
        <f aca="false">IF(OR($D156="",$Q156="",$K156=0),"",$Q156/$K156)</f>
        <v/>
      </c>
      <c r="S156" s="43" t="str">
        <f aca="false">IF(OR($D156="",$N156=""),"",MIN(INDEX(Config!$C$13:$C$15,$AK156),INDEX(Config!$B$13:$B$15,$AK156)*$K156)+MIN(INDEX(Config!$C$13:$C$15,$AK156),INDEX(Config!$B$13:$B$15,$AK156)*$O156))</f>
        <v/>
      </c>
      <c r="T156" s="43" t="str">
        <f aca="false">IF(OR($D156="",$N156=""),"",INDEX(Config!$D$13:$D$15,$AK156)*$AL156+INDEX(Config!$E$13:$E$15,$AK156)*$AM156)</f>
        <v/>
      </c>
      <c r="U156" s="43" t="str">
        <f aca="false">IF(OR($D156="",$N156=""),"",INDEX(Config!$F$13:$F$15,$AK156)*($K156+$O156))</f>
        <v/>
      </c>
      <c r="V156" s="43" t="str">
        <f aca="false">IF(OR($D156="",$N156=""),"",INDEX(Config!$G$13:$G$15,$AK156)*($K156+$O156)+INDEX(Config!$H$13:$H$15,$AK156)*$AL156+INDEX(Config!$J$13:$J$15,$AK156))</f>
        <v/>
      </c>
      <c r="W156" s="43" t="str">
        <f aca="false">IF(OR($D156="",$N156=""),"",INDEX(Config!$I$13:$I$15,$AK156)*($S156+$U156+INDEX(Config!$G$13:$G$15,$AK156)*($K156+$O156)))</f>
        <v/>
      </c>
      <c r="X156" s="43" t="str">
        <f aca="false">IF(OR($D156="",$N156=""),"",INDEX(Config!$K$13:$K$15,$AK156)/365*$P156*$K156*Config!$B$8)</f>
        <v/>
      </c>
      <c r="Y156" s="43" t="str">
        <f aca="false">IF(OR($D156="",$N156=""),"",SUM($S156:$X156))</f>
        <v/>
      </c>
      <c r="Z156" s="40" t="str">
        <f aca="false">IF(OR($D156="",$Q156=""),"",$Q156-$Y156)</f>
        <v/>
      </c>
      <c r="AA156" s="42" t="str">
        <f aca="false">IF(OR($D156="",$Z156="",$K156=0),"",$Z156/$K156)</f>
        <v/>
      </c>
      <c r="AB156" s="44" t="str">
        <f aca="false">IF(OR($D156="",$Y156="",$K156=0),"",$Y156/$K156*10000)</f>
        <v/>
      </c>
      <c r="AC156" s="44" t="str">
        <f aca="false">IF(OR($D156="",$G156="",$G156=0,$I156=""),"",IF($E156="LONG",($I156-$G156)/$G156,($G156-$I156)/$G156)*10000)</f>
        <v/>
      </c>
      <c r="AD156" s="45"/>
      <c r="AE156" s="40" t="str">
        <f aca="false">IF(OR($D156="",$N156&lt;&gt;"",$AD156=""),"",IF($E156="LONG",($AD156-$I156)*$J156,($I156-$AD156)*$J156))</f>
        <v/>
      </c>
      <c r="AF156" s="40" t="str">
        <f aca="false">IF(OR($D156="",$E156&lt;&gt;"LONG",$Z156=""),"",$Z156+SUMIFS($Z$4:$Z$503,$B$4:$B$503,$B156,$E$4:$E$503,"SHORT"))</f>
        <v/>
      </c>
      <c r="AG156" s="42" t="str">
        <f aca="false">IF(OR($AF156="",$K156=0),"",$AF156/$K156)</f>
        <v/>
      </c>
      <c r="AH156" s="46"/>
      <c r="AI156" s="43" t="str">
        <f aca="false">IF(OR($D156="",$AH156="",$Z156=""),"",$Z156-$AH156)</f>
        <v/>
      </c>
      <c r="AJ156" s="49"/>
      <c r="AK156" s="47" t="str">
        <f aca="false">IF($D156="","",IFERROR(MATCH($F156,Config!$A$13:$A$15,0),1))</f>
        <v/>
      </c>
      <c r="AL156" s="47" t="str">
        <f aca="false">IF(OR($D156="",$N156=""),"",IF($E156="LONG",$K156,$O156))</f>
        <v/>
      </c>
      <c r="AM156" s="47" t="str">
        <f aca="false">IF(OR($D156="",$N156=""),"",IF($E156="LONG",$O156,$K156))</f>
        <v/>
      </c>
    </row>
    <row r="157" customFormat="false" ht="15" hidden="false" customHeight="false" outlineLevel="0" collapsed="false">
      <c r="A157" s="49"/>
      <c r="B157" s="5" t="str">
        <f aca="false">IF($D157="","",IF(OR(RIGHT($A157,2)="-L",RIGHT($A157,2)="-S"),LEFT($A157,LEN($A157)-2),$A157))</f>
        <v/>
      </c>
      <c r="C157" s="50"/>
      <c r="D157" s="49"/>
      <c r="E157" s="49"/>
      <c r="F157" s="49"/>
      <c r="G157" s="45"/>
      <c r="H157" s="50"/>
      <c r="I157" s="45"/>
      <c r="J157" s="51"/>
      <c r="K157" s="40" t="str">
        <f aca="false">IF($D157="","",$I157*$J157)</f>
        <v/>
      </c>
      <c r="L157" s="50"/>
      <c r="M157" s="49"/>
      <c r="N157" s="45"/>
      <c r="O157" s="40" t="str">
        <f aca="false">IF(OR($D157="",$N157=""),"",$N157*$J157)</f>
        <v/>
      </c>
      <c r="P157" s="41" t="str">
        <f aca="false">IF(OR($D157="",$L157=""),"",MAX($L157-$H157,0))</f>
        <v/>
      </c>
      <c r="Q157" s="40" t="str">
        <f aca="false">IF(OR($D157="",$N157=""),"",IF($E157="LONG",($N157-$I157)*$J157,($I157-$N157)*$J157))</f>
        <v/>
      </c>
      <c r="R157" s="42" t="str">
        <f aca="false">IF(OR($D157="",$Q157="",$K157=0),"",$Q157/$K157)</f>
        <v/>
      </c>
      <c r="S157" s="43" t="str">
        <f aca="false">IF(OR($D157="",$N157=""),"",MIN(INDEX(Config!$C$13:$C$15,$AK157),INDEX(Config!$B$13:$B$15,$AK157)*$K157)+MIN(INDEX(Config!$C$13:$C$15,$AK157),INDEX(Config!$B$13:$B$15,$AK157)*$O157))</f>
        <v/>
      </c>
      <c r="T157" s="43" t="str">
        <f aca="false">IF(OR($D157="",$N157=""),"",INDEX(Config!$D$13:$D$15,$AK157)*$AL157+INDEX(Config!$E$13:$E$15,$AK157)*$AM157)</f>
        <v/>
      </c>
      <c r="U157" s="43" t="str">
        <f aca="false">IF(OR($D157="",$N157=""),"",INDEX(Config!$F$13:$F$15,$AK157)*($K157+$O157))</f>
        <v/>
      </c>
      <c r="V157" s="43" t="str">
        <f aca="false">IF(OR($D157="",$N157=""),"",INDEX(Config!$G$13:$G$15,$AK157)*($K157+$O157)+INDEX(Config!$H$13:$H$15,$AK157)*$AL157+INDEX(Config!$J$13:$J$15,$AK157))</f>
        <v/>
      </c>
      <c r="W157" s="43" t="str">
        <f aca="false">IF(OR($D157="",$N157=""),"",INDEX(Config!$I$13:$I$15,$AK157)*($S157+$U157+INDEX(Config!$G$13:$G$15,$AK157)*($K157+$O157)))</f>
        <v/>
      </c>
      <c r="X157" s="43" t="str">
        <f aca="false">IF(OR($D157="",$N157=""),"",INDEX(Config!$K$13:$K$15,$AK157)/365*$P157*$K157*Config!$B$8)</f>
        <v/>
      </c>
      <c r="Y157" s="43" t="str">
        <f aca="false">IF(OR($D157="",$N157=""),"",SUM($S157:$X157))</f>
        <v/>
      </c>
      <c r="Z157" s="40" t="str">
        <f aca="false">IF(OR($D157="",$Q157=""),"",$Q157-$Y157)</f>
        <v/>
      </c>
      <c r="AA157" s="42" t="str">
        <f aca="false">IF(OR($D157="",$Z157="",$K157=0),"",$Z157/$K157)</f>
        <v/>
      </c>
      <c r="AB157" s="44" t="str">
        <f aca="false">IF(OR($D157="",$Y157="",$K157=0),"",$Y157/$K157*10000)</f>
        <v/>
      </c>
      <c r="AC157" s="44" t="str">
        <f aca="false">IF(OR($D157="",$G157="",$G157=0,$I157=""),"",IF($E157="LONG",($I157-$G157)/$G157,($G157-$I157)/$G157)*10000)</f>
        <v/>
      </c>
      <c r="AD157" s="45"/>
      <c r="AE157" s="40" t="str">
        <f aca="false">IF(OR($D157="",$N157&lt;&gt;"",$AD157=""),"",IF($E157="LONG",($AD157-$I157)*$J157,($I157-$AD157)*$J157))</f>
        <v/>
      </c>
      <c r="AF157" s="40" t="str">
        <f aca="false">IF(OR($D157="",$E157&lt;&gt;"LONG",$Z157=""),"",$Z157+SUMIFS($Z$4:$Z$503,$B$4:$B$503,$B157,$E$4:$E$503,"SHORT"))</f>
        <v/>
      </c>
      <c r="AG157" s="42" t="str">
        <f aca="false">IF(OR($AF157="",$K157=0),"",$AF157/$K157)</f>
        <v/>
      </c>
      <c r="AH157" s="46"/>
      <c r="AI157" s="43" t="str">
        <f aca="false">IF(OR($D157="",$AH157="",$Z157=""),"",$Z157-$AH157)</f>
        <v/>
      </c>
      <c r="AJ157" s="49"/>
      <c r="AK157" s="47" t="str">
        <f aca="false">IF($D157="","",IFERROR(MATCH($F157,Config!$A$13:$A$15,0),1))</f>
        <v/>
      </c>
      <c r="AL157" s="47" t="str">
        <f aca="false">IF(OR($D157="",$N157=""),"",IF($E157="LONG",$K157,$O157))</f>
        <v/>
      </c>
      <c r="AM157" s="47" t="str">
        <f aca="false">IF(OR($D157="",$N157=""),"",IF($E157="LONG",$O157,$K157))</f>
        <v/>
      </c>
    </row>
    <row r="158" customFormat="false" ht="15" hidden="false" customHeight="false" outlineLevel="0" collapsed="false">
      <c r="A158" s="49"/>
      <c r="B158" s="5" t="str">
        <f aca="false">IF($D158="","",IF(OR(RIGHT($A158,2)="-L",RIGHT($A158,2)="-S"),LEFT($A158,LEN($A158)-2),$A158))</f>
        <v/>
      </c>
      <c r="C158" s="50"/>
      <c r="D158" s="49"/>
      <c r="E158" s="49"/>
      <c r="F158" s="49"/>
      <c r="G158" s="45"/>
      <c r="H158" s="50"/>
      <c r="I158" s="45"/>
      <c r="J158" s="51"/>
      <c r="K158" s="40" t="str">
        <f aca="false">IF($D158="","",$I158*$J158)</f>
        <v/>
      </c>
      <c r="L158" s="50"/>
      <c r="M158" s="49"/>
      <c r="N158" s="45"/>
      <c r="O158" s="40" t="str">
        <f aca="false">IF(OR($D158="",$N158=""),"",$N158*$J158)</f>
        <v/>
      </c>
      <c r="P158" s="41" t="str">
        <f aca="false">IF(OR($D158="",$L158=""),"",MAX($L158-$H158,0))</f>
        <v/>
      </c>
      <c r="Q158" s="40" t="str">
        <f aca="false">IF(OR($D158="",$N158=""),"",IF($E158="LONG",($N158-$I158)*$J158,($I158-$N158)*$J158))</f>
        <v/>
      </c>
      <c r="R158" s="42" t="str">
        <f aca="false">IF(OR($D158="",$Q158="",$K158=0),"",$Q158/$K158)</f>
        <v/>
      </c>
      <c r="S158" s="43" t="str">
        <f aca="false">IF(OR($D158="",$N158=""),"",MIN(INDEX(Config!$C$13:$C$15,$AK158),INDEX(Config!$B$13:$B$15,$AK158)*$K158)+MIN(INDEX(Config!$C$13:$C$15,$AK158),INDEX(Config!$B$13:$B$15,$AK158)*$O158))</f>
        <v/>
      </c>
      <c r="T158" s="43" t="str">
        <f aca="false">IF(OR($D158="",$N158=""),"",INDEX(Config!$D$13:$D$15,$AK158)*$AL158+INDEX(Config!$E$13:$E$15,$AK158)*$AM158)</f>
        <v/>
      </c>
      <c r="U158" s="43" t="str">
        <f aca="false">IF(OR($D158="",$N158=""),"",INDEX(Config!$F$13:$F$15,$AK158)*($K158+$O158))</f>
        <v/>
      </c>
      <c r="V158" s="43" t="str">
        <f aca="false">IF(OR($D158="",$N158=""),"",INDEX(Config!$G$13:$G$15,$AK158)*($K158+$O158)+INDEX(Config!$H$13:$H$15,$AK158)*$AL158+INDEX(Config!$J$13:$J$15,$AK158))</f>
        <v/>
      </c>
      <c r="W158" s="43" t="str">
        <f aca="false">IF(OR($D158="",$N158=""),"",INDEX(Config!$I$13:$I$15,$AK158)*($S158+$U158+INDEX(Config!$G$13:$G$15,$AK158)*($K158+$O158)))</f>
        <v/>
      </c>
      <c r="X158" s="43" t="str">
        <f aca="false">IF(OR($D158="",$N158=""),"",INDEX(Config!$K$13:$K$15,$AK158)/365*$P158*$K158*Config!$B$8)</f>
        <v/>
      </c>
      <c r="Y158" s="43" t="str">
        <f aca="false">IF(OR($D158="",$N158=""),"",SUM($S158:$X158))</f>
        <v/>
      </c>
      <c r="Z158" s="40" t="str">
        <f aca="false">IF(OR($D158="",$Q158=""),"",$Q158-$Y158)</f>
        <v/>
      </c>
      <c r="AA158" s="42" t="str">
        <f aca="false">IF(OR($D158="",$Z158="",$K158=0),"",$Z158/$K158)</f>
        <v/>
      </c>
      <c r="AB158" s="44" t="str">
        <f aca="false">IF(OR($D158="",$Y158="",$K158=0),"",$Y158/$K158*10000)</f>
        <v/>
      </c>
      <c r="AC158" s="44" t="str">
        <f aca="false">IF(OR($D158="",$G158="",$G158=0,$I158=""),"",IF($E158="LONG",($I158-$G158)/$G158,($G158-$I158)/$G158)*10000)</f>
        <v/>
      </c>
      <c r="AD158" s="45"/>
      <c r="AE158" s="40" t="str">
        <f aca="false">IF(OR($D158="",$N158&lt;&gt;"",$AD158=""),"",IF($E158="LONG",($AD158-$I158)*$J158,($I158-$AD158)*$J158))</f>
        <v/>
      </c>
      <c r="AF158" s="40" t="str">
        <f aca="false">IF(OR($D158="",$E158&lt;&gt;"LONG",$Z158=""),"",$Z158+SUMIFS($Z$4:$Z$503,$B$4:$B$503,$B158,$E$4:$E$503,"SHORT"))</f>
        <v/>
      </c>
      <c r="AG158" s="42" t="str">
        <f aca="false">IF(OR($AF158="",$K158=0),"",$AF158/$K158)</f>
        <v/>
      </c>
      <c r="AH158" s="46"/>
      <c r="AI158" s="43" t="str">
        <f aca="false">IF(OR($D158="",$AH158="",$Z158=""),"",$Z158-$AH158)</f>
        <v/>
      </c>
      <c r="AJ158" s="49"/>
      <c r="AK158" s="47" t="str">
        <f aca="false">IF($D158="","",IFERROR(MATCH($F158,Config!$A$13:$A$15,0),1))</f>
        <v/>
      </c>
      <c r="AL158" s="47" t="str">
        <f aca="false">IF(OR($D158="",$N158=""),"",IF($E158="LONG",$K158,$O158))</f>
        <v/>
      </c>
      <c r="AM158" s="47" t="str">
        <f aca="false">IF(OR($D158="",$N158=""),"",IF($E158="LONG",$O158,$K158))</f>
        <v/>
      </c>
    </row>
    <row r="159" customFormat="false" ht="15" hidden="false" customHeight="false" outlineLevel="0" collapsed="false">
      <c r="A159" s="49"/>
      <c r="B159" s="5" t="str">
        <f aca="false">IF($D159="","",IF(OR(RIGHT($A159,2)="-L",RIGHT($A159,2)="-S"),LEFT($A159,LEN($A159)-2),$A159))</f>
        <v/>
      </c>
      <c r="C159" s="50"/>
      <c r="D159" s="49"/>
      <c r="E159" s="49"/>
      <c r="F159" s="49"/>
      <c r="G159" s="45"/>
      <c r="H159" s="50"/>
      <c r="I159" s="45"/>
      <c r="J159" s="51"/>
      <c r="K159" s="40" t="str">
        <f aca="false">IF($D159="","",$I159*$J159)</f>
        <v/>
      </c>
      <c r="L159" s="50"/>
      <c r="M159" s="49"/>
      <c r="N159" s="45"/>
      <c r="O159" s="40" t="str">
        <f aca="false">IF(OR($D159="",$N159=""),"",$N159*$J159)</f>
        <v/>
      </c>
      <c r="P159" s="41" t="str">
        <f aca="false">IF(OR($D159="",$L159=""),"",MAX($L159-$H159,0))</f>
        <v/>
      </c>
      <c r="Q159" s="40" t="str">
        <f aca="false">IF(OR($D159="",$N159=""),"",IF($E159="LONG",($N159-$I159)*$J159,($I159-$N159)*$J159))</f>
        <v/>
      </c>
      <c r="R159" s="42" t="str">
        <f aca="false">IF(OR($D159="",$Q159="",$K159=0),"",$Q159/$K159)</f>
        <v/>
      </c>
      <c r="S159" s="43" t="str">
        <f aca="false">IF(OR($D159="",$N159=""),"",MIN(INDEX(Config!$C$13:$C$15,$AK159),INDEX(Config!$B$13:$B$15,$AK159)*$K159)+MIN(INDEX(Config!$C$13:$C$15,$AK159),INDEX(Config!$B$13:$B$15,$AK159)*$O159))</f>
        <v/>
      </c>
      <c r="T159" s="43" t="str">
        <f aca="false">IF(OR($D159="",$N159=""),"",INDEX(Config!$D$13:$D$15,$AK159)*$AL159+INDEX(Config!$E$13:$E$15,$AK159)*$AM159)</f>
        <v/>
      </c>
      <c r="U159" s="43" t="str">
        <f aca="false">IF(OR($D159="",$N159=""),"",INDEX(Config!$F$13:$F$15,$AK159)*($K159+$O159))</f>
        <v/>
      </c>
      <c r="V159" s="43" t="str">
        <f aca="false">IF(OR($D159="",$N159=""),"",INDEX(Config!$G$13:$G$15,$AK159)*($K159+$O159)+INDEX(Config!$H$13:$H$15,$AK159)*$AL159+INDEX(Config!$J$13:$J$15,$AK159))</f>
        <v/>
      </c>
      <c r="W159" s="43" t="str">
        <f aca="false">IF(OR($D159="",$N159=""),"",INDEX(Config!$I$13:$I$15,$AK159)*($S159+$U159+INDEX(Config!$G$13:$G$15,$AK159)*($K159+$O159)))</f>
        <v/>
      </c>
      <c r="X159" s="43" t="str">
        <f aca="false">IF(OR($D159="",$N159=""),"",INDEX(Config!$K$13:$K$15,$AK159)/365*$P159*$K159*Config!$B$8)</f>
        <v/>
      </c>
      <c r="Y159" s="43" t="str">
        <f aca="false">IF(OR($D159="",$N159=""),"",SUM($S159:$X159))</f>
        <v/>
      </c>
      <c r="Z159" s="40" t="str">
        <f aca="false">IF(OR($D159="",$Q159=""),"",$Q159-$Y159)</f>
        <v/>
      </c>
      <c r="AA159" s="42" t="str">
        <f aca="false">IF(OR($D159="",$Z159="",$K159=0),"",$Z159/$K159)</f>
        <v/>
      </c>
      <c r="AB159" s="44" t="str">
        <f aca="false">IF(OR($D159="",$Y159="",$K159=0),"",$Y159/$K159*10000)</f>
        <v/>
      </c>
      <c r="AC159" s="44" t="str">
        <f aca="false">IF(OR($D159="",$G159="",$G159=0,$I159=""),"",IF($E159="LONG",($I159-$G159)/$G159,($G159-$I159)/$G159)*10000)</f>
        <v/>
      </c>
      <c r="AD159" s="45"/>
      <c r="AE159" s="40" t="str">
        <f aca="false">IF(OR($D159="",$N159&lt;&gt;"",$AD159=""),"",IF($E159="LONG",($AD159-$I159)*$J159,($I159-$AD159)*$J159))</f>
        <v/>
      </c>
      <c r="AF159" s="40" t="str">
        <f aca="false">IF(OR($D159="",$E159&lt;&gt;"LONG",$Z159=""),"",$Z159+SUMIFS($Z$4:$Z$503,$B$4:$B$503,$B159,$E$4:$E$503,"SHORT"))</f>
        <v/>
      </c>
      <c r="AG159" s="42" t="str">
        <f aca="false">IF(OR($AF159="",$K159=0),"",$AF159/$K159)</f>
        <v/>
      </c>
      <c r="AH159" s="46"/>
      <c r="AI159" s="43" t="str">
        <f aca="false">IF(OR($D159="",$AH159="",$Z159=""),"",$Z159-$AH159)</f>
        <v/>
      </c>
      <c r="AJ159" s="49"/>
      <c r="AK159" s="47" t="str">
        <f aca="false">IF($D159="","",IFERROR(MATCH($F159,Config!$A$13:$A$15,0),1))</f>
        <v/>
      </c>
      <c r="AL159" s="47" t="str">
        <f aca="false">IF(OR($D159="",$N159=""),"",IF($E159="LONG",$K159,$O159))</f>
        <v/>
      </c>
      <c r="AM159" s="47" t="str">
        <f aca="false">IF(OR($D159="",$N159=""),"",IF($E159="LONG",$O159,$K159))</f>
        <v/>
      </c>
    </row>
    <row r="160" customFormat="false" ht="15" hidden="false" customHeight="false" outlineLevel="0" collapsed="false">
      <c r="A160" s="49"/>
      <c r="B160" s="5" t="str">
        <f aca="false">IF($D160="","",IF(OR(RIGHT($A160,2)="-L",RIGHT($A160,2)="-S"),LEFT($A160,LEN($A160)-2),$A160))</f>
        <v/>
      </c>
      <c r="C160" s="50"/>
      <c r="D160" s="49"/>
      <c r="E160" s="49"/>
      <c r="F160" s="49"/>
      <c r="G160" s="45"/>
      <c r="H160" s="50"/>
      <c r="I160" s="45"/>
      <c r="J160" s="51"/>
      <c r="K160" s="40" t="str">
        <f aca="false">IF($D160="","",$I160*$J160)</f>
        <v/>
      </c>
      <c r="L160" s="50"/>
      <c r="M160" s="49"/>
      <c r="N160" s="45"/>
      <c r="O160" s="40" t="str">
        <f aca="false">IF(OR($D160="",$N160=""),"",$N160*$J160)</f>
        <v/>
      </c>
      <c r="P160" s="41" t="str">
        <f aca="false">IF(OR($D160="",$L160=""),"",MAX($L160-$H160,0))</f>
        <v/>
      </c>
      <c r="Q160" s="40" t="str">
        <f aca="false">IF(OR($D160="",$N160=""),"",IF($E160="LONG",($N160-$I160)*$J160,($I160-$N160)*$J160))</f>
        <v/>
      </c>
      <c r="R160" s="42" t="str">
        <f aca="false">IF(OR($D160="",$Q160="",$K160=0),"",$Q160/$K160)</f>
        <v/>
      </c>
      <c r="S160" s="43" t="str">
        <f aca="false">IF(OR($D160="",$N160=""),"",MIN(INDEX(Config!$C$13:$C$15,$AK160),INDEX(Config!$B$13:$B$15,$AK160)*$K160)+MIN(INDEX(Config!$C$13:$C$15,$AK160),INDEX(Config!$B$13:$B$15,$AK160)*$O160))</f>
        <v/>
      </c>
      <c r="T160" s="43" t="str">
        <f aca="false">IF(OR($D160="",$N160=""),"",INDEX(Config!$D$13:$D$15,$AK160)*$AL160+INDEX(Config!$E$13:$E$15,$AK160)*$AM160)</f>
        <v/>
      </c>
      <c r="U160" s="43" t="str">
        <f aca="false">IF(OR($D160="",$N160=""),"",INDEX(Config!$F$13:$F$15,$AK160)*($K160+$O160))</f>
        <v/>
      </c>
      <c r="V160" s="43" t="str">
        <f aca="false">IF(OR($D160="",$N160=""),"",INDEX(Config!$G$13:$G$15,$AK160)*($K160+$O160)+INDEX(Config!$H$13:$H$15,$AK160)*$AL160+INDEX(Config!$J$13:$J$15,$AK160))</f>
        <v/>
      </c>
      <c r="W160" s="43" t="str">
        <f aca="false">IF(OR($D160="",$N160=""),"",INDEX(Config!$I$13:$I$15,$AK160)*($S160+$U160+INDEX(Config!$G$13:$G$15,$AK160)*($K160+$O160)))</f>
        <v/>
      </c>
      <c r="X160" s="43" t="str">
        <f aca="false">IF(OR($D160="",$N160=""),"",INDEX(Config!$K$13:$K$15,$AK160)/365*$P160*$K160*Config!$B$8)</f>
        <v/>
      </c>
      <c r="Y160" s="43" t="str">
        <f aca="false">IF(OR($D160="",$N160=""),"",SUM($S160:$X160))</f>
        <v/>
      </c>
      <c r="Z160" s="40" t="str">
        <f aca="false">IF(OR($D160="",$Q160=""),"",$Q160-$Y160)</f>
        <v/>
      </c>
      <c r="AA160" s="42" t="str">
        <f aca="false">IF(OR($D160="",$Z160="",$K160=0),"",$Z160/$K160)</f>
        <v/>
      </c>
      <c r="AB160" s="44" t="str">
        <f aca="false">IF(OR($D160="",$Y160="",$K160=0),"",$Y160/$K160*10000)</f>
        <v/>
      </c>
      <c r="AC160" s="44" t="str">
        <f aca="false">IF(OR($D160="",$G160="",$G160=0,$I160=""),"",IF($E160="LONG",($I160-$G160)/$G160,($G160-$I160)/$G160)*10000)</f>
        <v/>
      </c>
      <c r="AD160" s="45"/>
      <c r="AE160" s="40" t="str">
        <f aca="false">IF(OR($D160="",$N160&lt;&gt;"",$AD160=""),"",IF($E160="LONG",($AD160-$I160)*$J160,($I160-$AD160)*$J160))</f>
        <v/>
      </c>
      <c r="AF160" s="40" t="str">
        <f aca="false">IF(OR($D160="",$E160&lt;&gt;"LONG",$Z160=""),"",$Z160+SUMIFS($Z$4:$Z$503,$B$4:$B$503,$B160,$E$4:$E$503,"SHORT"))</f>
        <v/>
      </c>
      <c r="AG160" s="42" t="str">
        <f aca="false">IF(OR($AF160="",$K160=0),"",$AF160/$K160)</f>
        <v/>
      </c>
      <c r="AH160" s="46"/>
      <c r="AI160" s="43" t="str">
        <f aca="false">IF(OR($D160="",$AH160="",$Z160=""),"",$Z160-$AH160)</f>
        <v/>
      </c>
      <c r="AJ160" s="49"/>
      <c r="AK160" s="47" t="str">
        <f aca="false">IF($D160="","",IFERROR(MATCH($F160,Config!$A$13:$A$15,0),1))</f>
        <v/>
      </c>
      <c r="AL160" s="47" t="str">
        <f aca="false">IF(OR($D160="",$N160=""),"",IF($E160="LONG",$K160,$O160))</f>
        <v/>
      </c>
      <c r="AM160" s="47" t="str">
        <f aca="false">IF(OR($D160="",$N160=""),"",IF($E160="LONG",$O160,$K160))</f>
        <v/>
      </c>
    </row>
    <row r="161" customFormat="false" ht="15" hidden="false" customHeight="false" outlineLevel="0" collapsed="false">
      <c r="A161" s="49"/>
      <c r="B161" s="5" t="str">
        <f aca="false">IF($D161="","",IF(OR(RIGHT($A161,2)="-L",RIGHT($A161,2)="-S"),LEFT($A161,LEN($A161)-2),$A161))</f>
        <v/>
      </c>
      <c r="C161" s="50"/>
      <c r="D161" s="49"/>
      <c r="E161" s="49"/>
      <c r="F161" s="49"/>
      <c r="G161" s="45"/>
      <c r="H161" s="50"/>
      <c r="I161" s="45"/>
      <c r="J161" s="51"/>
      <c r="K161" s="40" t="str">
        <f aca="false">IF($D161="","",$I161*$J161)</f>
        <v/>
      </c>
      <c r="L161" s="50"/>
      <c r="M161" s="49"/>
      <c r="N161" s="45"/>
      <c r="O161" s="40" t="str">
        <f aca="false">IF(OR($D161="",$N161=""),"",$N161*$J161)</f>
        <v/>
      </c>
      <c r="P161" s="41" t="str">
        <f aca="false">IF(OR($D161="",$L161=""),"",MAX($L161-$H161,0))</f>
        <v/>
      </c>
      <c r="Q161" s="40" t="str">
        <f aca="false">IF(OR($D161="",$N161=""),"",IF($E161="LONG",($N161-$I161)*$J161,($I161-$N161)*$J161))</f>
        <v/>
      </c>
      <c r="R161" s="42" t="str">
        <f aca="false">IF(OR($D161="",$Q161="",$K161=0),"",$Q161/$K161)</f>
        <v/>
      </c>
      <c r="S161" s="43" t="str">
        <f aca="false">IF(OR($D161="",$N161=""),"",MIN(INDEX(Config!$C$13:$C$15,$AK161),INDEX(Config!$B$13:$B$15,$AK161)*$K161)+MIN(INDEX(Config!$C$13:$C$15,$AK161),INDEX(Config!$B$13:$B$15,$AK161)*$O161))</f>
        <v/>
      </c>
      <c r="T161" s="43" t="str">
        <f aca="false">IF(OR($D161="",$N161=""),"",INDEX(Config!$D$13:$D$15,$AK161)*$AL161+INDEX(Config!$E$13:$E$15,$AK161)*$AM161)</f>
        <v/>
      </c>
      <c r="U161" s="43" t="str">
        <f aca="false">IF(OR($D161="",$N161=""),"",INDEX(Config!$F$13:$F$15,$AK161)*($K161+$O161))</f>
        <v/>
      </c>
      <c r="V161" s="43" t="str">
        <f aca="false">IF(OR($D161="",$N161=""),"",INDEX(Config!$G$13:$G$15,$AK161)*($K161+$O161)+INDEX(Config!$H$13:$H$15,$AK161)*$AL161+INDEX(Config!$J$13:$J$15,$AK161))</f>
        <v/>
      </c>
      <c r="W161" s="43" t="str">
        <f aca="false">IF(OR($D161="",$N161=""),"",INDEX(Config!$I$13:$I$15,$AK161)*($S161+$U161+INDEX(Config!$G$13:$G$15,$AK161)*($K161+$O161)))</f>
        <v/>
      </c>
      <c r="X161" s="43" t="str">
        <f aca="false">IF(OR($D161="",$N161=""),"",INDEX(Config!$K$13:$K$15,$AK161)/365*$P161*$K161*Config!$B$8)</f>
        <v/>
      </c>
      <c r="Y161" s="43" t="str">
        <f aca="false">IF(OR($D161="",$N161=""),"",SUM($S161:$X161))</f>
        <v/>
      </c>
      <c r="Z161" s="40" t="str">
        <f aca="false">IF(OR($D161="",$Q161=""),"",$Q161-$Y161)</f>
        <v/>
      </c>
      <c r="AA161" s="42" t="str">
        <f aca="false">IF(OR($D161="",$Z161="",$K161=0),"",$Z161/$K161)</f>
        <v/>
      </c>
      <c r="AB161" s="44" t="str">
        <f aca="false">IF(OR($D161="",$Y161="",$K161=0),"",$Y161/$K161*10000)</f>
        <v/>
      </c>
      <c r="AC161" s="44" t="str">
        <f aca="false">IF(OR($D161="",$G161="",$G161=0,$I161=""),"",IF($E161="LONG",($I161-$G161)/$G161,($G161-$I161)/$G161)*10000)</f>
        <v/>
      </c>
      <c r="AD161" s="45"/>
      <c r="AE161" s="40" t="str">
        <f aca="false">IF(OR($D161="",$N161&lt;&gt;"",$AD161=""),"",IF($E161="LONG",($AD161-$I161)*$J161,($I161-$AD161)*$J161))</f>
        <v/>
      </c>
      <c r="AF161" s="40" t="str">
        <f aca="false">IF(OR($D161="",$E161&lt;&gt;"LONG",$Z161=""),"",$Z161+SUMIFS($Z$4:$Z$503,$B$4:$B$503,$B161,$E$4:$E$503,"SHORT"))</f>
        <v/>
      </c>
      <c r="AG161" s="42" t="str">
        <f aca="false">IF(OR($AF161="",$K161=0),"",$AF161/$K161)</f>
        <v/>
      </c>
      <c r="AH161" s="46"/>
      <c r="AI161" s="43" t="str">
        <f aca="false">IF(OR($D161="",$AH161="",$Z161=""),"",$Z161-$AH161)</f>
        <v/>
      </c>
      <c r="AJ161" s="49"/>
      <c r="AK161" s="47" t="str">
        <f aca="false">IF($D161="","",IFERROR(MATCH($F161,Config!$A$13:$A$15,0),1))</f>
        <v/>
      </c>
      <c r="AL161" s="47" t="str">
        <f aca="false">IF(OR($D161="",$N161=""),"",IF($E161="LONG",$K161,$O161))</f>
        <v/>
      </c>
      <c r="AM161" s="47" t="str">
        <f aca="false">IF(OR($D161="",$N161=""),"",IF($E161="LONG",$O161,$K161))</f>
        <v/>
      </c>
    </row>
    <row r="162" customFormat="false" ht="15" hidden="false" customHeight="false" outlineLevel="0" collapsed="false">
      <c r="A162" s="49"/>
      <c r="B162" s="5" t="str">
        <f aca="false">IF($D162="","",IF(OR(RIGHT($A162,2)="-L",RIGHT($A162,2)="-S"),LEFT($A162,LEN($A162)-2),$A162))</f>
        <v/>
      </c>
      <c r="C162" s="50"/>
      <c r="D162" s="49"/>
      <c r="E162" s="49"/>
      <c r="F162" s="49"/>
      <c r="G162" s="45"/>
      <c r="H162" s="50"/>
      <c r="I162" s="45"/>
      <c r="J162" s="51"/>
      <c r="K162" s="40" t="str">
        <f aca="false">IF($D162="","",$I162*$J162)</f>
        <v/>
      </c>
      <c r="L162" s="50"/>
      <c r="M162" s="49"/>
      <c r="N162" s="45"/>
      <c r="O162" s="40" t="str">
        <f aca="false">IF(OR($D162="",$N162=""),"",$N162*$J162)</f>
        <v/>
      </c>
      <c r="P162" s="41" t="str">
        <f aca="false">IF(OR($D162="",$L162=""),"",MAX($L162-$H162,0))</f>
        <v/>
      </c>
      <c r="Q162" s="40" t="str">
        <f aca="false">IF(OR($D162="",$N162=""),"",IF($E162="LONG",($N162-$I162)*$J162,($I162-$N162)*$J162))</f>
        <v/>
      </c>
      <c r="R162" s="42" t="str">
        <f aca="false">IF(OR($D162="",$Q162="",$K162=0),"",$Q162/$K162)</f>
        <v/>
      </c>
      <c r="S162" s="43" t="str">
        <f aca="false">IF(OR($D162="",$N162=""),"",MIN(INDEX(Config!$C$13:$C$15,$AK162),INDEX(Config!$B$13:$B$15,$AK162)*$K162)+MIN(INDEX(Config!$C$13:$C$15,$AK162),INDEX(Config!$B$13:$B$15,$AK162)*$O162))</f>
        <v/>
      </c>
      <c r="T162" s="43" t="str">
        <f aca="false">IF(OR($D162="",$N162=""),"",INDEX(Config!$D$13:$D$15,$AK162)*$AL162+INDEX(Config!$E$13:$E$15,$AK162)*$AM162)</f>
        <v/>
      </c>
      <c r="U162" s="43" t="str">
        <f aca="false">IF(OR($D162="",$N162=""),"",INDEX(Config!$F$13:$F$15,$AK162)*($K162+$O162))</f>
        <v/>
      </c>
      <c r="V162" s="43" t="str">
        <f aca="false">IF(OR($D162="",$N162=""),"",INDEX(Config!$G$13:$G$15,$AK162)*($K162+$O162)+INDEX(Config!$H$13:$H$15,$AK162)*$AL162+INDEX(Config!$J$13:$J$15,$AK162))</f>
        <v/>
      </c>
      <c r="W162" s="43" t="str">
        <f aca="false">IF(OR($D162="",$N162=""),"",INDEX(Config!$I$13:$I$15,$AK162)*($S162+$U162+INDEX(Config!$G$13:$G$15,$AK162)*($K162+$O162)))</f>
        <v/>
      </c>
      <c r="X162" s="43" t="str">
        <f aca="false">IF(OR($D162="",$N162=""),"",INDEX(Config!$K$13:$K$15,$AK162)/365*$P162*$K162*Config!$B$8)</f>
        <v/>
      </c>
      <c r="Y162" s="43" t="str">
        <f aca="false">IF(OR($D162="",$N162=""),"",SUM($S162:$X162))</f>
        <v/>
      </c>
      <c r="Z162" s="40" t="str">
        <f aca="false">IF(OR($D162="",$Q162=""),"",$Q162-$Y162)</f>
        <v/>
      </c>
      <c r="AA162" s="42" t="str">
        <f aca="false">IF(OR($D162="",$Z162="",$K162=0),"",$Z162/$K162)</f>
        <v/>
      </c>
      <c r="AB162" s="44" t="str">
        <f aca="false">IF(OR($D162="",$Y162="",$K162=0),"",$Y162/$K162*10000)</f>
        <v/>
      </c>
      <c r="AC162" s="44" t="str">
        <f aca="false">IF(OR($D162="",$G162="",$G162=0,$I162=""),"",IF($E162="LONG",($I162-$G162)/$G162,($G162-$I162)/$G162)*10000)</f>
        <v/>
      </c>
      <c r="AD162" s="45"/>
      <c r="AE162" s="40" t="str">
        <f aca="false">IF(OR($D162="",$N162&lt;&gt;"",$AD162=""),"",IF($E162="LONG",($AD162-$I162)*$J162,($I162-$AD162)*$J162))</f>
        <v/>
      </c>
      <c r="AF162" s="40" t="str">
        <f aca="false">IF(OR($D162="",$E162&lt;&gt;"LONG",$Z162=""),"",$Z162+SUMIFS($Z$4:$Z$503,$B$4:$B$503,$B162,$E$4:$E$503,"SHORT"))</f>
        <v/>
      </c>
      <c r="AG162" s="42" t="str">
        <f aca="false">IF(OR($AF162="",$K162=0),"",$AF162/$K162)</f>
        <v/>
      </c>
      <c r="AH162" s="46"/>
      <c r="AI162" s="43" t="str">
        <f aca="false">IF(OR($D162="",$AH162="",$Z162=""),"",$Z162-$AH162)</f>
        <v/>
      </c>
      <c r="AJ162" s="49"/>
      <c r="AK162" s="47" t="str">
        <f aca="false">IF($D162="","",IFERROR(MATCH($F162,Config!$A$13:$A$15,0),1))</f>
        <v/>
      </c>
      <c r="AL162" s="47" t="str">
        <f aca="false">IF(OR($D162="",$N162=""),"",IF($E162="LONG",$K162,$O162))</f>
        <v/>
      </c>
      <c r="AM162" s="47" t="str">
        <f aca="false">IF(OR($D162="",$N162=""),"",IF($E162="LONG",$O162,$K162))</f>
        <v/>
      </c>
    </row>
    <row r="163" customFormat="false" ht="15" hidden="false" customHeight="false" outlineLevel="0" collapsed="false">
      <c r="A163" s="49"/>
      <c r="B163" s="5" t="str">
        <f aca="false">IF($D163="","",IF(OR(RIGHT($A163,2)="-L",RIGHT($A163,2)="-S"),LEFT($A163,LEN($A163)-2),$A163))</f>
        <v/>
      </c>
      <c r="C163" s="50"/>
      <c r="D163" s="49"/>
      <c r="E163" s="49"/>
      <c r="F163" s="49"/>
      <c r="G163" s="45"/>
      <c r="H163" s="50"/>
      <c r="I163" s="45"/>
      <c r="J163" s="51"/>
      <c r="K163" s="40" t="str">
        <f aca="false">IF($D163="","",$I163*$J163)</f>
        <v/>
      </c>
      <c r="L163" s="50"/>
      <c r="M163" s="49"/>
      <c r="N163" s="45"/>
      <c r="O163" s="40" t="str">
        <f aca="false">IF(OR($D163="",$N163=""),"",$N163*$J163)</f>
        <v/>
      </c>
      <c r="P163" s="41" t="str">
        <f aca="false">IF(OR($D163="",$L163=""),"",MAX($L163-$H163,0))</f>
        <v/>
      </c>
      <c r="Q163" s="40" t="str">
        <f aca="false">IF(OR($D163="",$N163=""),"",IF($E163="LONG",($N163-$I163)*$J163,($I163-$N163)*$J163))</f>
        <v/>
      </c>
      <c r="R163" s="42" t="str">
        <f aca="false">IF(OR($D163="",$Q163="",$K163=0),"",$Q163/$K163)</f>
        <v/>
      </c>
      <c r="S163" s="43" t="str">
        <f aca="false">IF(OR($D163="",$N163=""),"",MIN(INDEX(Config!$C$13:$C$15,$AK163),INDEX(Config!$B$13:$B$15,$AK163)*$K163)+MIN(INDEX(Config!$C$13:$C$15,$AK163),INDEX(Config!$B$13:$B$15,$AK163)*$O163))</f>
        <v/>
      </c>
      <c r="T163" s="43" t="str">
        <f aca="false">IF(OR($D163="",$N163=""),"",INDEX(Config!$D$13:$D$15,$AK163)*$AL163+INDEX(Config!$E$13:$E$15,$AK163)*$AM163)</f>
        <v/>
      </c>
      <c r="U163" s="43" t="str">
        <f aca="false">IF(OR($D163="",$N163=""),"",INDEX(Config!$F$13:$F$15,$AK163)*($K163+$O163))</f>
        <v/>
      </c>
      <c r="V163" s="43" t="str">
        <f aca="false">IF(OR($D163="",$N163=""),"",INDEX(Config!$G$13:$G$15,$AK163)*($K163+$O163)+INDEX(Config!$H$13:$H$15,$AK163)*$AL163+INDEX(Config!$J$13:$J$15,$AK163))</f>
        <v/>
      </c>
      <c r="W163" s="43" t="str">
        <f aca="false">IF(OR($D163="",$N163=""),"",INDEX(Config!$I$13:$I$15,$AK163)*($S163+$U163+INDEX(Config!$G$13:$G$15,$AK163)*($K163+$O163)))</f>
        <v/>
      </c>
      <c r="X163" s="43" t="str">
        <f aca="false">IF(OR($D163="",$N163=""),"",INDEX(Config!$K$13:$K$15,$AK163)/365*$P163*$K163*Config!$B$8)</f>
        <v/>
      </c>
      <c r="Y163" s="43" t="str">
        <f aca="false">IF(OR($D163="",$N163=""),"",SUM($S163:$X163))</f>
        <v/>
      </c>
      <c r="Z163" s="40" t="str">
        <f aca="false">IF(OR($D163="",$Q163=""),"",$Q163-$Y163)</f>
        <v/>
      </c>
      <c r="AA163" s="42" t="str">
        <f aca="false">IF(OR($D163="",$Z163="",$K163=0),"",$Z163/$K163)</f>
        <v/>
      </c>
      <c r="AB163" s="44" t="str">
        <f aca="false">IF(OR($D163="",$Y163="",$K163=0),"",$Y163/$K163*10000)</f>
        <v/>
      </c>
      <c r="AC163" s="44" t="str">
        <f aca="false">IF(OR($D163="",$G163="",$G163=0,$I163=""),"",IF($E163="LONG",($I163-$G163)/$G163,($G163-$I163)/$G163)*10000)</f>
        <v/>
      </c>
      <c r="AD163" s="45"/>
      <c r="AE163" s="40" t="str">
        <f aca="false">IF(OR($D163="",$N163&lt;&gt;"",$AD163=""),"",IF($E163="LONG",($AD163-$I163)*$J163,($I163-$AD163)*$J163))</f>
        <v/>
      </c>
      <c r="AF163" s="40" t="str">
        <f aca="false">IF(OR($D163="",$E163&lt;&gt;"LONG",$Z163=""),"",$Z163+SUMIFS($Z$4:$Z$503,$B$4:$B$503,$B163,$E$4:$E$503,"SHORT"))</f>
        <v/>
      </c>
      <c r="AG163" s="42" t="str">
        <f aca="false">IF(OR($AF163="",$K163=0),"",$AF163/$K163)</f>
        <v/>
      </c>
      <c r="AH163" s="46"/>
      <c r="AI163" s="43" t="str">
        <f aca="false">IF(OR($D163="",$AH163="",$Z163=""),"",$Z163-$AH163)</f>
        <v/>
      </c>
      <c r="AJ163" s="49"/>
      <c r="AK163" s="47" t="str">
        <f aca="false">IF($D163="","",IFERROR(MATCH($F163,Config!$A$13:$A$15,0),1))</f>
        <v/>
      </c>
      <c r="AL163" s="47" t="str">
        <f aca="false">IF(OR($D163="",$N163=""),"",IF($E163="LONG",$K163,$O163))</f>
        <v/>
      </c>
      <c r="AM163" s="47" t="str">
        <f aca="false">IF(OR($D163="",$N163=""),"",IF($E163="LONG",$O163,$K163))</f>
        <v/>
      </c>
    </row>
    <row r="164" customFormat="false" ht="15" hidden="false" customHeight="false" outlineLevel="0" collapsed="false">
      <c r="A164" s="49"/>
      <c r="B164" s="5" t="str">
        <f aca="false">IF($D164="","",IF(OR(RIGHT($A164,2)="-L",RIGHT($A164,2)="-S"),LEFT($A164,LEN($A164)-2),$A164))</f>
        <v/>
      </c>
      <c r="C164" s="50"/>
      <c r="D164" s="49"/>
      <c r="E164" s="49"/>
      <c r="F164" s="49"/>
      <c r="G164" s="45"/>
      <c r="H164" s="50"/>
      <c r="I164" s="45"/>
      <c r="J164" s="51"/>
      <c r="K164" s="40" t="str">
        <f aca="false">IF($D164="","",$I164*$J164)</f>
        <v/>
      </c>
      <c r="L164" s="50"/>
      <c r="M164" s="49"/>
      <c r="N164" s="45"/>
      <c r="O164" s="40" t="str">
        <f aca="false">IF(OR($D164="",$N164=""),"",$N164*$J164)</f>
        <v/>
      </c>
      <c r="P164" s="41" t="str">
        <f aca="false">IF(OR($D164="",$L164=""),"",MAX($L164-$H164,0))</f>
        <v/>
      </c>
      <c r="Q164" s="40" t="str">
        <f aca="false">IF(OR($D164="",$N164=""),"",IF($E164="LONG",($N164-$I164)*$J164,($I164-$N164)*$J164))</f>
        <v/>
      </c>
      <c r="R164" s="42" t="str">
        <f aca="false">IF(OR($D164="",$Q164="",$K164=0),"",$Q164/$K164)</f>
        <v/>
      </c>
      <c r="S164" s="43" t="str">
        <f aca="false">IF(OR($D164="",$N164=""),"",MIN(INDEX(Config!$C$13:$C$15,$AK164),INDEX(Config!$B$13:$B$15,$AK164)*$K164)+MIN(INDEX(Config!$C$13:$C$15,$AK164),INDEX(Config!$B$13:$B$15,$AK164)*$O164))</f>
        <v/>
      </c>
      <c r="T164" s="43" t="str">
        <f aca="false">IF(OR($D164="",$N164=""),"",INDEX(Config!$D$13:$D$15,$AK164)*$AL164+INDEX(Config!$E$13:$E$15,$AK164)*$AM164)</f>
        <v/>
      </c>
      <c r="U164" s="43" t="str">
        <f aca="false">IF(OR($D164="",$N164=""),"",INDEX(Config!$F$13:$F$15,$AK164)*($K164+$O164))</f>
        <v/>
      </c>
      <c r="V164" s="43" t="str">
        <f aca="false">IF(OR($D164="",$N164=""),"",INDEX(Config!$G$13:$G$15,$AK164)*($K164+$O164)+INDEX(Config!$H$13:$H$15,$AK164)*$AL164+INDEX(Config!$J$13:$J$15,$AK164))</f>
        <v/>
      </c>
      <c r="W164" s="43" t="str">
        <f aca="false">IF(OR($D164="",$N164=""),"",INDEX(Config!$I$13:$I$15,$AK164)*($S164+$U164+INDEX(Config!$G$13:$G$15,$AK164)*($K164+$O164)))</f>
        <v/>
      </c>
      <c r="X164" s="43" t="str">
        <f aca="false">IF(OR($D164="",$N164=""),"",INDEX(Config!$K$13:$K$15,$AK164)/365*$P164*$K164*Config!$B$8)</f>
        <v/>
      </c>
      <c r="Y164" s="43" t="str">
        <f aca="false">IF(OR($D164="",$N164=""),"",SUM($S164:$X164))</f>
        <v/>
      </c>
      <c r="Z164" s="40" t="str">
        <f aca="false">IF(OR($D164="",$Q164=""),"",$Q164-$Y164)</f>
        <v/>
      </c>
      <c r="AA164" s="42" t="str">
        <f aca="false">IF(OR($D164="",$Z164="",$K164=0),"",$Z164/$K164)</f>
        <v/>
      </c>
      <c r="AB164" s="44" t="str">
        <f aca="false">IF(OR($D164="",$Y164="",$K164=0),"",$Y164/$K164*10000)</f>
        <v/>
      </c>
      <c r="AC164" s="44" t="str">
        <f aca="false">IF(OR($D164="",$G164="",$G164=0,$I164=""),"",IF($E164="LONG",($I164-$G164)/$G164,($G164-$I164)/$G164)*10000)</f>
        <v/>
      </c>
      <c r="AD164" s="45"/>
      <c r="AE164" s="40" t="str">
        <f aca="false">IF(OR($D164="",$N164&lt;&gt;"",$AD164=""),"",IF($E164="LONG",($AD164-$I164)*$J164,($I164-$AD164)*$J164))</f>
        <v/>
      </c>
      <c r="AF164" s="40" t="str">
        <f aca="false">IF(OR($D164="",$E164&lt;&gt;"LONG",$Z164=""),"",$Z164+SUMIFS($Z$4:$Z$503,$B$4:$B$503,$B164,$E$4:$E$503,"SHORT"))</f>
        <v/>
      </c>
      <c r="AG164" s="42" t="str">
        <f aca="false">IF(OR($AF164="",$K164=0),"",$AF164/$K164)</f>
        <v/>
      </c>
      <c r="AH164" s="46"/>
      <c r="AI164" s="43" t="str">
        <f aca="false">IF(OR($D164="",$AH164="",$Z164=""),"",$Z164-$AH164)</f>
        <v/>
      </c>
      <c r="AJ164" s="49"/>
      <c r="AK164" s="47" t="str">
        <f aca="false">IF($D164="","",IFERROR(MATCH($F164,Config!$A$13:$A$15,0),1))</f>
        <v/>
      </c>
      <c r="AL164" s="47" t="str">
        <f aca="false">IF(OR($D164="",$N164=""),"",IF($E164="LONG",$K164,$O164))</f>
        <v/>
      </c>
      <c r="AM164" s="47" t="str">
        <f aca="false">IF(OR($D164="",$N164=""),"",IF($E164="LONG",$O164,$K164))</f>
        <v/>
      </c>
    </row>
    <row r="165" customFormat="false" ht="15" hidden="false" customHeight="false" outlineLevel="0" collapsed="false">
      <c r="A165" s="49"/>
      <c r="B165" s="5" t="str">
        <f aca="false">IF($D165="","",IF(OR(RIGHT($A165,2)="-L",RIGHT($A165,2)="-S"),LEFT($A165,LEN($A165)-2),$A165))</f>
        <v/>
      </c>
      <c r="C165" s="50"/>
      <c r="D165" s="49"/>
      <c r="E165" s="49"/>
      <c r="F165" s="49"/>
      <c r="G165" s="45"/>
      <c r="H165" s="50"/>
      <c r="I165" s="45"/>
      <c r="J165" s="51"/>
      <c r="K165" s="40" t="str">
        <f aca="false">IF($D165="","",$I165*$J165)</f>
        <v/>
      </c>
      <c r="L165" s="50"/>
      <c r="M165" s="49"/>
      <c r="N165" s="45"/>
      <c r="O165" s="40" t="str">
        <f aca="false">IF(OR($D165="",$N165=""),"",$N165*$J165)</f>
        <v/>
      </c>
      <c r="P165" s="41" t="str">
        <f aca="false">IF(OR($D165="",$L165=""),"",MAX($L165-$H165,0))</f>
        <v/>
      </c>
      <c r="Q165" s="40" t="str">
        <f aca="false">IF(OR($D165="",$N165=""),"",IF($E165="LONG",($N165-$I165)*$J165,($I165-$N165)*$J165))</f>
        <v/>
      </c>
      <c r="R165" s="42" t="str">
        <f aca="false">IF(OR($D165="",$Q165="",$K165=0),"",$Q165/$K165)</f>
        <v/>
      </c>
      <c r="S165" s="43" t="str">
        <f aca="false">IF(OR($D165="",$N165=""),"",MIN(INDEX(Config!$C$13:$C$15,$AK165),INDEX(Config!$B$13:$B$15,$AK165)*$K165)+MIN(INDEX(Config!$C$13:$C$15,$AK165),INDEX(Config!$B$13:$B$15,$AK165)*$O165))</f>
        <v/>
      </c>
      <c r="T165" s="43" t="str">
        <f aca="false">IF(OR($D165="",$N165=""),"",INDEX(Config!$D$13:$D$15,$AK165)*$AL165+INDEX(Config!$E$13:$E$15,$AK165)*$AM165)</f>
        <v/>
      </c>
      <c r="U165" s="43" t="str">
        <f aca="false">IF(OR($D165="",$N165=""),"",INDEX(Config!$F$13:$F$15,$AK165)*($K165+$O165))</f>
        <v/>
      </c>
      <c r="V165" s="43" t="str">
        <f aca="false">IF(OR($D165="",$N165=""),"",INDEX(Config!$G$13:$G$15,$AK165)*($K165+$O165)+INDEX(Config!$H$13:$H$15,$AK165)*$AL165+INDEX(Config!$J$13:$J$15,$AK165))</f>
        <v/>
      </c>
      <c r="W165" s="43" t="str">
        <f aca="false">IF(OR($D165="",$N165=""),"",INDEX(Config!$I$13:$I$15,$AK165)*($S165+$U165+INDEX(Config!$G$13:$G$15,$AK165)*($K165+$O165)))</f>
        <v/>
      </c>
      <c r="X165" s="43" t="str">
        <f aca="false">IF(OR($D165="",$N165=""),"",INDEX(Config!$K$13:$K$15,$AK165)/365*$P165*$K165*Config!$B$8)</f>
        <v/>
      </c>
      <c r="Y165" s="43" t="str">
        <f aca="false">IF(OR($D165="",$N165=""),"",SUM($S165:$X165))</f>
        <v/>
      </c>
      <c r="Z165" s="40" t="str">
        <f aca="false">IF(OR($D165="",$Q165=""),"",$Q165-$Y165)</f>
        <v/>
      </c>
      <c r="AA165" s="42" t="str">
        <f aca="false">IF(OR($D165="",$Z165="",$K165=0),"",$Z165/$K165)</f>
        <v/>
      </c>
      <c r="AB165" s="44" t="str">
        <f aca="false">IF(OR($D165="",$Y165="",$K165=0),"",$Y165/$K165*10000)</f>
        <v/>
      </c>
      <c r="AC165" s="44" t="str">
        <f aca="false">IF(OR($D165="",$G165="",$G165=0,$I165=""),"",IF($E165="LONG",($I165-$G165)/$G165,($G165-$I165)/$G165)*10000)</f>
        <v/>
      </c>
      <c r="AD165" s="45"/>
      <c r="AE165" s="40" t="str">
        <f aca="false">IF(OR($D165="",$N165&lt;&gt;"",$AD165=""),"",IF($E165="LONG",($AD165-$I165)*$J165,($I165-$AD165)*$J165))</f>
        <v/>
      </c>
      <c r="AF165" s="40" t="str">
        <f aca="false">IF(OR($D165="",$E165&lt;&gt;"LONG",$Z165=""),"",$Z165+SUMIFS($Z$4:$Z$503,$B$4:$B$503,$B165,$E$4:$E$503,"SHORT"))</f>
        <v/>
      </c>
      <c r="AG165" s="42" t="str">
        <f aca="false">IF(OR($AF165="",$K165=0),"",$AF165/$K165)</f>
        <v/>
      </c>
      <c r="AH165" s="46"/>
      <c r="AI165" s="43" t="str">
        <f aca="false">IF(OR($D165="",$AH165="",$Z165=""),"",$Z165-$AH165)</f>
        <v/>
      </c>
      <c r="AJ165" s="49"/>
      <c r="AK165" s="47" t="str">
        <f aca="false">IF($D165="","",IFERROR(MATCH($F165,Config!$A$13:$A$15,0),1))</f>
        <v/>
      </c>
      <c r="AL165" s="47" t="str">
        <f aca="false">IF(OR($D165="",$N165=""),"",IF($E165="LONG",$K165,$O165))</f>
        <v/>
      </c>
      <c r="AM165" s="47" t="str">
        <f aca="false">IF(OR($D165="",$N165=""),"",IF($E165="LONG",$O165,$K165))</f>
        <v/>
      </c>
    </row>
    <row r="166" customFormat="false" ht="15" hidden="false" customHeight="false" outlineLevel="0" collapsed="false">
      <c r="A166" s="49"/>
      <c r="B166" s="5" t="str">
        <f aca="false">IF($D166="","",IF(OR(RIGHT($A166,2)="-L",RIGHT($A166,2)="-S"),LEFT($A166,LEN($A166)-2),$A166))</f>
        <v/>
      </c>
      <c r="C166" s="50"/>
      <c r="D166" s="49"/>
      <c r="E166" s="49"/>
      <c r="F166" s="49"/>
      <c r="G166" s="45"/>
      <c r="H166" s="50"/>
      <c r="I166" s="45"/>
      <c r="J166" s="51"/>
      <c r="K166" s="40" t="str">
        <f aca="false">IF($D166="","",$I166*$J166)</f>
        <v/>
      </c>
      <c r="L166" s="50"/>
      <c r="M166" s="49"/>
      <c r="N166" s="45"/>
      <c r="O166" s="40" t="str">
        <f aca="false">IF(OR($D166="",$N166=""),"",$N166*$J166)</f>
        <v/>
      </c>
      <c r="P166" s="41" t="str">
        <f aca="false">IF(OR($D166="",$L166=""),"",MAX($L166-$H166,0))</f>
        <v/>
      </c>
      <c r="Q166" s="40" t="str">
        <f aca="false">IF(OR($D166="",$N166=""),"",IF($E166="LONG",($N166-$I166)*$J166,($I166-$N166)*$J166))</f>
        <v/>
      </c>
      <c r="R166" s="42" t="str">
        <f aca="false">IF(OR($D166="",$Q166="",$K166=0),"",$Q166/$K166)</f>
        <v/>
      </c>
      <c r="S166" s="43" t="str">
        <f aca="false">IF(OR($D166="",$N166=""),"",MIN(INDEX(Config!$C$13:$C$15,$AK166),INDEX(Config!$B$13:$B$15,$AK166)*$K166)+MIN(INDEX(Config!$C$13:$C$15,$AK166),INDEX(Config!$B$13:$B$15,$AK166)*$O166))</f>
        <v/>
      </c>
      <c r="T166" s="43" t="str">
        <f aca="false">IF(OR($D166="",$N166=""),"",INDEX(Config!$D$13:$D$15,$AK166)*$AL166+INDEX(Config!$E$13:$E$15,$AK166)*$AM166)</f>
        <v/>
      </c>
      <c r="U166" s="43" t="str">
        <f aca="false">IF(OR($D166="",$N166=""),"",INDEX(Config!$F$13:$F$15,$AK166)*($K166+$O166))</f>
        <v/>
      </c>
      <c r="V166" s="43" t="str">
        <f aca="false">IF(OR($D166="",$N166=""),"",INDEX(Config!$G$13:$G$15,$AK166)*($K166+$O166)+INDEX(Config!$H$13:$H$15,$AK166)*$AL166+INDEX(Config!$J$13:$J$15,$AK166))</f>
        <v/>
      </c>
      <c r="W166" s="43" t="str">
        <f aca="false">IF(OR($D166="",$N166=""),"",INDEX(Config!$I$13:$I$15,$AK166)*($S166+$U166+INDEX(Config!$G$13:$G$15,$AK166)*($K166+$O166)))</f>
        <v/>
      </c>
      <c r="X166" s="43" t="str">
        <f aca="false">IF(OR($D166="",$N166=""),"",INDEX(Config!$K$13:$K$15,$AK166)/365*$P166*$K166*Config!$B$8)</f>
        <v/>
      </c>
      <c r="Y166" s="43" t="str">
        <f aca="false">IF(OR($D166="",$N166=""),"",SUM($S166:$X166))</f>
        <v/>
      </c>
      <c r="Z166" s="40" t="str">
        <f aca="false">IF(OR($D166="",$Q166=""),"",$Q166-$Y166)</f>
        <v/>
      </c>
      <c r="AA166" s="42" t="str">
        <f aca="false">IF(OR($D166="",$Z166="",$K166=0),"",$Z166/$K166)</f>
        <v/>
      </c>
      <c r="AB166" s="44" t="str">
        <f aca="false">IF(OR($D166="",$Y166="",$K166=0),"",$Y166/$K166*10000)</f>
        <v/>
      </c>
      <c r="AC166" s="44" t="str">
        <f aca="false">IF(OR($D166="",$G166="",$G166=0,$I166=""),"",IF($E166="LONG",($I166-$G166)/$G166,($G166-$I166)/$G166)*10000)</f>
        <v/>
      </c>
      <c r="AD166" s="45"/>
      <c r="AE166" s="40" t="str">
        <f aca="false">IF(OR($D166="",$N166&lt;&gt;"",$AD166=""),"",IF($E166="LONG",($AD166-$I166)*$J166,($I166-$AD166)*$J166))</f>
        <v/>
      </c>
      <c r="AF166" s="40" t="str">
        <f aca="false">IF(OR($D166="",$E166&lt;&gt;"LONG",$Z166=""),"",$Z166+SUMIFS($Z$4:$Z$503,$B$4:$B$503,$B166,$E$4:$E$503,"SHORT"))</f>
        <v/>
      </c>
      <c r="AG166" s="42" t="str">
        <f aca="false">IF(OR($AF166="",$K166=0),"",$AF166/$K166)</f>
        <v/>
      </c>
      <c r="AH166" s="46"/>
      <c r="AI166" s="43" t="str">
        <f aca="false">IF(OR($D166="",$AH166="",$Z166=""),"",$Z166-$AH166)</f>
        <v/>
      </c>
      <c r="AJ166" s="49"/>
      <c r="AK166" s="47" t="str">
        <f aca="false">IF($D166="","",IFERROR(MATCH($F166,Config!$A$13:$A$15,0),1))</f>
        <v/>
      </c>
      <c r="AL166" s="47" t="str">
        <f aca="false">IF(OR($D166="",$N166=""),"",IF($E166="LONG",$K166,$O166))</f>
        <v/>
      </c>
      <c r="AM166" s="47" t="str">
        <f aca="false">IF(OR($D166="",$N166=""),"",IF($E166="LONG",$O166,$K166))</f>
        <v/>
      </c>
    </row>
    <row r="167" customFormat="false" ht="15" hidden="false" customHeight="false" outlineLevel="0" collapsed="false">
      <c r="A167" s="49"/>
      <c r="B167" s="5" t="str">
        <f aca="false">IF($D167="","",IF(OR(RIGHT($A167,2)="-L",RIGHT($A167,2)="-S"),LEFT($A167,LEN($A167)-2),$A167))</f>
        <v/>
      </c>
      <c r="C167" s="50"/>
      <c r="D167" s="49"/>
      <c r="E167" s="49"/>
      <c r="F167" s="49"/>
      <c r="G167" s="45"/>
      <c r="H167" s="50"/>
      <c r="I167" s="45"/>
      <c r="J167" s="51"/>
      <c r="K167" s="40" t="str">
        <f aca="false">IF($D167="","",$I167*$J167)</f>
        <v/>
      </c>
      <c r="L167" s="50"/>
      <c r="M167" s="49"/>
      <c r="N167" s="45"/>
      <c r="O167" s="40" t="str">
        <f aca="false">IF(OR($D167="",$N167=""),"",$N167*$J167)</f>
        <v/>
      </c>
      <c r="P167" s="41" t="str">
        <f aca="false">IF(OR($D167="",$L167=""),"",MAX($L167-$H167,0))</f>
        <v/>
      </c>
      <c r="Q167" s="40" t="str">
        <f aca="false">IF(OR($D167="",$N167=""),"",IF($E167="LONG",($N167-$I167)*$J167,($I167-$N167)*$J167))</f>
        <v/>
      </c>
      <c r="R167" s="42" t="str">
        <f aca="false">IF(OR($D167="",$Q167="",$K167=0),"",$Q167/$K167)</f>
        <v/>
      </c>
      <c r="S167" s="43" t="str">
        <f aca="false">IF(OR($D167="",$N167=""),"",MIN(INDEX(Config!$C$13:$C$15,$AK167),INDEX(Config!$B$13:$B$15,$AK167)*$K167)+MIN(INDEX(Config!$C$13:$C$15,$AK167),INDEX(Config!$B$13:$B$15,$AK167)*$O167))</f>
        <v/>
      </c>
      <c r="T167" s="43" t="str">
        <f aca="false">IF(OR($D167="",$N167=""),"",INDEX(Config!$D$13:$D$15,$AK167)*$AL167+INDEX(Config!$E$13:$E$15,$AK167)*$AM167)</f>
        <v/>
      </c>
      <c r="U167" s="43" t="str">
        <f aca="false">IF(OR($D167="",$N167=""),"",INDEX(Config!$F$13:$F$15,$AK167)*($K167+$O167))</f>
        <v/>
      </c>
      <c r="V167" s="43" t="str">
        <f aca="false">IF(OR($D167="",$N167=""),"",INDEX(Config!$G$13:$G$15,$AK167)*($K167+$O167)+INDEX(Config!$H$13:$H$15,$AK167)*$AL167+INDEX(Config!$J$13:$J$15,$AK167))</f>
        <v/>
      </c>
      <c r="W167" s="43" t="str">
        <f aca="false">IF(OR($D167="",$N167=""),"",INDEX(Config!$I$13:$I$15,$AK167)*($S167+$U167+INDEX(Config!$G$13:$G$15,$AK167)*($K167+$O167)))</f>
        <v/>
      </c>
      <c r="X167" s="43" t="str">
        <f aca="false">IF(OR($D167="",$N167=""),"",INDEX(Config!$K$13:$K$15,$AK167)/365*$P167*$K167*Config!$B$8)</f>
        <v/>
      </c>
      <c r="Y167" s="43" t="str">
        <f aca="false">IF(OR($D167="",$N167=""),"",SUM($S167:$X167))</f>
        <v/>
      </c>
      <c r="Z167" s="40" t="str">
        <f aca="false">IF(OR($D167="",$Q167=""),"",$Q167-$Y167)</f>
        <v/>
      </c>
      <c r="AA167" s="42" t="str">
        <f aca="false">IF(OR($D167="",$Z167="",$K167=0),"",$Z167/$K167)</f>
        <v/>
      </c>
      <c r="AB167" s="44" t="str">
        <f aca="false">IF(OR($D167="",$Y167="",$K167=0),"",$Y167/$K167*10000)</f>
        <v/>
      </c>
      <c r="AC167" s="44" t="str">
        <f aca="false">IF(OR($D167="",$G167="",$G167=0,$I167=""),"",IF($E167="LONG",($I167-$G167)/$G167,($G167-$I167)/$G167)*10000)</f>
        <v/>
      </c>
      <c r="AD167" s="45"/>
      <c r="AE167" s="40" t="str">
        <f aca="false">IF(OR($D167="",$N167&lt;&gt;"",$AD167=""),"",IF($E167="LONG",($AD167-$I167)*$J167,($I167-$AD167)*$J167))</f>
        <v/>
      </c>
      <c r="AF167" s="40" t="str">
        <f aca="false">IF(OR($D167="",$E167&lt;&gt;"LONG",$Z167=""),"",$Z167+SUMIFS($Z$4:$Z$503,$B$4:$B$503,$B167,$E$4:$E$503,"SHORT"))</f>
        <v/>
      </c>
      <c r="AG167" s="42" t="str">
        <f aca="false">IF(OR($AF167="",$K167=0),"",$AF167/$K167)</f>
        <v/>
      </c>
      <c r="AH167" s="46"/>
      <c r="AI167" s="43" t="str">
        <f aca="false">IF(OR($D167="",$AH167="",$Z167=""),"",$Z167-$AH167)</f>
        <v/>
      </c>
      <c r="AJ167" s="49"/>
      <c r="AK167" s="47" t="str">
        <f aca="false">IF($D167="","",IFERROR(MATCH($F167,Config!$A$13:$A$15,0),1))</f>
        <v/>
      </c>
      <c r="AL167" s="47" t="str">
        <f aca="false">IF(OR($D167="",$N167=""),"",IF($E167="LONG",$K167,$O167))</f>
        <v/>
      </c>
      <c r="AM167" s="47" t="str">
        <f aca="false">IF(OR($D167="",$N167=""),"",IF($E167="LONG",$O167,$K167))</f>
        <v/>
      </c>
    </row>
    <row r="168" customFormat="false" ht="15" hidden="false" customHeight="false" outlineLevel="0" collapsed="false">
      <c r="A168" s="49"/>
      <c r="B168" s="5" t="str">
        <f aca="false">IF($D168="","",IF(OR(RIGHT($A168,2)="-L",RIGHT($A168,2)="-S"),LEFT($A168,LEN($A168)-2),$A168))</f>
        <v/>
      </c>
      <c r="C168" s="50"/>
      <c r="D168" s="49"/>
      <c r="E168" s="49"/>
      <c r="F168" s="49"/>
      <c r="G168" s="45"/>
      <c r="H168" s="50"/>
      <c r="I168" s="45"/>
      <c r="J168" s="51"/>
      <c r="K168" s="40" t="str">
        <f aca="false">IF($D168="","",$I168*$J168)</f>
        <v/>
      </c>
      <c r="L168" s="50"/>
      <c r="M168" s="49"/>
      <c r="N168" s="45"/>
      <c r="O168" s="40" t="str">
        <f aca="false">IF(OR($D168="",$N168=""),"",$N168*$J168)</f>
        <v/>
      </c>
      <c r="P168" s="41" t="str">
        <f aca="false">IF(OR($D168="",$L168=""),"",MAX($L168-$H168,0))</f>
        <v/>
      </c>
      <c r="Q168" s="40" t="str">
        <f aca="false">IF(OR($D168="",$N168=""),"",IF($E168="LONG",($N168-$I168)*$J168,($I168-$N168)*$J168))</f>
        <v/>
      </c>
      <c r="R168" s="42" t="str">
        <f aca="false">IF(OR($D168="",$Q168="",$K168=0),"",$Q168/$K168)</f>
        <v/>
      </c>
      <c r="S168" s="43" t="str">
        <f aca="false">IF(OR($D168="",$N168=""),"",MIN(INDEX(Config!$C$13:$C$15,$AK168),INDEX(Config!$B$13:$B$15,$AK168)*$K168)+MIN(INDEX(Config!$C$13:$C$15,$AK168),INDEX(Config!$B$13:$B$15,$AK168)*$O168))</f>
        <v/>
      </c>
      <c r="T168" s="43" t="str">
        <f aca="false">IF(OR($D168="",$N168=""),"",INDEX(Config!$D$13:$D$15,$AK168)*$AL168+INDEX(Config!$E$13:$E$15,$AK168)*$AM168)</f>
        <v/>
      </c>
      <c r="U168" s="43" t="str">
        <f aca="false">IF(OR($D168="",$N168=""),"",INDEX(Config!$F$13:$F$15,$AK168)*($K168+$O168))</f>
        <v/>
      </c>
      <c r="V168" s="43" t="str">
        <f aca="false">IF(OR($D168="",$N168=""),"",INDEX(Config!$G$13:$G$15,$AK168)*($K168+$O168)+INDEX(Config!$H$13:$H$15,$AK168)*$AL168+INDEX(Config!$J$13:$J$15,$AK168))</f>
        <v/>
      </c>
      <c r="W168" s="43" t="str">
        <f aca="false">IF(OR($D168="",$N168=""),"",INDEX(Config!$I$13:$I$15,$AK168)*($S168+$U168+INDEX(Config!$G$13:$G$15,$AK168)*($K168+$O168)))</f>
        <v/>
      </c>
      <c r="X168" s="43" t="str">
        <f aca="false">IF(OR($D168="",$N168=""),"",INDEX(Config!$K$13:$K$15,$AK168)/365*$P168*$K168*Config!$B$8)</f>
        <v/>
      </c>
      <c r="Y168" s="43" t="str">
        <f aca="false">IF(OR($D168="",$N168=""),"",SUM($S168:$X168))</f>
        <v/>
      </c>
      <c r="Z168" s="40" t="str">
        <f aca="false">IF(OR($D168="",$Q168=""),"",$Q168-$Y168)</f>
        <v/>
      </c>
      <c r="AA168" s="42" t="str">
        <f aca="false">IF(OR($D168="",$Z168="",$K168=0),"",$Z168/$K168)</f>
        <v/>
      </c>
      <c r="AB168" s="44" t="str">
        <f aca="false">IF(OR($D168="",$Y168="",$K168=0),"",$Y168/$K168*10000)</f>
        <v/>
      </c>
      <c r="AC168" s="44" t="str">
        <f aca="false">IF(OR($D168="",$G168="",$G168=0,$I168=""),"",IF($E168="LONG",($I168-$G168)/$G168,($G168-$I168)/$G168)*10000)</f>
        <v/>
      </c>
      <c r="AD168" s="45"/>
      <c r="AE168" s="40" t="str">
        <f aca="false">IF(OR($D168="",$N168&lt;&gt;"",$AD168=""),"",IF($E168="LONG",($AD168-$I168)*$J168,($I168-$AD168)*$J168))</f>
        <v/>
      </c>
      <c r="AF168" s="40" t="str">
        <f aca="false">IF(OR($D168="",$E168&lt;&gt;"LONG",$Z168=""),"",$Z168+SUMIFS($Z$4:$Z$503,$B$4:$B$503,$B168,$E$4:$E$503,"SHORT"))</f>
        <v/>
      </c>
      <c r="AG168" s="42" t="str">
        <f aca="false">IF(OR($AF168="",$K168=0),"",$AF168/$K168)</f>
        <v/>
      </c>
      <c r="AH168" s="46"/>
      <c r="AI168" s="43" t="str">
        <f aca="false">IF(OR($D168="",$AH168="",$Z168=""),"",$Z168-$AH168)</f>
        <v/>
      </c>
      <c r="AJ168" s="49"/>
      <c r="AK168" s="47" t="str">
        <f aca="false">IF($D168="","",IFERROR(MATCH($F168,Config!$A$13:$A$15,0),1))</f>
        <v/>
      </c>
      <c r="AL168" s="47" t="str">
        <f aca="false">IF(OR($D168="",$N168=""),"",IF($E168="LONG",$K168,$O168))</f>
        <v/>
      </c>
      <c r="AM168" s="47" t="str">
        <f aca="false">IF(OR($D168="",$N168=""),"",IF($E168="LONG",$O168,$K168))</f>
        <v/>
      </c>
    </row>
    <row r="169" customFormat="false" ht="15" hidden="false" customHeight="false" outlineLevel="0" collapsed="false">
      <c r="A169" s="49"/>
      <c r="B169" s="5" t="str">
        <f aca="false">IF($D169="","",IF(OR(RIGHT($A169,2)="-L",RIGHT($A169,2)="-S"),LEFT($A169,LEN($A169)-2),$A169))</f>
        <v/>
      </c>
      <c r="C169" s="50"/>
      <c r="D169" s="49"/>
      <c r="E169" s="49"/>
      <c r="F169" s="49"/>
      <c r="G169" s="45"/>
      <c r="H169" s="50"/>
      <c r="I169" s="45"/>
      <c r="J169" s="51"/>
      <c r="K169" s="40" t="str">
        <f aca="false">IF($D169="","",$I169*$J169)</f>
        <v/>
      </c>
      <c r="L169" s="50"/>
      <c r="M169" s="49"/>
      <c r="N169" s="45"/>
      <c r="O169" s="40" t="str">
        <f aca="false">IF(OR($D169="",$N169=""),"",$N169*$J169)</f>
        <v/>
      </c>
      <c r="P169" s="41" t="str">
        <f aca="false">IF(OR($D169="",$L169=""),"",MAX($L169-$H169,0))</f>
        <v/>
      </c>
      <c r="Q169" s="40" t="str">
        <f aca="false">IF(OR($D169="",$N169=""),"",IF($E169="LONG",($N169-$I169)*$J169,($I169-$N169)*$J169))</f>
        <v/>
      </c>
      <c r="R169" s="42" t="str">
        <f aca="false">IF(OR($D169="",$Q169="",$K169=0),"",$Q169/$K169)</f>
        <v/>
      </c>
      <c r="S169" s="43" t="str">
        <f aca="false">IF(OR($D169="",$N169=""),"",MIN(INDEX(Config!$C$13:$C$15,$AK169),INDEX(Config!$B$13:$B$15,$AK169)*$K169)+MIN(INDEX(Config!$C$13:$C$15,$AK169),INDEX(Config!$B$13:$B$15,$AK169)*$O169))</f>
        <v/>
      </c>
      <c r="T169" s="43" t="str">
        <f aca="false">IF(OR($D169="",$N169=""),"",INDEX(Config!$D$13:$D$15,$AK169)*$AL169+INDEX(Config!$E$13:$E$15,$AK169)*$AM169)</f>
        <v/>
      </c>
      <c r="U169" s="43" t="str">
        <f aca="false">IF(OR($D169="",$N169=""),"",INDEX(Config!$F$13:$F$15,$AK169)*($K169+$O169))</f>
        <v/>
      </c>
      <c r="V169" s="43" t="str">
        <f aca="false">IF(OR($D169="",$N169=""),"",INDEX(Config!$G$13:$G$15,$AK169)*($K169+$O169)+INDEX(Config!$H$13:$H$15,$AK169)*$AL169+INDEX(Config!$J$13:$J$15,$AK169))</f>
        <v/>
      </c>
      <c r="W169" s="43" t="str">
        <f aca="false">IF(OR($D169="",$N169=""),"",INDEX(Config!$I$13:$I$15,$AK169)*($S169+$U169+INDEX(Config!$G$13:$G$15,$AK169)*($K169+$O169)))</f>
        <v/>
      </c>
      <c r="X169" s="43" t="str">
        <f aca="false">IF(OR($D169="",$N169=""),"",INDEX(Config!$K$13:$K$15,$AK169)/365*$P169*$K169*Config!$B$8)</f>
        <v/>
      </c>
      <c r="Y169" s="43" t="str">
        <f aca="false">IF(OR($D169="",$N169=""),"",SUM($S169:$X169))</f>
        <v/>
      </c>
      <c r="Z169" s="40" t="str">
        <f aca="false">IF(OR($D169="",$Q169=""),"",$Q169-$Y169)</f>
        <v/>
      </c>
      <c r="AA169" s="42" t="str">
        <f aca="false">IF(OR($D169="",$Z169="",$K169=0),"",$Z169/$K169)</f>
        <v/>
      </c>
      <c r="AB169" s="44" t="str">
        <f aca="false">IF(OR($D169="",$Y169="",$K169=0),"",$Y169/$K169*10000)</f>
        <v/>
      </c>
      <c r="AC169" s="44" t="str">
        <f aca="false">IF(OR($D169="",$G169="",$G169=0,$I169=""),"",IF($E169="LONG",($I169-$G169)/$G169,($G169-$I169)/$G169)*10000)</f>
        <v/>
      </c>
      <c r="AD169" s="45"/>
      <c r="AE169" s="40" t="str">
        <f aca="false">IF(OR($D169="",$N169&lt;&gt;"",$AD169=""),"",IF($E169="LONG",($AD169-$I169)*$J169,($I169-$AD169)*$J169))</f>
        <v/>
      </c>
      <c r="AF169" s="40" t="str">
        <f aca="false">IF(OR($D169="",$E169&lt;&gt;"LONG",$Z169=""),"",$Z169+SUMIFS($Z$4:$Z$503,$B$4:$B$503,$B169,$E$4:$E$503,"SHORT"))</f>
        <v/>
      </c>
      <c r="AG169" s="42" t="str">
        <f aca="false">IF(OR($AF169="",$K169=0),"",$AF169/$K169)</f>
        <v/>
      </c>
      <c r="AH169" s="46"/>
      <c r="AI169" s="43" t="str">
        <f aca="false">IF(OR($D169="",$AH169="",$Z169=""),"",$Z169-$AH169)</f>
        <v/>
      </c>
      <c r="AJ169" s="49"/>
      <c r="AK169" s="47" t="str">
        <f aca="false">IF($D169="","",IFERROR(MATCH($F169,Config!$A$13:$A$15,0),1))</f>
        <v/>
      </c>
      <c r="AL169" s="47" t="str">
        <f aca="false">IF(OR($D169="",$N169=""),"",IF($E169="LONG",$K169,$O169))</f>
        <v/>
      </c>
      <c r="AM169" s="47" t="str">
        <f aca="false">IF(OR($D169="",$N169=""),"",IF($E169="LONG",$O169,$K169))</f>
        <v/>
      </c>
    </row>
    <row r="170" customFormat="false" ht="15" hidden="false" customHeight="false" outlineLevel="0" collapsed="false">
      <c r="A170" s="49"/>
      <c r="B170" s="5" t="str">
        <f aca="false">IF($D170="","",IF(OR(RIGHT($A170,2)="-L",RIGHT($A170,2)="-S"),LEFT($A170,LEN($A170)-2),$A170))</f>
        <v/>
      </c>
      <c r="C170" s="50"/>
      <c r="D170" s="49"/>
      <c r="E170" s="49"/>
      <c r="F170" s="49"/>
      <c r="G170" s="45"/>
      <c r="H170" s="50"/>
      <c r="I170" s="45"/>
      <c r="J170" s="51"/>
      <c r="K170" s="40" t="str">
        <f aca="false">IF($D170="","",$I170*$J170)</f>
        <v/>
      </c>
      <c r="L170" s="50"/>
      <c r="M170" s="49"/>
      <c r="N170" s="45"/>
      <c r="O170" s="40" t="str">
        <f aca="false">IF(OR($D170="",$N170=""),"",$N170*$J170)</f>
        <v/>
      </c>
      <c r="P170" s="41" t="str">
        <f aca="false">IF(OR($D170="",$L170=""),"",MAX($L170-$H170,0))</f>
        <v/>
      </c>
      <c r="Q170" s="40" t="str">
        <f aca="false">IF(OR($D170="",$N170=""),"",IF($E170="LONG",($N170-$I170)*$J170,($I170-$N170)*$J170))</f>
        <v/>
      </c>
      <c r="R170" s="42" t="str">
        <f aca="false">IF(OR($D170="",$Q170="",$K170=0),"",$Q170/$K170)</f>
        <v/>
      </c>
      <c r="S170" s="43" t="str">
        <f aca="false">IF(OR($D170="",$N170=""),"",MIN(INDEX(Config!$C$13:$C$15,$AK170),INDEX(Config!$B$13:$B$15,$AK170)*$K170)+MIN(INDEX(Config!$C$13:$C$15,$AK170),INDEX(Config!$B$13:$B$15,$AK170)*$O170))</f>
        <v/>
      </c>
      <c r="T170" s="43" t="str">
        <f aca="false">IF(OR($D170="",$N170=""),"",INDEX(Config!$D$13:$D$15,$AK170)*$AL170+INDEX(Config!$E$13:$E$15,$AK170)*$AM170)</f>
        <v/>
      </c>
      <c r="U170" s="43" t="str">
        <f aca="false">IF(OR($D170="",$N170=""),"",INDEX(Config!$F$13:$F$15,$AK170)*($K170+$O170))</f>
        <v/>
      </c>
      <c r="V170" s="43" t="str">
        <f aca="false">IF(OR($D170="",$N170=""),"",INDEX(Config!$G$13:$G$15,$AK170)*($K170+$O170)+INDEX(Config!$H$13:$H$15,$AK170)*$AL170+INDEX(Config!$J$13:$J$15,$AK170))</f>
        <v/>
      </c>
      <c r="W170" s="43" t="str">
        <f aca="false">IF(OR($D170="",$N170=""),"",INDEX(Config!$I$13:$I$15,$AK170)*($S170+$U170+INDEX(Config!$G$13:$G$15,$AK170)*($K170+$O170)))</f>
        <v/>
      </c>
      <c r="X170" s="43" t="str">
        <f aca="false">IF(OR($D170="",$N170=""),"",INDEX(Config!$K$13:$K$15,$AK170)/365*$P170*$K170*Config!$B$8)</f>
        <v/>
      </c>
      <c r="Y170" s="43" t="str">
        <f aca="false">IF(OR($D170="",$N170=""),"",SUM($S170:$X170))</f>
        <v/>
      </c>
      <c r="Z170" s="40" t="str">
        <f aca="false">IF(OR($D170="",$Q170=""),"",$Q170-$Y170)</f>
        <v/>
      </c>
      <c r="AA170" s="42" t="str">
        <f aca="false">IF(OR($D170="",$Z170="",$K170=0),"",$Z170/$K170)</f>
        <v/>
      </c>
      <c r="AB170" s="44" t="str">
        <f aca="false">IF(OR($D170="",$Y170="",$K170=0),"",$Y170/$K170*10000)</f>
        <v/>
      </c>
      <c r="AC170" s="44" t="str">
        <f aca="false">IF(OR($D170="",$G170="",$G170=0,$I170=""),"",IF($E170="LONG",($I170-$G170)/$G170,($G170-$I170)/$G170)*10000)</f>
        <v/>
      </c>
      <c r="AD170" s="45"/>
      <c r="AE170" s="40" t="str">
        <f aca="false">IF(OR($D170="",$N170&lt;&gt;"",$AD170=""),"",IF($E170="LONG",($AD170-$I170)*$J170,($I170-$AD170)*$J170))</f>
        <v/>
      </c>
      <c r="AF170" s="40" t="str">
        <f aca="false">IF(OR($D170="",$E170&lt;&gt;"LONG",$Z170=""),"",$Z170+SUMIFS($Z$4:$Z$503,$B$4:$B$503,$B170,$E$4:$E$503,"SHORT"))</f>
        <v/>
      </c>
      <c r="AG170" s="42" t="str">
        <f aca="false">IF(OR($AF170="",$K170=0),"",$AF170/$K170)</f>
        <v/>
      </c>
      <c r="AH170" s="46"/>
      <c r="AI170" s="43" t="str">
        <f aca="false">IF(OR($D170="",$AH170="",$Z170=""),"",$Z170-$AH170)</f>
        <v/>
      </c>
      <c r="AJ170" s="49"/>
      <c r="AK170" s="47" t="str">
        <f aca="false">IF($D170="","",IFERROR(MATCH($F170,Config!$A$13:$A$15,0),1))</f>
        <v/>
      </c>
      <c r="AL170" s="47" t="str">
        <f aca="false">IF(OR($D170="",$N170=""),"",IF($E170="LONG",$K170,$O170))</f>
        <v/>
      </c>
      <c r="AM170" s="47" t="str">
        <f aca="false">IF(OR($D170="",$N170=""),"",IF($E170="LONG",$O170,$K170))</f>
        <v/>
      </c>
    </row>
    <row r="171" customFormat="false" ht="15" hidden="false" customHeight="false" outlineLevel="0" collapsed="false">
      <c r="A171" s="49"/>
      <c r="B171" s="5" t="str">
        <f aca="false">IF($D171="","",IF(OR(RIGHT($A171,2)="-L",RIGHT($A171,2)="-S"),LEFT($A171,LEN($A171)-2),$A171))</f>
        <v/>
      </c>
      <c r="C171" s="50"/>
      <c r="D171" s="49"/>
      <c r="E171" s="49"/>
      <c r="F171" s="49"/>
      <c r="G171" s="45"/>
      <c r="H171" s="50"/>
      <c r="I171" s="45"/>
      <c r="J171" s="51"/>
      <c r="K171" s="40" t="str">
        <f aca="false">IF($D171="","",$I171*$J171)</f>
        <v/>
      </c>
      <c r="L171" s="50"/>
      <c r="M171" s="49"/>
      <c r="N171" s="45"/>
      <c r="O171" s="40" t="str">
        <f aca="false">IF(OR($D171="",$N171=""),"",$N171*$J171)</f>
        <v/>
      </c>
      <c r="P171" s="41" t="str">
        <f aca="false">IF(OR($D171="",$L171=""),"",MAX($L171-$H171,0))</f>
        <v/>
      </c>
      <c r="Q171" s="40" t="str">
        <f aca="false">IF(OR($D171="",$N171=""),"",IF($E171="LONG",($N171-$I171)*$J171,($I171-$N171)*$J171))</f>
        <v/>
      </c>
      <c r="R171" s="42" t="str">
        <f aca="false">IF(OR($D171="",$Q171="",$K171=0),"",$Q171/$K171)</f>
        <v/>
      </c>
      <c r="S171" s="43" t="str">
        <f aca="false">IF(OR($D171="",$N171=""),"",MIN(INDEX(Config!$C$13:$C$15,$AK171),INDEX(Config!$B$13:$B$15,$AK171)*$K171)+MIN(INDEX(Config!$C$13:$C$15,$AK171),INDEX(Config!$B$13:$B$15,$AK171)*$O171))</f>
        <v/>
      </c>
      <c r="T171" s="43" t="str">
        <f aca="false">IF(OR($D171="",$N171=""),"",INDEX(Config!$D$13:$D$15,$AK171)*$AL171+INDEX(Config!$E$13:$E$15,$AK171)*$AM171)</f>
        <v/>
      </c>
      <c r="U171" s="43" t="str">
        <f aca="false">IF(OR($D171="",$N171=""),"",INDEX(Config!$F$13:$F$15,$AK171)*($K171+$O171))</f>
        <v/>
      </c>
      <c r="V171" s="43" t="str">
        <f aca="false">IF(OR($D171="",$N171=""),"",INDEX(Config!$G$13:$G$15,$AK171)*($K171+$O171)+INDEX(Config!$H$13:$H$15,$AK171)*$AL171+INDEX(Config!$J$13:$J$15,$AK171))</f>
        <v/>
      </c>
      <c r="W171" s="43" t="str">
        <f aca="false">IF(OR($D171="",$N171=""),"",INDEX(Config!$I$13:$I$15,$AK171)*($S171+$U171+INDEX(Config!$G$13:$G$15,$AK171)*($K171+$O171)))</f>
        <v/>
      </c>
      <c r="X171" s="43" t="str">
        <f aca="false">IF(OR($D171="",$N171=""),"",INDEX(Config!$K$13:$K$15,$AK171)/365*$P171*$K171*Config!$B$8)</f>
        <v/>
      </c>
      <c r="Y171" s="43" t="str">
        <f aca="false">IF(OR($D171="",$N171=""),"",SUM($S171:$X171))</f>
        <v/>
      </c>
      <c r="Z171" s="40" t="str">
        <f aca="false">IF(OR($D171="",$Q171=""),"",$Q171-$Y171)</f>
        <v/>
      </c>
      <c r="AA171" s="42" t="str">
        <f aca="false">IF(OR($D171="",$Z171="",$K171=0),"",$Z171/$K171)</f>
        <v/>
      </c>
      <c r="AB171" s="44" t="str">
        <f aca="false">IF(OR($D171="",$Y171="",$K171=0),"",$Y171/$K171*10000)</f>
        <v/>
      </c>
      <c r="AC171" s="44" t="str">
        <f aca="false">IF(OR($D171="",$G171="",$G171=0,$I171=""),"",IF($E171="LONG",($I171-$G171)/$G171,($G171-$I171)/$G171)*10000)</f>
        <v/>
      </c>
      <c r="AD171" s="45"/>
      <c r="AE171" s="40" t="str">
        <f aca="false">IF(OR($D171="",$N171&lt;&gt;"",$AD171=""),"",IF($E171="LONG",($AD171-$I171)*$J171,($I171-$AD171)*$J171))</f>
        <v/>
      </c>
      <c r="AF171" s="40" t="str">
        <f aca="false">IF(OR($D171="",$E171&lt;&gt;"LONG",$Z171=""),"",$Z171+SUMIFS($Z$4:$Z$503,$B$4:$B$503,$B171,$E$4:$E$503,"SHORT"))</f>
        <v/>
      </c>
      <c r="AG171" s="42" t="str">
        <f aca="false">IF(OR($AF171="",$K171=0),"",$AF171/$K171)</f>
        <v/>
      </c>
      <c r="AH171" s="46"/>
      <c r="AI171" s="43" t="str">
        <f aca="false">IF(OR($D171="",$AH171="",$Z171=""),"",$Z171-$AH171)</f>
        <v/>
      </c>
      <c r="AJ171" s="49"/>
      <c r="AK171" s="47" t="str">
        <f aca="false">IF($D171="","",IFERROR(MATCH($F171,Config!$A$13:$A$15,0),1))</f>
        <v/>
      </c>
      <c r="AL171" s="47" t="str">
        <f aca="false">IF(OR($D171="",$N171=""),"",IF($E171="LONG",$K171,$O171))</f>
        <v/>
      </c>
      <c r="AM171" s="47" t="str">
        <f aca="false">IF(OR($D171="",$N171=""),"",IF($E171="LONG",$O171,$K171))</f>
        <v/>
      </c>
    </row>
    <row r="172" customFormat="false" ht="15" hidden="false" customHeight="false" outlineLevel="0" collapsed="false">
      <c r="A172" s="49"/>
      <c r="B172" s="5" t="str">
        <f aca="false">IF($D172="","",IF(OR(RIGHT($A172,2)="-L",RIGHT($A172,2)="-S"),LEFT($A172,LEN($A172)-2),$A172))</f>
        <v/>
      </c>
      <c r="C172" s="50"/>
      <c r="D172" s="49"/>
      <c r="E172" s="49"/>
      <c r="F172" s="49"/>
      <c r="G172" s="45"/>
      <c r="H172" s="50"/>
      <c r="I172" s="45"/>
      <c r="J172" s="51"/>
      <c r="K172" s="40" t="str">
        <f aca="false">IF($D172="","",$I172*$J172)</f>
        <v/>
      </c>
      <c r="L172" s="50"/>
      <c r="M172" s="49"/>
      <c r="N172" s="45"/>
      <c r="O172" s="40" t="str">
        <f aca="false">IF(OR($D172="",$N172=""),"",$N172*$J172)</f>
        <v/>
      </c>
      <c r="P172" s="41" t="str">
        <f aca="false">IF(OR($D172="",$L172=""),"",MAX($L172-$H172,0))</f>
        <v/>
      </c>
      <c r="Q172" s="40" t="str">
        <f aca="false">IF(OR($D172="",$N172=""),"",IF($E172="LONG",($N172-$I172)*$J172,($I172-$N172)*$J172))</f>
        <v/>
      </c>
      <c r="R172" s="42" t="str">
        <f aca="false">IF(OR($D172="",$Q172="",$K172=0),"",$Q172/$K172)</f>
        <v/>
      </c>
      <c r="S172" s="43" t="str">
        <f aca="false">IF(OR($D172="",$N172=""),"",MIN(INDEX(Config!$C$13:$C$15,$AK172),INDEX(Config!$B$13:$B$15,$AK172)*$K172)+MIN(INDEX(Config!$C$13:$C$15,$AK172),INDEX(Config!$B$13:$B$15,$AK172)*$O172))</f>
        <v/>
      </c>
      <c r="T172" s="43" t="str">
        <f aca="false">IF(OR($D172="",$N172=""),"",INDEX(Config!$D$13:$D$15,$AK172)*$AL172+INDEX(Config!$E$13:$E$15,$AK172)*$AM172)</f>
        <v/>
      </c>
      <c r="U172" s="43" t="str">
        <f aca="false">IF(OR($D172="",$N172=""),"",INDEX(Config!$F$13:$F$15,$AK172)*($K172+$O172))</f>
        <v/>
      </c>
      <c r="V172" s="43" t="str">
        <f aca="false">IF(OR($D172="",$N172=""),"",INDEX(Config!$G$13:$G$15,$AK172)*($K172+$O172)+INDEX(Config!$H$13:$H$15,$AK172)*$AL172+INDEX(Config!$J$13:$J$15,$AK172))</f>
        <v/>
      </c>
      <c r="W172" s="43" t="str">
        <f aca="false">IF(OR($D172="",$N172=""),"",INDEX(Config!$I$13:$I$15,$AK172)*($S172+$U172+INDEX(Config!$G$13:$G$15,$AK172)*($K172+$O172)))</f>
        <v/>
      </c>
      <c r="X172" s="43" t="str">
        <f aca="false">IF(OR($D172="",$N172=""),"",INDEX(Config!$K$13:$K$15,$AK172)/365*$P172*$K172*Config!$B$8)</f>
        <v/>
      </c>
      <c r="Y172" s="43" t="str">
        <f aca="false">IF(OR($D172="",$N172=""),"",SUM($S172:$X172))</f>
        <v/>
      </c>
      <c r="Z172" s="40" t="str">
        <f aca="false">IF(OR($D172="",$Q172=""),"",$Q172-$Y172)</f>
        <v/>
      </c>
      <c r="AA172" s="42" t="str">
        <f aca="false">IF(OR($D172="",$Z172="",$K172=0),"",$Z172/$K172)</f>
        <v/>
      </c>
      <c r="AB172" s="44" t="str">
        <f aca="false">IF(OR($D172="",$Y172="",$K172=0),"",$Y172/$K172*10000)</f>
        <v/>
      </c>
      <c r="AC172" s="44" t="str">
        <f aca="false">IF(OR($D172="",$G172="",$G172=0,$I172=""),"",IF($E172="LONG",($I172-$G172)/$G172,($G172-$I172)/$G172)*10000)</f>
        <v/>
      </c>
      <c r="AD172" s="45"/>
      <c r="AE172" s="40" t="str">
        <f aca="false">IF(OR($D172="",$N172&lt;&gt;"",$AD172=""),"",IF($E172="LONG",($AD172-$I172)*$J172,($I172-$AD172)*$J172))</f>
        <v/>
      </c>
      <c r="AF172" s="40" t="str">
        <f aca="false">IF(OR($D172="",$E172&lt;&gt;"LONG",$Z172=""),"",$Z172+SUMIFS($Z$4:$Z$503,$B$4:$B$503,$B172,$E$4:$E$503,"SHORT"))</f>
        <v/>
      </c>
      <c r="AG172" s="42" t="str">
        <f aca="false">IF(OR($AF172="",$K172=0),"",$AF172/$K172)</f>
        <v/>
      </c>
      <c r="AH172" s="46"/>
      <c r="AI172" s="43" t="str">
        <f aca="false">IF(OR($D172="",$AH172="",$Z172=""),"",$Z172-$AH172)</f>
        <v/>
      </c>
      <c r="AJ172" s="49"/>
      <c r="AK172" s="47" t="str">
        <f aca="false">IF($D172="","",IFERROR(MATCH($F172,Config!$A$13:$A$15,0),1))</f>
        <v/>
      </c>
      <c r="AL172" s="47" t="str">
        <f aca="false">IF(OR($D172="",$N172=""),"",IF($E172="LONG",$K172,$O172))</f>
        <v/>
      </c>
      <c r="AM172" s="47" t="str">
        <f aca="false">IF(OR($D172="",$N172=""),"",IF($E172="LONG",$O172,$K172))</f>
        <v/>
      </c>
    </row>
    <row r="173" customFormat="false" ht="15" hidden="false" customHeight="false" outlineLevel="0" collapsed="false">
      <c r="A173" s="49"/>
      <c r="B173" s="5" t="str">
        <f aca="false">IF($D173="","",IF(OR(RIGHT($A173,2)="-L",RIGHT($A173,2)="-S"),LEFT($A173,LEN($A173)-2),$A173))</f>
        <v/>
      </c>
      <c r="C173" s="50"/>
      <c r="D173" s="49"/>
      <c r="E173" s="49"/>
      <c r="F173" s="49"/>
      <c r="G173" s="45"/>
      <c r="H173" s="50"/>
      <c r="I173" s="45"/>
      <c r="J173" s="51"/>
      <c r="K173" s="40" t="str">
        <f aca="false">IF($D173="","",$I173*$J173)</f>
        <v/>
      </c>
      <c r="L173" s="50"/>
      <c r="M173" s="49"/>
      <c r="N173" s="45"/>
      <c r="O173" s="40" t="str">
        <f aca="false">IF(OR($D173="",$N173=""),"",$N173*$J173)</f>
        <v/>
      </c>
      <c r="P173" s="41" t="str">
        <f aca="false">IF(OR($D173="",$L173=""),"",MAX($L173-$H173,0))</f>
        <v/>
      </c>
      <c r="Q173" s="40" t="str">
        <f aca="false">IF(OR($D173="",$N173=""),"",IF($E173="LONG",($N173-$I173)*$J173,($I173-$N173)*$J173))</f>
        <v/>
      </c>
      <c r="R173" s="42" t="str">
        <f aca="false">IF(OR($D173="",$Q173="",$K173=0),"",$Q173/$K173)</f>
        <v/>
      </c>
      <c r="S173" s="43" t="str">
        <f aca="false">IF(OR($D173="",$N173=""),"",MIN(INDEX(Config!$C$13:$C$15,$AK173),INDEX(Config!$B$13:$B$15,$AK173)*$K173)+MIN(INDEX(Config!$C$13:$C$15,$AK173),INDEX(Config!$B$13:$B$15,$AK173)*$O173))</f>
        <v/>
      </c>
      <c r="T173" s="43" t="str">
        <f aca="false">IF(OR($D173="",$N173=""),"",INDEX(Config!$D$13:$D$15,$AK173)*$AL173+INDEX(Config!$E$13:$E$15,$AK173)*$AM173)</f>
        <v/>
      </c>
      <c r="U173" s="43" t="str">
        <f aca="false">IF(OR($D173="",$N173=""),"",INDEX(Config!$F$13:$F$15,$AK173)*($K173+$O173))</f>
        <v/>
      </c>
      <c r="V173" s="43" t="str">
        <f aca="false">IF(OR($D173="",$N173=""),"",INDEX(Config!$G$13:$G$15,$AK173)*($K173+$O173)+INDEX(Config!$H$13:$H$15,$AK173)*$AL173+INDEX(Config!$J$13:$J$15,$AK173))</f>
        <v/>
      </c>
      <c r="W173" s="43" t="str">
        <f aca="false">IF(OR($D173="",$N173=""),"",INDEX(Config!$I$13:$I$15,$AK173)*($S173+$U173+INDEX(Config!$G$13:$G$15,$AK173)*($K173+$O173)))</f>
        <v/>
      </c>
      <c r="X173" s="43" t="str">
        <f aca="false">IF(OR($D173="",$N173=""),"",INDEX(Config!$K$13:$K$15,$AK173)/365*$P173*$K173*Config!$B$8)</f>
        <v/>
      </c>
      <c r="Y173" s="43" t="str">
        <f aca="false">IF(OR($D173="",$N173=""),"",SUM($S173:$X173))</f>
        <v/>
      </c>
      <c r="Z173" s="40" t="str">
        <f aca="false">IF(OR($D173="",$Q173=""),"",$Q173-$Y173)</f>
        <v/>
      </c>
      <c r="AA173" s="42" t="str">
        <f aca="false">IF(OR($D173="",$Z173="",$K173=0),"",$Z173/$K173)</f>
        <v/>
      </c>
      <c r="AB173" s="44" t="str">
        <f aca="false">IF(OR($D173="",$Y173="",$K173=0),"",$Y173/$K173*10000)</f>
        <v/>
      </c>
      <c r="AC173" s="44" t="str">
        <f aca="false">IF(OR($D173="",$G173="",$G173=0,$I173=""),"",IF($E173="LONG",($I173-$G173)/$G173,($G173-$I173)/$G173)*10000)</f>
        <v/>
      </c>
      <c r="AD173" s="45"/>
      <c r="AE173" s="40" t="str">
        <f aca="false">IF(OR($D173="",$N173&lt;&gt;"",$AD173=""),"",IF($E173="LONG",($AD173-$I173)*$J173,($I173-$AD173)*$J173))</f>
        <v/>
      </c>
      <c r="AF173" s="40" t="str">
        <f aca="false">IF(OR($D173="",$E173&lt;&gt;"LONG",$Z173=""),"",$Z173+SUMIFS($Z$4:$Z$503,$B$4:$B$503,$B173,$E$4:$E$503,"SHORT"))</f>
        <v/>
      </c>
      <c r="AG173" s="42" t="str">
        <f aca="false">IF(OR($AF173="",$K173=0),"",$AF173/$K173)</f>
        <v/>
      </c>
      <c r="AH173" s="46"/>
      <c r="AI173" s="43" t="str">
        <f aca="false">IF(OR($D173="",$AH173="",$Z173=""),"",$Z173-$AH173)</f>
        <v/>
      </c>
      <c r="AJ173" s="49"/>
      <c r="AK173" s="47" t="str">
        <f aca="false">IF($D173="","",IFERROR(MATCH($F173,Config!$A$13:$A$15,0),1))</f>
        <v/>
      </c>
      <c r="AL173" s="47" t="str">
        <f aca="false">IF(OR($D173="",$N173=""),"",IF($E173="LONG",$K173,$O173))</f>
        <v/>
      </c>
      <c r="AM173" s="47" t="str">
        <f aca="false">IF(OR($D173="",$N173=""),"",IF($E173="LONG",$O173,$K173))</f>
        <v/>
      </c>
    </row>
    <row r="174" customFormat="false" ht="15" hidden="false" customHeight="false" outlineLevel="0" collapsed="false">
      <c r="A174" s="49"/>
      <c r="B174" s="5" t="str">
        <f aca="false">IF($D174="","",IF(OR(RIGHT($A174,2)="-L",RIGHT($A174,2)="-S"),LEFT($A174,LEN($A174)-2),$A174))</f>
        <v/>
      </c>
      <c r="C174" s="50"/>
      <c r="D174" s="49"/>
      <c r="E174" s="49"/>
      <c r="F174" s="49"/>
      <c r="G174" s="45"/>
      <c r="H174" s="50"/>
      <c r="I174" s="45"/>
      <c r="J174" s="51"/>
      <c r="K174" s="40" t="str">
        <f aca="false">IF($D174="","",$I174*$J174)</f>
        <v/>
      </c>
      <c r="L174" s="50"/>
      <c r="M174" s="49"/>
      <c r="N174" s="45"/>
      <c r="O174" s="40" t="str">
        <f aca="false">IF(OR($D174="",$N174=""),"",$N174*$J174)</f>
        <v/>
      </c>
      <c r="P174" s="41" t="str">
        <f aca="false">IF(OR($D174="",$L174=""),"",MAX($L174-$H174,0))</f>
        <v/>
      </c>
      <c r="Q174" s="40" t="str">
        <f aca="false">IF(OR($D174="",$N174=""),"",IF($E174="LONG",($N174-$I174)*$J174,($I174-$N174)*$J174))</f>
        <v/>
      </c>
      <c r="R174" s="42" t="str">
        <f aca="false">IF(OR($D174="",$Q174="",$K174=0),"",$Q174/$K174)</f>
        <v/>
      </c>
      <c r="S174" s="43" t="str">
        <f aca="false">IF(OR($D174="",$N174=""),"",MIN(INDEX(Config!$C$13:$C$15,$AK174),INDEX(Config!$B$13:$B$15,$AK174)*$K174)+MIN(INDEX(Config!$C$13:$C$15,$AK174),INDEX(Config!$B$13:$B$15,$AK174)*$O174))</f>
        <v/>
      </c>
      <c r="T174" s="43" t="str">
        <f aca="false">IF(OR($D174="",$N174=""),"",INDEX(Config!$D$13:$D$15,$AK174)*$AL174+INDEX(Config!$E$13:$E$15,$AK174)*$AM174)</f>
        <v/>
      </c>
      <c r="U174" s="43" t="str">
        <f aca="false">IF(OR($D174="",$N174=""),"",INDEX(Config!$F$13:$F$15,$AK174)*($K174+$O174))</f>
        <v/>
      </c>
      <c r="V174" s="43" t="str">
        <f aca="false">IF(OR($D174="",$N174=""),"",INDEX(Config!$G$13:$G$15,$AK174)*($K174+$O174)+INDEX(Config!$H$13:$H$15,$AK174)*$AL174+INDEX(Config!$J$13:$J$15,$AK174))</f>
        <v/>
      </c>
      <c r="W174" s="43" t="str">
        <f aca="false">IF(OR($D174="",$N174=""),"",INDEX(Config!$I$13:$I$15,$AK174)*($S174+$U174+INDEX(Config!$G$13:$G$15,$AK174)*($K174+$O174)))</f>
        <v/>
      </c>
      <c r="X174" s="43" t="str">
        <f aca="false">IF(OR($D174="",$N174=""),"",INDEX(Config!$K$13:$K$15,$AK174)/365*$P174*$K174*Config!$B$8)</f>
        <v/>
      </c>
      <c r="Y174" s="43" t="str">
        <f aca="false">IF(OR($D174="",$N174=""),"",SUM($S174:$X174))</f>
        <v/>
      </c>
      <c r="Z174" s="40" t="str">
        <f aca="false">IF(OR($D174="",$Q174=""),"",$Q174-$Y174)</f>
        <v/>
      </c>
      <c r="AA174" s="42" t="str">
        <f aca="false">IF(OR($D174="",$Z174="",$K174=0),"",$Z174/$K174)</f>
        <v/>
      </c>
      <c r="AB174" s="44" t="str">
        <f aca="false">IF(OR($D174="",$Y174="",$K174=0),"",$Y174/$K174*10000)</f>
        <v/>
      </c>
      <c r="AC174" s="44" t="str">
        <f aca="false">IF(OR($D174="",$G174="",$G174=0,$I174=""),"",IF($E174="LONG",($I174-$G174)/$G174,($G174-$I174)/$G174)*10000)</f>
        <v/>
      </c>
      <c r="AD174" s="45"/>
      <c r="AE174" s="40" t="str">
        <f aca="false">IF(OR($D174="",$N174&lt;&gt;"",$AD174=""),"",IF($E174="LONG",($AD174-$I174)*$J174,($I174-$AD174)*$J174))</f>
        <v/>
      </c>
      <c r="AF174" s="40" t="str">
        <f aca="false">IF(OR($D174="",$E174&lt;&gt;"LONG",$Z174=""),"",$Z174+SUMIFS($Z$4:$Z$503,$B$4:$B$503,$B174,$E$4:$E$503,"SHORT"))</f>
        <v/>
      </c>
      <c r="AG174" s="42" t="str">
        <f aca="false">IF(OR($AF174="",$K174=0),"",$AF174/$K174)</f>
        <v/>
      </c>
      <c r="AH174" s="46"/>
      <c r="AI174" s="43" t="str">
        <f aca="false">IF(OR($D174="",$AH174="",$Z174=""),"",$Z174-$AH174)</f>
        <v/>
      </c>
      <c r="AJ174" s="49"/>
      <c r="AK174" s="47" t="str">
        <f aca="false">IF($D174="","",IFERROR(MATCH($F174,Config!$A$13:$A$15,0),1))</f>
        <v/>
      </c>
      <c r="AL174" s="47" t="str">
        <f aca="false">IF(OR($D174="",$N174=""),"",IF($E174="LONG",$K174,$O174))</f>
        <v/>
      </c>
      <c r="AM174" s="47" t="str">
        <f aca="false">IF(OR($D174="",$N174=""),"",IF($E174="LONG",$O174,$K174))</f>
        <v/>
      </c>
    </row>
    <row r="175" customFormat="false" ht="15" hidden="false" customHeight="false" outlineLevel="0" collapsed="false">
      <c r="A175" s="49"/>
      <c r="B175" s="5" t="str">
        <f aca="false">IF($D175="","",IF(OR(RIGHT($A175,2)="-L",RIGHT($A175,2)="-S"),LEFT($A175,LEN($A175)-2),$A175))</f>
        <v/>
      </c>
      <c r="C175" s="50"/>
      <c r="D175" s="49"/>
      <c r="E175" s="49"/>
      <c r="F175" s="49"/>
      <c r="G175" s="45"/>
      <c r="H175" s="50"/>
      <c r="I175" s="45"/>
      <c r="J175" s="51"/>
      <c r="K175" s="40" t="str">
        <f aca="false">IF($D175="","",$I175*$J175)</f>
        <v/>
      </c>
      <c r="L175" s="50"/>
      <c r="M175" s="49"/>
      <c r="N175" s="45"/>
      <c r="O175" s="40" t="str">
        <f aca="false">IF(OR($D175="",$N175=""),"",$N175*$J175)</f>
        <v/>
      </c>
      <c r="P175" s="41" t="str">
        <f aca="false">IF(OR($D175="",$L175=""),"",MAX($L175-$H175,0))</f>
        <v/>
      </c>
      <c r="Q175" s="40" t="str">
        <f aca="false">IF(OR($D175="",$N175=""),"",IF($E175="LONG",($N175-$I175)*$J175,($I175-$N175)*$J175))</f>
        <v/>
      </c>
      <c r="R175" s="42" t="str">
        <f aca="false">IF(OR($D175="",$Q175="",$K175=0),"",$Q175/$K175)</f>
        <v/>
      </c>
      <c r="S175" s="43" t="str">
        <f aca="false">IF(OR($D175="",$N175=""),"",MIN(INDEX(Config!$C$13:$C$15,$AK175),INDEX(Config!$B$13:$B$15,$AK175)*$K175)+MIN(INDEX(Config!$C$13:$C$15,$AK175),INDEX(Config!$B$13:$B$15,$AK175)*$O175))</f>
        <v/>
      </c>
      <c r="T175" s="43" t="str">
        <f aca="false">IF(OR($D175="",$N175=""),"",INDEX(Config!$D$13:$D$15,$AK175)*$AL175+INDEX(Config!$E$13:$E$15,$AK175)*$AM175)</f>
        <v/>
      </c>
      <c r="U175" s="43" t="str">
        <f aca="false">IF(OR($D175="",$N175=""),"",INDEX(Config!$F$13:$F$15,$AK175)*($K175+$O175))</f>
        <v/>
      </c>
      <c r="V175" s="43" t="str">
        <f aca="false">IF(OR($D175="",$N175=""),"",INDEX(Config!$G$13:$G$15,$AK175)*($K175+$O175)+INDEX(Config!$H$13:$H$15,$AK175)*$AL175+INDEX(Config!$J$13:$J$15,$AK175))</f>
        <v/>
      </c>
      <c r="W175" s="43" t="str">
        <f aca="false">IF(OR($D175="",$N175=""),"",INDEX(Config!$I$13:$I$15,$AK175)*($S175+$U175+INDEX(Config!$G$13:$G$15,$AK175)*($K175+$O175)))</f>
        <v/>
      </c>
      <c r="X175" s="43" t="str">
        <f aca="false">IF(OR($D175="",$N175=""),"",INDEX(Config!$K$13:$K$15,$AK175)/365*$P175*$K175*Config!$B$8)</f>
        <v/>
      </c>
      <c r="Y175" s="43" t="str">
        <f aca="false">IF(OR($D175="",$N175=""),"",SUM($S175:$X175))</f>
        <v/>
      </c>
      <c r="Z175" s="40" t="str">
        <f aca="false">IF(OR($D175="",$Q175=""),"",$Q175-$Y175)</f>
        <v/>
      </c>
      <c r="AA175" s="42" t="str">
        <f aca="false">IF(OR($D175="",$Z175="",$K175=0),"",$Z175/$K175)</f>
        <v/>
      </c>
      <c r="AB175" s="44" t="str">
        <f aca="false">IF(OR($D175="",$Y175="",$K175=0),"",$Y175/$K175*10000)</f>
        <v/>
      </c>
      <c r="AC175" s="44" t="str">
        <f aca="false">IF(OR($D175="",$G175="",$G175=0,$I175=""),"",IF($E175="LONG",($I175-$G175)/$G175,($G175-$I175)/$G175)*10000)</f>
        <v/>
      </c>
      <c r="AD175" s="45"/>
      <c r="AE175" s="40" t="str">
        <f aca="false">IF(OR($D175="",$N175&lt;&gt;"",$AD175=""),"",IF($E175="LONG",($AD175-$I175)*$J175,($I175-$AD175)*$J175))</f>
        <v/>
      </c>
      <c r="AF175" s="40" t="str">
        <f aca="false">IF(OR($D175="",$E175&lt;&gt;"LONG",$Z175=""),"",$Z175+SUMIFS($Z$4:$Z$503,$B$4:$B$503,$B175,$E$4:$E$503,"SHORT"))</f>
        <v/>
      </c>
      <c r="AG175" s="42" t="str">
        <f aca="false">IF(OR($AF175="",$K175=0),"",$AF175/$K175)</f>
        <v/>
      </c>
      <c r="AH175" s="46"/>
      <c r="AI175" s="43" t="str">
        <f aca="false">IF(OR($D175="",$AH175="",$Z175=""),"",$Z175-$AH175)</f>
        <v/>
      </c>
      <c r="AJ175" s="49"/>
      <c r="AK175" s="47" t="str">
        <f aca="false">IF($D175="","",IFERROR(MATCH($F175,Config!$A$13:$A$15,0),1))</f>
        <v/>
      </c>
      <c r="AL175" s="47" t="str">
        <f aca="false">IF(OR($D175="",$N175=""),"",IF($E175="LONG",$K175,$O175))</f>
        <v/>
      </c>
      <c r="AM175" s="47" t="str">
        <f aca="false">IF(OR($D175="",$N175=""),"",IF($E175="LONG",$O175,$K175))</f>
        <v/>
      </c>
    </row>
    <row r="176" customFormat="false" ht="15" hidden="false" customHeight="false" outlineLevel="0" collapsed="false">
      <c r="A176" s="49"/>
      <c r="B176" s="5" t="str">
        <f aca="false">IF($D176="","",IF(OR(RIGHT($A176,2)="-L",RIGHT($A176,2)="-S"),LEFT($A176,LEN($A176)-2),$A176))</f>
        <v/>
      </c>
      <c r="C176" s="50"/>
      <c r="D176" s="49"/>
      <c r="E176" s="49"/>
      <c r="F176" s="49"/>
      <c r="G176" s="45"/>
      <c r="H176" s="50"/>
      <c r="I176" s="45"/>
      <c r="J176" s="51"/>
      <c r="K176" s="40" t="str">
        <f aca="false">IF($D176="","",$I176*$J176)</f>
        <v/>
      </c>
      <c r="L176" s="50"/>
      <c r="M176" s="49"/>
      <c r="N176" s="45"/>
      <c r="O176" s="40" t="str">
        <f aca="false">IF(OR($D176="",$N176=""),"",$N176*$J176)</f>
        <v/>
      </c>
      <c r="P176" s="41" t="str">
        <f aca="false">IF(OR($D176="",$L176=""),"",MAX($L176-$H176,0))</f>
        <v/>
      </c>
      <c r="Q176" s="40" t="str">
        <f aca="false">IF(OR($D176="",$N176=""),"",IF($E176="LONG",($N176-$I176)*$J176,($I176-$N176)*$J176))</f>
        <v/>
      </c>
      <c r="R176" s="42" t="str">
        <f aca="false">IF(OR($D176="",$Q176="",$K176=0),"",$Q176/$K176)</f>
        <v/>
      </c>
      <c r="S176" s="43" t="str">
        <f aca="false">IF(OR($D176="",$N176=""),"",MIN(INDEX(Config!$C$13:$C$15,$AK176),INDEX(Config!$B$13:$B$15,$AK176)*$K176)+MIN(INDEX(Config!$C$13:$C$15,$AK176),INDEX(Config!$B$13:$B$15,$AK176)*$O176))</f>
        <v/>
      </c>
      <c r="T176" s="43" t="str">
        <f aca="false">IF(OR($D176="",$N176=""),"",INDEX(Config!$D$13:$D$15,$AK176)*$AL176+INDEX(Config!$E$13:$E$15,$AK176)*$AM176)</f>
        <v/>
      </c>
      <c r="U176" s="43" t="str">
        <f aca="false">IF(OR($D176="",$N176=""),"",INDEX(Config!$F$13:$F$15,$AK176)*($K176+$O176))</f>
        <v/>
      </c>
      <c r="V176" s="43" t="str">
        <f aca="false">IF(OR($D176="",$N176=""),"",INDEX(Config!$G$13:$G$15,$AK176)*($K176+$O176)+INDEX(Config!$H$13:$H$15,$AK176)*$AL176+INDEX(Config!$J$13:$J$15,$AK176))</f>
        <v/>
      </c>
      <c r="W176" s="43" t="str">
        <f aca="false">IF(OR($D176="",$N176=""),"",INDEX(Config!$I$13:$I$15,$AK176)*($S176+$U176+INDEX(Config!$G$13:$G$15,$AK176)*($K176+$O176)))</f>
        <v/>
      </c>
      <c r="X176" s="43" t="str">
        <f aca="false">IF(OR($D176="",$N176=""),"",INDEX(Config!$K$13:$K$15,$AK176)/365*$P176*$K176*Config!$B$8)</f>
        <v/>
      </c>
      <c r="Y176" s="43" t="str">
        <f aca="false">IF(OR($D176="",$N176=""),"",SUM($S176:$X176))</f>
        <v/>
      </c>
      <c r="Z176" s="40" t="str">
        <f aca="false">IF(OR($D176="",$Q176=""),"",$Q176-$Y176)</f>
        <v/>
      </c>
      <c r="AA176" s="42" t="str">
        <f aca="false">IF(OR($D176="",$Z176="",$K176=0),"",$Z176/$K176)</f>
        <v/>
      </c>
      <c r="AB176" s="44" t="str">
        <f aca="false">IF(OR($D176="",$Y176="",$K176=0),"",$Y176/$K176*10000)</f>
        <v/>
      </c>
      <c r="AC176" s="44" t="str">
        <f aca="false">IF(OR($D176="",$G176="",$G176=0,$I176=""),"",IF($E176="LONG",($I176-$G176)/$G176,($G176-$I176)/$G176)*10000)</f>
        <v/>
      </c>
      <c r="AD176" s="45"/>
      <c r="AE176" s="40" t="str">
        <f aca="false">IF(OR($D176="",$N176&lt;&gt;"",$AD176=""),"",IF($E176="LONG",($AD176-$I176)*$J176,($I176-$AD176)*$J176))</f>
        <v/>
      </c>
      <c r="AF176" s="40" t="str">
        <f aca="false">IF(OR($D176="",$E176&lt;&gt;"LONG",$Z176=""),"",$Z176+SUMIFS($Z$4:$Z$503,$B$4:$B$503,$B176,$E$4:$E$503,"SHORT"))</f>
        <v/>
      </c>
      <c r="AG176" s="42" t="str">
        <f aca="false">IF(OR($AF176="",$K176=0),"",$AF176/$K176)</f>
        <v/>
      </c>
      <c r="AH176" s="46"/>
      <c r="AI176" s="43" t="str">
        <f aca="false">IF(OR($D176="",$AH176="",$Z176=""),"",$Z176-$AH176)</f>
        <v/>
      </c>
      <c r="AJ176" s="49"/>
      <c r="AK176" s="47" t="str">
        <f aca="false">IF($D176="","",IFERROR(MATCH($F176,Config!$A$13:$A$15,0),1))</f>
        <v/>
      </c>
      <c r="AL176" s="47" t="str">
        <f aca="false">IF(OR($D176="",$N176=""),"",IF($E176="LONG",$K176,$O176))</f>
        <v/>
      </c>
      <c r="AM176" s="47" t="str">
        <f aca="false">IF(OR($D176="",$N176=""),"",IF($E176="LONG",$O176,$K176))</f>
        <v/>
      </c>
    </row>
    <row r="177" customFormat="false" ht="15" hidden="false" customHeight="false" outlineLevel="0" collapsed="false">
      <c r="A177" s="49"/>
      <c r="B177" s="5" t="str">
        <f aca="false">IF($D177="","",IF(OR(RIGHT($A177,2)="-L",RIGHT($A177,2)="-S"),LEFT($A177,LEN($A177)-2),$A177))</f>
        <v/>
      </c>
      <c r="C177" s="50"/>
      <c r="D177" s="49"/>
      <c r="E177" s="49"/>
      <c r="F177" s="49"/>
      <c r="G177" s="45"/>
      <c r="H177" s="50"/>
      <c r="I177" s="45"/>
      <c r="J177" s="51"/>
      <c r="K177" s="40" t="str">
        <f aca="false">IF($D177="","",$I177*$J177)</f>
        <v/>
      </c>
      <c r="L177" s="50"/>
      <c r="M177" s="49"/>
      <c r="N177" s="45"/>
      <c r="O177" s="40" t="str">
        <f aca="false">IF(OR($D177="",$N177=""),"",$N177*$J177)</f>
        <v/>
      </c>
      <c r="P177" s="41" t="str">
        <f aca="false">IF(OR($D177="",$L177=""),"",MAX($L177-$H177,0))</f>
        <v/>
      </c>
      <c r="Q177" s="40" t="str">
        <f aca="false">IF(OR($D177="",$N177=""),"",IF($E177="LONG",($N177-$I177)*$J177,($I177-$N177)*$J177))</f>
        <v/>
      </c>
      <c r="R177" s="42" t="str">
        <f aca="false">IF(OR($D177="",$Q177="",$K177=0),"",$Q177/$K177)</f>
        <v/>
      </c>
      <c r="S177" s="43" t="str">
        <f aca="false">IF(OR($D177="",$N177=""),"",MIN(INDEX(Config!$C$13:$C$15,$AK177),INDEX(Config!$B$13:$B$15,$AK177)*$K177)+MIN(INDEX(Config!$C$13:$C$15,$AK177),INDEX(Config!$B$13:$B$15,$AK177)*$O177))</f>
        <v/>
      </c>
      <c r="T177" s="43" t="str">
        <f aca="false">IF(OR($D177="",$N177=""),"",INDEX(Config!$D$13:$D$15,$AK177)*$AL177+INDEX(Config!$E$13:$E$15,$AK177)*$AM177)</f>
        <v/>
      </c>
      <c r="U177" s="43" t="str">
        <f aca="false">IF(OR($D177="",$N177=""),"",INDEX(Config!$F$13:$F$15,$AK177)*($K177+$O177))</f>
        <v/>
      </c>
      <c r="V177" s="43" t="str">
        <f aca="false">IF(OR($D177="",$N177=""),"",INDEX(Config!$G$13:$G$15,$AK177)*($K177+$O177)+INDEX(Config!$H$13:$H$15,$AK177)*$AL177+INDEX(Config!$J$13:$J$15,$AK177))</f>
        <v/>
      </c>
      <c r="W177" s="43" t="str">
        <f aca="false">IF(OR($D177="",$N177=""),"",INDEX(Config!$I$13:$I$15,$AK177)*($S177+$U177+INDEX(Config!$G$13:$G$15,$AK177)*($K177+$O177)))</f>
        <v/>
      </c>
      <c r="X177" s="43" t="str">
        <f aca="false">IF(OR($D177="",$N177=""),"",INDEX(Config!$K$13:$K$15,$AK177)/365*$P177*$K177*Config!$B$8)</f>
        <v/>
      </c>
      <c r="Y177" s="43" t="str">
        <f aca="false">IF(OR($D177="",$N177=""),"",SUM($S177:$X177))</f>
        <v/>
      </c>
      <c r="Z177" s="40" t="str">
        <f aca="false">IF(OR($D177="",$Q177=""),"",$Q177-$Y177)</f>
        <v/>
      </c>
      <c r="AA177" s="42" t="str">
        <f aca="false">IF(OR($D177="",$Z177="",$K177=0),"",$Z177/$K177)</f>
        <v/>
      </c>
      <c r="AB177" s="44" t="str">
        <f aca="false">IF(OR($D177="",$Y177="",$K177=0),"",$Y177/$K177*10000)</f>
        <v/>
      </c>
      <c r="AC177" s="44" t="str">
        <f aca="false">IF(OR($D177="",$G177="",$G177=0,$I177=""),"",IF($E177="LONG",($I177-$G177)/$G177,($G177-$I177)/$G177)*10000)</f>
        <v/>
      </c>
      <c r="AD177" s="45"/>
      <c r="AE177" s="40" t="str">
        <f aca="false">IF(OR($D177="",$N177&lt;&gt;"",$AD177=""),"",IF($E177="LONG",($AD177-$I177)*$J177,($I177-$AD177)*$J177))</f>
        <v/>
      </c>
      <c r="AF177" s="40" t="str">
        <f aca="false">IF(OR($D177="",$E177&lt;&gt;"LONG",$Z177=""),"",$Z177+SUMIFS($Z$4:$Z$503,$B$4:$B$503,$B177,$E$4:$E$503,"SHORT"))</f>
        <v/>
      </c>
      <c r="AG177" s="42" t="str">
        <f aca="false">IF(OR($AF177="",$K177=0),"",$AF177/$K177)</f>
        <v/>
      </c>
      <c r="AH177" s="46"/>
      <c r="AI177" s="43" t="str">
        <f aca="false">IF(OR($D177="",$AH177="",$Z177=""),"",$Z177-$AH177)</f>
        <v/>
      </c>
      <c r="AJ177" s="49"/>
      <c r="AK177" s="47" t="str">
        <f aca="false">IF($D177="","",IFERROR(MATCH($F177,Config!$A$13:$A$15,0),1))</f>
        <v/>
      </c>
      <c r="AL177" s="47" t="str">
        <f aca="false">IF(OR($D177="",$N177=""),"",IF($E177="LONG",$K177,$O177))</f>
        <v/>
      </c>
      <c r="AM177" s="47" t="str">
        <f aca="false">IF(OR($D177="",$N177=""),"",IF($E177="LONG",$O177,$K177))</f>
        <v/>
      </c>
    </row>
    <row r="178" customFormat="false" ht="15" hidden="false" customHeight="false" outlineLevel="0" collapsed="false">
      <c r="A178" s="49"/>
      <c r="B178" s="5" t="str">
        <f aca="false">IF($D178="","",IF(OR(RIGHT($A178,2)="-L",RIGHT($A178,2)="-S"),LEFT($A178,LEN($A178)-2),$A178))</f>
        <v/>
      </c>
      <c r="C178" s="50"/>
      <c r="D178" s="49"/>
      <c r="E178" s="49"/>
      <c r="F178" s="49"/>
      <c r="G178" s="45"/>
      <c r="H178" s="50"/>
      <c r="I178" s="45"/>
      <c r="J178" s="51"/>
      <c r="K178" s="40" t="str">
        <f aca="false">IF($D178="","",$I178*$J178)</f>
        <v/>
      </c>
      <c r="L178" s="50"/>
      <c r="M178" s="49"/>
      <c r="N178" s="45"/>
      <c r="O178" s="40" t="str">
        <f aca="false">IF(OR($D178="",$N178=""),"",$N178*$J178)</f>
        <v/>
      </c>
      <c r="P178" s="41" t="str">
        <f aca="false">IF(OR($D178="",$L178=""),"",MAX($L178-$H178,0))</f>
        <v/>
      </c>
      <c r="Q178" s="40" t="str">
        <f aca="false">IF(OR($D178="",$N178=""),"",IF($E178="LONG",($N178-$I178)*$J178,($I178-$N178)*$J178))</f>
        <v/>
      </c>
      <c r="R178" s="42" t="str">
        <f aca="false">IF(OR($D178="",$Q178="",$K178=0),"",$Q178/$K178)</f>
        <v/>
      </c>
      <c r="S178" s="43" t="str">
        <f aca="false">IF(OR($D178="",$N178=""),"",MIN(INDEX(Config!$C$13:$C$15,$AK178),INDEX(Config!$B$13:$B$15,$AK178)*$K178)+MIN(INDEX(Config!$C$13:$C$15,$AK178),INDEX(Config!$B$13:$B$15,$AK178)*$O178))</f>
        <v/>
      </c>
      <c r="T178" s="43" t="str">
        <f aca="false">IF(OR($D178="",$N178=""),"",INDEX(Config!$D$13:$D$15,$AK178)*$AL178+INDEX(Config!$E$13:$E$15,$AK178)*$AM178)</f>
        <v/>
      </c>
      <c r="U178" s="43" t="str">
        <f aca="false">IF(OR($D178="",$N178=""),"",INDEX(Config!$F$13:$F$15,$AK178)*($K178+$O178))</f>
        <v/>
      </c>
      <c r="V178" s="43" t="str">
        <f aca="false">IF(OR($D178="",$N178=""),"",INDEX(Config!$G$13:$G$15,$AK178)*($K178+$O178)+INDEX(Config!$H$13:$H$15,$AK178)*$AL178+INDEX(Config!$J$13:$J$15,$AK178))</f>
        <v/>
      </c>
      <c r="W178" s="43" t="str">
        <f aca="false">IF(OR($D178="",$N178=""),"",INDEX(Config!$I$13:$I$15,$AK178)*($S178+$U178+INDEX(Config!$G$13:$G$15,$AK178)*($K178+$O178)))</f>
        <v/>
      </c>
      <c r="X178" s="43" t="str">
        <f aca="false">IF(OR($D178="",$N178=""),"",INDEX(Config!$K$13:$K$15,$AK178)/365*$P178*$K178*Config!$B$8)</f>
        <v/>
      </c>
      <c r="Y178" s="43" t="str">
        <f aca="false">IF(OR($D178="",$N178=""),"",SUM($S178:$X178))</f>
        <v/>
      </c>
      <c r="Z178" s="40" t="str">
        <f aca="false">IF(OR($D178="",$Q178=""),"",$Q178-$Y178)</f>
        <v/>
      </c>
      <c r="AA178" s="42" t="str">
        <f aca="false">IF(OR($D178="",$Z178="",$K178=0),"",$Z178/$K178)</f>
        <v/>
      </c>
      <c r="AB178" s="44" t="str">
        <f aca="false">IF(OR($D178="",$Y178="",$K178=0),"",$Y178/$K178*10000)</f>
        <v/>
      </c>
      <c r="AC178" s="44" t="str">
        <f aca="false">IF(OR($D178="",$G178="",$G178=0,$I178=""),"",IF($E178="LONG",($I178-$G178)/$G178,($G178-$I178)/$G178)*10000)</f>
        <v/>
      </c>
      <c r="AD178" s="45"/>
      <c r="AE178" s="40" t="str">
        <f aca="false">IF(OR($D178="",$N178&lt;&gt;"",$AD178=""),"",IF($E178="LONG",($AD178-$I178)*$J178,($I178-$AD178)*$J178))</f>
        <v/>
      </c>
      <c r="AF178" s="40" t="str">
        <f aca="false">IF(OR($D178="",$E178&lt;&gt;"LONG",$Z178=""),"",$Z178+SUMIFS($Z$4:$Z$503,$B$4:$B$503,$B178,$E$4:$E$503,"SHORT"))</f>
        <v/>
      </c>
      <c r="AG178" s="42" t="str">
        <f aca="false">IF(OR($AF178="",$K178=0),"",$AF178/$K178)</f>
        <v/>
      </c>
      <c r="AH178" s="46"/>
      <c r="AI178" s="43" t="str">
        <f aca="false">IF(OR($D178="",$AH178="",$Z178=""),"",$Z178-$AH178)</f>
        <v/>
      </c>
      <c r="AJ178" s="49"/>
      <c r="AK178" s="47" t="str">
        <f aca="false">IF($D178="","",IFERROR(MATCH($F178,Config!$A$13:$A$15,0),1))</f>
        <v/>
      </c>
      <c r="AL178" s="47" t="str">
        <f aca="false">IF(OR($D178="",$N178=""),"",IF($E178="LONG",$K178,$O178))</f>
        <v/>
      </c>
      <c r="AM178" s="47" t="str">
        <f aca="false">IF(OR($D178="",$N178=""),"",IF($E178="LONG",$O178,$K178))</f>
        <v/>
      </c>
    </row>
    <row r="179" customFormat="false" ht="15" hidden="false" customHeight="false" outlineLevel="0" collapsed="false">
      <c r="A179" s="49"/>
      <c r="B179" s="5" t="str">
        <f aca="false">IF($D179="","",IF(OR(RIGHT($A179,2)="-L",RIGHT($A179,2)="-S"),LEFT($A179,LEN($A179)-2),$A179))</f>
        <v/>
      </c>
      <c r="C179" s="50"/>
      <c r="D179" s="49"/>
      <c r="E179" s="49"/>
      <c r="F179" s="49"/>
      <c r="G179" s="45"/>
      <c r="H179" s="50"/>
      <c r="I179" s="45"/>
      <c r="J179" s="51"/>
      <c r="K179" s="40" t="str">
        <f aca="false">IF($D179="","",$I179*$J179)</f>
        <v/>
      </c>
      <c r="L179" s="50"/>
      <c r="M179" s="49"/>
      <c r="N179" s="45"/>
      <c r="O179" s="40" t="str">
        <f aca="false">IF(OR($D179="",$N179=""),"",$N179*$J179)</f>
        <v/>
      </c>
      <c r="P179" s="41" t="str">
        <f aca="false">IF(OR($D179="",$L179=""),"",MAX($L179-$H179,0))</f>
        <v/>
      </c>
      <c r="Q179" s="40" t="str">
        <f aca="false">IF(OR($D179="",$N179=""),"",IF($E179="LONG",($N179-$I179)*$J179,($I179-$N179)*$J179))</f>
        <v/>
      </c>
      <c r="R179" s="42" t="str">
        <f aca="false">IF(OR($D179="",$Q179="",$K179=0),"",$Q179/$K179)</f>
        <v/>
      </c>
      <c r="S179" s="43" t="str">
        <f aca="false">IF(OR($D179="",$N179=""),"",MIN(INDEX(Config!$C$13:$C$15,$AK179),INDEX(Config!$B$13:$B$15,$AK179)*$K179)+MIN(INDEX(Config!$C$13:$C$15,$AK179),INDEX(Config!$B$13:$B$15,$AK179)*$O179))</f>
        <v/>
      </c>
      <c r="T179" s="43" t="str">
        <f aca="false">IF(OR($D179="",$N179=""),"",INDEX(Config!$D$13:$D$15,$AK179)*$AL179+INDEX(Config!$E$13:$E$15,$AK179)*$AM179)</f>
        <v/>
      </c>
      <c r="U179" s="43" t="str">
        <f aca="false">IF(OR($D179="",$N179=""),"",INDEX(Config!$F$13:$F$15,$AK179)*($K179+$O179))</f>
        <v/>
      </c>
      <c r="V179" s="43" t="str">
        <f aca="false">IF(OR($D179="",$N179=""),"",INDEX(Config!$G$13:$G$15,$AK179)*($K179+$O179)+INDEX(Config!$H$13:$H$15,$AK179)*$AL179+INDEX(Config!$J$13:$J$15,$AK179))</f>
        <v/>
      </c>
      <c r="W179" s="43" t="str">
        <f aca="false">IF(OR($D179="",$N179=""),"",INDEX(Config!$I$13:$I$15,$AK179)*($S179+$U179+INDEX(Config!$G$13:$G$15,$AK179)*($K179+$O179)))</f>
        <v/>
      </c>
      <c r="X179" s="43" t="str">
        <f aca="false">IF(OR($D179="",$N179=""),"",INDEX(Config!$K$13:$K$15,$AK179)/365*$P179*$K179*Config!$B$8)</f>
        <v/>
      </c>
      <c r="Y179" s="43" t="str">
        <f aca="false">IF(OR($D179="",$N179=""),"",SUM($S179:$X179))</f>
        <v/>
      </c>
      <c r="Z179" s="40" t="str">
        <f aca="false">IF(OR($D179="",$Q179=""),"",$Q179-$Y179)</f>
        <v/>
      </c>
      <c r="AA179" s="42" t="str">
        <f aca="false">IF(OR($D179="",$Z179="",$K179=0),"",$Z179/$K179)</f>
        <v/>
      </c>
      <c r="AB179" s="44" t="str">
        <f aca="false">IF(OR($D179="",$Y179="",$K179=0),"",$Y179/$K179*10000)</f>
        <v/>
      </c>
      <c r="AC179" s="44" t="str">
        <f aca="false">IF(OR($D179="",$G179="",$G179=0,$I179=""),"",IF($E179="LONG",($I179-$G179)/$G179,($G179-$I179)/$G179)*10000)</f>
        <v/>
      </c>
      <c r="AD179" s="45"/>
      <c r="AE179" s="40" t="str">
        <f aca="false">IF(OR($D179="",$N179&lt;&gt;"",$AD179=""),"",IF($E179="LONG",($AD179-$I179)*$J179,($I179-$AD179)*$J179))</f>
        <v/>
      </c>
      <c r="AF179" s="40" t="str">
        <f aca="false">IF(OR($D179="",$E179&lt;&gt;"LONG",$Z179=""),"",$Z179+SUMIFS($Z$4:$Z$503,$B$4:$B$503,$B179,$E$4:$E$503,"SHORT"))</f>
        <v/>
      </c>
      <c r="AG179" s="42" t="str">
        <f aca="false">IF(OR($AF179="",$K179=0),"",$AF179/$K179)</f>
        <v/>
      </c>
      <c r="AH179" s="46"/>
      <c r="AI179" s="43" t="str">
        <f aca="false">IF(OR($D179="",$AH179="",$Z179=""),"",$Z179-$AH179)</f>
        <v/>
      </c>
      <c r="AJ179" s="49"/>
      <c r="AK179" s="47" t="str">
        <f aca="false">IF($D179="","",IFERROR(MATCH($F179,Config!$A$13:$A$15,0),1))</f>
        <v/>
      </c>
      <c r="AL179" s="47" t="str">
        <f aca="false">IF(OR($D179="",$N179=""),"",IF($E179="LONG",$K179,$O179))</f>
        <v/>
      </c>
      <c r="AM179" s="47" t="str">
        <f aca="false">IF(OR($D179="",$N179=""),"",IF($E179="LONG",$O179,$K179))</f>
        <v/>
      </c>
    </row>
    <row r="180" customFormat="false" ht="15" hidden="false" customHeight="false" outlineLevel="0" collapsed="false">
      <c r="A180" s="49"/>
      <c r="B180" s="5" t="str">
        <f aca="false">IF($D180="","",IF(OR(RIGHT($A180,2)="-L",RIGHT($A180,2)="-S"),LEFT($A180,LEN($A180)-2),$A180))</f>
        <v/>
      </c>
      <c r="C180" s="50"/>
      <c r="D180" s="49"/>
      <c r="E180" s="49"/>
      <c r="F180" s="49"/>
      <c r="G180" s="45"/>
      <c r="H180" s="50"/>
      <c r="I180" s="45"/>
      <c r="J180" s="51"/>
      <c r="K180" s="40" t="str">
        <f aca="false">IF($D180="","",$I180*$J180)</f>
        <v/>
      </c>
      <c r="L180" s="50"/>
      <c r="M180" s="49"/>
      <c r="N180" s="45"/>
      <c r="O180" s="40" t="str">
        <f aca="false">IF(OR($D180="",$N180=""),"",$N180*$J180)</f>
        <v/>
      </c>
      <c r="P180" s="41" t="str">
        <f aca="false">IF(OR($D180="",$L180=""),"",MAX($L180-$H180,0))</f>
        <v/>
      </c>
      <c r="Q180" s="40" t="str">
        <f aca="false">IF(OR($D180="",$N180=""),"",IF($E180="LONG",($N180-$I180)*$J180,($I180-$N180)*$J180))</f>
        <v/>
      </c>
      <c r="R180" s="42" t="str">
        <f aca="false">IF(OR($D180="",$Q180="",$K180=0),"",$Q180/$K180)</f>
        <v/>
      </c>
      <c r="S180" s="43" t="str">
        <f aca="false">IF(OR($D180="",$N180=""),"",MIN(INDEX(Config!$C$13:$C$15,$AK180),INDEX(Config!$B$13:$B$15,$AK180)*$K180)+MIN(INDEX(Config!$C$13:$C$15,$AK180),INDEX(Config!$B$13:$B$15,$AK180)*$O180))</f>
        <v/>
      </c>
      <c r="T180" s="43" t="str">
        <f aca="false">IF(OR($D180="",$N180=""),"",INDEX(Config!$D$13:$D$15,$AK180)*$AL180+INDEX(Config!$E$13:$E$15,$AK180)*$AM180)</f>
        <v/>
      </c>
      <c r="U180" s="43" t="str">
        <f aca="false">IF(OR($D180="",$N180=""),"",INDEX(Config!$F$13:$F$15,$AK180)*($K180+$O180))</f>
        <v/>
      </c>
      <c r="V180" s="43" t="str">
        <f aca="false">IF(OR($D180="",$N180=""),"",INDEX(Config!$G$13:$G$15,$AK180)*($K180+$O180)+INDEX(Config!$H$13:$H$15,$AK180)*$AL180+INDEX(Config!$J$13:$J$15,$AK180))</f>
        <v/>
      </c>
      <c r="W180" s="43" t="str">
        <f aca="false">IF(OR($D180="",$N180=""),"",INDEX(Config!$I$13:$I$15,$AK180)*($S180+$U180+INDEX(Config!$G$13:$G$15,$AK180)*($K180+$O180)))</f>
        <v/>
      </c>
      <c r="X180" s="43" t="str">
        <f aca="false">IF(OR($D180="",$N180=""),"",INDEX(Config!$K$13:$K$15,$AK180)/365*$P180*$K180*Config!$B$8)</f>
        <v/>
      </c>
      <c r="Y180" s="43" t="str">
        <f aca="false">IF(OR($D180="",$N180=""),"",SUM($S180:$X180))</f>
        <v/>
      </c>
      <c r="Z180" s="40" t="str">
        <f aca="false">IF(OR($D180="",$Q180=""),"",$Q180-$Y180)</f>
        <v/>
      </c>
      <c r="AA180" s="42" t="str">
        <f aca="false">IF(OR($D180="",$Z180="",$K180=0),"",$Z180/$K180)</f>
        <v/>
      </c>
      <c r="AB180" s="44" t="str">
        <f aca="false">IF(OR($D180="",$Y180="",$K180=0),"",$Y180/$K180*10000)</f>
        <v/>
      </c>
      <c r="AC180" s="44" t="str">
        <f aca="false">IF(OR($D180="",$G180="",$G180=0,$I180=""),"",IF($E180="LONG",($I180-$G180)/$G180,($G180-$I180)/$G180)*10000)</f>
        <v/>
      </c>
      <c r="AD180" s="45"/>
      <c r="AE180" s="40" t="str">
        <f aca="false">IF(OR($D180="",$N180&lt;&gt;"",$AD180=""),"",IF($E180="LONG",($AD180-$I180)*$J180,($I180-$AD180)*$J180))</f>
        <v/>
      </c>
      <c r="AF180" s="40" t="str">
        <f aca="false">IF(OR($D180="",$E180&lt;&gt;"LONG",$Z180=""),"",$Z180+SUMIFS($Z$4:$Z$503,$B$4:$B$503,$B180,$E$4:$E$503,"SHORT"))</f>
        <v/>
      </c>
      <c r="AG180" s="42" t="str">
        <f aca="false">IF(OR($AF180="",$K180=0),"",$AF180/$K180)</f>
        <v/>
      </c>
      <c r="AH180" s="46"/>
      <c r="AI180" s="43" t="str">
        <f aca="false">IF(OR($D180="",$AH180="",$Z180=""),"",$Z180-$AH180)</f>
        <v/>
      </c>
      <c r="AJ180" s="49"/>
      <c r="AK180" s="47" t="str">
        <f aca="false">IF($D180="","",IFERROR(MATCH($F180,Config!$A$13:$A$15,0),1))</f>
        <v/>
      </c>
      <c r="AL180" s="47" t="str">
        <f aca="false">IF(OR($D180="",$N180=""),"",IF($E180="LONG",$K180,$O180))</f>
        <v/>
      </c>
      <c r="AM180" s="47" t="str">
        <f aca="false">IF(OR($D180="",$N180=""),"",IF($E180="LONG",$O180,$K180))</f>
        <v/>
      </c>
    </row>
    <row r="181" customFormat="false" ht="15" hidden="false" customHeight="false" outlineLevel="0" collapsed="false">
      <c r="A181" s="49"/>
      <c r="B181" s="5" t="str">
        <f aca="false">IF($D181="","",IF(OR(RIGHT($A181,2)="-L",RIGHT($A181,2)="-S"),LEFT($A181,LEN($A181)-2),$A181))</f>
        <v/>
      </c>
      <c r="C181" s="50"/>
      <c r="D181" s="49"/>
      <c r="E181" s="49"/>
      <c r="F181" s="49"/>
      <c r="G181" s="45"/>
      <c r="H181" s="50"/>
      <c r="I181" s="45"/>
      <c r="J181" s="51"/>
      <c r="K181" s="40" t="str">
        <f aca="false">IF($D181="","",$I181*$J181)</f>
        <v/>
      </c>
      <c r="L181" s="50"/>
      <c r="M181" s="49"/>
      <c r="N181" s="45"/>
      <c r="O181" s="40" t="str">
        <f aca="false">IF(OR($D181="",$N181=""),"",$N181*$J181)</f>
        <v/>
      </c>
      <c r="P181" s="41" t="str">
        <f aca="false">IF(OR($D181="",$L181=""),"",MAX($L181-$H181,0))</f>
        <v/>
      </c>
      <c r="Q181" s="40" t="str">
        <f aca="false">IF(OR($D181="",$N181=""),"",IF($E181="LONG",($N181-$I181)*$J181,($I181-$N181)*$J181))</f>
        <v/>
      </c>
      <c r="R181" s="42" t="str">
        <f aca="false">IF(OR($D181="",$Q181="",$K181=0),"",$Q181/$K181)</f>
        <v/>
      </c>
      <c r="S181" s="43" t="str">
        <f aca="false">IF(OR($D181="",$N181=""),"",MIN(INDEX(Config!$C$13:$C$15,$AK181),INDEX(Config!$B$13:$B$15,$AK181)*$K181)+MIN(INDEX(Config!$C$13:$C$15,$AK181),INDEX(Config!$B$13:$B$15,$AK181)*$O181))</f>
        <v/>
      </c>
      <c r="T181" s="43" t="str">
        <f aca="false">IF(OR($D181="",$N181=""),"",INDEX(Config!$D$13:$D$15,$AK181)*$AL181+INDEX(Config!$E$13:$E$15,$AK181)*$AM181)</f>
        <v/>
      </c>
      <c r="U181" s="43" t="str">
        <f aca="false">IF(OR($D181="",$N181=""),"",INDEX(Config!$F$13:$F$15,$AK181)*($K181+$O181))</f>
        <v/>
      </c>
      <c r="V181" s="43" t="str">
        <f aca="false">IF(OR($D181="",$N181=""),"",INDEX(Config!$G$13:$G$15,$AK181)*($K181+$O181)+INDEX(Config!$H$13:$H$15,$AK181)*$AL181+INDEX(Config!$J$13:$J$15,$AK181))</f>
        <v/>
      </c>
      <c r="W181" s="43" t="str">
        <f aca="false">IF(OR($D181="",$N181=""),"",INDEX(Config!$I$13:$I$15,$AK181)*($S181+$U181+INDEX(Config!$G$13:$G$15,$AK181)*($K181+$O181)))</f>
        <v/>
      </c>
      <c r="X181" s="43" t="str">
        <f aca="false">IF(OR($D181="",$N181=""),"",INDEX(Config!$K$13:$K$15,$AK181)/365*$P181*$K181*Config!$B$8)</f>
        <v/>
      </c>
      <c r="Y181" s="43" t="str">
        <f aca="false">IF(OR($D181="",$N181=""),"",SUM($S181:$X181))</f>
        <v/>
      </c>
      <c r="Z181" s="40" t="str">
        <f aca="false">IF(OR($D181="",$Q181=""),"",$Q181-$Y181)</f>
        <v/>
      </c>
      <c r="AA181" s="42" t="str">
        <f aca="false">IF(OR($D181="",$Z181="",$K181=0),"",$Z181/$K181)</f>
        <v/>
      </c>
      <c r="AB181" s="44" t="str">
        <f aca="false">IF(OR($D181="",$Y181="",$K181=0),"",$Y181/$K181*10000)</f>
        <v/>
      </c>
      <c r="AC181" s="44" t="str">
        <f aca="false">IF(OR($D181="",$G181="",$G181=0,$I181=""),"",IF($E181="LONG",($I181-$G181)/$G181,($G181-$I181)/$G181)*10000)</f>
        <v/>
      </c>
      <c r="AD181" s="45"/>
      <c r="AE181" s="40" t="str">
        <f aca="false">IF(OR($D181="",$N181&lt;&gt;"",$AD181=""),"",IF($E181="LONG",($AD181-$I181)*$J181,($I181-$AD181)*$J181))</f>
        <v/>
      </c>
      <c r="AF181" s="40" t="str">
        <f aca="false">IF(OR($D181="",$E181&lt;&gt;"LONG",$Z181=""),"",$Z181+SUMIFS($Z$4:$Z$503,$B$4:$B$503,$B181,$E$4:$E$503,"SHORT"))</f>
        <v/>
      </c>
      <c r="AG181" s="42" t="str">
        <f aca="false">IF(OR($AF181="",$K181=0),"",$AF181/$K181)</f>
        <v/>
      </c>
      <c r="AH181" s="46"/>
      <c r="AI181" s="43" t="str">
        <f aca="false">IF(OR($D181="",$AH181="",$Z181=""),"",$Z181-$AH181)</f>
        <v/>
      </c>
      <c r="AJ181" s="49"/>
      <c r="AK181" s="47" t="str">
        <f aca="false">IF($D181="","",IFERROR(MATCH($F181,Config!$A$13:$A$15,0),1))</f>
        <v/>
      </c>
      <c r="AL181" s="47" t="str">
        <f aca="false">IF(OR($D181="",$N181=""),"",IF($E181="LONG",$K181,$O181))</f>
        <v/>
      </c>
      <c r="AM181" s="47" t="str">
        <f aca="false">IF(OR($D181="",$N181=""),"",IF($E181="LONG",$O181,$K181))</f>
        <v/>
      </c>
    </row>
    <row r="182" customFormat="false" ht="15" hidden="false" customHeight="false" outlineLevel="0" collapsed="false">
      <c r="A182" s="49"/>
      <c r="B182" s="5" t="str">
        <f aca="false">IF($D182="","",IF(OR(RIGHT($A182,2)="-L",RIGHT($A182,2)="-S"),LEFT($A182,LEN($A182)-2),$A182))</f>
        <v/>
      </c>
      <c r="C182" s="50"/>
      <c r="D182" s="49"/>
      <c r="E182" s="49"/>
      <c r="F182" s="49"/>
      <c r="G182" s="45"/>
      <c r="H182" s="50"/>
      <c r="I182" s="45"/>
      <c r="J182" s="51"/>
      <c r="K182" s="40" t="str">
        <f aca="false">IF($D182="","",$I182*$J182)</f>
        <v/>
      </c>
      <c r="L182" s="50"/>
      <c r="M182" s="49"/>
      <c r="N182" s="45"/>
      <c r="O182" s="40" t="str">
        <f aca="false">IF(OR($D182="",$N182=""),"",$N182*$J182)</f>
        <v/>
      </c>
      <c r="P182" s="41" t="str">
        <f aca="false">IF(OR($D182="",$L182=""),"",MAX($L182-$H182,0))</f>
        <v/>
      </c>
      <c r="Q182" s="40" t="str">
        <f aca="false">IF(OR($D182="",$N182=""),"",IF($E182="LONG",($N182-$I182)*$J182,($I182-$N182)*$J182))</f>
        <v/>
      </c>
      <c r="R182" s="42" t="str">
        <f aca="false">IF(OR($D182="",$Q182="",$K182=0),"",$Q182/$K182)</f>
        <v/>
      </c>
      <c r="S182" s="43" t="str">
        <f aca="false">IF(OR($D182="",$N182=""),"",MIN(INDEX(Config!$C$13:$C$15,$AK182),INDEX(Config!$B$13:$B$15,$AK182)*$K182)+MIN(INDEX(Config!$C$13:$C$15,$AK182),INDEX(Config!$B$13:$B$15,$AK182)*$O182))</f>
        <v/>
      </c>
      <c r="T182" s="43" t="str">
        <f aca="false">IF(OR($D182="",$N182=""),"",INDEX(Config!$D$13:$D$15,$AK182)*$AL182+INDEX(Config!$E$13:$E$15,$AK182)*$AM182)</f>
        <v/>
      </c>
      <c r="U182" s="43" t="str">
        <f aca="false">IF(OR($D182="",$N182=""),"",INDEX(Config!$F$13:$F$15,$AK182)*($K182+$O182))</f>
        <v/>
      </c>
      <c r="V182" s="43" t="str">
        <f aca="false">IF(OR($D182="",$N182=""),"",INDEX(Config!$G$13:$G$15,$AK182)*($K182+$O182)+INDEX(Config!$H$13:$H$15,$AK182)*$AL182+INDEX(Config!$J$13:$J$15,$AK182))</f>
        <v/>
      </c>
      <c r="W182" s="43" t="str">
        <f aca="false">IF(OR($D182="",$N182=""),"",INDEX(Config!$I$13:$I$15,$AK182)*($S182+$U182+INDEX(Config!$G$13:$G$15,$AK182)*($K182+$O182)))</f>
        <v/>
      </c>
      <c r="X182" s="43" t="str">
        <f aca="false">IF(OR($D182="",$N182=""),"",INDEX(Config!$K$13:$K$15,$AK182)/365*$P182*$K182*Config!$B$8)</f>
        <v/>
      </c>
      <c r="Y182" s="43" t="str">
        <f aca="false">IF(OR($D182="",$N182=""),"",SUM($S182:$X182))</f>
        <v/>
      </c>
      <c r="Z182" s="40" t="str">
        <f aca="false">IF(OR($D182="",$Q182=""),"",$Q182-$Y182)</f>
        <v/>
      </c>
      <c r="AA182" s="42" t="str">
        <f aca="false">IF(OR($D182="",$Z182="",$K182=0),"",$Z182/$K182)</f>
        <v/>
      </c>
      <c r="AB182" s="44" t="str">
        <f aca="false">IF(OR($D182="",$Y182="",$K182=0),"",$Y182/$K182*10000)</f>
        <v/>
      </c>
      <c r="AC182" s="44" t="str">
        <f aca="false">IF(OR($D182="",$G182="",$G182=0,$I182=""),"",IF($E182="LONG",($I182-$G182)/$G182,($G182-$I182)/$G182)*10000)</f>
        <v/>
      </c>
      <c r="AD182" s="45"/>
      <c r="AE182" s="40" t="str">
        <f aca="false">IF(OR($D182="",$N182&lt;&gt;"",$AD182=""),"",IF($E182="LONG",($AD182-$I182)*$J182,($I182-$AD182)*$J182))</f>
        <v/>
      </c>
      <c r="AF182" s="40" t="str">
        <f aca="false">IF(OR($D182="",$E182&lt;&gt;"LONG",$Z182=""),"",$Z182+SUMIFS($Z$4:$Z$503,$B$4:$B$503,$B182,$E$4:$E$503,"SHORT"))</f>
        <v/>
      </c>
      <c r="AG182" s="42" t="str">
        <f aca="false">IF(OR($AF182="",$K182=0),"",$AF182/$K182)</f>
        <v/>
      </c>
      <c r="AH182" s="46"/>
      <c r="AI182" s="43" t="str">
        <f aca="false">IF(OR($D182="",$AH182="",$Z182=""),"",$Z182-$AH182)</f>
        <v/>
      </c>
      <c r="AJ182" s="49"/>
      <c r="AK182" s="47" t="str">
        <f aca="false">IF($D182="","",IFERROR(MATCH($F182,Config!$A$13:$A$15,0),1))</f>
        <v/>
      </c>
      <c r="AL182" s="47" t="str">
        <f aca="false">IF(OR($D182="",$N182=""),"",IF($E182="LONG",$K182,$O182))</f>
        <v/>
      </c>
      <c r="AM182" s="47" t="str">
        <f aca="false">IF(OR($D182="",$N182=""),"",IF($E182="LONG",$O182,$K182))</f>
        <v/>
      </c>
    </row>
    <row r="183" customFormat="false" ht="15" hidden="false" customHeight="false" outlineLevel="0" collapsed="false">
      <c r="A183" s="49"/>
      <c r="B183" s="5" t="str">
        <f aca="false">IF($D183="","",IF(OR(RIGHT($A183,2)="-L",RIGHT($A183,2)="-S"),LEFT($A183,LEN($A183)-2),$A183))</f>
        <v/>
      </c>
      <c r="C183" s="50"/>
      <c r="D183" s="49"/>
      <c r="E183" s="49"/>
      <c r="F183" s="49"/>
      <c r="G183" s="45"/>
      <c r="H183" s="50"/>
      <c r="I183" s="45"/>
      <c r="J183" s="51"/>
      <c r="K183" s="40" t="str">
        <f aca="false">IF($D183="","",$I183*$J183)</f>
        <v/>
      </c>
      <c r="L183" s="50"/>
      <c r="M183" s="49"/>
      <c r="N183" s="45"/>
      <c r="O183" s="40" t="str">
        <f aca="false">IF(OR($D183="",$N183=""),"",$N183*$J183)</f>
        <v/>
      </c>
      <c r="P183" s="41" t="str">
        <f aca="false">IF(OR($D183="",$L183=""),"",MAX($L183-$H183,0))</f>
        <v/>
      </c>
      <c r="Q183" s="40" t="str">
        <f aca="false">IF(OR($D183="",$N183=""),"",IF($E183="LONG",($N183-$I183)*$J183,($I183-$N183)*$J183))</f>
        <v/>
      </c>
      <c r="R183" s="42" t="str">
        <f aca="false">IF(OR($D183="",$Q183="",$K183=0),"",$Q183/$K183)</f>
        <v/>
      </c>
      <c r="S183" s="43" t="str">
        <f aca="false">IF(OR($D183="",$N183=""),"",MIN(INDEX(Config!$C$13:$C$15,$AK183),INDEX(Config!$B$13:$B$15,$AK183)*$K183)+MIN(INDEX(Config!$C$13:$C$15,$AK183),INDEX(Config!$B$13:$B$15,$AK183)*$O183))</f>
        <v/>
      </c>
      <c r="T183" s="43" t="str">
        <f aca="false">IF(OR($D183="",$N183=""),"",INDEX(Config!$D$13:$D$15,$AK183)*$AL183+INDEX(Config!$E$13:$E$15,$AK183)*$AM183)</f>
        <v/>
      </c>
      <c r="U183" s="43" t="str">
        <f aca="false">IF(OR($D183="",$N183=""),"",INDEX(Config!$F$13:$F$15,$AK183)*($K183+$O183))</f>
        <v/>
      </c>
      <c r="V183" s="43" t="str">
        <f aca="false">IF(OR($D183="",$N183=""),"",INDEX(Config!$G$13:$G$15,$AK183)*($K183+$O183)+INDEX(Config!$H$13:$H$15,$AK183)*$AL183+INDEX(Config!$J$13:$J$15,$AK183))</f>
        <v/>
      </c>
      <c r="W183" s="43" t="str">
        <f aca="false">IF(OR($D183="",$N183=""),"",INDEX(Config!$I$13:$I$15,$AK183)*($S183+$U183+INDEX(Config!$G$13:$G$15,$AK183)*($K183+$O183)))</f>
        <v/>
      </c>
      <c r="X183" s="43" t="str">
        <f aca="false">IF(OR($D183="",$N183=""),"",INDEX(Config!$K$13:$K$15,$AK183)/365*$P183*$K183*Config!$B$8)</f>
        <v/>
      </c>
      <c r="Y183" s="43" t="str">
        <f aca="false">IF(OR($D183="",$N183=""),"",SUM($S183:$X183))</f>
        <v/>
      </c>
      <c r="Z183" s="40" t="str">
        <f aca="false">IF(OR($D183="",$Q183=""),"",$Q183-$Y183)</f>
        <v/>
      </c>
      <c r="AA183" s="42" t="str">
        <f aca="false">IF(OR($D183="",$Z183="",$K183=0),"",$Z183/$K183)</f>
        <v/>
      </c>
      <c r="AB183" s="44" t="str">
        <f aca="false">IF(OR($D183="",$Y183="",$K183=0),"",$Y183/$K183*10000)</f>
        <v/>
      </c>
      <c r="AC183" s="44" t="str">
        <f aca="false">IF(OR($D183="",$G183="",$G183=0,$I183=""),"",IF($E183="LONG",($I183-$G183)/$G183,($G183-$I183)/$G183)*10000)</f>
        <v/>
      </c>
      <c r="AD183" s="45"/>
      <c r="AE183" s="40" t="str">
        <f aca="false">IF(OR($D183="",$N183&lt;&gt;"",$AD183=""),"",IF($E183="LONG",($AD183-$I183)*$J183,($I183-$AD183)*$J183))</f>
        <v/>
      </c>
      <c r="AF183" s="40" t="str">
        <f aca="false">IF(OR($D183="",$E183&lt;&gt;"LONG",$Z183=""),"",$Z183+SUMIFS($Z$4:$Z$503,$B$4:$B$503,$B183,$E$4:$E$503,"SHORT"))</f>
        <v/>
      </c>
      <c r="AG183" s="42" t="str">
        <f aca="false">IF(OR($AF183="",$K183=0),"",$AF183/$K183)</f>
        <v/>
      </c>
      <c r="AH183" s="46"/>
      <c r="AI183" s="43" t="str">
        <f aca="false">IF(OR($D183="",$AH183="",$Z183=""),"",$Z183-$AH183)</f>
        <v/>
      </c>
      <c r="AJ183" s="49"/>
      <c r="AK183" s="47" t="str">
        <f aca="false">IF($D183="","",IFERROR(MATCH($F183,Config!$A$13:$A$15,0),1))</f>
        <v/>
      </c>
      <c r="AL183" s="47" t="str">
        <f aca="false">IF(OR($D183="",$N183=""),"",IF($E183="LONG",$K183,$O183))</f>
        <v/>
      </c>
      <c r="AM183" s="47" t="str">
        <f aca="false">IF(OR($D183="",$N183=""),"",IF($E183="LONG",$O183,$K183))</f>
        <v/>
      </c>
    </row>
    <row r="184" customFormat="false" ht="15" hidden="false" customHeight="false" outlineLevel="0" collapsed="false">
      <c r="A184" s="49"/>
      <c r="B184" s="5" t="str">
        <f aca="false">IF($D184="","",IF(OR(RIGHT($A184,2)="-L",RIGHT($A184,2)="-S"),LEFT($A184,LEN($A184)-2),$A184))</f>
        <v/>
      </c>
      <c r="C184" s="50"/>
      <c r="D184" s="49"/>
      <c r="E184" s="49"/>
      <c r="F184" s="49"/>
      <c r="G184" s="45"/>
      <c r="H184" s="50"/>
      <c r="I184" s="45"/>
      <c r="J184" s="51"/>
      <c r="K184" s="40" t="str">
        <f aca="false">IF($D184="","",$I184*$J184)</f>
        <v/>
      </c>
      <c r="L184" s="50"/>
      <c r="M184" s="49"/>
      <c r="N184" s="45"/>
      <c r="O184" s="40" t="str">
        <f aca="false">IF(OR($D184="",$N184=""),"",$N184*$J184)</f>
        <v/>
      </c>
      <c r="P184" s="41" t="str">
        <f aca="false">IF(OR($D184="",$L184=""),"",MAX($L184-$H184,0))</f>
        <v/>
      </c>
      <c r="Q184" s="40" t="str">
        <f aca="false">IF(OR($D184="",$N184=""),"",IF($E184="LONG",($N184-$I184)*$J184,($I184-$N184)*$J184))</f>
        <v/>
      </c>
      <c r="R184" s="42" t="str">
        <f aca="false">IF(OR($D184="",$Q184="",$K184=0),"",$Q184/$K184)</f>
        <v/>
      </c>
      <c r="S184" s="43" t="str">
        <f aca="false">IF(OR($D184="",$N184=""),"",MIN(INDEX(Config!$C$13:$C$15,$AK184),INDEX(Config!$B$13:$B$15,$AK184)*$K184)+MIN(INDEX(Config!$C$13:$C$15,$AK184),INDEX(Config!$B$13:$B$15,$AK184)*$O184))</f>
        <v/>
      </c>
      <c r="T184" s="43" t="str">
        <f aca="false">IF(OR($D184="",$N184=""),"",INDEX(Config!$D$13:$D$15,$AK184)*$AL184+INDEX(Config!$E$13:$E$15,$AK184)*$AM184)</f>
        <v/>
      </c>
      <c r="U184" s="43" t="str">
        <f aca="false">IF(OR($D184="",$N184=""),"",INDEX(Config!$F$13:$F$15,$AK184)*($K184+$O184))</f>
        <v/>
      </c>
      <c r="V184" s="43" t="str">
        <f aca="false">IF(OR($D184="",$N184=""),"",INDEX(Config!$G$13:$G$15,$AK184)*($K184+$O184)+INDEX(Config!$H$13:$H$15,$AK184)*$AL184+INDEX(Config!$J$13:$J$15,$AK184))</f>
        <v/>
      </c>
      <c r="W184" s="43" t="str">
        <f aca="false">IF(OR($D184="",$N184=""),"",INDEX(Config!$I$13:$I$15,$AK184)*($S184+$U184+INDEX(Config!$G$13:$G$15,$AK184)*($K184+$O184)))</f>
        <v/>
      </c>
      <c r="X184" s="43" t="str">
        <f aca="false">IF(OR($D184="",$N184=""),"",INDEX(Config!$K$13:$K$15,$AK184)/365*$P184*$K184*Config!$B$8)</f>
        <v/>
      </c>
      <c r="Y184" s="43" t="str">
        <f aca="false">IF(OR($D184="",$N184=""),"",SUM($S184:$X184))</f>
        <v/>
      </c>
      <c r="Z184" s="40" t="str">
        <f aca="false">IF(OR($D184="",$Q184=""),"",$Q184-$Y184)</f>
        <v/>
      </c>
      <c r="AA184" s="42" t="str">
        <f aca="false">IF(OR($D184="",$Z184="",$K184=0),"",$Z184/$K184)</f>
        <v/>
      </c>
      <c r="AB184" s="44" t="str">
        <f aca="false">IF(OR($D184="",$Y184="",$K184=0),"",$Y184/$K184*10000)</f>
        <v/>
      </c>
      <c r="AC184" s="44" t="str">
        <f aca="false">IF(OR($D184="",$G184="",$G184=0,$I184=""),"",IF($E184="LONG",($I184-$G184)/$G184,($G184-$I184)/$G184)*10000)</f>
        <v/>
      </c>
      <c r="AD184" s="45"/>
      <c r="AE184" s="40" t="str">
        <f aca="false">IF(OR($D184="",$N184&lt;&gt;"",$AD184=""),"",IF($E184="LONG",($AD184-$I184)*$J184,($I184-$AD184)*$J184))</f>
        <v/>
      </c>
      <c r="AF184" s="40" t="str">
        <f aca="false">IF(OR($D184="",$E184&lt;&gt;"LONG",$Z184=""),"",$Z184+SUMIFS($Z$4:$Z$503,$B$4:$B$503,$B184,$E$4:$E$503,"SHORT"))</f>
        <v/>
      </c>
      <c r="AG184" s="42" t="str">
        <f aca="false">IF(OR($AF184="",$K184=0),"",$AF184/$K184)</f>
        <v/>
      </c>
      <c r="AH184" s="46"/>
      <c r="AI184" s="43" t="str">
        <f aca="false">IF(OR($D184="",$AH184="",$Z184=""),"",$Z184-$AH184)</f>
        <v/>
      </c>
      <c r="AJ184" s="49"/>
      <c r="AK184" s="47" t="str">
        <f aca="false">IF($D184="","",IFERROR(MATCH($F184,Config!$A$13:$A$15,0),1))</f>
        <v/>
      </c>
      <c r="AL184" s="47" t="str">
        <f aca="false">IF(OR($D184="",$N184=""),"",IF($E184="LONG",$K184,$O184))</f>
        <v/>
      </c>
      <c r="AM184" s="47" t="str">
        <f aca="false">IF(OR($D184="",$N184=""),"",IF($E184="LONG",$O184,$K184))</f>
        <v/>
      </c>
    </row>
    <row r="185" customFormat="false" ht="15" hidden="false" customHeight="false" outlineLevel="0" collapsed="false">
      <c r="A185" s="49"/>
      <c r="B185" s="5" t="str">
        <f aca="false">IF($D185="","",IF(OR(RIGHT($A185,2)="-L",RIGHT($A185,2)="-S"),LEFT($A185,LEN($A185)-2),$A185))</f>
        <v/>
      </c>
      <c r="C185" s="50"/>
      <c r="D185" s="49"/>
      <c r="E185" s="49"/>
      <c r="F185" s="49"/>
      <c r="G185" s="45"/>
      <c r="H185" s="50"/>
      <c r="I185" s="45"/>
      <c r="J185" s="51"/>
      <c r="K185" s="40" t="str">
        <f aca="false">IF($D185="","",$I185*$J185)</f>
        <v/>
      </c>
      <c r="L185" s="50"/>
      <c r="M185" s="49"/>
      <c r="N185" s="45"/>
      <c r="O185" s="40" t="str">
        <f aca="false">IF(OR($D185="",$N185=""),"",$N185*$J185)</f>
        <v/>
      </c>
      <c r="P185" s="41" t="str">
        <f aca="false">IF(OR($D185="",$L185=""),"",MAX($L185-$H185,0))</f>
        <v/>
      </c>
      <c r="Q185" s="40" t="str">
        <f aca="false">IF(OR($D185="",$N185=""),"",IF($E185="LONG",($N185-$I185)*$J185,($I185-$N185)*$J185))</f>
        <v/>
      </c>
      <c r="R185" s="42" t="str">
        <f aca="false">IF(OR($D185="",$Q185="",$K185=0),"",$Q185/$K185)</f>
        <v/>
      </c>
      <c r="S185" s="43" t="str">
        <f aca="false">IF(OR($D185="",$N185=""),"",MIN(INDEX(Config!$C$13:$C$15,$AK185),INDEX(Config!$B$13:$B$15,$AK185)*$K185)+MIN(INDEX(Config!$C$13:$C$15,$AK185),INDEX(Config!$B$13:$B$15,$AK185)*$O185))</f>
        <v/>
      </c>
      <c r="T185" s="43" t="str">
        <f aca="false">IF(OR($D185="",$N185=""),"",INDEX(Config!$D$13:$D$15,$AK185)*$AL185+INDEX(Config!$E$13:$E$15,$AK185)*$AM185)</f>
        <v/>
      </c>
      <c r="U185" s="43" t="str">
        <f aca="false">IF(OR($D185="",$N185=""),"",INDEX(Config!$F$13:$F$15,$AK185)*($K185+$O185))</f>
        <v/>
      </c>
      <c r="V185" s="43" t="str">
        <f aca="false">IF(OR($D185="",$N185=""),"",INDEX(Config!$G$13:$G$15,$AK185)*($K185+$O185)+INDEX(Config!$H$13:$H$15,$AK185)*$AL185+INDEX(Config!$J$13:$J$15,$AK185))</f>
        <v/>
      </c>
      <c r="W185" s="43" t="str">
        <f aca="false">IF(OR($D185="",$N185=""),"",INDEX(Config!$I$13:$I$15,$AK185)*($S185+$U185+INDEX(Config!$G$13:$G$15,$AK185)*($K185+$O185)))</f>
        <v/>
      </c>
      <c r="X185" s="43" t="str">
        <f aca="false">IF(OR($D185="",$N185=""),"",INDEX(Config!$K$13:$K$15,$AK185)/365*$P185*$K185*Config!$B$8)</f>
        <v/>
      </c>
      <c r="Y185" s="43" t="str">
        <f aca="false">IF(OR($D185="",$N185=""),"",SUM($S185:$X185))</f>
        <v/>
      </c>
      <c r="Z185" s="40" t="str">
        <f aca="false">IF(OR($D185="",$Q185=""),"",$Q185-$Y185)</f>
        <v/>
      </c>
      <c r="AA185" s="42" t="str">
        <f aca="false">IF(OR($D185="",$Z185="",$K185=0),"",$Z185/$K185)</f>
        <v/>
      </c>
      <c r="AB185" s="44" t="str">
        <f aca="false">IF(OR($D185="",$Y185="",$K185=0),"",$Y185/$K185*10000)</f>
        <v/>
      </c>
      <c r="AC185" s="44" t="str">
        <f aca="false">IF(OR($D185="",$G185="",$G185=0,$I185=""),"",IF($E185="LONG",($I185-$G185)/$G185,($G185-$I185)/$G185)*10000)</f>
        <v/>
      </c>
      <c r="AD185" s="45"/>
      <c r="AE185" s="40" t="str">
        <f aca="false">IF(OR($D185="",$N185&lt;&gt;"",$AD185=""),"",IF($E185="LONG",($AD185-$I185)*$J185,($I185-$AD185)*$J185))</f>
        <v/>
      </c>
      <c r="AF185" s="40" t="str">
        <f aca="false">IF(OR($D185="",$E185&lt;&gt;"LONG",$Z185=""),"",$Z185+SUMIFS($Z$4:$Z$503,$B$4:$B$503,$B185,$E$4:$E$503,"SHORT"))</f>
        <v/>
      </c>
      <c r="AG185" s="42" t="str">
        <f aca="false">IF(OR($AF185="",$K185=0),"",$AF185/$K185)</f>
        <v/>
      </c>
      <c r="AH185" s="46"/>
      <c r="AI185" s="43" t="str">
        <f aca="false">IF(OR($D185="",$AH185="",$Z185=""),"",$Z185-$AH185)</f>
        <v/>
      </c>
      <c r="AJ185" s="49"/>
      <c r="AK185" s="47" t="str">
        <f aca="false">IF($D185="","",IFERROR(MATCH($F185,Config!$A$13:$A$15,0),1))</f>
        <v/>
      </c>
      <c r="AL185" s="47" t="str">
        <f aca="false">IF(OR($D185="",$N185=""),"",IF($E185="LONG",$K185,$O185))</f>
        <v/>
      </c>
      <c r="AM185" s="47" t="str">
        <f aca="false">IF(OR($D185="",$N185=""),"",IF($E185="LONG",$O185,$K185))</f>
        <v/>
      </c>
    </row>
    <row r="186" customFormat="false" ht="15" hidden="false" customHeight="false" outlineLevel="0" collapsed="false">
      <c r="A186" s="49"/>
      <c r="B186" s="5" t="str">
        <f aca="false">IF($D186="","",IF(OR(RIGHT($A186,2)="-L",RIGHT($A186,2)="-S"),LEFT($A186,LEN($A186)-2),$A186))</f>
        <v/>
      </c>
      <c r="C186" s="50"/>
      <c r="D186" s="49"/>
      <c r="E186" s="49"/>
      <c r="F186" s="49"/>
      <c r="G186" s="45"/>
      <c r="H186" s="50"/>
      <c r="I186" s="45"/>
      <c r="J186" s="51"/>
      <c r="K186" s="40" t="str">
        <f aca="false">IF($D186="","",$I186*$J186)</f>
        <v/>
      </c>
      <c r="L186" s="50"/>
      <c r="M186" s="49"/>
      <c r="N186" s="45"/>
      <c r="O186" s="40" t="str">
        <f aca="false">IF(OR($D186="",$N186=""),"",$N186*$J186)</f>
        <v/>
      </c>
      <c r="P186" s="41" t="str">
        <f aca="false">IF(OR($D186="",$L186=""),"",MAX($L186-$H186,0))</f>
        <v/>
      </c>
      <c r="Q186" s="40" t="str">
        <f aca="false">IF(OR($D186="",$N186=""),"",IF($E186="LONG",($N186-$I186)*$J186,($I186-$N186)*$J186))</f>
        <v/>
      </c>
      <c r="R186" s="42" t="str">
        <f aca="false">IF(OR($D186="",$Q186="",$K186=0),"",$Q186/$K186)</f>
        <v/>
      </c>
      <c r="S186" s="43" t="str">
        <f aca="false">IF(OR($D186="",$N186=""),"",MIN(INDEX(Config!$C$13:$C$15,$AK186),INDEX(Config!$B$13:$B$15,$AK186)*$K186)+MIN(INDEX(Config!$C$13:$C$15,$AK186),INDEX(Config!$B$13:$B$15,$AK186)*$O186))</f>
        <v/>
      </c>
      <c r="T186" s="43" t="str">
        <f aca="false">IF(OR($D186="",$N186=""),"",INDEX(Config!$D$13:$D$15,$AK186)*$AL186+INDEX(Config!$E$13:$E$15,$AK186)*$AM186)</f>
        <v/>
      </c>
      <c r="U186" s="43" t="str">
        <f aca="false">IF(OR($D186="",$N186=""),"",INDEX(Config!$F$13:$F$15,$AK186)*($K186+$O186))</f>
        <v/>
      </c>
      <c r="V186" s="43" t="str">
        <f aca="false">IF(OR($D186="",$N186=""),"",INDEX(Config!$G$13:$G$15,$AK186)*($K186+$O186)+INDEX(Config!$H$13:$H$15,$AK186)*$AL186+INDEX(Config!$J$13:$J$15,$AK186))</f>
        <v/>
      </c>
      <c r="W186" s="43" t="str">
        <f aca="false">IF(OR($D186="",$N186=""),"",INDEX(Config!$I$13:$I$15,$AK186)*($S186+$U186+INDEX(Config!$G$13:$G$15,$AK186)*($K186+$O186)))</f>
        <v/>
      </c>
      <c r="X186" s="43" t="str">
        <f aca="false">IF(OR($D186="",$N186=""),"",INDEX(Config!$K$13:$K$15,$AK186)/365*$P186*$K186*Config!$B$8)</f>
        <v/>
      </c>
      <c r="Y186" s="43" t="str">
        <f aca="false">IF(OR($D186="",$N186=""),"",SUM($S186:$X186))</f>
        <v/>
      </c>
      <c r="Z186" s="40" t="str">
        <f aca="false">IF(OR($D186="",$Q186=""),"",$Q186-$Y186)</f>
        <v/>
      </c>
      <c r="AA186" s="42" t="str">
        <f aca="false">IF(OR($D186="",$Z186="",$K186=0),"",$Z186/$K186)</f>
        <v/>
      </c>
      <c r="AB186" s="44" t="str">
        <f aca="false">IF(OR($D186="",$Y186="",$K186=0),"",$Y186/$K186*10000)</f>
        <v/>
      </c>
      <c r="AC186" s="44" t="str">
        <f aca="false">IF(OR($D186="",$G186="",$G186=0,$I186=""),"",IF($E186="LONG",($I186-$G186)/$G186,($G186-$I186)/$G186)*10000)</f>
        <v/>
      </c>
      <c r="AD186" s="45"/>
      <c r="AE186" s="40" t="str">
        <f aca="false">IF(OR($D186="",$N186&lt;&gt;"",$AD186=""),"",IF($E186="LONG",($AD186-$I186)*$J186,($I186-$AD186)*$J186))</f>
        <v/>
      </c>
      <c r="AF186" s="40" t="str">
        <f aca="false">IF(OR($D186="",$E186&lt;&gt;"LONG",$Z186=""),"",$Z186+SUMIFS($Z$4:$Z$503,$B$4:$B$503,$B186,$E$4:$E$503,"SHORT"))</f>
        <v/>
      </c>
      <c r="AG186" s="42" t="str">
        <f aca="false">IF(OR($AF186="",$K186=0),"",$AF186/$K186)</f>
        <v/>
      </c>
      <c r="AH186" s="46"/>
      <c r="AI186" s="43" t="str">
        <f aca="false">IF(OR($D186="",$AH186="",$Z186=""),"",$Z186-$AH186)</f>
        <v/>
      </c>
      <c r="AJ186" s="49"/>
      <c r="AK186" s="47" t="str">
        <f aca="false">IF($D186="","",IFERROR(MATCH($F186,Config!$A$13:$A$15,0),1))</f>
        <v/>
      </c>
      <c r="AL186" s="47" t="str">
        <f aca="false">IF(OR($D186="",$N186=""),"",IF($E186="LONG",$K186,$O186))</f>
        <v/>
      </c>
      <c r="AM186" s="47" t="str">
        <f aca="false">IF(OR($D186="",$N186=""),"",IF($E186="LONG",$O186,$K186))</f>
        <v/>
      </c>
    </row>
    <row r="187" customFormat="false" ht="15" hidden="false" customHeight="false" outlineLevel="0" collapsed="false">
      <c r="A187" s="49"/>
      <c r="B187" s="5" t="str">
        <f aca="false">IF($D187="","",IF(OR(RIGHT($A187,2)="-L",RIGHT($A187,2)="-S"),LEFT($A187,LEN($A187)-2),$A187))</f>
        <v/>
      </c>
      <c r="C187" s="50"/>
      <c r="D187" s="49"/>
      <c r="E187" s="49"/>
      <c r="F187" s="49"/>
      <c r="G187" s="45"/>
      <c r="H187" s="50"/>
      <c r="I187" s="45"/>
      <c r="J187" s="51"/>
      <c r="K187" s="40" t="str">
        <f aca="false">IF($D187="","",$I187*$J187)</f>
        <v/>
      </c>
      <c r="L187" s="50"/>
      <c r="M187" s="49"/>
      <c r="N187" s="45"/>
      <c r="O187" s="40" t="str">
        <f aca="false">IF(OR($D187="",$N187=""),"",$N187*$J187)</f>
        <v/>
      </c>
      <c r="P187" s="41" t="str">
        <f aca="false">IF(OR($D187="",$L187=""),"",MAX($L187-$H187,0))</f>
        <v/>
      </c>
      <c r="Q187" s="40" t="str">
        <f aca="false">IF(OR($D187="",$N187=""),"",IF($E187="LONG",($N187-$I187)*$J187,($I187-$N187)*$J187))</f>
        <v/>
      </c>
      <c r="R187" s="42" t="str">
        <f aca="false">IF(OR($D187="",$Q187="",$K187=0),"",$Q187/$K187)</f>
        <v/>
      </c>
      <c r="S187" s="43" t="str">
        <f aca="false">IF(OR($D187="",$N187=""),"",MIN(INDEX(Config!$C$13:$C$15,$AK187),INDEX(Config!$B$13:$B$15,$AK187)*$K187)+MIN(INDEX(Config!$C$13:$C$15,$AK187),INDEX(Config!$B$13:$B$15,$AK187)*$O187))</f>
        <v/>
      </c>
      <c r="T187" s="43" t="str">
        <f aca="false">IF(OR($D187="",$N187=""),"",INDEX(Config!$D$13:$D$15,$AK187)*$AL187+INDEX(Config!$E$13:$E$15,$AK187)*$AM187)</f>
        <v/>
      </c>
      <c r="U187" s="43" t="str">
        <f aca="false">IF(OR($D187="",$N187=""),"",INDEX(Config!$F$13:$F$15,$AK187)*($K187+$O187))</f>
        <v/>
      </c>
      <c r="V187" s="43" t="str">
        <f aca="false">IF(OR($D187="",$N187=""),"",INDEX(Config!$G$13:$G$15,$AK187)*($K187+$O187)+INDEX(Config!$H$13:$H$15,$AK187)*$AL187+INDEX(Config!$J$13:$J$15,$AK187))</f>
        <v/>
      </c>
      <c r="W187" s="43" t="str">
        <f aca="false">IF(OR($D187="",$N187=""),"",INDEX(Config!$I$13:$I$15,$AK187)*($S187+$U187+INDEX(Config!$G$13:$G$15,$AK187)*($K187+$O187)))</f>
        <v/>
      </c>
      <c r="X187" s="43" t="str">
        <f aca="false">IF(OR($D187="",$N187=""),"",INDEX(Config!$K$13:$K$15,$AK187)/365*$P187*$K187*Config!$B$8)</f>
        <v/>
      </c>
      <c r="Y187" s="43" t="str">
        <f aca="false">IF(OR($D187="",$N187=""),"",SUM($S187:$X187))</f>
        <v/>
      </c>
      <c r="Z187" s="40" t="str">
        <f aca="false">IF(OR($D187="",$Q187=""),"",$Q187-$Y187)</f>
        <v/>
      </c>
      <c r="AA187" s="42" t="str">
        <f aca="false">IF(OR($D187="",$Z187="",$K187=0),"",$Z187/$K187)</f>
        <v/>
      </c>
      <c r="AB187" s="44" t="str">
        <f aca="false">IF(OR($D187="",$Y187="",$K187=0),"",$Y187/$K187*10000)</f>
        <v/>
      </c>
      <c r="AC187" s="44" t="str">
        <f aca="false">IF(OR($D187="",$G187="",$G187=0,$I187=""),"",IF($E187="LONG",($I187-$G187)/$G187,($G187-$I187)/$G187)*10000)</f>
        <v/>
      </c>
      <c r="AD187" s="45"/>
      <c r="AE187" s="40" t="str">
        <f aca="false">IF(OR($D187="",$N187&lt;&gt;"",$AD187=""),"",IF($E187="LONG",($AD187-$I187)*$J187,($I187-$AD187)*$J187))</f>
        <v/>
      </c>
      <c r="AF187" s="40" t="str">
        <f aca="false">IF(OR($D187="",$E187&lt;&gt;"LONG",$Z187=""),"",$Z187+SUMIFS($Z$4:$Z$503,$B$4:$B$503,$B187,$E$4:$E$503,"SHORT"))</f>
        <v/>
      </c>
      <c r="AG187" s="42" t="str">
        <f aca="false">IF(OR($AF187="",$K187=0),"",$AF187/$K187)</f>
        <v/>
      </c>
      <c r="AH187" s="46"/>
      <c r="AI187" s="43" t="str">
        <f aca="false">IF(OR($D187="",$AH187="",$Z187=""),"",$Z187-$AH187)</f>
        <v/>
      </c>
      <c r="AJ187" s="49"/>
      <c r="AK187" s="47" t="str">
        <f aca="false">IF($D187="","",IFERROR(MATCH($F187,Config!$A$13:$A$15,0),1))</f>
        <v/>
      </c>
      <c r="AL187" s="47" t="str">
        <f aca="false">IF(OR($D187="",$N187=""),"",IF($E187="LONG",$K187,$O187))</f>
        <v/>
      </c>
      <c r="AM187" s="47" t="str">
        <f aca="false">IF(OR($D187="",$N187=""),"",IF($E187="LONG",$O187,$K187))</f>
        <v/>
      </c>
    </row>
    <row r="188" customFormat="false" ht="15" hidden="false" customHeight="false" outlineLevel="0" collapsed="false">
      <c r="A188" s="49"/>
      <c r="B188" s="5" t="str">
        <f aca="false">IF($D188="","",IF(OR(RIGHT($A188,2)="-L",RIGHT($A188,2)="-S"),LEFT($A188,LEN($A188)-2),$A188))</f>
        <v/>
      </c>
      <c r="C188" s="50"/>
      <c r="D188" s="49"/>
      <c r="E188" s="49"/>
      <c r="F188" s="49"/>
      <c r="G188" s="45"/>
      <c r="H188" s="50"/>
      <c r="I188" s="45"/>
      <c r="J188" s="51"/>
      <c r="K188" s="40" t="str">
        <f aca="false">IF($D188="","",$I188*$J188)</f>
        <v/>
      </c>
      <c r="L188" s="50"/>
      <c r="M188" s="49"/>
      <c r="N188" s="45"/>
      <c r="O188" s="40" t="str">
        <f aca="false">IF(OR($D188="",$N188=""),"",$N188*$J188)</f>
        <v/>
      </c>
      <c r="P188" s="41" t="str">
        <f aca="false">IF(OR($D188="",$L188=""),"",MAX($L188-$H188,0))</f>
        <v/>
      </c>
      <c r="Q188" s="40" t="str">
        <f aca="false">IF(OR($D188="",$N188=""),"",IF($E188="LONG",($N188-$I188)*$J188,($I188-$N188)*$J188))</f>
        <v/>
      </c>
      <c r="R188" s="42" t="str">
        <f aca="false">IF(OR($D188="",$Q188="",$K188=0),"",$Q188/$K188)</f>
        <v/>
      </c>
      <c r="S188" s="43" t="str">
        <f aca="false">IF(OR($D188="",$N188=""),"",MIN(INDEX(Config!$C$13:$C$15,$AK188),INDEX(Config!$B$13:$B$15,$AK188)*$K188)+MIN(INDEX(Config!$C$13:$C$15,$AK188),INDEX(Config!$B$13:$B$15,$AK188)*$O188))</f>
        <v/>
      </c>
      <c r="T188" s="43" t="str">
        <f aca="false">IF(OR($D188="",$N188=""),"",INDEX(Config!$D$13:$D$15,$AK188)*$AL188+INDEX(Config!$E$13:$E$15,$AK188)*$AM188)</f>
        <v/>
      </c>
      <c r="U188" s="43" t="str">
        <f aca="false">IF(OR($D188="",$N188=""),"",INDEX(Config!$F$13:$F$15,$AK188)*($K188+$O188))</f>
        <v/>
      </c>
      <c r="V188" s="43" t="str">
        <f aca="false">IF(OR($D188="",$N188=""),"",INDEX(Config!$G$13:$G$15,$AK188)*($K188+$O188)+INDEX(Config!$H$13:$H$15,$AK188)*$AL188+INDEX(Config!$J$13:$J$15,$AK188))</f>
        <v/>
      </c>
      <c r="W188" s="43" t="str">
        <f aca="false">IF(OR($D188="",$N188=""),"",INDEX(Config!$I$13:$I$15,$AK188)*($S188+$U188+INDEX(Config!$G$13:$G$15,$AK188)*($K188+$O188)))</f>
        <v/>
      </c>
      <c r="X188" s="43" t="str">
        <f aca="false">IF(OR($D188="",$N188=""),"",INDEX(Config!$K$13:$K$15,$AK188)/365*$P188*$K188*Config!$B$8)</f>
        <v/>
      </c>
      <c r="Y188" s="43" t="str">
        <f aca="false">IF(OR($D188="",$N188=""),"",SUM($S188:$X188))</f>
        <v/>
      </c>
      <c r="Z188" s="40" t="str">
        <f aca="false">IF(OR($D188="",$Q188=""),"",$Q188-$Y188)</f>
        <v/>
      </c>
      <c r="AA188" s="42" t="str">
        <f aca="false">IF(OR($D188="",$Z188="",$K188=0),"",$Z188/$K188)</f>
        <v/>
      </c>
      <c r="AB188" s="44" t="str">
        <f aca="false">IF(OR($D188="",$Y188="",$K188=0),"",$Y188/$K188*10000)</f>
        <v/>
      </c>
      <c r="AC188" s="44" t="str">
        <f aca="false">IF(OR($D188="",$G188="",$G188=0,$I188=""),"",IF($E188="LONG",($I188-$G188)/$G188,($G188-$I188)/$G188)*10000)</f>
        <v/>
      </c>
      <c r="AD188" s="45"/>
      <c r="AE188" s="40" t="str">
        <f aca="false">IF(OR($D188="",$N188&lt;&gt;"",$AD188=""),"",IF($E188="LONG",($AD188-$I188)*$J188,($I188-$AD188)*$J188))</f>
        <v/>
      </c>
      <c r="AF188" s="40" t="str">
        <f aca="false">IF(OR($D188="",$E188&lt;&gt;"LONG",$Z188=""),"",$Z188+SUMIFS($Z$4:$Z$503,$B$4:$B$503,$B188,$E$4:$E$503,"SHORT"))</f>
        <v/>
      </c>
      <c r="AG188" s="42" t="str">
        <f aca="false">IF(OR($AF188="",$K188=0),"",$AF188/$K188)</f>
        <v/>
      </c>
      <c r="AH188" s="46"/>
      <c r="AI188" s="43" t="str">
        <f aca="false">IF(OR($D188="",$AH188="",$Z188=""),"",$Z188-$AH188)</f>
        <v/>
      </c>
      <c r="AJ188" s="49"/>
      <c r="AK188" s="47" t="str">
        <f aca="false">IF($D188="","",IFERROR(MATCH($F188,Config!$A$13:$A$15,0),1))</f>
        <v/>
      </c>
      <c r="AL188" s="47" t="str">
        <f aca="false">IF(OR($D188="",$N188=""),"",IF($E188="LONG",$K188,$O188))</f>
        <v/>
      </c>
      <c r="AM188" s="47" t="str">
        <f aca="false">IF(OR($D188="",$N188=""),"",IF($E188="LONG",$O188,$K188))</f>
        <v/>
      </c>
    </row>
    <row r="189" customFormat="false" ht="15" hidden="false" customHeight="false" outlineLevel="0" collapsed="false">
      <c r="A189" s="49"/>
      <c r="B189" s="5" t="str">
        <f aca="false">IF($D189="","",IF(OR(RIGHT($A189,2)="-L",RIGHT($A189,2)="-S"),LEFT($A189,LEN($A189)-2),$A189))</f>
        <v/>
      </c>
      <c r="C189" s="50"/>
      <c r="D189" s="49"/>
      <c r="E189" s="49"/>
      <c r="F189" s="49"/>
      <c r="G189" s="45"/>
      <c r="H189" s="50"/>
      <c r="I189" s="45"/>
      <c r="J189" s="51"/>
      <c r="K189" s="40" t="str">
        <f aca="false">IF($D189="","",$I189*$J189)</f>
        <v/>
      </c>
      <c r="L189" s="50"/>
      <c r="M189" s="49"/>
      <c r="N189" s="45"/>
      <c r="O189" s="40" t="str">
        <f aca="false">IF(OR($D189="",$N189=""),"",$N189*$J189)</f>
        <v/>
      </c>
      <c r="P189" s="41" t="str">
        <f aca="false">IF(OR($D189="",$L189=""),"",MAX($L189-$H189,0))</f>
        <v/>
      </c>
      <c r="Q189" s="40" t="str">
        <f aca="false">IF(OR($D189="",$N189=""),"",IF($E189="LONG",($N189-$I189)*$J189,($I189-$N189)*$J189))</f>
        <v/>
      </c>
      <c r="R189" s="42" t="str">
        <f aca="false">IF(OR($D189="",$Q189="",$K189=0),"",$Q189/$K189)</f>
        <v/>
      </c>
      <c r="S189" s="43" t="str">
        <f aca="false">IF(OR($D189="",$N189=""),"",MIN(INDEX(Config!$C$13:$C$15,$AK189),INDEX(Config!$B$13:$B$15,$AK189)*$K189)+MIN(INDEX(Config!$C$13:$C$15,$AK189),INDEX(Config!$B$13:$B$15,$AK189)*$O189))</f>
        <v/>
      </c>
      <c r="T189" s="43" t="str">
        <f aca="false">IF(OR($D189="",$N189=""),"",INDEX(Config!$D$13:$D$15,$AK189)*$AL189+INDEX(Config!$E$13:$E$15,$AK189)*$AM189)</f>
        <v/>
      </c>
      <c r="U189" s="43" t="str">
        <f aca="false">IF(OR($D189="",$N189=""),"",INDEX(Config!$F$13:$F$15,$AK189)*($K189+$O189))</f>
        <v/>
      </c>
      <c r="V189" s="43" t="str">
        <f aca="false">IF(OR($D189="",$N189=""),"",INDEX(Config!$G$13:$G$15,$AK189)*($K189+$O189)+INDEX(Config!$H$13:$H$15,$AK189)*$AL189+INDEX(Config!$J$13:$J$15,$AK189))</f>
        <v/>
      </c>
      <c r="W189" s="43" t="str">
        <f aca="false">IF(OR($D189="",$N189=""),"",INDEX(Config!$I$13:$I$15,$AK189)*($S189+$U189+INDEX(Config!$G$13:$G$15,$AK189)*($K189+$O189)))</f>
        <v/>
      </c>
      <c r="X189" s="43" t="str">
        <f aca="false">IF(OR($D189="",$N189=""),"",INDEX(Config!$K$13:$K$15,$AK189)/365*$P189*$K189*Config!$B$8)</f>
        <v/>
      </c>
      <c r="Y189" s="43" t="str">
        <f aca="false">IF(OR($D189="",$N189=""),"",SUM($S189:$X189))</f>
        <v/>
      </c>
      <c r="Z189" s="40" t="str">
        <f aca="false">IF(OR($D189="",$Q189=""),"",$Q189-$Y189)</f>
        <v/>
      </c>
      <c r="AA189" s="42" t="str">
        <f aca="false">IF(OR($D189="",$Z189="",$K189=0),"",$Z189/$K189)</f>
        <v/>
      </c>
      <c r="AB189" s="44" t="str">
        <f aca="false">IF(OR($D189="",$Y189="",$K189=0),"",$Y189/$K189*10000)</f>
        <v/>
      </c>
      <c r="AC189" s="44" t="str">
        <f aca="false">IF(OR($D189="",$G189="",$G189=0,$I189=""),"",IF($E189="LONG",($I189-$G189)/$G189,($G189-$I189)/$G189)*10000)</f>
        <v/>
      </c>
      <c r="AD189" s="45"/>
      <c r="AE189" s="40" t="str">
        <f aca="false">IF(OR($D189="",$N189&lt;&gt;"",$AD189=""),"",IF($E189="LONG",($AD189-$I189)*$J189,($I189-$AD189)*$J189))</f>
        <v/>
      </c>
      <c r="AF189" s="40" t="str">
        <f aca="false">IF(OR($D189="",$E189&lt;&gt;"LONG",$Z189=""),"",$Z189+SUMIFS($Z$4:$Z$503,$B$4:$B$503,$B189,$E$4:$E$503,"SHORT"))</f>
        <v/>
      </c>
      <c r="AG189" s="42" t="str">
        <f aca="false">IF(OR($AF189="",$K189=0),"",$AF189/$K189)</f>
        <v/>
      </c>
      <c r="AH189" s="46"/>
      <c r="AI189" s="43" t="str">
        <f aca="false">IF(OR($D189="",$AH189="",$Z189=""),"",$Z189-$AH189)</f>
        <v/>
      </c>
      <c r="AJ189" s="49"/>
      <c r="AK189" s="47" t="str">
        <f aca="false">IF($D189="","",IFERROR(MATCH($F189,Config!$A$13:$A$15,0),1))</f>
        <v/>
      </c>
      <c r="AL189" s="47" t="str">
        <f aca="false">IF(OR($D189="",$N189=""),"",IF($E189="LONG",$K189,$O189))</f>
        <v/>
      </c>
      <c r="AM189" s="47" t="str">
        <f aca="false">IF(OR($D189="",$N189=""),"",IF($E189="LONG",$O189,$K189))</f>
        <v/>
      </c>
    </row>
    <row r="190" customFormat="false" ht="15" hidden="false" customHeight="false" outlineLevel="0" collapsed="false">
      <c r="A190" s="49"/>
      <c r="B190" s="5" t="str">
        <f aca="false">IF($D190="","",IF(OR(RIGHT($A190,2)="-L",RIGHT($A190,2)="-S"),LEFT($A190,LEN($A190)-2),$A190))</f>
        <v/>
      </c>
      <c r="C190" s="50"/>
      <c r="D190" s="49"/>
      <c r="E190" s="49"/>
      <c r="F190" s="49"/>
      <c r="G190" s="45"/>
      <c r="H190" s="50"/>
      <c r="I190" s="45"/>
      <c r="J190" s="51"/>
      <c r="K190" s="40" t="str">
        <f aca="false">IF($D190="","",$I190*$J190)</f>
        <v/>
      </c>
      <c r="L190" s="50"/>
      <c r="M190" s="49"/>
      <c r="N190" s="45"/>
      <c r="O190" s="40" t="str">
        <f aca="false">IF(OR($D190="",$N190=""),"",$N190*$J190)</f>
        <v/>
      </c>
      <c r="P190" s="41" t="str">
        <f aca="false">IF(OR($D190="",$L190=""),"",MAX($L190-$H190,0))</f>
        <v/>
      </c>
      <c r="Q190" s="40" t="str">
        <f aca="false">IF(OR($D190="",$N190=""),"",IF($E190="LONG",($N190-$I190)*$J190,($I190-$N190)*$J190))</f>
        <v/>
      </c>
      <c r="R190" s="42" t="str">
        <f aca="false">IF(OR($D190="",$Q190="",$K190=0),"",$Q190/$K190)</f>
        <v/>
      </c>
      <c r="S190" s="43" t="str">
        <f aca="false">IF(OR($D190="",$N190=""),"",MIN(INDEX(Config!$C$13:$C$15,$AK190),INDEX(Config!$B$13:$B$15,$AK190)*$K190)+MIN(INDEX(Config!$C$13:$C$15,$AK190),INDEX(Config!$B$13:$B$15,$AK190)*$O190))</f>
        <v/>
      </c>
      <c r="T190" s="43" t="str">
        <f aca="false">IF(OR($D190="",$N190=""),"",INDEX(Config!$D$13:$D$15,$AK190)*$AL190+INDEX(Config!$E$13:$E$15,$AK190)*$AM190)</f>
        <v/>
      </c>
      <c r="U190" s="43" t="str">
        <f aca="false">IF(OR($D190="",$N190=""),"",INDEX(Config!$F$13:$F$15,$AK190)*($K190+$O190))</f>
        <v/>
      </c>
      <c r="V190" s="43" t="str">
        <f aca="false">IF(OR($D190="",$N190=""),"",INDEX(Config!$G$13:$G$15,$AK190)*($K190+$O190)+INDEX(Config!$H$13:$H$15,$AK190)*$AL190+INDEX(Config!$J$13:$J$15,$AK190))</f>
        <v/>
      </c>
      <c r="W190" s="43" t="str">
        <f aca="false">IF(OR($D190="",$N190=""),"",INDEX(Config!$I$13:$I$15,$AK190)*($S190+$U190+INDEX(Config!$G$13:$G$15,$AK190)*($K190+$O190)))</f>
        <v/>
      </c>
      <c r="X190" s="43" t="str">
        <f aca="false">IF(OR($D190="",$N190=""),"",INDEX(Config!$K$13:$K$15,$AK190)/365*$P190*$K190*Config!$B$8)</f>
        <v/>
      </c>
      <c r="Y190" s="43" t="str">
        <f aca="false">IF(OR($D190="",$N190=""),"",SUM($S190:$X190))</f>
        <v/>
      </c>
      <c r="Z190" s="40" t="str">
        <f aca="false">IF(OR($D190="",$Q190=""),"",$Q190-$Y190)</f>
        <v/>
      </c>
      <c r="AA190" s="42" t="str">
        <f aca="false">IF(OR($D190="",$Z190="",$K190=0),"",$Z190/$K190)</f>
        <v/>
      </c>
      <c r="AB190" s="44" t="str">
        <f aca="false">IF(OR($D190="",$Y190="",$K190=0),"",$Y190/$K190*10000)</f>
        <v/>
      </c>
      <c r="AC190" s="44" t="str">
        <f aca="false">IF(OR($D190="",$G190="",$G190=0,$I190=""),"",IF($E190="LONG",($I190-$G190)/$G190,($G190-$I190)/$G190)*10000)</f>
        <v/>
      </c>
      <c r="AD190" s="45"/>
      <c r="AE190" s="40" t="str">
        <f aca="false">IF(OR($D190="",$N190&lt;&gt;"",$AD190=""),"",IF($E190="LONG",($AD190-$I190)*$J190,($I190-$AD190)*$J190))</f>
        <v/>
      </c>
      <c r="AF190" s="40" t="str">
        <f aca="false">IF(OR($D190="",$E190&lt;&gt;"LONG",$Z190=""),"",$Z190+SUMIFS($Z$4:$Z$503,$B$4:$B$503,$B190,$E$4:$E$503,"SHORT"))</f>
        <v/>
      </c>
      <c r="AG190" s="42" t="str">
        <f aca="false">IF(OR($AF190="",$K190=0),"",$AF190/$K190)</f>
        <v/>
      </c>
      <c r="AH190" s="46"/>
      <c r="AI190" s="43" t="str">
        <f aca="false">IF(OR($D190="",$AH190="",$Z190=""),"",$Z190-$AH190)</f>
        <v/>
      </c>
      <c r="AJ190" s="49"/>
      <c r="AK190" s="47" t="str">
        <f aca="false">IF($D190="","",IFERROR(MATCH($F190,Config!$A$13:$A$15,0),1))</f>
        <v/>
      </c>
      <c r="AL190" s="47" t="str">
        <f aca="false">IF(OR($D190="",$N190=""),"",IF($E190="LONG",$K190,$O190))</f>
        <v/>
      </c>
      <c r="AM190" s="47" t="str">
        <f aca="false">IF(OR($D190="",$N190=""),"",IF($E190="LONG",$O190,$K190))</f>
        <v/>
      </c>
    </row>
    <row r="191" customFormat="false" ht="15" hidden="false" customHeight="false" outlineLevel="0" collapsed="false">
      <c r="A191" s="49"/>
      <c r="B191" s="5" t="str">
        <f aca="false">IF($D191="","",IF(OR(RIGHT($A191,2)="-L",RIGHT($A191,2)="-S"),LEFT($A191,LEN($A191)-2),$A191))</f>
        <v/>
      </c>
      <c r="C191" s="50"/>
      <c r="D191" s="49"/>
      <c r="E191" s="49"/>
      <c r="F191" s="49"/>
      <c r="G191" s="45"/>
      <c r="H191" s="50"/>
      <c r="I191" s="45"/>
      <c r="J191" s="51"/>
      <c r="K191" s="40" t="str">
        <f aca="false">IF($D191="","",$I191*$J191)</f>
        <v/>
      </c>
      <c r="L191" s="50"/>
      <c r="M191" s="49"/>
      <c r="N191" s="45"/>
      <c r="O191" s="40" t="str">
        <f aca="false">IF(OR($D191="",$N191=""),"",$N191*$J191)</f>
        <v/>
      </c>
      <c r="P191" s="41" t="str">
        <f aca="false">IF(OR($D191="",$L191=""),"",MAX($L191-$H191,0))</f>
        <v/>
      </c>
      <c r="Q191" s="40" t="str">
        <f aca="false">IF(OR($D191="",$N191=""),"",IF($E191="LONG",($N191-$I191)*$J191,($I191-$N191)*$J191))</f>
        <v/>
      </c>
      <c r="R191" s="42" t="str">
        <f aca="false">IF(OR($D191="",$Q191="",$K191=0),"",$Q191/$K191)</f>
        <v/>
      </c>
      <c r="S191" s="43" t="str">
        <f aca="false">IF(OR($D191="",$N191=""),"",MIN(INDEX(Config!$C$13:$C$15,$AK191),INDEX(Config!$B$13:$B$15,$AK191)*$K191)+MIN(INDEX(Config!$C$13:$C$15,$AK191),INDEX(Config!$B$13:$B$15,$AK191)*$O191))</f>
        <v/>
      </c>
      <c r="T191" s="43" t="str">
        <f aca="false">IF(OR($D191="",$N191=""),"",INDEX(Config!$D$13:$D$15,$AK191)*$AL191+INDEX(Config!$E$13:$E$15,$AK191)*$AM191)</f>
        <v/>
      </c>
      <c r="U191" s="43" t="str">
        <f aca="false">IF(OR($D191="",$N191=""),"",INDEX(Config!$F$13:$F$15,$AK191)*($K191+$O191))</f>
        <v/>
      </c>
      <c r="V191" s="43" t="str">
        <f aca="false">IF(OR($D191="",$N191=""),"",INDEX(Config!$G$13:$G$15,$AK191)*($K191+$O191)+INDEX(Config!$H$13:$H$15,$AK191)*$AL191+INDEX(Config!$J$13:$J$15,$AK191))</f>
        <v/>
      </c>
      <c r="W191" s="43" t="str">
        <f aca="false">IF(OR($D191="",$N191=""),"",INDEX(Config!$I$13:$I$15,$AK191)*($S191+$U191+INDEX(Config!$G$13:$G$15,$AK191)*($K191+$O191)))</f>
        <v/>
      </c>
      <c r="X191" s="43" t="str">
        <f aca="false">IF(OR($D191="",$N191=""),"",INDEX(Config!$K$13:$K$15,$AK191)/365*$P191*$K191*Config!$B$8)</f>
        <v/>
      </c>
      <c r="Y191" s="43" t="str">
        <f aca="false">IF(OR($D191="",$N191=""),"",SUM($S191:$X191))</f>
        <v/>
      </c>
      <c r="Z191" s="40" t="str">
        <f aca="false">IF(OR($D191="",$Q191=""),"",$Q191-$Y191)</f>
        <v/>
      </c>
      <c r="AA191" s="42" t="str">
        <f aca="false">IF(OR($D191="",$Z191="",$K191=0),"",$Z191/$K191)</f>
        <v/>
      </c>
      <c r="AB191" s="44" t="str">
        <f aca="false">IF(OR($D191="",$Y191="",$K191=0),"",$Y191/$K191*10000)</f>
        <v/>
      </c>
      <c r="AC191" s="44" t="str">
        <f aca="false">IF(OR($D191="",$G191="",$G191=0,$I191=""),"",IF($E191="LONG",($I191-$G191)/$G191,($G191-$I191)/$G191)*10000)</f>
        <v/>
      </c>
      <c r="AD191" s="45"/>
      <c r="AE191" s="40" t="str">
        <f aca="false">IF(OR($D191="",$N191&lt;&gt;"",$AD191=""),"",IF($E191="LONG",($AD191-$I191)*$J191,($I191-$AD191)*$J191))</f>
        <v/>
      </c>
      <c r="AF191" s="40" t="str">
        <f aca="false">IF(OR($D191="",$E191&lt;&gt;"LONG",$Z191=""),"",$Z191+SUMIFS($Z$4:$Z$503,$B$4:$B$503,$B191,$E$4:$E$503,"SHORT"))</f>
        <v/>
      </c>
      <c r="AG191" s="42" t="str">
        <f aca="false">IF(OR($AF191="",$K191=0),"",$AF191/$K191)</f>
        <v/>
      </c>
      <c r="AH191" s="46"/>
      <c r="AI191" s="43" t="str">
        <f aca="false">IF(OR($D191="",$AH191="",$Z191=""),"",$Z191-$AH191)</f>
        <v/>
      </c>
      <c r="AJ191" s="49"/>
      <c r="AK191" s="47" t="str">
        <f aca="false">IF($D191="","",IFERROR(MATCH($F191,Config!$A$13:$A$15,0),1))</f>
        <v/>
      </c>
      <c r="AL191" s="47" t="str">
        <f aca="false">IF(OR($D191="",$N191=""),"",IF($E191="LONG",$K191,$O191))</f>
        <v/>
      </c>
      <c r="AM191" s="47" t="str">
        <f aca="false">IF(OR($D191="",$N191=""),"",IF($E191="LONG",$O191,$K191))</f>
        <v/>
      </c>
    </row>
    <row r="192" customFormat="false" ht="15" hidden="false" customHeight="false" outlineLevel="0" collapsed="false">
      <c r="A192" s="49"/>
      <c r="B192" s="5" t="str">
        <f aca="false">IF($D192="","",IF(OR(RIGHT($A192,2)="-L",RIGHT($A192,2)="-S"),LEFT($A192,LEN($A192)-2),$A192))</f>
        <v/>
      </c>
      <c r="C192" s="50"/>
      <c r="D192" s="49"/>
      <c r="E192" s="49"/>
      <c r="F192" s="49"/>
      <c r="G192" s="45"/>
      <c r="H192" s="50"/>
      <c r="I192" s="45"/>
      <c r="J192" s="51"/>
      <c r="K192" s="40" t="str">
        <f aca="false">IF($D192="","",$I192*$J192)</f>
        <v/>
      </c>
      <c r="L192" s="50"/>
      <c r="M192" s="49"/>
      <c r="N192" s="45"/>
      <c r="O192" s="40" t="str">
        <f aca="false">IF(OR($D192="",$N192=""),"",$N192*$J192)</f>
        <v/>
      </c>
      <c r="P192" s="41" t="str">
        <f aca="false">IF(OR($D192="",$L192=""),"",MAX($L192-$H192,0))</f>
        <v/>
      </c>
      <c r="Q192" s="40" t="str">
        <f aca="false">IF(OR($D192="",$N192=""),"",IF($E192="LONG",($N192-$I192)*$J192,($I192-$N192)*$J192))</f>
        <v/>
      </c>
      <c r="R192" s="42" t="str">
        <f aca="false">IF(OR($D192="",$Q192="",$K192=0),"",$Q192/$K192)</f>
        <v/>
      </c>
      <c r="S192" s="43" t="str">
        <f aca="false">IF(OR($D192="",$N192=""),"",MIN(INDEX(Config!$C$13:$C$15,$AK192),INDEX(Config!$B$13:$B$15,$AK192)*$K192)+MIN(INDEX(Config!$C$13:$C$15,$AK192),INDEX(Config!$B$13:$B$15,$AK192)*$O192))</f>
        <v/>
      </c>
      <c r="T192" s="43" t="str">
        <f aca="false">IF(OR($D192="",$N192=""),"",INDEX(Config!$D$13:$D$15,$AK192)*$AL192+INDEX(Config!$E$13:$E$15,$AK192)*$AM192)</f>
        <v/>
      </c>
      <c r="U192" s="43" t="str">
        <f aca="false">IF(OR($D192="",$N192=""),"",INDEX(Config!$F$13:$F$15,$AK192)*($K192+$O192))</f>
        <v/>
      </c>
      <c r="V192" s="43" t="str">
        <f aca="false">IF(OR($D192="",$N192=""),"",INDEX(Config!$G$13:$G$15,$AK192)*($K192+$O192)+INDEX(Config!$H$13:$H$15,$AK192)*$AL192+INDEX(Config!$J$13:$J$15,$AK192))</f>
        <v/>
      </c>
      <c r="W192" s="43" t="str">
        <f aca="false">IF(OR($D192="",$N192=""),"",INDEX(Config!$I$13:$I$15,$AK192)*($S192+$U192+INDEX(Config!$G$13:$G$15,$AK192)*($K192+$O192)))</f>
        <v/>
      </c>
      <c r="X192" s="43" t="str">
        <f aca="false">IF(OR($D192="",$N192=""),"",INDEX(Config!$K$13:$K$15,$AK192)/365*$P192*$K192*Config!$B$8)</f>
        <v/>
      </c>
      <c r="Y192" s="43" t="str">
        <f aca="false">IF(OR($D192="",$N192=""),"",SUM($S192:$X192))</f>
        <v/>
      </c>
      <c r="Z192" s="40" t="str">
        <f aca="false">IF(OR($D192="",$Q192=""),"",$Q192-$Y192)</f>
        <v/>
      </c>
      <c r="AA192" s="42" t="str">
        <f aca="false">IF(OR($D192="",$Z192="",$K192=0),"",$Z192/$K192)</f>
        <v/>
      </c>
      <c r="AB192" s="44" t="str">
        <f aca="false">IF(OR($D192="",$Y192="",$K192=0),"",$Y192/$K192*10000)</f>
        <v/>
      </c>
      <c r="AC192" s="44" t="str">
        <f aca="false">IF(OR($D192="",$G192="",$G192=0,$I192=""),"",IF($E192="LONG",($I192-$G192)/$G192,($G192-$I192)/$G192)*10000)</f>
        <v/>
      </c>
      <c r="AD192" s="45"/>
      <c r="AE192" s="40" t="str">
        <f aca="false">IF(OR($D192="",$N192&lt;&gt;"",$AD192=""),"",IF($E192="LONG",($AD192-$I192)*$J192,($I192-$AD192)*$J192))</f>
        <v/>
      </c>
      <c r="AF192" s="40" t="str">
        <f aca="false">IF(OR($D192="",$E192&lt;&gt;"LONG",$Z192=""),"",$Z192+SUMIFS($Z$4:$Z$503,$B$4:$B$503,$B192,$E$4:$E$503,"SHORT"))</f>
        <v/>
      </c>
      <c r="AG192" s="42" t="str">
        <f aca="false">IF(OR($AF192="",$K192=0),"",$AF192/$K192)</f>
        <v/>
      </c>
      <c r="AH192" s="46"/>
      <c r="AI192" s="43" t="str">
        <f aca="false">IF(OR($D192="",$AH192="",$Z192=""),"",$Z192-$AH192)</f>
        <v/>
      </c>
      <c r="AJ192" s="49"/>
      <c r="AK192" s="47" t="str">
        <f aca="false">IF($D192="","",IFERROR(MATCH($F192,Config!$A$13:$A$15,0),1))</f>
        <v/>
      </c>
      <c r="AL192" s="47" t="str">
        <f aca="false">IF(OR($D192="",$N192=""),"",IF($E192="LONG",$K192,$O192))</f>
        <v/>
      </c>
      <c r="AM192" s="47" t="str">
        <f aca="false">IF(OR($D192="",$N192=""),"",IF($E192="LONG",$O192,$K192))</f>
        <v/>
      </c>
    </row>
    <row r="193" customFormat="false" ht="15" hidden="false" customHeight="false" outlineLevel="0" collapsed="false">
      <c r="A193" s="49"/>
      <c r="B193" s="5" t="str">
        <f aca="false">IF($D193="","",IF(OR(RIGHT($A193,2)="-L",RIGHT($A193,2)="-S"),LEFT($A193,LEN($A193)-2),$A193))</f>
        <v/>
      </c>
      <c r="C193" s="50"/>
      <c r="D193" s="49"/>
      <c r="E193" s="49"/>
      <c r="F193" s="49"/>
      <c r="G193" s="45"/>
      <c r="H193" s="50"/>
      <c r="I193" s="45"/>
      <c r="J193" s="51"/>
      <c r="K193" s="40" t="str">
        <f aca="false">IF($D193="","",$I193*$J193)</f>
        <v/>
      </c>
      <c r="L193" s="50"/>
      <c r="M193" s="49"/>
      <c r="N193" s="45"/>
      <c r="O193" s="40" t="str">
        <f aca="false">IF(OR($D193="",$N193=""),"",$N193*$J193)</f>
        <v/>
      </c>
      <c r="P193" s="41" t="str">
        <f aca="false">IF(OR($D193="",$L193=""),"",MAX($L193-$H193,0))</f>
        <v/>
      </c>
      <c r="Q193" s="40" t="str">
        <f aca="false">IF(OR($D193="",$N193=""),"",IF($E193="LONG",($N193-$I193)*$J193,($I193-$N193)*$J193))</f>
        <v/>
      </c>
      <c r="R193" s="42" t="str">
        <f aca="false">IF(OR($D193="",$Q193="",$K193=0),"",$Q193/$K193)</f>
        <v/>
      </c>
      <c r="S193" s="43" t="str">
        <f aca="false">IF(OR($D193="",$N193=""),"",MIN(INDEX(Config!$C$13:$C$15,$AK193),INDEX(Config!$B$13:$B$15,$AK193)*$K193)+MIN(INDEX(Config!$C$13:$C$15,$AK193),INDEX(Config!$B$13:$B$15,$AK193)*$O193))</f>
        <v/>
      </c>
      <c r="T193" s="43" t="str">
        <f aca="false">IF(OR($D193="",$N193=""),"",INDEX(Config!$D$13:$D$15,$AK193)*$AL193+INDEX(Config!$E$13:$E$15,$AK193)*$AM193)</f>
        <v/>
      </c>
      <c r="U193" s="43" t="str">
        <f aca="false">IF(OR($D193="",$N193=""),"",INDEX(Config!$F$13:$F$15,$AK193)*($K193+$O193))</f>
        <v/>
      </c>
      <c r="V193" s="43" t="str">
        <f aca="false">IF(OR($D193="",$N193=""),"",INDEX(Config!$G$13:$G$15,$AK193)*($K193+$O193)+INDEX(Config!$H$13:$H$15,$AK193)*$AL193+INDEX(Config!$J$13:$J$15,$AK193))</f>
        <v/>
      </c>
      <c r="W193" s="43" t="str">
        <f aca="false">IF(OR($D193="",$N193=""),"",INDEX(Config!$I$13:$I$15,$AK193)*($S193+$U193+INDEX(Config!$G$13:$G$15,$AK193)*($K193+$O193)))</f>
        <v/>
      </c>
      <c r="X193" s="43" t="str">
        <f aca="false">IF(OR($D193="",$N193=""),"",INDEX(Config!$K$13:$K$15,$AK193)/365*$P193*$K193*Config!$B$8)</f>
        <v/>
      </c>
      <c r="Y193" s="43" t="str">
        <f aca="false">IF(OR($D193="",$N193=""),"",SUM($S193:$X193))</f>
        <v/>
      </c>
      <c r="Z193" s="40" t="str">
        <f aca="false">IF(OR($D193="",$Q193=""),"",$Q193-$Y193)</f>
        <v/>
      </c>
      <c r="AA193" s="42" t="str">
        <f aca="false">IF(OR($D193="",$Z193="",$K193=0),"",$Z193/$K193)</f>
        <v/>
      </c>
      <c r="AB193" s="44" t="str">
        <f aca="false">IF(OR($D193="",$Y193="",$K193=0),"",$Y193/$K193*10000)</f>
        <v/>
      </c>
      <c r="AC193" s="44" t="str">
        <f aca="false">IF(OR($D193="",$G193="",$G193=0,$I193=""),"",IF($E193="LONG",($I193-$G193)/$G193,($G193-$I193)/$G193)*10000)</f>
        <v/>
      </c>
      <c r="AD193" s="45"/>
      <c r="AE193" s="40" t="str">
        <f aca="false">IF(OR($D193="",$N193&lt;&gt;"",$AD193=""),"",IF($E193="LONG",($AD193-$I193)*$J193,($I193-$AD193)*$J193))</f>
        <v/>
      </c>
      <c r="AF193" s="40" t="str">
        <f aca="false">IF(OR($D193="",$E193&lt;&gt;"LONG",$Z193=""),"",$Z193+SUMIFS($Z$4:$Z$503,$B$4:$B$503,$B193,$E$4:$E$503,"SHORT"))</f>
        <v/>
      </c>
      <c r="AG193" s="42" t="str">
        <f aca="false">IF(OR($AF193="",$K193=0),"",$AF193/$K193)</f>
        <v/>
      </c>
      <c r="AH193" s="46"/>
      <c r="AI193" s="43" t="str">
        <f aca="false">IF(OR($D193="",$AH193="",$Z193=""),"",$Z193-$AH193)</f>
        <v/>
      </c>
      <c r="AJ193" s="49"/>
      <c r="AK193" s="47" t="str">
        <f aca="false">IF($D193="","",IFERROR(MATCH($F193,Config!$A$13:$A$15,0),1))</f>
        <v/>
      </c>
      <c r="AL193" s="47" t="str">
        <f aca="false">IF(OR($D193="",$N193=""),"",IF($E193="LONG",$K193,$O193))</f>
        <v/>
      </c>
      <c r="AM193" s="47" t="str">
        <f aca="false">IF(OR($D193="",$N193=""),"",IF($E193="LONG",$O193,$K193))</f>
        <v/>
      </c>
    </row>
    <row r="194" customFormat="false" ht="15" hidden="false" customHeight="false" outlineLevel="0" collapsed="false">
      <c r="A194" s="49"/>
      <c r="B194" s="5" t="str">
        <f aca="false">IF($D194="","",IF(OR(RIGHT($A194,2)="-L",RIGHT($A194,2)="-S"),LEFT($A194,LEN($A194)-2),$A194))</f>
        <v/>
      </c>
      <c r="C194" s="50"/>
      <c r="D194" s="49"/>
      <c r="E194" s="49"/>
      <c r="F194" s="49"/>
      <c r="G194" s="45"/>
      <c r="H194" s="50"/>
      <c r="I194" s="45"/>
      <c r="J194" s="51"/>
      <c r="K194" s="40" t="str">
        <f aca="false">IF($D194="","",$I194*$J194)</f>
        <v/>
      </c>
      <c r="L194" s="50"/>
      <c r="M194" s="49"/>
      <c r="N194" s="45"/>
      <c r="O194" s="40" t="str">
        <f aca="false">IF(OR($D194="",$N194=""),"",$N194*$J194)</f>
        <v/>
      </c>
      <c r="P194" s="41" t="str">
        <f aca="false">IF(OR($D194="",$L194=""),"",MAX($L194-$H194,0))</f>
        <v/>
      </c>
      <c r="Q194" s="40" t="str">
        <f aca="false">IF(OR($D194="",$N194=""),"",IF($E194="LONG",($N194-$I194)*$J194,($I194-$N194)*$J194))</f>
        <v/>
      </c>
      <c r="R194" s="42" t="str">
        <f aca="false">IF(OR($D194="",$Q194="",$K194=0),"",$Q194/$K194)</f>
        <v/>
      </c>
      <c r="S194" s="43" t="str">
        <f aca="false">IF(OR($D194="",$N194=""),"",MIN(INDEX(Config!$C$13:$C$15,$AK194),INDEX(Config!$B$13:$B$15,$AK194)*$K194)+MIN(INDEX(Config!$C$13:$C$15,$AK194),INDEX(Config!$B$13:$B$15,$AK194)*$O194))</f>
        <v/>
      </c>
      <c r="T194" s="43" t="str">
        <f aca="false">IF(OR($D194="",$N194=""),"",INDEX(Config!$D$13:$D$15,$AK194)*$AL194+INDEX(Config!$E$13:$E$15,$AK194)*$AM194)</f>
        <v/>
      </c>
      <c r="U194" s="43" t="str">
        <f aca="false">IF(OR($D194="",$N194=""),"",INDEX(Config!$F$13:$F$15,$AK194)*($K194+$O194))</f>
        <v/>
      </c>
      <c r="V194" s="43" t="str">
        <f aca="false">IF(OR($D194="",$N194=""),"",INDEX(Config!$G$13:$G$15,$AK194)*($K194+$O194)+INDEX(Config!$H$13:$H$15,$AK194)*$AL194+INDEX(Config!$J$13:$J$15,$AK194))</f>
        <v/>
      </c>
      <c r="W194" s="43" t="str">
        <f aca="false">IF(OR($D194="",$N194=""),"",INDEX(Config!$I$13:$I$15,$AK194)*($S194+$U194+INDEX(Config!$G$13:$G$15,$AK194)*($K194+$O194)))</f>
        <v/>
      </c>
      <c r="X194" s="43" t="str">
        <f aca="false">IF(OR($D194="",$N194=""),"",INDEX(Config!$K$13:$K$15,$AK194)/365*$P194*$K194*Config!$B$8)</f>
        <v/>
      </c>
      <c r="Y194" s="43" t="str">
        <f aca="false">IF(OR($D194="",$N194=""),"",SUM($S194:$X194))</f>
        <v/>
      </c>
      <c r="Z194" s="40" t="str">
        <f aca="false">IF(OR($D194="",$Q194=""),"",$Q194-$Y194)</f>
        <v/>
      </c>
      <c r="AA194" s="42" t="str">
        <f aca="false">IF(OR($D194="",$Z194="",$K194=0),"",$Z194/$K194)</f>
        <v/>
      </c>
      <c r="AB194" s="44" t="str">
        <f aca="false">IF(OR($D194="",$Y194="",$K194=0),"",$Y194/$K194*10000)</f>
        <v/>
      </c>
      <c r="AC194" s="44" t="str">
        <f aca="false">IF(OR($D194="",$G194="",$G194=0,$I194=""),"",IF($E194="LONG",($I194-$G194)/$G194,($G194-$I194)/$G194)*10000)</f>
        <v/>
      </c>
      <c r="AD194" s="45"/>
      <c r="AE194" s="40" t="str">
        <f aca="false">IF(OR($D194="",$N194&lt;&gt;"",$AD194=""),"",IF($E194="LONG",($AD194-$I194)*$J194,($I194-$AD194)*$J194))</f>
        <v/>
      </c>
      <c r="AF194" s="40" t="str">
        <f aca="false">IF(OR($D194="",$E194&lt;&gt;"LONG",$Z194=""),"",$Z194+SUMIFS($Z$4:$Z$503,$B$4:$B$503,$B194,$E$4:$E$503,"SHORT"))</f>
        <v/>
      </c>
      <c r="AG194" s="42" t="str">
        <f aca="false">IF(OR($AF194="",$K194=0),"",$AF194/$K194)</f>
        <v/>
      </c>
      <c r="AH194" s="46"/>
      <c r="AI194" s="43" t="str">
        <f aca="false">IF(OR($D194="",$AH194="",$Z194=""),"",$Z194-$AH194)</f>
        <v/>
      </c>
      <c r="AJ194" s="49"/>
      <c r="AK194" s="47" t="str">
        <f aca="false">IF($D194="","",IFERROR(MATCH($F194,Config!$A$13:$A$15,0),1))</f>
        <v/>
      </c>
      <c r="AL194" s="47" t="str">
        <f aca="false">IF(OR($D194="",$N194=""),"",IF($E194="LONG",$K194,$O194))</f>
        <v/>
      </c>
      <c r="AM194" s="47" t="str">
        <f aca="false">IF(OR($D194="",$N194=""),"",IF($E194="LONG",$O194,$K194))</f>
        <v/>
      </c>
    </row>
    <row r="195" customFormat="false" ht="15" hidden="false" customHeight="false" outlineLevel="0" collapsed="false">
      <c r="A195" s="49"/>
      <c r="B195" s="5" t="str">
        <f aca="false">IF($D195="","",IF(OR(RIGHT($A195,2)="-L",RIGHT($A195,2)="-S"),LEFT($A195,LEN($A195)-2),$A195))</f>
        <v/>
      </c>
      <c r="C195" s="50"/>
      <c r="D195" s="49"/>
      <c r="E195" s="49"/>
      <c r="F195" s="49"/>
      <c r="G195" s="45"/>
      <c r="H195" s="50"/>
      <c r="I195" s="45"/>
      <c r="J195" s="51"/>
      <c r="K195" s="40" t="str">
        <f aca="false">IF($D195="","",$I195*$J195)</f>
        <v/>
      </c>
      <c r="L195" s="50"/>
      <c r="M195" s="49"/>
      <c r="N195" s="45"/>
      <c r="O195" s="40" t="str">
        <f aca="false">IF(OR($D195="",$N195=""),"",$N195*$J195)</f>
        <v/>
      </c>
      <c r="P195" s="41" t="str">
        <f aca="false">IF(OR($D195="",$L195=""),"",MAX($L195-$H195,0))</f>
        <v/>
      </c>
      <c r="Q195" s="40" t="str">
        <f aca="false">IF(OR($D195="",$N195=""),"",IF($E195="LONG",($N195-$I195)*$J195,($I195-$N195)*$J195))</f>
        <v/>
      </c>
      <c r="R195" s="42" t="str">
        <f aca="false">IF(OR($D195="",$Q195="",$K195=0),"",$Q195/$K195)</f>
        <v/>
      </c>
      <c r="S195" s="43" t="str">
        <f aca="false">IF(OR($D195="",$N195=""),"",MIN(INDEX(Config!$C$13:$C$15,$AK195),INDEX(Config!$B$13:$B$15,$AK195)*$K195)+MIN(INDEX(Config!$C$13:$C$15,$AK195),INDEX(Config!$B$13:$B$15,$AK195)*$O195))</f>
        <v/>
      </c>
      <c r="T195" s="43" t="str">
        <f aca="false">IF(OR($D195="",$N195=""),"",INDEX(Config!$D$13:$D$15,$AK195)*$AL195+INDEX(Config!$E$13:$E$15,$AK195)*$AM195)</f>
        <v/>
      </c>
      <c r="U195" s="43" t="str">
        <f aca="false">IF(OR($D195="",$N195=""),"",INDEX(Config!$F$13:$F$15,$AK195)*($K195+$O195))</f>
        <v/>
      </c>
      <c r="V195" s="43" t="str">
        <f aca="false">IF(OR($D195="",$N195=""),"",INDEX(Config!$G$13:$G$15,$AK195)*($K195+$O195)+INDEX(Config!$H$13:$H$15,$AK195)*$AL195+INDEX(Config!$J$13:$J$15,$AK195))</f>
        <v/>
      </c>
      <c r="W195" s="43" t="str">
        <f aca="false">IF(OR($D195="",$N195=""),"",INDEX(Config!$I$13:$I$15,$AK195)*($S195+$U195+INDEX(Config!$G$13:$G$15,$AK195)*($K195+$O195)))</f>
        <v/>
      </c>
      <c r="X195" s="43" t="str">
        <f aca="false">IF(OR($D195="",$N195=""),"",INDEX(Config!$K$13:$K$15,$AK195)/365*$P195*$K195*Config!$B$8)</f>
        <v/>
      </c>
      <c r="Y195" s="43" t="str">
        <f aca="false">IF(OR($D195="",$N195=""),"",SUM($S195:$X195))</f>
        <v/>
      </c>
      <c r="Z195" s="40" t="str">
        <f aca="false">IF(OR($D195="",$Q195=""),"",$Q195-$Y195)</f>
        <v/>
      </c>
      <c r="AA195" s="42" t="str">
        <f aca="false">IF(OR($D195="",$Z195="",$K195=0),"",$Z195/$K195)</f>
        <v/>
      </c>
      <c r="AB195" s="44" t="str">
        <f aca="false">IF(OR($D195="",$Y195="",$K195=0),"",$Y195/$K195*10000)</f>
        <v/>
      </c>
      <c r="AC195" s="44" t="str">
        <f aca="false">IF(OR($D195="",$G195="",$G195=0,$I195=""),"",IF($E195="LONG",($I195-$G195)/$G195,($G195-$I195)/$G195)*10000)</f>
        <v/>
      </c>
      <c r="AD195" s="45"/>
      <c r="AE195" s="40" t="str">
        <f aca="false">IF(OR($D195="",$N195&lt;&gt;"",$AD195=""),"",IF($E195="LONG",($AD195-$I195)*$J195,($I195-$AD195)*$J195))</f>
        <v/>
      </c>
      <c r="AF195" s="40" t="str">
        <f aca="false">IF(OR($D195="",$E195&lt;&gt;"LONG",$Z195=""),"",$Z195+SUMIFS($Z$4:$Z$503,$B$4:$B$503,$B195,$E$4:$E$503,"SHORT"))</f>
        <v/>
      </c>
      <c r="AG195" s="42" t="str">
        <f aca="false">IF(OR($AF195="",$K195=0),"",$AF195/$K195)</f>
        <v/>
      </c>
      <c r="AH195" s="46"/>
      <c r="AI195" s="43" t="str">
        <f aca="false">IF(OR($D195="",$AH195="",$Z195=""),"",$Z195-$AH195)</f>
        <v/>
      </c>
      <c r="AJ195" s="49"/>
      <c r="AK195" s="47" t="str">
        <f aca="false">IF($D195="","",IFERROR(MATCH($F195,Config!$A$13:$A$15,0),1))</f>
        <v/>
      </c>
      <c r="AL195" s="47" t="str">
        <f aca="false">IF(OR($D195="",$N195=""),"",IF($E195="LONG",$K195,$O195))</f>
        <v/>
      </c>
      <c r="AM195" s="47" t="str">
        <f aca="false">IF(OR($D195="",$N195=""),"",IF($E195="LONG",$O195,$K195))</f>
        <v/>
      </c>
    </row>
    <row r="196" customFormat="false" ht="15" hidden="false" customHeight="false" outlineLevel="0" collapsed="false">
      <c r="A196" s="49"/>
      <c r="B196" s="5" t="str">
        <f aca="false">IF($D196="","",IF(OR(RIGHT($A196,2)="-L",RIGHT($A196,2)="-S"),LEFT($A196,LEN($A196)-2),$A196))</f>
        <v/>
      </c>
      <c r="C196" s="50"/>
      <c r="D196" s="49"/>
      <c r="E196" s="49"/>
      <c r="F196" s="49"/>
      <c r="G196" s="45"/>
      <c r="H196" s="50"/>
      <c r="I196" s="45"/>
      <c r="J196" s="51"/>
      <c r="K196" s="40" t="str">
        <f aca="false">IF($D196="","",$I196*$J196)</f>
        <v/>
      </c>
      <c r="L196" s="50"/>
      <c r="M196" s="49"/>
      <c r="N196" s="45"/>
      <c r="O196" s="40" t="str">
        <f aca="false">IF(OR($D196="",$N196=""),"",$N196*$J196)</f>
        <v/>
      </c>
      <c r="P196" s="41" t="str">
        <f aca="false">IF(OR($D196="",$L196=""),"",MAX($L196-$H196,0))</f>
        <v/>
      </c>
      <c r="Q196" s="40" t="str">
        <f aca="false">IF(OR($D196="",$N196=""),"",IF($E196="LONG",($N196-$I196)*$J196,($I196-$N196)*$J196))</f>
        <v/>
      </c>
      <c r="R196" s="42" t="str">
        <f aca="false">IF(OR($D196="",$Q196="",$K196=0),"",$Q196/$K196)</f>
        <v/>
      </c>
      <c r="S196" s="43" t="str">
        <f aca="false">IF(OR($D196="",$N196=""),"",MIN(INDEX(Config!$C$13:$C$15,$AK196),INDEX(Config!$B$13:$B$15,$AK196)*$K196)+MIN(INDEX(Config!$C$13:$C$15,$AK196),INDEX(Config!$B$13:$B$15,$AK196)*$O196))</f>
        <v/>
      </c>
      <c r="T196" s="43" t="str">
        <f aca="false">IF(OR($D196="",$N196=""),"",INDEX(Config!$D$13:$D$15,$AK196)*$AL196+INDEX(Config!$E$13:$E$15,$AK196)*$AM196)</f>
        <v/>
      </c>
      <c r="U196" s="43" t="str">
        <f aca="false">IF(OR($D196="",$N196=""),"",INDEX(Config!$F$13:$F$15,$AK196)*($K196+$O196))</f>
        <v/>
      </c>
      <c r="V196" s="43" t="str">
        <f aca="false">IF(OR($D196="",$N196=""),"",INDEX(Config!$G$13:$G$15,$AK196)*($K196+$O196)+INDEX(Config!$H$13:$H$15,$AK196)*$AL196+INDEX(Config!$J$13:$J$15,$AK196))</f>
        <v/>
      </c>
      <c r="W196" s="43" t="str">
        <f aca="false">IF(OR($D196="",$N196=""),"",INDEX(Config!$I$13:$I$15,$AK196)*($S196+$U196+INDEX(Config!$G$13:$G$15,$AK196)*($K196+$O196)))</f>
        <v/>
      </c>
      <c r="X196" s="43" t="str">
        <f aca="false">IF(OR($D196="",$N196=""),"",INDEX(Config!$K$13:$K$15,$AK196)/365*$P196*$K196*Config!$B$8)</f>
        <v/>
      </c>
      <c r="Y196" s="43" t="str">
        <f aca="false">IF(OR($D196="",$N196=""),"",SUM($S196:$X196))</f>
        <v/>
      </c>
      <c r="Z196" s="40" t="str">
        <f aca="false">IF(OR($D196="",$Q196=""),"",$Q196-$Y196)</f>
        <v/>
      </c>
      <c r="AA196" s="42" t="str">
        <f aca="false">IF(OR($D196="",$Z196="",$K196=0),"",$Z196/$K196)</f>
        <v/>
      </c>
      <c r="AB196" s="44" t="str">
        <f aca="false">IF(OR($D196="",$Y196="",$K196=0),"",$Y196/$K196*10000)</f>
        <v/>
      </c>
      <c r="AC196" s="44" t="str">
        <f aca="false">IF(OR($D196="",$G196="",$G196=0,$I196=""),"",IF($E196="LONG",($I196-$G196)/$G196,($G196-$I196)/$G196)*10000)</f>
        <v/>
      </c>
      <c r="AD196" s="45"/>
      <c r="AE196" s="40" t="str">
        <f aca="false">IF(OR($D196="",$N196&lt;&gt;"",$AD196=""),"",IF($E196="LONG",($AD196-$I196)*$J196,($I196-$AD196)*$J196))</f>
        <v/>
      </c>
      <c r="AF196" s="40" t="str">
        <f aca="false">IF(OR($D196="",$E196&lt;&gt;"LONG",$Z196=""),"",$Z196+SUMIFS($Z$4:$Z$503,$B$4:$B$503,$B196,$E$4:$E$503,"SHORT"))</f>
        <v/>
      </c>
      <c r="AG196" s="42" t="str">
        <f aca="false">IF(OR($AF196="",$K196=0),"",$AF196/$K196)</f>
        <v/>
      </c>
      <c r="AH196" s="46"/>
      <c r="AI196" s="43" t="str">
        <f aca="false">IF(OR($D196="",$AH196="",$Z196=""),"",$Z196-$AH196)</f>
        <v/>
      </c>
      <c r="AJ196" s="49"/>
      <c r="AK196" s="47" t="str">
        <f aca="false">IF($D196="","",IFERROR(MATCH($F196,Config!$A$13:$A$15,0),1))</f>
        <v/>
      </c>
      <c r="AL196" s="47" t="str">
        <f aca="false">IF(OR($D196="",$N196=""),"",IF($E196="LONG",$K196,$O196))</f>
        <v/>
      </c>
      <c r="AM196" s="47" t="str">
        <f aca="false">IF(OR($D196="",$N196=""),"",IF($E196="LONG",$O196,$K196))</f>
        <v/>
      </c>
    </row>
    <row r="197" customFormat="false" ht="15" hidden="false" customHeight="false" outlineLevel="0" collapsed="false">
      <c r="A197" s="49"/>
      <c r="B197" s="5" t="str">
        <f aca="false">IF($D197="","",IF(OR(RIGHT($A197,2)="-L",RIGHT($A197,2)="-S"),LEFT($A197,LEN($A197)-2),$A197))</f>
        <v/>
      </c>
      <c r="C197" s="50"/>
      <c r="D197" s="49"/>
      <c r="E197" s="49"/>
      <c r="F197" s="49"/>
      <c r="G197" s="45"/>
      <c r="H197" s="50"/>
      <c r="I197" s="45"/>
      <c r="J197" s="51"/>
      <c r="K197" s="40" t="str">
        <f aca="false">IF($D197="","",$I197*$J197)</f>
        <v/>
      </c>
      <c r="L197" s="50"/>
      <c r="M197" s="49"/>
      <c r="N197" s="45"/>
      <c r="O197" s="40" t="str">
        <f aca="false">IF(OR($D197="",$N197=""),"",$N197*$J197)</f>
        <v/>
      </c>
      <c r="P197" s="41" t="str">
        <f aca="false">IF(OR($D197="",$L197=""),"",MAX($L197-$H197,0))</f>
        <v/>
      </c>
      <c r="Q197" s="40" t="str">
        <f aca="false">IF(OR($D197="",$N197=""),"",IF($E197="LONG",($N197-$I197)*$J197,($I197-$N197)*$J197))</f>
        <v/>
      </c>
      <c r="R197" s="42" t="str">
        <f aca="false">IF(OR($D197="",$Q197="",$K197=0),"",$Q197/$K197)</f>
        <v/>
      </c>
      <c r="S197" s="43" t="str">
        <f aca="false">IF(OR($D197="",$N197=""),"",MIN(INDEX(Config!$C$13:$C$15,$AK197),INDEX(Config!$B$13:$B$15,$AK197)*$K197)+MIN(INDEX(Config!$C$13:$C$15,$AK197),INDEX(Config!$B$13:$B$15,$AK197)*$O197))</f>
        <v/>
      </c>
      <c r="T197" s="43" t="str">
        <f aca="false">IF(OR($D197="",$N197=""),"",INDEX(Config!$D$13:$D$15,$AK197)*$AL197+INDEX(Config!$E$13:$E$15,$AK197)*$AM197)</f>
        <v/>
      </c>
      <c r="U197" s="43" t="str">
        <f aca="false">IF(OR($D197="",$N197=""),"",INDEX(Config!$F$13:$F$15,$AK197)*($K197+$O197))</f>
        <v/>
      </c>
      <c r="V197" s="43" t="str">
        <f aca="false">IF(OR($D197="",$N197=""),"",INDEX(Config!$G$13:$G$15,$AK197)*($K197+$O197)+INDEX(Config!$H$13:$H$15,$AK197)*$AL197+INDEX(Config!$J$13:$J$15,$AK197))</f>
        <v/>
      </c>
      <c r="W197" s="43" t="str">
        <f aca="false">IF(OR($D197="",$N197=""),"",INDEX(Config!$I$13:$I$15,$AK197)*($S197+$U197+INDEX(Config!$G$13:$G$15,$AK197)*($K197+$O197)))</f>
        <v/>
      </c>
      <c r="X197" s="43" t="str">
        <f aca="false">IF(OR($D197="",$N197=""),"",INDEX(Config!$K$13:$K$15,$AK197)/365*$P197*$K197*Config!$B$8)</f>
        <v/>
      </c>
      <c r="Y197" s="43" t="str">
        <f aca="false">IF(OR($D197="",$N197=""),"",SUM($S197:$X197))</f>
        <v/>
      </c>
      <c r="Z197" s="40" t="str">
        <f aca="false">IF(OR($D197="",$Q197=""),"",$Q197-$Y197)</f>
        <v/>
      </c>
      <c r="AA197" s="42" t="str">
        <f aca="false">IF(OR($D197="",$Z197="",$K197=0),"",$Z197/$K197)</f>
        <v/>
      </c>
      <c r="AB197" s="44" t="str">
        <f aca="false">IF(OR($D197="",$Y197="",$K197=0),"",$Y197/$K197*10000)</f>
        <v/>
      </c>
      <c r="AC197" s="44" t="str">
        <f aca="false">IF(OR($D197="",$G197="",$G197=0,$I197=""),"",IF($E197="LONG",($I197-$G197)/$G197,($G197-$I197)/$G197)*10000)</f>
        <v/>
      </c>
      <c r="AD197" s="45"/>
      <c r="AE197" s="40" t="str">
        <f aca="false">IF(OR($D197="",$N197&lt;&gt;"",$AD197=""),"",IF($E197="LONG",($AD197-$I197)*$J197,($I197-$AD197)*$J197))</f>
        <v/>
      </c>
      <c r="AF197" s="40" t="str">
        <f aca="false">IF(OR($D197="",$E197&lt;&gt;"LONG",$Z197=""),"",$Z197+SUMIFS($Z$4:$Z$503,$B$4:$B$503,$B197,$E$4:$E$503,"SHORT"))</f>
        <v/>
      </c>
      <c r="AG197" s="42" t="str">
        <f aca="false">IF(OR($AF197="",$K197=0),"",$AF197/$K197)</f>
        <v/>
      </c>
      <c r="AH197" s="46"/>
      <c r="AI197" s="43" t="str">
        <f aca="false">IF(OR($D197="",$AH197="",$Z197=""),"",$Z197-$AH197)</f>
        <v/>
      </c>
      <c r="AJ197" s="49"/>
      <c r="AK197" s="47" t="str">
        <f aca="false">IF($D197="","",IFERROR(MATCH($F197,Config!$A$13:$A$15,0),1))</f>
        <v/>
      </c>
      <c r="AL197" s="47" t="str">
        <f aca="false">IF(OR($D197="",$N197=""),"",IF($E197="LONG",$K197,$O197))</f>
        <v/>
      </c>
      <c r="AM197" s="47" t="str">
        <f aca="false">IF(OR($D197="",$N197=""),"",IF($E197="LONG",$O197,$K197))</f>
        <v/>
      </c>
    </row>
    <row r="198" customFormat="false" ht="15" hidden="false" customHeight="false" outlineLevel="0" collapsed="false">
      <c r="A198" s="49"/>
      <c r="B198" s="5" t="str">
        <f aca="false">IF($D198="","",IF(OR(RIGHT($A198,2)="-L",RIGHT($A198,2)="-S"),LEFT($A198,LEN($A198)-2),$A198))</f>
        <v/>
      </c>
      <c r="C198" s="50"/>
      <c r="D198" s="49"/>
      <c r="E198" s="49"/>
      <c r="F198" s="49"/>
      <c r="G198" s="45"/>
      <c r="H198" s="50"/>
      <c r="I198" s="45"/>
      <c r="J198" s="51"/>
      <c r="K198" s="40" t="str">
        <f aca="false">IF($D198="","",$I198*$J198)</f>
        <v/>
      </c>
      <c r="L198" s="50"/>
      <c r="M198" s="49"/>
      <c r="N198" s="45"/>
      <c r="O198" s="40" t="str">
        <f aca="false">IF(OR($D198="",$N198=""),"",$N198*$J198)</f>
        <v/>
      </c>
      <c r="P198" s="41" t="str">
        <f aca="false">IF(OR($D198="",$L198=""),"",MAX($L198-$H198,0))</f>
        <v/>
      </c>
      <c r="Q198" s="40" t="str">
        <f aca="false">IF(OR($D198="",$N198=""),"",IF($E198="LONG",($N198-$I198)*$J198,($I198-$N198)*$J198))</f>
        <v/>
      </c>
      <c r="R198" s="42" t="str">
        <f aca="false">IF(OR($D198="",$Q198="",$K198=0),"",$Q198/$K198)</f>
        <v/>
      </c>
      <c r="S198" s="43" t="str">
        <f aca="false">IF(OR($D198="",$N198=""),"",MIN(INDEX(Config!$C$13:$C$15,$AK198),INDEX(Config!$B$13:$B$15,$AK198)*$K198)+MIN(INDEX(Config!$C$13:$C$15,$AK198),INDEX(Config!$B$13:$B$15,$AK198)*$O198))</f>
        <v/>
      </c>
      <c r="T198" s="43" t="str">
        <f aca="false">IF(OR($D198="",$N198=""),"",INDEX(Config!$D$13:$D$15,$AK198)*$AL198+INDEX(Config!$E$13:$E$15,$AK198)*$AM198)</f>
        <v/>
      </c>
      <c r="U198" s="43" t="str">
        <f aca="false">IF(OR($D198="",$N198=""),"",INDEX(Config!$F$13:$F$15,$AK198)*($K198+$O198))</f>
        <v/>
      </c>
      <c r="V198" s="43" t="str">
        <f aca="false">IF(OR($D198="",$N198=""),"",INDEX(Config!$G$13:$G$15,$AK198)*($K198+$O198)+INDEX(Config!$H$13:$H$15,$AK198)*$AL198+INDEX(Config!$J$13:$J$15,$AK198))</f>
        <v/>
      </c>
      <c r="W198" s="43" t="str">
        <f aca="false">IF(OR($D198="",$N198=""),"",INDEX(Config!$I$13:$I$15,$AK198)*($S198+$U198+INDEX(Config!$G$13:$G$15,$AK198)*($K198+$O198)))</f>
        <v/>
      </c>
      <c r="X198" s="43" t="str">
        <f aca="false">IF(OR($D198="",$N198=""),"",INDEX(Config!$K$13:$K$15,$AK198)/365*$P198*$K198*Config!$B$8)</f>
        <v/>
      </c>
      <c r="Y198" s="43" t="str">
        <f aca="false">IF(OR($D198="",$N198=""),"",SUM($S198:$X198))</f>
        <v/>
      </c>
      <c r="Z198" s="40" t="str">
        <f aca="false">IF(OR($D198="",$Q198=""),"",$Q198-$Y198)</f>
        <v/>
      </c>
      <c r="AA198" s="42" t="str">
        <f aca="false">IF(OR($D198="",$Z198="",$K198=0),"",$Z198/$K198)</f>
        <v/>
      </c>
      <c r="AB198" s="44" t="str">
        <f aca="false">IF(OR($D198="",$Y198="",$K198=0),"",$Y198/$K198*10000)</f>
        <v/>
      </c>
      <c r="AC198" s="44" t="str">
        <f aca="false">IF(OR($D198="",$G198="",$G198=0,$I198=""),"",IF($E198="LONG",($I198-$G198)/$G198,($G198-$I198)/$G198)*10000)</f>
        <v/>
      </c>
      <c r="AD198" s="45"/>
      <c r="AE198" s="40" t="str">
        <f aca="false">IF(OR($D198="",$N198&lt;&gt;"",$AD198=""),"",IF($E198="LONG",($AD198-$I198)*$J198,($I198-$AD198)*$J198))</f>
        <v/>
      </c>
      <c r="AF198" s="40" t="str">
        <f aca="false">IF(OR($D198="",$E198&lt;&gt;"LONG",$Z198=""),"",$Z198+SUMIFS($Z$4:$Z$503,$B$4:$B$503,$B198,$E$4:$E$503,"SHORT"))</f>
        <v/>
      </c>
      <c r="AG198" s="42" t="str">
        <f aca="false">IF(OR($AF198="",$K198=0),"",$AF198/$K198)</f>
        <v/>
      </c>
      <c r="AH198" s="46"/>
      <c r="AI198" s="43" t="str">
        <f aca="false">IF(OR($D198="",$AH198="",$Z198=""),"",$Z198-$AH198)</f>
        <v/>
      </c>
      <c r="AJ198" s="49"/>
      <c r="AK198" s="47" t="str">
        <f aca="false">IF($D198="","",IFERROR(MATCH($F198,Config!$A$13:$A$15,0),1))</f>
        <v/>
      </c>
      <c r="AL198" s="47" t="str">
        <f aca="false">IF(OR($D198="",$N198=""),"",IF($E198="LONG",$K198,$O198))</f>
        <v/>
      </c>
      <c r="AM198" s="47" t="str">
        <f aca="false">IF(OR($D198="",$N198=""),"",IF($E198="LONG",$O198,$K198))</f>
        <v/>
      </c>
    </row>
    <row r="199" customFormat="false" ht="15" hidden="false" customHeight="false" outlineLevel="0" collapsed="false">
      <c r="A199" s="49"/>
      <c r="B199" s="5" t="str">
        <f aca="false">IF($D199="","",IF(OR(RIGHT($A199,2)="-L",RIGHT($A199,2)="-S"),LEFT($A199,LEN($A199)-2),$A199))</f>
        <v/>
      </c>
      <c r="C199" s="50"/>
      <c r="D199" s="49"/>
      <c r="E199" s="49"/>
      <c r="F199" s="49"/>
      <c r="G199" s="45"/>
      <c r="H199" s="50"/>
      <c r="I199" s="45"/>
      <c r="J199" s="51"/>
      <c r="K199" s="40" t="str">
        <f aca="false">IF($D199="","",$I199*$J199)</f>
        <v/>
      </c>
      <c r="L199" s="50"/>
      <c r="M199" s="49"/>
      <c r="N199" s="45"/>
      <c r="O199" s="40" t="str">
        <f aca="false">IF(OR($D199="",$N199=""),"",$N199*$J199)</f>
        <v/>
      </c>
      <c r="P199" s="41" t="str">
        <f aca="false">IF(OR($D199="",$L199=""),"",MAX($L199-$H199,0))</f>
        <v/>
      </c>
      <c r="Q199" s="40" t="str">
        <f aca="false">IF(OR($D199="",$N199=""),"",IF($E199="LONG",($N199-$I199)*$J199,($I199-$N199)*$J199))</f>
        <v/>
      </c>
      <c r="R199" s="42" t="str">
        <f aca="false">IF(OR($D199="",$Q199="",$K199=0),"",$Q199/$K199)</f>
        <v/>
      </c>
      <c r="S199" s="43" t="str">
        <f aca="false">IF(OR($D199="",$N199=""),"",MIN(INDEX(Config!$C$13:$C$15,$AK199),INDEX(Config!$B$13:$B$15,$AK199)*$K199)+MIN(INDEX(Config!$C$13:$C$15,$AK199),INDEX(Config!$B$13:$B$15,$AK199)*$O199))</f>
        <v/>
      </c>
      <c r="T199" s="43" t="str">
        <f aca="false">IF(OR($D199="",$N199=""),"",INDEX(Config!$D$13:$D$15,$AK199)*$AL199+INDEX(Config!$E$13:$E$15,$AK199)*$AM199)</f>
        <v/>
      </c>
      <c r="U199" s="43" t="str">
        <f aca="false">IF(OR($D199="",$N199=""),"",INDEX(Config!$F$13:$F$15,$AK199)*($K199+$O199))</f>
        <v/>
      </c>
      <c r="V199" s="43" t="str">
        <f aca="false">IF(OR($D199="",$N199=""),"",INDEX(Config!$G$13:$G$15,$AK199)*($K199+$O199)+INDEX(Config!$H$13:$H$15,$AK199)*$AL199+INDEX(Config!$J$13:$J$15,$AK199))</f>
        <v/>
      </c>
      <c r="W199" s="43" t="str">
        <f aca="false">IF(OR($D199="",$N199=""),"",INDEX(Config!$I$13:$I$15,$AK199)*($S199+$U199+INDEX(Config!$G$13:$G$15,$AK199)*($K199+$O199)))</f>
        <v/>
      </c>
      <c r="X199" s="43" t="str">
        <f aca="false">IF(OR($D199="",$N199=""),"",INDEX(Config!$K$13:$K$15,$AK199)/365*$P199*$K199*Config!$B$8)</f>
        <v/>
      </c>
      <c r="Y199" s="43" t="str">
        <f aca="false">IF(OR($D199="",$N199=""),"",SUM($S199:$X199))</f>
        <v/>
      </c>
      <c r="Z199" s="40" t="str">
        <f aca="false">IF(OR($D199="",$Q199=""),"",$Q199-$Y199)</f>
        <v/>
      </c>
      <c r="AA199" s="42" t="str">
        <f aca="false">IF(OR($D199="",$Z199="",$K199=0),"",$Z199/$K199)</f>
        <v/>
      </c>
      <c r="AB199" s="44" t="str">
        <f aca="false">IF(OR($D199="",$Y199="",$K199=0),"",$Y199/$K199*10000)</f>
        <v/>
      </c>
      <c r="AC199" s="44" t="str">
        <f aca="false">IF(OR($D199="",$G199="",$G199=0,$I199=""),"",IF($E199="LONG",($I199-$G199)/$G199,($G199-$I199)/$G199)*10000)</f>
        <v/>
      </c>
      <c r="AD199" s="45"/>
      <c r="AE199" s="40" t="str">
        <f aca="false">IF(OR($D199="",$N199&lt;&gt;"",$AD199=""),"",IF($E199="LONG",($AD199-$I199)*$J199,($I199-$AD199)*$J199))</f>
        <v/>
      </c>
      <c r="AF199" s="40" t="str">
        <f aca="false">IF(OR($D199="",$E199&lt;&gt;"LONG",$Z199=""),"",$Z199+SUMIFS($Z$4:$Z$503,$B$4:$B$503,$B199,$E$4:$E$503,"SHORT"))</f>
        <v/>
      </c>
      <c r="AG199" s="42" t="str">
        <f aca="false">IF(OR($AF199="",$K199=0),"",$AF199/$K199)</f>
        <v/>
      </c>
      <c r="AH199" s="46"/>
      <c r="AI199" s="43" t="str">
        <f aca="false">IF(OR($D199="",$AH199="",$Z199=""),"",$Z199-$AH199)</f>
        <v/>
      </c>
      <c r="AJ199" s="49"/>
      <c r="AK199" s="47" t="str">
        <f aca="false">IF($D199="","",IFERROR(MATCH($F199,Config!$A$13:$A$15,0),1))</f>
        <v/>
      </c>
      <c r="AL199" s="47" t="str">
        <f aca="false">IF(OR($D199="",$N199=""),"",IF($E199="LONG",$K199,$O199))</f>
        <v/>
      </c>
      <c r="AM199" s="47" t="str">
        <f aca="false">IF(OR($D199="",$N199=""),"",IF($E199="LONG",$O199,$K199))</f>
        <v/>
      </c>
    </row>
    <row r="200" customFormat="false" ht="15" hidden="false" customHeight="false" outlineLevel="0" collapsed="false">
      <c r="A200" s="49"/>
      <c r="B200" s="5" t="str">
        <f aca="false">IF($D200="","",IF(OR(RIGHT($A200,2)="-L",RIGHT($A200,2)="-S"),LEFT($A200,LEN($A200)-2),$A200))</f>
        <v/>
      </c>
      <c r="C200" s="50"/>
      <c r="D200" s="49"/>
      <c r="E200" s="49"/>
      <c r="F200" s="49"/>
      <c r="G200" s="45"/>
      <c r="H200" s="50"/>
      <c r="I200" s="45"/>
      <c r="J200" s="51"/>
      <c r="K200" s="40" t="str">
        <f aca="false">IF($D200="","",$I200*$J200)</f>
        <v/>
      </c>
      <c r="L200" s="50"/>
      <c r="M200" s="49"/>
      <c r="N200" s="45"/>
      <c r="O200" s="40" t="str">
        <f aca="false">IF(OR($D200="",$N200=""),"",$N200*$J200)</f>
        <v/>
      </c>
      <c r="P200" s="41" t="str">
        <f aca="false">IF(OR($D200="",$L200=""),"",MAX($L200-$H200,0))</f>
        <v/>
      </c>
      <c r="Q200" s="40" t="str">
        <f aca="false">IF(OR($D200="",$N200=""),"",IF($E200="LONG",($N200-$I200)*$J200,($I200-$N200)*$J200))</f>
        <v/>
      </c>
      <c r="R200" s="42" t="str">
        <f aca="false">IF(OR($D200="",$Q200="",$K200=0),"",$Q200/$K200)</f>
        <v/>
      </c>
      <c r="S200" s="43" t="str">
        <f aca="false">IF(OR($D200="",$N200=""),"",MIN(INDEX(Config!$C$13:$C$15,$AK200),INDEX(Config!$B$13:$B$15,$AK200)*$K200)+MIN(INDEX(Config!$C$13:$C$15,$AK200),INDEX(Config!$B$13:$B$15,$AK200)*$O200))</f>
        <v/>
      </c>
      <c r="T200" s="43" t="str">
        <f aca="false">IF(OR($D200="",$N200=""),"",INDEX(Config!$D$13:$D$15,$AK200)*$AL200+INDEX(Config!$E$13:$E$15,$AK200)*$AM200)</f>
        <v/>
      </c>
      <c r="U200" s="43" t="str">
        <f aca="false">IF(OR($D200="",$N200=""),"",INDEX(Config!$F$13:$F$15,$AK200)*($K200+$O200))</f>
        <v/>
      </c>
      <c r="V200" s="43" t="str">
        <f aca="false">IF(OR($D200="",$N200=""),"",INDEX(Config!$G$13:$G$15,$AK200)*($K200+$O200)+INDEX(Config!$H$13:$H$15,$AK200)*$AL200+INDEX(Config!$J$13:$J$15,$AK200))</f>
        <v/>
      </c>
      <c r="W200" s="43" t="str">
        <f aca="false">IF(OR($D200="",$N200=""),"",INDEX(Config!$I$13:$I$15,$AK200)*($S200+$U200+INDEX(Config!$G$13:$G$15,$AK200)*($K200+$O200)))</f>
        <v/>
      </c>
      <c r="X200" s="43" t="str">
        <f aca="false">IF(OR($D200="",$N200=""),"",INDEX(Config!$K$13:$K$15,$AK200)/365*$P200*$K200*Config!$B$8)</f>
        <v/>
      </c>
      <c r="Y200" s="43" t="str">
        <f aca="false">IF(OR($D200="",$N200=""),"",SUM($S200:$X200))</f>
        <v/>
      </c>
      <c r="Z200" s="40" t="str">
        <f aca="false">IF(OR($D200="",$Q200=""),"",$Q200-$Y200)</f>
        <v/>
      </c>
      <c r="AA200" s="42" t="str">
        <f aca="false">IF(OR($D200="",$Z200="",$K200=0),"",$Z200/$K200)</f>
        <v/>
      </c>
      <c r="AB200" s="44" t="str">
        <f aca="false">IF(OR($D200="",$Y200="",$K200=0),"",$Y200/$K200*10000)</f>
        <v/>
      </c>
      <c r="AC200" s="44" t="str">
        <f aca="false">IF(OR($D200="",$G200="",$G200=0,$I200=""),"",IF($E200="LONG",($I200-$G200)/$G200,($G200-$I200)/$G200)*10000)</f>
        <v/>
      </c>
      <c r="AD200" s="45"/>
      <c r="AE200" s="40" t="str">
        <f aca="false">IF(OR($D200="",$N200&lt;&gt;"",$AD200=""),"",IF($E200="LONG",($AD200-$I200)*$J200,($I200-$AD200)*$J200))</f>
        <v/>
      </c>
      <c r="AF200" s="40" t="str">
        <f aca="false">IF(OR($D200="",$E200&lt;&gt;"LONG",$Z200=""),"",$Z200+SUMIFS($Z$4:$Z$503,$B$4:$B$503,$B200,$E$4:$E$503,"SHORT"))</f>
        <v/>
      </c>
      <c r="AG200" s="42" t="str">
        <f aca="false">IF(OR($AF200="",$K200=0),"",$AF200/$K200)</f>
        <v/>
      </c>
      <c r="AH200" s="46"/>
      <c r="AI200" s="43" t="str">
        <f aca="false">IF(OR($D200="",$AH200="",$Z200=""),"",$Z200-$AH200)</f>
        <v/>
      </c>
      <c r="AJ200" s="49"/>
      <c r="AK200" s="47" t="str">
        <f aca="false">IF($D200="","",IFERROR(MATCH($F200,Config!$A$13:$A$15,0),1))</f>
        <v/>
      </c>
      <c r="AL200" s="47" t="str">
        <f aca="false">IF(OR($D200="",$N200=""),"",IF($E200="LONG",$K200,$O200))</f>
        <v/>
      </c>
      <c r="AM200" s="47" t="str">
        <f aca="false">IF(OR($D200="",$N200=""),"",IF($E200="LONG",$O200,$K200))</f>
        <v/>
      </c>
    </row>
    <row r="201" customFormat="false" ht="15" hidden="false" customHeight="false" outlineLevel="0" collapsed="false">
      <c r="A201" s="49"/>
      <c r="B201" s="5" t="str">
        <f aca="false">IF($D201="","",IF(OR(RIGHT($A201,2)="-L",RIGHT($A201,2)="-S"),LEFT($A201,LEN($A201)-2),$A201))</f>
        <v/>
      </c>
      <c r="C201" s="50"/>
      <c r="D201" s="49"/>
      <c r="E201" s="49"/>
      <c r="F201" s="49"/>
      <c r="G201" s="45"/>
      <c r="H201" s="50"/>
      <c r="I201" s="45"/>
      <c r="J201" s="51"/>
      <c r="K201" s="40" t="str">
        <f aca="false">IF($D201="","",$I201*$J201)</f>
        <v/>
      </c>
      <c r="L201" s="50"/>
      <c r="M201" s="49"/>
      <c r="N201" s="45"/>
      <c r="O201" s="40" t="str">
        <f aca="false">IF(OR($D201="",$N201=""),"",$N201*$J201)</f>
        <v/>
      </c>
      <c r="P201" s="41" t="str">
        <f aca="false">IF(OR($D201="",$L201=""),"",MAX($L201-$H201,0))</f>
        <v/>
      </c>
      <c r="Q201" s="40" t="str">
        <f aca="false">IF(OR($D201="",$N201=""),"",IF($E201="LONG",($N201-$I201)*$J201,($I201-$N201)*$J201))</f>
        <v/>
      </c>
      <c r="R201" s="42" t="str">
        <f aca="false">IF(OR($D201="",$Q201="",$K201=0),"",$Q201/$K201)</f>
        <v/>
      </c>
      <c r="S201" s="43" t="str">
        <f aca="false">IF(OR($D201="",$N201=""),"",MIN(INDEX(Config!$C$13:$C$15,$AK201),INDEX(Config!$B$13:$B$15,$AK201)*$K201)+MIN(INDEX(Config!$C$13:$C$15,$AK201),INDEX(Config!$B$13:$B$15,$AK201)*$O201))</f>
        <v/>
      </c>
      <c r="T201" s="43" t="str">
        <f aca="false">IF(OR($D201="",$N201=""),"",INDEX(Config!$D$13:$D$15,$AK201)*$AL201+INDEX(Config!$E$13:$E$15,$AK201)*$AM201)</f>
        <v/>
      </c>
      <c r="U201" s="43" t="str">
        <f aca="false">IF(OR($D201="",$N201=""),"",INDEX(Config!$F$13:$F$15,$AK201)*($K201+$O201))</f>
        <v/>
      </c>
      <c r="V201" s="43" t="str">
        <f aca="false">IF(OR($D201="",$N201=""),"",INDEX(Config!$G$13:$G$15,$AK201)*($K201+$O201)+INDEX(Config!$H$13:$H$15,$AK201)*$AL201+INDEX(Config!$J$13:$J$15,$AK201))</f>
        <v/>
      </c>
      <c r="W201" s="43" t="str">
        <f aca="false">IF(OR($D201="",$N201=""),"",INDEX(Config!$I$13:$I$15,$AK201)*($S201+$U201+INDEX(Config!$G$13:$G$15,$AK201)*($K201+$O201)))</f>
        <v/>
      </c>
      <c r="X201" s="43" t="str">
        <f aca="false">IF(OR($D201="",$N201=""),"",INDEX(Config!$K$13:$K$15,$AK201)/365*$P201*$K201*Config!$B$8)</f>
        <v/>
      </c>
      <c r="Y201" s="43" t="str">
        <f aca="false">IF(OR($D201="",$N201=""),"",SUM($S201:$X201))</f>
        <v/>
      </c>
      <c r="Z201" s="40" t="str">
        <f aca="false">IF(OR($D201="",$Q201=""),"",$Q201-$Y201)</f>
        <v/>
      </c>
      <c r="AA201" s="42" t="str">
        <f aca="false">IF(OR($D201="",$Z201="",$K201=0),"",$Z201/$K201)</f>
        <v/>
      </c>
      <c r="AB201" s="44" t="str">
        <f aca="false">IF(OR($D201="",$Y201="",$K201=0),"",$Y201/$K201*10000)</f>
        <v/>
      </c>
      <c r="AC201" s="44" t="str">
        <f aca="false">IF(OR($D201="",$G201="",$G201=0,$I201=""),"",IF($E201="LONG",($I201-$G201)/$G201,($G201-$I201)/$G201)*10000)</f>
        <v/>
      </c>
      <c r="AD201" s="45"/>
      <c r="AE201" s="40" t="str">
        <f aca="false">IF(OR($D201="",$N201&lt;&gt;"",$AD201=""),"",IF($E201="LONG",($AD201-$I201)*$J201,($I201-$AD201)*$J201))</f>
        <v/>
      </c>
      <c r="AF201" s="40" t="str">
        <f aca="false">IF(OR($D201="",$E201&lt;&gt;"LONG",$Z201=""),"",$Z201+SUMIFS($Z$4:$Z$503,$B$4:$B$503,$B201,$E$4:$E$503,"SHORT"))</f>
        <v/>
      </c>
      <c r="AG201" s="42" t="str">
        <f aca="false">IF(OR($AF201="",$K201=0),"",$AF201/$K201)</f>
        <v/>
      </c>
      <c r="AH201" s="46"/>
      <c r="AI201" s="43" t="str">
        <f aca="false">IF(OR($D201="",$AH201="",$Z201=""),"",$Z201-$AH201)</f>
        <v/>
      </c>
      <c r="AJ201" s="49"/>
      <c r="AK201" s="47" t="str">
        <f aca="false">IF($D201="","",IFERROR(MATCH($F201,Config!$A$13:$A$15,0),1))</f>
        <v/>
      </c>
      <c r="AL201" s="47" t="str">
        <f aca="false">IF(OR($D201="",$N201=""),"",IF($E201="LONG",$K201,$O201))</f>
        <v/>
      </c>
      <c r="AM201" s="47" t="str">
        <f aca="false">IF(OR($D201="",$N201=""),"",IF($E201="LONG",$O201,$K201))</f>
        <v/>
      </c>
    </row>
    <row r="202" customFormat="false" ht="15" hidden="false" customHeight="false" outlineLevel="0" collapsed="false">
      <c r="A202" s="49"/>
      <c r="B202" s="5" t="str">
        <f aca="false">IF($D202="","",IF(OR(RIGHT($A202,2)="-L",RIGHT($A202,2)="-S"),LEFT($A202,LEN($A202)-2),$A202))</f>
        <v/>
      </c>
      <c r="C202" s="50"/>
      <c r="D202" s="49"/>
      <c r="E202" s="49"/>
      <c r="F202" s="49"/>
      <c r="G202" s="45"/>
      <c r="H202" s="50"/>
      <c r="I202" s="45"/>
      <c r="J202" s="51"/>
      <c r="K202" s="40" t="str">
        <f aca="false">IF($D202="","",$I202*$J202)</f>
        <v/>
      </c>
      <c r="L202" s="50"/>
      <c r="M202" s="49"/>
      <c r="N202" s="45"/>
      <c r="O202" s="40" t="str">
        <f aca="false">IF(OR($D202="",$N202=""),"",$N202*$J202)</f>
        <v/>
      </c>
      <c r="P202" s="41" t="str">
        <f aca="false">IF(OR($D202="",$L202=""),"",MAX($L202-$H202,0))</f>
        <v/>
      </c>
      <c r="Q202" s="40" t="str">
        <f aca="false">IF(OR($D202="",$N202=""),"",IF($E202="LONG",($N202-$I202)*$J202,($I202-$N202)*$J202))</f>
        <v/>
      </c>
      <c r="R202" s="42" t="str">
        <f aca="false">IF(OR($D202="",$Q202="",$K202=0),"",$Q202/$K202)</f>
        <v/>
      </c>
      <c r="S202" s="43" t="str">
        <f aca="false">IF(OR($D202="",$N202=""),"",MIN(INDEX(Config!$C$13:$C$15,$AK202),INDEX(Config!$B$13:$B$15,$AK202)*$K202)+MIN(INDEX(Config!$C$13:$C$15,$AK202),INDEX(Config!$B$13:$B$15,$AK202)*$O202))</f>
        <v/>
      </c>
      <c r="T202" s="43" t="str">
        <f aca="false">IF(OR($D202="",$N202=""),"",INDEX(Config!$D$13:$D$15,$AK202)*$AL202+INDEX(Config!$E$13:$E$15,$AK202)*$AM202)</f>
        <v/>
      </c>
      <c r="U202" s="43" t="str">
        <f aca="false">IF(OR($D202="",$N202=""),"",INDEX(Config!$F$13:$F$15,$AK202)*($K202+$O202))</f>
        <v/>
      </c>
      <c r="V202" s="43" t="str">
        <f aca="false">IF(OR($D202="",$N202=""),"",INDEX(Config!$G$13:$G$15,$AK202)*($K202+$O202)+INDEX(Config!$H$13:$H$15,$AK202)*$AL202+INDEX(Config!$J$13:$J$15,$AK202))</f>
        <v/>
      </c>
      <c r="W202" s="43" t="str">
        <f aca="false">IF(OR($D202="",$N202=""),"",INDEX(Config!$I$13:$I$15,$AK202)*($S202+$U202+INDEX(Config!$G$13:$G$15,$AK202)*($K202+$O202)))</f>
        <v/>
      </c>
      <c r="X202" s="43" t="str">
        <f aca="false">IF(OR($D202="",$N202=""),"",INDEX(Config!$K$13:$K$15,$AK202)/365*$P202*$K202*Config!$B$8)</f>
        <v/>
      </c>
      <c r="Y202" s="43" t="str">
        <f aca="false">IF(OR($D202="",$N202=""),"",SUM($S202:$X202))</f>
        <v/>
      </c>
      <c r="Z202" s="40" t="str">
        <f aca="false">IF(OR($D202="",$Q202=""),"",$Q202-$Y202)</f>
        <v/>
      </c>
      <c r="AA202" s="42" t="str">
        <f aca="false">IF(OR($D202="",$Z202="",$K202=0),"",$Z202/$K202)</f>
        <v/>
      </c>
      <c r="AB202" s="44" t="str">
        <f aca="false">IF(OR($D202="",$Y202="",$K202=0),"",$Y202/$K202*10000)</f>
        <v/>
      </c>
      <c r="AC202" s="44" t="str">
        <f aca="false">IF(OR($D202="",$G202="",$G202=0,$I202=""),"",IF($E202="LONG",($I202-$G202)/$G202,($G202-$I202)/$G202)*10000)</f>
        <v/>
      </c>
      <c r="AD202" s="45"/>
      <c r="AE202" s="40" t="str">
        <f aca="false">IF(OR($D202="",$N202&lt;&gt;"",$AD202=""),"",IF($E202="LONG",($AD202-$I202)*$J202,($I202-$AD202)*$J202))</f>
        <v/>
      </c>
      <c r="AF202" s="40" t="str">
        <f aca="false">IF(OR($D202="",$E202&lt;&gt;"LONG",$Z202=""),"",$Z202+SUMIFS($Z$4:$Z$503,$B$4:$B$503,$B202,$E$4:$E$503,"SHORT"))</f>
        <v/>
      </c>
      <c r="AG202" s="42" t="str">
        <f aca="false">IF(OR($AF202="",$K202=0),"",$AF202/$K202)</f>
        <v/>
      </c>
      <c r="AH202" s="46"/>
      <c r="AI202" s="43" t="str">
        <f aca="false">IF(OR($D202="",$AH202="",$Z202=""),"",$Z202-$AH202)</f>
        <v/>
      </c>
      <c r="AJ202" s="49"/>
      <c r="AK202" s="47" t="str">
        <f aca="false">IF($D202="","",IFERROR(MATCH($F202,Config!$A$13:$A$15,0),1))</f>
        <v/>
      </c>
      <c r="AL202" s="47" t="str">
        <f aca="false">IF(OR($D202="",$N202=""),"",IF($E202="LONG",$K202,$O202))</f>
        <v/>
      </c>
      <c r="AM202" s="47" t="str">
        <f aca="false">IF(OR($D202="",$N202=""),"",IF($E202="LONG",$O202,$K202))</f>
        <v/>
      </c>
    </row>
    <row r="203" customFormat="false" ht="15" hidden="false" customHeight="false" outlineLevel="0" collapsed="false">
      <c r="A203" s="49"/>
      <c r="B203" s="5" t="str">
        <f aca="false">IF($D203="","",IF(OR(RIGHT($A203,2)="-L",RIGHT($A203,2)="-S"),LEFT($A203,LEN($A203)-2),$A203))</f>
        <v/>
      </c>
      <c r="C203" s="50"/>
      <c r="D203" s="49"/>
      <c r="E203" s="49"/>
      <c r="F203" s="49"/>
      <c r="G203" s="45"/>
      <c r="H203" s="50"/>
      <c r="I203" s="45"/>
      <c r="J203" s="51"/>
      <c r="K203" s="40" t="str">
        <f aca="false">IF($D203="","",$I203*$J203)</f>
        <v/>
      </c>
      <c r="L203" s="50"/>
      <c r="M203" s="49"/>
      <c r="N203" s="45"/>
      <c r="O203" s="40" t="str">
        <f aca="false">IF(OR($D203="",$N203=""),"",$N203*$J203)</f>
        <v/>
      </c>
      <c r="P203" s="41" t="str">
        <f aca="false">IF(OR($D203="",$L203=""),"",MAX($L203-$H203,0))</f>
        <v/>
      </c>
      <c r="Q203" s="40" t="str">
        <f aca="false">IF(OR($D203="",$N203=""),"",IF($E203="LONG",($N203-$I203)*$J203,($I203-$N203)*$J203))</f>
        <v/>
      </c>
      <c r="R203" s="42" t="str">
        <f aca="false">IF(OR($D203="",$Q203="",$K203=0),"",$Q203/$K203)</f>
        <v/>
      </c>
      <c r="S203" s="43" t="str">
        <f aca="false">IF(OR($D203="",$N203=""),"",MIN(INDEX(Config!$C$13:$C$15,$AK203),INDEX(Config!$B$13:$B$15,$AK203)*$K203)+MIN(INDEX(Config!$C$13:$C$15,$AK203),INDEX(Config!$B$13:$B$15,$AK203)*$O203))</f>
        <v/>
      </c>
      <c r="T203" s="43" t="str">
        <f aca="false">IF(OR($D203="",$N203=""),"",INDEX(Config!$D$13:$D$15,$AK203)*$AL203+INDEX(Config!$E$13:$E$15,$AK203)*$AM203)</f>
        <v/>
      </c>
      <c r="U203" s="43" t="str">
        <f aca="false">IF(OR($D203="",$N203=""),"",INDEX(Config!$F$13:$F$15,$AK203)*($K203+$O203))</f>
        <v/>
      </c>
      <c r="V203" s="43" t="str">
        <f aca="false">IF(OR($D203="",$N203=""),"",INDEX(Config!$G$13:$G$15,$AK203)*($K203+$O203)+INDEX(Config!$H$13:$H$15,$AK203)*$AL203+INDEX(Config!$J$13:$J$15,$AK203))</f>
        <v/>
      </c>
      <c r="W203" s="43" t="str">
        <f aca="false">IF(OR($D203="",$N203=""),"",INDEX(Config!$I$13:$I$15,$AK203)*($S203+$U203+INDEX(Config!$G$13:$G$15,$AK203)*($K203+$O203)))</f>
        <v/>
      </c>
      <c r="X203" s="43" t="str">
        <f aca="false">IF(OR($D203="",$N203=""),"",INDEX(Config!$K$13:$K$15,$AK203)/365*$P203*$K203*Config!$B$8)</f>
        <v/>
      </c>
      <c r="Y203" s="43" t="str">
        <f aca="false">IF(OR($D203="",$N203=""),"",SUM($S203:$X203))</f>
        <v/>
      </c>
      <c r="Z203" s="40" t="str">
        <f aca="false">IF(OR($D203="",$Q203=""),"",$Q203-$Y203)</f>
        <v/>
      </c>
      <c r="AA203" s="42" t="str">
        <f aca="false">IF(OR($D203="",$Z203="",$K203=0),"",$Z203/$K203)</f>
        <v/>
      </c>
      <c r="AB203" s="44" t="str">
        <f aca="false">IF(OR($D203="",$Y203="",$K203=0),"",$Y203/$K203*10000)</f>
        <v/>
      </c>
      <c r="AC203" s="44" t="str">
        <f aca="false">IF(OR($D203="",$G203="",$G203=0,$I203=""),"",IF($E203="LONG",($I203-$G203)/$G203,($G203-$I203)/$G203)*10000)</f>
        <v/>
      </c>
      <c r="AD203" s="45"/>
      <c r="AE203" s="40" t="str">
        <f aca="false">IF(OR($D203="",$N203&lt;&gt;"",$AD203=""),"",IF($E203="LONG",($AD203-$I203)*$J203,($I203-$AD203)*$J203))</f>
        <v/>
      </c>
      <c r="AF203" s="40" t="str">
        <f aca="false">IF(OR($D203="",$E203&lt;&gt;"LONG",$Z203=""),"",$Z203+SUMIFS($Z$4:$Z$503,$B$4:$B$503,$B203,$E$4:$E$503,"SHORT"))</f>
        <v/>
      </c>
      <c r="AG203" s="42" t="str">
        <f aca="false">IF(OR($AF203="",$K203=0),"",$AF203/$K203)</f>
        <v/>
      </c>
      <c r="AH203" s="46"/>
      <c r="AI203" s="43" t="str">
        <f aca="false">IF(OR($D203="",$AH203="",$Z203=""),"",$Z203-$AH203)</f>
        <v/>
      </c>
      <c r="AJ203" s="49"/>
      <c r="AK203" s="47" t="str">
        <f aca="false">IF($D203="","",IFERROR(MATCH($F203,Config!$A$13:$A$15,0),1))</f>
        <v/>
      </c>
      <c r="AL203" s="47" t="str">
        <f aca="false">IF(OR($D203="",$N203=""),"",IF($E203="LONG",$K203,$O203))</f>
        <v/>
      </c>
      <c r="AM203" s="47" t="str">
        <f aca="false">IF(OR($D203="",$N203=""),"",IF($E203="LONG",$O203,$K203))</f>
        <v/>
      </c>
    </row>
    <row r="204" customFormat="false" ht="15" hidden="false" customHeight="false" outlineLevel="0" collapsed="false">
      <c r="A204" s="49"/>
      <c r="B204" s="5" t="str">
        <f aca="false">IF($D204="","",IF(OR(RIGHT($A204,2)="-L",RIGHT($A204,2)="-S"),LEFT($A204,LEN($A204)-2),$A204))</f>
        <v/>
      </c>
      <c r="C204" s="50"/>
      <c r="D204" s="49"/>
      <c r="E204" s="49"/>
      <c r="F204" s="49"/>
      <c r="G204" s="45"/>
      <c r="H204" s="50"/>
      <c r="I204" s="45"/>
      <c r="J204" s="51"/>
      <c r="K204" s="40" t="str">
        <f aca="false">IF($D204="","",$I204*$J204)</f>
        <v/>
      </c>
      <c r="L204" s="50"/>
      <c r="M204" s="49"/>
      <c r="N204" s="45"/>
      <c r="O204" s="40" t="str">
        <f aca="false">IF(OR($D204="",$N204=""),"",$N204*$J204)</f>
        <v/>
      </c>
      <c r="P204" s="41" t="str">
        <f aca="false">IF(OR($D204="",$L204=""),"",MAX($L204-$H204,0))</f>
        <v/>
      </c>
      <c r="Q204" s="40" t="str">
        <f aca="false">IF(OR($D204="",$N204=""),"",IF($E204="LONG",($N204-$I204)*$J204,($I204-$N204)*$J204))</f>
        <v/>
      </c>
      <c r="R204" s="42" t="str">
        <f aca="false">IF(OR($D204="",$Q204="",$K204=0),"",$Q204/$K204)</f>
        <v/>
      </c>
      <c r="S204" s="43" t="str">
        <f aca="false">IF(OR($D204="",$N204=""),"",MIN(INDEX(Config!$C$13:$C$15,$AK204),INDEX(Config!$B$13:$B$15,$AK204)*$K204)+MIN(INDEX(Config!$C$13:$C$15,$AK204),INDEX(Config!$B$13:$B$15,$AK204)*$O204))</f>
        <v/>
      </c>
      <c r="T204" s="43" t="str">
        <f aca="false">IF(OR($D204="",$N204=""),"",INDEX(Config!$D$13:$D$15,$AK204)*$AL204+INDEX(Config!$E$13:$E$15,$AK204)*$AM204)</f>
        <v/>
      </c>
      <c r="U204" s="43" t="str">
        <f aca="false">IF(OR($D204="",$N204=""),"",INDEX(Config!$F$13:$F$15,$AK204)*($K204+$O204))</f>
        <v/>
      </c>
      <c r="V204" s="43" t="str">
        <f aca="false">IF(OR($D204="",$N204=""),"",INDEX(Config!$G$13:$G$15,$AK204)*($K204+$O204)+INDEX(Config!$H$13:$H$15,$AK204)*$AL204+INDEX(Config!$J$13:$J$15,$AK204))</f>
        <v/>
      </c>
      <c r="W204" s="43" t="str">
        <f aca="false">IF(OR($D204="",$N204=""),"",INDEX(Config!$I$13:$I$15,$AK204)*($S204+$U204+INDEX(Config!$G$13:$G$15,$AK204)*($K204+$O204)))</f>
        <v/>
      </c>
      <c r="X204" s="43" t="str">
        <f aca="false">IF(OR($D204="",$N204=""),"",INDEX(Config!$K$13:$K$15,$AK204)/365*$P204*$K204*Config!$B$8)</f>
        <v/>
      </c>
      <c r="Y204" s="43" t="str">
        <f aca="false">IF(OR($D204="",$N204=""),"",SUM($S204:$X204))</f>
        <v/>
      </c>
      <c r="Z204" s="40" t="str">
        <f aca="false">IF(OR($D204="",$Q204=""),"",$Q204-$Y204)</f>
        <v/>
      </c>
      <c r="AA204" s="42" t="str">
        <f aca="false">IF(OR($D204="",$Z204="",$K204=0),"",$Z204/$K204)</f>
        <v/>
      </c>
      <c r="AB204" s="44" t="str">
        <f aca="false">IF(OR($D204="",$Y204="",$K204=0),"",$Y204/$K204*10000)</f>
        <v/>
      </c>
      <c r="AC204" s="44" t="str">
        <f aca="false">IF(OR($D204="",$G204="",$G204=0,$I204=""),"",IF($E204="LONG",($I204-$G204)/$G204,($G204-$I204)/$G204)*10000)</f>
        <v/>
      </c>
      <c r="AD204" s="45"/>
      <c r="AE204" s="40" t="str">
        <f aca="false">IF(OR($D204="",$N204&lt;&gt;"",$AD204=""),"",IF($E204="LONG",($AD204-$I204)*$J204,($I204-$AD204)*$J204))</f>
        <v/>
      </c>
      <c r="AF204" s="40" t="str">
        <f aca="false">IF(OR($D204="",$E204&lt;&gt;"LONG",$Z204=""),"",$Z204+SUMIFS($Z$4:$Z$503,$B$4:$B$503,$B204,$E$4:$E$503,"SHORT"))</f>
        <v/>
      </c>
      <c r="AG204" s="42" t="str">
        <f aca="false">IF(OR($AF204="",$K204=0),"",$AF204/$K204)</f>
        <v/>
      </c>
      <c r="AH204" s="46"/>
      <c r="AI204" s="43" t="str">
        <f aca="false">IF(OR($D204="",$AH204="",$Z204=""),"",$Z204-$AH204)</f>
        <v/>
      </c>
      <c r="AJ204" s="49"/>
      <c r="AK204" s="47" t="str">
        <f aca="false">IF($D204="","",IFERROR(MATCH($F204,Config!$A$13:$A$15,0),1))</f>
        <v/>
      </c>
      <c r="AL204" s="47" t="str">
        <f aca="false">IF(OR($D204="",$N204=""),"",IF($E204="LONG",$K204,$O204))</f>
        <v/>
      </c>
      <c r="AM204" s="47" t="str">
        <f aca="false">IF(OR($D204="",$N204=""),"",IF($E204="LONG",$O204,$K204))</f>
        <v/>
      </c>
    </row>
    <row r="205" customFormat="false" ht="15" hidden="false" customHeight="false" outlineLevel="0" collapsed="false">
      <c r="A205" s="49"/>
      <c r="B205" s="5" t="str">
        <f aca="false">IF($D205="","",IF(OR(RIGHT($A205,2)="-L",RIGHT($A205,2)="-S"),LEFT($A205,LEN($A205)-2),$A205))</f>
        <v/>
      </c>
      <c r="C205" s="50"/>
      <c r="D205" s="49"/>
      <c r="E205" s="49"/>
      <c r="F205" s="49"/>
      <c r="G205" s="45"/>
      <c r="H205" s="50"/>
      <c r="I205" s="45"/>
      <c r="J205" s="51"/>
      <c r="K205" s="40" t="str">
        <f aca="false">IF($D205="","",$I205*$J205)</f>
        <v/>
      </c>
      <c r="L205" s="50"/>
      <c r="M205" s="49"/>
      <c r="N205" s="45"/>
      <c r="O205" s="40" t="str">
        <f aca="false">IF(OR($D205="",$N205=""),"",$N205*$J205)</f>
        <v/>
      </c>
      <c r="P205" s="41" t="str">
        <f aca="false">IF(OR($D205="",$L205=""),"",MAX($L205-$H205,0))</f>
        <v/>
      </c>
      <c r="Q205" s="40" t="str">
        <f aca="false">IF(OR($D205="",$N205=""),"",IF($E205="LONG",($N205-$I205)*$J205,($I205-$N205)*$J205))</f>
        <v/>
      </c>
      <c r="R205" s="42" t="str">
        <f aca="false">IF(OR($D205="",$Q205="",$K205=0),"",$Q205/$K205)</f>
        <v/>
      </c>
      <c r="S205" s="43" t="str">
        <f aca="false">IF(OR($D205="",$N205=""),"",MIN(INDEX(Config!$C$13:$C$15,$AK205),INDEX(Config!$B$13:$B$15,$AK205)*$K205)+MIN(INDEX(Config!$C$13:$C$15,$AK205),INDEX(Config!$B$13:$B$15,$AK205)*$O205))</f>
        <v/>
      </c>
      <c r="T205" s="43" t="str">
        <f aca="false">IF(OR($D205="",$N205=""),"",INDEX(Config!$D$13:$D$15,$AK205)*$AL205+INDEX(Config!$E$13:$E$15,$AK205)*$AM205)</f>
        <v/>
      </c>
      <c r="U205" s="43" t="str">
        <f aca="false">IF(OR($D205="",$N205=""),"",INDEX(Config!$F$13:$F$15,$AK205)*($K205+$O205))</f>
        <v/>
      </c>
      <c r="V205" s="43" t="str">
        <f aca="false">IF(OR($D205="",$N205=""),"",INDEX(Config!$G$13:$G$15,$AK205)*($K205+$O205)+INDEX(Config!$H$13:$H$15,$AK205)*$AL205+INDEX(Config!$J$13:$J$15,$AK205))</f>
        <v/>
      </c>
      <c r="W205" s="43" t="str">
        <f aca="false">IF(OR($D205="",$N205=""),"",INDEX(Config!$I$13:$I$15,$AK205)*($S205+$U205+INDEX(Config!$G$13:$G$15,$AK205)*($K205+$O205)))</f>
        <v/>
      </c>
      <c r="X205" s="43" t="str">
        <f aca="false">IF(OR($D205="",$N205=""),"",INDEX(Config!$K$13:$K$15,$AK205)/365*$P205*$K205*Config!$B$8)</f>
        <v/>
      </c>
      <c r="Y205" s="43" t="str">
        <f aca="false">IF(OR($D205="",$N205=""),"",SUM($S205:$X205))</f>
        <v/>
      </c>
      <c r="Z205" s="40" t="str">
        <f aca="false">IF(OR($D205="",$Q205=""),"",$Q205-$Y205)</f>
        <v/>
      </c>
      <c r="AA205" s="42" t="str">
        <f aca="false">IF(OR($D205="",$Z205="",$K205=0),"",$Z205/$K205)</f>
        <v/>
      </c>
      <c r="AB205" s="44" t="str">
        <f aca="false">IF(OR($D205="",$Y205="",$K205=0),"",$Y205/$K205*10000)</f>
        <v/>
      </c>
      <c r="AC205" s="44" t="str">
        <f aca="false">IF(OR($D205="",$G205="",$G205=0,$I205=""),"",IF($E205="LONG",($I205-$G205)/$G205,($G205-$I205)/$G205)*10000)</f>
        <v/>
      </c>
      <c r="AD205" s="45"/>
      <c r="AE205" s="40" t="str">
        <f aca="false">IF(OR($D205="",$N205&lt;&gt;"",$AD205=""),"",IF($E205="LONG",($AD205-$I205)*$J205,($I205-$AD205)*$J205))</f>
        <v/>
      </c>
      <c r="AF205" s="40" t="str">
        <f aca="false">IF(OR($D205="",$E205&lt;&gt;"LONG",$Z205=""),"",$Z205+SUMIFS($Z$4:$Z$503,$B$4:$B$503,$B205,$E$4:$E$503,"SHORT"))</f>
        <v/>
      </c>
      <c r="AG205" s="42" t="str">
        <f aca="false">IF(OR($AF205="",$K205=0),"",$AF205/$K205)</f>
        <v/>
      </c>
      <c r="AH205" s="46"/>
      <c r="AI205" s="43" t="str">
        <f aca="false">IF(OR($D205="",$AH205="",$Z205=""),"",$Z205-$AH205)</f>
        <v/>
      </c>
      <c r="AJ205" s="49"/>
      <c r="AK205" s="47" t="str">
        <f aca="false">IF($D205="","",IFERROR(MATCH($F205,Config!$A$13:$A$15,0),1))</f>
        <v/>
      </c>
      <c r="AL205" s="47" t="str">
        <f aca="false">IF(OR($D205="",$N205=""),"",IF($E205="LONG",$K205,$O205))</f>
        <v/>
      </c>
      <c r="AM205" s="47" t="str">
        <f aca="false">IF(OR($D205="",$N205=""),"",IF($E205="LONG",$O205,$K205))</f>
        <v/>
      </c>
    </row>
    <row r="206" customFormat="false" ht="15" hidden="false" customHeight="false" outlineLevel="0" collapsed="false">
      <c r="A206" s="49"/>
      <c r="B206" s="5" t="str">
        <f aca="false">IF($D206="","",IF(OR(RIGHT($A206,2)="-L",RIGHT($A206,2)="-S"),LEFT($A206,LEN($A206)-2),$A206))</f>
        <v/>
      </c>
      <c r="C206" s="50"/>
      <c r="D206" s="49"/>
      <c r="E206" s="49"/>
      <c r="F206" s="49"/>
      <c r="G206" s="45"/>
      <c r="H206" s="50"/>
      <c r="I206" s="45"/>
      <c r="J206" s="51"/>
      <c r="K206" s="40" t="str">
        <f aca="false">IF($D206="","",$I206*$J206)</f>
        <v/>
      </c>
      <c r="L206" s="50"/>
      <c r="M206" s="49"/>
      <c r="N206" s="45"/>
      <c r="O206" s="40" t="str">
        <f aca="false">IF(OR($D206="",$N206=""),"",$N206*$J206)</f>
        <v/>
      </c>
      <c r="P206" s="41" t="str">
        <f aca="false">IF(OR($D206="",$L206=""),"",MAX($L206-$H206,0))</f>
        <v/>
      </c>
      <c r="Q206" s="40" t="str">
        <f aca="false">IF(OR($D206="",$N206=""),"",IF($E206="LONG",($N206-$I206)*$J206,($I206-$N206)*$J206))</f>
        <v/>
      </c>
      <c r="R206" s="42" t="str">
        <f aca="false">IF(OR($D206="",$Q206="",$K206=0),"",$Q206/$K206)</f>
        <v/>
      </c>
      <c r="S206" s="43" t="str">
        <f aca="false">IF(OR($D206="",$N206=""),"",MIN(INDEX(Config!$C$13:$C$15,$AK206),INDEX(Config!$B$13:$B$15,$AK206)*$K206)+MIN(INDEX(Config!$C$13:$C$15,$AK206),INDEX(Config!$B$13:$B$15,$AK206)*$O206))</f>
        <v/>
      </c>
      <c r="T206" s="43" t="str">
        <f aca="false">IF(OR($D206="",$N206=""),"",INDEX(Config!$D$13:$D$15,$AK206)*$AL206+INDEX(Config!$E$13:$E$15,$AK206)*$AM206)</f>
        <v/>
      </c>
      <c r="U206" s="43" t="str">
        <f aca="false">IF(OR($D206="",$N206=""),"",INDEX(Config!$F$13:$F$15,$AK206)*($K206+$O206))</f>
        <v/>
      </c>
      <c r="V206" s="43" t="str">
        <f aca="false">IF(OR($D206="",$N206=""),"",INDEX(Config!$G$13:$G$15,$AK206)*($K206+$O206)+INDEX(Config!$H$13:$H$15,$AK206)*$AL206+INDEX(Config!$J$13:$J$15,$AK206))</f>
        <v/>
      </c>
      <c r="W206" s="43" t="str">
        <f aca="false">IF(OR($D206="",$N206=""),"",INDEX(Config!$I$13:$I$15,$AK206)*($S206+$U206+INDEX(Config!$G$13:$G$15,$AK206)*($K206+$O206)))</f>
        <v/>
      </c>
      <c r="X206" s="43" t="str">
        <f aca="false">IF(OR($D206="",$N206=""),"",INDEX(Config!$K$13:$K$15,$AK206)/365*$P206*$K206*Config!$B$8)</f>
        <v/>
      </c>
      <c r="Y206" s="43" t="str">
        <f aca="false">IF(OR($D206="",$N206=""),"",SUM($S206:$X206))</f>
        <v/>
      </c>
      <c r="Z206" s="40" t="str">
        <f aca="false">IF(OR($D206="",$Q206=""),"",$Q206-$Y206)</f>
        <v/>
      </c>
      <c r="AA206" s="42" t="str">
        <f aca="false">IF(OR($D206="",$Z206="",$K206=0),"",$Z206/$K206)</f>
        <v/>
      </c>
      <c r="AB206" s="44" t="str">
        <f aca="false">IF(OR($D206="",$Y206="",$K206=0),"",$Y206/$K206*10000)</f>
        <v/>
      </c>
      <c r="AC206" s="44" t="str">
        <f aca="false">IF(OR($D206="",$G206="",$G206=0,$I206=""),"",IF($E206="LONG",($I206-$G206)/$G206,($G206-$I206)/$G206)*10000)</f>
        <v/>
      </c>
      <c r="AD206" s="45"/>
      <c r="AE206" s="40" t="str">
        <f aca="false">IF(OR($D206="",$N206&lt;&gt;"",$AD206=""),"",IF($E206="LONG",($AD206-$I206)*$J206,($I206-$AD206)*$J206))</f>
        <v/>
      </c>
      <c r="AF206" s="40" t="str">
        <f aca="false">IF(OR($D206="",$E206&lt;&gt;"LONG",$Z206=""),"",$Z206+SUMIFS($Z$4:$Z$503,$B$4:$B$503,$B206,$E$4:$E$503,"SHORT"))</f>
        <v/>
      </c>
      <c r="AG206" s="42" t="str">
        <f aca="false">IF(OR($AF206="",$K206=0),"",$AF206/$K206)</f>
        <v/>
      </c>
      <c r="AH206" s="46"/>
      <c r="AI206" s="43" t="str">
        <f aca="false">IF(OR($D206="",$AH206="",$Z206=""),"",$Z206-$AH206)</f>
        <v/>
      </c>
      <c r="AJ206" s="49"/>
      <c r="AK206" s="47" t="str">
        <f aca="false">IF($D206="","",IFERROR(MATCH($F206,Config!$A$13:$A$15,0),1))</f>
        <v/>
      </c>
      <c r="AL206" s="47" t="str">
        <f aca="false">IF(OR($D206="",$N206=""),"",IF($E206="LONG",$K206,$O206))</f>
        <v/>
      </c>
      <c r="AM206" s="47" t="str">
        <f aca="false">IF(OR($D206="",$N206=""),"",IF($E206="LONG",$O206,$K206))</f>
        <v/>
      </c>
    </row>
    <row r="207" customFormat="false" ht="15" hidden="false" customHeight="false" outlineLevel="0" collapsed="false">
      <c r="A207" s="49"/>
      <c r="B207" s="5" t="str">
        <f aca="false">IF($D207="","",IF(OR(RIGHT($A207,2)="-L",RIGHT($A207,2)="-S"),LEFT($A207,LEN($A207)-2),$A207))</f>
        <v/>
      </c>
      <c r="C207" s="50"/>
      <c r="D207" s="49"/>
      <c r="E207" s="49"/>
      <c r="F207" s="49"/>
      <c r="G207" s="45"/>
      <c r="H207" s="50"/>
      <c r="I207" s="45"/>
      <c r="J207" s="51"/>
      <c r="K207" s="40" t="str">
        <f aca="false">IF($D207="","",$I207*$J207)</f>
        <v/>
      </c>
      <c r="L207" s="50"/>
      <c r="M207" s="49"/>
      <c r="N207" s="45"/>
      <c r="O207" s="40" t="str">
        <f aca="false">IF(OR($D207="",$N207=""),"",$N207*$J207)</f>
        <v/>
      </c>
      <c r="P207" s="41" t="str">
        <f aca="false">IF(OR($D207="",$L207=""),"",MAX($L207-$H207,0))</f>
        <v/>
      </c>
      <c r="Q207" s="40" t="str">
        <f aca="false">IF(OR($D207="",$N207=""),"",IF($E207="LONG",($N207-$I207)*$J207,($I207-$N207)*$J207))</f>
        <v/>
      </c>
      <c r="R207" s="42" t="str">
        <f aca="false">IF(OR($D207="",$Q207="",$K207=0),"",$Q207/$K207)</f>
        <v/>
      </c>
      <c r="S207" s="43" t="str">
        <f aca="false">IF(OR($D207="",$N207=""),"",MIN(INDEX(Config!$C$13:$C$15,$AK207),INDEX(Config!$B$13:$B$15,$AK207)*$K207)+MIN(INDEX(Config!$C$13:$C$15,$AK207),INDEX(Config!$B$13:$B$15,$AK207)*$O207))</f>
        <v/>
      </c>
      <c r="T207" s="43" t="str">
        <f aca="false">IF(OR($D207="",$N207=""),"",INDEX(Config!$D$13:$D$15,$AK207)*$AL207+INDEX(Config!$E$13:$E$15,$AK207)*$AM207)</f>
        <v/>
      </c>
      <c r="U207" s="43" t="str">
        <f aca="false">IF(OR($D207="",$N207=""),"",INDEX(Config!$F$13:$F$15,$AK207)*($K207+$O207))</f>
        <v/>
      </c>
      <c r="V207" s="43" t="str">
        <f aca="false">IF(OR($D207="",$N207=""),"",INDEX(Config!$G$13:$G$15,$AK207)*($K207+$O207)+INDEX(Config!$H$13:$H$15,$AK207)*$AL207+INDEX(Config!$J$13:$J$15,$AK207))</f>
        <v/>
      </c>
      <c r="W207" s="43" t="str">
        <f aca="false">IF(OR($D207="",$N207=""),"",INDEX(Config!$I$13:$I$15,$AK207)*($S207+$U207+INDEX(Config!$G$13:$G$15,$AK207)*($K207+$O207)))</f>
        <v/>
      </c>
      <c r="X207" s="43" t="str">
        <f aca="false">IF(OR($D207="",$N207=""),"",INDEX(Config!$K$13:$K$15,$AK207)/365*$P207*$K207*Config!$B$8)</f>
        <v/>
      </c>
      <c r="Y207" s="43" t="str">
        <f aca="false">IF(OR($D207="",$N207=""),"",SUM($S207:$X207))</f>
        <v/>
      </c>
      <c r="Z207" s="40" t="str">
        <f aca="false">IF(OR($D207="",$Q207=""),"",$Q207-$Y207)</f>
        <v/>
      </c>
      <c r="AA207" s="42" t="str">
        <f aca="false">IF(OR($D207="",$Z207="",$K207=0),"",$Z207/$K207)</f>
        <v/>
      </c>
      <c r="AB207" s="44" t="str">
        <f aca="false">IF(OR($D207="",$Y207="",$K207=0),"",$Y207/$K207*10000)</f>
        <v/>
      </c>
      <c r="AC207" s="44" t="str">
        <f aca="false">IF(OR($D207="",$G207="",$G207=0,$I207=""),"",IF($E207="LONG",($I207-$G207)/$G207,($G207-$I207)/$G207)*10000)</f>
        <v/>
      </c>
      <c r="AD207" s="45"/>
      <c r="AE207" s="40" t="str">
        <f aca="false">IF(OR($D207="",$N207&lt;&gt;"",$AD207=""),"",IF($E207="LONG",($AD207-$I207)*$J207,($I207-$AD207)*$J207))</f>
        <v/>
      </c>
      <c r="AF207" s="40" t="str">
        <f aca="false">IF(OR($D207="",$E207&lt;&gt;"LONG",$Z207=""),"",$Z207+SUMIFS($Z$4:$Z$503,$B$4:$B$503,$B207,$E$4:$E$503,"SHORT"))</f>
        <v/>
      </c>
      <c r="AG207" s="42" t="str">
        <f aca="false">IF(OR($AF207="",$K207=0),"",$AF207/$K207)</f>
        <v/>
      </c>
      <c r="AH207" s="46"/>
      <c r="AI207" s="43" t="str">
        <f aca="false">IF(OR($D207="",$AH207="",$Z207=""),"",$Z207-$AH207)</f>
        <v/>
      </c>
      <c r="AJ207" s="49"/>
      <c r="AK207" s="47" t="str">
        <f aca="false">IF($D207="","",IFERROR(MATCH($F207,Config!$A$13:$A$15,0),1))</f>
        <v/>
      </c>
      <c r="AL207" s="47" t="str">
        <f aca="false">IF(OR($D207="",$N207=""),"",IF($E207="LONG",$K207,$O207))</f>
        <v/>
      </c>
      <c r="AM207" s="47" t="str">
        <f aca="false">IF(OR($D207="",$N207=""),"",IF($E207="LONG",$O207,$K207))</f>
        <v/>
      </c>
    </row>
    <row r="208" customFormat="false" ht="15" hidden="false" customHeight="false" outlineLevel="0" collapsed="false">
      <c r="A208" s="49"/>
      <c r="B208" s="5" t="str">
        <f aca="false">IF($D208="","",IF(OR(RIGHT($A208,2)="-L",RIGHT($A208,2)="-S"),LEFT($A208,LEN($A208)-2),$A208))</f>
        <v/>
      </c>
      <c r="C208" s="50"/>
      <c r="D208" s="49"/>
      <c r="E208" s="49"/>
      <c r="F208" s="49"/>
      <c r="G208" s="45"/>
      <c r="H208" s="50"/>
      <c r="I208" s="45"/>
      <c r="J208" s="51"/>
      <c r="K208" s="40" t="str">
        <f aca="false">IF($D208="","",$I208*$J208)</f>
        <v/>
      </c>
      <c r="L208" s="50"/>
      <c r="M208" s="49"/>
      <c r="N208" s="45"/>
      <c r="O208" s="40" t="str">
        <f aca="false">IF(OR($D208="",$N208=""),"",$N208*$J208)</f>
        <v/>
      </c>
      <c r="P208" s="41" t="str">
        <f aca="false">IF(OR($D208="",$L208=""),"",MAX($L208-$H208,0))</f>
        <v/>
      </c>
      <c r="Q208" s="40" t="str">
        <f aca="false">IF(OR($D208="",$N208=""),"",IF($E208="LONG",($N208-$I208)*$J208,($I208-$N208)*$J208))</f>
        <v/>
      </c>
      <c r="R208" s="42" t="str">
        <f aca="false">IF(OR($D208="",$Q208="",$K208=0),"",$Q208/$K208)</f>
        <v/>
      </c>
      <c r="S208" s="43" t="str">
        <f aca="false">IF(OR($D208="",$N208=""),"",MIN(INDEX(Config!$C$13:$C$15,$AK208),INDEX(Config!$B$13:$B$15,$AK208)*$K208)+MIN(INDEX(Config!$C$13:$C$15,$AK208),INDEX(Config!$B$13:$B$15,$AK208)*$O208))</f>
        <v/>
      </c>
      <c r="T208" s="43" t="str">
        <f aca="false">IF(OR($D208="",$N208=""),"",INDEX(Config!$D$13:$D$15,$AK208)*$AL208+INDEX(Config!$E$13:$E$15,$AK208)*$AM208)</f>
        <v/>
      </c>
      <c r="U208" s="43" t="str">
        <f aca="false">IF(OR($D208="",$N208=""),"",INDEX(Config!$F$13:$F$15,$AK208)*($K208+$O208))</f>
        <v/>
      </c>
      <c r="V208" s="43" t="str">
        <f aca="false">IF(OR($D208="",$N208=""),"",INDEX(Config!$G$13:$G$15,$AK208)*($K208+$O208)+INDEX(Config!$H$13:$H$15,$AK208)*$AL208+INDEX(Config!$J$13:$J$15,$AK208))</f>
        <v/>
      </c>
      <c r="W208" s="43" t="str">
        <f aca="false">IF(OR($D208="",$N208=""),"",INDEX(Config!$I$13:$I$15,$AK208)*($S208+$U208+INDEX(Config!$G$13:$G$15,$AK208)*($K208+$O208)))</f>
        <v/>
      </c>
      <c r="X208" s="43" t="str">
        <f aca="false">IF(OR($D208="",$N208=""),"",INDEX(Config!$K$13:$K$15,$AK208)/365*$P208*$K208*Config!$B$8)</f>
        <v/>
      </c>
      <c r="Y208" s="43" t="str">
        <f aca="false">IF(OR($D208="",$N208=""),"",SUM($S208:$X208))</f>
        <v/>
      </c>
      <c r="Z208" s="40" t="str">
        <f aca="false">IF(OR($D208="",$Q208=""),"",$Q208-$Y208)</f>
        <v/>
      </c>
      <c r="AA208" s="42" t="str">
        <f aca="false">IF(OR($D208="",$Z208="",$K208=0),"",$Z208/$K208)</f>
        <v/>
      </c>
      <c r="AB208" s="44" t="str">
        <f aca="false">IF(OR($D208="",$Y208="",$K208=0),"",$Y208/$K208*10000)</f>
        <v/>
      </c>
      <c r="AC208" s="44" t="str">
        <f aca="false">IF(OR($D208="",$G208="",$G208=0,$I208=""),"",IF($E208="LONG",($I208-$G208)/$G208,($G208-$I208)/$G208)*10000)</f>
        <v/>
      </c>
      <c r="AD208" s="45"/>
      <c r="AE208" s="40" t="str">
        <f aca="false">IF(OR($D208="",$N208&lt;&gt;"",$AD208=""),"",IF($E208="LONG",($AD208-$I208)*$J208,($I208-$AD208)*$J208))</f>
        <v/>
      </c>
      <c r="AF208" s="40" t="str">
        <f aca="false">IF(OR($D208="",$E208&lt;&gt;"LONG",$Z208=""),"",$Z208+SUMIFS($Z$4:$Z$503,$B$4:$B$503,$B208,$E$4:$E$503,"SHORT"))</f>
        <v/>
      </c>
      <c r="AG208" s="42" t="str">
        <f aca="false">IF(OR($AF208="",$K208=0),"",$AF208/$K208)</f>
        <v/>
      </c>
      <c r="AH208" s="46"/>
      <c r="AI208" s="43" t="str">
        <f aca="false">IF(OR($D208="",$AH208="",$Z208=""),"",$Z208-$AH208)</f>
        <v/>
      </c>
      <c r="AJ208" s="49"/>
      <c r="AK208" s="47" t="str">
        <f aca="false">IF($D208="","",IFERROR(MATCH($F208,Config!$A$13:$A$15,0),1))</f>
        <v/>
      </c>
      <c r="AL208" s="47" t="str">
        <f aca="false">IF(OR($D208="",$N208=""),"",IF($E208="LONG",$K208,$O208))</f>
        <v/>
      </c>
      <c r="AM208" s="47" t="str">
        <f aca="false">IF(OR($D208="",$N208=""),"",IF($E208="LONG",$O208,$K208))</f>
        <v/>
      </c>
    </row>
    <row r="209" customFormat="false" ht="15" hidden="false" customHeight="false" outlineLevel="0" collapsed="false">
      <c r="A209" s="49"/>
      <c r="B209" s="5" t="str">
        <f aca="false">IF($D209="","",IF(OR(RIGHT($A209,2)="-L",RIGHT($A209,2)="-S"),LEFT($A209,LEN($A209)-2),$A209))</f>
        <v/>
      </c>
      <c r="C209" s="50"/>
      <c r="D209" s="49"/>
      <c r="E209" s="49"/>
      <c r="F209" s="49"/>
      <c r="G209" s="45"/>
      <c r="H209" s="50"/>
      <c r="I209" s="45"/>
      <c r="J209" s="51"/>
      <c r="K209" s="40" t="str">
        <f aca="false">IF($D209="","",$I209*$J209)</f>
        <v/>
      </c>
      <c r="L209" s="50"/>
      <c r="M209" s="49"/>
      <c r="N209" s="45"/>
      <c r="O209" s="40" t="str">
        <f aca="false">IF(OR($D209="",$N209=""),"",$N209*$J209)</f>
        <v/>
      </c>
      <c r="P209" s="41" t="str">
        <f aca="false">IF(OR($D209="",$L209=""),"",MAX($L209-$H209,0))</f>
        <v/>
      </c>
      <c r="Q209" s="40" t="str">
        <f aca="false">IF(OR($D209="",$N209=""),"",IF($E209="LONG",($N209-$I209)*$J209,($I209-$N209)*$J209))</f>
        <v/>
      </c>
      <c r="R209" s="42" t="str">
        <f aca="false">IF(OR($D209="",$Q209="",$K209=0),"",$Q209/$K209)</f>
        <v/>
      </c>
      <c r="S209" s="43" t="str">
        <f aca="false">IF(OR($D209="",$N209=""),"",MIN(INDEX(Config!$C$13:$C$15,$AK209),INDEX(Config!$B$13:$B$15,$AK209)*$K209)+MIN(INDEX(Config!$C$13:$C$15,$AK209),INDEX(Config!$B$13:$B$15,$AK209)*$O209))</f>
        <v/>
      </c>
      <c r="T209" s="43" t="str">
        <f aca="false">IF(OR($D209="",$N209=""),"",INDEX(Config!$D$13:$D$15,$AK209)*$AL209+INDEX(Config!$E$13:$E$15,$AK209)*$AM209)</f>
        <v/>
      </c>
      <c r="U209" s="43" t="str">
        <f aca="false">IF(OR($D209="",$N209=""),"",INDEX(Config!$F$13:$F$15,$AK209)*($K209+$O209))</f>
        <v/>
      </c>
      <c r="V209" s="43" t="str">
        <f aca="false">IF(OR($D209="",$N209=""),"",INDEX(Config!$G$13:$G$15,$AK209)*($K209+$O209)+INDEX(Config!$H$13:$H$15,$AK209)*$AL209+INDEX(Config!$J$13:$J$15,$AK209))</f>
        <v/>
      </c>
      <c r="W209" s="43" t="str">
        <f aca="false">IF(OR($D209="",$N209=""),"",INDEX(Config!$I$13:$I$15,$AK209)*($S209+$U209+INDEX(Config!$G$13:$G$15,$AK209)*($K209+$O209)))</f>
        <v/>
      </c>
      <c r="X209" s="43" t="str">
        <f aca="false">IF(OR($D209="",$N209=""),"",INDEX(Config!$K$13:$K$15,$AK209)/365*$P209*$K209*Config!$B$8)</f>
        <v/>
      </c>
      <c r="Y209" s="43" t="str">
        <f aca="false">IF(OR($D209="",$N209=""),"",SUM($S209:$X209))</f>
        <v/>
      </c>
      <c r="Z209" s="40" t="str">
        <f aca="false">IF(OR($D209="",$Q209=""),"",$Q209-$Y209)</f>
        <v/>
      </c>
      <c r="AA209" s="42" t="str">
        <f aca="false">IF(OR($D209="",$Z209="",$K209=0),"",$Z209/$K209)</f>
        <v/>
      </c>
      <c r="AB209" s="44" t="str">
        <f aca="false">IF(OR($D209="",$Y209="",$K209=0),"",$Y209/$K209*10000)</f>
        <v/>
      </c>
      <c r="AC209" s="44" t="str">
        <f aca="false">IF(OR($D209="",$G209="",$G209=0,$I209=""),"",IF($E209="LONG",($I209-$G209)/$G209,($G209-$I209)/$G209)*10000)</f>
        <v/>
      </c>
      <c r="AD209" s="45"/>
      <c r="AE209" s="40" t="str">
        <f aca="false">IF(OR($D209="",$N209&lt;&gt;"",$AD209=""),"",IF($E209="LONG",($AD209-$I209)*$J209,($I209-$AD209)*$J209))</f>
        <v/>
      </c>
      <c r="AF209" s="40" t="str">
        <f aca="false">IF(OR($D209="",$E209&lt;&gt;"LONG",$Z209=""),"",$Z209+SUMIFS($Z$4:$Z$503,$B$4:$B$503,$B209,$E$4:$E$503,"SHORT"))</f>
        <v/>
      </c>
      <c r="AG209" s="42" t="str">
        <f aca="false">IF(OR($AF209="",$K209=0),"",$AF209/$K209)</f>
        <v/>
      </c>
      <c r="AH209" s="46"/>
      <c r="AI209" s="43" t="str">
        <f aca="false">IF(OR($D209="",$AH209="",$Z209=""),"",$Z209-$AH209)</f>
        <v/>
      </c>
      <c r="AJ209" s="49"/>
      <c r="AK209" s="47" t="str">
        <f aca="false">IF($D209="","",IFERROR(MATCH($F209,Config!$A$13:$A$15,0),1))</f>
        <v/>
      </c>
      <c r="AL209" s="47" t="str">
        <f aca="false">IF(OR($D209="",$N209=""),"",IF($E209="LONG",$K209,$O209))</f>
        <v/>
      </c>
      <c r="AM209" s="47" t="str">
        <f aca="false">IF(OR($D209="",$N209=""),"",IF($E209="LONG",$O209,$K209))</f>
        <v/>
      </c>
    </row>
    <row r="210" customFormat="false" ht="15" hidden="false" customHeight="false" outlineLevel="0" collapsed="false">
      <c r="A210" s="49"/>
      <c r="B210" s="5" t="str">
        <f aca="false">IF($D210="","",IF(OR(RIGHT($A210,2)="-L",RIGHT($A210,2)="-S"),LEFT($A210,LEN($A210)-2),$A210))</f>
        <v/>
      </c>
      <c r="C210" s="50"/>
      <c r="D210" s="49"/>
      <c r="E210" s="49"/>
      <c r="F210" s="49"/>
      <c r="G210" s="45"/>
      <c r="H210" s="50"/>
      <c r="I210" s="45"/>
      <c r="J210" s="51"/>
      <c r="K210" s="40" t="str">
        <f aca="false">IF($D210="","",$I210*$J210)</f>
        <v/>
      </c>
      <c r="L210" s="50"/>
      <c r="M210" s="49"/>
      <c r="N210" s="45"/>
      <c r="O210" s="40" t="str">
        <f aca="false">IF(OR($D210="",$N210=""),"",$N210*$J210)</f>
        <v/>
      </c>
      <c r="P210" s="41" t="str">
        <f aca="false">IF(OR($D210="",$L210=""),"",MAX($L210-$H210,0))</f>
        <v/>
      </c>
      <c r="Q210" s="40" t="str">
        <f aca="false">IF(OR($D210="",$N210=""),"",IF($E210="LONG",($N210-$I210)*$J210,($I210-$N210)*$J210))</f>
        <v/>
      </c>
      <c r="R210" s="42" t="str">
        <f aca="false">IF(OR($D210="",$Q210="",$K210=0),"",$Q210/$K210)</f>
        <v/>
      </c>
      <c r="S210" s="43" t="str">
        <f aca="false">IF(OR($D210="",$N210=""),"",MIN(INDEX(Config!$C$13:$C$15,$AK210),INDEX(Config!$B$13:$B$15,$AK210)*$K210)+MIN(INDEX(Config!$C$13:$C$15,$AK210),INDEX(Config!$B$13:$B$15,$AK210)*$O210))</f>
        <v/>
      </c>
      <c r="T210" s="43" t="str">
        <f aca="false">IF(OR($D210="",$N210=""),"",INDEX(Config!$D$13:$D$15,$AK210)*$AL210+INDEX(Config!$E$13:$E$15,$AK210)*$AM210)</f>
        <v/>
      </c>
      <c r="U210" s="43" t="str">
        <f aca="false">IF(OR($D210="",$N210=""),"",INDEX(Config!$F$13:$F$15,$AK210)*($K210+$O210))</f>
        <v/>
      </c>
      <c r="V210" s="43" t="str">
        <f aca="false">IF(OR($D210="",$N210=""),"",INDEX(Config!$G$13:$G$15,$AK210)*($K210+$O210)+INDEX(Config!$H$13:$H$15,$AK210)*$AL210+INDEX(Config!$J$13:$J$15,$AK210))</f>
        <v/>
      </c>
      <c r="W210" s="43" t="str">
        <f aca="false">IF(OR($D210="",$N210=""),"",INDEX(Config!$I$13:$I$15,$AK210)*($S210+$U210+INDEX(Config!$G$13:$G$15,$AK210)*($K210+$O210)))</f>
        <v/>
      </c>
      <c r="X210" s="43" t="str">
        <f aca="false">IF(OR($D210="",$N210=""),"",INDEX(Config!$K$13:$K$15,$AK210)/365*$P210*$K210*Config!$B$8)</f>
        <v/>
      </c>
      <c r="Y210" s="43" t="str">
        <f aca="false">IF(OR($D210="",$N210=""),"",SUM($S210:$X210))</f>
        <v/>
      </c>
      <c r="Z210" s="40" t="str">
        <f aca="false">IF(OR($D210="",$Q210=""),"",$Q210-$Y210)</f>
        <v/>
      </c>
      <c r="AA210" s="42" t="str">
        <f aca="false">IF(OR($D210="",$Z210="",$K210=0),"",$Z210/$K210)</f>
        <v/>
      </c>
      <c r="AB210" s="44" t="str">
        <f aca="false">IF(OR($D210="",$Y210="",$K210=0),"",$Y210/$K210*10000)</f>
        <v/>
      </c>
      <c r="AC210" s="44" t="str">
        <f aca="false">IF(OR($D210="",$G210="",$G210=0,$I210=""),"",IF($E210="LONG",($I210-$G210)/$G210,($G210-$I210)/$G210)*10000)</f>
        <v/>
      </c>
      <c r="AD210" s="45"/>
      <c r="AE210" s="40" t="str">
        <f aca="false">IF(OR($D210="",$N210&lt;&gt;"",$AD210=""),"",IF($E210="LONG",($AD210-$I210)*$J210,($I210-$AD210)*$J210))</f>
        <v/>
      </c>
      <c r="AF210" s="40" t="str">
        <f aca="false">IF(OR($D210="",$E210&lt;&gt;"LONG",$Z210=""),"",$Z210+SUMIFS($Z$4:$Z$503,$B$4:$B$503,$B210,$E$4:$E$503,"SHORT"))</f>
        <v/>
      </c>
      <c r="AG210" s="42" t="str">
        <f aca="false">IF(OR($AF210="",$K210=0),"",$AF210/$K210)</f>
        <v/>
      </c>
      <c r="AH210" s="46"/>
      <c r="AI210" s="43" t="str">
        <f aca="false">IF(OR($D210="",$AH210="",$Z210=""),"",$Z210-$AH210)</f>
        <v/>
      </c>
      <c r="AJ210" s="49"/>
      <c r="AK210" s="47" t="str">
        <f aca="false">IF($D210="","",IFERROR(MATCH($F210,Config!$A$13:$A$15,0),1))</f>
        <v/>
      </c>
      <c r="AL210" s="47" t="str">
        <f aca="false">IF(OR($D210="",$N210=""),"",IF($E210="LONG",$K210,$O210))</f>
        <v/>
      </c>
      <c r="AM210" s="47" t="str">
        <f aca="false">IF(OR($D210="",$N210=""),"",IF($E210="LONG",$O210,$K210))</f>
        <v/>
      </c>
    </row>
    <row r="211" customFormat="false" ht="15" hidden="false" customHeight="false" outlineLevel="0" collapsed="false">
      <c r="A211" s="49"/>
      <c r="B211" s="5" t="str">
        <f aca="false">IF($D211="","",IF(OR(RIGHT($A211,2)="-L",RIGHT($A211,2)="-S"),LEFT($A211,LEN($A211)-2),$A211))</f>
        <v/>
      </c>
      <c r="C211" s="50"/>
      <c r="D211" s="49"/>
      <c r="E211" s="49"/>
      <c r="F211" s="49"/>
      <c r="G211" s="45"/>
      <c r="H211" s="50"/>
      <c r="I211" s="45"/>
      <c r="J211" s="51"/>
      <c r="K211" s="40" t="str">
        <f aca="false">IF($D211="","",$I211*$J211)</f>
        <v/>
      </c>
      <c r="L211" s="50"/>
      <c r="M211" s="49"/>
      <c r="N211" s="45"/>
      <c r="O211" s="40" t="str">
        <f aca="false">IF(OR($D211="",$N211=""),"",$N211*$J211)</f>
        <v/>
      </c>
      <c r="P211" s="41" t="str">
        <f aca="false">IF(OR($D211="",$L211=""),"",MAX($L211-$H211,0))</f>
        <v/>
      </c>
      <c r="Q211" s="40" t="str">
        <f aca="false">IF(OR($D211="",$N211=""),"",IF($E211="LONG",($N211-$I211)*$J211,($I211-$N211)*$J211))</f>
        <v/>
      </c>
      <c r="R211" s="42" t="str">
        <f aca="false">IF(OR($D211="",$Q211="",$K211=0),"",$Q211/$K211)</f>
        <v/>
      </c>
      <c r="S211" s="43" t="str">
        <f aca="false">IF(OR($D211="",$N211=""),"",MIN(INDEX(Config!$C$13:$C$15,$AK211),INDEX(Config!$B$13:$B$15,$AK211)*$K211)+MIN(INDEX(Config!$C$13:$C$15,$AK211),INDEX(Config!$B$13:$B$15,$AK211)*$O211))</f>
        <v/>
      </c>
      <c r="T211" s="43" t="str">
        <f aca="false">IF(OR($D211="",$N211=""),"",INDEX(Config!$D$13:$D$15,$AK211)*$AL211+INDEX(Config!$E$13:$E$15,$AK211)*$AM211)</f>
        <v/>
      </c>
      <c r="U211" s="43" t="str">
        <f aca="false">IF(OR($D211="",$N211=""),"",INDEX(Config!$F$13:$F$15,$AK211)*($K211+$O211))</f>
        <v/>
      </c>
      <c r="V211" s="43" t="str">
        <f aca="false">IF(OR($D211="",$N211=""),"",INDEX(Config!$G$13:$G$15,$AK211)*($K211+$O211)+INDEX(Config!$H$13:$H$15,$AK211)*$AL211+INDEX(Config!$J$13:$J$15,$AK211))</f>
        <v/>
      </c>
      <c r="W211" s="43" t="str">
        <f aca="false">IF(OR($D211="",$N211=""),"",INDEX(Config!$I$13:$I$15,$AK211)*($S211+$U211+INDEX(Config!$G$13:$G$15,$AK211)*($K211+$O211)))</f>
        <v/>
      </c>
      <c r="X211" s="43" t="str">
        <f aca="false">IF(OR($D211="",$N211=""),"",INDEX(Config!$K$13:$K$15,$AK211)/365*$P211*$K211*Config!$B$8)</f>
        <v/>
      </c>
      <c r="Y211" s="43" t="str">
        <f aca="false">IF(OR($D211="",$N211=""),"",SUM($S211:$X211))</f>
        <v/>
      </c>
      <c r="Z211" s="40" t="str">
        <f aca="false">IF(OR($D211="",$Q211=""),"",$Q211-$Y211)</f>
        <v/>
      </c>
      <c r="AA211" s="42" t="str">
        <f aca="false">IF(OR($D211="",$Z211="",$K211=0),"",$Z211/$K211)</f>
        <v/>
      </c>
      <c r="AB211" s="44" t="str">
        <f aca="false">IF(OR($D211="",$Y211="",$K211=0),"",$Y211/$K211*10000)</f>
        <v/>
      </c>
      <c r="AC211" s="44" t="str">
        <f aca="false">IF(OR($D211="",$G211="",$G211=0,$I211=""),"",IF($E211="LONG",($I211-$G211)/$G211,($G211-$I211)/$G211)*10000)</f>
        <v/>
      </c>
      <c r="AD211" s="45"/>
      <c r="AE211" s="40" t="str">
        <f aca="false">IF(OR($D211="",$N211&lt;&gt;"",$AD211=""),"",IF($E211="LONG",($AD211-$I211)*$J211,($I211-$AD211)*$J211))</f>
        <v/>
      </c>
      <c r="AF211" s="40" t="str">
        <f aca="false">IF(OR($D211="",$E211&lt;&gt;"LONG",$Z211=""),"",$Z211+SUMIFS($Z$4:$Z$503,$B$4:$B$503,$B211,$E$4:$E$503,"SHORT"))</f>
        <v/>
      </c>
      <c r="AG211" s="42" t="str">
        <f aca="false">IF(OR($AF211="",$K211=0),"",$AF211/$K211)</f>
        <v/>
      </c>
      <c r="AH211" s="46"/>
      <c r="AI211" s="43" t="str">
        <f aca="false">IF(OR($D211="",$AH211="",$Z211=""),"",$Z211-$AH211)</f>
        <v/>
      </c>
      <c r="AJ211" s="49"/>
      <c r="AK211" s="47" t="str">
        <f aca="false">IF($D211="","",IFERROR(MATCH($F211,Config!$A$13:$A$15,0),1))</f>
        <v/>
      </c>
      <c r="AL211" s="47" t="str">
        <f aca="false">IF(OR($D211="",$N211=""),"",IF($E211="LONG",$K211,$O211))</f>
        <v/>
      </c>
      <c r="AM211" s="47" t="str">
        <f aca="false">IF(OR($D211="",$N211=""),"",IF($E211="LONG",$O211,$K211))</f>
        <v/>
      </c>
    </row>
    <row r="212" customFormat="false" ht="15" hidden="false" customHeight="false" outlineLevel="0" collapsed="false">
      <c r="A212" s="49"/>
      <c r="B212" s="5" t="str">
        <f aca="false">IF($D212="","",IF(OR(RIGHT($A212,2)="-L",RIGHT($A212,2)="-S"),LEFT($A212,LEN($A212)-2),$A212))</f>
        <v/>
      </c>
      <c r="C212" s="50"/>
      <c r="D212" s="49"/>
      <c r="E212" s="49"/>
      <c r="F212" s="49"/>
      <c r="G212" s="45"/>
      <c r="H212" s="50"/>
      <c r="I212" s="45"/>
      <c r="J212" s="51"/>
      <c r="K212" s="40" t="str">
        <f aca="false">IF($D212="","",$I212*$J212)</f>
        <v/>
      </c>
      <c r="L212" s="50"/>
      <c r="M212" s="49"/>
      <c r="N212" s="45"/>
      <c r="O212" s="40" t="str">
        <f aca="false">IF(OR($D212="",$N212=""),"",$N212*$J212)</f>
        <v/>
      </c>
      <c r="P212" s="41" t="str">
        <f aca="false">IF(OR($D212="",$L212=""),"",MAX($L212-$H212,0))</f>
        <v/>
      </c>
      <c r="Q212" s="40" t="str">
        <f aca="false">IF(OR($D212="",$N212=""),"",IF($E212="LONG",($N212-$I212)*$J212,($I212-$N212)*$J212))</f>
        <v/>
      </c>
      <c r="R212" s="42" t="str">
        <f aca="false">IF(OR($D212="",$Q212="",$K212=0),"",$Q212/$K212)</f>
        <v/>
      </c>
      <c r="S212" s="43" t="str">
        <f aca="false">IF(OR($D212="",$N212=""),"",MIN(INDEX(Config!$C$13:$C$15,$AK212),INDEX(Config!$B$13:$B$15,$AK212)*$K212)+MIN(INDEX(Config!$C$13:$C$15,$AK212),INDEX(Config!$B$13:$B$15,$AK212)*$O212))</f>
        <v/>
      </c>
      <c r="T212" s="43" t="str">
        <f aca="false">IF(OR($D212="",$N212=""),"",INDEX(Config!$D$13:$D$15,$AK212)*$AL212+INDEX(Config!$E$13:$E$15,$AK212)*$AM212)</f>
        <v/>
      </c>
      <c r="U212" s="43" t="str">
        <f aca="false">IF(OR($D212="",$N212=""),"",INDEX(Config!$F$13:$F$15,$AK212)*($K212+$O212))</f>
        <v/>
      </c>
      <c r="V212" s="43" t="str">
        <f aca="false">IF(OR($D212="",$N212=""),"",INDEX(Config!$G$13:$G$15,$AK212)*($K212+$O212)+INDEX(Config!$H$13:$H$15,$AK212)*$AL212+INDEX(Config!$J$13:$J$15,$AK212))</f>
        <v/>
      </c>
      <c r="W212" s="43" t="str">
        <f aca="false">IF(OR($D212="",$N212=""),"",INDEX(Config!$I$13:$I$15,$AK212)*($S212+$U212+INDEX(Config!$G$13:$G$15,$AK212)*($K212+$O212)))</f>
        <v/>
      </c>
      <c r="X212" s="43" t="str">
        <f aca="false">IF(OR($D212="",$N212=""),"",INDEX(Config!$K$13:$K$15,$AK212)/365*$P212*$K212*Config!$B$8)</f>
        <v/>
      </c>
      <c r="Y212" s="43" t="str">
        <f aca="false">IF(OR($D212="",$N212=""),"",SUM($S212:$X212))</f>
        <v/>
      </c>
      <c r="Z212" s="40" t="str">
        <f aca="false">IF(OR($D212="",$Q212=""),"",$Q212-$Y212)</f>
        <v/>
      </c>
      <c r="AA212" s="42" t="str">
        <f aca="false">IF(OR($D212="",$Z212="",$K212=0),"",$Z212/$K212)</f>
        <v/>
      </c>
      <c r="AB212" s="44" t="str">
        <f aca="false">IF(OR($D212="",$Y212="",$K212=0),"",$Y212/$K212*10000)</f>
        <v/>
      </c>
      <c r="AC212" s="44" t="str">
        <f aca="false">IF(OR($D212="",$G212="",$G212=0,$I212=""),"",IF($E212="LONG",($I212-$G212)/$G212,($G212-$I212)/$G212)*10000)</f>
        <v/>
      </c>
      <c r="AD212" s="45"/>
      <c r="AE212" s="40" t="str">
        <f aca="false">IF(OR($D212="",$N212&lt;&gt;"",$AD212=""),"",IF($E212="LONG",($AD212-$I212)*$J212,($I212-$AD212)*$J212))</f>
        <v/>
      </c>
      <c r="AF212" s="40" t="str">
        <f aca="false">IF(OR($D212="",$E212&lt;&gt;"LONG",$Z212=""),"",$Z212+SUMIFS($Z$4:$Z$503,$B$4:$B$503,$B212,$E$4:$E$503,"SHORT"))</f>
        <v/>
      </c>
      <c r="AG212" s="42" t="str">
        <f aca="false">IF(OR($AF212="",$K212=0),"",$AF212/$K212)</f>
        <v/>
      </c>
      <c r="AH212" s="46"/>
      <c r="AI212" s="43" t="str">
        <f aca="false">IF(OR($D212="",$AH212="",$Z212=""),"",$Z212-$AH212)</f>
        <v/>
      </c>
      <c r="AJ212" s="49"/>
      <c r="AK212" s="47" t="str">
        <f aca="false">IF($D212="","",IFERROR(MATCH($F212,Config!$A$13:$A$15,0),1))</f>
        <v/>
      </c>
      <c r="AL212" s="47" t="str">
        <f aca="false">IF(OR($D212="",$N212=""),"",IF($E212="LONG",$K212,$O212))</f>
        <v/>
      </c>
      <c r="AM212" s="47" t="str">
        <f aca="false">IF(OR($D212="",$N212=""),"",IF($E212="LONG",$O212,$K212))</f>
        <v/>
      </c>
    </row>
    <row r="213" customFormat="false" ht="15" hidden="false" customHeight="false" outlineLevel="0" collapsed="false">
      <c r="A213" s="49"/>
      <c r="B213" s="5" t="str">
        <f aca="false">IF($D213="","",IF(OR(RIGHT($A213,2)="-L",RIGHT($A213,2)="-S"),LEFT($A213,LEN($A213)-2),$A213))</f>
        <v/>
      </c>
      <c r="C213" s="50"/>
      <c r="D213" s="49"/>
      <c r="E213" s="49"/>
      <c r="F213" s="49"/>
      <c r="G213" s="45"/>
      <c r="H213" s="50"/>
      <c r="I213" s="45"/>
      <c r="J213" s="51"/>
      <c r="K213" s="40" t="str">
        <f aca="false">IF($D213="","",$I213*$J213)</f>
        <v/>
      </c>
      <c r="L213" s="50"/>
      <c r="M213" s="49"/>
      <c r="N213" s="45"/>
      <c r="O213" s="40" t="str">
        <f aca="false">IF(OR($D213="",$N213=""),"",$N213*$J213)</f>
        <v/>
      </c>
      <c r="P213" s="41" t="str">
        <f aca="false">IF(OR($D213="",$L213=""),"",MAX($L213-$H213,0))</f>
        <v/>
      </c>
      <c r="Q213" s="40" t="str">
        <f aca="false">IF(OR($D213="",$N213=""),"",IF($E213="LONG",($N213-$I213)*$J213,($I213-$N213)*$J213))</f>
        <v/>
      </c>
      <c r="R213" s="42" t="str">
        <f aca="false">IF(OR($D213="",$Q213="",$K213=0),"",$Q213/$K213)</f>
        <v/>
      </c>
      <c r="S213" s="43" t="str">
        <f aca="false">IF(OR($D213="",$N213=""),"",MIN(INDEX(Config!$C$13:$C$15,$AK213),INDEX(Config!$B$13:$B$15,$AK213)*$K213)+MIN(INDEX(Config!$C$13:$C$15,$AK213),INDEX(Config!$B$13:$B$15,$AK213)*$O213))</f>
        <v/>
      </c>
      <c r="T213" s="43" t="str">
        <f aca="false">IF(OR($D213="",$N213=""),"",INDEX(Config!$D$13:$D$15,$AK213)*$AL213+INDEX(Config!$E$13:$E$15,$AK213)*$AM213)</f>
        <v/>
      </c>
      <c r="U213" s="43" t="str">
        <f aca="false">IF(OR($D213="",$N213=""),"",INDEX(Config!$F$13:$F$15,$AK213)*($K213+$O213))</f>
        <v/>
      </c>
      <c r="V213" s="43" t="str">
        <f aca="false">IF(OR($D213="",$N213=""),"",INDEX(Config!$G$13:$G$15,$AK213)*($K213+$O213)+INDEX(Config!$H$13:$H$15,$AK213)*$AL213+INDEX(Config!$J$13:$J$15,$AK213))</f>
        <v/>
      </c>
      <c r="W213" s="43" t="str">
        <f aca="false">IF(OR($D213="",$N213=""),"",INDEX(Config!$I$13:$I$15,$AK213)*($S213+$U213+INDEX(Config!$G$13:$G$15,$AK213)*($K213+$O213)))</f>
        <v/>
      </c>
      <c r="X213" s="43" t="str">
        <f aca="false">IF(OR($D213="",$N213=""),"",INDEX(Config!$K$13:$K$15,$AK213)/365*$P213*$K213*Config!$B$8)</f>
        <v/>
      </c>
      <c r="Y213" s="43" t="str">
        <f aca="false">IF(OR($D213="",$N213=""),"",SUM($S213:$X213))</f>
        <v/>
      </c>
      <c r="Z213" s="40" t="str">
        <f aca="false">IF(OR($D213="",$Q213=""),"",$Q213-$Y213)</f>
        <v/>
      </c>
      <c r="AA213" s="42" t="str">
        <f aca="false">IF(OR($D213="",$Z213="",$K213=0),"",$Z213/$K213)</f>
        <v/>
      </c>
      <c r="AB213" s="44" t="str">
        <f aca="false">IF(OR($D213="",$Y213="",$K213=0),"",$Y213/$K213*10000)</f>
        <v/>
      </c>
      <c r="AC213" s="44" t="str">
        <f aca="false">IF(OR($D213="",$G213="",$G213=0,$I213=""),"",IF($E213="LONG",($I213-$G213)/$G213,($G213-$I213)/$G213)*10000)</f>
        <v/>
      </c>
      <c r="AD213" s="45"/>
      <c r="AE213" s="40" t="str">
        <f aca="false">IF(OR($D213="",$N213&lt;&gt;"",$AD213=""),"",IF($E213="LONG",($AD213-$I213)*$J213,($I213-$AD213)*$J213))</f>
        <v/>
      </c>
      <c r="AF213" s="40" t="str">
        <f aca="false">IF(OR($D213="",$E213&lt;&gt;"LONG",$Z213=""),"",$Z213+SUMIFS($Z$4:$Z$503,$B$4:$B$503,$B213,$E$4:$E$503,"SHORT"))</f>
        <v/>
      </c>
      <c r="AG213" s="42" t="str">
        <f aca="false">IF(OR($AF213="",$K213=0),"",$AF213/$K213)</f>
        <v/>
      </c>
      <c r="AH213" s="46"/>
      <c r="AI213" s="43" t="str">
        <f aca="false">IF(OR($D213="",$AH213="",$Z213=""),"",$Z213-$AH213)</f>
        <v/>
      </c>
      <c r="AJ213" s="49"/>
      <c r="AK213" s="47" t="str">
        <f aca="false">IF($D213="","",IFERROR(MATCH($F213,Config!$A$13:$A$15,0),1))</f>
        <v/>
      </c>
      <c r="AL213" s="47" t="str">
        <f aca="false">IF(OR($D213="",$N213=""),"",IF($E213="LONG",$K213,$O213))</f>
        <v/>
      </c>
      <c r="AM213" s="47" t="str">
        <f aca="false">IF(OR($D213="",$N213=""),"",IF($E213="LONG",$O213,$K213))</f>
        <v/>
      </c>
    </row>
    <row r="214" customFormat="false" ht="15" hidden="false" customHeight="false" outlineLevel="0" collapsed="false">
      <c r="A214" s="49"/>
      <c r="B214" s="5" t="str">
        <f aca="false">IF($D214="","",IF(OR(RIGHT($A214,2)="-L",RIGHT($A214,2)="-S"),LEFT($A214,LEN($A214)-2),$A214))</f>
        <v/>
      </c>
      <c r="C214" s="50"/>
      <c r="D214" s="49"/>
      <c r="E214" s="49"/>
      <c r="F214" s="49"/>
      <c r="G214" s="45"/>
      <c r="H214" s="50"/>
      <c r="I214" s="45"/>
      <c r="J214" s="51"/>
      <c r="K214" s="40" t="str">
        <f aca="false">IF($D214="","",$I214*$J214)</f>
        <v/>
      </c>
      <c r="L214" s="50"/>
      <c r="M214" s="49"/>
      <c r="N214" s="45"/>
      <c r="O214" s="40" t="str">
        <f aca="false">IF(OR($D214="",$N214=""),"",$N214*$J214)</f>
        <v/>
      </c>
      <c r="P214" s="41" t="str">
        <f aca="false">IF(OR($D214="",$L214=""),"",MAX($L214-$H214,0))</f>
        <v/>
      </c>
      <c r="Q214" s="40" t="str">
        <f aca="false">IF(OR($D214="",$N214=""),"",IF($E214="LONG",($N214-$I214)*$J214,($I214-$N214)*$J214))</f>
        <v/>
      </c>
      <c r="R214" s="42" t="str">
        <f aca="false">IF(OR($D214="",$Q214="",$K214=0),"",$Q214/$K214)</f>
        <v/>
      </c>
      <c r="S214" s="43" t="str">
        <f aca="false">IF(OR($D214="",$N214=""),"",MIN(INDEX(Config!$C$13:$C$15,$AK214),INDEX(Config!$B$13:$B$15,$AK214)*$K214)+MIN(INDEX(Config!$C$13:$C$15,$AK214),INDEX(Config!$B$13:$B$15,$AK214)*$O214))</f>
        <v/>
      </c>
      <c r="T214" s="43" t="str">
        <f aca="false">IF(OR($D214="",$N214=""),"",INDEX(Config!$D$13:$D$15,$AK214)*$AL214+INDEX(Config!$E$13:$E$15,$AK214)*$AM214)</f>
        <v/>
      </c>
      <c r="U214" s="43" t="str">
        <f aca="false">IF(OR($D214="",$N214=""),"",INDEX(Config!$F$13:$F$15,$AK214)*($K214+$O214))</f>
        <v/>
      </c>
      <c r="V214" s="43" t="str">
        <f aca="false">IF(OR($D214="",$N214=""),"",INDEX(Config!$G$13:$G$15,$AK214)*($K214+$O214)+INDEX(Config!$H$13:$H$15,$AK214)*$AL214+INDEX(Config!$J$13:$J$15,$AK214))</f>
        <v/>
      </c>
      <c r="W214" s="43" t="str">
        <f aca="false">IF(OR($D214="",$N214=""),"",INDEX(Config!$I$13:$I$15,$AK214)*($S214+$U214+INDEX(Config!$G$13:$G$15,$AK214)*($K214+$O214)))</f>
        <v/>
      </c>
      <c r="X214" s="43" t="str">
        <f aca="false">IF(OR($D214="",$N214=""),"",INDEX(Config!$K$13:$K$15,$AK214)/365*$P214*$K214*Config!$B$8)</f>
        <v/>
      </c>
      <c r="Y214" s="43" t="str">
        <f aca="false">IF(OR($D214="",$N214=""),"",SUM($S214:$X214))</f>
        <v/>
      </c>
      <c r="Z214" s="40" t="str">
        <f aca="false">IF(OR($D214="",$Q214=""),"",$Q214-$Y214)</f>
        <v/>
      </c>
      <c r="AA214" s="42" t="str">
        <f aca="false">IF(OR($D214="",$Z214="",$K214=0),"",$Z214/$K214)</f>
        <v/>
      </c>
      <c r="AB214" s="44" t="str">
        <f aca="false">IF(OR($D214="",$Y214="",$K214=0),"",$Y214/$K214*10000)</f>
        <v/>
      </c>
      <c r="AC214" s="44" t="str">
        <f aca="false">IF(OR($D214="",$G214="",$G214=0,$I214=""),"",IF($E214="LONG",($I214-$G214)/$G214,($G214-$I214)/$G214)*10000)</f>
        <v/>
      </c>
      <c r="AD214" s="45"/>
      <c r="AE214" s="40" t="str">
        <f aca="false">IF(OR($D214="",$N214&lt;&gt;"",$AD214=""),"",IF($E214="LONG",($AD214-$I214)*$J214,($I214-$AD214)*$J214))</f>
        <v/>
      </c>
      <c r="AF214" s="40" t="str">
        <f aca="false">IF(OR($D214="",$E214&lt;&gt;"LONG",$Z214=""),"",$Z214+SUMIFS($Z$4:$Z$503,$B$4:$B$503,$B214,$E$4:$E$503,"SHORT"))</f>
        <v/>
      </c>
      <c r="AG214" s="42" t="str">
        <f aca="false">IF(OR($AF214="",$K214=0),"",$AF214/$K214)</f>
        <v/>
      </c>
      <c r="AH214" s="46"/>
      <c r="AI214" s="43" t="str">
        <f aca="false">IF(OR($D214="",$AH214="",$Z214=""),"",$Z214-$AH214)</f>
        <v/>
      </c>
      <c r="AJ214" s="49"/>
      <c r="AK214" s="47" t="str">
        <f aca="false">IF($D214="","",IFERROR(MATCH($F214,Config!$A$13:$A$15,0),1))</f>
        <v/>
      </c>
      <c r="AL214" s="47" t="str">
        <f aca="false">IF(OR($D214="",$N214=""),"",IF($E214="LONG",$K214,$O214))</f>
        <v/>
      </c>
      <c r="AM214" s="47" t="str">
        <f aca="false">IF(OR($D214="",$N214=""),"",IF($E214="LONG",$O214,$K214))</f>
        <v/>
      </c>
    </row>
    <row r="215" customFormat="false" ht="15" hidden="false" customHeight="false" outlineLevel="0" collapsed="false">
      <c r="A215" s="49"/>
      <c r="B215" s="5" t="str">
        <f aca="false">IF($D215="","",IF(OR(RIGHT($A215,2)="-L",RIGHT($A215,2)="-S"),LEFT($A215,LEN($A215)-2),$A215))</f>
        <v/>
      </c>
      <c r="C215" s="50"/>
      <c r="D215" s="49"/>
      <c r="E215" s="49"/>
      <c r="F215" s="49"/>
      <c r="G215" s="45"/>
      <c r="H215" s="50"/>
      <c r="I215" s="45"/>
      <c r="J215" s="51"/>
      <c r="K215" s="40" t="str">
        <f aca="false">IF($D215="","",$I215*$J215)</f>
        <v/>
      </c>
      <c r="L215" s="50"/>
      <c r="M215" s="49"/>
      <c r="N215" s="45"/>
      <c r="O215" s="40" t="str">
        <f aca="false">IF(OR($D215="",$N215=""),"",$N215*$J215)</f>
        <v/>
      </c>
      <c r="P215" s="41" t="str">
        <f aca="false">IF(OR($D215="",$L215=""),"",MAX($L215-$H215,0))</f>
        <v/>
      </c>
      <c r="Q215" s="40" t="str">
        <f aca="false">IF(OR($D215="",$N215=""),"",IF($E215="LONG",($N215-$I215)*$J215,($I215-$N215)*$J215))</f>
        <v/>
      </c>
      <c r="R215" s="42" t="str">
        <f aca="false">IF(OR($D215="",$Q215="",$K215=0),"",$Q215/$K215)</f>
        <v/>
      </c>
      <c r="S215" s="43" t="str">
        <f aca="false">IF(OR($D215="",$N215=""),"",MIN(INDEX(Config!$C$13:$C$15,$AK215),INDEX(Config!$B$13:$B$15,$AK215)*$K215)+MIN(INDEX(Config!$C$13:$C$15,$AK215),INDEX(Config!$B$13:$B$15,$AK215)*$O215))</f>
        <v/>
      </c>
      <c r="T215" s="43" t="str">
        <f aca="false">IF(OR($D215="",$N215=""),"",INDEX(Config!$D$13:$D$15,$AK215)*$AL215+INDEX(Config!$E$13:$E$15,$AK215)*$AM215)</f>
        <v/>
      </c>
      <c r="U215" s="43" t="str">
        <f aca="false">IF(OR($D215="",$N215=""),"",INDEX(Config!$F$13:$F$15,$AK215)*($K215+$O215))</f>
        <v/>
      </c>
      <c r="V215" s="43" t="str">
        <f aca="false">IF(OR($D215="",$N215=""),"",INDEX(Config!$G$13:$G$15,$AK215)*($K215+$O215)+INDEX(Config!$H$13:$H$15,$AK215)*$AL215+INDEX(Config!$J$13:$J$15,$AK215))</f>
        <v/>
      </c>
      <c r="W215" s="43" t="str">
        <f aca="false">IF(OR($D215="",$N215=""),"",INDEX(Config!$I$13:$I$15,$AK215)*($S215+$U215+INDEX(Config!$G$13:$G$15,$AK215)*($K215+$O215)))</f>
        <v/>
      </c>
      <c r="X215" s="43" t="str">
        <f aca="false">IF(OR($D215="",$N215=""),"",INDEX(Config!$K$13:$K$15,$AK215)/365*$P215*$K215*Config!$B$8)</f>
        <v/>
      </c>
      <c r="Y215" s="43" t="str">
        <f aca="false">IF(OR($D215="",$N215=""),"",SUM($S215:$X215))</f>
        <v/>
      </c>
      <c r="Z215" s="40" t="str">
        <f aca="false">IF(OR($D215="",$Q215=""),"",$Q215-$Y215)</f>
        <v/>
      </c>
      <c r="AA215" s="42" t="str">
        <f aca="false">IF(OR($D215="",$Z215="",$K215=0),"",$Z215/$K215)</f>
        <v/>
      </c>
      <c r="AB215" s="44" t="str">
        <f aca="false">IF(OR($D215="",$Y215="",$K215=0),"",$Y215/$K215*10000)</f>
        <v/>
      </c>
      <c r="AC215" s="44" t="str">
        <f aca="false">IF(OR($D215="",$G215="",$G215=0,$I215=""),"",IF($E215="LONG",($I215-$G215)/$G215,($G215-$I215)/$G215)*10000)</f>
        <v/>
      </c>
      <c r="AD215" s="45"/>
      <c r="AE215" s="40" t="str">
        <f aca="false">IF(OR($D215="",$N215&lt;&gt;"",$AD215=""),"",IF($E215="LONG",($AD215-$I215)*$J215,($I215-$AD215)*$J215))</f>
        <v/>
      </c>
      <c r="AF215" s="40" t="str">
        <f aca="false">IF(OR($D215="",$E215&lt;&gt;"LONG",$Z215=""),"",$Z215+SUMIFS($Z$4:$Z$503,$B$4:$B$503,$B215,$E$4:$E$503,"SHORT"))</f>
        <v/>
      </c>
      <c r="AG215" s="42" t="str">
        <f aca="false">IF(OR($AF215="",$K215=0),"",$AF215/$K215)</f>
        <v/>
      </c>
      <c r="AH215" s="46"/>
      <c r="AI215" s="43" t="str">
        <f aca="false">IF(OR($D215="",$AH215="",$Z215=""),"",$Z215-$AH215)</f>
        <v/>
      </c>
      <c r="AJ215" s="49"/>
      <c r="AK215" s="47" t="str">
        <f aca="false">IF($D215="","",IFERROR(MATCH($F215,Config!$A$13:$A$15,0),1))</f>
        <v/>
      </c>
      <c r="AL215" s="47" t="str">
        <f aca="false">IF(OR($D215="",$N215=""),"",IF($E215="LONG",$K215,$O215))</f>
        <v/>
      </c>
      <c r="AM215" s="47" t="str">
        <f aca="false">IF(OR($D215="",$N215=""),"",IF($E215="LONG",$O215,$K215))</f>
        <v/>
      </c>
    </row>
    <row r="216" customFormat="false" ht="15" hidden="false" customHeight="false" outlineLevel="0" collapsed="false">
      <c r="A216" s="49"/>
      <c r="B216" s="5" t="str">
        <f aca="false">IF($D216="","",IF(OR(RIGHT($A216,2)="-L",RIGHT($A216,2)="-S"),LEFT($A216,LEN($A216)-2),$A216))</f>
        <v/>
      </c>
      <c r="C216" s="50"/>
      <c r="D216" s="49"/>
      <c r="E216" s="49"/>
      <c r="F216" s="49"/>
      <c r="G216" s="45"/>
      <c r="H216" s="50"/>
      <c r="I216" s="45"/>
      <c r="J216" s="51"/>
      <c r="K216" s="40" t="str">
        <f aca="false">IF($D216="","",$I216*$J216)</f>
        <v/>
      </c>
      <c r="L216" s="50"/>
      <c r="M216" s="49"/>
      <c r="N216" s="45"/>
      <c r="O216" s="40" t="str">
        <f aca="false">IF(OR($D216="",$N216=""),"",$N216*$J216)</f>
        <v/>
      </c>
      <c r="P216" s="41" t="str">
        <f aca="false">IF(OR($D216="",$L216=""),"",MAX($L216-$H216,0))</f>
        <v/>
      </c>
      <c r="Q216" s="40" t="str">
        <f aca="false">IF(OR($D216="",$N216=""),"",IF($E216="LONG",($N216-$I216)*$J216,($I216-$N216)*$J216))</f>
        <v/>
      </c>
      <c r="R216" s="42" t="str">
        <f aca="false">IF(OR($D216="",$Q216="",$K216=0),"",$Q216/$K216)</f>
        <v/>
      </c>
      <c r="S216" s="43" t="str">
        <f aca="false">IF(OR($D216="",$N216=""),"",MIN(INDEX(Config!$C$13:$C$15,$AK216),INDEX(Config!$B$13:$B$15,$AK216)*$K216)+MIN(INDEX(Config!$C$13:$C$15,$AK216),INDEX(Config!$B$13:$B$15,$AK216)*$O216))</f>
        <v/>
      </c>
      <c r="T216" s="43" t="str">
        <f aca="false">IF(OR($D216="",$N216=""),"",INDEX(Config!$D$13:$D$15,$AK216)*$AL216+INDEX(Config!$E$13:$E$15,$AK216)*$AM216)</f>
        <v/>
      </c>
      <c r="U216" s="43" t="str">
        <f aca="false">IF(OR($D216="",$N216=""),"",INDEX(Config!$F$13:$F$15,$AK216)*($K216+$O216))</f>
        <v/>
      </c>
      <c r="V216" s="43" t="str">
        <f aca="false">IF(OR($D216="",$N216=""),"",INDEX(Config!$G$13:$G$15,$AK216)*($K216+$O216)+INDEX(Config!$H$13:$H$15,$AK216)*$AL216+INDEX(Config!$J$13:$J$15,$AK216))</f>
        <v/>
      </c>
      <c r="W216" s="43" t="str">
        <f aca="false">IF(OR($D216="",$N216=""),"",INDEX(Config!$I$13:$I$15,$AK216)*($S216+$U216+INDEX(Config!$G$13:$G$15,$AK216)*($K216+$O216)))</f>
        <v/>
      </c>
      <c r="X216" s="43" t="str">
        <f aca="false">IF(OR($D216="",$N216=""),"",INDEX(Config!$K$13:$K$15,$AK216)/365*$P216*$K216*Config!$B$8)</f>
        <v/>
      </c>
      <c r="Y216" s="43" t="str">
        <f aca="false">IF(OR($D216="",$N216=""),"",SUM($S216:$X216))</f>
        <v/>
      </c>
      <c r="Z216" s="40" t="str">
        <f aca="false">IF(OR($D216="",$Q216=""),"",$Q216-$Y216)</f>
        <v/>
      </c>
      <c r="AA216" s="42" t="str">
        <f aca="false">IF(OR($D216="",$Z216="",$K216=0),"",$Z216/$K216)</f>
        <v/>
      </c>
      <c r="AB216" s="44" t="str">
        <f aca="false">IF(OR($D216="",$Y216="",$K216=0),"",$Y216/$K216*10000)</f>
        <v/>
      </c>
      <c r="AC216" s="44" t="str">
        <f aca="false">IF(OR($D216="",$G216="",$G216=0,$I216=""),"",IF($E216="LONG",($I216-$G216)/$G216,($G216-$I216)/$G216)*10000)</f>
        <v/>
      </c>
      <c r="AD216" s="45"/>
      <c r="AE216" s="40" t="str">
        <f aca="false">IF(OR($D216="",$N216&lt;&gt;"",$AD216=""),"",IF($E216="LONG",($AD216-$I216)*$J216,($I216-$AD216)*$J216))</f>
        <v/>
      </c>
      <c r="AF216" s="40" t="str">
        <f aca="false">IF(OR($D216="",$E216&lt;&gt;"LONG",$Z216=""),"",$Z216+SUMIFS($Z$4:$Z$503,$B$4:$B$503,$B216,$E$4:$E$503,"SHORT"))</f>
        <v/>
      </c>
      <c r="AG216" s="42" t="str">
        <f aca="false">IF(OR($AF216="",$K216=0),"",$AF216/$K216)</f>
        <v/>
      </c>
      <c r="AH216" s="46"/>
      <c r="AI216" s="43" t="str">
        <f aca="false">IF(OR($D216="",$AH216="",$Z216=""),"",$Z216-$AH216)</f>
        <v/>
      </c>
      <c r="AJ216" s="49"/>
      <c r="AK216" s="47" t="str">
        <f aca="false">IF($D216="","",IFERROR(MATCH($F216,Config!$A$13:$A$15,0),1))</f>
        <v/>
      </c>
      <c r="AL216" s="47" t="str">
        <f aca="false">IF(OR($D216="",$N216=""),"",IF($E216="LONG",$K216,$O216))</f>
        <v/>
      </c>
      <c r="AM216" s="47" t="str">
        <f aca="false">IF(OR($D216="",$N216=""),"",IF($E216="LONG",$O216,$K216))</f>
        <v/>
      </c>
    </row>
    <row r="217" customFormat="false" ht="15" hidden="false" customHeight="false" outlineLevel="0" collapsed="false">
      <c r="A217" s="49"/>
      <c r="B217" s="5" t="str">
        <f aca="false">IF($D217="","",IF(OR(RIGHT($A217,2)="-L",RIGHT($A217,2)="-S"),LEFT($A217,LEN($A217)-2),$A217))</f>
        <v/>
      </c>
      <c r="C217" s="50"/>
      <c r="D217" s="49"/>
      <c r="E217" s="49"/>
      <c r="F217" s="49"/>
      <c r="G217" s="45"/>
      <c r="H217" s="50"/>
      <c r="I217" s="45"/>
      <c r="J217" s="51"/>
      <c r="K217" s="40" t="str">
        <f aca="false">IF($D217="","",$I217*$J217)</f>
        <v/>
      </c>
      <c r="L217" s="50"/>
      <c r="M217" s="49"/>
      <c r="N217" s="45"/>
      <c r="O217" s="40" t="str">
        <f aca="false">IF(OR($D217="",$N217=""),"",$N217*$J217)</f>
        <v/>
      </c>
      <c r="P217" s="41" t="str">
        <f aca="false">IF(OR($D217="",$L217=""),"",MAX($L217-$H217,0))</f>
        <v/>
      </c>
      <c r="Q217" s="40" t="str">
        <f aca="false">IF(OR($D217="",$N217=""),"",IF($E217="LONG",($N217-$I217)*$J217,($I217-$N217)*$J217))</f>
        <v/>
      </c>
      <c r="R217" s="42" t="str">
        <f aca="false">IF(OR($D217="",$Q217="",$K217=0),"",$Q217/$K217)</f>
        <v/>
      </c>
      <c r="S217" s="43" t="str">
        <f aca="false">IF(OR($D217="",$N217=""),"",MIN(INDEX(Config!$C$13:$C$15,$AK217),INDEX(Config!$B$13:$B$15,$AK217)*$K217)+MIN(INDEX(Config!$C$13:$C$15,$AK217),INDEX(Config!$B$13:$B$15,$AK217)*$O217))</f>
        <v/>
      </c>
      <c r="T217" s="43" t="str">
        <f aca="false">IF(OR($D217="",$N217=""),"",INDEX(Config!$D$13:$D$15,$AK217)*$AL217+INDEX(Config!$E$13:$E$15,$AK217)*$AM217)</f>
        <v/>
      </c>
      <c r="U217" s="43" t="str">
        <f aca="false">IF(OR($D217="",$N217=""),"",INDEX(Config!$F$13:$F$15,$AK217)*($K217+$O217))</f>
        <v/>
      </c>
      <c r="V217" s="43" t="str">
        <f aca="false">IF(OR($D217="",$N217=""),"",INDEX(Config!$G$13:$G$15,$AK217)*($K217+$O217)+INDEX(Config!$H$13:$H$15,$AK217)*$AL217+INDEX(Config!$J$13:$J$15,$AK217))</f>
        <v/>
      </c>
      <c r="W217" s="43" t="str">
        <f aca="false">IF(OR($D217="",$N217=""),"",INDEX(Config!$I$13:$I$15,$AK217)*($S217+$U217+INDEX(Config!$G$13:$G$15,$AK217)*($K217+$O217)))</f>
        <v/>
      </c>
      <c r="X217" s="43" t="str">
        <f aca="false">IF(OR($D217="",$N217=""),"",INDEX(Config!$K$13:$K$15,$AK217)/365*$P217*$K217*Config!$B$8)</f>
        <v/>
      </c>
      <c r="Y217" s="43" t="str">
        <f aca="false">IF(OR($D217="",$N217=""),"",SUM($S217:$X217))</f>
        <v/>
      </c>
      <c r="Z217" s="40" t="str">
        <f aca="false">IF(OR($D217="",$Q217=""),"",$Q217-$Y217)</f>
        <v/>
      </c>
      <c r="AA217" s="42" t="str">
        <f aca="false">IF(OR($D217="",$Z217="",$K217=0),"",$Z217/$K217)</f>
        <v/>
      </c>
      <c r="AB217" s="44" t="str">
        <f aca="false">IF(OR($D217="",$Y217="",$K217=0),"",$Y217/$K217*10000)</f>
        <v/>
      </c>
      <c r="AC217" s="44" t="str">
        <f aca="false">IF(OR($D217="",$G217="",$G217=0,$I217=""),"",IF($E217="LONG",($I217-$G217)/$G217,($G217-$I217)/$G217)*10000)</f>
        <v/>
      </c>
      <c r="AD217" s="45"/>
      <c r="AE217" s="40" t="str">
        <f aca="false">IF(OR($D217="",$N217&lt;&gt;"",$AD217=""),"",IF($E217="LONG",($AD217-$I217)*$J217,($I217-$AD217)*$J217))</f>
        <v/>
      </c>
      <c r="AF217" s="40" t="str">
        <f aca="false">IF(OR($D217="",$E217&lt;&gt;"LONG",$Z217=""),"",$Z217+SUMIFS($Z$4:$Z$503,$B$4:$B$503,$B217,$E$4:$E$503,"SHORT"))</f>
        <v/>
      </c>
      <c r="AG217" s="42" t="str">
        <f aca="false">IF(OR($AF217="",$K217=0),"",$AF217/$K217)</f>
        <v/>
      </c>
      <c r="AH217" s="46"/>
      <c r="AI217" s="43" t="str">
        <f aca="false">IF(OR($D217="",$AH217="",$Z217=""),"",$Z217-$AH217)</f>
        <v/>
      </c>
      <c r="AJ217" s="49"/>
      <c r="AK217" s="47" t="str">
        <f aca="false">IF($D217="","",IFERROR(MATCH($F217,Config!$A$13:$A$15,0),1))</f>
        <v/>
      </c>
      <c r="AL217" s="47" t="str">
        <f aca="false">IF(OR($D217="",$N217=""),"",IF($E217="LONG",$K217,$O217))</f>
        <v/>
      </c>
      <c r="AM217" s="47" t="str">
        <f aca="false">IF(OR($D217="",$N217=""),"",IF($E217="LONG",$O217,$K217))</f>
        <v/>
      </c>
    </row>
    <row r="218" customFormat="false" ht="15" hidden="false" customHeight="false" outlineLevel="0" collapsed="false">
      <c r="A218" s="49"/>
      <c r="B218" s="5" t="str">
        <f aca="false">IF($D218="","",IF(OR(RIGHT($A218,2)="-L",RIGHT($A218,2)="-S"),LEFT($A218,LEN($A218)-2),$A218))</f>
        <v/>
      </c>
      <c r="C218" s="50"/>
      <c r="D218" s="49"/>
      <c r="E218" s="49"/>
      <c r="F218" s="49"/>
      <c r="G218" s="45"/>
      <c r="H218" s="50"/>
      <c r="I218" s="45"/>
      <c r="J218" s="51"/>
      <c r="K218" s="40" t="str">
        <f aca="false">IF($D218="","",$I218*$J218)</f>
        <v/>
      </c>
      <c r="L218" s="50"/>
      <c r="M218" s="49"/>
      <c r="N218" s="45"/>
      <c r="O218" s="40" t="str">
        <f aca="false">IF(OR($D218="",$N218=""),"",$N218*$J218)</f>
        <v/>
      </c>
      <c r="P218" s="41" t="str">
        <f aca="false">IF(OR($D218="",$L218=""),"",MAX($L218-$H218,0))</f>
        <v/>
      </c>
      <c r="Q218" s="40" t="str">
        <f aca="false">IF(OR($D218="",$N218=""),"",IF($E218="LONG",($N218-$I218)*$J218,($I218-$N218)*$J218))</f>
        <v/>
      </c>
      <c r="R218" s="42" t="str">
        <f aca="false">IF(OR($D218="",$Q218="",$K218=0),"",$Q218/$K218)</f>
        <v/>
      </c>
      <c r="S218" s="43" t="str">
        <f aca="false">IF(OR($D218="",$N218=""),"",MIN(INDEX(Config!$C$13:$C$15,$AK218),INDEX(Config!$B$13:$B$15,$AK218)*$K218)+MIN(INDEX(Config!$C$13:$C$15,$AK218),INDEX(Config!$B$13:$B$15,$AK218)*$O218))</f>
        <v/>
      </c>
      <c r="T218" s="43" t="str">
        <f aca="false">IF(OR($D218="",$N218=""),"",INDEX(Config!$D$13:$D$15,$AK218)*$AL218+INDEX(Config!$E$13:$E$15,$AK218)*$AM218)</f>
        <v/>
      </c>
      <c r="U218" s="43" t="str">
        <f aca="false">IF(OR($D218="",$N218=""),"",INDEX(Config!$F$13:$F$15,$AK218)*($K218+$O218))</f>
        <v/>
      </c>
      <c r="V218" s="43" t="str">
        <f aca="false">IF(OR($D218="",$N218=""),"",INDEX(Config!$G$13:$G$15,$AK218)*($K218+$O218)+INDEX(Config!$H$13:$H$15,$AK218)*$AL218+INDEX(Config!$J$13:$J$15,$AK218))</f>
        <v/>
      </c>
      <c r="W218" s="43" t="str">
        <f aca="false">IF(OR($D218="",$N218=""),"",INDEX(Config!$I$13:$I$15,$AK218)*($S218+$U218+INDEX(Config!$G$13:$G$15,$AK218)*($K218+$O218)))</f>
        <v/>
      </c>
      <c r="X218" s="43" t="str">
        <f aca="false">IF(OR($D218="",$N218=""),"",INDEX(Config!$K$13:$K$15,$AK218)/365*$P218*$K218*Config!$B$8)</f>
        <v/>
      </c>
      <c r="Y218" s="43" t="str">
        <f aca="false">IF(OR($D218="",$N218=""),"",SUM($S218:$X218))</f>
        <v/>
      </c>
      <c r="Z218" s="40" t="str">
        <f aca="false">IF(OR($D218="",$Q218=""),"",$Q218-$Y218)</f>
        <v/>
      </c>
      <c r="AA218" s="42" t="str">
        <f aca="false">IF(OR($D218="",$Z218="",$K218=0),"",$Z218/$K218)</f>
        <v/>
      </c>
      <c r="AB218" s="44" t="str">
        <f aca="false">IF(OR($D218="",$Y218="",$K218=0),"",$Y218/$K218*10000)</f>
        <v/>
      </c>
      <c r="AC218" s="44" t="str">
        <f aca="false">IF(OR($D218="",$G218="",$G218=0,$I218=""),"",IF($E218="LONG",($I218-$G218)/$G218,($G218-$I218)/$G218)*10000)</f>
        <v/>
      </c>
      <c r="AD218" s="45"/>
      <c r="AE218" s="40" t="str">
        <f aca="false">IF(OR($D218="",$N218&lt;&gt;"",$AD218=""),"",IF($E218="LONG",($AD218-$I218)*$J218,($I218-$AD218)*$J218))</f>
        <v/>
      </c>
      <c r="AF218" s="40" t="str">
        <f aca="false">IF(OR($D218="",$E218&lt;&gt;"LONG",$Z218=""),"",$Z218+SUMIFS($Z$4:$Z$503,$B$4:$B$503,$B218,$E$4:$E$503,"SHORT"))</f>
        <v/>
      </c>
      <c r="AG218" s="42" t="str">
        <f aca="false">IF(OR($AF218="",$K218=0),"",$AF218/$K218)</f>
        <v/>
      </c>
      <c r="AH218" s="46"/>
      <c r="AI218" s="43" t="str">
        <f aca="false">IF(OR($D218="",$AH218="",$Z218=""),"",$Z218-$AH218)</f>
        <v/>
      </c>
      <c r="AJ218" s="49"/>
      <c r="AK218" s="47" t="str">
        <f aca="false">IF($D218="","",IFERROR(MATCH($F218,Config!$A$13:$A$15,0),1))</f>
        <v/>
      </c>
      <c r="AL218" s="47" t="str">
        <f aca="false">IF(OR($D218="",$N218=""),"",IF($E218="LONG",$K218,$O218))</f>
        <v/>
      </c>
      <c r="AM218" s="47" t="str">
        <f aca="false">IF(OR($D218="",$N218=""),"",IF($E218="LONG",$O218,$K218))</f>
        <v/>
      </c>
    </row>
    <row r="219" customFormat="false" ht="15" hidden="false" customHeight="false" outlineLevel="0" collapsed="false">
      <c r="A219" s="49"/>
      <c r="B219" s="5" t="str">
        <f aca="false">IF($D219="","",IF(OR(RIGHT($A219,2)="-L",RIGHT($A219,2)="-S"),LEFT($A219,LEN($A219)-2),$A219))</f>
        <v/>
      </c>
      <c r="C219" s="50"/>
      <c r="D219" s="49"/>
      <c r="E219" s="49"/>
      <c r="F219" s="49"/>
      <c r="G219" s="45"/>
      <c r="H219" s="50"/>
      <c r="I219" s="45"/>
      <c r="J219" s="51"/>
      <c r="K219" s="40" t="str">
        <f aca="false">IF($D219="","",$I219*$J219)</f>
        <v/>
      </c>
      <c r="L219" s="50"/>
      <c r="M219" s="49"/>
      <c r="N219" s="45"/>
      <c r="O219" s="40" t="str">
        <f aca="false">IF(OR($D219="",$N219=""),"",$N219*$J219)</f>
        <v/>
      </c>
      <c r="P219" s="41" t="str">
        <f aca="false">IF(OR($D219="",$L219=""),"",MAX($L219-$H219,0))</f>
        <v/>
      </c>
      <c r="Q219" s="40" t="str">
        <f aca="false">IF(OR($D219="",$N219=""),"",IF($E219="LONG",($N219-$I219)*$J219,($I219-$N219)*$J219))</f>
        <v/>
      </c>
      <c r="R219" s="42" t="str">
        <f aca="false">IF(OR($D219="",$Q219="",$K219=0),"",$Q219/$K219)</f>
        <v/>
      </c>
      <c r="S219" s="43" t="str">
        <f aca="false">IF(OR($D219="",$N219=""),"",MIN(INDEX(Config!$C$13:$C$15,$AK219),INDEX(Config!$B$13:$B$15,$AK219)*$K219)+MIN(INDEX(Config!$C$13:$C$15,$AK219),INDEX(Config!$B$13:$B$15,$AK219)*$O219))</f>
        <v/>
      </c>
      <c r="T219" s="43" t="str">
        <f aca="false">IF(OR($D219="",$N219=""),"",INDEX(Config!$D$13:$D$15,$AK219)*$AL219+INDEX(Config!$E$13:$E$15,$AK219)*$AM219)</f>
        <v/>
      </c>
      <c r="U219" s="43" t="str">
        <f aca="false">IF(OR($D219="",$N219=""),"",INDEX(Config!$F$13:$F$15,$AK219)*($K219+$O219))</f>
        <v/>
      </c>
      <c r="V219" s="43" t="str">
        <f aca="false">IF(OR($D219="",$N219=""),"",INDEX(Config!$G$13:$G$15,$AK219)*($K219+$O219)+INDEX(Config!$H$13:$H$15,$AK219)*$AL219+INDEX(Config!$J$13:$J$15,$AK219))</f>
        <v/>
      </c>
      <c r="W219" s="43" t="str">
        <f aca="false">IF(OR($D219="",$N219=""),"",INDEX(Config!$I$13:$I$15,$AK219)*($S219+$U219+INDEX(Config!$G$13:$G$15,$AK219)*($K219+$O219)))</f>
        <v/>
      </c>
      <c r="X219" s="43" t="str">
        <f aca="false">IF(OR($D219="",$N219=""),"",INDEX(Config!$K$13:$K$15,$AK219)/365*$P219*$K219*Config!$B$8)</f>
        <v/>
      </c>
      <c r="Y219" s="43" t="str">
        <f aca="false">IF(OR($D219="",$N219=""),"",SUM($S219:$X219))</f>
        <v/>
      </c>
      <c r="Z219" s="40" t="str">
        <f aca="false">IF(OR($D219="",$Q219=""),"",$Q219-$Y219)</f>
        <v/>
      </c>
      <c r="AA219" s="42" t="str">
        <f aca="false">IF(OR($D219="",$Z219="",$K219=0),"",$Z219/$K219)</f>
        <v/>
      </c>
      <c r="AB219" s="44" t="str">
        <f aca="false">IF(OR($D219="",$Y219="",$K219=0),"",$Y219/$K219*10000)</f>
        <v/>
      </c>
      <c r="AC219" s="44" t="str">
        <f aca="false">IF(OR($D219="",$G219="",$G219=0,$I219=""),"",IF($E219="LONG",($I219-$G219)/$G219,($G219-$I219)/$G219)*10000)</f>
        <v/>
      </c>
      <c r="AD219" s="45"/>
      <c r="AE219" s="40" t="str">
        <f aca="false">IF(OR($D219="",$N219&lt;&gt;"",$AD219=""),"",IF($E219="LONG",($AD219-$I219)*$J219,($I219-$AD219)*$J219))</f>
        <v/>
      </c>
      <c r="AF219" s="40" t="str">
        <f aca="false">IF(OR($D219="",$E219&lt;&gt;"LONG",$Z219=""),"",$Z219+SUMIFS($Z$4:$Z$503,$B$4:$B$503,$B219,$E$4:$E$503,"SHORT"))</f>
        <v/>
      </c>
      <c r="AG219" s="42" t="str">
        <f aca="false">IF(OR($AF219="",$K219=0),"",$AF219/$K219)</f>
        <v/>
      </c>
      <c r="AH219" s="46"/>
      <c r="AI219" s="43" t="str">
        <f aca="false">IF(OR($D219="",$AH219="",$Z219=""),"",$Z219-$AH219)</f>
        <v/>
      </c>
      <c r="AJ219" s="49"/>
      <c r="AK219" s="47" t="str">
        <f aca="false">IF($D219="","",IFERROR(MATCH($F219,Config!$A$13:$A$15,0),1))</f>
        <v/>
      </c>
      <c r="AL219" s="47" t="str">
        <f aca="false">IF(OR($D219="",$N219=""),"",IF($E219="LONG",$K219,$O219))</f>
        <v/>
      </c>
      <c r="AM219" s="47" t="str">
        <f aca="false">IF(OR($D219="",$N219=""),"",IF($E219="LONG",$O219,$K219))</f>
        <v/>
      </c>
    </row>
    <row r="220" customFormat="false" ht="15" hidden="false" customHeight="false" outlineLevel="0" collapsed="false">
      <c r="A220" s="49"/>
      <c r="B220" s="5" t="str">
        <f aca="false">IF($D220="","",IF(OR(RIGHT($A220,2)="-L",RIGHT($A220,2)="-S"),LEFT($A220,LEN($A220)-2),$A220))</f>
        <v/>
      </c>
      <c r="C220" s="50"/>
      <c r="D220" s="49"/>
      <c r="E220" s="49"/>
      <c r="F220" s="49"/>
      <c r="G220" s="45"/>
      <c r="H220" s="50"/>
      <c r="I220" s="45"/>
      <c r="J220" s="51"/>
      <c r="K220" s="40" t="str">
        <f aca="false">IF($D220="","",$I220*$J220)</f>
        <v/>
      </c>
      <c r="L220" s="50"/>
      <c r="M220" s="49"/>
      <c r="N220" s="45"/>
      <c r="O220" s="40" t="str">
        <f aca="false">IF(OR($D220="",$N220=""),"",$N220*$J220)</f>
        <v/>
      </c>
      <c r="P220" s="41" t="str">
        <f aca="false">IF(OR($D220="",$L220=""),"",MAX($L220-$H220,0))</f>
        <v/>
      </c>
      <c r="Q220" s="40" t="str">
        <f aca="false">IF(OR($D220="",$N220=""),"",IF($E220="LONG",($N220-$I220)*$J220,($I220-$N220)*$J220))</f>
        <v/>
      </c>
      <c r="R220" s="42" t="str">
        <f aca="false">IF(OR($D220="",$Q220="",$K220=0),"",$Q220/$K220)</f>
        <v/>
      </c>
      <c r="S220" s="43" t="str">
        <f aca="false">IF(OR($D220="",$N220=""),"",MIN(INDEX(Config!$C$13:$C$15,$AK220),INDEX(Config!$B$13:$B$15,$AK220)*$K220)+MIN(INDEX(Config!$C$13:$C$15,$AK220),INDEX(Config!$B$13:$B$15,$AK220)*$O220))</f>
        <v/>
      </c>
      <c r="T220" s="43" t="str">
        <f aca="false">IF(OR($D220="",$N220=""),"",INDEX(Config!$D$13:$D$15,$AK220)*$AL220+INDEX(Config!$E$13:$E$15,$AK220)*$AM220)</f>
        <v/>
      </c>
      <c r="U220" s="43" t="str">
        <f aca="false">IF(OR($D220="",$N220=""),"",INDEX(Config!$F$13:$F$15,$AK220)*($K220+$O220))</f>
        <v/>
      </c>
      <c r="V220" s="43" t="str">
        <f aca="false">IF(OR($D220="",$N220=""),"",INDEX(Config!$G$13:$G$15,$AK220)*($K220+$O220)+INDEX(Config!$H$13:$H$15,$AK220)*$AL220+INDEX(Config!$J$13:$J$15,$AK220))</f>
        <v/>
      </c>
      <c r="W220" s="43" t="str">
        <f aca="false">IF(OR($D220="",$N220=""),"",INDEX(Config!$I$13:$I$15,$AK220)*($S220+$U220+INDEX(Config!$G$13:$G$15,$AK220)*($K220+$O220)))</f>
        <v/>
      </c>
      <c r="X220" s="43" t="str">
        <f aca="false">IF(OR($D220="",$N220=""),"",INDEX(Config!$K$13:$K$15,$AK220)/365*$P220*$K220*Config!$B$8)</f>
        <v/>
      </c>
      <c r="Y220" s="43" t="str">
        <f aca="false">IF(OR($D220="",$N220=""),"",SUM($S220:$X220))</f>
        <v/>
      </c>
      <c r="Z220" s="40" t="str">
        <f aca="false">IF(OR($D220="",$Q220=""),"",$Q220-$Y220)</f>
        <v/>
      </c>
      <c r="AA220" s="42" t="str">
        <f aca="false">IF(OR($D220="",$Z220="",$K220=0),"",$Z220/$K220)</f>
        <v/>
      </c>
      <c r="AB220" s="44" t="str">
        <f aca="false">IF(OR($D220="",$Y220="",$K220=0),"",$Y220/$K220*10000)</f>
        <v/>
      </c>
      <c r="AC220" s="44" t="str">
        <f aca="false">IF(OR($D220="",$G220="",$G220=0,$I220=""),"",IF($E220="LONG",($I220-$G220)/$G220,($G220-$I220)/$G220)*10000)</f>
        <v/>
      </c>
      <c r="AD220" s="45"/>
      <c r="AE220" s="40" t="str">
        <f aca="false">IF(OR($D220="",$N220&lt;&gt;"",$AD220=""),"",IF($E220="LONG",($AD220-$I220)*$J220,($I220-$AD220)*$J220))</f>
        <v/>
      </c>
      <c r="AF220" s="40" t="str">
        <f aca="false">IF(OR($D220="",$E220&lt;&gt;"LONG",$Z220=""),"",$Z220+SUMIFS($Z$4:$Z$503,$B$4:$B$503,$B220,$E$4:$E$503,"SHORT"))</f>
        <v/>
      </c>
      <c r="AG220" s="42" t="str">
        <f aca="false">IF(OR($AF220="",$K220=0),"",$AF220/$K220)</f>
        <v/>
      </c>
      <c r="AH220" s="46"/>
      <c r="AI220" s="43" t="str">
        <f aca="false">IF(OR($D220="",$AH220="",$Z220=""),"",$Z220-$AH220)</f>
        <v/>
      </c>
      <c r="AJ220" s="49"/>
      <c r="AK220" s="47" t="str">
        <f aca="false">IF($D220="","",IFERROR(MATCH($F220,Config!$A$13:$A$15,0),1))</f>
        <v/>
      </c>
      <c r="AL220" s="47" t="str">
        <f aca="false">IF(OR($D220="",$N220=""),"",IF($E220="LONG",$K220,$O220))</f>
        <v/>
      </c>
      <c r="AM220" s="47" t="str">
        <f aca="false">IF(OR($D220="",$N220=""),"",IF($E220="LONG",$O220,$K220))</f>
        <v/>
      </c>
    </row>
    <row r="221" customFormat="false" ht="15" hidden="false" customHeight="false" outlineLevel="0" collapsed="false">
      <c r="A221" s="49"/>
      <c r="B221" s="5" t="str">
        <f aca="false">IF($D221="","",IF(OR(RIGHT($A221,2)="-L",RIGHT($A221,2)="-S"),LEFT($A221,LEN($A221)-2),$A221))</f>
        <v/>
      </c>
      <c r="C221" s="50"/>
      <c r="D221" s="49"/>
      <c r="E221" s="49"/>
      <c r="F221" s="49"/>
      <c r="G221" s="45"/>
      <c r="H221" s="50"/>
      <c r="I221" s="45"/>
      <c r="J221" s="51"/>
      <c r="K221" s="40" t="str">
        <f aca="false">IF($D221="","",$I221*$J221)</f>
        <v/>
      </c>
      <c r="L221" s="50"/>
      <c r="M221" s="49"/>
      <c r="N221" s="45"/>
      <c r="O221" s="40" t="str">
        <f aca="false">IF(OR($D221="",$N221=""),"",$N221*$J221)</f>
        <v/>
      </c>
      <c r="P221" s="41" t="str">
        <f aca="false">IF(OR($D221="",$L221=""),"",MAX($L221-$H221,0))</f>
        <v/>
      </c>
      <c r="Q221" s="40" t="str">
        <f aca="false">IF(OR($D221="",$N221=""),"",IF($E221="LONG",($N221-$I221)*$J221,($I221-$N221)*$J221))</f>
        <v/>
      </c>
      <c r="R221" s="42" t="str">
        <f aca="false">IF(OR($D221="",$Q221="",$K221=0),"",$Q221/$K221)</f>
        <v/>
      </c>
      <c r="S221" s="43" t="str">
        <f aca="false">IF(OR($D221="",$N221=""),"",MIN(INDEX(Config!$C$13:$C$15,$AK221),INDEX(Config!$B$13:$B$15,$AK221)*$K221)+MIN(INDEX(Config!$C$13:$C$15,$AK221),INDEX(Config!$B$13:$B$15,$AK221)*$O221))</f>
        <v/>
      </c>
      <c r="T221" s="43" t="str">
        <f aca="false">IF(OR($D221="",$N221=""),"",INDEX(Config!$D$13:$D$15,$AK221)*$AL221+INDEX(Config!$E$13:$E$15,$AK221)*$AM221)</f>
        <v/>
      </c>
      <c r="U221" s="43" t="str">
        <f aca="false">IF(OR($D221="",$N221=""),"",INDEX(Config!$F$13:$F$15,$AK221)*($K221+$O221))</f>
        <v/>
      </c>
      <c r="V221" s="43" t="str">
        <f aca="false">IF(OR($D221="",$N221=""),"",INDEX(Config!$G$13:$G$15,$AK221)*($K221+$O221)+INDEX(Config!$H$13:$H$15,$AK221)*$AL221+INDEX(Config!$J$13:$J$15,$AK221))</f>
        <v/>
      </c>
      <c r="W221" s="43" t="str">
        <f aca="false">IF(OR($D221="",$N221=""),"",INDEX(Config!$I$13:$I$15,$AK221)*($S221+$U221+INDEX(Config!$G$13:$G$15,$AK221)*($K221+$O221)))</f>
        <v/>
      </c>
      <c r="X221" s="43" t="str">
        <f aca="false">IF(OR($D221="",$N221=""),"",INDEX(Config!$K$13:$K$15,$AK221)/365*$P221*$K221*Config!$B$8)</f>
        <v/>
      </c>
      <c r="Y221" s="43" t="str">
        <f aca="false">IF(OR($D221="",$N221=""),"",SUM($S221:$X221))</f>
        <v/>
      </c>
      <c r="Z221" s="40" t="str">
        <f aca="false">IF(OR($D221="",$Q221=""),"",$Q221-$Y221)</f>
        <v/>
      </c>
      <c r="AA221" s="42" t="str">
        <f aca="false">IF(OR($D221="",$Z221="",$K221=0),"",$Z221/$K221)</f>
        <v/>
      </c>
      <c r="AB221" s="44" t="str">
        <f aca="false">IF(OR($D221="",$Y221="",$K221=0),"",$Y221/$K221*10000)</f>
        <v/>
      </c>
      <c r="AC221" s="44" t="str">
        <f aca="false">IF(OR($D221="",$G221="",$G221=0,$I221=""),"",IF($E221="LONG",($I221-$G221)/$G221,($G221-$I221)/$G221)*10000)</f>
        <v/>
      </c>
      <c r="AD221" s="45"/>
      <c r="AE221" s="40" t="str">
        <f aca="false">IF(OR($D221="",$N221&lt;&gt;"",$AD221=""),"",IF($E221="LONG",($AD221-$I221)*$J221,($I221-$AD221)*$J221))</f>
        <v/>
      </c>
      <c r="AF221" s="40" t="str">
        <f aca="false">IF(OR($D221="",$E221&lt;&gt;"LONG",$Z221=""),"",$Z221+SUMIFS($Z$4:$Z$503,$B$4:$B$503,$B221,$E$4:$E$503,"SHORT"))</f>
        <v/>
      </c>
      <c r="AG221" s="42" t="str">
        <f aca="false">IF(OR($AF221="",$K221=0),"",$AF221/$K221)</f>
        <v/>
      </c>
      <c r="AH221" s="46"/>
      <c r="AI221" s="43" t="str">
        <f aca="false">IF(OR($D221="",$AH221="",$Z221=""),"",$Z221-$AH221)</f>
        <v/>
      </c>
      <c r="AJ221" s="49"/>
      <c r="AK221" s="47" t="str">
        <f aca="false">IF($D221="","",IFERROR(MATCH($F221,Config!$A$13:$A$15,0),1))</f>
        <v/>
      </c>
      <c r="AL221" s="47" t="str">
        <f aca="false">IF(OR($D221="",$N221=""),"",IF($E221="LONG",$K221,$O221))</f>
        <v/>
      </c>
      <c r="AM221" s="47" t="str">
        <f aca="false">IF(OR($D221="",$N221=""),"",IF($E221="LONG",$O221,$K221))</f>
        <v/>
      </c>
    </row>
    <row r="222" customFormat="false" ht="15" hidden="false" customHeight="false" outlineLevel="0" collapsed="false">
      <c r="A222" s="49"/>
      <c r="B222" s="5" t="str">
        <f aca="false">IF($D222="","",IF(OR(RIGHT($A222,2)="-L",RIGHT($A222,2)="-S"),LEFT($A222,LEN($A222)-2),$A222))</f>
        <v/>
      </c>
      <c r="C222" s="50"/>
      <c r="D222" s="49"/>
      <c r="E222" s="49"/>
      <c r="F222" s="49"/>
      <c r="G222" s="45"/>
      <c r="H222" s="50"/>
      <c r="I222" s="45"/>
      <c r="J222" s="51"/>
      <c r="K222" s="40" t="str">
        <f aca="false">IF($D222="","",$I222*$J222)</f>
        <v/>
      </c>
      <c r="L222" s="50"/>
      <c r="M222" s="49"/>
      <c r="N222" s="45"/>
      <c r="O222" s="40" t="str">
        <f aca="false">IF(OR($D222="",$N222=""),"",$N222*$J222)</f>
        <v/>
      </c>
      <c r="P222" s="41" t="str">
        <f aca="false">IF(OR($D222="",$L222=""),"",MAX($L222-$H222,0))</f>
        <v/>
      </c>
      <c r="Q222" s="40" t="str">
        <f aca="false">IF(OR($D222="",$N222=""),"",IF($E222="LONG",($N222-$I222)*$J222,($I222-$N222)*$J222))</f>
        <v/>
      </c>
      <c r="R222" s="42" t="str">
        <f aca="false">IF(OR($D222="",$Q222="",$K222=0),"",$Q222/$K222)</f>
        <v/>
      </c>
      <c r="S222" s="43" t="str">
        <f aca="false">IF(OR($D222="",$N222=""),"",MIN(INDEX(Config!$C$13:$C$15,$AK222),INDEX(Config!$B$13:$B$15,$AK222)*$K222)+MIN(INDEX(Config!$C$13:$C$15,$AK222),INDEX(Config!$B$13:$B$15,$AK222)*$O222))</f>
        <v/>
      </c>
      <c r="T222" s="43" t="str">
        <f aca="false">IF(OR($D222="",$N222=""),"",INDEX(Config!$D$13:$D$15,$AK222)*$AL222+INDEX(Config!$E$13:$E$15,$AK222)*$AM222)</f>
        <v/>
      </c>
      <c r="U222" s="43" t="str">
        <f aca="false">IF(OR($D222="",$N222=""),"",INDEX(Config!$F$13:$F$15,$AK222)*($K222+$O222))</f>
        <v/>
      </c>
      <c r="V222" s="43" t="str">
        <f aca="false">IF(OR($D222="",$N222=""),"",INDEX(Config!$G$13:$G$15,$AK222)*($K222+$O222)+INDEX(Config!$H$13:$H$15,$AK222)*$AL222+INDEX(Config!$J$13:$J$15,$AK222))</f>
        <v/>
      </c>
      <c r="W222" s="43" t="str">
        <f aca="false">IF(OR($D222="",$N222=""),"",INDEX(Config!$I$13:$I$15,$AK222)*($S222+$U222+INDEX(Config!$G$13:$G$15,$AK222)*($K222+$O222)))</f>
        <v/>
      </c>
      <c r="X222" s="43" t="str">
        <f aca="false">IF(OR($D222="",$N222=""),"",INDEX(Config!$K$13:$K$15,$AK222)/365*$P222*$K222*Config!$B$8)</f>
        <v/>
      </c>
      <c r="Y222" s="43" t="str">
        <f aca="false">IF(OR($D222="",$N222=""),"",SUM($S222:$X222))</f>
        <v/>
      </c>
      <c r="Z222" s="40" t="str">
        <f aca="false">IF(OR($D222="",$Q222=""),"",$Q222-$Y222)</f>
        <v/>
      </c>
      <c r="AA222" s="42" t="str">
        <f aca="false">IF(OR($D222="",$Z222="",$K222=0),"",$Z222/$K222)</f>
        <v/>
      </c>
      <c r="AB222" s="44" t="str">
        <f aca="false">IF(OR($D222="",$Y222="",$K222=0),"",$Y222/$K222*10000)</f>
        <v/>
      </c>
      <c r="AC222" s="44" t="str">
        <f aca="false">IF(OR($D222="",$G222="",$G222=0,$I222=""),"",IF($E222="LONG",($I222-$G222)/$G222,($G222-$I222)/$G222)*10000)</f>
        <v/>
      </c>
      <c r="AD222" s="45"/>
      <c r="AE222" s="40" t="str">
        <f aca="false">IF(OR($D222="",$N222&lt;&gt;"",$AD222=""),"",IF($E222="LONG",($AD222-$I222)*$J222,($I222-$AD222)*$J222))</f>
        <v/>
      </c>
      <c r="AF222" s="40" t="str">
        <f aca="false">IF(OR($D222="",$E222&lt;&gt;"LONG",$Z222=""),"",$Z222+SUMIFS($Z$4:$Z$503,$B$4:$B$503,$B222,$E$4:$E$503,"SHORT"))</f>
        <v/>
      </c>
      <c r="AG222" s="42" t="str">
        <f aca="false">IF(OR($AF222="",$K222=0),"",$AF222/$K222)</f>
        <v/>
      </c>
      <c r="AH222" s="46"/>
      <c r="AI222" s="43" t="str">
        <f aca="false">IF(OR($D222="",$AH222="",$Z222=""),"",$Z222-$AH222)</f>
        <v/>
      </c>
      <c r="AJ222" s="49"/>
      <c r="AK222" s="47" t="str">
        <f aca="false">IF($D222="","",IFERROR(MATCH($F222,Config!$A$13:$A$15,0),1))</f>
        <v/>
      </c>
      <c r="AL222" s="47" t="str">
        <f aca="false">IF(OR($D222="",$N222=""),"",IF($E222="LONG",$K222,$O222))</f>
        <v/>
      </c>
      <c r="AM222" s="47" t="str">
        <f aca="false">IF(OR($D222="",$N222=""),"",IF($E222="LONG",$O222,$K222))</f>
        <v/>
      </c>
    </row>
    <row r="223" customFormat="false" ht="15" hidden="false" customHeight="false" outlineLevel="0" collapsed="false">
      <c r="A223" s="49"/>
      <c r="B223" s="5" t="str">
        <f aca="false">IF($D223="","",IF(OR(RIGHT($A223,2)="-L",RIGHT($A223,2)="-S"),LEFT($A223,LEN($A223)-2),$A223))</f>
        <v/>
      </c>
      <c r="C223" s="50"/>
      <c r="D223" s="49"/>
      <c r="E223" s="49"/>
      <c r="F223" s="49"/>
      <c r="G223" s="45"/>
      <c r="H223" s="50"/>
      <c r="I223" s="45"/>
      <c r="J223" s="51"/>
      <c r="K223" s="40" t="str">
        <f aca="false">IF($D223="","",$I223*$J223)</f>
        <v/>
      </c>
      <c r="L223" s="50"/>
      <c r="M223" s="49"/>
      <c r="N223" s="45"/>
      <c r="O223" s="40" t="str">
        <f aca="false">IF(OR($D223="",$N223=""),"",$N223*$J223)</f>
        <v/>
      </c>
      <c r="P223" s="41" t="str">
        <f aca="false">IF(OR($D223="",$L223=""),"",MAX($L223-$H223,0))</f>
        <v/>
      </c>
      <c r="Q223" s="40" t="str">
        <f aca="false">IF(OR($D223="",$N223=""),"",IF($E223="LONG",($N223-$I223)*$J223,($I223-$N223)*$J223))</f>
        <v/>
      </c>
      <c r="R223" s="42" t="str">
        <f aca="false">IF(OR($D223="",$Q223="",$K223=0),"",$Q223/$K223)</f>
        <v/>
      </c>
      <c r="S223" s="43" t="str">
        <f aca="false">IF(OR($D223="",$N223=""),"",MIN(INDEX(Config!$C$13:$C$15,$AK223),INDEX(Config!$B$13:$B$15,$AK223)*$K223)+MIN(INDEX(Config!$C$13:$C$15,$AK223),INDEX(Config!$B$13:$B$15,$AK223)*$O223))</f>
        <v/>
      </c>
      <c r="T223" s="43" t="str">
        <f aca="false">IF(OR($D223="",$N223=""),"",INDEX(Config!$D$13:$D$15,$AK223)*$AL223+INDEX(Config!$E$13:$E$15,$AK223)*$AM223)</f>
        <v/>
      </c>
      <c r="U223" s="43" t="str">
        <f aca="false">IF(OR($D223="",$N223=""),"",INDEX(Config!$F$13:$F$15,$AK223)*($K223+$O223))</f>
        <v/>
      </c>
      <c r="V223" s="43" t="str">
        <f aca="false">IF(OR($D223="",$N223=""),"",INDEX(Config!$G$13:$G$15,$AK223)*($K223+$O223)+INDEX(Config!$H$13:$H$15,$AK223)*$AL223+INDEX(Config!$J$13:$J$15,$AK223))</f>
        <v/>
      </c>
      <c r="W223" s="43" t="str">
        <f aca="false">IF(OR($D223="",$N223=""),"",INDEX(Config!$I$13:$I$15,$AK223)*($S223+$U223+INDEX(Config!$G$13:$G$15,$AK223)*($K223+$O223)))</f>
        <v/>
      </c>
      <c r="X223" s="43" t="str">
        <f aca="false">IF(OR($D223="",$N223=""),"",INDEX(Config!$K$13:$K$15,$AK223)/365*$P223*$K223*Config!$B$8)</f>
        <v/>
      </c>
      <c r="Y223" s="43" t="str">
        <f aca="false">IF(OR($D223="",$N223=""),"",SUM($S223:$X223))</f>
        <v/>
      </c>
      <c r="Z223" s="40" t="str">
        <f aca="false">IF(OR($D223="",$Q223=""),"",$Q223-$Y223)</f>
        <v/>
      </c>
      <c r="AA223" s="42" t="str">
        <f aca="false">IF(OR($D223="",$Z223="",$K223=0),"",$Z223/$K223)</f>
        <v/>
      </c>
      <c r="AB223" s="44" t="str">
        <f aca="false">IF(OR($D223="",$Y223="",$K223=0),"",$Y223/$K223*10000)</f>
        <v/>
      </c>
      <c r="AC223" s="44" t="str">
        <f aca="false">IF(OR($D223="",$G223="",$G223=0,$I223=""),"",IF($E223="LONG",($I223-$G223)/$G223,($G223-$I223)/$G223)*10000)</f>
        <v/>
      </c>
      <c r="AD223" s="45"/>
      <c r="AE223" s="40" t="str">
        <f aca="false">IF(OR($D223="",$N223&lt;&gt;"",$AD223=""),"",IF($E223="LONG",($AD223-$I223)*$J223,($I223-$AD223)*$J223))</f>
        <v/>
      </c>
      <c r="AF223" s="40" t="str">
        <f aca="false">IF(OR($D223="",$E223&lt;&gt;"LONG",$Z223=""),"",$Z223+SUMIFS($Z$4:$Z$503,$B$4:$B$503,$B223,$E$4:$E$503,"SHORT"))</f>
        <v/>
      </c>
      <c r="AG223" s="42" t="str">
        <f aca="false">IF(OR($AF223="",$K223=0),"",$AF223/$K223)</f>
        <v/>
      </c>
      <c r="AH223" s="46"/>
      <c r="AI223" s="43" t="str">
        <f aca="false">IF(OR($D223="",$AH223="",$Z223=""),"",$Z223-$AH223)</f>
        <v/>
      </c>
      <c r="AJ223" s="49"/>
      <c r="AK223" s="47" t="str">
        <f aca="false">IF($D223="","",IFERROR(MATCH($F223,Config!$A$13:$A$15,0),1))</f>
        <v/>
      </c>
      <c r="AL223" s="47" t="str">
        <f aca="false">IF(OR($D223="",$N223=""),"",IF($E223="LONG",$K223,$O223))</f>
        <v/>
      </c>
      <c r="AM223" s="47" t="str">
        <f aca="false">IF(OR($D223="",$N223=""),"",IF($E223="LONG",$O223,$K223))</f>
        <v/>
      </c>
    </row>
    <row r="224" customFormat="false" ht="15" hidden="false" customHeight="false" outlineLevel="0" collapsed="false">
      <c r="A224" s="49"/>
      <c r="B224" s="5" t="str">
        <f aca="false">IF($D224="","",IF(OR(RIGHT($A224,2)="-L",RIGHT($A224,2)="-S"),LEFT($A224,LEN($A224)-2),$A224))</f>
        <v/>
      </c>
      <c r="C224" s="50"/>
      <c r="D224" s="49"/>
      <c r="E224" s="49"/>
      <c r="F224" s="49"/>
      <c r="G224" s="45"/>
      <c r="H224" s="50"/>
      <c r="I224" s="45"/>
      <c r="J224" s="51"/>
      <c r="K224" s="40" t="str">
        <f aca="false">IF($D224="","",$I224*$J224)</f>
        <v/>
      </c>
      <c r="L224" s="50"/>
      <c r="M224" s="49"/>
      <c r="N224" s="45"/>
      <c r="O224" s="40" t="str">
        <f aca="false">IF(OR($D224="",$N224=""),"",$N224*$J224)</f>
        <v/>
      </c>
      <c r="P224" s="41" t="str">
        <f aca="false">IF(OR($D224="",$L224=""),"",MAX($L224-$H224,0))</f>
        <v/>
      </c>
      <c r="Q224" s="40" t="str">
        <f aca="false">IF(OR($D224="",$N224=""),"",IF($E224="LONG",($N224-$I224)*$J224,($I224-$N224)*$J224))</f>
        <v/>
      </c>
      <c r="R224" s="42" t="str">
        <f aca="false">IF(OR($D224="",$Q224="",$K224=0),"",$Q224/$K224)</f>
        <v/>
      </c>
      <c r="S224" s="43" t="str">
        <f aca="false">IF(OR($D224="",$N224=""),"",MIN(INDEX(Config!$C$13:$C$15,$AK224),INDEX(Config!$B$13:$B$15,$AK224)*$K224)+MIN(INDEX(Config!$C$13:$C$15,$AK224),INDEX(Config!$B$13:$B$15,$AK224)*$O224))</f>
        <v/>
      </c>
      <c r="T224" s="43" t="str">
        <f aca="false">IF(OR($D224="",$N224=""),"",INDEX(Config!$D$13:$D$15,$AK224)*$AL224+INDEX(Config!$E$13:$E$15,$AK224)*$AM224)</f>
        <v/>
      </c>
      <c r="U224" s="43" t="str">
        <f aca="false">IF(OR($D224="",$N224=""),"",INDEX(Config!$F$13:$F$15,$AK224)*($K224+$O224))</f>
        <v/>
      </c>
      <c r="V224" s="43" t="str">
        <f aca="false">IF(OR($D224="",$N224=""),"",INDEX(Config!$G$13:$G$15,$AK224)*($K224+$O224)+INDEX(Config!$H$13:$H$15,$AK224)*$AL224+INDEX(Config!$J$13:$J$15,$AK224))</f>
        <v/>
      </c>
      <c r="W224" s="43" t="str">
        <f aca="false">IF(OR($D224="",$N224=""),"",INDEX(Config!$I$13:$I$15,$AK224)*($S224+$U224+INDEX(Config!$G$13:$G$15,$AK224)*($K224+$O224)))</f>
        <v/>
      </c>
      <c r="X224" s="43" t="str">
        <f aca="false">IF(OR($D224="",$N224=""),"",INDEX(Config!$K$13:$K$15,$AK224)/365*$P224*$K224*Config!$B$8)</f>
        <v/>
      </c>
      <c r="Y224" s="43" t="str">
        <f aca="false">IF(OR($D224="",$N224=""),"",SUM($S224:$X224))</f>
        <v/>
      </c>
      <c r="Z224" s="40" t="str">
        <f aca="false">IF(OR($D224="",$Q224=""),"",$Q224-$Y224)</f>
        <v/>
      </c>
      <c r="AA224" s="42" t="str">
        <f aca="false">IF(OR($D224="",$Z224="",$K224=0),"",$Z224/$K224)</f>
        <v/>
      </c>
      <c r="AB224" s="44" t="str">
        <f aca="false">IF(OR($D224="",$Y224="",$K224=0),"",$Y224/$K224*10000)</f>
        <v/>
      </c>
      <c r="AC224" s="44" t="str">
        <f aca="false">IF(OR($D224="",$G224="",$G224=0,$I224=""),"",IF($E224="LONG",($I224-$G224)/$G224,($G224-$I224)/$G224)*10000)</f>
        <v/>
      </c>
      <c r="AD224" s="45"/>
      <c r="AE224" s="40" t="str">
        <f aca="false">IF(OR($D224="",$N224&lt;&gt;"",$AD224=""),"",IF($E224="LONG",($AD224-$I224)*$J224,($I224-$AD224)*$J224))</f>
        <v/>
      </c>
      <c r="AF224" s="40" t="str">
        <f aca="false">IF(OR($D224="",$E224&lt;&gt;"LONG",$Z224=""),"",$Z224+SUMIFS($Z$4:$Z$503,$B$4:$B$503,$B224,$E$4:$E$503,"SHORT"))</f>
        <v/>
      </c>
      <c r="AG224" s="42" t="str">
        <f aca="false">IF(OR($AF224="",$K224=0),"",$AF224/$K224)</f>
        <v/>
      </c>
      <c r="AH224" s="46"/>
      <c r="AI224" s="43" t="str">
        <f aca="false">IF(OR($D224="",$AH224="",$Z224=""),"",$Z224-$AH224)</f>
        <v/>
      </c>
      <c r="AJ224" s="49"/>
      <c r="AK224" s="47" t="str">
        <f aca="false">IF($D224="","",IFERROR(MATCH($F224,Config!$A$13:$A$15,0),1))</f>
        <v/>
      </c>
      <c r="AL224" s="47" t="str">
        <f aca="false">IF(OR($D224="",$N224=""),"",IF($E224="LONG",$K224,$O224))</f>
        <v/>
      </c>
      <c r="AM224" s="47" t="str">
        <f aca="false">IF(OR($D224="",$N224=""),"",IF($E224="LONG",$O224,$K224))</f>
        <v/>
      </c>
    </row>
    <row r="225" customFormat="false" ht="15" hidden="false" customHeight="false" outlineLevel="0" collapsed="false">
      <c r="A225" s="49"/>
      <c r="B225" s="5" t="str">
        <f aca="false">IF($D225="","",IF(OR(RIGHT($A225,2)="-L",RIGHT($A225,2)="-S"),LEFT($A225,LEN($A225)-2),$A225))</f>
        <v/>
      </c>
      <c r="C225" s="50"/>
      <c r="D225" s="49"/>
      <c r="E225" s="49"/>
      <c r="F225" s="49"/>
      <c r="G225" s="45"/>
      <c r="H225" s="50"/>
      <c r="I225" s="45"/>
      <c r="J225" s="51"/>
      <c r="K225" s="40" t="str">
        <f aca="false">IF($D225="","",$I225*$J225)</f>
        <v/>
      </c>
      <c r="L225" s="50"/>
      <c r="M225" s="49"/>
      <c r="N225" s="45"/>
      <c r="O225" s="40" t="str">
        <f aca="false">IF(OR($D225="",$N225=""),"",$N225*$J225)</f>
        <v/>
      </c>
      <c r="P225" s="41" t="str">
        <f aca="false">IF(OR($D225="",$L225=""),"",MAX($L225-$H225,0))</f>
        <v/>
      </c>
      <c r="Q225" s="40" t="str">
        <f aca="false">IF(OR($D225="",$N225=""),"",IF($E225="LONG",($N225-$I225)*$J225,($I225-$N225)*$J225))</f>
        <v/>
      </c>
      <c r="R225" s="42" t="str">
        <f aca="false">IF(OR($D225="",$Q225="",$K225=0),"",$Q225/$K225)</f>
        <v/>
      </c>
      <c r="S225" s="43" t="str">
        <f aca="false">IF(OR($D225="",$N225=""),"",MIN(INDEX(Config!$C$13:$C$15,$AK225),INDEX(Config!$B$13:$B$15,$AK225)*$K225)+MIN(INDEX(Config!$C$13:$C$15,$AK225),INDEX(Config!$B$13:$B$15,$AK225)*$O225))</f>
        <v/>
      </c>
      <c r="T225" s="43" t="str">
        <f aca="false">IF(OR($D225="",$N225=""),"",INDEX(Config!$D$13:$D$15,$AK225)*$AL225+INDEX(Config!$E$13:$E$15,$AK225)*$AM225)</f>
        <v/>
      </c>
      <c r="U225" s="43" t="str">
        <f aca="false">IF(OR($D225="",$N225=""),"",INDEX(Config!$F$13:$F$15,$AK225)*($K225+$O225))</f>
        <v/>
      </c>
      <c r="V225" s="43" t="str">
        <f aca="false">IF(OR($D225="",$N225=""),"",INDEX(Config!$G$13:$G$15,$AK225)*($K225+$O225)+INDEX(Config!$H$13:$H$15,$AK225)*$AL225+INDEX(Config!$J$13:$J$15,$AK225))</f>
        <v/>
      </c>
      <c r="W225" s="43" t="str">
        <f aca="false">IF(OR($D225="",$N225=""),"",INDEX(Config!$I$13:$I$15,$AK225)*($S225+$U225+INDEX(Config!$G$13:$G$15,$AK225)*($K225+$O225)))</f>
        <v/>
      </c>
      <c r="X225" s="43" t="str">
        <f aca="false">IF(OR($D225="",$N225=""),"",INDEX(Config!$K$13:$K$15,$AK225)/365*$P225*$K225*Config!$B$8)</f>
        <v/>
      </c>
      <c r="Y225" s="43" t="str">
        <f aca="false">IF(OR($D225="",$N225=""),"",SUM($S225:$X225))</f>
        <v/>
      </c>
      <c r="Z225" s="40" t="str">
        <f aca="false">IF(OR($D225="",$Q225=""),"",$Q225-$Y225)</f>
        <v/>
      </c>
      <c r="AA225" s="42" t="str">
        <f aca="false">IF(OR($D225="",$Z225="",$K225=0),"",$Z225/$K225)</f>
        <v/>
      </c>
      <c r="AB225" s="44" t="str">
        <f aca="false">IF(OR($D225="",$Y225="",$K225=0),"",$Y225/$K225*10000)</f>
        <v/>
      </c>
      <c r="AC225" s="44" t="str">
        <f aca="false">IF(OR($D225="",$G225="",$G225=0,$I225=""),"",IF($E225="LONG",($I225-$G225)/$G225,($G225-$I225)/$G225)*10000)</f>
        <v/>
      </c>
      <c r="AD225" s="45"/>
      <c r="AE225" s="40" t="str">
        <f aca="false">IF(OR($D225="",$N225&lt;&gt;"",$AD225=""),"",IF($E225="LONG",($AD225-$I225)*$J225,($I225-$AD225)*$J225))</f>
        <v/>
      </c>
      <c r="AF225" s="40" t="str">
        <f aca="false">IF(OR($D225="",$E225&lt;&gt;"LONG",$Z225=""),"",$Z225+SUMIFS($Z$4:$Z$503,$B$4:$B$503,$B225,$E$4:$E$503,"SHORT"))</f>
        <v/>
      </c>
      <c r="AG225" s="42" t="str">
        <f aca="false">IF(OR($AF225="",$K225=0),"",$AF225/$K225)</f>
        <v/>
      </c>
      <c r="AH225" s="46"/>
      <c r="AI225" s="43" t="str">
        <f aca="false">IF(OR($D225="",$AH225="",$Z225=""),"",$Z225-$AH225)</f>
        <v/>
      </c>
      <c r="AJ225" s="49"/>
      <c r="AK225" s="47" t="str">
        <f aca="false">IF($D225="","",IFERROR(MATCH($F225,Config!$A$13:$A$15,0),1))</f>
        <v/>
      </c>
      <c r="AL225" s="47" t="str">
        <f aca="false">IF(OR($D225="",$N225=""),"",IF($E225="LONG",$K225,$O225))</f>
        <v/>
      </c>
      <c r="AM225" s="47" t="str">
        <f aca="false">IF(OR($D225="",$N225=""),"",IF($E225="LONG",$O225,$K225))</f>
        <v/>
      </c>
    </row>
    <row r="226" customFormat="false" ht="15" hidden="false" customHeight="false" outlineLevel="0" collapsed="false">
      <c r="A226" s="49"/>
      <c r="B226" s="5" t="str">
        <f aca="false">IF($D226="","",IF(OR(RIGHT($A226,2)="-L",RIGHT($A226,2)="-S"),LEFT($A226,LEN($A226)-2),$A226))</f>
        <v/>
      </c>
      <c r="C226" s="50"/>
      <c r="D226" s="49"/>
      <c r="E226" s="49"/>
      <c r="F226" s="49"/>
      <c r="G226" s="45"/>
      <c r="H226" s="50"/>
      <c r="I226" s="45"/>
      <c r="J226" s="51"/>
      <c r="K226" s="40" t="str">
        <f aca="false">IF($D226="","",$I226*$J226)</f>
        <v/>
      </c>
      <c r="L226" s="50"/>
      <c r="M226" s="49"/>
      <c r="N226" s="45"/>
      <c r="O226" s="40" t="str">
        <f aca="false">IF(OR($D226="",$N226=""),"",$N226*$J226)</f>
        <v/>
      </c>
      <c r="P226" s="41" t="str">
        <f aca="false">IF(OR($D226="",$L226=""),"",MAX($L226-$H226,0))</f>
        <v/>
      </c>
      <c r="Q226" s="40" t="str">
        <f aca="false">IF(OR($D226="",$N226=""),"",IF($E226="LONG",($N226-$I226)*$J226,($I226-$N226)*$J226))</f>
        <v/>
      </c>
      <c r="R226" s="42" t="str">
        <f aca="false">IF(OR($D226="",$Q226="",$K226=0),"",$Q226/$K226)</f>
        <v/>
      </c>
      <c r="S226" s="43" t="str">
        <f aca="false">IF(OR($D226="",$N226=""),"",MIN(INDEX(Config!$C$13:$C$15,$AK226),INDEX(Config!$B$13:$B$15,$AK226)*$K226)+MIN(INDEX(Config!$C$13:$C$15,$AK226),INDEX(Config!$B$13:$B$15,$AK226)*$O226))</f>
        <v/>
      </c>
      <c r="T226" s="43" t="str">
        <f aca="false">IF(OR($D226="",$N226=""),"",INDEX(Config!$D$13:$D$15,$AK226)*$AL226+INDEX(Config!$E$13:$E$15,$AK226)*$AM226)</f>
        <v/>
      </c>
      <c r="U226" s="43" t="str">
        <f aca="false">IF(OR($D226="",$N226=""),"",INDEX(Config!$F$13:$F$15,$AK226)*($K226+$O226))</f>
        <v/>
      </c>
      <c r="V226" s="43" t="str">
        <f aca="false">IF(OR($D226="",$N226=""),"",INDEX(Config!$G$13:$G$15,$AK226)*($K226+$O226)+INDEX(Config!$H$13:$H$15,$AK226)*$AL226+INDEX(Config!$J$13:$J$15,$AK226))</f>
        <v/>
      </c>
      <c r="W226" s="43" t="str">
        <f aca="false">IF(OR($D226="",$N226=""),"",INDEX(Config!$I$13:$I$15,$AK226)*($S226+$U226+INDEX(Config!$G$13:$G$15,$AK226)*($K226+$O226)))</f>
        <v/>
      </c>
      <c r="X226" s="43" t="str">
        <f aca="false">IF(OR($D226="",$N226=""),"",INDEX(Config!$K$13:$K$15,$AK226)/365*$P226*$K226*Config!$B$8)</f>
        <v/>
      </c>
      <c r="Y226" s="43" t="str">
        <f aca="false">IF(OR($D226="",$N226=""),"",SUM($S226:$X226))</f>
        <v/>
      </c>
      <c r="Z226" s="40" t="str">
        <f aca="false">IF(OR($D226="",$Q226=""),"",$Q226-$Y226)</f>
        <v/>
      </c>
      <c r="AA226" s="42" t="str">
        <f aca="false">IF(OR($D226="",$Z226="",$K226=0),"",$Z226/$K226)</f>
        <v/>
      </c>
      <c r="AB226" s="44" t="str">
        <f aca="false">IF(OR($D226="",$Y226="",$K226=0),"",$Y226/$K226*10000)</f>
        <v/>
      </c>
      <c r="AC226" s="44" t="str">
        <f aca="false">IF(OR($D226="",$G226="",$G226=0,$I226=""),"",IF($E226="LONG",($I226-$G226)/$G226,($G226-$I226)/$G226)*10000)</f>
        <v/>
      </c>
      <c r="AD226" s="45"/>
      <c r="AE226" s="40" t="str">
        <f aca="false">IF(OR($D226="",$N226&lt;&gt;"",$AD226=""),"",IF($E226="LONG",($AD226-$I226)*$J226,($I226-$AD226)*$J226))</f>
        <v/>
      </c>
      <c r="AF226" s="40" t="str">
        <f aca="false">IF(OR($D226="",$E226&lt;&gt;"LONG",$Z226=""),"",$Z226+SUMIFS($Z$4:$Z$503,$B$4:$B$503,$B226,$E$4:$E$503,"SHORT"))</f>
        <v/>
      </c>
      <c r="AG226" s="42" t="str">
        <f aca="false">IF(OR($AF226="",$K226=0),"",$AF226/$K226)</f>
        <v/>
      </c>
      <c r="AH226" s="46"/>
      <c r="AI226" s="43" t="str">
        <f aca="false">IF(OR($D226="",$AH226="",$Z226=""),"",$Z226-$AH226)</f>
        <v/>
      </c>
      <c r="AJ226" s="49"/>
      <c r="AK226" s="47" t="str">
        <f aca="false">IF($D226="","",IFERROR(MATCH($F226,Config!$A$13:$A$15,0),1))</f>
        <v/>
      </c>
      <c r="AL226" s="47" t="str">
        <f aca="false">IF(OR($D226="",$N226=""),"",IF($E226="LONG",$K226,$O226))</f>
        <v/>
      </c>
      <c r="AM226" s="47" t="str">
        <f aca="false">IF(OR($D226="",$N226=""),"",IF($E226="LONG",$O226,$K226))</f>
        <v/>
      </c>
    </row>
    <row r="227" customFormat="false" ht="15" hidden="false" customHeight="false" outlineLevel="0" collapsed="false">
      <c r="A227" s="49"/>
      <c r="B227" s="5" t="str">
        <f aca="false">IF($D227="","",IF(OR(RIGHT($A227,2)="-L",RIGHT($A227,2)="-S"),LEFT($A227,LEN($A227)-2),$A227))</f>
        <v/>
      </c>
      <c r="C227" s="50"/>
      <c r="D227" s="49"/>
      <c r="E227" s="49"/>
      <c r="F227" s="49"/>
      <c r="G227" s="45"/>
      <c r="H227" s="50"/>
      <c r="I227" s="45"/>
      <c r="J227" s="51"/>
      <c r="K227" s="40" t="str">
        <f aca="false">IF($D227="","",$I227*$J227)</f>
        <v/>
      </c>
      <c r="L227" s="50"/>
      <c r="M227" s="49"/>
      <c r="N227" s="45"/>
      <c r="O227" s="40" t="str">
        <f aca="false">IF(OR($D227="",$N227=""),"",$N227*$J227)</f>
        <v/>
      </c>
      <c r="P227" s="41" t="str">
        <f aca="false">IF(OR($D227="",$L227=""),"",MAX($L227-$H227,0))</f>
        <v/>
      </c>
      <c r="Q227" s="40" t="str">
        <f aca="false">IF(OR($D227="",$N227=""),"",IF($E227="LONG",($N227-$I227)*$J227,($I227-$N227)*$J227))</f>
        <v/>
      </c>
      <c r="R227" s="42" t="str">
        <f aca="false">IF(OR($D227="",$Q227="",$K227=0),"",$Q227/$K227)</f>
        <v/>
      </c>
      <c r="S227" s="43" t="str">
        <f aca="false">IF(OR($D227="",$N227=""),"",MIN(INDEX(Config!$C$13:$C$15,$AK227),INDEX(Config!$B$13:$B$15,$AK227)*$K227)+MIN(INDEX(Config!$C$13:$C$15,$AK227),INDEX(Config!$B$13:$B$15,$AK227)*$O227))</f>
        <v/>
      </c>
      <c r="T227" s="43" t="str">
        <f aca="false">IF(OR($D227="",$N227=""),"",INDEX(Config!$D$13:$D$15,$AK227)*$AL227+INDEX(Config!$E$13:$E$15,$AK227)*$AM227)</f>
        <v/>
      </c>
      <c r="U227" s="43" t="str">
        <f aca="false">IF(OR($D227="",$N227=""),"",INDEX(Config!$F$13:$F$15,$AK227)*($K227+$O227))</f>
        <v/>
      </c>
      <c r="V227" s="43" t="str">
        <f aca="false">IF(OR($D227="",$N227=""),"",INDEX(Config!$G$13:$G$15,$AK227)*($K227+$O227)+INDEX(Config!$H$13:$H$15,$AK227)*$AL227+INDEX(Config!$J$13:$J$15,$AK227))</f>
        <v/>
      </c>
      <c r="W227" s="43" t="str">
        <f aca="false">IF(OR($D227="",$N227=""),"",INDEX(Config!$I$13:$I$15,$AK227)*($S227+$U227+INDEX(Config!$G$13:$G$15,$AK227)*($K227+$O227)))</f>
        <v/>
      </c>
      <c r="X227" s="43" t="str">
        <f aca="false">IF(OR($D227="",$N227=""),"",INDEX(Config!$K$13:$K$15,$AK227)/365*$P227*$K227*Config!$B$8)</f>
        <v/>
      </c>
      <c r="Y227" s="43" t="str">
        <f aca="false">IF(OR($D227="",$N227=""),"",SUM($S227:$X227))</f>
        <v/>
      </c>
      <c r="Z227" s="40" t="str">
        <f aca="false">IF(OR($D227="",$Q227=""),"",$Q227-$Y227)</f>
        <v/>
      </c>
      <c r="AA227" s="42" t="str">
        <f aca="false">IF(OR($D227="",$Z227="",$K227=0),"",$Z227/$K227)</f>
        <v/>
      </c>
      <c r="AB227" s="44" t="str">
        <f aca="false">IF(OR($D227="",$Y227="",$K227=0),"",$Y227/$K227*10000)</f>
        <v/>
      </c>
      <c r="AC227" s="44" t="str">
        <f aca="false">IF(OR($D227="",$G227="",$G227=0,$I227=""),"",IF($E227="LONG",($I227-$G227)/$G227,($G227-$I227)/$G227)*10000)</f>
        <v/>
      </c>
      <c r="AD227" s="45"/>
      <c r="AE227" s="40" t="str">
        <f aca="false">IF(OR($D227="",$N227&lt;&gt;"",$AD227=""),"",IF($E227="LONG",($AD227-$I227)*$J227,($I227-$AD227)*$J227))</f>
        <v/>
      </c>
      <c r="AF227" s="40" t="str">
        <f aca="false">IF(OR($D227="",$E227&lt;&gt;"LONG",$Z227=""),"",$Z227+SUMIFS($Z$4:$Z$503,$B$4:$B$503,$B227,$E$4:$E$503,"SHORT"))</f>
        <v/>
      </c>
      <c r="AG227" s="42" t="str">
        <f aca="false">IF(OR($AF227="",$K227=0),"",$AF227/$K227)</f>
        <v/>
      </c>
      <c r="AH227" s="46"/>
      <c r="AI227" s="43" t="str">
        <f aca="false">IF(OR($D227="",$AH227="",$Z227=""),"",$Z227-$AH227)</f>
        <v/>
      </c>
      <c r="AJ227" s="49"/>
      <c r="AK227" s="47" t="str">
        <f aca="false">IF($D227="","",IFERROR(MATCH($F227,Config!$A$13:$A$15,0),1))</f>
        <v/>
      </c>
      <c r="AL227" s="47" t="str">
        <f aca="false">IF(OR($D227="",$N227=""),"",IF($E227="LONG",$K227,$O227))</f>
        <v/>
      </c>
      <c r="AM227" s="47" t="str">
        <f aca="false">IF(OR($D227="",$N227=""),"",IF($E227="LONG",$O227,$K227))</f>
        <v/>
      </c>
    </row>
    <row r="228" customFormat="false" ht="15" hidden="false" customHeight="false" outlineLevel="0" collapsed="false">
      <c r="A228" s="49"/>
      <c r="B228" s="5" t="str">
        <f aca="false">IF($D228="","",IF(OR(RIGHT($A228,2)="-L",RIGHT($A228,2)="-S"),LEFT($A228,LEN($A228)-2),$A228))</f>
        <v/>
      </c>
      <c r="C228" s="50"/>
      <c r="D228" s="49"/>
      <c r="E228" s="49"/>
      <c r="F228" s="49"/>
      <c r="G228" s="45"/>
      <c r="H228" s="50"/>
      <c r="I228" s="45"/>
      <c r="J228" s="51"/>
      <c r="K228" s="40" t="str">
        <f aca="false">IF($D228="","",$I228*$J228)</f>
        <v/>
      </c>
      <c r="L228" s="50"/>
      <c r="M228" s="49"/>
      <c r="N228" s="45"/>
      <c r="O228" s="40" t="str">
        <f aca="false">IF(OR($D228="",$N228=""),"",$N228*$J228)</f>
        <v/>
      </c>
      <c r="P228" s="41" t="str">
        <f aca="false">IF(OR($D228="",$L228=""),"",MAX($L228-$H228,0))</f>
        <v/>
      </c>
      <c r="Q228" s="40" t="str">
        <f aca="false">IF(OR($D228="",$N228=""),"",IF($E228="LONG",($N228-$I228)*$J228,($I228-$N228)*$J228))</f>
        <v/>
      </c>
      <c r="R228" s="42" t="str">
        <f aca="false">IF(OR($D228="",$Q228="",$K228=0),"",$Q228/$K228)</f>
        <v/>
      </c>
      <c r="S228" s="43" t="str">
        <f aca="false">IF(OR($D228="",$N228=""),"",MIN(INDEX(Config!$C$13:$C$15,$AK228),INDEX(Config!$B$13:$B$15,$AK228)*$K228)+MIN(INDEX(Config!$C$13:$C$15,$AK228),INDEX(Config!$B$13:$B$15,$AK228)*$O228))</f>
        <v/>
      </c>
      <c r="T228" s="43" t="str">
        <f aca="false">IF(OR($D228="",$N228=""),"",INDEX(Config!$D$13:$D$15,$AK228)*$AL228+INDEX(Config!$E$13:$E$15,$AK228)*$AM228)</f>
        <v/>
      </c>
      <c r="U228" s="43" t="str">
        <f aca="false">IF(OR($D228="",$N228=""),"",INDEX(Config!$F$13:$F$15,$AK228)*($K228+$O228))</f>
        <v/>
      </c>
      <c r="V228" s="43" t="str">
        <f aca="false">IF(OR($D228="",$N228=""),"",INDEX(Config!$G$13:$G$15,$AK228)*($K228+$O228)+INDEX(Config!$H$13:$H$15,$AK228)*$AL228+INDEX(Config!$J$13:$J$15,$AK228))</f>
        <v/>
      </c>
      <c r="W228" s="43" t="str">
        <f aca="false">IF(OR($D228="",$N228=""),"",INDEX(Config!$I$13:$I$15,$AK228)*($S228+$U228+INDEX(Config!$G$13:$G$15,$AK228)*($K228+$O228)))</f>
        <v/>
      </c>
      <c r="X228" s="43" t="str">
        <f aca="false">IF(OR($D228="",$N228=""),"",INDEX(Config!$K$13:$K$15,$AK228)/365*$P228*$K228*Config!$B$8)</f>
        <v/>
      </c>
      <c r="Y228" s="43" t="str">
        <f aca="false">IF(OR($D228="",$N228=""),"",SUM($S228:$X228))</f>
        <v/>
      </c>
      <c r="Z228" s="40" t="str">
        <f aca="false">IF(OR($D228="",$Q228=""),"",$Q228-$Y228)</f>
        <v/>
      </c>
      <c r="AA228" s="42" t="str">
        <f aca="false">IF(OR($D228="",$Z228="",$K228=0),"",$Z228/$K228)</f>
        <v/>
      </c>
      <c r="AB228" s="44" t="str">
        <f aca="false">IF(OR($D228="",$Y228="",$K228=0),"",$Y228/$K228*10000)</f>
        <v/>
      </c>
      <c r="AC228" s="44" t="str">
        <f aca="false">IF(OR($D228="",$G228="",$G228=0,$I228=""),"",IF($E228="LONG",($I228-$G228)/$G228,($G228-$I228)/$G228)*10000)</f>
        <v/>
      </c>
      <c r="AD228" s="45"/>
      <c r="AE228" s="40" t="str">
        <f aca="false">IF(OR($D228="",$N228&lt;&gt;"",$AD228=""),"",IF($E228="LONG",($AD228-$I228)*$J228,($I228-$AD228)*$J228))</f>
        <v/>
      </c>
      <c r="AF228" s="40" t="str">
        <f aca="false">IF(OR($D228="",$E228&lt;&gt;"LONG",$Z228=""),"",$Z228+SUMIFS($Z$4:$Z$503,$B$4:$B$503,$B228,$E$4:$E$503,"SHORT"))</f>
        <v/>
      </c>
      <c r="AG228" s="42" t="str">
        <f aca="false">IF(OR($AF228="",$K228=0),"",$AF228/$K228)</f>
        <v/>
      </c>
      <c r="AH228" s="46"/>
      <c r="AI228" s="43" t="str">
        <f aca="false">IF(OR($D228="",$AH228="",$Z228=""),"",$Z228-$AH228)</f>
        <v/>
      </c>
      <c r="AJ228" s="49"/>
      <c r="AK228" s="47" t="str">
        <f aca="false">IF($D228="","",IFERROR(MATCH($F228,Config!$A$13:$A$15,0),1))</f>
        <v/>
      </c>
      <c r="AL228" s="47" t="str">
        <f aca="false">IF(OR($D228="",$N228=""),"",IF($E228="LONG",$K228,$O228))</f>
        <v/>
      </c>
      <c r="AM228" s="47" t="str">
        <f aca="false">IF(OR($D228="",$N228=""),"",IF($E228="LONG",$O228,$K228))</f>
        <v/>
      </c>
    </row>
    <row r="229" customFormat="false" ht="15" hidden="false" customHeight="false" outlineLevel="0" collapsed="false">
      <c r="A229" s="49"/>
      <c r="B229" s="5" t="str">
        <f aca="false">IF($D229="","",IF(OR(RIGHT($A229,2)="-L",RIGHT($A229,2)="-S"),LEFT($A229,LEN($A229)-2),$A229))</f>
        <v/>
      </c>
      <c r="C229" s="50"/>
      <c r="D229" s="49"/>
      <c r="E229" s="49"/>
      <c r="F229" s="49"/>
      <c r="G229" s="45"/>
      <c r="H229" s="50"/>
      <c r="I229" s="45"/>
      <c r="J229" s="51"/>
      <c r="K229" s="40" t="str">
        <f aca="false">IF($D229="","",$I229*$J229)</f>
        <v/>
      </c>
      <c r="L229" s="50"/>
      <c r="M229" s="49"/>
      <c r="N229" s="45"/>
      <c r="O229" s="40" t="str">
        <f aca="false">IF(OR($D229="",$N229=""),"",$N229*$J229)</f>
        <v/>
      </c>
      <c r="P229" s="41" t="str">
        <f aca="false">IF(OR($D229="",$L229=""),"",MAX($L229-$H229,0))</f>
        <v/>
      </c>
      <c r="Q229" s="40" t="str">
        <f aca="false">IF(OR($D229="",$N229=""),"",IF($E229="LONG",($N229-$I229)*$J229,($I229-$N229)*$J229))</f>
        <v/>
      </c>
      <c r="R229" s="42" t="str">
        <f aca="false">IF(OR($D229="",$Q229="",$K229=0),"",$Q229/$K229)</f>
        <v/>
      </c>
      <c r="S229" s="43" t="str">
        <f aca="false">IF(OR($D229="",$N229=""),"",MIN(INDEX(Config!$C$13:$C$15,$AK229),INDEX(Config!$B$13:$B$15,$AK229)*$K229)+MIN(INDEX(Config!$C$13:$C$15,$AK229),INDEX(Config!$B$13:$B$15,$AK229)*$O229))</f>
        <v/>
      </c>
      <c r="T229" s="43" t="str">
        <f aca="false">IF(OR($D229="",$N229=""),"",INDEX(Config!$D$13:$D$15,$AK229)*$AL229+INDEX(Config!$E$13:$E$15,$AK229)*$AM229)</f>
        <v/>
      </c>
      <c r="U229" s="43" t="str">
        <f aca="false">IF(OR($D229="",$N229=""),"",INDEX(Config!$F$13:$F$15,$AK229)*($K229+$O229))</f>
        <v/>
      </c>
      <c r="V229" s="43" t="str">
        <f aca="false">IF(OR($D229="",$N229=""),"",INDEX(Config!$G$13:$G$15,$AK229)*($K229+$O229)+INDEX(Config!$H$13:$H$15,$AK229)*$AL229+INDEX(Config!$J$13:$J$15,$AK229))</f>
        <v/>
      </c>
      <c r="W229" s="43" t="str">
        <f aca="false">IF(OR($D229="",$N229=""),"",INDEX(Config!$I$13:$I$15,$AK229)*($S229+$U229+INDEX(Config!$G$13:$G$15,$AK229)*($K229+$O229)))</f>
        <v/>
      </c>
      <c r="X229" s="43" t="str">
        <f aca="false">IF(OR($D229="",$N229=""),"",INDEX(Config!$K$13:$K$15,$AK229)/365*$P229*$K229*Config!$B$8)</f>
        <v/>
      </c>
      <c r="Y229" s="43" t="str">
        <f aca="false">IF(OR($D229="",$N229=""),"",SUM($S229:$X229))</f>
        <v/>
      </c>
      <c r="Z229" s="40" t="str">
        <f aca="false">IF(OR($D229="",$Q229=""),"",$Q229-$Y229)</f>
        <v/>
      </c>
      <c r="AA229" s="42" t="str">
        <f aca="false">IF(OR($D229="",$Z229="",$K229=0),"",$Z229/$K229)</f>
        <v/>
      </c>
      <c r="AB229" s="44" t="str">
        <f aca="false">IF(OR($D229="",$Y229="",$K229=0),"",$Y229/$K229*10000)</f>
        <v/>
      </c>
      <c r="AC229" s="44" t="str">
        <f aca="false">IF(OR($D229="",$G229="",$G229=0,$I229=""),"",IF($E229="LONG",($I229-$G229)/$G229,($G229-$I229)/$G229)*10000)</f>
        <v/>
      </c>
      <c r="AD229" s="45"/>
      <c r="AE229" s="40" t="str">
        <f aca="false">IF(OR($D229="",$N229&lt;&gt;"",$AD229=""),"",IF($E229="LONG",($AD229-$I229)*$J229,($I229-$AD229)*$J229))</f>
        <v/>
      </c>
      <c r="AF229" s="40" t="str">
        <f aca="false">IF(OR($D229="",$E229&lt;&gt;"LONG",$Z229=""),"",$Z229+SUMIFS($Z$4:$Z$503,$B$4:$B$503,$B229,$E$4:$E$503,"SHORT"))</f>
        <v/>
      </c>
      <c r="AG229" s="42" t="str">
        <f aca="false">IF(OR($AF229="",$K229=0),"",$AF229/$K229)</f>
        <v/>
      </c>
      <c r="AH229" s="46"/>
      <c r="AI229" s="43" t="str">
        <f aca="false">IF(OR($D229="",$AH229="",$Z229=""),"",$Z229-$AH229)</f>
        <v/>
      </c>
      <c r="AJ229" s="49"/>
      <c r="AK229" s="47" t="str">
        <f aca="false">IF($D229="","",IFERROR(MATCH($F229,Config!$A$13:$A$15,0),1))</f>
        <v/>
      </c>
      <c r="AL229" s="47" t="str">
        <f aca="false">IF(OR($D229="",$N229=""),"",IF($E229="LONG",$K229,$O229))</f>
        <v/>
      </c>
      <c r="AM229" s="47" t="str">
        <f aca="false">IF(OR($D229="",$N229=""),"",IF($E229="LONG",$O229,$K229))</f>
        <v/>
      </c>
    </row>
    <row r="230" customFormat="false" ht="15" hidden="false" customHeight="false" outlineLevel="0" collapsed="false">
      <c r="A230" s="49"/>
      <c r="B230" s="5" t="str">
        <f aca="false">IF($D230="","",IF(OR(RIGHT($A230,2)="-L",RIGHT($A230,2)="-S"),LEFT($A230,LEN($A230)-2),$A230))</f>
        <v/>
      </c>
      <c r="C230" s="50"/>
      <c r="D230" s="49"/>
      <c r="E230" s="49"/>
      <c r="F230" s="49"/>
      <c r="G230" s="45"/>
      <c r="H230" s="50"/>
      <c r="I230" s="45"/>
      <c r="J230" s="51"/>
      <c r="K230" s="40" t="str">
        <f aca="false">IF($D230="","",$I230*$J230)</f>
        <v/>
      </c>
      <c r="L230" s="50"/>
      <c r="M230" s="49"/>
      <c r="N230" s="45"/>
      <c r="O230" s="40" t="str">
        <f aca="false">IF(OR($D230="",$N230=""),"",$N230*$J230)</f>
        <v/>
      </c>
      <c r="P230" s="41" t="str">
        <f aca="false">IF(OR($D230="",$L230=""),"",MAX($L230-$H230,0))</f>
        <v/>
      </c>
      <c r="Q230" s="40" t="str">
        <f aca="false">IF(OR($D230="",$N230=""),"",IF($E230="LONG",($N230-$I230)*$J230,($I230-$N230)*$J230))</f>
        <v/>
      </c>
      <c r="R230" s="42" t="str">
        <f aca="false">IF(OR($D230="",$Q230="",$K230=0),"",$Q230/$K230)</f>
        <v/>
      </c>
      <c r="S230" s="43" t="str">
        <f aca="false">IF(OR($D230="",$N230=""),"",MIN(INDEX(Config!$C$13:$C$15,$AK230),INDEX(Config!$B$13:$B$15,$AK230)*$K230)+MIN(INDEX(Config!$C$13:$C$15,$AK230),INDEX(Config!$B$13:$B$15,$AK230)*$O230))</f>
        <v/>
      </c>
      <c r="T230" s="43" t="str">
        <f aca="false">IF(OR($D230="",$N230=""),"",INDEX(Config!$D$13:$D$15,$AK230)*$AL230+INDEX(Config!$E$13:$E$15,$AK230)*$AM230)</f>
        <v/>
      </c>
      <c r="U230" s="43" t="str">
        <f aca="false">IF(OR($D230="",$N230=""),"",INDEX(Config!$F$13:$F$15,$AK230)*($K230+$O230))</f>
        <v/>
      </c>
      <c r="V230" s="43" t="str">
        <f aca="false">IF(OR($D230="",$N230=""),"",INDEX(Config!$G$13:$G$15,$AK230)*($K230+$O230)+INDEX(Config!$H$13:$H$15,$AK230)*$AL230+INDEX(Config!$J$13:$J$15,$AK230))</f>
        <v/>
      </c>
      <c r="W230" s="43" t="str">
        <f aca="false">IF(OR($D230="",$N230=""),"",INDEX(Config!$I$13:$I$15,$AK230)*($S230+$U230+INDEX(Config!$G$13:$G$15,$AK230)*($K230+$O230)))</f>
        <v/>
      </c>
      <c r="X230" s="43" t="str">
        <f aca="false">IF(OR($D230="",$N230=""),"",INDEX(Config!$K$13:$K$15,$AK230)/365*$P230*$K230*Config!$B$8)</f>
        <v/>
      </c>
      <c r="Y230" s="43" t="str">
        <f aca="false">IF(OR($D230="",$N230=""),"",SUM($S230:$X230))</f>
        <v/>
      </c>
      <c r="Z230" s="40" t="str">
        <f aca="false">IF(OR($D230="",$Q230=""),"",$Q230-$Y230)</f>
        <v/>
      </c>
      <c r="AA230" s="42" t="str">
        <f aca="false">IF(OR($D230="",$Z230="",$K230=0),"",$Z230/$K230)</f>
        <v/>
      </c>
      <c r="AB230" s="44" t="str">
        <f aca="false">IF(OR($D230="",$Y230="",$K230=0),"",$Y230/$K230*10000)</f>
        <v/>
      </c>
      <c r="AC230" s="44" t="str">
        <f aca="false">IF(OR($D230="",$G230="",$G230=0,$I230=""),"",IF($E230="LONG",($I230-$G230)/$G230,($G230-$I230)/$G230)*10000)</f>
        <v/>
      </c>
      <c r="AD230" s="45"/>
      <c r="AE230" s="40" t="str">
        <f aca="false">IF(OR($D230="",$N230&lt;&gt;"",$AD230=""),"",IF($E230="LONG",($AD230-$I230)*$J230,($I230-$AD230)*$J230))</f>
        <v/>
      </c>
      <c r="AF230" s="40" t="str">
        <f aca="false">IF(OR($D230="",$E230&lt;&gt;"LONG",$Z230=""),"",$Z230+SUMIFS($Z$4:$Z$503,$B$4:$B$503,$B230,$E$4:$E$503,"SHORT"))</f>
        <v/>
      </c>
      <c r="AG230" s="42" t="str">
        <f aca="false">IF(OR($AF230="",$K230=0),"",$AF230/$K230)</f>
        <v/>
      </c>
      <c r="AH230" s="46"/>
      <c r="AI230" s="43" t="str">
        <f aca="false">IF(OR($D230="",$AH230="",$Z230=""),"",$Z230-$AH230)</f>
        <v/>
      </c>
      <c r="AJ230" s="49"/>
      <c r="AK230" s="47" t="str">
        <f aca="false">IF($D230="","",IFERROR(MATCH($F230,Config!$A$13:$A$15,0),1))</f>
        <v/>
      </c>
      <c r="AL230" s="47" t="str">
        <f aca="false">IF(OR($D230="",$N230=""),"",IF($E230="LONG",$K230,$O230))</f>
        <v/>
      </c>
      <c r="AM230" s="47" t="str">
        <f aca="false">IF(OR($D230="",$N230=""),"",IF($E230="LONG",$O230,$K230))</f>
        <v/>
      </c>
    </row>
    <row r="231" customFormat="false" ht="15" hidden="false" customHeight="false" outlineLevel="0" collapsed="false">
      <c r="A231" s="49"/>
      <c r="B231" s="5" t="str">
        <f aca="false">IF($D231="","",IF(OR(RIGHT($A231,2)="-L",RIGHT($A231,2)="-S"),LEFT($A231,LEN($A231)-2),$A231))</f>
        <v/>
      </c>
      <c r="C231" s="50"/>
      <c r="D231" s="49"/>
      <c r="E231" s="49"/>
      <c r="F231" s="49"/>
      <c r="G231" s="45"/>
      <c r="H231" s="50"/>
      <c r="I231" s="45"/>
      <c r="J231" s="51"/>
      <c r="K231" s="40" t="str">
        <f aca="false">IF($D231="","",$I231*$J231)</f>
        <v/>
      </c>
      <c r="L231" s="50"/>
      <c r="M231" s="49"/>
      <c r="N231" s="45"/>
      <c r="O231" s="40" t="str">
        <f aca="false">IF(OR($D231="",$N231=""),"",$N231*$J231)</f>
        <v/>
      </c>
      <c r="P231" s="41" t="str">
        <f aca="false">IF(OR($D231="",$L231=""),"",MAX($L231-$H231,0))</f>
        <v/>
      </c>
      <c r="Q231" s="40" t="str">
        <f aca="false">IF(OR($D231="",$N231=""),"",IF($E231="LONG",($N231-$I231)*$J231,($I231-$N231)*$J231))</f>
        <v/>
      </c>
      <c r="R231" s="42" t="str">
        <f aca="false">IF(OR($D231="",$Q231="",$K231=0),"",$Q231/$K231)</f>
        <v/>
      </c>
      <c r="S231" s="43" t="str">
        <f aca="false">IF(OR($D231="",$N231=""),"",MIN(INDEX(Config!$C$13:$C$15,$AK231),INDEX(Config!$B$13:$B$15,$AK231)*$K231)+MIN(INDEX(Config!$C$13:$C$15,$AK231),INDEX(Config!$B$13:$B$15,$AK231)*$O231))</f>
        <v/>
      </c>
      <c r="T231" s="43" t="str">
        <f aca="false">IF(OR($D231="",$N231=""),"",INDEX(Config!$D$13:$D$15,$AK231)*$AL231+INDEX(Config!$E$13:$E$15,$AK231)*$AM231)</f>
        <v/>
      </c>
      <c r="U231" s="43" t="str">
        <f aca="false">IF(OR($D231="",$N231=""),"",INDEX(Config!$F$13:$F$15,$AK231)*($K231+$O231))</f>
        <v/>
      </c>
      <c r="V231" s="43" t="str">
        <f aca="false">IF(OR($D231="",$N231=""),"",INDEX(Config!$G$13:$G$15,$AK231)*($K231+$O231)+INDEX(Config!$H$13:$H$15,$AK231)*$AL231+INDEX(Config!$J$13:$J$15,$AK231))</f>
        <v/>
      </c>
      <c r="W231" s="43" t="str">
        <f aca="false">IF(OR($D231="",$N231=""),"",INDEX(Config!$I$13:$I$15,$AK231)*($S231+$U231+INDEX(Config!$G$13:$G$15,$AK231)*($K231+$O231)))</f>
        <v/>
      </c>
      <c r="X231" s="43" t="str">
        <f aca="false">IF(OR($D231="",$N231=""),"",INDEX(Config!$K$13:$K$15,$AK231)/365*$P231*$K231*Config!$B$8)</f>
        <v/>
      </c>
      <c r="Y231" s="43" t="str">
        <f aca="false">IF(OR($D231="",$N231=""),"",SUM($S231:$X231))</f>
        <v/>
      </c>
      <c r="Z231" s="40" t="str">
        <f aca="false">IF(OR($D231="",$Q231=""),"",$Q231-$Y231)</f>
        <v/>
      </c>
      <c r="AA231" s="42" t="str">
        <f aca="false">IF(OR($D231="",$Z231="",$K231=0),"",$Z231/$K231)</f>
        <v/>
      </c>
      <c r="AB231" s="44" t="str">
        <f aca="false">IF(OR($D231="",$Y231="",$K231=0),"",$Y231/$K231*10000)</f>
        <v/>
      </c>
      <c r="AC231" s="44" t="str">
        <f aca="false">IF(OR($D231="",$G231="",$G231=0,$I231=""),"",IF($E231="LONG",($I231-$G231)/$G231,($G231-$I231)/$G231)*10000)</f>
        <v/>
      </c>
      <c r="AD231" s="45"/>
      <c r="AE231" s="40" t="str">
        <f aca="false">IF(OR($D231="",$N231&lt;&gt;"",$AD231=""),"",IF($E231="LONG",($AD231-$I231)*$J231,($I231-$AD231)*$J231))</f>
        <v/>
      </c>
      <c r="AF231" s="40" t="str">
        <f aca="false">IF(OR($D231="",$E231&lt;&gt;"LONG",$Z231=""),"",$Z231+SUMIFS($Z$4:$Z$503,$B$4:$B$503,$B231,$E$4:$E$503,"SHORT"))</f>
        <v/>
      </c>
      <c r="AG231" s="42" t="str">
        <f aca="false">IF(OR($AF231="",$K231=0),"",$AF231/$K231)</f>
        <v/>
      </c>
      <c r="AH231" s="46"/>
      <c r="AI231" s="43" t="str">
        <f aca="false">IF(OR($D231="",$AH231="",$Z231=""),"",$Z231-$AH231)</f>
        <v/>
      </c>
      <c r="AJ231" s="49"/>
      <c r="AK231" s="47" t="str">
        <f aca="false">IF($D231="","",IFERROR(MATCH($F231,Config!$A$13:$A$15,0),1))</f>
        <v/>
      </c>
      <c r="AL231" s="47" t="str">
        <f aca="false">IF(OR($D231="",$N231=""),"",IF($E231="LONG",$K231,$O231))</f>
        <v/>
      </c>
      <c r="AM231" s="47" t="str">
        <f aca="false">IF(OR($D231="",$N231=""),"",IF($E231="LONG",$O231,$K231))</f>
        <v/>
      </c>
    </row>
    <row r="232" customFormat="false" ht="15" hidden="false" customHeight="false" outlineLevel="0" collapsed="false">
      <c r="A232" s="49"/>
      <c r="B232" s="5" t="str">
        <f aca="false">IF($D232="","",IF(OR(RIGHT($A232,2)="-L",RIGHT($A232,2)="-S"),LEFT($A232,LEN($A232)-2),$A232))</f>
        <v/>
      </c>
      <c r="C232" s="50"/>
      <c r="D232" s="49"/>
      <c r="E232" s="49"/>
      <c r="F232" s="49"/>
      <c r="G232" s="45"/>
      <c r="H232" s="50"/>
      <c r="I232" s="45"/>
      <c r="J232" s="51"/>
      <c r="K232" s="40" t="str">
        <f aca="false">IF($D232="","",$I232*$J232)</f>
        <v/>
      </c>
      <c r="L232" s="50"/>
      <c r="M232" s="49"/>
      <c r="N232" s="45"/>
      <c r="O232" s="40" t="str">
        <f aca="false">IF(OR($D232="",$N232=""),"",$N232*$J232)</f>
        <v/>
      </c>
      <c r="P232" s="41" t="str">
        <f aca="false">IF(OR($D232="",$L232=""),"",MAX($L232-$H232,0))</f>
        <v/>
      </c>
      <c r="Q232" s="40" t="str">
        <f aca="false">IF(OR($D232="",$N232=""),"",IF($E232="LONG",($N232-$I232)*$J232,($I232-$N232)*$J232))</f>
        <v/>
      </c>
      <c r="R232" s="42" t="str">
        <f aca="false">IF(OR($D232="",$Q232="",$K232=0),"",$Q232/$K232)</f>
        <v/>
      </c>
      <c r="S232" s="43" t="str">
        <f aca="false">IF(OR($D232="",$N232=""),"",MIN(INDEX(Config!$C$13:$C$15,$AK232),INDEX(Config!$B$13:$B$15,$AK232)*$K232)+MIN(INDEX(Config!$C$13:$C$15,$AK232),INDEX(Config!$B$13:$B$15,$AK232)*$O232))</f>
        <v/>
      </c>
      <c r="T232" s="43" t="str">
        <f aca="false">IF(OR($D232="",$N232=""),"",INDEX(Config!$D$13:$D$15,$AK232)*$AL232+INDEX(Config!$E$13:$E$15,$AK232)*$AM232)</f>
        <v/>
      </c>
      <c r="U232" s="43" t="str">
        <f aca="false">IF(OR($D232="",$N232=""),"",INDEX(Config!$F$13:$F$15,$AK232)*($K232+$O232))</f>
        <v/>
      </c>
      <c r="V232" s="43" t="str">
        <f aca="false">IF(OR($D232="",$N232=""),"",INDEX(Config!$G$13:$G$15,$AK232)*($K232+$O232)+INDEX(Config!$H$13:$H$15,$AK232)*$AL232+INDEX(Config!$J$13:$J$15,$AK232))</f>
        <v/>
      </c>
      <c r="W232" s="43" t="str">
        <f aca="false">IF(OR($D232="",$N232=""),"",INDEX(Config!$I$13:$I$15,$AK232)*($S232+$U232+INDEX(Config!$G$13:$G$15,$AK232)*($K232+$O232)))</f>
        <v/>
      </c>
      <c r="X232" s="43" t="str">
        <f aca="false">IF(OR($D232="",$N232=""),"",INDEX(Config!$K$13:$K$15,$AK232)/365*$P232*$K232*Config!$B$8)</f>
        <v/>
      </c>
      <c r="Y232" s="43" t="str">
        <f aca="false">IF(OR($D232="",$N232=""),"",SUM($S232:$X232))</f>
        <v/>
      </c>
      <c r="Z232" s="40" t="str">
        <f aca="false">IF(OR($D232="",$Q232=""),"",$Q232-$Y232)</f>
        <v/>
      </c>
      <c r="AA232" s="42" t="str">
        <f aca="false">IF(OR($D232="",$Z232="",$K232=0),"",$Z232/$K232)</f>
        <v/>
      </c>
      <c r="AB232" s="44" t="str">
        <f aca="false">IF(OR($D232="",$Y232="",$K232=0),"",$Y232/$K232*10000)</f>
        <v/>
      </c>
      <c r="AC232" s="44" t="str">
        <f aca="false">IF(OR($D232="",$G232="",$G232=0,$I232=""),"",IF($E232="LONG",($I232-$G232)/$G232,($G232-$I232)/$G232)*10000)</f>
        <v/>
      </c>
      <c r="AD232" s="45"/>
      <c r="AE232" s="40" t="str">
        <f aca="false">IF(OR($D232="",$N232&lt;&gt;"",$AD232=""),"",IF($E232="LONG",($AD232-$I232)*$J232,($I232-$AD232)*$J232))</f>
        <v/>
      </c>
      <c r="AF232" s="40" t="str">
        <f aca="false">IF(OR($D232="",$E232&lt;&gt;"LONG",$Z232=""),"",$Z232+SUMIFS($Z$4:$Z$503,$B$4:$B$503,$B232,$E$4:$E$503,"SHORT"))</f>
        <v/>
      </c>
      <c r="AG232" s="42" t="str">
        <f aca="false">IF(OR($AF232="",$K232=0),"",$AF232/$K232)</f>
        <v/>
      </c>
      <c r="AH232" s="46"/>
      <c r="AI232" s="43" t="str">
        <f aca="false">IF(OR($D232="",$AH232="",$Z232=""),"",$Z232-$AH232)</f>
        <v/>
      </c>
      <c r="AJ232" s="49"/>
      <c r="AK232" s="47" t="str">
        <f aca="false">IF($D232="","",IFERROR(MATCH($F232,Config!$A$13:$A$15,0),1))</f>
        <v/>
      </c>
      <c r="AL232" s="47" t="str">
        <f aca="false">IF(OR($D232="",$N232=""),"",IF($E232="LONG",$K232,$O232))</f>
        <v/>
      </c>
      <c r="AM232" s="47" t="str">
        <f aca="false">IF(OR($D232="",$N232=""),"",IF($E232="LONG",$O232,$K232))</f>
        <v/>
      </c>
    </row>
    <row r="233" customFormat="false" ht="15" hidden="false" customHeight="false" outlineLevel="0" collapsed="false">
      <c r="A233" s="49"/>
      <c r="B233" s="5" t="str">
        <f aca="false">IF($D233="","",IF(OR(RIGHT($A233,2)="-L",RIGHT($A233,2)="-S"),LEFT($A233,LEN($A233)-2),$A233))</f>
        <v/>
      </c>
      <c r="C233" s="50"/>
      <c r="D233" s="49"/>
      <c r="E233" s="49"/>
      <c r="F233" s="49"/>
      <c r="G233" s="45"/>
      <c r="H233" s="50"/>
      <c r="I233" s="45"/>
      <c r="J233" s="51"/>
      <c r="K233" s="40" t="str">
        <f aca="false">IF($D233="","",$I233*$J233)</f>
        <v/>
      </c>
      <c r="L233" s="50"/>
      <c r="M233" s="49"/>
      <c r="N233" s="45"/>
      <c r="O233" s="40" t="str">
        <f aca="false">IF(OR($D233="",$N233=""),"",$N233*$J233)</f>
        <v/>
      </c>
      <c r="P233" s="41" t="str">
        <f aca="false">IF(OR($D233="",$L233=""),"",MAX($L233-$H233,0))</f>
        <v/>
      </c>
      <c r="Q233" s="40" t="str">
        <f aca="false">IF(OR($D233="",$N233=""),"",IF($E233="LONG",($N233-$I233)*$J233,($I233-$N233)*$J233))</f>
        <v/>
      </c>
      <c r="R233" s="42" t="str">
        <f aca="false">IF(OR($D233="",$Q233="",$K233=0),"",$Q233/$K233)</f>
        <v/>
      </c>
      <c r="S233" s="43" t="str">
        <f aca="false">IF(OR($D233="",$N233=""),"",MIN(INDEX(Config!$C$13:$C$15,$AK233),INDEX(Config!$B$13:$B$15,$AK233)*$K233)+MIN(INDEX(Config!$C$13:$C$15,$AK233),INDEX(Config!$B$13:$B$15,$AK233)*$O233))</f>
        <v/>
      </c>
      <c r="T233" s="43" t="str">
        <f aca="false">IF(OR($D233="",$N233=""),"",INDEX(Config!$D$13:$D$15,$AK233)*$AL233+INDEX(Config!$E$13:$E$15,$AK233)*$AM233)</f>
        <v/>
      </c>
      <c r="U233" s="43" t="str">
        <f aca="false">IF(OR($D233="",$N233=""),"",INDEX(Config!$F$13:$F$15,$AK233)*($K233+$O233))</f>
        <v/>
      </c>
      <c r="V233" s="43" t="str">
        <f aca="false">IF(OR($D233="",$N233=""),"",INDEX(Config!$G$13:$G$15,$AK233)*($K233+$O233)+INDEX(Config!$H$13:$H$15,$AK233)*$AL233+INDEX(Config!$J$13:$J$15,$AK233))</f>
        <v/>
      </c>
      <c r="W233" s="43" t="str">
        <f aca="false">IF(OR($D233="",$N233=""),"",INDEX(Config!$I$13:$I$15,$AK233)*($S233+$U233+INDEX(Config!$G$13:$G$15,$AK233)*($K233+$O233)))</f>
        <v/>
      </c>
      <c r="X233" s="43" t="str">
        <f aca="false">IF(OR($D233="",$N233=""),"",INDEX(Config!$K$13:$K$15,$AK233)/365*$P233*$K233*Config!$B$8)</f>
        <v/>
      </c>
      <c r="Y233" s="43" t="str">
        <f aca="false">IF(OR($D233="",$N233=""),"",SUM($S233:$X233))</f>
        <v/>
      </c>
      <c r="Z233" s="40" t="str">
        <f aca="false">IF(OR($D233="",$Q233=""),"",$Q233-$Y233)</f>
        <v/>
      </c>
      <c r="AA233" s="42" t="str">
        <f aca="false">IF(OR($D233="",$Z233="",$K233=0),"",$Z233/$K233)</f>
        <v/>
      </c>
      <c r="AB233" s="44" t="str">
        <f aca="false">IF(OR($D233="",$Y233="",$K233=0),"",$Y233/$K233*10000)</f>
        <v/>
      </c>
      <c r="AC233" s="44" t="str">
        <f aca="false">IF(OR($D233="",$G233="",$G233=0,$I233=""),"",IF($E233="LONG",($I233-$G233)/$G233,($G233-$I233)/$G233)*10000)</f>
        <v/>
      </c>
      <c r="AD233" s="45"/>
      <c r="AE233" s="40" t="str">
        <f aca="false">IF(OR($D233="",$N233&lt;&gt;"",$AD233=""),"",IF($E233="LONG",($AD233-$I233)*$J233,($I233-$AD233)*$J233))</f>
        <v/>
      </c>
      <c r="AF233" s="40" t="str">
        <f aca="false">IF(OR($D233="",$E233&lt;&gt;"LONG",$Z233=""),"",$Z233+SUMIFS($Z$4:$Z$503,$B$4:$B$503,$B233,$E$4:$E$503,"SHORT"))</f>
        <v/>
      </c>
      <c r="AG233" s="42" t="str">
        <f aca="false">IF(OR($AF233="",$K233=0),"",$AF233/$K233)</f>
        <v/>
      </c>
      <c r="AH233" s="46"/>
      <c r="AI233" s="43" t="str">
        <f aca="false">IF(OR($D233="",$AH233="",$Z233=""),"",$Z233-$AH233)</f>
        <v/>
      </c>
      <c r="AJ233" s="49"/>
      <c r="AK233" s="47" t="str">
        <f aca="false">IF($D233="","",IFERROR(MATCH($F233,Config!$A$13:$A$15,0),1))</f>
        <v/>
      </c>
      <c r="AL233" s="47" t="str">
        <f aca="false">IF(OR($D233="",$N233=""),"",IF($E233="LONG",$K233,$O233))</f>
        <v/>
      </c>
      <c r="AM233" s="47" t="str">
        <f aca="false">IF(OR($D233="",$N233=""),"",IF($E233="LONG",$O233,$K233))</f>
        <v/>
      </c>
    </row>
    <row r="234" customFormat="false" ht="15" hidden="false" customHeight="false" outlineLevel="0" collapsed="false">
      <c r="A234" s="49"/>
      <c r="B234" s="5" t="str">
        <f aca="false">IF($D234="","",IF(OR(RIGHT($A234,2)="-L",RIGHT($A234,2)="-S"),LEFT($A234,LEN($A234)-2),$A234))</f>
        <v/>
      </c>
      <c r="C234" s="50"/>
      <c r="D234" s="49"/>
      <c r="E234" s="49"/>
      <c r="F234" s="49"/>
      <c r="G234" s="45"/>
      <c r="H234" s="50"/>
      <c r="I234" s="45"/>
      <c r="J234" s="51"/>
      <c r="K234" s="40" t="str">
        <f aca="false">IF($D234="","",$I234*$J234)</f>
        <v/>
      </c>
      <c r="L234" s="50"/>
      <c r="M234" s="49"/>
      <c r="N234" s="45"/>
      <c r="O234" s="40" t="str">
        <f aca="false">IF(OR($D234="",$N234=""),"",$N234*$J234)</f>
        <v/>
      </c>
      <c r="P234" s="41" t="str">
        <f aca="false">IF(OR($D234="",$L234=""),"",MAX($L234-$H234,0))</f>
        <v/>
      </c>
      <c r="Q234" s="40" t="str">
        <f aca="false">IF(OR($D234="",$N234=""),"",IF($E234="LONG",($N234-$I234)*$J234,($I234-$N234)*$J234))</f>
        <v/>
      </c>
      <c r="R234" s="42" t="str">
        <f aca="false">IF(OR($D234="",$Q234="",$K234=0),"",$Q234/$K234)</f>
        <v/>
      </c>
      <c r="S234" s="43" t="str">
        <f aca="false">IF(OR($D234="",$N234=""),"",MIN(INDEX(Config!$C$13:$C$15,$AK234),INDEX(Config!$B$13:$B$15,$AK234)*$K234)+MIN(INDEX(Config!$C$13:$C$15,$AK234),INDEX(Config!$B$13:$B$15,$AK234)*$O234))</f>
        <v/>
      </c>
      <c r="T234" s="43" t="str">
        <f aca="false">IF(OR($D234="",$N234=""),"",INDEX(Config!$D$13:$D$15,$AK234)*$AL234+INDEX(Config!$E$13:$E$15,$AK234)*$AM234)</f>
        <v/>
      </c>
      <c r="U234" s="43" t="str">
        <f aca="false">IF(OR($D234="",$N234=""),"",INDEX(Config!$F$13:$F$15,$AK234)*($K234+$O234))</f>
        <v/>
      </c>
      <c r="V234" s="43" t="str">
        <f aca="false">IF(OR($D234="",$N234=""),"",INDEX(Config!$G$13:$G$15,$AK234)*($K234+$O234)+INDEX(Config!$H$13:$H$15,$AK234)*$AL234+INDEX(Config!$J$13:$J$15,$AK234))</f>
        <v/>
      </c>
      <c r="W234" s="43" t="str">
        <f aca="false">IF(OR($D234="",$N234=""),"",INDEX(Config!$I$13:$I$15,$AK234)*($S234+$U234+INDEX(Config!$G$13:$G$15,$AK234)*($K234+$O234)))</f>
        <v/>
      </c>
      <c r="X234" s="43" t="str">
        <f aca="false">IF(OR($D234="",$N234=""),"",INDEX(Config!$K$13:$K$15,$AK234)/365*$P234*$K234*Config!$B$8)</f>
        <v/>
      </c>
      <c r="Y234" s="43" t="str">
        <f aca="false">IF(OR($D234="",$N234=""),"",SUM($S234:$X234))</f>
        <v/>
      </c>
      <c r="Z234" s="40" t="str">
        <f aca="false">IF(OR($D234="",$Q234=""),"",$Q234-$Y234)</f>
        <v/>
      </c>
      <c r="AA234" s="42" t="str">
        <f aca="false">IF(OR($D234="",$Z234="",$K234=0),"",$Z234/$K234)</f>
        <v/>
      </c>
      <c r="AB234" s="44" t="str">
        <f aca="false">IF(OR($D234="",$Y234="",$K234=0),"",$Y234/$K234*10000)</f>
        <v/>
      </c>
      <c r="AC234" s="44" t="str">
        <f aca="false">IF(OR($D234="",$G234="",$G234=0,$I234=""),"",IF($E234="LONG",($I234-$G234)/$G234,($G234-$I234)/$G234)*10000)</f>
        <v/>
      </c>
      <c r="AD234" s="45"/>
      <c r="AE234" s="40" t="str">
        <f aca="false">IF(OR($D234="",$N234&lt;&gt;"",$AD234=""),"",IF($E234="LONG",($AD234-$I234)*$J234,($I234-$AD234)*$J234))</f>
        <v/>
      </c>
      <c r="AF234" s="40" t="str">
        <f aca="false">IF(OR($D234="",$E234&lt;&gt;"LONG",$Z234=""),"",$Z234+SUMIFS($Z$4:$Z$503,$B$4:$B$503,$B234,$E$4:$E$503,"SHORT"))</f>
        <v/>
      </c>
      <c r="AG234" s="42" t="str">
        <f aca="false">IF(OR($AF234="",$K234=0),"",$AF234/$K234)</f>
        <v/>
      </c>
      <c r="AH234" s="46"/>
      <c r="AI234" s="43" t="str">
        <f aca="false">IF(OR($D234="",$AH234="",$Z234=""),"",$Z234-$AH234)</f>
        <v/>
      </c>
      <c r="AJ234" s="49"/>
      <c r="AK234" s="47" t="str">
        <f aca="false">IF($D234="","",IFERROR(MATCH($F234,Config!$A$13:$A$15,0),1))</f>
        <v/>
      </c>
      <c r="AL234" s="47" t="str">
        <f aca="false">IF(OR($D234="",$N234=""),"",IF($E234="LONG",$K234,$O234))</f>
        <v/>
      </c>
      <c r="AM234" s="47" t="str">
        <f aca="false">IF(OR($D234="",$N234=""),"",IF($E234="LONG",$O234,$K234))</f>
        <v/>
      </c>
    </row>
    <row r="235" customFormat="false" ht="15" hidden="false" customHeight="false" outlineLevel="0" collapsed="false">
      <c r="A235" s="49"/>
      <c r="B235" s="5" t="str">
        <f aca="false">IF($D235="","",IF(OR(RIGHT($A235,2)="-L",RIGHT($A235,2)="-S"),LEFT($A235,LEN($A235)-2),$A235))</f>
        <v/>
      </c>
      <c r="C235" s="50"/>
      <c r="D235" s="49"/>
      <c r="E235" s="49"/>
      <c r="F235" s="49"/>
      <c r="G235" s="45"/>
      <c r="H235" s="50"/>
      <c r="I235" s="45"/>
      <c r="J235" s="51"/>
      <c r="K235" s="40" t="str">
        <f aca="false">IF($D235="","",$I235*$J235)</f>
        <v/>
      </c>
      <c r="L235" s="50"/>
      <c r="M235" s="49"/>
      <c r="N235" s="45"/>
      <c r="O235" s="40" t="str">
        <f aca="false">IF(OR($D235="",$N235=""),"",$N235*$J235)</f>
        <v/>
      </c>
      <c r="P235" s="41" t="str">
        <f aca="false">IF(OR($D235="",$L235=""),"",MAX($L235-$H235,0))</f>
        <v/>
      </c>
      <c r="Q235" s="40" t="str">
        <f aca="false">IF(OR($D235="",$N235=""),"",IF($E235="LONG",($N235-$I235)*$J235,($I235-$N235)*$J235))</f>
        <v/>
      </c>
      <c r="R235" s="42" t="str">
        <f aca="false">IF(OR($D235="",$Q235="",$K235=0),"",$Q235/$K235)</f>
        <v/>
      </c>
      <c r="S235" s="43" t="str">
        <f aca="false">IF(OR($D235="",$N235=""),"",MIN(INDEX(Config!$C$13:$C$15,$AK235),INDEX(Config!$B$13:$B$15,$AK235)*$K235)+MIN(INDEX(Config!$C$13:$C$15,$AK235),INDEX(Config!$B$13:$B$15,$AK235)*$O235))</f>
        <v/>
      </c>
      <c r="T235" s="43" t="str">
        <f aca="false">IF(OR($D235="",$N235=""),"",INDEX(Config!$D$13:$D$15,$AK235)*$AL235+INDEX(Config!$E$13:$E$15,$AK235)*$AM235)</f>
        <v/>
      </c>
      <c r="U235" s="43" t="str">
        <f aca="false">IF(OR($D235="",$N235=""),"",INDEX(Config!$F$13:$F$15,$AK235)*($K235+$O235))</f>
        <v/>
      </c>
      <c r="V235" s="43" t="str">
        <f aca="false">IF(OR($D235="",$N235=""),"",INDEX(Config!$G$13:$G$15,$AK235)*($K235+$O235)+INDEX(Config!$H$13:$H$15,$AK235)*$AL235+INDEX(Config!$J$13:$J$15,$AK235))</f>
        <v/>
      </c>
      <c r="W235" s="43" t="str">
        <f aca="false">IF(OR($D235="",$N235=""),"",INDEX(Config!$I$13:$I$15,$AK235)*($S235+$U235+INDEX(Config!$G$13:$G$15,$AK235)*($K235+$O235)))</f>
        <v/>
      </c>
      <c r="X235" s="43" t="str">
        <f aca="false">IF(OR($D235="",$N235=""),"",INDEX(Config!$K$13:$K$15,$AK235)/365*$P235*$K235*Config!$B$8)</f>
        <v/>
      </c>
      <c r="Y235" s="43" t="str">
        <f aca="false">IF(OR($D235="",$N235=""),"",SUM($S235:$X235))</f>
        <v/>
      </c>
      <c r="Z235" s="40" t="str">
        <f aca="false">IF(OR($D235="",$Q235=""),"",$Q235-$Y235)</f>
        <v/>
      </c>
      <c r="AA235" s="42" t="str">
        <f aca="false">IF(OR($D235="",$Z235="",$K235=0),"",$Z235/$K235)</f>
        <v/>
      </c>
      <c r="AB235" s="44" t="str">
        <f aca="false">IF(OR($D235="",$Y235="",$K235=0),"",$Y235/$K235*10000)</f>
        <v/>
      </c>
      <c r="AC235" s="44" t="str">
        <f aca="false">IF(OR($D235="",$G235="",$G235=0,$I235=""),"",IF($E235="LONG",($I235-$G235)/$G235,($G235-$I235)/$G235)*10000)</f>
        <v/>
      </c>
      <c r="AD235" s="45"/>
      <c r="AE235" s="40" t="str">
        <f aca="false">IF(OR($D235="",$N235&lt;&gt;"",$AD235=""),"",IF($E235="LONG",($AD235-$I235)*$J235,($I235-$AD235)*$J235))</f>
        <v/>
      </c>
      <c r="AF235" s="40" t="str">
        <f aca="false">IF(OR($D235="",$E235&lt;&gt;"LONG",$Z235=""),"",$Z235+SUMIFS($Z$4:$Z$503,$B$4:$B$503,$B235,$E$4:$E$503,"SHORT"))</f>
        <v/>
      </c>
      <c r="AG235" s="42" t="str">
        <f aca="false">IF(OR($AF235="",$K235=0),"",$AF235/$K235)</f>
        <v/>
      </c>
      <c r="AH235" s="46"/>
      <c r="AI235" s="43" t="str">
        <f aca="false">IF(OR($D235="",$AH235="",$Z235=""),"",$Z235-$AH235)</f>
        <v/>
      </c>
      <c r="AJ235" s="49"/>
      <c r="AK235" s="47" t="str">
        <f aca="false">IF($D235="","",IFERROR(MATCH($F235,Config!$A$13:$A$15,0),1))</f>
        <v/>
      </c>
      <c r="AL235" s="47" t="str">
        <f aca="false">IF(OR($D235="",$N235=""),"",IF($E235="LONG",$K235,$O235))</f>
        <v/>
      </c>
      <c r="AM235" s="47" t="str">
        <f aca="false">IF(OR($D235="",$N235=""),"",IF($E235="LONG",$O235,$K235))</f>
        <v/>
      </c>
    </row>
    <row r="236" customFormat="false" ht="15" hidden="false" customHeight="false" outlineLevel="0" collapsed="false">
      <c r="A236" s="49"/>
      <c r="B236" s="5" t="str">
        <f aca="false">IF($D236="","",IF(OR(RIGHT($A236,2)="-L",RIGHT($A236,2)="-S"),LEFT($A236,LEN($A236)-2),$A236))</f>
        <v/>
      </c>
      <c r="C236" s="50"/>
      <c r="D236" s="49"/>
      <c r="E236" s="49"/>
      <c r="F236" s="49"/>
      <c r="G236" s="45"/>
      <c r="H236" s="50"/>
      <c r="I236" s="45"/>
      <c r="J236" s="51"/>
      <c r="K236" s="40" t="str">
        <f aca="false">IF($D236="","",$I236*$J236)</f>
        <v/>
      </c>
      <c r="L236" s="50"/>
      <c r="M236" s="49"/>
      <c r="N236" s="45"/>
      <c r="O236" s="40" t="str">
        <f aca="false">IF(OR($D236="",$N236=""),"",$N236*$J236)</f>
        <v/>
      </c>
      <c r="P236" s="41" t="str">
        <f aca="false">IF(OR($D236="",$L236=""),"",MAX($L236-$H236,0))</f>
        <v/>
      </c>
      <c r="Q236" s="40" t="str">
        <f aca="false">IF(OR($D236="",$N236=""),"",IF($E236="LONG",($N236-$I236)*$J236,($I236-$N236)*$J236))</f>
        <v/>
      </c>
      <c r="R236" s="42" t="str">
        <f aca="false">IF(OR($D236="",$Q236="",$K236=0),"",$Q236/$K236)</f>
        <v/>
      </c>
      <c r="S236" s="43" t="str">
        <f aca="false">IF(OR($D236="",$N236=""),"",MIN(INDEX(Config!$C$13:$C$15,$AK236),INDEX(Config!$B$13:$B$15,$AK236)*$K236)+MIN(INDEX(Config!$C$13:$C$15,$AK236),INDEX(Config!$B$13:$B$15,$AK236)*$O236))</f>
        <v/>
      </c>
      <c r="T236" s="43" t="str">
        <f aca="false">IF(OR($D236="",$N236=""),"",INDEX(Config!$D$13:$D$15,$AK236)*$AL236+INDEX(Config!$E$13:$E$15,$AK236)*$AM236)</f>
        <v/>
      </c>
      <c r="U236" s="43" t="str">
        <f aca="false">IF(OR($D236="",$N236=""),"",INDEX(Config!$F$13:$F$15,$AK236)*($K236+$O236))</f>
        <v/>
      </c>
      <c r="V236" s="43" t="str">
        <f aca="false">IF(OR($D236="",$N236=""),"",INDEX(Config!$G$13:$G$15,$AK236)*($K236+$O236)+INDEX(Config!$H$13:$H$15,$AK236)*$AL236+INDEX(Config!$J$13:$J$15,$AK236))</f>
        <v/>
      </c>
      <c r="W236" s="43" t="str">
        <f aca="false">IF(OR($D236="",$N236=""),"",INDEX(Config!$I$13:$I$15,$AK236)*($S236+$U236+INDEX(Config!$G$13:$G$15,$AK236)*($K236+$O236)))</f>
        <v/>
      </c>
      <c r="X236" s="43" t="str">
        <f aca="false">IF(OR($D236="",$N236=""),"",INDEX(Config!$K$13:$K$15,$AK236)/365*$P236*$K236*Config!$B$8)</f>
        <v/>
      </c>
      <c r="Y236" s="43" t="str">
        <f aca="false">IF(OR($D236="",$N236=""),"",SUM($S236:$X236))</f>
        <v/>
      </c>
      <c r="Z236" s="40" t="str">
        <f aca="false">IF(OR($D236="",$Q236=""),"",$Q236-$Y236)</f>
        <v/>
      </c>
      <c r="AA236" s="42" t="str">
        <f aca="false">IF(OR($D236="",$Z236="",$K236=0),"",$Z236/$K236)</f>
        <v/>
      </c>
      <c r="AB236" s="44" t="str">
        <f aca="false">IF(OR($D236="",$Y236="",$K236=0),"",$Y236/$K236*10000)</f>
        <v/>
      </c>
      <c r="AC236" s="44" t="str">
        <f aca="false">IF(OR($D236="",$G236="",$G236=0,$I236=""),"",IF($E236="LONG",($I236-$G236)/$G236,($G236-$I236)/$G236)*10000)</f>
        <v/>
      </c>
      <c r="AD236" s="45"/>
      <c r="AE236" s="40" t="str">
        <f aca="false">IF(OR($D236="",$N236&lt;&gt;"",$AD236=""),"",IF($E236="LONG",($AD236-$I236)*$J236,($I236-$AD236)*$J236))</f>
        <v/>
      </c>
      <c r="AF236" s="40" t="str">
        <f aca="false">IF(OR($D236="",$E236&lt;&gt;"LONG",$Z236=""),"",$Z236+SUMIFS($Z$4:$Z$503,$B$4:$B$503,$B236,$E$4:$E$503,"SHORT"))</f>
        <v/>
      </c>
      <c r="AG236" s="42" t="str">
        <f aca="false">IF(OR($AF236="",$K236=0),"",$AF236/$K236)</f>
        <v/>
      </c>
      <c r="AH236" s="46"/>
      <c r="AI236" s="43" t="str">
        <f aca="false">IF(OR($D236="",$AH236="",$Z236=""),"",$Z236-$AH236)</f>
        <v/>
      </c>
      <c r="AJ236" s="49"/>
      <c r="AK236" s="47" t="str">
        <f aca="false">IF($D236="","",IFERROR(MATCH($F236,Config!$A$13:$A$15,0),1))</f>
        <v/>
      </c>
      <c r="AL236" s="47" t="str">
        <f aca="false">IF(OR($D236="",$N236=""),"",IF($E236="LONG",$K236,$O236))</f>
        <v/>
      </c>
      <c r="AM236" s="47" t="str">
        <f aca="false">IF(OR($D236="",$N236=""),"",IF($E236="LONG",$O236,$K236))</f>
        <v/>
      </c>
    </row>
    <row r="237" customFormat="false" ht="15" hidden="false" customHeight="false" outlineLevel="0" collapsed="false">
      <c r="A237" s="49"/>
      <c r="B237" s="5" t="str">
        <f aca="false">IF($D237="","",IF(OR(RIGHT($A237,2)="-L",RIGHT($A237,2)="-S"),LEFT($A237,LEN($A237)-2),$A237))</f>
        <v/>
      </c>
      <c r="C237" s="50"/>
      <c r="D237" s="49"/>
      <c r="E237" s="49"/>
      <c r="F237" s="49"/>
      <c r="G237" s="45"/>
      <c r="H237" s="50"/>
      <c r="I237" s="45"/>
      <c r="J237" s="51"/>
      <c r="K237" s="40" t="str">
        <f aca="false">IF($D237="","",$I237*$J237)</f>
        <v/>
      </c>
      <c r="L237" s="50"/>
      <c r="M237" s="49"/>
      <c r="N237" s="45"/>
      <c r="O237" s="40" t="str">
        <f aca="false">IF(OR($D237="",$N237=""),"",$N237*$J237)</f>
        <v/>
      </c>
      <c r="P237" s="41" t="str">
        <f aca="false">IF(OR($D237="",$L237=""),"",MAX($L237-$H237,0))</f>
        <v/>
      </c>
      <c r="Q237" s="40" t="str">
        <f aca="false">IF(OR($D237="",$N237=""),"",IF($E237="LONG",($N237-$I237)*$J237,($I237-$N237)*$J237))</f>
        <v/>
      </c>
      <c r="R237" s="42" t="str">
        <f aca="false">IF(OR($D237="",$Q237="",$K237=0),"",$Q237/$K237)</f>
        <v/>
      </c>
      <c r="S237" s="43" t="str">
        <f aca="false">IF(OR($D237="",$N237=""),"",MIN(INDEX(Config!$C$13:$C$15,$AK237),INDEX(Config!$B$13:$B$15,$AK237)*$K237)+MIN(INDEX(Config!$C$13:$C$15,$AK237),INDEX(Config!$B$13:$B$15,$AK237)*$O237))</f>
        <v/>
      </c>
      <c r="T237" s="43" t="str">
        <f aca="false">IF(OR($D237="",$N237=""),"",INDEX(Config!$D$13:$D$15,$AK237)*$AL237+INDEX(Config!$E$13:$E$15,$AK237)*$AM237)</f>
        <v/>
      </c>
      <c r="U237" s="43" t="str">
        <f aca="false">IF(OR($D237="",$N237=""),"",INDEX(Config!$F$13:$F$15,$AK237)*($K237+$O237))</f>
        <v/>
      </c>
      <c r="V237" s="43" t="str">
        <f aca="false">IF(OR($D237="",$N237=""),"",INDEX(Config!$G$13:$G$15,$AK237)*($K237+$O237)+INDEX(Config!$H$13:$H$15,$AK237)*$AL237+INDEX(Config!$J$13:$J$15,$AK237))</f>
        <v/>
      </c>
      <c r="W237" s="43" t="str">
        <f aca="false">IF(OR($D237="",$N237=""),"",INDEX(Config!$I$13:$I$15,$AK237)*($S237+$U237+INDEX(Config!$G$13:$G$15,$AK237)*($K237+$O237)))</f>
        <v/>
      </c>
      <c r="X237" s="43" t="str">
        <f aca="false">IF(OR($D237="",$N237=""),"",INDEX(Config!$K$13:$K$15,$AK237)/365*$P237*$K237*Config!$B$8)</f>
        <v/>
      </c>
      <c r="Y237" s="43" t="str">
        <f aca="false">IF(OR($D237="",$N237=""),"",SUM($S237:$X237))</f>
        <v/>
      </c>
      <c r="Z237" s="40" t="str">
        <f aca="false">IF(OR($D237="",$Q237=""),"",$Q237-$Y237)</f>
        <v/>
      </c>
      <c r="AA237" s="42" t="str">
        <f aca="false">IF(OR($D237="",$Z237="",$K237=0),"",$Z237/$K237)</f>
        <v/>
      </c>
      <c r="AB237" s="44" t="str">
        <f aca="false">IF(OR($D237="",$Y237="",$K237=0),"",$Y237/$K237*10000)</f>
        <v/>
      </c>
      <c r="AC237" s="44" t="str">
        <f aca="false">IF(OR($D237="",$G237="",$G237=0,$I237=""),"",IF($E237="LONG",($I237-$G237)/$G237,($G237-$I237)/$G237)*10000)</f>
        <v/>
      </c>
      <c r="AD237" s="45"/>
      <c r="AE237" s="40" t="str">
        <f aca="false">IF(OR($D237="",$N237&lt;&gt;"",$AD237=""),"",IF($E237="LONG",($AD237-$I237)*$J237,($I237-$AD237)*$J237))</f>
        <v/>
      </c>
      <c r="AF237" s="40" t="str">
        <f aca="false">IF(OR($D237="",$E237&lt;&gt;"LONG",$Z237=""),"",$Z237+SUMIFS($Z$4:$Z$503,$B$4:$B$503,$B237,$E$4:$E$503,"SHORT"))</f>
        <v/>
      </c>
      <c r="AG237" s="42" t="str">
        <f aca="false">IF(OR($AF237="",$K237=0),"",$AF237/$K237)</f>
        <v/>
      </c>
      <c r="AH237" s="46"/>
      <c r="AI237" s="43" t="str">
        <f aca="false">IF(OR($D237="",$AH237="",$Z237=""),"",$Z237-$AH237)</f>
        <v/>
      </c>
      <c r="AJ237" s="49"/>
      <c r="AK237" s="47" t="str">
        <f aca="false">IF($D237="","",IFERROR(MATCH($F237,Config!$A$13:$A$15,0),1))</f>
        <v/>
      </c>
      <c r="AL237" s="47" t="str">
        <f aca="false">IF(OR($D237="",$N237=""),"",IF($E237="LONG",$K237,$O237))</f>
        <v/>
      </c>
      <c r="AM237" s="47" t="str">
        <f aca="false">IF(OR($D237="",$N237=""),"",IF($E237="LONG",$O237,$K237))</f>
        <v/>
      </c>
    </row>
    <row r="238" customFormat="false" ht="15" hidden="false" customHeight="false" outlineLevel="0" collapsed="false">
      <c r="A238" s="49"/>
      <c r="B238" s="5" t="str">
        <f aca="false">IF($D238="","",IF(OR(RIGHT($A238,2)="-L",RIGHT($A238,2)="-S"),LEFT($A238,LEN($A238)-2),$A238))</f>
        <v/>
      </c>
      <c r="C238" s="50"/>
      <c r="D238" s="49"/>
      <c r="E238" s="49"/>
      <c r="F238" s="49"/>
      <c r="G238" s="45"/>
      <c r="H238" s="50"/>
      <c r="I238" s="45"/>
      <c r="J238" s="51"/>
      <c r="K238" s="40" t="str">
        <f aca="false">IF($D238="","",$I238*$J238)</f>
        <v/>
      </c>
      <c r="L238" s="50"/>
      <c r="M238" s="49"/>
      <c r="N238" s="45"/>
      <c r="O238" s="40" t="str">
        <f aca="false">IF(OR($D238="",$N238=""),"",$N238*$J238)</f>
        <v/>
      </c>
      <c r="P238" s="41" t="str">
        <f aca="false">IF(OR($D238="",$L238=""),"",MAX($L238-$H238,0))</f>
        <v/>
      </c>
      <c r="Q238" s="40" t="str">
        <f aca="false">IF(OR($D238="",$N238=""),"",IF($E238="LONG",($N238-$I238)*$J238,($I238-$N238)*$J238))</f>
        <v/>
      </c>
      <c r="R238" s="42" t="str">
        <f aca="false">IF(OR($D238="",$Q238="",$K238=0),"",$Q238/$K238)</f>
        <v/>
      </c>
      <c r="S238" s="43" t="str">
        <f aca="false">IF(OR($D238="",$N238=""),"",MIN(INDEX(Config!$C$13:$C$15,$AK238),INDEX(Config!$B$13:$B$15,$AK238)*$K238)+MIN(INDEX(Config!$C$13:$C$15,$AK238),INDEX(Config!$B$13:$B$15,$AK238)*$O238))</f>
        <v/>
      </c>
      <c r="T238" s="43" t="str">
        <f aca="false">IF(OR($D238="",$N238=""),"",INDEX(Config!$D$13:$D$15,$AK238)*$AL238+INDEX(Config!$E$13:$E$15,$AK238)*$AM238)</f>
        <v/>
      </c>
      <c r="U238" s="43" t="str">
        <f aca="false">IF(OR($D238="",$N238=""),"",INDEX(Config!$F$13:$F$15,$AK238)*($K238+$O238))</f>
        <v/>
      </c>
      <c r="V238" s="43" t="str">
        <f aca="false">IF(OR($D238="",$N238=""),"",INDEX(Config!$G$13:$G$15,$AK238)*($K238+$O238)+INDEX(Config!$H$13:$H$15,$AK238)*$AL238+INDEX(Config!$J$13:$J$15,$AK238))</f>
        <v/>
      </c>
      <c r="W238" s="43" t="str">
        <f aca="false">IF(OR($D238="",$N238=""),"",INDEX(Config!$I$13:$I$15,$AK238)*($S238+$U238+INDEX(Config!$G$13:$G$15,$AK238)*($K238+$O238)))</f>
        <v/>
      </c>
      <c r="X238" s="43" t="str">
        <f aca="false">IF(OR($D238="",$N238=""),"",INDEX(Config!$K$13:$K$15,$AK238)/365*$P238*$K238*Config!$B$8)</f>
        <v/>
      </c>
      <c r="Y238" s="43" t="str">
        <f aca="false">IF(OR($D238="",$N238=""),"",SUM($S238:$X238))</f>
        <v/>
      </c>
      <c r="Z238" s="40" t="str">
        <f aca="false">IF(OR($D238="",$Q238=""),"",$Q238-$Y238)</f>
        <v/>
      </c>
      <c r="AA238" s="42" t="str">
        <f aca="false">IF(OR($D238="",$Z238="",$K238=0),"",$Z238/$K238)</f>
        <v/>
      </c>
      <c r="AB238" s="44" t="str">
        <f aca="false">IF(OR($D238="",$Y238="",$K238=0),"",$Y238/$K238*10000)</f>
        <v/>
      </c>
      <c r="AC238" s="44" t="str">
        <f aca="false">IF(OR($D238="",$G238="",$G238=0,$I238=""),"",IF($E238="LONG",($I238-$G238)/$G238,($G238-$I238)/$G238)*10000)</f>
        <v/>
      </c>
      <c r="AD238" s="45"/>
      <c r="AE238" s="40" t="str">
        <f aca="false">IF(OR($D238="",$N238&lt;&gt;"",$AD238=""),"",IF($E238="LONG",($AD238-$I238)*$J238,($I238-$AD238)*$J238))</f>
        <v/>
      </c>
      <c r="AF238" s="40" t="str">
        <f aca="false">IF(OR($D238="",$E238&lt;&gt;"LONG",$Z238=""),"",$Z238+SUMIFS($Z$4:$Z$503,$B$4:$B$503,$B238,$E$4:$E$503,"SHORT"))</f>
        <v/>
      </c>
      <c r="AG238" s="42" t="str">
        <f aca="false">IF(OR($AF238="",$K238=0),"",$AF238/$K238)</f>
        <v/>
      </c>
      <c r="AH238" s="46"/>
      <c r="AI238" s="43" t="str">
        <f aca="false">IF(OR($D238="",$AH238="",$Z238=""),"",$Z238-$AH238)</f>
        <v/>
      </c>
      <c r="AJ238" s="49"/>
      <c r="AK238" s="47" t="str">
        <f aca="false">IF($D238="","",IFERROR(MATCH($F238,Config!$A$13:$A$15,0),1))</f>
        <v/>
      </c>
      <c r="AL238" s="47" t="str">
        <f aca="false">IF(OR($D238="",$N238=""),"",IF($E238="LONG",$K238,$O238))</f>
        <v/>
      </c>
      <c r="AM238" s="47" t="str">
        <f aca="false">IF(OR($D238="",$N238=""),"",IF($E238="LONG",$O238,$K238))</f>
        <v/>
      </c>
    </row>
    <row r="239" customFormat="false" ht="15" hidden="false" customHeight="false" outlineLevel="0" collapsed="false">
      <c r="A239" s="49"/>
      <c r="B239" s="5" t="str">
        <f aca="false">IF($D239="","",IF(OR(RIGHT($A239,2)="-L",RIGHT($A239,2)="-S"),LEFT($A239,LEN($A239)-2),$A239))</f>
        <v/>
      </c>
      <c r="C239" s="50"/>
      <c r="D239" s="49"/>
      <c r="E239" s="49"/>
      <c r="F239" s="49"/>
      <c r="G239" s="45"/>
      <c r="H239" s="50"/>
      <c r="I239" s="45"/>
      <c r="J239" s="51"/>
      <c r="K239" s="40" t="str">
        <f aca="false">IF($D239="","",$I239*$J239)</f>
        <v/>
      </c>
      <c r="L239" s="50"/>
      <c r="M239" s="49"/>
      <c r="N239" s="45"/>
      <c r="O239" s="40" t="str">
        <f aca="false">IF(OR($D239="",$N239=""),"",$N239*$J239)</f>
        <v/>
      </c>
      <c r="P239" s="41" t="str">
        <f aca="false">IF(OR($D239="",$L239=""),"",MAX($L239-$H239,0))</f>
        <v/>
      </c>
      <c r="Q239" s="40" t="str">
        <f aca="false">IF(OR($D239="",$N239=""),"",IF($E239="LONG",($N239-$I239)*$J239,($I239-$N239)*$J239))</f>
        <v/>
      </c>
      <c r="R239" s="42" t="str">
        <f aca="false">IF(OR($D239="",$Q239="",$K239=0),"",$Q239/$K239)</f>
        <v/>
      </c>
      <c r="S239" s="43" t="str">
        <f aca="false">IF(OR($D239="",$N239=""),"",MIN(INDEX(Config!$C$13:$C$15,$AK239),INDEX(Config!$B$13:$B$15,$AK239)*$K239)+MIN(INDEX(Config!$C$13:$C$15,$AK239),INDEX(Config!$B$13:$B$15,$AK239)*$O239))</f>
        <v/>
      </c>
      <c r="T239" s="43" t="str">
        <f aca="false">IF(OR($D239="",$N239=""),"",INDEX(Config!$D$13:$D$15,$AK239)*$AL239+INDEX(Config!$E$13:$E$15,$AK239)*$AM239)</f>
        <v/>
      </c>
      <c r="U239" s="43" t="str">
        <f aca="false">IF(OR($D239="",$N239=""),"",INDEX(Config!$F$13:$F$15,$AK239)*($K239+$O239))</f>
        <v/>
      </c>
      <c r="V239" s="43" t="str">
        <f aca="false">IF(OR($D239="",$N239=""),"",INDEX(Config!$G$13:$G$15,$AK239)*($K239+$O239)+INDEX(Config!$H$13:$H$15,$AK239)*$AL239+INDEX(Config!$J$13:$J$15,$AK239))</f>
        <v/>
      </c>
      <c r="W239" s="43" t="str">
        <f aca="false">IF(OR($D239="",$N239=""),"",INDEX(Config!$I$13:$I$15,$AK239)*($S239+$U239+INDEX(Config!$G$13:$G$15,$AK239)*($K239+$O239)))</f>
        <v/>
      </c>
      <c r="X239" s="43" t="str">
        <f aca="false">IF(OR($D239="",$N239=""),"",INDEX(Config!$K$13:$K$15,$AK239)/365*$P239*$K239*Config!$B$8)</f>
        <v/>
      </c>
      <c r="Y239" s="43" t="str">
        <f aca="false">IF(OR($D239="",$N239=""),"",SUM($S239:$X239))</f>
        <v/>
      </c>
      <c r="Z239" s="40" t="str">
        <f aca="false">IF(OR($D239="",$Q239=""),"",$Q239-$Y239)</f>
        <v/>
      </c>
      <c r="AA239" s="42" t="str">
        <f aca="false">IF(OR($D239="",$Z239="",$K239=0),"",$Z239/$K239)</f>
        <v/>
      </c>
      <c r="AB239" s="44" t="str">
        <f aca="false">IF(OR($D239="",$Y239="",$K239=0),"",$Y239/$K239*10000)</f>
        <v/>
      </c>
      <c r="AC239" s="44" t="str">
        <f aca="false">IF(OR($D239="",$G239="",$G239=0,$I239=""),"",IF($E239="LONG",($I239-$G239)/$G239,($G239-$I239)/$G239)*10000)</f>
        <v/>
      </c>
      <c r="AD239" s="45"/>
      <c r="AE239" s="40" t="str">
        <f aca="false">IF(OR($D239="",$N239&lt;&gt;"",$AD239=""),"",IF($E239="LONG",($AD239-$I239)*$J239,($I239-$AD239)*$J239))</f>
        <v/>
      </c>
      <c r="AF239" s="40" t="str">
        <f aca="false">IF(OR($D239="",$E239&lt;&gt;"LONG",$Z239=""),"",$Z239+SUMIFS($Z$4:$Z$503,$B$4:$B$503,$B239,$E$4:$E$503,"SHORT"))</f>
        <v/>
      </c>
      <c r="AG239" s="42" t="str">
        <f aca="false">IF(OR($AF239="",$K239=0),"",$AF239/$K239)</f>
        <v/>
      </c>
      <c r="AH239" s="46"/>
      <c r="AI239" s="43" t="str">
        <f aca="false">IF(OR($D239="",$AH239="",$Z239=""),"",$Z239-$AH239)</f>
        <v/>
      </c>
      <c r="AJ239" s="49"/>
      <c r="AK239" s="47" t="str">
        <f aca="false">IF($D239="","",IFERROR(MATCH($F239,Config!$A$13:$A$15,0),1))</f>
        <v/>
      </c>
      <c r="AL239" s="47" t="str">
        <f aca="false">IF(OR($D239="",$N239=""),"",IF($E239="LONG",$K239,$O239))</f>
        <v/>
      </c>
      <c r="AM239" s="47" t="str">
        <f aca="false">IF(OR($D239="",$N239=""),"",IF($E239="LONG",$O239,$K239))</f>
        <v/>
      </c>
    </row>
    <row r="240" customFormat="false" ht="15" hidden="false" customHeight="false" outlineLevel="0" collapsed="false">
      <c r="A240" s="49"/>
      <c r="B240" s="5" t="str">
        <f aca="false">IF($D240="","",IF(OR(RIGHT($A240,2)="-L",RIGHT($A240,2)="-S"),LEFT($A240,LEN($A240)-2),$A240))</f>
        <v/>
      </c>
      <c r="C240" s="50"/>
      <c r="D240" s="49"/>
      <c r="E240" s="49"/>
      <c r="F240" s="49"/>
      <c r="G240" s="45"/>
      <c r="H240" s="50"/>
      <c r="I240" s="45"/>
      <c r="J240" s="51"/>
      <c r="K240" s="40" t="str">
        <f aca="false">IF($D240="","",$I240*$J240)</f>
        <v/>
      </c>
      <c r="L240" s="50"/>
      <c r="M240" s="49"/>
      <c r="N240" s="45"/>
      <c r="O240" s="40" t="str">
        <f aca="false">IF(OR($D240="",$N240=""),"",$N240*$J240)</f>
        <v/>
      </c>
      <c r="P240" s="41" t="str">
        <f aca="false">IF(OR($D240="",$L240=""),"",MAX($L240-$H240,0))</f>
        <v/>
      </c>
      <c r="Q240" s="40" t="str">
        <f aca="false">IF(OR($D240="",$N240=""),"",IF($E240="LONG",($N240-$I240)*$J240,($I240-$N240)*$J240))</f>
        <v/>
      </c>
      <c r="R240" s="42" t="str">
        <f aca="false">IF(OR($D240="",$Q240="",$K240=0),"",$Q240/$K240)</f>
        <v/>
      </c>
      <c r="S240" s="43" t="str">
        <f aca="false">IF(OR($D240="",$N240=""),"",MIN(INDEX(Config!$C$13:$C$15,$AK240),INDEX(Config!$B$13:$B$15,$AK240)*$K240)+MIN(INDEX(Config!$C$13:$C$15,$AK240),INDEX(Config!$B$13:$B$15,$AK240)*$O240))</f>
        <v/>
      </c>
      <c r="T240" s="43" t="str">
        <f aca="false">IF(OR($D240="",$N240=""),"",INDEX(Config!$D$13:$D$15,$AK240)*$AL240+INDEX(Config!$E$13:$E$15,$AK240)*$AM240)</f>
        <v/>
      </c>
      <c r="U240" s="43" t="str">
        <f aca="false">IF(OR($D240="",$N240=""),"",INDEX(Config!$F$13:$F$15,$AK240)*($K240+$O240))</f>
        <v/>
      </c>
      <c r="V240" s="43" t="str">
        <f aca="false">IF(OR($D240="",$N240=""),"",INDEX(Config!$G$13:$G$15,$AK240)*($K240+$O240)+INDEX(Config!$H$13:$H$15,$AK240)*$AL240+INDEX(Config!$J$13:$J$15,$AK240))</f>
        <v/>
      </c>
      <c r="W240" s="43" t="str">
        <f aca="false">IF(OR($D240="",$N240=""),"",INDEX(Config!$I$13:$I$15,$AK240)*($S240+$U240+INDEX(Config!$G$13:$G$15,$AK240)*($K240+$O240)))</f>
        <v/>
      </c>
      <c r="X240" s="43" t="str">
        <f aca="false">IF(OR($D240="",$N240=""),"",INDEX(Config!$K$13:$K$15,$AK240)/365*$P240*$K240*Config!$B$8)</f>
        <v/>
      </c>
      <c r="Y240" s="43" t="str">
        <f aca="false">IF(OR($D240="",$N240=""),"",SUM($S240:$X240))</f>
        <v/>
      </c>
      <c r="Z240" s="40" t="str">
        <f aca="false">IF(OR($D240="",$Q240=""),"",$Q240-$Y240)</f>
        <v/>
      </c>
      <c r="AA240" s="42" t="str">
        <f aca="false">IF(OR($D240="",$Z240="",$K240=0),"",$Z240/$K240)</f>
        <v/>
      </c>
      <c r="AB240" s="44" t="str">
        <f aca="false">IF(OR($D240="",$Y240="",$K240=0),"",$Y240/$K240*10000)</f>
        <v/>
      </c>
      <c r="AC240" s="44" t="str">
        <f aca="false">IF(OR($D240="",$G240="",$G240=0,$I240=""),"",IF($E240="LONG",($I240-$G240)/$G240,($G240-$I240)/$G240)*10000)</f>
        <v/>
      </c>
      <c r="AD240" s="45"/>
      <c r="AE240" s="40" t="str">
        <f aca="false">IF(OR($D240="",$N240&lt;&gt;"",$AD240=""),"",IF($E240="LONG",($AD240-$I240)*$J240,($I240-$AD240)*$J240))</f>
        <v/>
      </c>
      <c r="AF240" s="40" t="str">
        <f aca="false">IF(OR($D240="",$E240&lt;&gt;"LONG",$Z240=""),"",$Z240+SUMIFS($Z$4:$Z$503,$B$4:$B$503,$B240,$E$4:$E$503,"SHORT"))</f>
        <v/>
      </c>
      <c r="AG240" s="42" t="str">
        <f aca="false">IF(OR($AF240="",$K240=0),"",$AF240/$K240)</f>
        <v/>
      </c>
      <c r="AH240" s="46"/>
      <c r="AI240" s="43" t="str">
        <f aca="false">IF(OR($D240="",$AH240="",$Z240=""),"",$Z240-$AH240)</f>
        <v/>
      </c>
      <c r="AJ240" s="49"/>
      <c r="AK240" s="47" t="str">
        <f aca="false">IF($D240="","",IFERROR(MATCH($F240,Config!$A$13:$A$15,0),1))</f>
        <v/>
      </c>
      <c r="AL240" s="47" t="str">
        <f aca="false">IF(OR($D240="",$N240=""),"",IF($E240="LONG",$K240,$O240))</f>
        <v/>
      </c>
      <c r="AM240" s="47" t="str">
        <f aca="false">IF(OR($D240="",$N240=""),"",IF($E240="LONG",$O240,$K240))</f>
        <v/>
      </c>
    </row>
    <row r="241" customFormat="false" ht="15" hidden="false" customHeight="false" outlineLevel="0" collapsed="false">
      <c r="A241" s="49"/>
      <c r="B241" s="5" t="str">
        <f aca="false">IF($D241="","",IF(OR(RIGHT($A241,2)="-L",RIGHT($A241,2)="-S"),LEFT($A241,LEN($A241)-2),$A241))</f>
        <v/>
      </c>
      <c r="C241" s="50"/>
      <c r="D241" s="49"/>
      <c r="E241" s="49"/>
      <c r="F241" s="49"/>
      <c r="G241" s="45"/>
      <c r="H241" s="50"/>
      <c r="I241" s="45"/>
      <c r="J241" s="51"/>
      <c r="K241" s="40" t="str">
        <f aca="false">IF($D241="","",$I241*$J241)</f>
        <v/>
      </c>
      <c r="L241" s="50"/>
      <c r="M241" s="49"/>
      <c r="N241" s="45"/>
      <c r="O241" s="40" t="str">
        <f aca="false">IF(OR($D241="",$N241=""),"",$N241*$J241)</f>
        <v/>
      </c>
      <c r="P241" s="41" t="str">
        <f aca="false">IF(OR($D241="",$L241=""),"",MAX($L241-$H241,0))</f>
        <v/>
      </c>
      <c r="Q241" s="40" t="str">
        <f aca="false">IF(OR($D241="",$N241=""),"",IF($E241="LONG",($N241-$I241)*$J241,($I241-$N241)*$J241))</f>
        <v/>
      </c>
      <c r="R241" s="42" t="str">
        <f aca="false">IF(OR($D241="",$Q241="",$K241=0),"",$Q241/$K241)</f>
        <v/>
      </c>
      <c r="S241" s="43" t="str">
        <f aca="false">IF(OR($D241="",$N241=""),"",MIN(INDEX(Config!$C$13:$C$15,$AK241),INDEX(Config!$B$13:$B$15,$AK241)*$K241)+MIN(INDEX(Config!$C$13:$C$15,$AK241),INDEX(Config!$B$13:$B$15,$AK241)*$O241))</f>
        <v/>
      </c>
      <c r="T241" s="43" t="str">
        <f aca="false">IF(OR($D241="",$N241=""),"",INDEX(Config!$D$13:$D$15,$AK241)*$AL241+INDEX(Config!$E$13:$E$15,$AK241)*$AM241)</f>
        <v/>
      </c>
      <c r="U241" s="43" t="str">
        <f aca="false">IF(OR($D241="",$N241=""),"",INDEX(Config!$F$13:$F$15,$AK241)*($K241+$O241))</f>
        <v/>
      </c>
      <c r="V241" s="43" t="str">
        <f aca="false">IF(OR($D241="",$N241=""),"",INDEX(Config!$G$13:$G$15,$AK241)*($K241+$O241)+INDEX(Config!$H$13:$H$15,$AK241)*$AL241+INDEX(Config!$J$13:$J$15,$AK241))</f>
        <v/>
      </c>
      <c r="W241" s="43" t="str">
        <f aca="false">IF(OR($D241="",$N241=""),"",INDEX(Config!$I$13:$I$15,$AK241)*($S241+$U241+INDEX(Config!$G$13:$G$15,$AK241)*($K241+$O241)))</f>
        <v/>
      </c>
      <c r="X241" s="43" t="str">
        <f aca="false">IF(OR($D241="",$N241=""),"",INDEX(Config!$K$13:$K$15,$AK241)/365*$P241*$K241*Config!$B$8)</f>
        <v/>
      </c>
      <c r="Y241" s="43" t="str">
        <f aca="false">IF(OR($D241="",$N241=""),"",SUM($S241:$X241))</f>
        <v/>
      </c>
      <c r="Z241" s="40" t="str">
        <f aca="false">IF(OR($D241="",$Q241=""),"",$Q241-$Y241)</f>
        <v/>
      </c>
      <c r="AA241" s="42" t="str">
        <f aca="false">IF(OR($D241="",$Z241="",$K241=0),"",$Z241/$K241)</f>
        <v/>
      </c>
      <c r="AB241" s="44" t="str">
        <f aca="false">IF(OR($D241="",$Y241="",$K241=0),"",$Y241/$K241*10000)</f>
        <v/>
      </c>
      <c r="AC241" s="44" t="str">
        <f aca="false">IF(OR($D241="",$G241="",$G241=0,$I241=""),"",IF($E241="LONG",($I241-$G241)/$G241,($G241-$I241)/$G241)*10000)</f>
        <v/>
      </c>
      <c r="AD241" s="45"/>
      <c r="AE241" s="40" t="str">
        <f aca="false">IF(OR($D241="",$N241&lt;&gt;"",$AD241=""),"",IF($E241="LONG",($AD241-$I241)*$J241,($I241-$AD241)*$J241))</f>
        <v/>
      </c>
      <c r="AF241" s="40" t="str">
        <f aca="false">IF(OR($D241="",$E241&lt;&gt;"LONG",$Z241=""),"",$Z241+SUMIFS($Z$4:$Z$503,$B$4:$B$503,$B241,$E$4:$E$503,"SHORT"))</f>
        <v/>
      </c>
      <c r="AG241" s="42" t="str">
        <f aca="false">IF(OR($AF241="",$K241=0),"",$AF241/$K241)</f>
        <v/>
      </c>
      <c r="AH241" s="46"/>
      <c r="AI241" s="43" t="str">
        <f aca="false">IF(OR($D241="",$AH241="",$Z241=""),"",$Z241-$AH241)</f>
        <v/>
      </c>
      <c r="AJ241" s="49"/>
      <c r="AK241" s="47" t="str">
        <f aca="false">IF($D241="","",IFERROR(MATCH($F241,Config!$A$13:$A$15,0),1))</f>
        <v/>
      </c>
      <c r="AL241" s="47" t="str">
        <f aca="false">IF(OR($D241="",$N241=""),"",IF($E241="LONG",$K241,$O241))</f>
        <v/>
      </c>
      <c r="AM241" s="47" t="str">
        <f aca="false">IF(OR($D241="",$N241=""),"",IF($E241="LONG",$O241,$K241))</f>
        <v/>
      </c>
    </row>
    <row r="242" customFormat="false" ht="15" hidden="false" customHeight="false" outlineLevel="0" collapsed="false">
      <c r="A242" s="49"/>
      <c r="B242" s="5" t="str">
        <f aca="false">IF($D242="","",IF(OR(RIGHT($A242,2)="-L",RIGHT($A242,2)="-S"),LEFT($A242,LEN($A242)-2),$A242))</f>
        <v/>
      </c>
      <c r="C242" s="50"/>
      <c r="D242" s="49"/>
      <c r="E242" s="49"/>
      <c r="F242" s="49"/>
      <c r="G242" s="45"/>
      <c r="H242" s="50"/>
      <c r="I242" s="45"/>
      <c r="J242" s="51"/>
      <c r="K242" s="40" t="str">
        <f aca="false">IF($D242="","",$I242*$J242)</f>
        <v/>
      </c>
      <c r="L242" s="50"/>
      <c r="M242" s="49"/>
      <c r="N242" s="45"/>
      <c r="O242" s="40" t="str">
        <f aca="false">IF(OR($D242="",$N242=""),"",$N242*$J242)</f>
        <v/>
      </c>
      <c r="P242" s="41" t="str">
        <f aca="false">IF(OR($D242="",$L242=""),"",MAX($L242-$H242,0))</f>
        <v/>
      </c>
      <c r="Q242" s="40" t="str">
        <f aca="false">IF(OR($D242="",$N242=""),"",IF($E242="LONG",($N242-$I242)*$J242,($I242-$N242)*$J242))</f>
        <v/>
      </c>
      <c r="R242" s="42" t="str">
        <f aca="false">IF(OR($D242="",$Q242="",$K242=0),"",$Q242/$K242)</f>
        <v/>
      </c>
      <c r="S242" s="43" t="str">
        <f aca="false">IF(OR($D242="",$N242=""),"",MIN(INDEX(Config!$C$13:$C$15,$AK242),INDEX(Config!$B$13:$B$15,$AK242)*$K242)+MIN(INDEX(Config!$C$13:$C$15,$AK242),INDEX(Config!$B$13:$B$15,$AK242)*$O242))</f>
        <v/>
      </c>
      <c r="T242" s="43" t="str">
        <f aca="false">IF(OR($D242="",$N242=""),"",INDEX(Config!$D$13:$D$15,$AK242)*$AL242+INDEX(Config!$E$13:$E$15,$AK242)*$AM242)</f>
        <v/>
      </c>
      <c r="U242" s="43" t="str">
        <f aca="false">IF(OR($D242="",$N242=""),"",INDEX(Config!$F$13:$F$15,$AK242)*($K242+$O242))</f>
        <v/>
      </c>
      <c r="V242" s="43" t="str">
        <f aca="false">IF(OR($D242="",$N242=""),"",INDEX(Config!$G$13:$G$15,$AK242)*($K242+$O242)+INDEX(Config!$H$13:$H$15,$AK242)*$AL242+INDEX(Config!$J$13:$J$15,$AK242))</f>
        <v/>
      </c>
      <c r="W242" s="43" t="str">
        <f aca="false">IF(OR($D242="",$N242=""),"",INDEX(Config!$I$13:$I$15,$AK242)*($S242+$U242+INDEX(Config!$G$13:$G$15,$AK242)*($K242+$O242)))</f>
        <v/>
      </c>
      <c r="X242" s="43" t="str">
        <f aca="false">IF(OR($D242="",$N242=""),"",INDEX(Config!$K$13:$K$15,$AK242)/365*$P242*$K242*Config!$B$8)</f>
        <v/>
      </c>
      <c r="Y242" s="43" t="str">
        <f aca="false">IF(OR($D242="",$N242=""),"",SUM($S242:$X242))</f>
        <v/>
      </c>
      <c r="Z242" s="40" t="str">
        <f aca="false">IF(OR($D242="",$Q242=""),"",$Q242-$Y242)</f>
        <v/>
      </c>
      <c r="AA242" s="42" t="str">
        <f aca="false">IF(OR($D242="",$Z242="",$K242=0),"",$Z242/$K242)</f>
        <v/>
      </c>
      <c r="AB242" s="44" t="str">
        <f aca="false">IF(OR($D242="",$Y242="",$K242=0),"",$Y242/$K242*10000)</f>
        <v/>
      </c>
      <c r="AC242" s="44" t="str">
        <f aca="false">IF(OR($D242="",$G242="",$G242=0,$I242=""),"",IF($E242="LONG",($I242-$G242)/$G242,($G242-$I242)/$G242)*10000)</f>
        <v/>
      </c>
      <c r="AD242" s="45"/>
      <c r="AE242" s="40" t="str">
        <f aca="false">IF(OR($D242="",$N242&lt;&gt;"",$AD242=""),"",IF($E242="LONG",($AD242-$I242)*$J242,($I242-$AD242)*$J242))</f>
        <v/>
      </c>
      <c r="AF242" s="40" t="str">
        <f aca="false">IF(OR($D242="",$E242&lt;&gt;"LONG",$Z242=""),"",$Z242+SUMIFS($Z$4:$Z$503,$B$4:$B$503,$B242,$E$4:$E$503,"SHORT"))</f>
        <v/>
      </c>
      <c r="AG242" s="42" t="str">
        <f aca="false">IF(OR($AF242="",$K242=0),"",$AF242/$K242)</f>
        <v/>
      </c>
      <c r="AH242" s="46"/>
      <c r="AI242" s="43" t="str">
        <f aca="false">IF(OR($D242="",$AH242="",$Z242=""),"",$Z242-$AH242)</f>
        <v/>
      </c>
      <c r="AJ242" s="49"/>
      <c r="AK242" s="47" t="str">
        <f aca="false">IF($D242="","",IFERROR(MATCH($F242,Config!$A$13:$A$15,0),1))</f>
        <v/>
      </c>
      <c r="AL242" s="47" t="str">
        <f aca="false">IF(OR($D242="",$N242=""),"",IF($E242="LONG",$K242,$O242))</f>
        <v/>
      </c>
      <c r="AM242" s="47" t="str">
        <f aca="false">IF(OR($D242="",$N242=""),"",IF($E242="LONG",$O242,$K242))</f>
        <v/>
      </c>
    </row>
    <row r="243" customFormat="false" ht="15" hidden="false" customHeight="false" outlineLevel="0" collapsed="false">
      <c r="A243" s="49"/>
      <c r="B243" s="5" t="str">
        <f aca="false">IF($D243="","",IF(OR(RIGHT($A243,2)="-L",RIGHT($A243,2)="-S"),LEFT($A243,LEN($A243)-2),$A243))</f>
        <v/>
      </c>
      <c r="C243" s="50"/>
      <c r="D243" s="49"/>
      <c r="E243" s="49"/>
      <c r="F243" s="49"/>
      <c r="G243" s="45"/>
      <c r="H243" s="50"/>
      <c r="I243" s="45"/>
      <c r="J243" s="51"/>
      <c r="K243" s="40" t="str">
        <f aca="false">IF($D243="","",$I243*$J243)</f>
        <v/>
      </c>
      <c r="L243" s="50"/>
      <c r="M243" s="49"/>
      <c r="N243" s="45"/>
      <c r="O243" s="40" t="str">
        <f aca="false">IF(OR($D243="",$N243=""),"",$N243*$J243)</f>
        <v/>
      </c>
      <c r="P243" s="41" t="str">
        <f aca="false">IF(OR($D243="",$L243=""),"",MAX($L243-$H243,0))</f>
        <v/>
      </c>
      <c r="Q243" s="40" t="str">
        <f aca="false">IF(OR($D243="",$N243=""),"",IF($E243="LONG",($N243-$I243)*$J243,($I243-$N243)*$J243))</f>
        <v/>
      </c>
      <c r="R243" s="42" t="str">
        <f aca="false">IF(OR($D243="",$Q243="",$K243=0),"",$Q243/$K243)</f>
        <v/>
      </c>
      <c r="S243" s="43" t="str">
        <f aca="false">IF(OR($D243="",$N243=""),"",MIN(INDEX(Config!$C$13:$C$15,$AK243),INDEX(Config!$B$13:$B$15,$AK243)*$K243)+MIN(INDEX(Config!$C$13:$C$15,$AK243),INDEX(Config!$B$13:$B$15,$AK243)*$O243))</f>
        <v/>
      </c>
      <c r="T243" s="43" t="str">
        <f aca="false">IF(OR($D243="",$N243=""),"",INDEX(Config!$D$13:$D$15,$AK243)*$AL243+INDEX(Config!$E$13:$E$15,$AK243)*$AM243)</f>
        <v/>
      </c>
      <c r="U243" s="43" t="str">
        <f aca="false">IF(OR($D243="",$N243=""),"",INDEX(Config!$F$13:$F$15,$AK243)*($K243+$O243))</f>
        <v/>
      </c>
      <c r="V243" s="43" t="str">
        <f aca="false">IF(OR($D243="",$N243=""),"",INDEX(Config!$G$13:$G$15,$AK243)*($K243+$O243)+INDEX(Config!$H$13:$H$15,$AK243)*$AL243+INDEX(Config!$J$13:$J$15,$AK243))</f>
        <v/>
      </c>
      <c r="W243" s="43" t="str">
        <f aca="false">IF(OR($D243="",$N243=""),"",INDEX(Config!$I$13:$I$15,$AK243)*($S243+$U243+INDEX(Config!$G$13:$G$15,$AK243)*($K243+$O243)))</f>
        <v/>
      </c>
      <c r="X243" s="43" t="str">
        <f aca="false">IF(OR($D243="",$N243=""),"",INDEX(Config!$K$13:$K$15,$AK243)/365*$P243*$K243*Config!$B$8)</f>
        <v/>
      </c>
      <c r="Y243" s="43" t="str">
        <f aca="false">IF(OR($D243="",$N243=""),"",SUM($S243:$X243))</f>
        <v/>
      </c>
      <c r="Z243" s="40" t="str">
        <f aca="false">IF(OR($D243="",$Q243=""),"",$Q243-$Y243)</f>
        <v/>
      </c>
      <c r="AA243" s="42" t="str">
        <f aca="false">IF(OR($D243="",$Z243="",$K243=0),"",$Z243/$K243)</f>
        <v/>
      </c>
      <c r="AB243" s="44" t="str">
        <f aca="false">IF(OR($D243="",$Y243="",$K243=0),"",$Y243/$K243*10000)</f>
        <v/>
      </c>
      <c r="AC243" s="44" t="str">
        <f aca="false">IF(OR($D243="",$G243="",$G243=0,$I243=""),"",IF($E243="LONG",($I243-$G243)/$G243,($G243-$I243)/$G243)*10000)</f>
        <v/>
      </c>
      <c r="AD243" s="45"/>
      <c r="AE243" s="40" t="str">
        <f aca="false">IF(OR($D243="",$N243&lt;&gt;"",$AD243=""),"",IF($E243="LONG",($AD243-$I243)*$J243,($I243-$AD243)*$J243))</f>
        <v/>
      </c>
      <c r="AF243" s="40" t="str">
        <f aca="false">IF(OR($D243="",$E243&lt;&gt;"LONG",$Z243=""),"",$Z243+SUMIFS($Z$4:$Z$503,$B$4:$B$503,$B243,$E$4:$E$503,"SHORT"))</f>
        <v/>
      </c>
      <c r="AG243" s="42" t="str">
        <f aca="false">IF(OR($AF243="",$K243=0),"",$AF243/$K243)</f>
        <v/>
      </c>
      <c r="AH243" s="46"/>
      <c r="AI243" s="43" t="str">
        <f aca="false">IF(OR($D243="",$AH243="",$Z243=""),"",$Z243-$AH243)</f>
        <v/>
      </c>
      <c r="AJ243" s="49"/>
      <c r="AK243" s="47" t="str">
        <f aca="false">IF($D243="","",IFERROR(MATCH($F243,Config!$A$13:$A$15,0),1))</f>
        <v/>
      </c>
      <c r="AL243" s="47" t="str">
        <f aca="false">IF(OR($D243="",$N243=""),"",IF($E243="LONG",$K243,$O243))</f>
        <v/>
      </c>
      <c r="AM243" s="47" t="str">
        <f aca="false">IF(OR($D243="",$N243=""),"",IF($E243="LONG",$O243,$K243))</f>
        <v/>
      </c>
    </row>
    <row r="244" customFormat="false" ht="15" hidden="false" customHeight="false" outlineLevel="0" collapsed="false">
      <c r="A244" s="49"/>
      <c r="B244" s="5" t="str">
        <f aca="false">IF($D244="","",IF(OR(RIGHT($A244,2)="-L",RIGHT($A244,2)="-S"),LEFT($A244,LEN($A244)-2),$A244))</f>
        <v/>
      </c>
      <c r="C244" s="50"/>
      <c r="D244" s="49"/>
      <c r="E244" s="49"/>
      <c r="F244" s="49"/>
      <c r="G244" s="45"/>
      <c r="H244" s="50"/>
      <c r="I244" s="45"/>
      <c r="J244" s="51"/>
      <c r="K244" s="40" t="str">
        <f aca="false">IF($D244="","",$I244*$J244)</f>
        <v/>
      </c>
      <c r="L244" s="50"/>
      <c r="M244" s="49"/>
      <c r="N244" s="45"/>
      <c r="O244" s="40" t="str">
        <f aca="false">IF(OR($D244="",$N244=""),"",$N244*$J244)</f>
        <v/>
      </c>
      <c r="P244" s="41" t="str">
        <f aca="false">IF(OR($D244="",$L244=""),"",MAX($L244-$H244,0))</f>
        <v/>
      </c>
      <c r="Q244" s="40" t="str">
        <f aca="false">IF(OR($D244="",$N244=""),"",IF($E244="LONG",($N244-$I244)*$J244,($I244-$N244)*$J244))</f>
        <v/>
      </c>
      <c r="R244" s="42" t="str">
        <f aca="false">IF(OR($D244="",$Q244="",$K244=0),"",$Q244/$K244)</f>
        <v/>
      </c>
      <c r="S244" s="43" t="str">
        <f aca="false">IF(OR($D244="",$N244=""),"",MIN(INDEX(Config!$C$13:$C$15,$AK244),INDEX(Config!$B$13:$B$15,$AK244)*$K244)+MIN(INDEX(Config!$C$13:$C$15,$AK244),INDEX(Config!$B$13:$B$15,$AK244)*$O244))</f>
        <v/>
      </c>
      <c r="T244" s="43" t="str">
        <f aca="false">IF(OR($D244="",$N244=""),"",INDEX(Config!$D$13:$D$15,$AK244)*$AL244+INDEX(Config!$E$13:$E$15,$AK244)*$AM244)</f>
        <v/>
      </c>
      <c r="U244" s="43" t="str">
        <f aca="false">IF(OR($D244="",$N244=""),"",INDEX(Config!$F$13:$F$15,$AK244)*($K244+$O244))</f>
        <v/>
      </c>
      <c r="V244" s="43" t="str">
        <f aca="false">IF(OR($D244="",$N244=""),"",INDEX(Config!$G$13:$G$15,$AK244)*($K244+$O244)+INDEX(Config!$H$13:$H$15,$AK244)*$AL244+INDEX(Config!$J$13:$J$15,$AK244))</f>
        <v/>
      </c>
      <c r="W244" s="43" t="str">
        <f aca="false">IF(OR($D244="",$N244=""),"",INDEX(Config!$I$13:$I$15,$AK244)*($S244+$U244+INDEX(Config!$G$13:$G$15,$AK244)*($K244+$O244)))</f>
        <v/>
      </c>
      <c r="X244" s="43" t="str">
        <f aca="false">IF(OR($D244="",$N244=""),"",INDEX(Config!$K$13:$K$15,$AK244)/365*$P244*$K244*Config!$B$8)</f>
        <v/>
      </c>
      <c r="Y244" s="43" t="str">
        <f aca="false">IF(OR($D244="",$N244=""),"",SUM($S244:$X244))</f>
        <v/>
      </c>
      <c r="Z244" s="40" t="str">
        <f aca="false">IF(OR($D244="",$Q244=""),"",$Q244-$Y244)</f>
        <v/>
      </c>
      <c r="AA244" s="42" t="str">
        <f aca="false">IF(OR($D244="",$Z244="",$K244=0),"",$Z244/$K244)</f>
        <v/>
      </c>
      <c r="AB244" s="44" t="str">
        <f aca="false">IF(OR($D244="",$Y244="",$K244=0),"",$Y244/$K244*10000)</f>
        <v/>
      </c>
      <c r="AC244" s="44" t="str">
        <f aca="false">IF(OR($D244="",$G244="",$G244=0,$I244=""),"",IF($E244="LONG",($I244-$G244)/$G244,($G244-$I244)/$G244)*10000)</f>
        <v/>
      </c>
      <c r="AD244" s="45"/>
      <c r="AE244" s="40" t="str">
        <f aca="false">IF(OR($D244="",$N244&lt;&gt;"",$AD244=""),"",IF($E244="LONG",($AD244-$I244)*$J244,($I244-$AD244)*$J244))</f>
        <v/>
      </c>
      <c r="AF244" s="40" t="str">
        <f aca="false">IF(OR($D244="",$E244&lt;&gt;"LONG",$Z244=""),"",$Z244+SUMIFS($Z$4:$Z$503,$B$4:$B$503,$B244,$E$4:$E$503,"SHORT"))</f>
        <v/>
      </c>
      <c r="AG244" s="42" t="str">
        <f aca="false">IF(OR($AF244="",$K244=0),"",$AF244/$K244)</f>
        <v/>
      </c>
      <c r="AH244" s="46"/>
      <c r="AI244" s="43" t="str">
        <f aca="false">IF(OR($D244="",$AH244="",$Z244=""),"",$Z244-$AH244)</f>
        <v/>
      </c>
      <c r="AJ244" s="49"/>
      <c r="AK244" s="47" t="str">
        <f aca="false">IF($D244="","",IFERROR(MATCH($F244,Config!$A$13:$A$15,0),1))</f>
        <v/>
      </c>
      <c r="AL244" s="47" t="str">
        <f aca="false">IF(OR($D244="",$N244=""),"",IF($E244="LONG",$K244,$O244))</f>
        <v/>
      </c>
      <c r="AM244" s="47" t="str">
        <f aca="false">IF(OR($D244="",$N244=""),"",IF($E244="LONG",$O244,$K244))</f>
        <v/>
      </c>
    </row>
    <row r="245" customFormat="false" ht="15" hidden="false" customHeight="false" outlineLevel="0" collapsed="false">
      <c r="A245" s="49"/>
      <c r="B245" s="5" t="str">
        <f aca="false">IF($D245="","",IF(OR(RIGHT($A245,2)="-L",RIGHT($A245,2)="-S"),LEFT($A245,LEN($A245)-2),$A245))</f>
        <v/>
      </c>
      <c r="C245" s="50"/>
      <c r="D245" s="49"/>
      <c r="E245" s="49"/>
      <c r="F245" s="49"/>
      <c r="G245" s="45"/>
      <c r="H245" s="50"/>
      <c r="I245" s="45"/>
      <c r="J245" s="51"/>
      <c r="K245" s="40" t="str">
        <f aca="false">IF($D245="","",$I245*$J245)</f>
        <v/>
      </c>
      <c r="L245" s="50"/>
      <c r="M245" s="49"/>
      <c r="N245" s="45"/>
      <c r="O245" s="40" t="str">
        <f aca="false">IF(OR($D245="",$N245=""),"",$N245*$J245)</f>
        <v/>
      </c>
      <c r="P245" s="41" t="str">
        <f aca="false">IF(OR($D245="",$L245=""),"",MAX($L245-$H245,0))</f>
        <v/>
      </c>
      <c r="Q245" s="40" t="str">
        <f aca="false">IF(OR($D245="",$N245=""),"",IF($E245="LONG",($N245-$I245)*$J245,($I245-$N245)*$J245))</f>
        <v/>
      </c>
      <c r="R245" s="42" t="str">
        <f aca="false">IF(OR($D245="",$Q245="",$K245=0),"",$Q245/$K245)</f>
        <v/>
      </c>
      <c r="S245" s="43" t="str">
        <f aca="false">IF(OR($D245="",$N245=""),"",MIN(INDEX(Config!$C$13:$C$15,$AK245),INDEX(Config!$B$13:$B$15,$AK245)*$K245)+MIN(INDEX(Config!$C$13:$C$15,$AK245),INDEX(Config!$B$13:$B$15,$AK245)*$O245))</f>
        <v/>
      </c>
      <c r="T245" s="43" t="str">
        <f aca="false">IF(OR($D245="",$N245=""),"",INDEX(Config!$D$13:$D$15,$AK245)*$AL245+INDEX(Config!$E$13:$E$15,$AK245)*$AM245)</f>
        <v/>
      </c>
      <c r="U245" s="43" t="str">
        <f aca="false">IF(OR($D245="",$N245=""),"",INDEX(Config!$F$13:$F$15,$AK245)*($K245+$O245))</f>
        <v/>
      </c>
      <c r="V245" s="43" t="str">
        <f aca="false">IF(OR($D245="",$N245=""),"",INDEX(Config!$G$13:$G$15,$AK245)*($K245+$O245)+INDEX(Config!$H$13:$H$15,$AK245)*$AL245+INDEX(Config!$J$13:$J$15,$AK245))</f>
        <v/>
      </c>
      <c r="W245" s="43" t="str">
        <f aca="false">IF(OR($D245="",$N245=""),"",INDEX(Config!$I$13:$I$15,$AK245)*($S245+$U245+INDEX(Config!$G$13:$G$15,$AK245)*($K245+$O245)))</f>
        <v/>
      </c>
      <c r="X245" s="43" t="str">
        <f aca="false">IF(OR($D245="",$N245=""),"",INDEX(Config!$K$13:$K$15,$AK245)/365*$P245*$K245*Config!$B$8)</f>
        <v/>
      </c>
      <c r="Y245" s="43" t="str">
        <f aca="false">IF(OR($D245="",$N245=""),"",SUM($S245:$X245))</f>
        <v/>
      </c>
      <c r="Z245" s="40" t="str">
        <f aca="false">IF(OR($D245="",$Q245=""),"",$Q245-$Y245)</f>
        <v/>
      </c>
      <c r="AA245" s="42" t="str">
        <f aca="false">IF(OR($D245="",$Z245="",$K245=0),"",$Z245/$K245)</f>
        <v/>
      </c>
      <c r="AB245" s="44" t="str">
        <f aca="false">IF(OR($D245="",$Y245="",$K245=0),"",$Y245/$K245*10000)</f>
        <v/>
      </c>
      <c r="AC245" s="44" t="str">
        <f aca="false">IF(OR($D245="",$G245="",$G245=0,$I245=""),"",IF($E245="LONG",($I245-$G245)/$G245,($G245-$I245)/$G245)*10000)</f>
        <v/>
      </c>
      <c r="AD245" s="45"/>
      <c r="AE245" s="40" t="str">
        <f aca="false">IF(OR($D245="",$N245&lt;&gt;"",$AD245=""),"",IF($E245="LONG",($AD245-$I245)*$J245,($I245-$AD245)*$J245))</f>
        <v/>
      </c>
      <c r="AF245" s="40" t="str">
        <f aca="false">IF(OR($D245="",$E245&lt;&gt;"LONG",$Z245=""),"",$Z245+SUMIFS($Z$4:$Z$503,$B$4:$B$503,$B245,$E$4:$E$503,"SHORT"))</f>
        <v/>
      </c>
      <c r="AG245" s="42" t="str">
        <f aca="false">IF(OR($AF245="",$K245=0),"",$AF245/$K245)</f>
        <v/>
      </c>
      <c r="AH245" s="46"/>
      <c r="AI245" s="43" t="str">
        <f aca="false">IF(OR($D245="",$AH245="",$Z245=""),"",$Z245-$AH245)</f>
        <v/>
      </c>
      <c r="AJ245" s="49"/>
      <c r="AK245" s="47" t="str">
        <f aca="false">IF($D245="","",IFERROR(MATCH($F245,Config!$A$13:$A$15,0),1))</f>
        <v/>
      </c>
      <c r="AL245" s="47" t="str">
        <f aca="false">IF(OR($D245="",$N245=""),"",IF($E245="LONG",$K245,$O245))</f>
        <v/>
      </c>
      <c r="AM245" s="47" t="str">
        <f aca="false">IF(OR($D245="",$N245=""),"",IF($E245="LONG",$O245,$K245))</f>
        <v/>
      </c>
    </row>
    <row r="246" customFormat="false" ht="15" hidden="false" customHeight="false" outlineLevel="0" collapsed="false">
      <c r="A246" s="49"/>
      <c r="B246" s="5" t="str">
        <f aca="false">IF($D246="","",IF(OR(RIGHT($A246,2)="-L",RIGHT($A246,2)="-S"),LEFT($A246,LEN($A246)-2),$A246))</f>
        <v/>
      </c>
      <c r="C246" s="50"/>
      <c r="D246" s="49"/>
      <c r="E246" s="49"/>
      <c r="F246" s="49"/>
      <c r="G246" s="45"/>
      <c r="H246" s="50"/>
      <c r="I246" s="45"/>
      <c r="J246" s="51"/>
      <c r="K246" s="40" t="str">
        <f aca="false">IF($D246="","",$I246*$J246)</f>
        <v/>
      </c>
      <c r="L246" s="50"/>
      <c r="M246" s="49"/>
      <c r="N246" s="45"/>
      <c r="O246" s="40" t="str">
        <f aca="false">IF(OR($D246="",$N246=""),"",$N246*$J246)</f>
        <v/>
      </c>
      <c r="P246" s="41" t="str">
        <f aca="false">IF(OR($D246="",$L246=""),"",MAX($L246-$H246,0))</f>
        <v/>
      </c>
      <c r="Q246" s="40" t="str">
        <f aca="false">IF(OR($D246="",$N246=""),"",IF($E246="LONG",($N246-$I246)*$J246,($I246-$N246)*$J246))</f>
        <v/>
      </c>
      <c r="R246" s="42" t="str">
        <f aca="false">IF(OR($D246="",$Q246="",$K246=0),"",$Q246/$K246)</f>
        <v/>
      </c>
      <c r="S246" s="43" t="str">
        <f aca="false">IF(OR($D246="",$N246=""),"",MIN(INDEX(Config!$C$13:$C$15,$AK246),INDEX(Config!$B$13:$B$15,$AK246)*$K246)+MIN(INDEX(Config!$C$13:$C$15,$AK246),INDEX(Config!$B$13:$B$15,$AK246)*$O246))</f>
        <v/>
      </c>
      <c r="T246" s="43" t="str">
        <f aca="false">IF(OR($D246="",$N246=""),"",INDEX(Config!$D$13:$D$15,$AK246)*$AL246+INDEX(Config!$E$13:$E$15,$AK246)*$AM246)</f>
        <v/>
      </c>
      <c r="U246" s="43" t="str">
        <f aca="false">IF(OR($D246="",$N246=""),"",INDEX(Config!$F$13:$F$15,$AK246)*($K246+$O246))</f>
        <v/>
      </c>
      <c r="V246" s="43" t="str">
        <f aca="false">IF(OR($D246="",$N246=""),"",INDEX(Config!$G$13:$G$15,$AK246)*($K246+$O246)+INDEX(Config!$H$13:$H$15,$AK246)*$AL246+INDEX(Config!$J$13:$J$15,$AK246))</f>
        <v/>
      </c>
      <c r="W246" s="43" t="str">
        <f aca="false">IF(OR($D246="",$N246=""),"",INDEX(Config!$I$13:$I$15,$AK246)*($S246+$U246+INDEX(Config!$G$13:$G$15,$AK246)*($K246+$O246)))</f>
        <v/>
      </c>
      <c r="X246" s="43" t="str">
        <f aca="false">IF(OR($D246="",$N246=""),"",INDEX(Config!$K$13:$K$15,$AK246)/365*$P246*$K246*Config!$B$8)</f>
        <v/>
      </c>
      <c r="Y246" s="43" t="str">
        <f aca="false">IF(OR($D246="",$N246=""),"",SUM($S246:$X246))</f>
        <v/>
      </c>
      <c r="Z246" s="40" t="str">
        <f aca="false">IF(OR($D246="",$Q246=""),"",$Q246-$Y246)</f>
        <v/>
      </c>
      <c r="AA246" s="42" t="str">
        <f aca="false">IF(OR($D246="",$Z246="",$K246=0),"",$Z246/$K246)</f>
        <v/>
      </c>
      <c r="AB246" s="44" t="str">
        <f aca="false">IF(OR($D246="",$Y246="",$K246=0),"",$Y246/$K246*10000)</f>
        <v/>
      </c>
      <c r="AC246" s="44" t="str">
        <f aca="false">IF(OR($D246="",$G246="",$G246=0,$I246=""),"",IF($E246="LONG",($I246-$G246)/$G246,($G246-$I246)/$G246)*10000)</f>
        <v/>
      </c>
      <c r="AD246" s="45"/>
      <c r="AE246" s="40" t="str">
        <f aca="false">IF(OR($D246="",$N246&lt;&gt;"",$AD246=""),"",IF($E246="LONG",($AD246-$I246)*$J246,($I246-$AD246)*$J246))</f>
        <v/>
      </c>
      <c r="AF246" s="40" t="str">
        <f aca="false">IF(OR($D246="",$E246&lt;&gt;"LONG",$Z246=""),"",$Z246+SUMIFS($Z$4:$Z$503,$B$4:$B$503,$B246,$E$4:$E$503,"SHORT"))</f>
        <v/>
      </c>
      <c r="AG246" s="42" t="str">
        <f aca="false">IF(OR($AF246="",$K246=0),"",$AF246/$K246)</f>
        <v/>
      </c>
      <c r="AH246" s="46"/>
      <c r="AI246" s="43" t="str">
        <f aca="false">IF(OR($D246="",$AH246="",$Z246=""),"",$Z246-$AH246)</f>
        <v/>
      </c>
      <c r="AJ246" s="49"/>
      <c r="AK246" s="47" t="str">
        <f aca="false">IF($D246="","",IFERROR(MATCH($F246,Config!$A$13:$A$15,0),1))</f>
        <v/>
      </c>
      <c r="AL246" s="47" t="str">
        <f aca="false">IF(OR($D246="",$N246=""),"",IF($E246="LONG",$K246,$O246))</f>
        <v/>
      </c>
      <c r="AM246" s="47" t="str">
        <f aca="false">IF(OR($D246="",$N246=""),"",IF($E246="LONG",$O246,$K246))</f>
        <v/>
      </c>
    </row>
    <row r="247" customFormat="false" ht="15" hidden="false" customHeight="false" outlineLevel="0" collapsed="false">
      <c r="A247" s="49"/>
      <c r="B247" s="5" t="str">
        <f aca="false">IF($D247="","",IF(OR(RIGHT($A247,2)="-L",RIGHT($A247,2)="-S"),LEFT($A247,LEN($A247)-2),$A247))</f>
        <v/>
      </c>
      <c r="C247" s="50"/>
      <c r="D247" s="49"/>
      <c r="E247" s="49"/>
      <c r="F247" s="49"/>
      <c r="G247" s="45"/>
      <c r="H247" s="50"/>
      <c r="I247" s="45"/>
      <c r="J247" s="51"/>
      <c r="K247" s="40" t="str">
        <f aca="false">IF($D247="","",$I247*$J247)</f>
        <v/>
      </c>
      <c r="L247" s="50"/>
      <c r="M247" s="49"/>
      <c r="N247" s="45"/>
      <c r="O247" s="40" t="str">
        <f aca="false">IF(OR($D247="",$N247=""),"",$N247*$J247)</f>
        <v/>
      </c>
      <c r="P247" s="41" t="str">
        <f aca="false">IF(OR($D247="",$L247=""),"",MAX($L247-$H247,0))</f>
        <v/>
      </c>
      <c r="Q247" s="40" t="str">
        <f aca="false">IF(OR($D247="",$N247=""),"",IF($E247="LONG",($N247-$I247)*$J247,($I247-$N247)*$J247))</f>
        <v/>
      </c>
      <c r="R247" s="42" t="str">
        <f aca="false">IF(OR($D247="",$Q247="",$K247=0),"",$Q247/$K247)</f>
        <v/>
      </c>
      <c r="S247" s="43" t="str">
        <f aca="false">IF(OR($D247="",$N247=""),"",MIN(INDEX(Config!$C$13:$C$15,$AK247),INDEX(Config!$B$13:$B$15,$AK247)*$K247)+MIN(INDEX(Config!$C$13:$C$15,$AK247),INDEX(Config!$B$13:$B$15,$AK247)*$O247))</f>
        <v/>
      </c>
      <c r="T247" s="43" t="str">
        <f aca="false">IF(OR($D247="",$N247=""),"",INDEX(Config!$D$13:$D$15,$AK247)*$AL247+INDEX(Config!$E$13:$E$15,$AK247)*$AM247)</f>
        <v/>
      </c>
      <c r="U247" s="43" t="str">
        <f aca="false">IF(OR($D247="",$N247=""),"",INDEX(Config!$F$13:$F$15,$AK247)*($K247+$O247))</f>
        <v/>
      </c>
      <c r="V247" s="43" t="str">
        <f aca="false">IF(OR($D247="",$N247=""),"",INDEX(Config!$G$13:$G$15,$AK247)*($K247+$O247)+INDEX(Config!$H$13:$H$15,$AK247)*$AL247+INDEX(Config!$J$13:$J$15,$AK247))</f>
        <v/>
      </c>
      <c r="W247" s="43" t="str">
        <f aca="false">IF(OR($D247="",$N247=""),"",INDEX(Config!$I$13:$I$15,$AK247)*($S247+$U247+INDEX(Config!$G$13:$G$15,$AK247)*($K247+$O247)))</f>
        <v/>
      </c>
      <c r="X247" s="43" t="str">
        <f aca="false">IF(OR($D247="",$N247=""),"",INDEX(Config!$K$13:$K$15,$AK247)/365*$P247*$K247*Config!$B$8)</f>
        <v/>
      </c>
      <c r="Y247" s="43" t="str">
        <f aca="false">IF(OR($D247="",$N247=""),"",SUM($S247:$X247))</f>
        <v/>
      </c>
      <c r="Z247" s="40" t="str">
        <f aca="false">IF(OR($D247="",$Q247=""),"",$Q247-$Y247)</f>
        <v/>
      </c>
      <c r="AA247" s="42" t="str">
        <f aca="false">IF(OR($D247="",$Z247="",$K247=0),"",$Z247/$K247)</f>
        <v/>
      </c>
      <c r="AB247" s="44" t="str">
        <f aca="false">IF(OR($D247="",$Y247="",$K247=0),"",$Y247/$K247*10000)</f>
        <v/>
      </c>
      <c r="AC247" s="44" t="str">
        <f aca="false">IF(OR($D247="",$G247="",$G247=0,$I247=""),"",IF($E247="LONG",($I247-$G247)/$G247,($G247-$I247)/$G247)*10000)</f>
        <v/>
      </c>
      <c r="AD247" s="45"/>
      <c r="AE247" s="40" t="str">
        <f aca="false">IF(OR($D247="",$N247&lt;&gt;"",$AD247=""),"",IF($E247="LONG",($AD247-$I247)*$J247,($I247-$AD247)*$J247))</f>
        <v/>
      </c>
      <c r="AF247" s="40" t="str">
        <f aca="false">IF(OR($D247="",$E247&lt;&gt;"LONG",$Z247=""),"",$Z247+SUMIFS($Z$4:$Z$503,$B$4:$B$503,$B247,$E$4:$E$503,"SHORT"))</f>
        <v/>
      </c>
      <c r="AG247" s="42" t="str">
        <f aca="false">IF(OR($AF247="",$K247=0),"",$AF247/$K247)</f>
        <v/>
      </c>
      <c r="AH247" s="46"/>
      <c r="AI247" s="43" t="str">
        <f aca="false">IF(OR($D247="",$AH247="",$Z247=""),"",$Z247-$AH247)</f>
        <v/>
      </c>
      <c r="AJ247" s="49"/>
      <c r="AK247" s="47" t="str">
        <f aca="false">IF($D247="","",IFERROR(MATCH($F247,Config!$A$13:$A$15,0),1))</f>
        <v/>
      </c>
      <c r="AL247" s="47" t="str">
        <f aca="false">IF(OR($D247="",$N247=""),"",IF($E247="LONG",$K247,$O247))</f>
        <v/>
      </c>
      <c r="AM247" s="47" t="str">
        <f aca="false">IF(OR($D247="",$N247=""),"",IF($E247="LONG",$O247,$K247))</f>
        <v/>
      </c>
    </row>
    <row r="248" customFormat="false" ht="15" hidden="false" customHeight="false" outlineLevel="0" collapsed="false">
      <c r="A248" s="49"/>
      <c r="B248" s="5" t="str">
        <f aca="false">IF($D248="","",IF(OR(RIGHT($A248,2)="-L",RIGHT($A248,2)="-S"),LEFT($A248,LEN($A248)-2),$A248))</f>
        <v/>
      </c>
      <c r="C248" s="50"/>
      <c r="D248" s="49"/>
      <c r="E248" s="49"/>
      <c r="F248" s="49"/>
      <c r="G248" s="45"/>
      <c r="H248" s="50"/>
      <c r="I248" s="45"/>
      <c r="J248" s="51"/>
      <c r="K248" s="40" t="str">
        <f aca="false">IF($D248="","",$I248*$J248)</f>
        <v/>
      </c>
      <c r="L248" s="50"/>
      <c r="M248" s="49"/>
      <c r="N248" s="45"/>
      <c r="O248" s="40" t="str">
        <f aca="false">IF(OR($D248="",$N248=""),"",$N248*$J248)</f>
        <v/>
      </c>
      <c r="P248" s="41" t="str">
        <f aca="false">IF(OR($D248="",$L248=""),"",MAX($L248-$H248,0))</f>
        <v/>
      </c>
      <c r="Q248" s="40" t="str">
        <f aca="false">IF(OR($D248="",$N248=""),"",IF($E248="LONG",($N248-$I248)*$J248,($I248-$N248)*$J248))</f>
        <v/>
      </c>
      <c r="R248" s="42" t="str">
        <f aca="false">IF(OR($D248="",$Q248="",$K248=0),"",$Q248/$K248)</f>
        <v/>
      </c>
      <c r="S248" s="43" t="str">
        <f aca="false">IF(OR($D248="",$N248=""),"",MIN(INDEX(Config!$C$13:$C$15,$AK248),INDEX(Config!$B$13:$B$15,$AK248)*$K248)+MIN(INDEX(Config!$C$13:$C$15,$AK248),INDEX(Config!$B$13:$B$15,$AK248)*$O248))</f>
        <v/>
      </c>
      <c r="T248" s="43" t="str">
        <f aca="false">IF(OR($D248="",$N248=""),"",INDEX(Config!$D$13:$D$15,$AK248)*$AL248+INDEX(Config!$E$13:$E$15,$AK248)*$AM248)</f>
        <v/>
      </c>
      <c r="U248" s="43" t="str">
        <f aca="false">IF(OR($D248="",$N248=""),"",INDEX(Config!$F$13:$F$15,$AK248)*($K248+$O248))</f>
        <v/>
      </c>
      <c r="V248" s="43" t="str">
        <f aca="false">IF(OR($D248="",$N248=""),"",INDEX(Config!$G$13:$G$15,$AK248)*($K248+$O248)+INDEX(Config!$H$13:$H$15,$AK248)*$AL248+INDEX(Config!$J$13:$J$15,$AK248))</f>
        <v/>
      </c>
      <c r="W248" s="43" t="str">
        <f aca="false">IF(OR($D248="",$N248=""),"",INDEX(Config!$I$13:$I$15,$AK248)*($S248+$U248+INDEX(Config!$G$13:$G$15,$AK248)*($K248+$O248)))</f>
        <v/>
      </c>
      <c r="X248" s="43" t="str">
        <f aca="false">IF(OR($D248="",$N248=""),"",INDEX(Config!$K$13:$K$15,$AK248)/365*$P248*$K248*Config!$B$8)</f>
        <v/>
      </c>
      <c r="Y248" s="43" t="str">
        <f aca="false">IF(OR($D248="",$N248=""),"",SUM($S248:$X248))</f>
        <v/>
      </c>
      <c r="Z248" s="40" t="str">
        <f aca="false">IF(OR($D248="",$Q248=""),"",$Q248-$Y248)</f>
        <v/>
      </c>
      <c r="AA248" s="42" t="str">
        <f aca="false">IF(OR($D248="",$Z248="",$K248=0),"",$Z248/$K248)</f>
        <v/>
      </c>
      <c r="AB248" s="44" t="str">
        <f aca="false">IF(OR($D248="",$Y248="",$K248=0),"",$Y248/$K248*10000)</f>
        <v/>
      </c>
      <c r="AC248" s="44" t="str">
        <f aca="false">IF(OR($D248="",$G248="",$G248=0,$I248=""),"",IF($E248="LONG",($I248-$G248)/$G248,($G248-$I248)/$G248)*10000)</f>
        <v/>
      </c>
      <c r="AD248" s="45"/>
      <c r="AE248" s="40" t="str">
        <f aca="false">IF(OR($D248="",$N248&lt;&gt;"",$AD248=""),"",IF($E248="LONG",($AD248-$I248)*$J248,($I248-$AD248)*$J248))</f>
        <v/>
      </c>
      <c r="AF248" s="40" t="str">
        <f aca="false">IF(OR($D248="",$E248&lt;&gt;"LONG",$Z248=""),"",$Z248+SUMIFS($Z$4:$Z$503,$B$4:$B$503,$B248,$E$4:$E$503,"SHORT"))</f>
        <v/>
      </c>
      <c r="AG248" s="42" t="str">
        <f aca="false">IF(OR($AF248="",$K248=0),"",$AF248/$K248)</f>
        <v/>
      </c>
      <c r="AH248" s="46"/>
      <c r="AI248" s="43" t="str">
        <f aca="false">IF(OR($D248="",$AH248="",$Z248=""),"",$Z248-$AH248)</f>
        <v/>
      </c>
      <c r="AJ248" s="49"/>
      <c r="AK248" s="47" t="str">
        <f aca="false">IF($D248="","",IFERROR(MATCH($F248,Config!$A$13:$A$15,0),1))</f>
        <v/>
      </c>
      <c r="AL248" s="47" t="str">
        <f aca="false">IF(OR($D248="",$N248=""),"",IF($E248="LONG",$K248,$O248))</f>
        <v/>
      </c>
      <c r="AM248" s="47" t="str">
        <f aca="false">IF(OR($D248="",$N248=""),"",IF($E248="LONG",$O248,$K248))</f>
        <v/>
      </c>
    </row>
    <row r="249" customFormat="false" ht="15" hidden="false" customHeight="false" outlineLevel="0" collapsed="false">
      <c r="A249" s="49"/>
      <c r="B249" s="5" t="str">
        <f aca="false">IF($D249="","",IF(OR(RIGHT($A249,2)="-L",RIGHT($A249,2)="-S"),LEFT($A249,LEN($A249)-2),$A249))</f>
        <v/>
      </c>
      <c r="C249" s="50"/>
      <c r="D249" s="49"/>
      <c r="E249" s="49"/>
      <c r="F249" s="49"/>
      <c r="G249" s="45"/>
      <c r="H249" s="50"/>
      <c r="I249" s="45"/>
      <c r="J249" s="51"/>
      <c r="K249" s="40" t="str">
        <f aca="false">IF($D249="","",$I249*$J249)</f>
        <v/>
      </c>
      <c r="L249" s="50"/>
      <c r="M249" s="49"/>
      <c r="N249" s="45"/>
      <c r="O249" s="40" t="str">
        <f aca="false">IF(OR($D249="",$N249=""),"",$N249*$J249)</f>
        <v/>
      </c>
      <c r="P249" s="41" t="str">
        <f aca="false">IF(OR($D249="",$L249=""),"",MAX($L249-$H249,0))</f>
        <v/>
      </c>
      <c r="Q249" s="40" t="str">
        <f aca="false">IF(OR($D249="",$N249=""),"",IF($E249="LONG",($N249-$I249)*$J249,($I249-$N249)*$J249))</f>
        <v/>
      </c>
      <c r="R249" s="42" t="str">
        <f aca="false">IF(OR($D249="",$Q249="",$K249=0),"",$Q249/$K249)</f>
        <v/>
      </c>
      <c r="S249" s="43" t="str">
        <f aca="false">IF(OR($D249="",$N249=""),"",MIN(INDEX(Config!$C$13:$C$15,$AK249),INDEX(Config!$B$13:$B$15,$AK249)*$K249)+MIN(INDEX(Config!$C$13:$C$15,$AK249),INDEX(Config!$B$13:$B$15,$AK249)*$O249))</f>
        <v/>
      </c>
      <c r="T249" s="43" t="str">
        <f aca="false">IF(OR($D249="",$N249=""),"",INDEX(Config!$D$13:$D$15,$AK249)*$AL249+INDEX(Config!$E$13:$E$15,$AK249)*$AM249)</f>
        <v/>
      </c>
      <c r="U249" s="43" t="str">
        <f aca="false">IF(OR($D249="",$N249=""),"",INDEX(Config!$F$13:$F$15,$AK249)*($K249+$O249))</f>
        <v/>
      </c>
      <c r="V249" s="43" t="str">
        <f aca="false">IF(OR($D249="",$N249=""),"",INDEX(Config!$G$13:$G$15,$AK249)*($K249+$O249)+INDEX(Config!$H$13:$H$15,$AK249)*$AL249+INDEX(Config!$J$13:$J$15,$AK249))</f>
        <v/>
      </c>
      <c r="W249" s="43" t="str">
        <f aca="false">IF(OR($D249="",$N249=""),"",INDEX(Config!$I$13:$I$15,$AK249)*($S249+$U249+INDEX(Config!$G$13:$G$15,$AK249)*($K249+$O249)))</f>
        <v/>
      </c>
      <c r="X249" s="43" t="str">
        <f aca="false">IF(OR($D249="",$N249=""),"",INDEX(Config!$K$13:$K$15,$AK249)/365*$P249*$K249*Config!$B$8)</f>
        <v/>
      </c>
      <c r="Y249" s="43" t="str">
        <f aca="false">IF(OR($D249="",$N249=""),"",SUM($S249:$X249))</f>
        <v/>
      </c>
      <c r="Z249" s="40" t="str">
        <f aca="false">IF(OR($D249="",$Q249=""),"",$Q249-$Y249)</f>
        <v/>
      </c>
      <c r="AA249" s="42" t="str">
        <f aca="false">IF(OR($D249="",$Z249="",$K249=0),"",$Z249/$K249)</f>
        <v/>
      </c>
      <c r="AB249" s="44" t="str">
        <f aca="false">IF(OR($D249="",$Y249="",$K249=0),"",$Y249/$K249*10000)</f>
        <v/>
      </c>
      <c r="AC249" s="44" t="str">
        <f aca="false">IF(OR($D249="",$G249="",$G249=0,$I249=""),"",IF($E249="LONG",($I249-$G249)/$G249,($G249-$I249)/$G249)*10000)</f>
        <v/>
      </c>
      <c r="AD249" s="45"/>
      <c r="AE249" s="40" t="str">
        <f aca="false">IF(OR($D249="",$N249&lt;&gt;"",$AD249=""),"",IF($E249="LONG",($AD249-$I249)*$J249,($I249-$AD249)*$J249))</f>
        <v/>
      </c>
      <c r="AF249" s="40" t="str">
        <f aca="false">IF(OR($D249="",$E249&lt;&gt;"LONG",$Z249=""),"",$Z249+SUMIFS($Z$4:$Z$503,$B$4:$B$503,$B249,$E$4:$E$503,"SHORT"))</f>
        <v/>
      </c>
      <c r="AG249" s="42" t="str">
        <f aca="false">IF(OR($AF249="",$K249=0),"",$AF249/$K249)</f>
        <v/>
      </c>
      <c r="AH249" s="46"/>
      <c r="AI249" s="43" t="str">
        <f aca="false">IF(OR($D249="",$AH249="",$Z249=""),"",$Z249-$AH249)</f>
        <v/>
      </c>
      <c r="AJ249" s="49"/>
      <c r="AK249" s="47" t="str">
        <f aca="false">IF($D249="","",IFERROR(MATCH($F249,Config!$A$13:$A$15,0),1))</f>
        <v/>
      </c>
      <c r="AL249" s="47" t="str">
        <f aca="false">IF(OR($D249="",$N249=""),"",IF($E249="LONG",$K249,$O249))</f>
        <v/>
      </c>
      <c r="AM249" s="47" t="str">
        <f aca="false">IF(OR($D249="",$N249=""),"",IF($E249="LONG",$O249,$K249))</f>
        <v/>
      </c>
    </row>
    <row r="250" customFormat="false" ht="15" hidden="false" customHeight="false" outlineLevel="0" collapsed="false">
      <c r="A250" s="49"/>
      <c r="B250" s="5" t="str">
        <f aca="false">IF($D250="","",IF(OR(RIGHT($A250,2)="-L",RIGHT($A250,2)="-S"),LEFT($A250,LEN($A250)-2),$A250))</f>
        <v/>
      </c>
      <c r="C250" s="50"/>
      <c r="D250" s="49"/>
      <c r="E250" s="49"/>
      <c r="F250" s="49"/>
      <c r="G250" s="45"/>
      <c r="H250" s="50"/>
      <c r="I250" s="45"/>
      <c r="J250" s="51"/>
      <c r="K250" s="40" t="str">
        <f aca="false">IF($D250="","",$I250*$J250)</f>
        <v/>
      </c>
      <c r="L250" s="50"/>
      <c r="M250" s="49"/>
      <c r="N250" s="45"/>
      <c r="O250" s="40" t="str">
        <f aca="false">IF(OR($D250="",$N250=""),"",$N250*$J250)</f>
        <v/>
      </c>
      <c r="P250" s="41" t="str">
        <f aca="false">IF(OR($D250="",$L250=""),"",MAX($L250-$H250,0))</f>
        <v/>
      </c>
      <c r="Q250" s="40" t="str">
        <f aca="false">IF(OR($D250="",$N250=""),"",IF($E250="LONG",($N250-$I250)*$J250,($I250-$N250)*$J250))</f>
        <v/>
      </c>
      <c r="R250" s="42" t="str">
        <f aca="false">IF(OR($D250="",$Q250="",$K250=0),"",$Q250/$K250)</f>
        <v/>
      </c>
      <c r="S250" s="43" t="str">
        <f aca="false">IF(OR($D250="",$N250=""),"",MIN(INDEX(Config!$C$13:$C$15,$AK250),INDEX(Config!$B$13:$B$15,$AK250)*$K250)+MIN(INDEX(Config!$C$13:$C$15,$AK250),INDEX(Config!$B$13:$B$15,$AK250)*$O250))</f>
        <v/>
      </c>
      <c r="T250" s="43" t="str">
        <f aca="false">IF(OR($D250="",$N250=""),"",INDEX(Config!$D$13:$D$15,$AK250)*$AL250+INDEX(Config!$E$13:$E$15,$AK250)*$AM250)</f>
        <v/>
      </c>
      <c r="U250" s="43" t="str">
        <f aca="false">IF(OR($D250="",$N250=""),"",INDEX(Config!$F$13:$F$15,$AK250)*($K250+$O250))</f>
        <v/>
      </c>
      <c r="V250" s="43" t="str">
        <f aca="false">IF(OR($D250="",$N250=""),"",INDEX(Config!$G$13:$G$15,$AK250)*($K250+$O250)+INDEX(Config!$H$13:$H$15,$AK250)*$AL250+INDEX(Config!$J$13:$J$15,$AK250))</f>
        <v/>
      </c>
      <c r="W250" s="43" t="str">
        <f aca="false">IF(OR($D250="",$N250=""),"",INDEX(Config!$I$13:$I$15,$AK250)*($S250+$U250+INDEX(Config!$G$13:$G$15,$AK250)*($K250+$O250)))</f>
        <v/>
      </c>
      <c r="X250" s="43" t="str">
        <f aca="false">IF(OR($D250="",$N250=""),"",INDEX(Config!$K$13:$K$15,$AK250)/365*$P250*$K250*Config!$B$8)</f>
        <v/>
      </c>
      <c r="Y250" s="43" t="str">
        <f aca="false">IF(OR($D250="",$N250=""),"",SUM($S250:$X250))</f>
        <v/>
      </c>
      <c r="Z250" s="40" t="str">
        <f aca="false">IF(OR($D250="",$Q250=""),"",$Q250-$Y250)</f>
        <v/>
      </c>
      <c r="AA250" s="42" t="str">
        <f aca="false">IF(OR($D250="",$Z250="",$K250=0),"",$Z250/$K250)</f>
        <v/>
      </c>
      <c r="AB250" s="44" t="str">
        <f aca="false">IF(OR($D250="",$Y250="",$K250=0),"",$Y250/$K250*10000)</f>
        <v/>
      </c>
      <c r="AC250" s="44" t="str">
        <f aca="false">IF(OR($D250="",$G250="",$G250=0,$I250=""),"",IF($E250="LONG",($I250-$G250)/$G250,($G250-$I250)/$G250)*10000)</f>
        <v/>
      </c>
      <c r="AD250" s="45"/>
      <c r="AE250" s="40" t="str">
        <f aca="false">IF(OR($D250="",$N250&lt;&gt;"",$AD250=""),"",IF($E250="LONG",($AD250-$I250)*$J250,($I250-$AD250)*$J250))</f>
        <v/>
      </c>
      <c r="AF250" s="40" t="str">
        <f aca="false">IF(OR($D250="",$E250&lt;&gt;"LONG",$Z250=""),"",$Z250+SUMIFS($Z$4:$Z$503,$B$4:$B$503,$B250,$E$4:$E$503,"SHORT"))</f>
        <v/>
      </c>
      <c r="AG250" s="42" t="str">
        <f aca="false">IF(OR($AF250="",$K250=0),"",$AF250/$K250)</f>
        <v/>
      </c>
      <c r="AH250" s="46"/>
      <c r="AI250" s="43" t="str">
        <f aca="false">IF(OR($D250="",$AH250="",$Z250=""),"",$Z250-$AH250)</f>
        <v/>
      </c>
      <c r="AJ250" s="49"/>
      <c r="AK250" s="47" t="str">
        <f aca="false">IF($D250="","",IFERROR(MATCH($F250,Config!$A$13:$A$15,0),1))</f>
        <v/>
      </c>
      <c r="AL250" s="47" t="str">
        <f aca="false">IF(OR($D250="",$N250=""),"",IF($E250="LONG",$K250,$O250))</f>
        <v/>
      </c>
      <c r="AM250" s="47" t="str">
        <f aca="false">IF(OR($D250="",$N250=""),"",IF($E250="LONG",$O250,$K250))</f>
        <v/>
      </c>
    </row>
    <row r="251" customFormat="false" ht="15" hidden="false" customHeight="false" outlineLevel="0" collapsed="false">
      <c r="A251" s="49"/>
      <c r="B251" s="5" t="str">
        <f aca="false">IF($D251="","",IF(OR(RIGHT($A251,2)="-L",RIGHT($A251,2)="-S"),LEFT($A251,LEN($A251)-2),$A251))</f>
        <v/>
      </c>
      <c r="C251" s="50"/>
      <c r="D251" s="49"/>
      <c r="E251" s="49"/>
      <c r="F251" s="49"/>
      <c r="G251" s="45"/>
      <c r="H251" s="50"/>
      <c r="I251" s="45"/>
      <c r="J251" s="51"/>
      <c r="K251" s="40" t="str">
        <f aca="false">IF($D251="","",$I251*$J251)</f>
        <v/>
      </c>
      <c r="L251" s="50"/>
      <c r="M251" s="49"/>
      <c r="N251" s="45"/>
      <c r="O251" s="40" t="str">
        <f aca="false">IF(OR($D251="",$N251=""),"",$N251*$J251)</f>
        <v/>
      </c>
      <c r="P251" s="41" t="str">
        <f aca="false">IF(OR($D251="",$L251=""),"",MAX($L251-$H251,0))</f>
        <v/>
      </c>
      <c r="Q251" s="40" t="str">
        <f aca="false">IF(OR($D251="",$N251=""),"",IF($E251="LONG",($N251-$I251)*$J251,($I251-$N251)*$J251))</f>
        <v/>
      </c>
      <c r="R251" s="42" t="str">
        <f aca="false">IF(OR($D251="",$Q251="",$K251=0),"",$Q251/$K251)</f>
        <v/>
      </c>
      <c r="S251" s="43" t="str">
        <f aca="false">IF(OR($D251="",$N251=""),"",MIN(INDEX(Config!$C$13:$C$15,$AK251),INDEX(Config!$B$13:$B$15,$AK251)*$K251)+MIN(INDEX(Config!$C$13:$C$15,$AK251),INDEX(Config!$B$13:$B$15,$AK251)*$O251))</f>
        <v/>
      </c>
      <c r="T251" s="43" t="str">
        <f aca="false">IF(OR($D251="",$N251=""),"",INDEX(Config!$D$13:$D$15,$AK251)*$AL251+INDEX(Config!$E$13:$E$15,$AK251)*$AM251)</f>
        <v/>
      </c>
      <c r="U251" s="43" t="str">
        <f aca="false">IF(OR($D251="",$N251=""),"",INDEX(Config!$F$13:$F$15,$AK251)*($K251+$O251))</f>
        <v/>
      </c>
      <c r="V251" s="43" t="str">
        <f aca="false">IF(OR($D251="",$N251=""),"",INDEX(Config!$G$13:$G$15,$AK251)*($K251+$O251)+INDEX(Config!$H$13:$H$15,$AK251)*$AL251+INDEX(Config!$J$13:$J$15,$AK251))</f>
        <v/>
      </c>
      <c r="W251" s="43" t="str">
        <f aca="false">IF(OR($D251="",$N251=""),"",INDEX(Config!$I$13:$I$15,$AK251)*($S251+$U251+INDEX(Config!$G$13:$G$15,$AK251)*($K251+$O251)))</f>
        <v/>
      </c>
      <c r="X251" s="43" t="str">
        <f aca="false">IF(OR($D251="",$N251=""),"",INDEX(Config!$K$13:$K$15,$AK251)/365*$P251*$K251*Config!$B$8)</f>
        <v/>
      </c>
      <c r="Y251" s="43" t="str">
        <f aca="false">IF(OR($D251="",$N251=""),"",SUM($S251:$X251))</f>
        <v/>
      </c>
      <c r="Z251" s="40" t="str">
        <f aca="false">IF(OR($D251="",$Q251=""),"",$Q251-$Y251)</f>
        <v/>
      </c>
      <c r="AA251" s="42" t="str">
        <f aca="false">IF(OR($D251="",$Z251="",$K251=0),"",$Z251/$K251)</f>
        <v/>
      </c>
      <c r="AB251" s="44" t="str">
        <f aca="false">IF(OR($D251="",$Y251="",$K251=0),"",$Y251/$K251*10000)</f>
        <v/>
      </c>
      <c r="AC251" s="44" t="str">
        <f aca="false">IF(OR($D251="",$G251="",$G251=0,$I251=""),"",IF($E251="LONG",($I251-$G251)/$G251,($G251-$I251)/$G251)*10000)</f>
        <v/>
      </c>
      <c r="AD251" s="45"/>
      <c r="AE251" s="40" t="str">
        <f aca="false">IF(OR($D251="",$N251&lt;&gt;"",$AD251=""),"",IF($E251="LONG",($AD251-$I251)*$J251,($I251-$AD251)*$J251))</f>
        <v/>
      </c>
      <c r="AF251" s="40" t="str">
        <f aca="false">IF(OR($D251="",$E251&lt;&gt;"LONG",$Z251=""),"",$Z251+SUMIFS($Z$4:$Z$503,$B$4:$B$503,$B251,$E$4:$E$503,"SHORT"))</f>
        <v/>
      </c>
      <c r="AG251" s="42" t="str">
        <f aca="false">IF(OR($AF251="",$K251=0),"",$AF251/$K251)</f>
        <v/>
      </c>
      <c r="AH251" s="46"/>
      <c r="AI251" s="43" t="str">
        <f aca="false">IF(OR($D251="",$AH251="",$Z251=""),"",$Z251-$AH251)</f>
        <v/>
      </c>
      <c r="AJ251" s="49"/>
      <c r="AK251" s="47" t="str">
        <f aca="false">IF($D251="","",IFERROR(MATCH($F251,Config!$A$13:$A$15,0),1))</f>
        <v/>
      </c>
      <c r="AL251" s="47" t="str">
        <f aca="false">IF(OR($D251="",$N251=""),"",IF($E251="LONG",$K251,$O251))</f>
        <v/>
      </c>
      <c r="AM251" s="47" t="str">
        <f aca="false">IF(OR($D251="",$N251=""),"",IF($E251="LONG",$O251,$K251))</f>
        <v/>
      </c>
    </row>
    <row r="252" customFormat="false" ht="15" hidden="false" customHeight="false" outlineLevel="0" collapsed="false">
      <c r="A252" s="49"/>
      <c r="B252" s="5" t="str">
        <f aca="false">IF($D252="","",IF(OR(RIGHT($A252,2)="-L",RIGHT($A252,2)="-S"),LEFT($A252,LEN($A252)-2),$A252))</f>
        <v/>
      </c>
      <c r="C252" s="50"/>
      <c r="D252" s="49"/>
      <c r="E252" s="49"/>
      <c r="F252" s="49"/>
      <c r="G252" s="45"/>
      <c r="H252" s="50"/>
      <c r="I252" s="45"/>
      <c r="J252" s="51"/>
      <c r="K252" s="40" t="str">
        <f aca="false">IF($D252="","",$I252*$J252)</f>
        <v/>
      </c>
      <c r="L252" s="50"/>
      <c r="M252" s="49"/>
      <c r="N252" s="45"/>
      <c r="O252" s="40" t="str">
        <f aca="false">IF(OR($D252="",$N252=""),"",$N252*$J252)</f>
        <v/>
      </c>
      <c r="P252" s="41" t="str">
        <f aca="false">IF(OR($D252="",$L252=""),"",MAX($L252-$H252,0))</f>
        <v/>
      </c>
      <c r="Q252" s="40" t="str">
        <f aca="false">IF(OR($D252="",$N252=""),"",IF($E252="LONG",($N252-$I252)*$J252,($I252-$N252)*$J252))</f>
        <v/>
      </c>
      <c r="R252" s="42" t="str">
        <f aca="false">IF(OR($D252="",$Q252="",$K252=0),"",$Q252/$K252)</f>
        <v/>
      </c>
      <c r="S252" s="43" t="str">
        <f aca="false">IF(OR($D252="",$N252=""),"",MIN(INDEX(Config!$C$13:$C$15,$AK252),INDEX(Config!$B$13:$B$15,$AK252)*$K252)+MIN(INDEX(Config!$C$13:$C$15,$AK252),INDEX(Config!$B$13:$B$15,$AK252)*$O252))</f>
        <v/>
      </c>
      <c r="T252" s="43" t="str">
        <f aca="false">IF(OR($D252="",$N252=""),"",INDEX(Config!$D$13:$D$15,$AK252)*$AL252+INDEX(Config!$E$13:$E$15,$AK252)*$AM252)</f>
        <v/>
      </c>
      <c r="U252" s="43" t="str">
        <f aca="false">IF(OR($D252="",$N252=""),"",INDEX(Config!$F$13:$F$15,$AK252)*($K252+$O252))</f>
        <v/>
      </c>
      <c r="V252" s="43" t="str">
        <f aca="false">IF(OR($D252="",$N252=""),"",INDEX(Config!$G$13:$G$15,$AK252)*($K252+$O252)+INDEX(Config!$H$13:$H$15,$AK252)*$AL252+INDEX(Config!$J$13:$J$15,$AK252))</f>
        <v/>
      </c>
      <c r="W252" s="43" t="str">
        <f aca="false">IF(OR($D252="",$N252=""),"",INDEX(Config!$I$13:$I$15,$AK252)*($S252+$U252+INDEX(Config!$G$13:$G$15,$AK252)*($K252+$O252)))</f>
        <v/>
      </c>
      <c r="X252" s="43" t="str">
        <f aca="false">IF(OR($D252="",$N252=""),"",INDEX(Config!$K$13:$K$15,$AK252)/365*$P252*$K252*Config!$B$8)</f>
        <v/>
      </c>
      <c r="Y252" s="43" t="str">
        <f aca="false">IF(OR($D252="",$N252=""),"",SUM($S252:$X252))</f>
        <v/>
      </c>
      <c r="Z252" s="40" t="str">
        <f aca="false">IF(OR($D252="",$Q252=""),"",$Q252-$Y252)</f>
        <v/>
      </c>
      <c r="AA252" s="42" t="str">
        <f aca="false">IF(OR($D252="",$Z252="",$K252=0),"",$Z252/$K252)</f>
        <v/>
      </c>
      <c r="AB252" s="44" t="str">
        <f aca="false">IF(OR($D252="",$Y252="",$K252=0),"",$Y252/$K252*10000)</f>
        <v/>
      </c>
      <c r="AC252" s="44" t="str">
        <f aca="false">IF(OR($D252="",$G252="",$G252=0,$I252=""),"",IF($E252="LONG",($I252-$G252)/$G252,($G252-$I252)/$G252)*10000)</f>
        <v/>
      </c>
      <c r="AD252" s="45"/>
      <c r="AE252" s="40" t="str">
        <f aca="false">IF(OR($D252="",$N252&lt;&gt;"",$AD252=""),"",IF($E252="LONG",($AD252-$I252)*$J252,($I252-$AD252)*$J252))</f>
        <v/>
      </c>
      <c r="AF252" s="40" t="str">
        <f aca="false">IF(OR($D252="",$E252&lt;&gt;"LONG",$Z252=""),"",$Z252+SUMIFS($Z$4:$Z$503,$B$4:$B$503,$B252,$E$4:$E$503,"SHORT"))</f>
        <v/>
      </c>
      <c r="AG252" s="42" t="str">
        <f aca="false">IF(OR($AF252="",$K252=0),"",$AF252/$K252)</f>
        <v/>
      </c>
      <c r="AH252" s="46"/>
      <c r="AI252" s="43" t="str">
        <f aca="false">IF(OR($D252="",$AH252="",$Z252=""),"",$Z252-$AH252)</f>
        <v/>
      </c>
      <c r="AJ252" s="49"/>
      <c r="AK252" s="47" t="str">
        <f aca="false">IF($D252="","",IFERROR(MATCH($F252,Config!$A$13:$A$15,0),1))</f>
        <v/>
      </c>
      <c r="AL252" s="47" t="str">
        <f aca="false">IF(OR($D252="",$N252=""),"",IF($E252="LONG",$K252,$O252))</f>
        <v/>
      </c>
      <c r="AM252" s="47" t="str">
        <f aca="false">IF(OR($D252="",$N252=""),"",IF($E252="LONG",$O252,$K252))</f>
        <v/>
      </c>
    </row>
    <row r="253" customFormat="false" ht="15" hidden="false" customHeight="false" outlineLevel="0" collapsed="false">
      <c r="A253" s="49"/>
      <c r="B253" s="5" t="str">
        <f aca="false">IF($D253="","",IF(OR(RIGHT($A253,2)="-L",RIGHT($A253,2)="-S"),LEFT($A253,LEN($A253)-2),$A253))</f>
        <v/>
      </c>
      <c r="C253" s="50"/>
      <c r="D253" s="49"/>
      <c r="E253" s="49"/>
      <c r="F253" s="49"/>
      <c r="G253" s="45"/>
      <c r="H253" s="50"/>
      <c r="I253" s="45"/>
      <c r="J253" s="51"/>
      <c r="K253" s="40" t="str">
        <f aca="false">IF($D253="","",$I253*$J253)</f>
        <v/>
      </c>
      <c r="L253" s="50"/>
      <c r="M253" s="49"/>
      <c r="N253" s="45"/>
      <c r="O253" s="40" t="str">
        <f aca="false">IF(OR($D253="",$N253=""),"",$N253*$J253)</f>
        <v/>
      </c>
      <c r="P253" s="41" t="str">
        <f aca="false">IF(OR($D253="",$L253=""),"",MAX($L253-$H253,0))</f>
        <v/>
      </c>
      <c r="Q253" s="40" t="str">
        <f aca="false">IF(OR($D253="",$N253=""),"",IF($E253="LONG",($N253-$I253)*$J253,($I253-$N253)*$J253))</f>
        <v/>
      </c>
      <c r="R253" s="42" t="str">
        <f aca="false">IF(OR($D253="",$Q253="",$K253=0),"",$Q253/$K253)</f>
        <v/>
      </c>
      <c r="S253" s="43" t="str">
        <f aca="false">IF(OR($D253="",$N253=""),"",MIN(INDEX(Config!$C$13:$C$15,$AK253),INDEX(Config!$B$13:$B$15,$AK253)*$K253)+MIN(INDEX(Config!$C$13:$C$15,$AK253),INDEX(Config!$B$13:$B$15,$AK253)*$O253))</f>
        <v/>
      </c>
      <c r="T253" s="43" t="str">
        <f aca="false">IF(OR($D253="",$N253=""),"",INDEX(Config!$D$13:$D$15,$AK253)*$AL253+INDEX(Config!$E$13:$E$15,$AK253)*$AM253)</f>
        <v/>
      </c>
      <c r="U253" s="43" t="str">
        <f aca="false">IF(OR($D253="",$N253=""),"",INDEX(Config!$F$13:$F$15,$AK253)*($K253+$O253))</f>
        <v/>
      </c>
      <c r="V253" s="43" t="str">
        <f aca="false">IF(OR($D253="",$N253=""),"",INDEX(Config!$G$13:$G$15,$AK253)*($K253+$O253)+INDEX(Config!$H$13:$H$15,$AK253)*$AL253+INDEX(Config!$J$13:$J$15,$AK253))</f>
        <v/>
      </c>
      <c r="W253" s="43" t="str">
        <f aca="false">IF(OR($D253="",$N253=""),"",INDEX(Config!$I$13:$I$15,$AK253)*($S253+$U253+INDEX(Config!$G$13:$G$15,$AK253)*($K253+$O253)))</f>
        <v/>
      </c>
      <c r="X253" s="43" t="str">
        <f aca="false">IF(OR($D253="",$N253=""),"",INDEX(Config!$K$13:$K$15,$AK253)/365*$P253*$K253*Config!$B$8)</f>
        <v/>
      </c>
      <c r="Y253" s="43" t="str">
        <f aca="false">IF(OR($D253="",$N253=""),"",SUM($S253:$X253))</f>
        <v/>
      </c>
      <c r="Z253" s="40" t="str">
        <f aca="false">IF(OR($D253="",$Q253=""),"",$Q253-$Y253)</f>
        <v/>
      </c>
      <c r="AA253" s="42" t="str">
        <f aca="false">IF(OR($D253="",$Z253="",$K253=0),"",$Z253/$K253)</f>
        <v/>
      </c>
      <c r="AB253" s="44" t="str">
        <f aca="false">IF(OR($D253="",$Y253="",$K253=0),"",$Y253/$K253*10000)</f>
        <v/>
      </c>
      <c r="AC253" s="44" t="str">
        <f aca="false">IF(OR($D253="",$G253="",$G253=0,$I253=""),"",IF($E253="LONG",($I253-$G253)/$G253,($G253-$I253)/$G253)*10000)</f>
        <v/>
      </c>
      <c r="AD253" s="45"/>
      <c r="AE253" s="40" t="str">
        <f aca="false">IF(OR($D253="",$N253&lt;&gt;"",$AD253=""),"",IF($E253="LONG",($AD253-$I253)*$J253,($I253-$AD253)*$J253))</f>
        <v/>
      </c>
      <c r="AF253" s="40" t="str">
        <f aca="false">IF(OR($D253="",$E253&lt;&gt;"LONG",$Z253=""),"",$Z253+SUMIFS($Z$4:$Z$503,$B$4:$B$503,$B253,$E$4:$E$503,"SHORT"))</f>
        <v/>
      </c>
      <c r="AG253" s="42" t="str">
        <f aca="false">IF(OR($AF253="",$K253=0),"",$AF253/$K253)</f>
        <v/>
      </c>
      <c r="AH253" s="46"/>
      <c r="AI253" s="43" t="str">
        <f aca="false">IF(OR($D253="",$AH253="",$Z253=""),"",$Z253-$AH253)</f>
        <v/>
      </c>
      <c r="AJ253" s="49"/>
      <c r="AK253" s="47" t="str">
        <f aca="false">IF($D253="","",IFERROR(MATCH($F253,Config!$A$13:$A$15,0),1))</f>
        <v/>
      </c>
      <c r="AL253" s="47" t="str">
        <f aca="false">IF(OR($D253="",$N253=""),"",IF($E253="LONG",$K253,$O253))</f>
        <v/>
      </c>
      <c r="AM253" s="47" t="str">
        <f aca="false">IF(OR($D253="",$N253=""),"",IF($E253="LONG",$O253,$K253))</f>
        <v/>
      </c>
    </row>
    <row r="254" customFormat="false" ht="15" hidden="false" customHeight="false" outlineLevel="0" collapsed="false">
      <c r="A254" s="49"/>
      <c r="B254" s="5" t="str">
        <f aca="false">IF($D254="","",IF(OR(RIGHT($A254,2)="-L",RIGHT($A254,2)="-S"),LEFT($A254,LEN($A254)-2),$A254))</f>
        <v/>
      </c>
      <c r="C254" s="50"/>
      <c r="D254" s="49"/>
      <c r="E254" s="49"/>
      <c r="F254" s="49"/>
      <c r="G254" s="45"/>
      <c r="H254" s="50"/>
      <c r="I254" s="45"/>
      <c r="J254" s="51"/>
      <c r="K254" s="40" t="str">
        <f aca="false">IF($D254="","",$I254*$J254)</f>
        <v/>
      </c>
      <c r="L254" s="50"/>
      <c r="M254" s="49"/>
      <c r="N254" s="45"/>
      <c r="O254" s="40" t="str">
        <f aca="false">IF(OR($D254="",$N254=""),"",$N254*$J254)</f>
        <v/>
      </c>
      <c r="P254" s="41" t="str">
        <f aca="false">IF(OR($D254="",$L254=""),"",MAX($L254-$H254,0))</f>
        <v/>
      </c>
      <c r="Q254" s="40" t="str">
        <f aca="false">IF(OR($D254="",$N254=""),"",IF($E254="LONG",($N254-$I254)*$J254,($I254-$N254)*$J254))</f>
        <v/>
      </c>
      <c r="R254" s="42" t="str">
        <f aca="false">IF(OR($D254="",$Q254="",$K254=0),"",$Q254/$K254)</f>
        <v/>
      </c>
      <c r="S254" s="43" t="str">
        <f aca="false">IF(OR($D254="",$N254=""),"",MIN(INDEX(Config!$C$13:$C$15,$AK254),INDEX(Config!$B$13:$B$15,$AK254)*$K254)+MIN(INDEX(Config!$C$13:$C$15,$AK254),INDEX(Config!$B$13:$B$15,$AK254)*$O254))</f>
        <v/>
      </c>
      <c r="T254" s="43" t="str">
        <f aca="false">IF(OR($D254="",$N254=""),"",INDEX(Config!$D$13:$D$15,$AK254)*$AL254+INDEX(Config!$E$13:$E$15,$AK254)*$AM254)</f>
        <v/>
      </c>
      <c r="U254" s="43" t="str">
        <f aca="false">IF(OR($D254="",$N254=""),"",INDEX(Config!$F$13:$F$15,$AK254)*($K254+$O254))</f>
        <v/>
      </c>
      <c r="V254" s="43" t="str">
        <f aca="false">IF(OR($D254="",$N254=""),"",INDEX(Config!$G$13:$G$15,$AK254)*($K254+$O254)+INDEX(Config!$H$13:$H$15,$AK254)*$AL254+INDEX(Config!$J$13:$J$15,$AK254))</f>
        <v/>
      </c>
      <c r="W254" s="43" t="str">
        <f aca="false">IF(OR($D254="",$N254=""),"",INDEX(Config!$I$13:$I$15,$AK254)*($S254+$U254+INDEX(Config!$G$13:$G$15,$AK254)*($K254+$O254)))</f>
        <v/>
      </c>
      <c r="X254" s="43" t="str">
        <f aca="false">IF(OR($D254="",$N254=""),"",INDEX(Config!$K$13:$K$15,$AK254)/365*$P254*$K254*Config!$B$8)</f>
        <v/>
      </c>
      <c r="Y254" s="43" t="str">
        <f aca="false">IF(OR($D254="",$N254=""),"",SUM($S254:$X254))</f>
        <v/>
      </c>
      <c r="Z254" s="40" t="str">
        <f aca="false">IF(OR($D254="",$Q254=""),"",$Q254-$Y254)</f>
        <v/>
      </c>
      <c r="AA254" s="42" t="str">
        <f aca="false">IF(OR($D254="",$Z254="",$K254=0),"",$Z254/$K254)</f>
        <v/>
      </c>
      <c r="AB254" s="44" t="str">
        <f aca="false">IF(OR($D254="",$Y254="",$K254=0),"",$Y254/$K254*10000)</f>
        <v/>
      </c>
      <c r="AC254" s="44" t="str">
        <f aca="false">IF(OR($D254="",$G254="",$G254=0,$I254=""),"",IF($E254="LONG",($I254-$G254)/$G254,($G254-$I254)/$G254)*10000)</f>
        <v/>
      </c>
      <c r="AD254" s="45"/>
      <c r="AE254" s="40" t="str">
        <f aca="false">IF(OR($D254="",$N254&lt;&gt;"",$AD254=""),"",IF($E254="LONG",($AD254-$I254)*$J254,($I254-$AD254)*$J254))</f>
        <v/>
      </c>
      <c r="AF254" s="40" t="str">
        <f aca="false">IF(OR($D254="",$E254&lt;&gt;"LONG",$Z254=""),"",$Z254+SUMIFS($Z$4:$Z$503,$B$4:$B$503,$B254,$E$4:$E$503,"SHORT"))</f>
        <v/>
      </c>
      <c r="AG254" s="42" t="str">
        <f aca="false">IF(OR($AF254="",$K254=0),"",$AF254/$K254)</f>
        <v/>
      </c>
      <c r="AH254" s="46"/>
      <c r="AI254" s="43" t="str">
        <f aca="false">IF(OR($D254="",$AH254="",$Z254=""),"",$Z254-$AH254)</f>
        <v/>
      </c>
      <c r="AJ254" s="49"/>
      <c r="AK254" s="47" t="str">
        <f aca="false">IF($D254="","",IFERROR(MATCH($F254,Config!$A$13:$A$15,0),1))</f>
        <v/>
      </c>
      <c r="AL254" s="47" t="str">
        <f aca="false">IF(OR($D254="",$N254=""),"",IF($E254="LONG",$K254,$O254))</f>
        <v/>
      </c>
      <c r="AM254" s="47" t="str">
        <f aca="false">IF(OR($D254="",$N254=""),"",IF($E254="LONG",$O254,$K254))</f>
        <v/>
      </c>
    </row>
    <row r="255" customFormat="false" ht="15" hidden="false" customHeight="false" outlineLevel="0" collapsed="false">
      <c r="A255" s="49"/>
      <c r="B255" s="5" t="str">
        <f aca="false">IF($D255="","",IF(OR(RIGHT($A255,2)="-L",RIGHT($A255,2)="-S"),LEFT($A255,LEN($A255)-2),$A255))</f>
        <v/>
      </c>
      <c r="C255" s="50"/>
      <c r="D255" s="49"/>
      <c r="E255" s="49"/>
      <c r="F255" s="49"/>
      <c r="G255" s="45"/>
      <c r="H255" s="50"/>
      <c r="I255" s="45"/>
      <c r="J255" s="51"/>
      <c r="K255" s="40" t="str">
        <f aca="false">IF($D255="","",$I255*$J255)</f>
        <v/>
      </c>
      <c r="L255" s="50"/>
      <c r="M255" s="49"/>
      <c r="N255" s="45"/>
      <c r="O255" s="40" t="str">
        <f aca="false">IF(OR($D255="",$N255=""),"",$N255*$J255)</f>
        <v/>
      </c>
      <c r="P255" s="41" t="str">
        <f aca="false">IF(OR($D255="",$L255=""),"",MAX($L255-$H255,0))</f>
        <v/>
      </c>
      <c r="Q255" s="40" t="str">
        <f aca="false">IF(OR($D255="",$N255=""),"",IF($E255="LONG",($N255-$I255)*$J255,($I255-$N255)*$J255))</f>
        <v/>
      </c>
      <c r="R255" s="42" t="str">
        <f aca="false">IF(OR($D255="",$Q255="",$K255=0),"",$Q255/$K255)</f>
        <v/>
      </c>
      <c r="S255" s="43" t="str">
        <f aca="false">IF(OR($D255="",$N255=""),"",MIN(INDEX(Config!$C$13:$C$15,$AK255),INDEX(Config!$B$13:$B$15,$AK255)*$K255)+MIN(INDEX(Config!$C$13:$C$15,$AK255),INDEX(Config!$B$13:$B$15,$AK255)*$O255))</f>
        <v/>
      </c>
      <c r="T255" s="43" t="str">
        <f aca="false">IF(OR($D255="",$N255=""),"",INDEX(Config!$D$13:$D$15,$AK255)*$AL255+INDEX(Config!$E$13:$E$15,$AK255)*$AM255)</f>
        <v/>
      </c>
      <c r="U255" s="43" t="str">
        <f aca="false">IF(OR($D255="",$N255=""),"",INDEX(Config!$F$13:$F$15,$AK255)*($K255+$O255))</f>
        <v/>
      </c>
      <c r="V255" s="43" t="str">
        <f aca="false">IF(OR($D255="",$N255=""),"",INDEX(Config!$G$13:$G$15,$AK255)*($K255+$O255)+INDEX(Config!$H$13:$H$15,$AK255)*$AL255+INDEX(Config!$J$13:$J$15,$AK255))</f>
        <v/>
      </c>
      <c r="W255" s="43" t="str">
        <f aca="false">IF(OR($D255="",$N255=""),"",INDEX(Config!$I$13:$I$15,$AK255)*($S255+$U255+INDEX(Config!$G$13:$G$15,$AK255)*($K255+$O255)))</f>
        <v/>
      </c>
      <c r="X255" s="43" t="str">
        <f aca="false">IF(OR($D255="",$N255=""),"",INDEX(Config!$K$13:$K$15,$AK255)/365*$P255*$K255*Config!$B$8)</f>
        <v/>
      </c>
      <c r="Y255" s="43" t="str">
        <f aca="false">IF(OR($D255="",$N255=""),"",SUM($S255:$X255))</f>
        <v/>
      </c>
      <c r="Z255" s="40" t="str">
        <f aca="false">IF(OR($D255="",$Q255=""),"",$Q255-$Y255)</f>
        <v/>
      </c>
      <c r="AA255" s="42" t="str">
        <f aca="false">IF(OR($D255="",$Z255="",$K255=0),"",$Z255/$K255)</f>
        <v/>
      </c>
      <c r="AB255" s="44" t="str">
        <f aca="false">IF(OR($D255="",$Y255="",$K255=0),"",$Y255/$K255*10000)</f>
        <v/>
      </c>
      <c r="AC255" s="44" t="str">
        <f aca="false">IF(OR($D255="",$G255="",$G255=0,$I255=""),"",IF($E255="LONG",($I255-$G255)/$G255,($G255-$I255)/$G255)*10000)</f>
        <v/>
      </c>
      <c r="AD255" s="45"/>
      <c r="AE255" s="40" t="str">
        <f aca="false">IF(OR($D255="",$N255&lt;&gt;"",$AD255=""),"",IF($E255="LONG",($AD255-$I255)*$J255,($I255-$AD255)*$J255))</f>
        <v/>
      </c>
      <c r="AF255" s="40" t="str">
        <f aca="false">IF(OR($D255="",$E255&lt;&gt;"LONG",$Z255=""),"",$Z255+SUMIFS($Z$4:$Z$503,$B$4:$B$503,$B255,$E$4:$E$503,"SHORT"))</f>
        <v/>
      </c>
      <c r="AG255" s="42" t="str">
        <f aca="false">IF(OR($AF255="",$K255=0),"",$AF255/$K255)</f>
        <v/>
      </c>
      <c r="AH255" s="46"/>
      <c r="AI255" s="43" t="str">
        <f aca="false">IF(OR($D255="",$AH255="",$Z255=""),"",$Z255-$AH255)</f>
        <v/>
      </c>
      <c r="AJ255" s="49"/>
      <c r="AK255" s="47" t="str">
        <f aca="false">IF($D255="","",IFERROR(MATCH($F255,Config!$A$13:$A$15,0),1))</f>
        <v/>
      </c>
      <c r="AL255" s="47" t="str">
        <f aca="false">IF(OR($D255="",$N255=""),"",IF($E255="LONG",$K255,$O255))</f>
        <v/>
      </c>
      <c r="AM255" s="47" t="str">
        <f aca="false">IF(OR($D255="",$N255=""),"",IF($E255="LONG",$O255,$K255))</f>
        <v/>
      </c>
    </row>
    <row r="256" customFormat="false" ht="15" hidden="false" customHeight="false" outlineLevel="0" collapsed="false">
      <c r="A256" s="49"/>
      <c r="B256" s="5" t="str">
        <f aca="false">IF($D256="","",IF(OR(RIGHT($A256,2)="-L",RIGHT($A256,2)="-S"),LEFT($A256,LEN($A256)-2),$A256))</f>
        <v/>
      </c>
      <c r="C256" s="50"/>
      <c r="D256" s="49"/>
      <c r="E256" s="49"/>
      <c r="F256" s="49"/>
      <c r="G256" s="45"/>
      <c r="H256" s="50"/>
      <c r="I256" s="45"/>
      <c r="J256" s="51"/>
      <c r="K256" s="40" t="str">
        <f aca="false">IF($D256="","",$I256*$J256)</f>
        <v/>
      </c>
      <c r="L256" s="50"/>
      <c r="M256" s="49"/>
      <c r="N256" s="45"/>
      <c r="O256" s="40" t="str">
        <f aca="false">IF(OR($D256="",$N256=""),"",$N256*$J256)</f>
        <v/>
      </c>
      <c r="P256" s="41" t="str">
        <f aca="false">IF(OR($D256="",$L256=""),"",MAX($L256-$H256,0))</f>
        <v/>
      </c>
      <c r="Q256" s="40" t="str">
        <f aca="false">IF(OR($D256="",$N256=""),"",IF($E256="LONG",($N256-$I256)*$J256,($I256-$N256)*$J256))</f>
        <v/>
      </c>
      <c r="R256" s="42" t="str">
        <f aca="false">IF(OR($D256="",$Q256="",$K256=0),"",$Q256/$K256)</f>
        <v/>
      </c>
      <c r="S256" s="43" t="str">
        <f aca="false">IF(OR($D256="",$N256=""),"",MIN(INDEX(Config!$C$13:$C$15,$AK256),INDEX(Config!$B$13:$B$15,$AK256)*$K256)+MIN(INDEX(Config!$C$13:$C$15,$AK256),INDEX(Config!$B$13:$B$15,$AK256)*$O256))</f>
        <v/>
      </c>
      <c r="T256" s="43" t="str">
        <f aca="false">IF(OR($D256="",$N256=""),"",INDEX(Config!$D$13:$D$15,$AK256)*$AL256+INDEX(Config!$E$13:$E$15,$AK256)*$AM256)</f>
        <v/>
      </c>
      <c r="U256" s="43" t="str">
        <f aca="false">IF(OR($D256="",$N256=""),"",INDEX(Config!$F$13:$F$15,$AK256)*($K256+$O256))</f>
        <v/>
      </c>
      <c r="V256" s="43" t="str">
        <f aca="false">IF(OR($D256="",$N256=""),"",INDEX(Config!$G$13:$G$15,$AK256)*($K256+$O256)+INDEX(Config!$H$13:$H$15,$AK256)*$AL256+INDEX(Config!$J$13:$J$15,$AK256))</f>
        <v/>
      </c>
      <c r="W256" s="43" t="str">
        <f aca="false">IF(OR($D256="",$N256=""),"",INDEX(Config!$I$13:$I$15,$AK256)*($S256+$U256+INDEX(Config!$G$13:$G$15,$AK256)*($K256+$O256)))</f>
        <v/>
      </c>
      <c r="X256" s="43" t="str">
        <f aca="false">IF(OR($D256="",$N256=""),"",INDEX(Config!$K$13:$K$15,$AK256)/365*$P256*$K256*Config!$B$8)</f>
        <v/>
      </c>
      <c r="Y256" s="43" t="str">
        <f aca="false">IF(OR($D256="",$N256=""),"",SUM($S256:$X256))</f>
        <v/>
      </c>
      <c r="Z256" s="40" t="str">
        <f aca="false">IF(OR($D256="",$Q256=""),"",$Q256-$Y256)</f>
        <v/>
      </c>
      <c r="AA256" s="42" t="str">
        <f aca="false">IF(OR($D256="",$Z256="",$K256=0),"",$Z256/$K256)</f>
        <v/>
      </c>
      <c r="AB256" s="44" t="str">
        <f aca="false">IF(OR($D256="",$Y256="",$K256=0),"",$Y256/$K256*10000)</f>
        <v/>
      </c>
      <c r="AC256" s="44" t="str">
        <f aca="false">IF(OR($D256="",$G256="",$G256=0,$I256=""),"",IF($E256="LONG",($I256-$G256)/$G256,($G256-$I256)/$G256)*10000)</f>
        <v/>
      </c>
      <c r="AD256" s="45"/>
      <c r="AE256" s="40" t="str">
        <f aca="false">IF(OR($D256="",$N256&lt;&gt;"",$AD256=""),"",IF($E256="LONG",($AD256-$I256)*$J256,($I256-$AD256)*$J256))</f>
        <v/>
      </c>
      <c r="AF256" s="40" t="str">
        <f aca="false">IF(OR($D256="",$E256&lt;&gt;"LONG",$Z256=""),"",$Z256+SUMIFS($Z$4:$Z$503,$B$4:$B$503,$B256,$E$4:$E$503,"SHORT"))</f>
        <v/>
      </c>
      <c r="AG256" s="42" t="str">
        <f aca="false">IF(OR($AF256="",$K256=0),"",$AF256/$K256)</f>
        <v/>
      </c>
      <c r="AH256" s="46"/>
      <c r="AI256" s="43" t="str">
        <f aca="false">IF(OR($D256="",$AH256="",$Z256=""),"",$Z256-$AH256)</f>
        <v/>
      </c>
      <c r="AJ256" s="49"/>
      <c r="AK256" s="47" t="str">
        <f aca="false">IF($D256="","",IFERROR(MATCH($F256,Config!$A$13:$A$15,0),1))</f>
        <v/>
      </c>
      <c r="AL256" s="47" t="str">
        <f aca="false">IF(OR($D256="",$N256=""),"",IF($E256="LONG",$K256,$O256))</f>
        <v/>
      </c>
      <c r="AM256" s="47" t="str">
        <f aca="false">IF(OR($D256="",$N256=""),"",IF($E256="LONG",$O256,$K256))</f>
        <v/>
      </c>
    </row>
    <row r="257" customFormat="false" ht="15" hidden="false" customHeight="false" outlineLevel="0" collapsed="false">
      <c r="A257" s="49"/>
      <c r="B257" s="5" t="str">
        <f aca="false">IF($D257="","",IF(OR(RIGHT($A257,2)="-L",RIGHT($A257,2)="-S"),LEFT($A257,LEN($A257)-2),$A257))</f>
        <v/>
      </c>
      <c r="C257" s="50"/>
      <c r="D257" s="49"/>
      <c r="E257" s="49"/>
      <c r="F257" s="49"/>
      <c r="G257" s="45"/>
      <c r="H257" s="50"/>
      <c r="I257" s="45"/>
      <c r="J257" s="51"/>
      <c r="K257" s="40" t="str">
        <f aca="false">IF($D257="","",$I257*$J257)</f>
        <v/>
      </c>
      <c r="L257" s="50"/>
      <c r="M257" s="49"/>
      <c r="N257" s="45"/>
      <c r="O257" s="40" t="str">
        <f aca="false">IF(OR($D257="",$N257=""),"",$N257*$J257)</f>
        <v/>
      </c>
      <c r="P257" s="41" t="str">
        <f aca="false">IF(OR($D257="",$L257=""),"",MAX($L257-$H257,0))</f>
        <v/>
      </c>
      <c r="Q257" s="40" t="str">
        <f aca="false">IF(OR($D257="",$N257=""),"",IF($E257="LONG",($N257-$I257)*$J257,($I257-$N257)*$J257))</f>
        <v/>
      </c>
      <c r="R257" s="42" t="str">
        <f aca="false">IF(OR($D257="",$Q257="",$K257=0),"",$Q257/$K257)</f>
        <v/>
      </c>
      <c r="S257" s="43" t="str">
        <f aca="false">IF(OR($D257="",$N257=""),"",MIN(INDEX(Config!$C$13:$C$15,$AK257),INDEX(Config!$B$13:$B$15,$AK257)*$K257)+MIN(INDEX(Config!$C$13:$C$15,$AK257),INDEX(Config!$B$13:$B$15,$AK257)*$O257))</f>
        <v/>
      </c>
      <c r="T257" s="43" t="str">
        <f aca="false">IF(OR($D257="",$N257=""),"",INDEX(Config!$D$13:$D$15,$AK257)*$AL257+INDEX(Config!$E$13:$E$15,$AK257)*$AM257)</f>
        <v/>
      </c>
      <c r="U257" s="43" t="str">
        <f aca="false">IF(OR($D257="",$N257=""),"",INDEX(Config!$F$13:$F$15,$AK257)*($K257+$O257))</f>
        <v/>
      </c>
      <c r="V257" s="43" t="str">
        <f aca="false">IF(OR($D257="",$N257=""),"",INDEX(Config!$G$13:$G$15,$AK257)*($K257+$O257)+INDEX(Config!$H$13:$H$15,$AK257)*$AL257+INDEX(Config!$J$13:$J$15,$AK257))</f>
        <v/>
      </c>
      <c r="W257" s="43" t="str">
        <f aca="false">IF(OR($D257="",$N257=""),"",INDEX(Config!$I$13:$I$15,$AK257)*($S257+$U257+INDEX(Config!$G$13:$G$15,$AK257)*($K257+$O257)))</f>
        <v/>
      </c>
      <c r="X257" s="43" t="str">
        <f aca="false">IF(OR($D257="",$N257=""),"",INDEX(Config!$K$13:$K$15,$AK257)/365*$P257*$K257*Config!$B$8)</f>
        <v/>
      </c>
      <c r="Y257" s="43" t="str">
        <f aca="false">IF(OR($D257="",$N257=""),"",SUM($S257:$X257))</f>
        <v/>
      </c>
      <c r="Z257" s="40" t="str">
        <f aca="false">IF(OR($D257="",$Q257=""),"",$Q257-$Y257)</f>
        <v/>
      </c>
      <c r="AA257" s="42" t="str">
        <f aca="false">IF(OR($D257="",$Z257="",$K257=0),"",$Z257/$K257)</f>
        <v/>
      </c>
      <c r="AB257" s="44" t="str">
        <f aca="false">IF(OR($D257="",$Y257="",$K257=0),"",$Y257/$K257*10000)</f>
        <v/>
      </c>
      <c r="AC257" s="44" t="str">
        <f aca="false">IF(OR($D257="",$G257="",$G257=0,$I257=""),"",IF($E257="LONG",($I257-$G257)/$G257,($G257-$I257)/$G257)*10000)</f>
        <v/>
      </c>
      <c r="AD257" s="45"/>
      <c r="AE257" s="40" t="str">
        <f aca="false">IF(OR($D257="",$N257&lt;&gt;"",$AD257=""),"",IF($E257="LONG",($AD257-$I257)*$J257,($I257-$AD257)*$J257))</f>
        <v/>
      </c>
      <c r="AF257" s="40" t="str">
        <f aca="false">IF(OR($D257="",$E257&lt;&gt;"LONG",$Z257=""),"",$Z257+SUMIFS($Z$4:$Z$503,$B$4:$B$503,$B257,$E$4:$E$503,"SHORT"))</f>
        <v/>
      </c>
      <c r="AG257" s="42" t="str">
        <f aca="false">IF(OR($AF257="",$K257=0),"",$AF257/$K257)</f>
        <v/>
      </c>
      <c r="AH257" s="46"/>
      <c r="AI257" s="43" t="str">
        <f aca="false">IF(OR($D257="",$AH257="",$Z257=""),"",$Z257-$AH257)</f>
        <v/>
      </c>
      <c r="AJ257" s="49"/>
      <c r="AK257" s="47" t="str">
        <f aca="false">IF($D257="","",IFERROR(MATCH($F257,Config!$A$13:$A$15,0),1))</f>
        <v/>
      </c>
      <c r="AL257" s="47" t="str">
        <f aca="false">IF(OR($D257="",$N257=""),"",IF($E257="LONG",$K257,$O257))</f>
        <v/>
      </c>
      <c r="AM257" s="47" t="str">
        <f aca="false">IF(OR($D257="",$N257=""),"",IF($E257="LONG",$O257,$K257))</f>
        <v/>
      </c>
    </row>
    <row r="258" customFormat="false" ht="15" hidden="false" customHeight="false" outlineLevel="0" collapsed="false">
      <c r="A258" s="49"/>
      <c r="B258" s="5" t="str">
        <f aca="false">IF($D258="","",IF(OR(RIGHT($A258,2)="-L",RIGHT($A258,2)="-S"),LEFT($A258,LEN($A258)-2),$A258))</f>
        <v/>
      </c>
      <c r="C258" s="50"/>
      <c r="D258" s="49"/>
      <c r="E258" s="49"/>
      <c r="F258" s="49"/>
      <c r="G258" s="45"/>
      <c r="H258" s="50"/>
      <c r="I258" s="45"/>
      <c r="J258" s="51"/>
      <c r="K258" s="40" t="str">
        <f aca="false">IF($D258="","",$I258*$J258)</f>
        <v/>
      </c>
      <c r="L258" s="50"/>
      <c r="M258" s="49"/>
      <c r="N258" s="45"/>
      <c r="O258" s="40" t="str">
        <f aca="false">IF(OR($D258="",$N258=""),"",$N258*$J258)</f>
        <v/>
      </c>
      <c r="P258" s="41" t="str">
        <f aca="false">IF(OR($D258="",$L258=""),"",MAX($L258-$H258,0))</f>
        <v/>
      </c>
      <c r="Q258" s="40" t="str">
        <f aca="false">IF(OR($D258="",$N258=""),"",IF($E258="LONG",($N258-$I258)*$J258,($I258-$N258)*$J258))</f>
        <v/>
      </c>
      <c r="R258" s="42" t="str">
        <f aca="false">IF(OR($D258="",$Q258="",$K258=0),"",$Q258/$K258)</f>
        <v/>
      </c>
      <c r="S258" s="43" t="str">
        <f aca="false">IF(OR($D258="",$N258=""),"",MIN(INDEX(Config!$C$13:$C$15,$AK258),INDEX(Config!$B$13:$B$15,$AK258)*$K258)+MIN(INDEX(Config!$C$13:$C$15,$AK258),INDEX(Config!$B$13:$B$15,$AK258)*$O258))</f>
        <v/>
      </c>
      <c r="T258" s="43" t="str">
        <f aca="false">IF(OR($D258="",$N258=""),"",INDEX(Config!$D$13:$D$15,$AK258)*$AL258+INDEX(Config!$E$13:$E$15,$AK258)*$AM258)</f>
        <v/>
      </c>
      <c r="U258" s="43" t="str">
        <f aca="false">IF(OR($D258="",$N258=""),"",INDEX(Config!$F$13:$F$15,$AK258)*($K258+$O258))</f>
        <v/>
      </c>
      <c r="V258" s="43" t="str">
        <f aca="false">IF(OR($D258="",$N258=""),"",INDEX(Config!$G$13:$G$15,$AK258)*($K258+$O258)+INDEX(Config!$H$13:$H$15,$AK258)*$AL258+INDEX(Config!$J$13:$J$15,$AK258))</f>
        <v/>
      </c>
      <c r="W258" s="43" t="str">
        <f aca="false">IF(OR($D258="",$N258=""),"",INDEX(Config!$I$13:$I$15,$AK258)*($S258+$U258+INDEX(Config!$G$13:$G$15,$AK258)*($K258+$O258)))</f>
        <v/>
      </c>
      <c r="X258" s="43" t="str">
        <f aca="false">IF(OR($D258="",$N258=""),"",INDEX(Config!$K$13:$K$15,$AK258)/365*$P258*$K258*Config!$B$8)</f>
        <v/>
      </c>
      <c r="Y258" s="43" t="str">
        <f aca="false">IF(OR($D258="",$N258=""),"",SUM($S258:$X258))</f>
        <v/>
      </c>
      <c r="Z258" s="40" t="str">
        <f aca="false">IF(OR($D258="",$Q258=""),"",$Q258-$Y258)</f>
        <v/>
      </c>
      <c r="AA258" s="42" t="str">
        <f aca="false">IF(OR($D258="",$Z258="",$K258=0),"",$Z258/$K258)</f>
        <v/>
      </c>
      <c r="AB258" s="44" t="str">
        <f aca="false">IF(OR($D258="",$Y258="",$K258=0),"",$Y258/$K258*10000)</f>
        <v/>
      </c>
      <c r="AC258" s="44" t="str">
        <f aca="false">IF(OR($D258="",$G258="",$G258=0,$I258=""),"",IF($E258="LONG",($I258-$G258)/$G258,($G258-$I258)/$G258)*10000)</f>
        <v/>
      </c>
      <c r="AD258" s="45"/>
      <c r="AE258" s="40" t="str">
        <f aca="false">IF(OR($D258="",$N258&lt;&gt;"",$AD258=""),"",IF($E258="LONG",($AD258-$I258)*$J258,($I258-$AD258)*$J258))</f>
        <v/>
      </c>
      <c r="AF258" s="40" t="str">
        <f aca="false">IF(OR($D258="",$E258&lt;&gt;"LONG",$Z258=""),"",$Z258+SUMIFS($Z$4:$Z$503,$B$4:$B$503,$B258,$E$4:$E$503,"SHORT"))</f>
        <v/>
      </c>
      <c r="AG258" s="42" t="str">
        <f aca="false">IF(OR($AF258="",$K258=0),"",$AF258/$K258)</f>
        <v/>
      </c>
      <c r="AH258" s="46"/>
      <c r="AI258" s="43" t="str">
        <f aca="false">IF(OR($D258="",$AH258="",$Z258=""),"",$Z258-$AH258)</f>
        <v/>
      </c>
      <c r="AJ258" s="49"/>
      <c r="AK258" s="47" t="str">
        <f aca="false">IF($D258="","",IFERROR(MATCH($F258,Config!$A$13:$A$15,0),1))</f>
        <v/>
      </c>
      <c r="AL258" s="47" t="str">
        <f aca="false">IF(OR($D258="",$N258=""),"",IF($E258="LONG",$K258,$O258))</f>
        <v/>
      </c>
      <c r="AM258" s="47" t="str">
        <f aca="false">IF(OR($D258="",$N258=""),"",IF($E258="LONG",$O258,$K258))</f>
        <v/>
      </c>
    </row>
    <row r="259" customFormat="false" ht="15" hidden="false" customHeight="false" outlineLevel="0" collapsed="false">
      <c r="A259" s="49"/>
      <c r="B259" s="5" t="str">
        <f aca="false">IF($D259="","",IF(OR(RIGHT($A259,2)="-L",RIGHT($A259,2)="-S"),LEFT($A259,LEN($A259)-2),$A259))</f>
        <v/>
      </c>
      <c r="C259" s="50"/>
      <c r="D259" s="49"/>
      <c r="E259" s="49"/>
      <c r="F259" s="49"/>
      <c r="G259" s="45"/>
      <c r="H259" s="50"/>
      <c r="I259" s="45"/>
      <c r="J259" s="51"/>
      <c r="K259" s="40" t="str">
        <f aca="false">IF($D259="","",$I259*$J259)</f>
        <v/>
      </c>
      <c r="L259" s="50"/>
      <c r="M259" s="49"/>
      <c r="N259" s="45"/>
      <c r="O259" s="40" t="str">
        <f aca="false">IF(OR($D259="",$N259=""),"",$N259*$J259)</f>
        <v/>
      </c>
      <c r="P259" s="41" t="str">
        <f aca="false">IF(OR($D259="",$L259=""),"",MAX($L259-$H259,0))</f>
        <v/>
      </c>
      <c r="Q259" s="40" t="str">
        <f aca="false">IF(OR($D259="",$N259=""),"",IF($E259="LONG",($N259-$I259)*$J259,($I259-$N259)*$J259))</f>
        <v/>
      </c>
      <c r="R259" s="42" t="str">
        <f aca="false">IF(OR($D259="",$Q259="",$K259=0),"",$Q259/$K259)</f>
        <v/>
      </c>
      <c r="S259" s="43" t="str">
        <f aca="false">IF(OR($D259="",$N259=""),"",MIN(INDEX(Config!$C$13:$C$15,$AK259),INDEX(Config!$B$13:$B$15,$AK259)*$K259)+MIN(INDEX(Config!$C$13:$C$15,$AK259),INDEX(Config!$B$13:$B$15,$AK259)*$O259))</f>
        <v/>
      </c>
      <c r="T259" s="43" t="str">
        <f aca="false">IF(OR($D259="",$N259=""),"",INDEX(Config!$D$13:$D$15,$AK259)*$AL259+INDEX(Config!$E$13:$E$15,$AK259)*$AM259)</f>
        <v/>
      </c>
      <c r="U259" s="43" t="str">
        <f aca="false">IF(OR($D259="",$N259=""),"",INDEX(Config!$F$13:$F$15,$AK259)*($K259+$O259))</f>
        <v/>
      </c>
      <c r="V259" s="43" t="str">
        <f aca="false">IF(OR($D259="",$N259=""),"",INDEX(Config!$G$13:$G$15,$AK259)*($K259+$O259)+INDEX(Config!$H$13:$H$15,$AK259)*$AL259+INDEX(Config!$J$13:$J$15,$AK259))</f>
        <v/>
      </c>
      <c r="W259" s="43" t="str">
        <f aca="false">IF(OR($D259="",$N259=""),"",INDEX(Config!$I$13:$I$15,$AK259)*($S259+$U259+INDEX(Config!$G$13:$G$15,$AK259)*($K259+$O259)))</f>
        <v/>
      </c>
      <c r="X259" s="43" t="str">
        <f aca="false">IF(OR($D259="",$N259=""),"",INDEX(Config!$K$13:$K$15,$AK259)/365*$P259*$K259*Config!$B$8)</f>
        <v/>
      </c>
      <c r="Y259" s="43" t="str">
        <f aca="false">IF(OR($D259="",$N259=""),"",SUM($S259:$X259))</f>
        <v/>
      </c>
      <c r="Z259" s="40" t="str">
        <f aca="false">IF(OR($D259="",$Q259=""),"",$Q259-$Y259)</f>
        <v/>
      </c>
      <c r="AA259" s="42" t="str">
        <f aca="false">IF(OR($D259="",$Z259="",$K259=0),"",$Z259/$K259)</f>
        <v/>
      </c>
      <c r="AB259" s="44" t="str">
        <f aca="false">IF(OR($D259="",$Y259="",$K259=0),"",$Y259/$K259*10000)</f>
        <v/>
      </c>
      <c r="AC259" s="44" t="str">
        <f aca="false">IF(OR($D259="",$G259="",$G259=0,$I259=""),"",IF($E259="LONG",($I259-$G259)/$G259,($G259-$I259)/$G259)*10000)</f>
        <v/>
      </c>
      <c r="AD259" s="45"/>
      <c r="AE259" s="40" t="str">
        <f aca="false">IF(OR($D259="",$N259&lt;&gt;"",$AD259=""),"",IF($E259="LONG",($AD259-$I259)*$J259,($I259-$AD259)*$J259))</f>
        <v/>
      </c>
      <c r="AF259" s="40" t="str">
        <f aca="false">IF(OR($D259="",$E259&lt;&gt;"LONG",$Z259=""),"",$Z259+SUMIFS($Z$4:$Z$503,$B$4:$B$503,$B259,$E$4:$E$503,"SHORT"))</f>
        <v/>
      </c>
      <c r="AG259" s="42" t="str">
        <f aca="false">IF(OR($AF259="",$K259=0),"",$AF259/$K259)</f>
        <v/>
      </c>
      <c r="AH259" s="46"/>
      <c r="AI259" s="43" t="str">
        <f aca="false">IF(OR($D259="",$AH259="",$Z259=""),"",$Z259-$AH259)</f>
        <v/>
      </c>
      <c r="AJ259" s="49"/>
      <c r="AK259" s="47" t="str">
        <f aca="false">IF($D259="","",IFERROR(MATCH($F259,Config!$A$13:$A$15,0),1))</f>
        <v/>
      </c>
      <c r="AL259" s="47" t="str">
        <f aca="false">IF(OR($D259="",$N259=""),"",IF($E259="LONG",$K259,$O259))</f>
        <v/>
      </c>
      <c r="AM259" s="47" t="str">
        <f aca="false">IF(OR($D259="",$N259=""),"",IF($E259="LONG",$O259,$K259))</f>
        <v/>
      </c>
    </row>
    <row r="260" customFormat="false" ht="15" hidden="false" customHeight="false" outlineLevel="0" collapsed="false">
      <c r="A260" s="49"/>
      <c r="B260" s="5" t="str">
        <f aca="false">IF($D260="","",IF(OR(RIGHT($A260,2)="-L",RIGHT($A260,2)="-S"),LEFT($A260,LEN($A260)-2),$A260))</f>
        <v/>
      </c>
      <c r="C260" s="50"/>
      <c r="D260" s="49"/>
      <c r="E260" s="49"/>
      <c r="F260" s="49"/>
      <c r="G260" s="45"/>
      <c r="H260" s="50"/>
      <c r="I260" s="45"/>
      <c r="J260" s="51"/>
      <c r="K260" s="40" t="str">
        <f aca="false">IF($D260="","",$I260*$J260)</f>
        <v/>
      </c>
      <c r="L260" s="50"/>
      <c r="M260" s="49"/>
      <c r="N260" s="45"/>
      <c r="O260" s="40" t="str">
        <f aca="false">IF(OR($D260="",$N260=""),"",$N260*$J260)</f>
        <v/>
      </c>
      <c r="P260" s="41" t="str">
        <f aca="false">IF(OR($D260="",$L260=""),"",MAX($L260-$H260,0))</f>
        <v/>
      </c>
      <c r="Q260" s="40" t="str">
        <f aca="false">IF(OR($D260="",$N260=""),"",IF($E260="LONG",($N260-$I260)*$J260,($I260-$N260)*$J260))</f>
        <v/>
      </c>
      <c r="R260" s="42" t="str">
        <f aca="false">IF(OR($D260="",$Q260="",$K260=0),"",$Q260/$K260)</f>
        <v/>
      </c>
      <c r="S260" s="43" t="str">
        <f aca="false">IF(OR($D260="",$N260=""),"",MIN(INDEX(Config!$C$13:$C$15,$AK260),INDEX(Config!$B$13:$B$15,$AK260)*$K260)+MIN(INDEX(Config!$C$13:$C$15,$AK260),INDEX(Config!$B$13:$B$15,$AK260)*$O260))</f>
        <v/>
      </c>
      <c r="T260" s="43" t="str">
        <f aca="false">IF(OR($D260="",$N260=""),"",INDEX(Config!$D$13:$D$15,$AK260)*$AL260+INDEX(Config!$E$13:$E$15,$AK260)*$AM260)</f>
        <v/>
      </c>
      <c r="U260" s="43" t="str">
        <f aca="false">IF(OR($D260="",$N260=""),"",INDEX(Config!$F$13:$F$15,$AK260)*($K260+$O260))</f>
        <v/>
      </c>
      <c r="V260" s="43" t="str">
        <f aca="false">IF(OR($D260="",$N260=""),"",INDEX(Config!$G$13:$G$15,$AK260)*($K260+$O260)+INDEX(Config!$H$13:$H$15,$AK260)*$AL260+INDEX(Config!$J$13:$J$15,$AK260))</f>
        <v/>
      </c>
      <c r="W260" s="43" t="str">
        <f aca="false">IF(OR($D260="",$N260=""),"",INDEX(Config!$I$13:$I$15,$AK260)*($S260+$U260+INDEX(Config!$G$13:$G$15,$AK260)*($K260+$O260)))</f>
        <v/>
      </c>
      <c r="X260" s="43" t="str">
        <f aca="false">IF(OR($D260="",$N260=""),"",INDEX(Config!$K$13:$K$15,$AK260)/365*$P260*$K260*Config!$B$8)</f>
        <v/>
      </c>
      <c r="Y260" s="43" t="str">
        <f aca="false">IF(OR($D260="",$N260=""),"",SUM($S260:$X260))</f>
        <v/>
      </c>
      <c r="Z260" s="40" t="str">
        <f aca="false">IF(OR($D260="",$Q260=""),"",$Q260-$Y260)</f>
        <v/>
      </c>
      <c r="AA260" s="42" t="str">
        <f aca="false">IF(OR($D260="",$Z260="",$K260=0),"",$Z260/$K260)</f>
        <v/>
      </c>
      <c r="AB260" s="44" t="str">
        <f aca="false">IF(OR($D260="",$Y260="",$K260=0),"",$Y260/$K260*10000)</f>
        <v/>
      </c>
      <c r="AC260" s="44" t="str">
        <f aca="false">IF(OR($D260="",$G260="",$G260=0,$I260=""),"",IF($E260="LONG",($I260-$G260)/$G260,($G260-$I260)/$G260)*10000)</f>
        <v/>
      </c>
      <c r="AD260" s="45"/>
      <c r="AE260" s="40" t="str">
        <f aca="false">IF(OR($D260="",$N260&lt;&gt;"",$AD260=""),"",IF($E260="LONG",($AD260-$I260)*$J260,($I260-$AD260)*$J260))</f>
        <v/>
      </c>
      <c r="AF260" s="40" t="str">
        <f aca="false">IF(OR($D260="",$E260&lt;&gt;"LONG",$Z260=""),"",$Z260+SUMIFS($Z$4:$Z$503,$B$4:$B$503,$B260,$E$4:$E$503,"SHORT"))</f>
        <v/>
      </c>
      <c r="AG260" s="42" t="str">
        <f aca="false">IF(OR($AF260="",$K260=0),"",$AF260/$K260)</f>
        <v/>
      </c>
      <c r="AH260" s="46"/>
      <c r="AI260" s="43" t="str">
        <f aca="false">IF(OR($D260="",$AH260="",$Z260=""),"",$Z260-$AH260)</f>
        <v/>
      </c>
      <c r="AJ260" s="49"/>
      <c r="AK260" s="47" t="str">
        <f aca="false">IF($D260="","",IFERROR(MATCH($F260,Config!$A$13:$A$15,0),1))</f>
        <v/>
      </c>
      <c r="AL260" s="47" t="str">
        <f aca="false">IF(OR($D260="",$N260=""),"",IF($E260="LONG",$K260,$O260))</f>
        <v/>
      </c>
      <c r="AM260" s="47" t="str">
        <f aca="false">IF(OR($D260="",$N260=""),"",IF($E260="LONG",$O260,$K260))</f>
        <v/>
      </c>
    </row>
    <row r="261" customFormat="false" ht="15" hidden="false" customHeight="false" outlineLevel="0" collapsed="false">
      <c r="A261" s="49"/>
      <c r="B261" s="5" t="str">
        <f aca="false">IF($D261="","",IF(OR(RIGHT($A261,2)="-L",RIGHT($A261,2)="-S"),LEFT($A261,LEN($A261)-2),$A261))</f>
        <v/>
      </c>
      <c r="C261" s="50"/>
      <c r="D261" s="49"/>
      <c r="E261" s="49"/>
      <c r="F261" s="49"/>
      <c r="G261" s="45"/>
      <c r="H261" s="50"/>
      <c r="I261" s="45"/>
      <c r="J261" s="51"/>
      <c r="K261" s="40" t="str">
        <f aca="false">IF($D261="","",$I261*$J261)</f>
        <v/>
      </c>
      <c r="L261" s="50"/>
      <c r="M261" s="49"/>
      <c r="N261" s="45"/>
      <c r="O261" s="40" t="str">
        <f aca="false">IF(OR($D261="",$N261=""),"",$N261*$J261)</f>
        <v/>
      </c>
      <c r="P261" s="41" t="str">
        <f aca="false">IF(OR($D261="",$L261=""),"",MAX($L261-$H261,0))</f>
        <v/>
      </c>
      <c r="Q261" s="40" t="str">
        <f aca="false">IF(OR($D261="",$N261=""),"",IF($E261="LONG",($N261-$I261)*$J261,($I261-$N261)*$J261))</f>
        <v/>
      </c>
      <c r="R261" s="42" t="str">
        <f aca="false">IF(OR($D261="",$Q261="",$K261=0),"",$Q261/$K261)</f>
        <v/>
      </c>
      <c r="S261" s="43" t="str">
        <f aca="false">IF(OR($D261="",$N261=""),"",MIN(INDEX(Config!$C$13:$C$15,$AK261),INDEX(Config!$B$13:$B$15,$AK261)*$K261)+MIN(INDEX(Config!$C$13:$C$15,$AK261),INDEX(Config!$B$13:$B$15,$AK261)*$O261))</f>
        <v/>
      </c>
      <c r="T261" s="43" t="str">
        <f aca="false">IF(OR($D261="",$N261=""),"",INDEX(Config!$D$13:$D$15,$AK261)*$AL261+INDEX(Config!$E$13:$E$15,$AK261)*$AM261)</f>
        <v/>
      </c>
      <c r="U261" s="43" t="str">
        <f aca="false">IF(OR($D261="",$N261=""),"",INDEX(Config!$F$13:$F$15,$AK261)*($K261+$O261))</f>
        <v/>
      </c>
      <c r="V261" s="43" t="str">
        <f aca="false">IF(OR($D261="",$N261=""),"",INDEX(Config!$G$13:$G$15,$AK261)*($K261+$O261)+INDEX(Config!$H$13:$H$15,$AK261)*$AL261+INDEX(Config!$J$13:$J$15,$AK261))</f>
        <v/>
      </c>
      <c r="W261" s="43" t="str">
        <f aca="false">IF(OR($D261="",$N261=""),"",INDEX(Config!$I$13:$I$15,$AK261)*($S261+$U261+INDEX(Config!$G$13:$G$15,$AK261)*($K261+$O261)))</f>
        <v/>
      </c>
      <c r="X261" s="43" t="str">
        <f aca="false">IF(OR($D261="",$N261=""),"",INDEX(Config!$K$13:$K$15,$AK261)/365*$P261*$K261*Config!$B$8)</f>
        <v/>
      </c>
      <c r="Y261" s="43" t="str">
        <f aca="false">IF(OR($D261="",$N261=""),"",SUM($S261:$X261))</f>
        <v/>
      </c>
      <c r="Z261" s="40" t="str">
        <f aca="false">IF(OR($D261="",$Q261=""),"",$Q261-$Y261)</f>
        <v/>
      </c>
      <c r="AA261" s="42" t="str">
        <f aca="false">IF(OR($D261="",$Z261="",$K261=0),"",$Z261/$K261)</f>
        <v/>
      </c>
      <c r="AB261" s="44" t="str">
        <f aca="false">IF(OR($D261="",$Y261="",$K261=0),"",$Y261/$K261*10000)</f>
        <v/>
      </c>
      <c r="AC261" s="44" t="str">
        <f aca="false">IF(OR($D261="",$G261="",$G261=0,$I261=""),"",IF($E261="LONG",($I261-$G261)/$G261,($G261-$I261)/$G261)*10000)</f>
        <v/>
      </c>
      <c r="AD261" s="45"/>
      <c r="AE261" s="40" t="str">
        <f aca="false">IF(OR($D261="",$N261&lt;&gt;"",$AD261=""),"",IF($E261="LONG",($AD261-$I261)*$J261,($I261-$AD261)*$J261))</f>
        <v/>
      </c>
      <c r="AF261" s="40" t="str">
        <f aca="false">IF(OR($D261="",$E261&lt;&gt;"LONG",$Z261=""),"",$Z261+SUMIFS($Z$4:$Z$503,$B$4:$B$503,$B261,$E$4:$E$503,"SHORT"))</f>
        <v/>
      </c>
      <c r="AG261" s="42" t="str">
        <f aca="false">IF(OR($AF261="",$K261=0),"",$AF261/$K261)</f>
        <v/>
      </c>
      <c r="AH261" s="46"/>
      <c r="AI261" s="43" t="str">
        <f aca="false">IF(OR($D261="",$AH261="",$Z261=""),"",$Z261-$AH261)</f>
        <v/>
      </c>
      <c r="AJ261" s="49"/>
      <c r="AK261" s="47" t="str">
        <f aca="false">IF($D261="","",IFERROR(MATCH($F261,Config!$A$13:$A$15,0),1))</f>
        <v/>
      </c>
      <c r="AL261" s="47" t="str">
        <f aca="false">IF(OR($D261="",$N261=""),"",IF($E261="LONG",$K261,$O261))</f>
        <v/>
      </c>
      <c r="AM261" s="47" t="str">
        <f aca="false">IF(OR($D261="",$N261=""),"",IF($E261="LONG",$O261,$K261))</f>
        <v/>
      </c>
    </row>
    <row r="262" customFormat="false" ht="15" hidden="false" customHeight="false" outlineLevel="0" collapsed="false">
      <c r="A262" s="49"/>
      <c r="B262" s="5" t="str">
        <f aca="false">IF($D262="","",IF(OR(RIGHT($A262,2)="-L",RIGHT($A262,2)="-S"),LEFT($A262,LEN($A262)-2),$A262))</f>
        <v/>
      </c>
      <c r="C262" s="50"/>
      <c r="D262" s="49"/>
      <c r="E262" s="49"/>
      <c r="F262" s="49"/>
      <c r="G262" s="45"/>
      <c r="H262" s="50"/>
      <c r="I262" s="45"/>
      <c r="J262" s="51"/>
      <c r="K262" s="40" t="str">
        <f aca="false">IF($D262="","",$I262*$J262)</f>
        <v/>
      </c>
      <c r="L262" s="50"/>
      <c r="M262" s="49"/>
      <c r="N262" s="45"/>
      <c r="O262" s="40" t="str">
        <f aca="false">IF(OR($D262="",$N262=""),"",$N262*$J262)</f>
        <v/>
      </c>
      <c r="P262" s="41" t="str">
        <f aca="false">IF(OR($D262="",$L262=""),"",MAX($L262-$H262,0))</f>
        <v/>
      </c>
      <c r="Q262" s="40" t="str">
        <f aca="false">IF(OR($D262="",$N262=""),"",IF($E262="LONG",($N262-$I262)*$J262,($I262-$N262)*$J262))</f>
        <v/>
      </c>
      <c r="R262" s="42" t="str">
        <f aca="false">IF(OR($D262="",$Q262="",$K262=0),"",$Q262/$K262)</f>
        <v/>
      </c>
      <c r="S262" s="43" t="str">
        <f aca="false">IF(OR($D262="",$N262=""),"",MIN(INDEX(Config!$C$13:$C$15,$AK262),INDEX(Config!$B$13:$B$15,$AK262)*$K262)+MIN(INDEX(Config!$C$13:$C$15,$AK262),INDEX(Config!$B$13:$B$15,$AK262)*$O262))</f>
        <v/>
      </c>
      <c r="T262" s="43" t="str">
        <f aca="false">IF(OR($D262="",$N262=""),"",INDEX(Config!$D$13:$D$15,$AK262)*$AL262+INDEX(Config!$E$13:$E$15,$AK262)*$AM262)</f>
        <v/>
      </c>
      <c r="U262" s="43" t="str">
        <f aca="false">IF(OR($D262="",$N262=""),"",INDEX(Config!$F$13:$F$15,$AK262)*($K262+$O262))</f>
        <v/>
      </c>
      <c r="V262" s="43" t="str">
        <f aca="false">IF(OR($D262="",$N262=""),"",INDEX(Config!$G$13:$G$15,$AK262)*($K262+$O262)+INDEX(Config!$H$13:$H$15,$AK262)*$AL262+INDEX(Config!$J$13:$J$15,$AK262))</f>
        <v/>
      </c>
      <c r="W262" s="43" t="str">
        <f aca="false">IF(OR($D262="",$N262=""),"",INDEX(Config!$I$13:$I$15,$AK262)*($S262+$U262+INDEX(Config!$G$13:$G$15,$AK262)*($K262+$O262)))</f>
        <v/>
      </c>
      <c r="X262" s="43" t="str">
        <f aca="false">IF(OR($D262="",$N262=""),"",INDEX(Config!$K$13:$K$15,$AK262)/365*$P262*$K262*Config!$B$8)</f>
        <v/>
      </c>
      <c r="Y262" s="43" t="str">
        <f aca="false">IF(OR($D262="",$N262=""),"",SUM($S262:$X262))</f>
        <v/>
      </c>
      <c r="Z262" s="40" t="str">
        <f aca="false">IF(OR($D262="",$Q262=""),"",$Q262-$Y262)</f>
        <v/>
      </c>
      <c r="AA262" s="42" t="str">
        <f aca="false">IF(OR($D262="",$Z262="",$K262=0),"",$Z262/$K262)</f>
        <v/>
      </c>
      <c r="AB262" s="44" t="str">
        <f aca="false">IF(OR($D262="",$Y262="",$K262=0),"",$Y262/$K262*10000)</f>
        <v/>
      </c>
      <c r="AC262" s="44" t="str">
        <f aca="false">IF(OR($D262="",$G262="",$G262=0,$I262=""),"",IF($E262="LONG",($I262-$G262)/$G262,($G262-$I262)/$G262)*10000)</f>
        <v/>
      </c>
      <c r="AD262" s="45"/>
      <c r="AE262" s="40" t="str">
        <f aca="false">IF(OR($D262="",$N262&lt;&gt;"",$AD262=""),"",IF($E262="LONG",($AD262-$I262)*$J262,($I262-$AD262)*$J262))</f>
        <v/>
      </c>
      <c r="AF262" s="40" t="str">
        <f aca="false">IF(OR($D262="",$E262&lt;&gt;"LONG",$Z262=""),"",$Z262+SUMIFS($Z$4:$Z$503,$B$4:$B$503,$B262,$E$4:$E$503,"SHORT"))</f>
        <v/>
      </c>
      <c r="AG262" s="42" t="str">
        <f aca="false">IF(OR($AF262="",$K262=0),"",$AF262/$K262)</f>
        <v/>
      </c>
      <c r="AH262" s="46"/>
      <c r="AI262" s="43" t="str">
        <f aca="false">IF(OR($D262="",$AH262="",$Z262=""),"",$Z262-$AH262)</f>
        <v/>
      </c>
      <c r="AJ262" s="49"/>
      <c r="AK262" s="47" t="str">
        <f aca="false">IF($D262="","",IFERROR(MATCH($F262,Config!$A$13:$A$15,0),1))</f>
        <v/>
      </c>
      <c r="AL262" s="47" t="str">
        <f aca="false">IF(OR($D262="",$N262=""),"",IF($E262="LONG",$K262,$O262))</f>
        <v/>
      </c>
      <c r="AM262" s="47" t="str">
        <f aca="false">IF(OR($D262="",$N262=""),"",IF($E262="LONG",$O262,$K262))</f>
        <v/>
      </c>
    </row>
    <row r="263" customFormat="false" ht="15" hidden="false" customHeight="false" outlineLevel="0" collapsed="false">
      <c r="A263" s="49"/>
      <c r="B263" s="5" t="str">
        <f aca="false">IF($D263="","",IF(OR(RIGHT($A263,2)="-L",RIGHT($A263,2)="-S"),LEFT($A263,LEN($A263)-2),$A263))</f>
        <v/>
      </c>
      <c r="C263" s="50"/>
      <c r="D263" s="49"/>
      <c r="E263" s="49"/>
      <c r="F263" s="49"/>
      <c r="G263" s="45"/>
      <c r="H263" s="50"/>
      <c r="I263" s="45"/>
      <c r="J263" s="51"/>
      <c r="K263" s="40" t="str">
        <f aca="false">IF($D263="","",$I263*$J263)</f>
        <v/>
      </c>
      <c r="L263" s="50"/>
      <c r="M263" s="49"/>
      <c r="N263" s="45"/>
      <c r="O263" s="40" t="str">
        <f aca="false">IF(OR($D263="",$N263=""),"",$N263*$J263)</f>
        <v/>
      </c>
      <c r="P263" s="41" t="str">
        <f aca="false">IF(OR($D263="",$L263=""),"",MAX($L263-$H263,0))</f>
        <v/>
      </c>
      <c r="Q263" s="40" t="str">
        <f aca="false">IF(OR($D263="",$N263=""),"",IF($E263="LONG",($N263-$I263)*$J263,($I263-$N263)*$J263))</f>
        <v/>
      </c>
      <c r="R263" s="42" t="str">
        <f aca="false">IF(OR($D263="",$Q263="",$K263=0),"",$Q263/$K263)</f>
        <v/>
      </c>
      <c r="S263" s="43" t="str">
        <f aca="false">IF(OR($D263="",$N263=""),"",MIN(INDEX(Config!$C$13:$C$15,$AK263),INDEX(Config!$B$13:$B$15,$AK263)*$K263)+MIN(INDEX(Config!$C$13:$C$15,$AK263),INDEX(Config!$B$13:$B$15,$AK263)*$O263))</f>
        <v/>
      </c>
      <c r="T263" s="43" t="str">
        <f aca="false">IF(OR($D263="",$N263=""),"",INDEX(Config!$D$13:$D$15,$AK263)*$AL263+INDEX(Config!$E$13:$E$15,$AK263)*$AM263)</f>
        <v/>
      </c>
      <c r="U263" s="43" t="str">
        <f aca="false">IF(OR($D263="",$N263=""),"",INDEX(Config!$F$13:$F$15,$AK263)*($K263+$O263))</f>
        <v/>
      </c>
      <c r="V263" s="43" t="str">
        <f aca="false">IF(OR($D263="",$N263=""),"",INDEX(Config!$G$13:$G$15,$AK263)*($K263+$O263)+INDEX(Config!$H$13:$H$15,$AK263)*$AL263+INDEX(Config!$J$13:$J$15,$AK263))</f>
        <v/>
      </c>
      <c r="W263" s="43" t="str">
        <f aca="false">IF(OR($D263="",$N263=""),"",INDEX(Config!$I$13:$I$15,$AK263)*($S263+$U263+INDEX(Config!$G$13:$G$15,$AK263)*($K263+$O263)))</f>
        <v/>
      </c>
      <c r="X263" s="43" t="str">
        <f aca="false">IF(OR($D263="",$N263=""),"",INDEX(Config!$K$13:$K$15,$AK263)/365*$P263*$K263*Config!$B$8)</f>
        <v/>
      </c>
      <c r="Y263" s="43" t="str">
        <f aca="false">IF(OR($D263="",$N263=""),"",SUM($S263:$X263))</f>
        <v/>
      </c>
      <c r="Z263" s="40" t="str">
        <f aca="false">IF(OR($D263="",$Q263=""),"",$Q263-$Y263)</f>
        <v/>
      </c>
      <c r="AA263" s="42" t="str">
        <f aca="false">IF(OR($D263="",$Z263="",$K263=0),"",$Z263/$K263)</f>
        <v/>
      </c>
      <c r="AB263" s="44" t="str">
        <f aca="false">IF(OR($D263="",$Y263="",$K263=0),"",$Y263/$K263*10000)</f>
        <v/>
      </c>
      <c r="AC263" s="44" t="str">
        <f aca="false">IF(OR($D263="",$G263="",$G263=0,$I263=""),"",IF($E263="LONG",($I263-$G263)/$G263,($G263-$I263)/$G263)*10000)</f>
        <v/>
      </c>
      <c r="AD263" s="45"/>
      <c r="AE263" s="40" t="str">
        <f aca="false">IF(OR($D263="",$N263&lt;&gt;"",$AD263=""),"",IF($E263="LONG",($AD263-$I263)*$J263,($I263-$AD263)*$J263))</f>
        <v/>
      </c>
      <c r="AF263" s="40" t="str">
        <f aca="false">IF(OR($D263="",$E263&lt;&gt;"LONG",$Z263=""),"",$Z263+SUMIFS($Z$4:$Z$503,$B$4:$B$503,$B263,$E$4:$E$503,"SHORT"))</f>
        <v/>
      </c>
      <c r="AG263" s="42" t="str">
        <f aca="false">IF(OR($AF263="",$K263=0),"",$AF263/$K263)</f>
        <v/>
      </c>
      <c r="AH263" s="46"/>
      <c r="AI263" s="43" t="str">
        <f aca="false">IF(OR($D263="",$AH263="",$Z263=""),"",$Z263-$AH263)</f>
        <v/>
      </c>
      <c r="AJ263" s="49"/>
      <c r="AK263" s="47" t="str">
        <f aca="false">IF($D263="","",IFERROR(MATCH($F263,Config!$A$13:$A$15,0),1))</f>
        <v/>
      </c>
      <c r="AL263" s="47" t="str">
        <f aca="false">IF(OR($D263="",$N263=""),"",IF($E263="LONG",$K263,$O263))</f>
        <v/>
      </c>
      <c r="AM263" s="47" t="str">
        <f aca="false">IF(OR($D263="",$N263=""),"",IF($E263="LONG",$O263,$K263))</f>
        <v/>
      </c>
    </row>
    <row r="264" customFormat="false" ht="15" hidden="false" customHeight="false" outlineLevel="0" collapsed="false">
      <c r="A264" s="49"/>
      <c r="B264" s="5" t="str">
        <f aca="false">IF($D264="","",IF(OR(RIGHT($A264,2)="-L",RIGHT($A264,2)="-S"),LEFT($A264,LEN($A264)-2),$A264))</f>
        <v/>
      </c>
      <c r="C264" s="50"/>
      <c r="D264" s="49"/>
      <c r="E264" s="49"/>
      <c r="F264" s="49"/>
      <c r="G264" s="45"/>
      <c r="H264" s="50"/>
      <c r="I264" s="45"/>
      <c r="J264" s="51"/>
      <c r="K264" s="40" t="str">
        <f aca="false">IF($D264="","",$I264*$J264)</f>
        <v/>
      </c>
      <c r="L264" s="50"/>
      <c r="M264" s="49"/>
      <c r="N264" s="45"/>
      <c r="O264" s="40" t="str">
        <f aca="false">IF(OR($D264="",$N264=""),"",$N264*$J264)</f>
        <v/>
      </c>
      <c r="P264" s="41" t="str">
        <f aca="false">IF(OR($D264="",$L264=""),"",MAX($L264-$H264,0))</f>
        <v/>
      </c>
      <c r="Q264" s="40" t="str">
        <f aca="false">IF(OR($D264="",$N264=""),"",IF($E264="LONG",($N264-$I264)*$J264,($I264-$N264)*$J264))</f>
        <v/>
      </c>
      <c r="R264" s="42" t="str">
        <f aca="false">IF(OR($D264="",$Q264="",$K264=0),"",$Q264/$K264)</f>
        <v/>
      </c>
      <c r="S264" s="43" t="str">
        <f aca="false">IF(OR($D264="",$N264=""),"",MIN(INDEX(Config!$C$13:$C$15,$AK264),INDEX(Config!$B$13:$B$15,$AK264)*$K264)+MIN(INDEX(Config!$C$13:$C$15,$AK264),INDEX(Config!$B$13:$B$15,$AK264)*$O264))</f>
        <v/>
      </c>
      <c r="T264" s="43" t="str">
        <f aca="false">IF(OR($D264="",$N264=""),"",INDEX(Config!$D$13:$D$15,$AK264)*$AL264+INDEX(Config!$E$13:$E$15,$AK264)*$AM264)</f>
        <v/>
      </c>
      <c r="U264" s="43" t="str">
        <f aca="false">IF(OR($D264="",$N264=""),"",INDEX(Config!$F$13:$F$15,$AK264)*($K264+$O264))</f>
        <v/>
      </c>
      <c r="V264" s="43" t="str">
        <f aca="false">IF(OR($D264="",$N264=""),"",INDEX(Config!$G$13:$G$15,$AK264)*($K264+$O264)+INDEX(Config!$H$13:$H$15,$AK264)*$AL264+INDEX(Config!$J$13:$J$15,$AK264))</f>
        <v/>
      </c>
      <c r="W264" s="43" t="str">
        <f aca="false">IF(OR($D264="",$N264=""),"",INDEX(Config!$I$13:$I$15,$AK264)*($S264+$U264+INDEX(Config!$G$13:$G$15,$AK264)*($K264+$O264)))</f>
        <v/>
      </c>
      <c r="X264" s="43" t="str">
        <f aca="false">IF(OR($D264="",$N264=""),"",INDEX(Config!$K$13:$K$15,$AK264)/365*$P264*$K264*Config!$B$8)</f>
        <v/>
      </c>
      <c r="Y264" s="43" t="str">
        <f aca="false">IF(OR($D264="",$N264=""),"",SUM($S264:$X264))</f>
        <v/>
      </c>
      <c r="Z264" s="40" t="str">
        <f aca="false">IF(OR($D264="",$Q264=""),"",$Q264-$Y264)</f>
        <v/>
      </c>
      <c r="AA264" s="42" t="str">
        <f aca="false">IF(OR($D264="",$Z264="",$K264=0),"",$Z264/$K264)</f>
        <v/>
      </c>
      <c r="AB264" s="44" t="str">
        <f aca="false">IF(OR($D264="",$Y264="",$K264=0),"",$Y264/$K264*10000)</f>
        <v/>
      </c>
      <c r="AC264" s="44" t="str">
        <f aca="false">IF(OR($D264="",$G264="",$G264=0,$I264=""),"",IF($E264="LONG",($I264-$G264)/$G264,($G264-$I264)/$G264)*10000)</f>
        <v/>
      </c>
      <c r="AD264" s="45"/>
      <c r="AE264" s="40" t="str">
        <f aca="false">IF(OR($D264="",$N264&lt;&gt;"",$AD264=""),"",IF($E264="LONG",($AD264-$I264)*$J264,($I264-$AD264)*$J264))</f>
        <v/>
      </c>
      <c r="AF264" s="40" t="str">
        <f aca="false">IF(OR($D264="",$E264&lt;&gt;"LONG",$Z264=""),"",$Z264+SUMIFS($Z$4:$Z$503,$B$4:$B$503,$B264,$E$4:$E$503,"SHORT"))</f>
        <v/>
      </c>
      <c r="AG264" s="42" t="str">
        <f aca="false">IF(OR($AF264="",$K264=0),"",$AF264/$K264)</f>
        <v/>
      </c>
      <c r="AH264" s="46"/>
      <c r="AI264" s="43" t="str">
        <f aca="false">IF(OR($D264="",$AH264="",$Z264=""),"",$Z264-$AH264)</f>
        <v/>
      </c>
      <c r="AJ264" s="49"/>
      <c r="AK264" s="47" t="str">
        <f aca="false">IF($D264="","",IFERROR(MATCH($F264,Config!$A$13:$A$15,0),1))</f>
        <v/>
      </c>
      <c r="AL264" s="47" t="str">
        <f aca="false">IF(OR($D264="",$N264=""),"",IF($E264="LONG",$K264,$O264))</f>
        <v/>
      </c>
      <c r="AM264" s="47" t="str">
        <f aca="false">IF(OR($D264="",$N264=""),"",IF($E264="LONG",$O264,$K264))</f>
        <v/>
      </c>
    </row>
    <row r="265" customFormat="false" ht="15" hidden="false" customHeight="false" outlineLevel="0" collapsed="false">
      <c r="A265" s="49"/>
      <c r="B265" s="5" t="str">
        <f aca="false">IF($D265="","",IF(OR(RIGHT($A265,2)="-L",RIGHT($A265,2)="-S"),LEFT($A265,LEN($A265)-2),$A265))</f>
        <v/>
      </c>
      <c r="C265" s="50"/>
      <c r="D265" s="49"/>
      <c r="E265" s="49"/>
      <c r="F265" s="49"/>
      <c r="G265" s="45"/>
      <c r="H265" s="50"/>
      <c r="I265" s="45"/>
      <c r="J265" s="51"/>
      <c r="K265" s="40" t="str">
        <f aca="false">IF($D265="","",$I265*$J265)</f>
        <v/>
      </c>
      <c r="L265" s="50"/>
      <c r="M265" s="49"/>
      <c r="N265" s="45"/>
      <c r="O265" s="40" t="str">
        <f aca="false">IF(OR($D265="",$N265=""),"",$N265*$J265)</f>
        <v/>
      </c>
      <c r="P265" s="41" t="str">
        <f aca="false">IF(OR($D265="",$L265=""),"",MAX($L265-$H265,0))</f>
        <v/>
      </c>
      <c r="Q265" s="40" t="str">
        <f aca="false">IF(OR($D265="",$N265=""),"",IF($E265="LONG",($N265-$I265)*$J265,($I265-$N265)*$J265))</f>
        <v/>
      </c>
      <c r="R265" s="42" t="str">
        <f aca="false">IF(OR($D265="",$Q265="",$K265=0),"",$Q265/$K265)</f>
        <v/>
      </c>
      <c r="S265" s="43" t="str">
        <f aca="false">IF(OR($D265="",$N265=""),"",MIN(INDEX(Config!$C$13:$C$15,$AK265),INDEX(Config!$B$13:$B$15,$AK265)*$K265)+MIN(INDEX(Config!$C$13:$C$15,$AK265),INDEX(Config!$B$13:$B$15,$AK265)*$O265))</f>
        <v/>
      </c>
      <c r="T265" s="43" t="str">
        <f aca="false">IF(OR($D265="",$N265=""),"",INDEX(Config!$D$13:$D$15,$AK265)*$AL265+INDEX(Config!$E$13:$E$15,$AK265)*$AM265)</f>
        <v/>
      </c>
      <c r="U265" s="43" t="str">
        <f aca="false">IF(OR($D265="",$N265=""),"",INDEX(Config!$F$13:$F$15,$AK265)*($K265+$O265))</f>
        <v/>
      </c>
      <c r="V265" s="43" t="str">
        <f aca="false">IF(OR($D265="",$N265=""),"",INDEX(Config!$G$13:$G$15,$AK265)*($K265+$O265)+INDEX(Config!$H$13:$H$15,$AK265)*$AL265+INDEX(Config!$J$13:$J$15,$AK265))</f>
        <v/>
      </c>
      <c r="W265" s="43" t="str">
        <f aca="false">IF(OR($D265="",$N265=""),"",INDEX(Config!$I$13:$I$15,$AK265)*($S265+$U265+INDEX(Config!$G$13:$G$15,$AK265)*($K265+$O265)))</f>
        <v/>
      </c>
      <c r="X265" s="43" t="str">
        <f aca="false">IF(OR($D265="",$N265=""),"",INDEX(Config!$K$13:$K$15,$AK265)/365*$P265*$K265*Config!$B$8)</f>
        <v/>
      </c>
      <c r="Y265" s="43" t="str">
        <f aca="false">IF(OR($D265="",$N265=""),"",SUM($S265:$X265))</f>
        <v/>
      </c>
      <c r="Z265" s="40" t="str">
        <f aca="false">IF(OR($D265="",$Q265=""),"",$Q265-$Y265)</f>
        <v/>
      </c>
      <c r="AA265" s="42" t="str">
        <f aca="false">IF(OR($D265="",$Z265="",$K265=0),"",$Z265/$K265)</f>
        <v/>
      </c>
      <c r="AB265" s="44" t="str">
        <f aca="false">IF(OR($D265="",$Y265="",$K265=0),"",$Y265/$K265*10000)</f>
        <v/>
      </c>
      <c r="AC265" s="44" t="str">
        <f aca="false">IF(OR($D265="",$G265="",$G265=0,$I265=""),"",IF($E265="LONG",($I265-$G265)/$G265,($G265-$I265)/$G265)*10000)</f>
        <v/>
      </c>
      <c r="AD265" s="45"/>
      <c r="AE265" s="40" t="str">
        <f aca="false">IF(OR($D265="",$N265&lt;&gt;"",$AD265=""),"",IF($E265="LONG",($AD265-$I265)*$J265,($I265-$AD265)*$J265))</f>
        <v/>
      </c>
      <c r="AF265" s="40" t="str">
        <f aca="false">IF(OR($D265="",$E265&lt;&gt;"LONG",$Z265=""),"",$Z265+SUMIFS($Z$4:$Z$503,$B$4:$B$503,$B265,$E$4:$E$503,"SHORT"))</f>
        <v/>
      </c>
      <c r="AG265" s="42" t="str">
        <f aca="false">IF(OR($AF265="",$K265=0),"",$AF265/$K265)</f>
        <v/>
      </c>
      <c r="AH265" s="46"/>
      <c r="AI265" s="43" t="str">
        <f aca="false">IF(OR($D265="",$AH265="",$Z265=""),"",$Z265-$AH265)</f>
        <v/>
      </c>
      <c r="AJ265" s="49"/>
      <c r="AK265" s="47" t="str">
        <f aca="false">IF($D265="","",IFERROR(MATCH($F265,Config!$A$13:$A$15,0),1))</f>
        <v/>
      </c>
      <c r="AL265" s="47" t="str">
        <f aca="false">IF(OR($D265="",$N265=""),"",IF($E265="LONG",$K265,$O265))</f>
        <v/>
      </c>
      <c r="AM265" s="47" t="str">
        <f aca="false">IF(OR($D265="",$N265=""),"",IF($E265="LONG",$O265,$K265))</f>
        <v/>
      </c>
    </row>
    <row r="266" customFormat="false" ht="15" hidden="false" customHeight="false" outlineLevel="0" collapsed="false">
      <c r="A266" s="49"/>
      <c r="B266" s="5" t="str">
        <f aca="false">IF($D266="","",IF(OR(RIGHT($A266,2)="-L",RIGHT($A266,2)="-S"),LEFT($A266,LEN($A266)-2),$A266))</f>
        <v/>
      </c>
      <c r="C266" s="50"/>
      <c r="D266" s="49"/>
      <c r="E266" s="49"/>
      <c r="F266" s="49"/>
      <c r="G266" s="45"/>
      <c r="H266" s="50"/>
      <c r="I266" s="45"/>
      <c r="J266" s="51"/>
      <c r="K266" s="40" t="str">
        <f aca="false">IF($D266="","",$I266*$J266)</f>
        <v/>
      </c>
      <c r="L266" s="50"/>
      <c r="M266" s="49"/>
      <c r="N266" s="45"/>
      <c r="O266" s="40" t="str">
        <f aca="false">IF(OR($D266="",$N266=""),"",$N266*$J266)</f>
        <v/>
      </c>
      <c r="P266" s="41" t="str">
        <f aca="false">IF(OR($D266="",$L266=""),"",MAX($L266-$H266,0))</f>
        <v/>
      </c>
      <c r="Q266" s="40" t="str">
        <f aca="false">IF(OR($D266="",$N266=""),"",IF($E266="LONG",($N266-$I266)*$J266,($I266-$N266)*$J266))</f>
        <v/>
      </c>
      <c r="R266" s="42" t="str">
        <f aca="false">IF(OR($D266="",$Q266="",$K266=0),"",$Q266/$K266)</f>
        <v/>
      </c>
      <c r="S266" s="43" t="str">
        <f aca="false">IF(OR($D266="",$N266=""),"",MIN(INDEX(Config!$C$13:$C$15,$AK266),INDEX(Config!$B$13:$B$15,$AK266)*$K266)+MIN(INDEX(Config!$C$13:$C$15,$AK266),INDEX(Config!$B$13:$B$15,$AK266)*$O266))</f>
        <v/>
      </c>
      <c r="T266" s="43" t="str">
        <f aca="false">IF(OR($D266="",$N266=""),"",INDEX(Config!$D$13:$D$15,$AK266)*$AL266+INDEX(Config!$E$13:$E$15,$AK266)*$AM266)</f>
        <v/>
      </c>
      <c r="U266" s="43" t="str">
        <f aca="false">IF(OR($D266="",$N266=""),"",INDEX(Config!$F$13:$F$15,$AK266)*($K266+$O266))</f>
        <v/>
      </c>
      <c r="V266" s="43" t="str">
        <f aca="false">IF(OR($D266="",$N266=""),"",INDEX(Config!$G$13:$G$15,$AK266)*($K266+$O266)+INDEX(Config!$H$13:$H$15,$AK266)*$AL266+INDEX(Config!$J$13:$J$15,$AK266))</f>
        <v/>
      </c>
      <c r="W266" s="43" t="str">
        <f aca="false">IF(OR($D266="",$N266=""),"",INDEX(Config!$I$13:$I$15,$AK266)*($S266+$U266+INDEX(Config!$G$13:$G$15,$AK266)*($K266+$O266)))</f>
        <v/>
      </c>
      <c r="X266" s="43" t="str">
        <f aca="false">IF(OR($D266="",$N266=""),"",INDEX(Config!$K$13:$K$15,$AK266)/365*$P266*$K266*Config!$B$8)</f>
        <v/>
      </c>
      <c r="Y266" s="43" t="str">
        <f aca="false">IF(OR($D266="",$N266=""),"",SUM($S266:$X266))</f>
        <v/>
      </c>
      <c r="Z266" s="40" t="str">
        <f aca="false">IF(OR($D266="",$Q266=""),"",$Q266-$Y266)</f>
        <v/>
      </c>
      <c r="AA266" s="42" t="str">
        <f aca="false">IF(OR($D266="",$Z266="",$K266=0),"",$Z266/$K266)</f>
        <v/>
      </c>
      <c r="AB266" s="44" t="str">
        <f aca="false">IF(OR($D266="",$Y266="",$K266=0),"",$Y266/$K266*10000)</f>
        <v/>
      </c>
      <c r="AC266" s="44" t="str">
        <f aca="false">IF(OR($D266="",$G266="",$G266=0,$I266=""),"",IF($E266="LONG",($I266-$G266)/$G266,($G266-$I266)/$G266)*10000)</f>
        <v/>
      </c>
      <c r="AD266" s="45"/>
      <c r="AE266" s="40" t="str">
        <f aca="false">IF(OR($D266="",$N266&lt;&gt;"",$AD266=""),"",IF($E266="LONG",($AD266-$I266)*$J266,($I266-$AD266)*$J266))</f>
        <v/>
      </c>
      <c r="AF266" s="40" t="str">
        <f aca="false">IF(OR($D266="",$E266&lt;&gt;"LONG",$Z266=""),"",$Z266+SUMIFS($Z$4:$Z$503,$B$4:$B$503,$B266,$E$4:$E$503,"SHORT"))</f>
        <v/>
      </c>
      <c r="AG266" s="42" t="str">
        <f aca="false">IF(OR($AF266="",$K266=0),"",$AF266/$K266)</f>
        <v/>
      </c>
      <c r="AH266" s="46"/>
      <c r="AI266" s="43" t="str">
        <f aca="false">IF(OR($D266="",$AH266="",$Z266=""),"",$Z266-$AH266)</f>
        <v/>
      </c>
      <c r="AJ266" s="49"/>
      <c r="AK266" s="47" t="str">
        <f aca="false">IF($D266="","",IFERROR(MATCH($F266,Config!$A$13:$A$15,0),1))</f>
        <v/>
      </c>
      <c r="AL266" s="47" t="str">
        <f aca="false">IF(OR($D266="",$N266=""),"",IF($E266="LONG",$K266,$O266))</f>
        <v/>
      </c>
      <c r="AM266" s="47" t="str">
        <f aca="false">IF(OR($D266="",$N266=""),"",IF($E266="LONG",$O266,$K266))</f>
        <v/>
      </c>
    </row>
    <row r="267" customFormat="false" ht="15" hidden="false" customHeight="false" outlineLevel="0" collapsed="false">
      <c r="A267" s="49"/>
      <c r="B267" s="5" t="str">
        <f aca="false">IF($D267="","",IF(OR(RIGHT($A267,2)="-L",RIGHT($A267,2)="-S"),LEFT($A267,LEN($A267)-2),$A267))</f>
        <v/>
      </c>
      <c r="C267" s="50"/>
      <c r="D267" s="49"/>
      <c r="E267" s="49"/>
      <c r="F267" s="49"/>
      <c r="G267" s="45"/>
      <c r="H267" s="50"/>
      <c r="I267" s="45"/>
      <c r="J267" s="51"/>
      <c r="K267" s="40" t="str">
        <f aca="false">IF($D267="","",$I267*$J267)</f>
        <v/>
      </c>
      <c r="L267" s="50"/>
      <c r="M267" s="49"/>
      <c r="N267" s="45"/>
      <c r="O267" s="40" t="str">
        <f aca="false">IF(OR($D267="",$N267=""),"",$N267*$J267)</f>
        <v/>
      </c>
      <c r="P267" s="41" t="str">
        <f aca="false">IF(OR($D267="",$L267=""),"",MAX($L267-$H267,0))</f>
        <v/>
      </c>
      <c r="Q267" s="40" t="str">
        <f aca="false">IF(OR($D267="",$N267=""),"",IF($E267="LONG",($N267-$I267)*$J267,($I267-$N267)*$J267))</f>
        <v/>
      </c>
      <c r="R267" s="42" t="str">
        <f aca="false">IF(OR($D267="",$Q267="",$K267=0),"",$Q267/$K267)</f>
        <v/>
      </c>
      <c r="S267" s="43" t="str">
        <f aca="false">IF(OR($D267="",$N267=""),"",MIN(INDEX(Config!$C$13:$C$15,$AK267),INDEX(Config!$B$13:$B$15,$AK267)*$K267)+MIN(INDEX(Config!$C$13:$C$15,$AK267),INDEX(Config!$B$13:$B$15,$AK267)*$O267))</f>
        <v/>
      </c>
      <c r="T267" s="43" t="str">
        <f aca="false">IF(OR($D267="",$N267=""),"",INDEX(Config!$D$13:$D$15,$AK267)*$AL267+INDEX(Config!$E$13:$E$15,$AK267)*$AM267)</f>
        <v/>
      </c>
      <c r="U267" s="43" t="str">
        <f aca="false">IF(OR($D267="",$N267=""),"",INDEX(Config!$F$13:$F$15,$AK267)*($K267+$O267))</f>
        <v/>
      </c>
      <c r="V267" s="43" t="str">
        <f aca="false">IF(OR($D267="",$N267=""),"",INDEX(Config!$G$13:$G$15,$AK267)*($K267+$O267)+INDEX(Config!$H$13:$H$15,$AK267)*$AL267+INDEX(Config!$J$13:$J$15,$AK267))</f>
        <v/>
      </c>
      <c r="W267" s="43" t="str">
        <f aca="false">IF(OR($D267="",$N267=""),"",INDEX(Config!$I$13:$I$15,$AK267)*($S267+$U267+INDEX(Config!$G$13:$G$15,$AK267)*($K267+$O267)))</f>
        <v/>
      </c>
      <c r="X267" s="43" t="str">
        <f aca="false">IF(OR($D267="",$N267=""),"",INDEX(Config!$K$13:$K$15,$AK267)/365*$P267*$K267*Config!$B$8)</f>
        <v/>
      </c>
      <c r="Y267" s="43" t="str">
        <f aca="false">IF(OR($D267="",$N267=""),"",SUM($S267:$X267))</f>
        <v/>
      </c>
      <c r="Z267" s="40" t="str">
        <f aca="false">IF(OR($D267="",$Q267=""),"",$Q267-$Y267)</f>
        <v/>
      </c>
      <c r="AA267" s="42" t="str">
        <f aca="false">IF(OR($D267="",$Z267="",$K267=0),"",$Z267/$K267)</f>
        <v/>
      </c>
      <c r="AB267" s="44" t="str">
        <f aca="false">IF(OR($D267="",$Y267="",$K267=0),"",$Y267/$K267*10000)</f>
        <v/>
      </c>
      <c r="AC267" s="44" t="str">
        <f aca="false">IF(OR($D267="",$G267="",$G267=0,$I267=""),"",IF($E267="LONG",($I267-$G267)/$G267,($G267-$I267)/$G267)*10000)</f>
        <v/>
      </c>
      <c r="AD267" s="45"/>
      <c r="AE267" s="40" t="str">
        <f aca="false">IF(OR($D267="",$N267&lt;&gt;"",$AD267=""),"",IF($E267="LONG",($AD267-$I267)*$J267,($I267-$AD267)*$J267))</f>
        <v/>
      </c>
      <c r="AF267" s="40" t="str">
        <f aca="false">IF(OR($D267="",$E267&lt;&gt;"LONG",$Z267=""),"",$Z267+SUMIFS($Z$4:$Z$503,$B$4:$B$503,$B267,$E$4:$E$503,"SHORT"))</f>
        <v/>
      </c>
      <c r="AG267" s="42" t="str">
        <f aca="false">IF(OR($AF267="",$K267=0),"",$AF267/$K267)</f>
        <v/>
      </c>
      <c r="AH267" s="46"/>
      <c r="AI267" s="43" t="str">
        <f aca="false">IF(OR($D267="",$AH267="",$Z267=""),"",$Z267-$AH267)</f>
        <v/>
      </c>
      <c r="AJ267" s="49"/>
      <c r="AK267" s="47" t="str">
        <f aca="false">IF($D267="","",IFERROR(MATCH($F267,Config!$A$13:$A$15,0),1))</f>
        <v/>
      </c>
      <c r="AL267" s="47" t="str">
        <f aca="false">IF(OR($D267="",$N267=""),"",IF($E267="LONG",$K267,$O267))</f>
        <v/>
      </c>
      <c r="AM267" s="47" t="str">
        <f aca="false">IF(OR($D267="",$N267=""),"",IF($E267="LONG",$O267,$K267))</f>
        <v/>
      </c>
    </row>
    <row r="268" customFormat="false" ht="15" hidden="false" customHeight="false" outlineLevel="0" collapsed="false">
      <c r="A268" s="49"/>
      <c r="B268" s="5" t="str">
        <f aca="false">IF($D268="","",IF(OR(RIGHT($A268,2)="-L",RIGHT($A268,2)="-S"),LEFT($A268,LEN($A268)-2),$A268))</f>
        <v/>
      </c>
      <c r="C268" s="50"/>
      <c r="D268" s="49"/>
      <c r="E268" s="49"/>
      <c r="F268" s="49"/>
      <c r="G268" s="45"/>
      <c r="H268" s="50"/>
      <c r="I268" s="45"/>
      <c r="J268" s="51"/>
      <c r="K268" s="40" t="str">
        <f aca="false">IF($D268="","",$I268*$J268)</f>
        <v/>
      </c>
      <c r="L268" s="50"/>
      <c r="M268" s="49"/>
      <c r="N268" s="45"/>
      <c r="O268" s="40" t="str">
        <f aca="false">IF(OR($D268="",$N268=""),"",$N268*$J268)</f>
        <v/>
      </c>
      <c r="P268" s="41" t="str">
        <f aca="false">IF(OR($D268="",$L268=""),"",MAX($L268-$H268,0))</f>
        <v/>
      </c>
      <c r="Q268" s="40" t="str">
        <f aca="false">IF(OR($D268="",$N268=""),"",IF($E268="LONG",($N268-$I268)*$J268,($I268-$N268)*$J268))</f>
        <v/>
      </c>
      <c r="R268" s="42" t="str">
        <f aca="false">IF(OR($D268="",$Q268="",$K268=0),"",$Q268/$K268)</f>
        <v/>
      </c>
      <c r="S268" s="43" t="str">
        <f aca="false">IF(OR($D268="",$N268=""),"",MIN(INDEX(Config!$C$13:$C$15,$AK268),INDEX(Config!$B$13:$B$15,$AK268)*$K268)+MIN(INDEX(Config!$C$13:$C$15,$AK268),INDEX(Config!$B$13:$B$15,$AK268)*$O268))</f>
        <v/>
      </c>
      <c r="T268" s="43" t="str">
        <f aca="false">IF(OR($D268="",$N268=""),"",INDEX(Config!$D$13:$D$15,$AK268)*$AL268+INDEX(Config!$E$13:$E$15,$AK268)*$AM268)</f>
        <v/>
      </c>
      <c r="U268" s="43" t="str">
        <f aca="false">IF(OR($D268="",$N268=""),"",INDEX(Config!$F$13:$F$15,$AK268)*($K268+$O268))</f>
        <v/>
      </c>
      <c r="V268" s="43" t="str">
        <f aca="false">IF(OR($D268="",$N268=""),"",INDEX(Config!$G$13:$G$15,$AK268)*($K268+$O268)+INDEX(Config!$H$13:$H$15,$AK268)*$AL268+INDEX(Config!$J$13:$J$15,$AK268))</f>
        <v/>
      </c>
      <c r="W268" s="43" t="str">
        <f aca="false">IF(OR($D268="",$N268=""),"",INDEX(Config!$I$13:$I$15,$AK268)*($S268+$U268+INDEX(Config!$G$13:$G$15,$AK268)*($K268+$O268)))</f>
        <v/>
      </c>
      <c r="X268" s="43" t="str">
        <f aca="false">IF(OR($D268="",$N268=""),"",INDEX(Config!$K$13:$K$15,$AK268)/365*$P268*$K268*Config!$B$8)</f>
        <v/>
      </c>
      <c r="Y268" s="43" t="str">
        <f aca="false">IF(OR($D268="",$N268=""),"",SUM($S268:$X268))</f>
        <v/>
      </c>
      <c r="Z268" s="40" t="str">
        <f aca="false">IF(OR($D268="",$Q268=""),"",$Q268-$Y268)</f>
        <v/>
      </c>
      <c r="AA268" s="42" t="str">
        <f aca="false">IF(OR($D268="",$Z268="",$K268=0),"",$Z268/$K268)</f>
        <v/>
      </c>
      <c r="AB268" s="44" t="str">
        <f aca="false">IF(OR($D268="",$Y268="",$K268=0),"",$Y268/$K268*10000)</f>
        <v/>
      </c>
      <c r="AC268" s="44" t="str">
        <f aca="false">IF(OR($D268="",$G268="",$G268=0,$I268=""),"",IF($E268="LONG",($I268-$G268)/$G268,($G268-$I268)/$G268)*10000)</f>
        <v/>
      </c>
      <c r="AD268" s="45"/>
      <c r="AE268" s="40" t="str">
        <f aca="false">IF(OR($D268="",$N268&lt;&gt;"",$AD268=""),"",IF($E268="LONG",($AD268-$I268)*$J268,($I268-$AD268)*$J268))</f>
        <v/>
      </c>
      <c r="AF268" s="40" t="str">
        <f aca="false">IF(OR($D268="",$E268&lt;&gt;"LONG",$Z268=""),"",$Z268+SUMIFS($Z$4:$Z$503,$B$4:$B$503,$B268,$E$4:$E$503,"SHORT"))</f>
        <v/>
      </c>
      <c r="AG268" s="42" t="str">
        <f aca="false">IF(OR($AF268="",$K268=0),"",$AF268/$K268)</f>
        <v/>
      </c>
      <c r="AH268" s="46"/>
      <c r="AI268" s="43" t="str">
        <f aca="false">IF(OR($D268="",$AH268="",$Z268=""),"",$Z268-$AH268)</f>
        <v/>
      </c>
      <c r="AJ268" s="49"/>
      <c r="AK268" s="47" t="str">
        <f aca="false">IF($D268="","",IFERROR(MATCH($F268,Config!$A$13:$A$15,0),1))</f>
        <v/>
      </c>
      <c r="AL268" s="47" t="str">
        <f aca="false">IF(OR($D268="",$N268=""),"",IF($E268="LONG",$K268,$O268))</f>
        <v/>
      </c>
      <c r="AM268" s="47" t="str">
        <f aca="false">IF(OR($D268="",$N268=""),"",IF($E268="LONG",$O268,$K268))</f>
        <v/>
      </c>
    </row>
    <row r="269" customFormat="false" ht="15" hidden="false" customHeight="false" outlineLevel="0" collapsed="false">
      <c r="A269" s="49"/>
      <c r="B269" s="5" t="str">
        <f aca="false">IF($D269="","",IF(OR(RIGHT($A269,2)="-L",RIGHT($A269,2)="-S"),LEFT($A269,LEN($A269)-2),$A269))</f>
        <v/>
      </c>
      <c r="C269" s="50"/>
      <c r="D269" s="49"/>
      <c r="E269" s="49"/>
      <c r="F269" s="49"/>
      <c r="G269" s="45"/>
      <c r="H269" s="50"/>
      <c r="I269" s="45"/>
      <c r="J269" s="51"/>
      <c r="K269" s="40" t="str">
        <f aca="false">IF($D269="","",$I269*$J269)</f>
        <v/>
      </c>
      <c r="L269" s="50"/>
      <c r="M269" s="49"/>
      <c r="N269" s="45"/>
      <c r="O269" s="40" t="str">
        <f aca="false">IF(OR($D269="",$N269=""),"",$N269*$J269)</f>
        <v/>
      </c>
      <c r="P269" s="41" t="str">
        <f aca="false">IF(OR($D269="",$L269=""),"",MAX($L269-$H269,0))</f>
        <v/>
      </c>
      <c r="Q269" s="40" t="str">
        <f aca="false">IF(OR($D269="",$N269=""),"",IF($E269="LONG",($N269-$I269)*$J269,($I269-$N269)*$J269))</f>
        <v/>
      </c>
      <c r="R269" s="42" t="str">
        <f aca="false">IF(OR($D269="",$Q269="",$K269=0),"",$Q269/$K269)</f>
        <v/>
      </c>
      <c r="S269" s="43" t="str">
        <f aca="false">IF(OR($D269="",$N269=""),"",MIN(INDEX(Config!$C$13:$C$15,$AK269),INDEX(Config!$B$13:$B$15,$AK269)*$K269)+MIN(INDEX(Config!$C$13:$C$15,$AK269),INDEX(Config!$B$13:$B$15,$AK269)*$O269))</f>
        <v/>
      </c>
      <c r="T269" s="43" t="str">
        <f aca="false">IF(OR($D269="",$N269=""),"",INDEX(Config!$D$13:$D$15,$AK269)*$AL269+INDEX(Config!$E$13:$E$15,$AK269)*$AM269)</f>
        <v/>
      </c>
      <c r="U269" s="43" t="str">
        <f aca="false">IF(OR($D269="",$N269=""),"",INDEX(Config!$F$13:$F$15,$AK269)*($K269+$O269))</f>
        <v/>
      </c>
      <c r="V269" s="43" t="str">
        <f aca="false">IF(OR($D269="",$N269=""),"",INDEX(Config!$G$13:$G$15,$AK269)*($K269+$O269)+INDEX(Config!$H$13:$H$15,$AK269)*$AL269+INDEX(Config!$J$13:$J$15,$AK269))</f>
        <v/>
      </c>
      <c r="W269" s="43" t="str">
        <f aca="false">IF(OR($D269="",$N269=""),"",INDEX(Config!$I$13:$I$15,$AK269)*($S269+$U269+INDEX(Config!$G$13:$G$15,$AK269)*($K269+$O269)))</f>
        <v/>
      </c>
      <c r="X269" s="43" t="str">
        <f aca="false">IF(OR($D269="",$N269=""),"",INDEX(Config!$K$13:$K$15,$AK269)/365*$P269*$K269*Config!$B$8)</f>
        <v/>
      </c>
      <c r="Y269" s="43" t="str">
        <f aca="false">IF(OR($D269="",$N269=""),"",SUM($S269:$X269))</f>
        <v/>
      </c>
      <c r="Z269" s="40" t="str">
        <f aca="false">IF(OR($D269="",$Q269=""),"",$Q269-$Y269)</f>
        <v/>
      </c>
      <c r="AA269" s="42" t="str">
        <f aca="false">IF(OR($D269="",$Z269="",$K269=0),"",$Z269/$K269)</f>
        <v/>
      </c>
      <c r="AB269" s="44" t="str">
        <f aca="false">IF(OR($D269="",$Y269="",$K269=0),"",$Y269/$K269*10000)</f>
        <v/>
      </c>
      <c r="AC269" s="44" t="str">
        <f aca="false">IF(OR($D269="",$G269="",$G269=0,$I269=""),"",IF($E269="LONG",($I269-$G269)/$G269,($G269-$I269)/$G269)*10000)</f>
        <v/>
      </c>
      <c r="AD269" s="45"/>
      <c r="AE269" s="40" t="str">
        <f aca="false">IF(OR($D269="",$N269&lt;&gt;"",$AD269=""),"",IF($E269="LONG",($AD269-$I269)*$J269,($I269-$AD269)*$J269))</f>
        <v/>
      </c>
      <c r="AF269" s="40" t="str">
        <f aca="false">IF(OR($D269="",$E269&lt;&gt;"LONG",$Z269=""),"",$Z269+SUMIFS($Z$4:$Z$503,$B$4:$B$503,$B269,$E$4:$E$503,"SHORT"))</f>
        <v/>
      </c>
      <c r="AG269" s="42" t="str">
        <f aca="false">IF(OR($AF269="",$K269=0),"",$AF269/$K269)</f>
        <v/>
      </c>
      <c r="AH269" s="46"/>
      <c r="AI269" s="43" t="str">
        <f aca="false">IF(OR($D269="",$AH269="",$Z269=""),"",$Z269-$AH269)</f>
        <v/>
      </c>
      <c r="AJ269" s="49"/>
      <c r="AK269" s="47" t="str">
        <f aca="false">IF($D269="","",IFERROR(MATCH($F269,Config!$A$13:$A$15,0),1))</f>
        <v/>
      </c>
      <c r="AL269" s="47" t="str">
        <f aca="false">IF(OR($D269="",$N269=""),"",IF($E269="LONG",$K269,$O269))</f>
        <v/>
      </c>
      <c r="AM269" s="47" t="str">
        <f aca="false">IF(OR($D269="",$N269=""),"",IF($E269="LONG",$O269,$K269))</f>
        <v/>
      </c>
    </row>
    <row r="270" customFormat="false" ht="15" hidden="false" customHeight="false" outlineLevel="0" collapsed="false">
      <c r="A270" s="49"/>
      <c r="B270" s="5" t="str">
        <f aca="false">IF($D270="","",IF(OR(RIGHT($A270,2)="-L",RIGHT($A270,2)="-S"),LEFT($A270,LEN($A270)-2),$A270))</f>
        <v/>
      </c>
      <c r="C270" s="50"/>
      <c r="D270" s="49"/>
      <c r="E270" s="49"/>
      <c r="F270" s="49"/>
      <c r="G270" s="45"/>
      <c r="H270" s="50"/>
      <c r="I270" s="45"/>
      <c r="J270" s="51"/>
      <c r="K270" s="40" t="str">
        <f aca="false">IF($D270="","",$I270*$J270)</f>
        <v/>
      </c>
      <c r="L270" s="50"/>
      <c r="M270" s="49"/>
      <c r="N270" s="45"/>
      <c r="O270" s="40" t="str">
        <f aca="false">IF(OR($D270="",$N270=""),"",$N270*$J270)</f>
        <v/>
      </c>
      <c r="P270" s="41" t="str">
        <f aca="false">IF(OR($D270="",$L270=""),"",MAX($L270-$H270,0))</f>
        <v/>
      </c>
      <c r="Q270" s="40" t="str">
        <f aca="false">IF(OR($D270="",$N270=""),"",IF($E270="LONG",($N270-$I270)*$J270,($I270-$N270)*$J270))</f>
        <v/>
      </c>
      <c r="R270" s="42" t="str">
        <f aca="false">IF(OR($D270="",$Q270="",$K270=0),"",$Q270/$K270)</f>
        <v/>
      </c>
      <c r="S270" s="43" t="str">
        <f aca="false">IF(OR($D270="",$N270=""),"",MIN(INDEX(Config!$C$13:$C$15,$AK270),INDEX(Config!$B$13:$B$15,$AK270)*$K270)+MIN(INDEX(Config!$C$13:$C$15,$AK270),INDEX(Config!$B$13:$B$15,$AK270)*$O270))</f>
        <v/>
      </c>
      <c r="T270" s="43" t="str">
        <f aca="false">IF(OR($D270="",$N270=""),"",INDEX(Config!$D$13:$D$15,$AK270)*$AL270+INDEX(Config!$E$13:$E$15,$AK270)*$AM270)</f>
        <v/>
      </c>
      <c r="U270" s="43" t="str">
        <f aca="false">IF(OR($D270="",$N270=""),"",INDEX(Config!$F$13:$F$15,$AK270)*($K270+$O270))</f>
        <v/>
      </c>
      <c r="V270" s="43" t="str">
        <f aca="false">IF(OR($D270="",$N270=""),"",INDEX(Config!$G$13:$G$15,$AK270)*($K270+$O270)+INDEX(Config!$H$13:$H$15,$AK270)*$AL270+INDEX(Config!$J$13:$J$15,$AK270))</f>
        <v/>
      </c>
      <c r="W270" s="43" t="str">
        <f aca="false">IF(OR($D270="",$N270=""),"",INDEX(Config!$I$13:$I$15,$AK270)*($S270+$U270+INDEX(Config!$G$13:$G$15,$AK270)*($K270+$O270)))</f>
        <v/>
      </c>
      <c r="X270" s="43" t="str">
        <f aca="false">IF(OR($D270="",$N270=""),"",INDEX(Config!$K$13:$K$15,$AK270)/365*$P270*$K270*Config!$B$8)</f>
        <v/>
      </c>
      <c r="Y270" s="43" t="str">
        <f aca="false">IF(OR($D270="",$N270=""),"",SUM($S270:$X270))</f>
        <v/>
      </c>
      <c r="Z270" s="40" t="str">
        <f aca="false">IF(OR($D270="",$Q270=""),"",$Q270-$Y270)</f>
        <v/>
      </c>
      <c r="AA270" s="42" t="str">
        <f aca="false">IF(OR($D270="",$Z270="",$K270=0),"",$Z270/$K270)</f>
        <v/>
      </c>
      <c r="AB270" s="44" t="str">
        <f aca="false">IF(OR($D270="",$Y270="",$K270=0),"",$Y270/$K270*10000)</f>
        <v/>
      </c>
      <c r="AC270" s="44" t="str">
        <f aca="false">IF(OR($D270="",$G270="",$G270=0,$I270=""),"",IF($E270="LONG",($I270-$G270)/$G270,($G270-$I270)/$G270)*10000)</f>
        <v/>
      </c>
      <c r="AD270" s="45"/>
      <c r="AE270" s="40" t="str">
        <f aca="false">IF(OR($D270="",$N270&lt;&gt;"",$AD270=""),"",IF($E270="LONG",($AD270-$I270)*$J270,($I270-$AD270)*$J270))</f>
        <v/>
      </c>
      <c r="AF270" s="40" t="str">
        <f aca="false">IF(OR($D270="",$E270&lt;&gt;"LONG",$Z270=""),"",$Z270+SUMIFS($Z$4:$Z$503,$B$4:$B$503,$B270,$E$4:$E$503,"SHORT"))</f>
        <v/>
      </c>
      <c r="AG270" s="42" t="str">
        <f aca="false">IF(OR($AF270="",$K270=0),"",$AF270/$K270)</f>
        <v/>
      </c>
      <c r="AH270" s="46"/>
      <c r="AI270" s="43" t="str">
        <f aca="false">IF(OR($D270="",$AH270="",$Z270=""),"",$Z270-$AH270)</f>
        <v/>
      </c>
      <c r="AJ270" s="49"/>
      <c r="AK270" s="47" t="str">
        <f aca="false">IF($D270="","",IFERROR(MATCH($F270,Config!$A$13:$A$15,0),1))</f>
        <v/>
      </c>
      <c r="AL270" s="47" t="str">
        <f aca="false">IF(OR($D270="",$N270=""),"",IF($E270="LONG",$K270,$O270))</f>
        <v/>
      </c>
      <c r="AM270" s="47" t="str">
        <f aca="false">IF(OR($D270="",$N270=""),"",IF($E270="LONG",$O270,$K270))</f>
        <v/>
      </c>
    </row>
    <row r="271" customFormat="false" ht="15" hidden="false" customHeight="false" outlineLevel="0" collapsed="false">
      <c r="A271" s="49"/>
      <c r="B271" s="5" t="str">
        <f aca="false">IF($D271="","",IF(OR(RIGHT($A271,2)="-L",RIGHT($A271,2)="-S"),LEFT($A271,LEN($A271)-2),$A271))</f>
        <v/>
      </c>
      <c r="C271" s="50"/>
      <c r="D271" s="49"/>
      <c r="E271" s="49"/>
      <c r="F271" s="49"/>
      <c r="G271" s="45"/>
      <c r="H271" s="50"/>
      <c r="I271" s="45"/>
      <c r="J271" s="51"/>
      <c r="K271" s="40" t="str">
        <f aca="false">IF($D271="","",$I271*$J271)</f>
        <v/>
      </c>
      <c r="L271" s="50"/>
      <c r="M271" s="49"/>
      <c r="N271" s="45"/>
      <c r="O271" s="40" t="str">
        <f aca="false">IF(OR($D271="",$N271=""),"",$N271*$J271)</f>
        <v/>
      </c>
      <c r="P271" s="41" t="str">
        <f aca="false">IF(OR($D271="",$L271=""),"",MAX($L271-$H271,0))</f>
        <v/>
      </c>
      <c r="Q271" s="40" t="str">
        <f aca="false">IF(OR($D271="",$N271=""),"",IF($E271="LONG",($N271-$I271)*$J271,($I271-$N271)*$J271))</f>
        <v/>
      </c>
      <c r="R271" s="42" t="str">
        <f aca="false">IF(OR($D271="",$Q271="",$K271=0),"",$Q271/$K271)</f>
        <v/>
      </c>
      <c r="S271" s="43" t="str">
        <f aca="false">IF(OR($D271="",$N271=""),"",MIN(INDEX(Config!$C$13:$C$15,$AK271),INDEX(Config!$B$13:$B$15,$AK271)*$K271)+MIN(INDEX(Config!$C$13:$C$15,$AK271),INDEX(Config!$B$13:$B$15,$AK271)*$O271))</f>
        <v/>
      </c>
      <c r="T271" s="43" t="str">
        <f aca="false">IF(OR($D271="",$N271=""),"",INDEX(Config!$D$13:$D$15,$AK271)*$AL271+INDEX(Config!$E$13:$E$15,$AK271)*$AM271)</f>
        <v/>
      </c>
      <c r="U271" s="43" t="str">
        <f aca="false">IF(OR($D271="",$N271=""),"",INDEX(Config!$F$13:$F$15,$AK271)*($K271+$O271))</f>
        <v/>
      </c>
      <c r="V271" s="43" t="str">
        <f aca="false">IF(OR($D271="",$N271=""),"",INDEX(Config!$G$13:$G$15,$AK271)*($K271+$O271)+INDEX(Config!$H$13:$H$15,$AK271)*$AL271+INDEX(Config!$J$13:$J$15,$AK271))</f>
        <v/>
      </c>
      <c r="W271" s="43" t="str">
        <f aca="false">IF(OR($D271="",$N271=""),"",INDEX(Config!$I$13:$I$15,$AK271)*($S271+$U271+INDEX(Config!$G$13:$G$15,$AK271)*($K271+$O271)))</f>
        <v/>
      </c>
      <c r="X271" s="43" t="str">
        <f aca="false">IF(OR($D271="",$N271=""),"",INDEX(Config!$K$13:$K$15,$AK271)/365*$P271*$K271*Config!$B$8)</f>
        <v/>
      </c>
      <c r="Y271" s="43" t="str">
        <f aca="false">IF(OR($D271="",$N271=""),"",SUM($S271:$X271))</f>
        <v/>
      </c>
      <c r="Z271" s="40" t="str">
        <f aca="false">IF(OR($D271="",$Q271=""),"",$Q271-$Y271)</f>
        <v/>
      </c>
      <c r="AA271" s="42" t="str">
        <f aca="false">IF(OR($D271="",$Z271="",$K271=0),"",$Z271/$K271)</f>
        <v/>
      </c>
      <c r="AB271" s="44" t="str">
        <f aca="false">IF(OR($D271="",$Y271="",$K271=0),"",$Y271/$K271*10000)</f>
        <v/>
      </c>
      <c r="AC271" s="44" t="str">
        <f aca="false">IF(OR($D271="",$G271="",$G271=0,$I271=""),"",IF($E271="LONG",($I271-$G271)/$G271,($G271-$I271)/$G271)*10000)</f>
        <v/>
      </c>
      <c r="AD271" s="45"/>
      <c r="AE271" s="40" t="str">
        <f aca="false">IF(OR($D271="",$N271&lt;&gt;"",$AD271=""),"",IF($E271="LONG",($AD271-$I271)*$J271,($I271-$AD271)*$J271))</f>
        <v/>
      </c>
      <c r="AF271" s="40" t="str">
        <f aca="false">IF(OR($D271="",$E271&lt;&gt;"LONG",$Z271=""),"",$Z271+SUMIFS($Z$4:$Z$503,$B$4:$B$503,$B271,$E$4:$E$503,"SHORT"))</f>
        <v/>
      </c>
      <c r="AG271" s="42" t="str">
        <f aca="false">IF(OR($AF271="",$K271=0),"",$AF271/$K271)</f>
        <v/>
      </c>
      <c r="AH271" s="46"/>
      <c r="AI271" s="43" t="str">
        <f aca="false">IF(OR($D271="",$AH271="",$Z271=""),"",$Z271-$AH271)</f>
        <v/>
      </c>
      <c r="AJ271" s="49"/>
      <c r="AK271" s="47" t="str">
        <f aca="false">IF($D271="","",IFERROR(MATCH($F271,Config!$A$13:$A$15,0),1))</f>
        <v/>
      </c>
      <c r="AL271" s="47" t="str">
        <f aca="false">IF(OR($D271="",$N271=""),"",IF($E271="LONG",$K271,$O271))</f>
        <v/>
      </c>
      <c r="AM271" s="47" t="str">
        <f aca="false">IF(OR($D271="",$N271=""),"",IF($E271="LONG",$O271,$K271))</f>
        <v/>
      </c>
    </row>
    <row r="272" customFormat="false" ht="15" hidden="false" customHeight="false" outlineLevel="0" collapsed="false">
      <c r="A272" s="49"/>
      <c r="B272" s="5" t="str">
        <f aca="false">IF($D272="","",IF(OR(RIGHT($A272,2)="-L",RIGHT($A272,2)="-S"),LEFT($A272,LEN($A272)-2),$A272))</f>
        <v/>
      </c>
      <c r="C272" s="50"/>
      <c r="D272" s="49"/>
      <c r="E272" s="49"/>
      <c r="F272" s="49"/>
      <c r="G272" s="45"/>
      <c r="H272" s="50"/>
      <c r="I272" s="45"/>
      <c r="J272" s="51"/>
      <c r="K272" s="40" t="str">
        <f aca="false">IF($D272="","",$I272*$J272)</f>
        <v/>
      </c>
      <c r="L272" s="50"/>
      <c r="M272" s="49"/>
      <c r="N272" s="45"/>
      <c r="O272" s="40" t="str">
        <f aca="false">IF(OR($D272="",$N272=""),"",$N272*$J272)</f>
        <v/>
      </c>
      <c r="P272" s="41" t="str">
        <f aca="false">IF(OR($D272="",$L272=""),"",MAX($L272-$H272,0))</f>
        <v/>
      </c>
      <c r="Q272" s="40" t="str">
        <f aca="false">IF(OR($D272="",$N272=""),"",IF($E272="LONG",($N272-$I272)*$J272,($I272-$N272)*$J272))</f>
        <v/>
      </c>
      <c r="R272" s="42" t="str">
        <f aca="false">IF(OR($D272="",$Q272="",$K272=0),"",$Q272/$K272)</f>
        <v/>
      </c>
      <c r="S272" s="43" t="str">
        <f aca="false">IF(OR($D272="",$N272=""),"",MIN(INDEX(Config!$C$13:$C$15,$AK272),INDEX(Config!$B$13:$B$15,$AK272)*$K272)+MIN(INDEX(Config!$C$13:$C$15,$AK272),INDEX(Config!$B$13:$B$15,$AK272)*$O272))</f>
        <v/>
      </c>
      <c r="T272" s="43" t="str">
        <f aca="false">IF(OR($D272="",$N272=""),"",INDEX(Config!$D$13:$D$15,$AK272)*$AL272+INDEX(Config!$E$13:$E$15,$AK272)*$AM272)</f>
        <v/>
      </c>
      <c r="U272" s="43" t="str">
        <f aca="false">IF(OR($D272="",$N272=""),"",INDEX(Config!$F$13:$F$15,$AK272)*($K272+$O272))</f>
        <v/>
      </c>
      <c r="V272" s="43" t="str">
        <f aca="false">IF(OR($D272="",$N272=""),"",INDEX(Config!$G$13:$G$15,$AK272)*($K272+$O272)+INDEX(Config!$H$13:$H$15,$AK272)*$AL272+INDEX(Config!$J$13:$J$15,$AK272))</f>
        <v/>
      </c>
      <c r="W272" s="43" t="str">
        <f aca="false">IF(OR($D272="",$N272=""),"",INDEX(Config!$I$13:$I$15,$AK272)*($S272+$U272+INDEX(Config!$G$13:$G$15,$AK272)*($K272+$O272)))</f>
        <v/>
      </c>
      <c r="X272" s="43" t="str">
        <f aca="false">IF(OR($D272="",$N272=""),"",INDEX(Config!$K$13:$K$15,$AK272)/365*$P272*$K272*Config!$B$8)</f>
        <v/>
      </c>
      <c r="Y272" s="43" t="str">
        <f aca="false">IF(OR($D272="",$N272=""),"",SUM($S272:$X272))</f>
        <v/>
      </c>
      <c r="Z272" s="40" t="str">
        <f aca="false">IF(OR($D272="",$Q272=""),"",$Q272-$Y272)</f>
        <v/>
      </c>
      <c r="AA272" s="42" t="str">
        <f aca="false">IF(OR($D272="",$Z272="",$K272=0),"",$Z272/$K272)</f>
        <v/>
      </c>
      <c r="AB272" s="44" t="str">
        <f aca="false">IF(OR($D272="",$Y272="",$K272=0),"",$Y272/$K272*10000)</f>
        <v/>
      </c>
      <c r="AC272" s="44" t="str">
        <f aca="false">IF(OR($D272="",$G272="",$G272=0,$I272=""),"",IF($E272="LONG",($I272-$G272)/$G272,($G272-$I272)/$G272)*10000)</f>
        <v/>
      </c>
      <c r="AD272" s="45"/>
      <c r="AE272" s="40" t="str">
        <f aca="false">IF(OR($D272="",$N272&lt;&gt;"",$AD272=""),"",IF($E272="LONG",($AD272-$I272)*$J272,($I272-$AD272)*$J272))</f>
        <v/>
      </c>
      <c r="AF272" s="40" t="str">
        <f aca="false">IF(OR($D272="",$E272&lt;&gt;"LONG",$Z272=""),"",$Z272+SUMIFS($Z$4:$Z$503,$B$4:$B$503,$B272,$E$4:$E$503,"SHORT"))</f>
        <v/>
      </c>
      <c r="AG272" s="42" t="str">
        <f aca="false">IF(OR($AF272="",$K272=0),"",$AF272/$K272)</f>
        <v/>
      </c>
      <c r="AH272" s="46"/>
      <c r="AI272" s="43" t="str">
        <f aca="false">IF(OR($D272="",$AH272="",$Z272=""),"",$Z272-$AH272)</f>
        <v/>
      </c>
      <c r="AJ272" s="49"/>
      <c r="AK272" s="47" t="str">
        <f aca="false">IF($D272="","",IFERROR(MATCH($F272,Config!$A$13:$A$15,0),1))</f>
        <v/>
      </c>
      <c r="AL272" s="47" t="str">
        <f aca="false">IF(OR($D272="",$N272=""),"",IF($E272="LONG",$K272,$O272))</f>
        <v/>
      </c>
      <c r="AM272" s="47" t="str">
        <f aca="false">IF(OR($D272="",$N272=""),"",IF($E272="LONG",$O272,$K272))</f>
        <v/>
      </c>
    </row>
    <row r="273" customFormat="false" ht="15" hidden="false" customHeight="false" outlineLevel="0" collapsed="false">
      <c r="A273" s="49"/>
      <c r="B273" s="5" t="str">
        <f aca="false">IF($D273="","",IF(OR(RIGHT($A273,2)="-L",RIGHT($A273,2)="-S"),LEFT($A273,LEN($A273)-2),$A273))</f>
        <v/>
      </c>
      <c r="C273" s="50"/>
      <c r="D273" s="49"/>
      <c r="E273" s="49"/>
      <c r="F273" s="49"/>
      <c r="G273" s="45"/>
      <c r="H273" s="50"/>
      <c r="I273" s="45"/>
      <c r="J273" s="51"/>
      <c r="K273" s="40" t="str">
        <f aca="false">IF($D273="","",$I273*$J273)</f>
        <v/>
      </c>
      <c r="L273" s="50"/>
      <c r="M273" s="49"/>
      <c r="N273" s="45"/>
      <c r="O273" s="40" t="str">
        <f aca="false">IF(OR($D273="",$N273=""),"",$N273*$J273)</f>
        <v/>
      </c>
      <c r="P273" s="41" t="str">
        <f aca="false">IF(OR($D273="",$L273=""),"",MAX($L273-$H273,0))</f>
        <v/>
      </c>
      <c r="Q273" s="40" t="str">
        <f aca="false">IF(OR($D273="",$N273=""),"",IF($E273="LONG",($N273-$I273)*$J273,($I273-$N273)*$J273))</f>
        <v/>
      </c>
      <c r="R273" s="42" t="str">
        <f aca="false">IF(OR($D273="",$Q273="",$K273=0),"",$Q273/$K273)</f>
        <v/>
      </c>
      <c r="S273" s="43" t="str">
        <f aca="false">IF(OR($D273="",$N273=""),"",MIN(INDEX(Config!$C$13:$C$15,$AK273),INDEX(Config!$B$13:$B$15,$AK273)*$K273)+MIN(INDEX(Config!$C$13:$C$15,$AK273),INDEX(Config!$B$13:$B$15,$AK273)*$O273))</f>
        <v/>
      </c>
      <c r="T273" s="43" t="str">
        <f aca="false">IF(OR($D273="",$N273=""),"",INDEX(Config!$D$13:$D$15,$AK273)*$AL273+INDEX(Config!$E$13:$E$15,$AK273)*$AM273)</f>
        <v/>
      </c>
      <c r="U273" s="43" t="str">
        <f aca="false">IF(OR($D273="",$N273=""),"",INDEX(Config!$F$13:$F$15,$AK273)*($K273+$O273))</f>
        <v/>
      </c>
      <c r="V273" s="43" t="str">
        <f aca="false">IF(OR($D273="",$N273=""),"",INDEX(Config!$G$13:$G$15,$AK273)*($K273+$O273)+INDEX(Config!$H$13:$H$15,$AK273)*$AL273+INDEX(Config!$J$13:$J$15,$AK273))</f>
        <v/>
      </c>
      <c r="W273" s="43" t="str">
        <f aca="false">IF(OR($D273="",$N273=""),"",INDEX(Config!$I$13:$I$15,$AK273)*($S273+$U273+INDEX(Config!$G$13:$G$15,$AK273)*($K273+$O273)))</f>
        <v/>
      </c>
      <c r="X273" s="43" t="str">
        <f aca="false">IF(OR($D273="",$N273=""),"",INDEX(Config!$K$13:$K$15,$AK273)/365*$P273*$K273*Config!$B$8)</f>
        <v/>
      </c>
      <c r="Y273" s="43" t="str">
        <f aca="false">IF(OR($D273="",$N273=""),"",SUM($S273:$X273))</f>
        <v/>
      </c>
      <c r="Z273" s="40" t="str">
        <f aca="false">IF(OR($D273="",$Q273=""),"",$Q273-$Y273)</f>
        <v/>
      </c>
      <c r="AA273" s="42" t="str">
        <f aca="false">IF(OR($D273="",$Z273="",$K273=0),"",$Z273/$K273)</f>
        <v/>
      </c>
      <c r="AB273" s="44" t="str">
        <f aca="false">IF(OR($D273="",$Y273="",$K273=0),"",$Y273/$K273*10000)</f>
        <v/>
      </c>
      <c r="AC273" s="44" t="str">
        <f aca="false">IF(OR($D273="",$G273="",$G273=0,$I273=""),"",IF($E273="LONG",($I273-$G273)/$G273,($G273-$I273)/$G273)*10000)</f>
        <v/>
      </c>
      <c r="AD273" s="45"/>
      <c r="AE273" s="40" t="str">
        <f aca="false">IF(OR($D273="",$N273&lt;&gt;"",$AD273=""),"",IF($E273="LONG",($AD273-$I273)*$J273,($I273-$AD273)*$J273))</f>
        <v/>
      </c>
      <c r="AF273" s="40" t="str">
        <f aca="false">IF(OR($D273="",$E273&lt;&gt;"LONG",$Z273=""),"",$Z273+SUMIFS($Z$4:$Z$503,$B$4:$B$503,$B273,$E$4:$E$503,"SHORT"))</f>
        <v/>
      </c>
      <c r="AG273" s="42" t="str">
        <f aca="false">IF(OR($AF273="",$K273=0),"",$AF273/$K273)</f>
        <v/>
      </c>
      <c r="AH273" s="46"/>
      <c r="AI273" s="43" t="str">
        <f aca="false">IF(OR($D273="",$AH273="",$Z273=""),"",$Z273-$AH273)</f>
        <v/>
      </c>
      <c r="AJ273" s="49"/>
      <c r="AK273" s="47" t="str">
        <f aca="false">IF($D273="","",IFERROR(MATCH($F273,Config!$A$13:$A$15,0),1))</f>
        <v/>
      </c>
      <c r="AL273" s="47" t="str">
        <f aca="false">IF(OR($D273="",$N273=""),"",IF($E273="LONG",$K273,$O273))</f>
        <v/>
      </c>
      <c r="AM273" s="47" t="str">
        <f aca="false">IF(OR($D273="",$N273=""),"",IF($E273="LONG",$O273,$K273))</f>
        <v/>
      </c>
    </row>
    <row r="274" customFormat="false" ht="15" hidden="false" customHeight="false" outlineLevel="0" collapsed="false">
      <c r="A274" s="49"/>
      <c r="B274" s="5" t="str">
        <f aca="false">IF($D274="","",IF(OR(RIGHT($A274,2)="-L",RIGHT($A274,2)="-S"),LEFT($A274,LEN($A274)-2),$A274))</f>
        <v/>
      </c>
      <c r="C274" s="50"/>
      <c r="D274" s="49"/>
      <c r="E274" s="49"/>
      <c r="F274" s="49"/>
      <c r="G274" s="45"/>
      <c r="H274" s="50"/>
      <c r="I274" s="45"/>
      <c r="J274" s="51"/>
      <c r="K274" s="40" t="str">
        <f aca="false">IF($D274="","",$I274*$J274)</f>
        <v/>
      </c>
      <c r="L274" s="50"/>
      <c r="M274" s="49"/>
      <c r="N274" s="45"/>
      <c r="O274" s="40" t="str">
        <f aca="false">IF(OR($D274="",$N274=""),"",$N274*$J274)</f>
        <v/>
      </c>
      <c r="P274" s="41" t="str">
        <f aca="false">IF(OR($D274="",$L274=""),"",MAX($L274-$H274,0))</f>
        <v/>
      </c>
      <c r="Q274" s="40" t="str">
        <f aca="false">IF(OR($D274="",$N274=""),"",IF($E274="LONG",($N274-$I274)*$J274,($I274-$N274)*$J274))</f>
        <v/>
      </c>
      <c r="R274" s="42" t="str">
        <f aca="false">IF(OR($D274="",$Q274="",$K274=0),"",$Q274/$K274)</f>
        <v/>
      </c>
      <c r="S274" s="43" t="str">
        <f aca="false">IF(OR($D274="",$N274=""),"",MIN(INDEX(Config!$C$13:$C$15,$AK274),INDEX(Config!$B$13:$B$15,$AK274)*$K274)+MIN(INDEX(Config!$C$13:$C$15,$AK274),INDEX(Config!$B$13:$B$15,$AK274)*$O274))</f>
        <v/>
      </c>
      <c r="T274" s="43" t="str">
        <f aca="false">IF(OR($D274="",$N274=""),"",INDEX(Config!$D$13:$D$15,$AK274)*$AL274+INDEX(Config!$E$13:$E$15,$AK274)*$AM274)</f>
        <v/>
      </c>
      <c r="U274" s="43" t="str">
        <f aca="false">IF(OR($D274="",$N274=""),"",INDEX(Config!$F$13:$F$15,$AK274)*($K274+$O274))</f>
        <v/>
      </c>
      <c r="V274" s="43" t="str">
        <f aca="false">IF(OR($D274="",$N274=""),"",INDEX(Config!$G$13:$G$15,$AK274)*($K274+$O274)+INDEX(Config!$H$13:$H$15,$AK274)*$AL274+INDEX(Config!$J$13:$J$15,$AK274))</f>
        <v/>
      </c>
      <c r="W274" s="43" t="str">
        <f aca="false">IF(OR($D274="",$N274=""),"",INDEX(Config!$I$13:$I$15,$AK274)*($S274+$U274+INDEX(Config!$G$13:$G$15,$AK274)*($K274+$O274)))</f>
        <v/>
      </c>
      <c r="X274" s="43" t="str">
        <f aca="false">IF(OR($D274="",$N274=""),"",INDEX(Config!$K$13:$K$15,$AK274)/365*$P274*$K274*Config!$B$8)</f>
        <v/>
      </c>
      <c r="Y274" s="43" t="str">
        <f aca="false">IF(OR($D274="",$N274=""),"",SUM($S274:$X274))</f>
        <v/>
      </c>
      <c r="Z274" s="40" t="str">
        <f aca="false">IF(OR($D274="",$Q274=""),"",$Q274-$Y274)</f>
        <v/>
      </c>
      <c r="AA274" s="42" t="str">
        <f aca="false">IF(OR($D274="",$Z274="",$K274=0),"",$Z274/$K274)</f>
        <v/>
      </c>
      <c r="AB274" s="44" t="str">
        <f aca="false">IF(OR($D274="",$Y274="",$K274=0),"",$Y274/$K274*10000)</f>
        <v/>
      </c>
      <c r="AC274" s="44" t="str">
        <f aca="false">IF(OR($D274="",$G274="",$G274=0,$I274=""),"",IF($E274="LONG",($I274-$G274)/$G274,($G274-$I274)/$G274)*10000)</f>
        <v/>
      </c>
      <c r="AD274" s="45"/>
      <c r="AE274" s="40" t="str">
        <f aca="false">IF(OR($D274="",$N274&lt;&gt;"",$AD274=""),"",IF($E274="LONG",($AD274-$I274)*$J274,($I274-$AD274)*$J274))</f>
        <v/>
      </c>
      <c r="AF274" s="40" t="str">
        <f aca="false">IF(OR($D274="",$E274&lt;&gt;"LONG",$Z274=""),"",$Z274+SUMIFS($Z$4:$Z$503,$B$4:$B$503,$B274,$E$4:$E$503,"SHORT"))</f>
        <v/>
      </c>
      <c r="AG274" s="42" t="str">
        <f aca="false">IF(OR($AF274="",$K274=0),"",$AF274/$K274)</f>
        <v/>
      </c>
      <c r="AH274" s="46"/>
      <c r="AI274" s="43" t="str">
        <f aca="false">IF(OR($D274="",$AH274="",$Z274=""),"",$Z274-$AH274)</f>
        <v/>
      </c>
      <c r="AJ274" s="49"/>
      <c r="AK274" s="47" t="str">
        <f aca="false">IF($D274="","",IFERROR(MATCH($F274,Config!$A$13:$A$15,0),1))</f>
        <v/>
      </c>
      <c r="AL274" s="47" t="str">
        <f aca="false">IF(OR($D274="",$N274=""),"",IF($E274="LONG",$K274,$O274))</f>
        <v/>
      </c>
      <c r="AM274" s="47" t="str">
        <f aca="false">IF(OR($D274="",$N274=""),"",IF($E274="LONG",$O274,$K274))</f>
        <v/>
      </c>
    </row>
    <row r="275" customFormat="false" ht="15" hidden="false" customHeight="false" outlineLevel="0" collapsed="false">
      <c r="A275" s="49"/>
      <c r="B275" s="5" t="str">
        <f aca="false">IF($D275="","",IF(OR(RIGHT($A275,2)="-L",RIGHT($A275,2)="-S"),LEFT($A275,LEN($A275)-2),$A275))</f>
        <v/>
      </c>
      <c r="C275" s="50"/>
      <c r="D275" s="49"/>
      <c r="E275" s="49"/>
      <c r="F275" s="49"/>
      <c r="G275" s="45"/>
      <c r="H275" s="50"/>
      <c r="I275" s="45"/>
      <c r="J275" s="51"/>
      <c r="K275" s="40" t="str">
        <f aca="false">IF($D275="","",$I275*$J275)</f>
        <v/>
      </c>
      <c r="L275" s="50"/>
      <c r="M275" s="49"/>
      <c r="N275" s="45"/>
      <c r="O275" s="40" t="str">
        <f aca="false">IF(OR($D275="",$N275=""),"",$N275*$J275)</f>
        <v/>
      </c>
      <c r="P275" s="41" t="str">
        <f aca="false">IF(OR($D275="",$L275=""),"",MAX($L275-$H275,0))</f>
        <v/>
      </c>
      <c r="Q275" s="40" t="str">
        <f aca="false">IF(OR($D275="",$N275=""),"",IF($E275="LONG",($N275-$I275)*$J275,($I275-$N275)*$J275))</f>
        <v/>
      </c>
      <c r="R275" s="42" t="str">
        <f aca="false">IF(OR($D275="",$Q275="",$K275=0),"",$Q275/$K275)</f>
        <v/>
      </c>
      <c r="S275" s="43" t="str">
        <f aca="false">IF(OR($D275="",$N275=""),"",MIN(INDEX(Config!$C$13:$C$15,$AK275),INDEX(Config!$B$13:$B$15,$AK275)*$K275)+MIN(INDEX(Config!$C$13:$C$15,$AK275),INDEX(Config!$B$13:$B$15,$AK275)*$O275))</f>
        <v/>
      </c>
      <c r="T275" s="43" t="str">
        <f aca="false">IF(OR($D275="",$N275=""),"",INDEX(Config!$D$13:$D$15,$AK275)*$AL275+INDEX(Config!$E$13:$E$15,$AK275)*$AM275)</f>
        <v/>
      </c>
      <c r="U275" s="43" t="str">
        <f aca="false">IF(OR($D275="",$N275=""),"",INDEX(Config!$F$13:$F$15,$AK275)*($K275+$O275))</f>
        <v/>
      </c>
      <c r="V275" s="43" t="str">
        <f aca="false">IF(OR($D275="",$N275=""),"",INDEX(Config!$G$13:$G$15,$AK275)*($K275+$O275)+INDEX(Config!$H$13:$H$15,$AK275)*$AL275+INDEX(Config!$J$13:$J$15,$AK275))</f>
        <v/>
      </c>
      <c r="W275" s="43" t="str">
        <f aca="false">IF(OR($D275="",$N275=""),"",INDEX(Config!$I$13:$I$15,$AK275)*($S275+$U275+INDEX(Config!$G$13:$G$15,$AK275)*($K275+$O275)))</f>
        <v/>
      </c>
      <c r="X275" s="43" t="str">
        <f aca="false">IF(OR($D275="",$N275=""),"",INDEX(Config!$K$13:$K$15,$AK275)/365*$P275*$K275*Config!$B$8)</f>
        <v/>
      </c>
      <c r="Y275" s="43" t="str">
        <f aca="false">IF(OR($D275="",$N275=""),"",SUM($S275:$X275))</f>
        <v/>
      </c>
      <c r="Z275" s="40" t="str">
        <f aca="false">IF(OR($D275="",$Q275=""),"",$Q275-$Y275)</f>
        <v/>
      </c>
      <c r="AA275" s="42" t="str">
        <f aca="false">IF(OR($D275="",$Z275="",$K275=0),"",$Z275/$K275)</f>
        <v/>
      </c>
      <c r="AB275" s="44" t="str">
        <f aca="false">IF(OR($D275="",$Y275="",$K275=0),"",$Y275/$K275*10000)</f>
        <v/>
      </c>
      <c r="AC275" s="44" t="str">
        <f aca="false">IF(OR($D275="",$G275="",$G275=0,$I275=""),"",IF($E275="LONG",($I275-$G275)/$G275,($G275-$I275)/$G275)*10000)</f>
        <v/>
      </c>
      <c r="AD275" s="45"/>
      <c r="AE275" s="40" t="str">
        <f aca="false">IF(OR($D275="",$N275&lt;&gt;"",$AD275=""),"",IF($E275="LONG",($AD275-$I275)*$J275,($I275-$AD275)*$J275))</f>
        <v/>
      </c>
      <c r="AF275" s="40" t="str">
        <f aca="false">IF(OR($D275="",$E275&lt;&gt;"LONG",$Z275=""),"",$Z275+SUMIFS($Z$4:$Z$503,$B$4:$B$503,$B275,$E$4:$E$503,"SHORT"))</f>
        <v/>
      </c>
      <c r="AG275" s="42" t="str">
        <f aca="false">IF(OR($AF275="",$K275=0),"",$AF275/$K275)</f>
        <v/>
      </c>
      <c r="AH275" s="46"/>
      <c r="AI275" s="43" t="str">
        <f aca="false">IF(OR($D275="",$AH275="",$Z275=""),"",$Z275-$AH275)</f>
        <v/>
      </c>
      <c r="AJ275" s="49"/>
      <c r="AK275" s="47" t="str">
        <f aca="false">IF($D275="","",IFERROR(MATCH($F275,Config!$A$13:$A$15,0),1))</f>
        <v/>
      </c>
      <c r="AL275" s="47" t="str">
        <f aca="false">IF(OR($D275="",$N275=""),"",IF($E275="LONG",$K275,$O275))</f>
        <v/>
      </c>
      <c r="AM275" s="47" t="str">
        <f aca="false">IF(OR($D275="",$N275=""),"",IF($E275="LONG",$O275,$K275))</f>
        <v/>
      </c>
    </row>
    <row r="276" customFormat="false" ht="15" hidden="false" customHeight="false" outlineLevel="0" collapsed="false">
      <c r="A276" s="49"/>
      <c r="B276" s="5" t="str">
        <f aca="false">IF($D276="","",IF(OR(RIGHT($A276,2)="-L",RIGHT($A276,2)="-S"),LEFT($A276,LEN($A276)-2),$A276))</f>
        <v/>
      </c>
      <c r="C276" s="50"/>
      <c r="D276" s="49"/>
      <c r="E276" s="49"/>
      <c r="F276" s="49"/>
      <c r="G276" s="45"/>
      <c r="H276" s="50"/>
      <c r="I276" s="45"/>
      <c r="J276" s="51"/>
      <c r="K276" s="40" t="str">
        <f aca="false">IF($D276="","",$I276*$J276)</f>
        <v/>
      </c>
      <c r="L276" s="50"/>
      <c r="M276" s="49"/>
      <c r="N276" s="45"/>
      <c r="O276" s="40" t="str">
        <f aca="false">IF(OR($D276="",$N276=""),"",$N276*$J276)</f>
        <v/>
      </c>
      <c r="P276" s="41" t="str">
        <f aca="false">IF(OR($D276="",$L276=""),"",MAX($L276-$H276,0))</f>
        <v/>
      </c>
      <c r="Q276" s="40" t="str">
        <f aca="false">IF(OR($D276="",$N276=""),"",IF($E276="LONG",($N276-$I276)*$J276,($I276-$N276)*$J276))</f>
        <v/>
      </c>
      <c r="R276" s="42" t="str">
        <f aca="false">IF(OR($D276="",$Q276="",$K276=0),"",$Q276/$K276)</f>
        <v/>
      </c>
      <c r="S276" s="43" t="str">
        <f aca="false">IF(OR($D276="",$N276=""),"",MIN(INDEX(Config!$C$13:$C$15,$AK276),INDEX(Config!$B$13:$B$15,$AK276)*$K276)+MIN(INDEX(Config!$C$13:$C$15,$AK276),INDEX(Config!$B$13:$B$15,$AK276)*$O276))</f>
        <v/>
      </c>
      <c r="T276" s="43" t="str">
        <f aca="false">IF(OR($D276="",$N276=""),"",INDEX(Config!$D$13:$D$15,$AK276)*$AL276+INDEX(Config!$E$13:$E$15,$AK276)*$AM276)</f>
        <v/>
      </c>
      <c r="U276" s="43" t="str">
        <f aca="false">IF(OR($D276="",$N276=""),"",INDEX(Config!$F$13:$F$15,$AK276)*($K276+$O276))</f>
        <v/>
      </c>
      <c r="V276" s="43" t="str">
        <f aca="false">IF(OR($D276="",$N276=""),"",INDEX(Config!$G$13:$G$15,$AK276)*($K276+$O276)+INDEX(Config!$H$13:$H$15,$AK276)*$AL276+INDEX(Config!$J$13:$J$15,$AK276))</f>
        <v/>
      </c>
      <c r="W276" s="43" t="str">
        <f aca="false">IF(OR($D276="",$N276=""),"",INDEX(Config!$I$13:$I$15,$AK276)*($S276+$U276+INDEX(Config!$G$13:$G$15,$AK276)*($K276+$O276)))</f>
        <v/>
      </c>
      <c r="X276" s="43" t="str">
        <f aca="false">IF(OR($D276="",$N276=""),"",INDEX(Config!$K$13:$K$15,$AK276)/365*$P276*$K276*Config!$B$8)</f>
        <v/>
      </c>
      <c r="Y276" s="43" t="str">
        <f aca="false">IF(OR($D276="",$N276=""),"",SUM($S276:$X276))</f>
        <v/>
      </c>
      <c r="Z276" s="40" t="str">
        <f aca="false">IF(OR($D276="",$Q276=""),"",$Q276-$Y276)</f>
        <v/>
      </c>
      <c r="AA276" s="42" t="str">
        <f aca="false">IF(OR($D276="",$Z276="",$K276=0),"",$Z276/$K276)</f>
        <v/>
      </c>
      <c r="AB276" s="44" t="str">
        <f aca="false">IF(OR($D276="",$Y276="",$K276=0),"",$Y276/$K276*10000)</f>
        <v/>
      </c>
      <c r="AC276" s="44" t="str">
        <f aca="false">IF(OR($D276="",$G276="",$G276=0,$I276=""),"",IF($E276="LONG",($I276-$G276)/$G276,($G276-$I276)/$G276)*10000)</f>
        <v/>
      </c>
      <c r="AD276" s="45"/>
      <c r="AE276" s="40" t="str">
        <f aca="false">IF(OR($D276="",$N276&lt;&gt;"",$AD276=""),"",IF($E276="LONG",($AD276-$I276)*$J276,($I276-$AD276)*$J276))</f>
        <v/>
      </c>
      <c r="AF276" s="40" t="str">
        <f aca="false">IF(OR($D276="",$E276&lt;&gt;"LONG",$Z276=""),"",$Z276+SUMIFS($Z$4:$Z$503,$B$4:$B$503,$B276,$E$4:$E$503,"SHORT"))</f>
        <v/>
      </c>
      <c r="AG276" s="42" t="str">
        <f aca="false">IF(OR($AF276="",$K276=0),"",$AF276/$K276)</f>
        <v/>
      </c>
      <c r="AH276" s="46"/>
      <c r="AI276" s="43" t="str">
        <f aca="false">IF(OR($D276="",$AH276="",$Z276=""),"",$Z276-$AH276)</f>
        <v/>
      </c>
      <c r="AJ276" s="49"/>
      <c r="AK276" s="47" t="str">
        <f aca="false">IF($D276="","",IFERROR(MATCH($F276,Config!$A$13:$A$15,0),1))</f>
        <v/>
      </c>
      <c r="AL276" s="47" t="str">
        <f aca="false">IF(OR($D276="",$N276=""),"",IF($E276="LONG",$K276,$O276))</f>
        <v/>
      </c>
      <c r="AM276" s="47" t="str">
        <f aca="false">IF(OR($D276="",$N276=""),"",IF($E276="LONG",$O276,$K276))</f>
        <v/>
      </c>
    </row>
    <row r="277" customFormat="false" ht="15" hidden="false" customHeight="false" outlineLevel="0" collapsed="false">
      <c r="A277" s="49"/>
      <c r="B277" s="5" t="str">
        <f aca="false">IF($D277="","",IF(OR(RIGHT($A277,2)="-L",RIGHT($A277,2)="-S"),LEFT($A277,LEN($A277)-2),$A277))</f>
        <v/>
      </c>
      <c r="C277" s="50"/>
      <c r="D277" s="49"/>
      <c r="E277" s="49"/>
      <c r="F277" s="49"/>
      <c r="G277" s="45"/>
      <c r="H277" s="50"/>
      <c r="I277" s="45"/>
      <c r="J277" s="51"/>
      <c r="K277" s="40" t="str">
        <f aca="false">IF($D277="","",$I277*$J277)</f>
        <v/>
      </c>
      <c r="L277" s="50"/>
      <c r="M277" s="49"/>
      <c r="N277" s="45"/>
      <c r="O277" s="40" t="str">
        <f aca="false">IF(OR($D277="",$N277=""),"",$N277*$J277)</f>
        <v/>
      </c>
      <c r="P277" s="41" t="str">
        <f aca="false">IF(OR($D277="",$L277=""),"",MAX($L277-$H277,0))</f>
        <v/>
      </c>
      <c r="Q277" s="40" t="str">
        <f aca="false">IF(OR($D277="",$N277=""),"",IF($E277="LONG",($N277-$I277)*$J277,($I277-$N277)*$J277))</f>
        <v/>
      </c>
      <c r="R277" s="42" t="str">
        <f aca="false">IF(OR($D277="",$Q277="",$K277=0),"",$Q277/$K277)</f>
        <v/>
      </c>
      <c r="S277" s="43" t="str">
        <f aca="false">IF(OR($D277="",$N277=""),"",MIN(INDEX(Config!$C$13:$C$15,$AK277),INDEX(Config!$B$13:$B$15,$AK277)*$K277)+MIN(INDEX(Config!$C$13:$C$15,$AK277),INDEX(Config!$B$13:$B$15,$AK277)*$O277))</f>
        <v/>
      </c>
      <c r="T277" s="43" t="str">
        <f aca="false">IF(OR($D277="",$N277=""),"",INDEX(Config!$D$13:$D$15,$AK277)*$AL277+INDEX(Config!$E$13:$E$15,$AK277)*$AM277)</f>
        <v/>
      </c>
      <c r="U277" s="43" t="str">
        <f aca="false">IF(OR($D277="",$N277=""),"",INDEX(Config!$F$13:$F$15,$AK277)*($K277+$O277))</f>
        <v/>
      </c>
      <c r="V277" s="43" t="str">
        <f aca="false">IF(OR($D277="",$N277=""),"",INDEX(Config!$G$13:$G$15,$AK277)*($K277+$O277)+INDEX(Config!$H$13:$H$15,$AK277)*$AL277+INDEX(Config!$J$13:$J$15,$AK277))</f>
        <v/>
      </c>
      <c r="W277" s="43" t="str">
        <f aca="false">IF(OR($D277="",$N277=""),"",INDEX(Config!$I$13:$I$15,$AK277)*($S277+$U277+INDEX(Config!$G$13:$G$15,$AK277)*($K277+$O277)))</f>
        <v/>
      </c>
      <c r="X277" s="43" t="str">
        <f aca="false">IF(OR($D277="",$N277=""),"",INDEX(Config!$K$13:$K$15,$AK277)/365*$P277*$K277*Config!$B$8)</f>
        <v/>
      </c>
      <c r="Y277" s="43" t="str">
        <f aca="false">IF(OR($D277="",$N277=""),"",SUM($S277:$X277))</f>
        <v/>
      </c>
      <c r="Z277" s="40" t="str">
        <f aca="false">IF(OR($D277="",$Q277=""),"",$Q277-$Y277)</f>
        <v/>
      </c>
      <c r="AA277" s="42" t="str">
        <f aca="false">IF(OR($D277="",$Z277="",$K277=0),"",$Z277/$K277)</f>
        <v/>
      </c>
      <c r="AB277" s="44" t="str">
        <f aca="false">IF(OR($D277="",$Y277="",$K277=0),"",$Y277/$K277*10000)</f>
        <v/>
      </c>
      <c r="AC277" s="44" t="str">
        <f aca="false">IF(OR($D277="",$G277="",$G277=0,$I277=""),"",IF($E277="LONG",($I277-$G277)/$G277,($G277-$I277)/$G277)*10000)</f>
        <v/>
      </c>
      <c r="AD277" s="45"/>
      <c r="AE277" s="40" t="str">
        <f aca="false">IF(OR($D277="",$N277&lt;&gt;"",$AD277=""),"",IF($E277="LONG",($AD277-$I277)*$J277,($I277-$AD277)*$J277))</f>
        <v/>
      </c>
      <c r="AF277" s="40" t="str">
        <f aca="false">IF(OR($D277="",$E277&lt;&gt;"LONG",$Z277=""),"",$Z277+SUMIFS($Z$4:$Z$503,$B$4:$B$503,$B277,$E$4:$E$503,"SHORT"))</f>
        <v/>
      </c>
      <c r="AG277" s="42" t="str">
        <f aca="false">IF(OR($AF277="",$K277=0),"",$AF277/$K277)</f>
        <v/>
      </c>
      <c r="AH277" s="46"/>
      <c r="AI277" s="43" t="str">
        <f aca="false">IF(OR($D277="",$AH277="",$Z277=""),"",$Z277-$AH277)</f>
        <v/>
      </c>
      <c r="AJ277" s="49"/>
      <c r="AK277" s="47" t="str">
        <f aca="false">IF($D277="","",IFERROR(MATCH($F277,Config!$A$13:$A$15,0),1))</f>
        <v/>
      </c>
      <c r="AL277" s="47" t="str">
        <f aca="false">IF(OR($D277="",$N277=""),"",IF($E277="LONG",$K277,$O277))</f>
        <v/>
      </c>
      <c r="AM277" s="47" t="str">
        <f aca="false">IF(OR($D277="",$N277=""),"",IF($E277="LONG",$O277,$K277))</f>
        <v/>
      </c>
    </row>
    <row r="278" customFormat="false" ht="15" hidden="false" customHeight="false" outlineLevel="0" collapsed="false">
      <c r="A278" s="49"/>
      <c r="B278" s="5" t="str">
        <f aca="false">IF($D278="","",IF(OR(RIGHT($A278,2)="-L",RIGHT($A278,2)="-S"),LEFT($A278,LEN($A278)-2),$A278))</f>
        <v/>
      </c>
      <c r="C278" s="50"/>
      <c r="D278" s="49"/>
      <c r="E278" s="49"/>
      <c r="F278" s="49"/>
      <c r="G278" s="45"/>
      <c r="H278" s="50"/>
      <c r="I278" s="45"/>
      <c r="J278" s="51"/>
      <c r="K278" s="40" t="str">
        <f aca="false">IF($D278="","",$I278*$J278)</f>
        <v/>
      </c>
      <c r="L278" s="50"/>
      <c r="M278" s="49"/>
      <c r="N278" s="45"/>
      <c r="O278" s="40" t="str">
        <f aca="false">IF(OR($D278="",$N278=""),"",$N278*$J278)</f>
        <v/>
      </c>
      <c r="P278" s="41" t="str">
        <f aca="false">IF(OR($D278="",$L278=""),"",MAX($L278-$H278,0))</f>
        <v/>
      </c>
      <c r="Q278" s="40" t="str">
        <f aca="false">IF(OR($D278="",$N278=""),"",IF($E278="LONG",($N278-$I278)*$J278,($I278-$N278)*$J278))</f>
        <v/>
      </c>
      <c r="R278" s="42" t="str">
        <f aca="false">IF(OR($D278="",$Q278="",$K278=0),"",$Q278/$K278)</f>
        <v/>
      </c>
      <c r="S278" s="43" t="str">
        <f aca="false">IF(OR($D278="",$N278=""),"",MIN(INDEX(Config!$C$13:$C$15,$AK278),INDEX(Config!$B$13:$B$15,$AK278)*$K278)+MIN(INDEX(Config!$C$13:$C$15,$AK278),INDEX(Config!$B$13:$B$15,$AK278)*$O278))</f>
        <v/>
      </c>
      <c r="T278" s="43" t="str">
        <f aca="false">IF(OR($D278="",$N278=""),"",INDEX(Config!$D$13:$D$15,$AK278)*$AL278+INDEX(Config!$E$13:$E$15,$AK278)*$AM278)</f>
        <v/>
      </c>
      <c r="U278" s="43" t="str">
        <f aca="false">IF(OR($D278="",$N278=""),"",INDEX(Config!$F$13:$F$15,$AK278)*($K278+$O278))</f>
        <v/>
      </c>
      <c r="V278" s="43" t="str">
        <f aca="false">IF(OR($D278="",$N278=""),"",INDEX(Config!$G$13:$G$15,$AK278)*($K278+$O278)+INDEX(Config!$H$13:$H$15,$AK278)*$AL278+INDEX(Config!$J$13:$J$15,$AK278))</f>
        <v/>
      </c>
      <c r="W278" s="43" t="str">
        <f aca="false">IF(OR($D278="",$N278=""),"",INDEX(Config!$I$13:$I$15,$AK278)*($S278+$U278+INDEX(Config!$G$13:$G$15,$AK278)*($K278+$O278)))</f>
        <v/>
      </c>
      <c r="X278" s="43" t="str">
        <f aca="false">IF(OR($D278="",$N278=""),"",INDEX(Config!$K$13:$K$15,$AK278)/365*$P278*$K278*Config!$B$8)</f>
        <v/>
      </c>
      <c r="Y278" s="43" t="str">
        <f aca="false">IF(OR($D278="",$N278=""),"",SUM($S278:$X278))</f>
        <v/>
      </c>
      <c r="Z278" s="40" t="str">
        <f aca="false">IF(OR($D278="",$Q278=""),"",$Q278-$Y278)</f>
        <v/>
      </c>
      <c r="AA278" s="42" t="str">
        <f aca="false">IF(OR($D278="",$Z278="",$K278=0),"",$Z278/$K278)</f>
        <v/>
      </c>
      <c r="AB278" s="44" t="str">
        <f aca="false">IF(OR($D278="",$Y278="",$K278=0),"",$Y278/$K278*10000)</f>
        <v/>
      </c>
      <c r="AC278" s="44" t="str">
        <f aca="false">IF(OR($D278="",$G278="",$G278=0,$I278=""),"",IF($E278="LONG",($I278-$G278)/$G278,($G278-$I278)/$G278)*10000)</f>
        <v/>
      </c>
      <c r="AD278" s="45"/>
      <c r="AE278" s="40" t="str">
        <f aca="false">IF(OR($D278="",$N278&lt;&gt;"",$AD278=""),"",IF($E278="LONG",($AD278-$I278)*$J278,($I278-$AD278)*$J278))</f>
        <v/>
      </c>
      <c r="AF278" s="40" t="str">
        <f aca="false">IF(OR($D278="",$E278&lt;&gt;"LONG",$Z278=""),"",$Z278+SUMIFS($Z$4:$Z$503,$B$4:$B$503,$B278,$E$4:$E$503,"SHORT"))</f>
        <v/>
      </c>
      <c r="AG278" s="42" t="str">
        <f aca="false">IF(OR($AF278="",$K278=0),"",$AF278/$K278)</f>
        <v/>
      </c>
      <c r="AH278" s="46"/>
      <c r="AI278" s="43" t="str">
        <f aca="false">IF(OR($D278="",$AH278="",$Z278=""),"",$Z278-$AH278)</f>
        <v/>
      </c>
      <c r="AJ278" s="49"/>
      <c r="AK278" s="47" t="str">
        <f aca="false">IF($D278="","",IFERROR(MATCH($F278,Config!$A$13:$A$15,0),1))</f>
        <v/>
      </c>
      <c r="AL278" s="47" t="str">
        <f aca="false">IF(OR($D278="",$N278=""),"",IF($E278="LONG",$K278,$O278))</f>
        <v/>
      </c>
      <c r="AM278" s="47" t="str">
        <f aca="false">IF(OR($D278="",$N278=""),"",IF($E278="LONG",$O278,$K278))</f>
        <v/>
      </c>
    </row>
    <row r="279" customFormat="false" ht="15" hidden="false" customHeight="false" outlineLevel="0" collapsed="false">
      <c r="A279" s="49"/>
      <c r="B279" s="5" t="str">
        <f aca="false">IF($D279="","",IF(OR(RIGHT($A279,2)="-L",RIGHT($A279,2)="-S"),LEFT($A279,LEN($A279)-2),$A279))</f>
        <v/>
      </c>
      <c r="C279" s="50"/>
      <c r="D279" s="49"/>
      <c r="E279" s="49"/>
      <c r="F279" s="49"/>
      <c r="G279" s="45"/>
      <c r="H279" s="50"/>
      <c r="I279" s="45"/>
      <c r="J279" s="51"/>
      <c r="K279" s="40" t="str">
        <f aca="false">IF($D279="","",$I279*$J279)</f>
        <v/>
      </c>
      <c r="L279" s="50"/>
      <c r="M279" s="49"/>
      <c r="N279" s="45"/>
      <c r="O279" s="40" t="str">
        <f aca="false">IF(OR($D279="",$N279=""),"",$N279*$J279)</f>
        <v/>
      </c>
      <c r="P279" s="41" t="str">
        <f aca="false">IF(OR($D279="",$L279=""),"",MAX($L279-$H279,0))</f>
        <v/>
      </c>
      <c r="Q279" s="40" t="str">
        <f aca="false">IF(OR($D279="",$N279=""),"",IF($E279="LONG",($N279-$I279)*$J279,($I279-$N279)*$J279))</f>
        <v/>
      </c>
      <c r="R279" s="42" t="str">
        <f aca="false">IF(OR($D279="",$Q279="",$K279=0),"",$Q279/$K279)</f>
        <v/>
      </c>
      <c r="S279" s="43" t="str">
        <f aca="false">IF(OR($D279="",$N279=""),"",MIN(INDEX(Config!$C$13:$C$15,$AK279),INDEX(Config!$B$13:$B$15,$AK279)*$K279)+MIN(INDEX(Config!$C$13:$C$15,$AK279),INDEX(Config!$B$13:$B$15,$AK279)*$O279))</f>
        <v/>
      </c>
      <c r="T279" s="43" t="str">
        <f aca="false">IF(OR($D279="",$N279=""),"",INDEX(Config!$D$13:$D$15,$AK279)*$AL279+INDEX(Config!$E$13:$E$15,$AK279)*$AM279)</f>
        <v/>
      </c>
      <c r="U279" s="43" t="str">
        <f aca="false">IF(OR($D279="",$N279=""),"",INDEX(Config!$F$13:$F$15,$AK279)*($K279+$O279))</f>
        <v/>
      </c>
      <c r="V279" s="43" t="str">
        <f aca="false">IF(OR($D279="",$N279=""),"",INDEX(Config!$G$13:$G$15,$AK279)*($K279+$O279)+INDEX(Config!$H$13:$H$15,$AK279)*$AL279+INDEX(Config!$J$13:$J$15,$AK279))</f>
        <v/>
      </c>
      <c r="W279" s="43" t="str">
        <f aca="false">IF(OR($D279="",$N279=""),"",INDEX(Config!$I$13:$I$15,$AK279)*($S279+$U279+INDEX(Config!$G$13:$G$15,$AK279)*($K279+$O279)))</f>
        <v/>
      </c>
      <c r="X279" s="43" t="str">
        <f aca="false">IF(OR($D279="",$N279=""),"",INDEX(Config!$K$13:$K$15,$AK279)/365*$P279*$K279*Config!$B$8)</f>
        <v/>
      </c>
      <c r="Y279" s="43" t="str">
        <f aca="false">IF(OR($D279="",$N279=""),"",SUM($S279:$X279))</f>
        <v/>
      </c>
      <c r="Z279" s="40" t="str">
        <f aca="false">IF(OR($D279="",$Q279=""),"",$Q279-$Y279)</f>
        <v/>
      </c>
      <c r="AA279" s="42" t="str">
        <f aca="false">IF(OR($D279="",$Z279="",$K279=0),"",$Z279/$K279)</f>
        <v/>
      </c>
      <c r="AB279" s="44" t="str">
        <f aca="false">IF(OR($D279="",$Y279="",$K279=0),"",$Y279/$K279*10000)</f>
        <v/>
      </c>
      <c r="AC279" s="44" t="str">
        <f aca="false">IF(OR($D279="",$G279="",$G279=0,$I279=""),"",IF($E279="LONG",($I279-$G279)/$G279,($G279-$I279)/$G279)*10000)</f>
        <v/>
      </c>
      <c r="AD279" s="45"/>
      <c r="AE279" s="40" t="str">
        <f aca="false">IF(OR($D279="",$N279&lt;&gt;"",$AD279=""),"",IF($E279="LONG",($AD279-$I279)*$J279,($I279-$AD279)*$J279))</f>
        <v/>
      </c>
      <c r="AF279" s="40" t="str">
        <f aca="false">IF(OR($D279="",$E279&lt;&gt;"LONG",$Z279=""),"",$Z279+SUMIFS($Z$4:$Z$503,$B$4:$B$503,$B279,$E$4:$E$503,"SHORT"))</f>
        <v/>
      </c>
      <c r="AG279" s="42" t="str">
        <f aca="false">IF(OR($AF279="",$K279=0),"",$AF279/$K279)</f>
        <v/>
      </c>
      <c r="AH279" s="46"/>
      <c r="AI279" s="43" t="str">
        <f aca="false">IF(OR($D279="",$AH279="",$Z279=""),"",$Z279-$AH279)</f>
        <v/>
      </c>
      <c r="AJ279" s="49"/>
      <c r="AK279" s="47" t="str">
        <f aca="false">IF($D279="","",IFERROR(MATCH($F279,Config!$A$13:$A$15,0),1))</f>
        <v/>
      </c>
      <c r="AL279" s="47" t="str">
        <f aca="false">IF(OR($D279="",$N279=""),"",IF($E279="LONG",$K279,$O279))</f>
        <v/>
      </c>
      <c r="AM279" s="47" t="str">
        <f aca="false">IF(OR($D279="",$N279=""),"",IF($E279="LONG",$O279,$K279))</f>
        <v/>
      </c>
    </row>
    <row r="280" customFormat="false" ht="15" hidden="false" customHeight="false" outlineLevel="0" collapsed="false">
      <c r="A280" s="49"/>
      <c r="B280" s="5" t="str">
        <f aca="false">IF($D280="","",IF(OR(RIGHT($A280,2)="-L",RIGHT($A280,2)="-S"),LEFT($A280,LEN($A280)-2),$A280))</f>
        <v/>
      </c>
      <c r="C280" s="50"/>
      <c r="D280" s="49"/>
      <c r="E280" s="49"/>
      <c r="F280" s="49"/>
      <c r="G280" s="45"/>
      <c r="H280" s="50"/>
      <c r="I280" s="45"/>
      <c r="J280" s="51"/>
      <c r="K280" s="40" t="str">
        <f aca="false">IF($D280="","",$I280*$J280)</f>
        <v/>
      </c>
      <c r="L280" s="50"/>
      <c r="M280" s="49"/>
      <c r="N280" s="45"/>
      <c r="O280" s="40" t="str">
        <f aca="false">IF(OR($D280="",$N280=""),"",$N280*$J280)</f>
        <v/>
      </c>
      <c r="P280" s="41" t="str">
        <f aca="false">IF(OR($D280="",$L280=""),"",MAX($L280-$H280,0))</f>
        <v/>
      </c>
      <c r="Q280" s="40" t="str">
        <f aca="false">IF(OR($D280="",$N280=""),"",IF($E280="LONG",($N280-$I280)*$J280,($I280-$N280)*$J280))</f>
        <v/>
      </c>
      <c r="R280" s="42" t="str">
        <f aca="false">IF(OR($D280="",$Q280="",$K280=0),"",$Q280/$K280)</f>
        <v/>
      </c>
      <c r="S280" s="43" t="str">
        <f aca="false">IF(OR($D280="",$N280=""),"",MIN(INDEX(Config!$C$13:$C$15,$AK280),INDEX(Config!$B$13:$B$15,$AK280)*$K280)+MIN(INDEX(Config!$C$13:$C$15,$AK280),INDEX(Config!$B$13:$B$15,$AK280)*$O280))</f>
        <v/>
      </c>
      <c r="T280" s="43" t="str">
        <f aca="false">IF(OR($D280="",$N280=""),"",INDEX(Config!$D$13:$D$15,$AK280)*$AL280+INDEX(Config!$E$13:$E$15,$AK280)*$AM280)</f>
        <v/>
      </c>
      <c r="U280" s="43" t="str">
        <f aca="false">IF(OR($D280="",$N280=""),"",INDEX(Config!$F$13:$F$15,$AK280)*($K280+$O280))</f>
        <v/>
      </c>
      <c r="V280" s="43" t="str">
        <f aca="false">IF(OR($D280="",$N280=""),"",INDEX(Config!$G$13:$G$15,$AK280)*($K280+$O280)+INDEX(Config!$H$13:$H$15,$AK280)*$AL280+INDEX(Config!$J$13:$J$15,$AK280))</f>
        <v/>
      </c>
      <c r="W280" s="43" t="str">
        <f aca="false">IF(OR($D280="",$N280=""),"",INDEX(Config!$I$13:$I$15,$AK280)*($S280+$U280+INDEX(Config!$G$13:$G$15,$AK280)*($K280+$O280)))</f>
        <v/>
      </c>
      <c r="X280" s="43" t="str">
        <f aca="false">IF(OR($D280="",$N280=""),"",INDEX(Config!$K$13:$K$15,$AK280)/365*$P280*$K280*Config!$B$8)</f>
        <v/>
      </c>
      <c r="Y280" s="43" t="str">
        <f aca="false">IF(OR($D280="",$N280=""),"",SUM($S280:$X280))</f>
        <v/>
      </c>
      <c r="Z280" s="40" t="str">
        <f aca="false">IF(OR($D280="",$Q280=""),"",$Q280-$Y280)</f>
        <v/>
      </c>
      <c r="AA280" s="42" t="str">
        <f aca="false">IF(OR($D280="",$Z280="",$K280=0),"",$Z280/$K280)</f>
        <v/>
      </c>
      <c r="AB280" s="44" t="str">
        <f aca="false">IF(OR($D280="",$Y280="",$K280=0),"",$Y280/$K280*10000)</f>
        <v/>
      </c>
      <c r="AC280" s="44" t="str">
        <f aca="false">IF(OR($D280="",$G280="",$G280=0,$I280=""),"",IF($E280="LONG",($I280-$G280)/$G280,($G280-$I280)/$G280)*10000)</f>
        <v/>
      </c>
      <c r="AD280" s="45"/>
      <c r="AE280" s="40" t="str">
        <f aca="false">IF(OR($D280="",$N280&lt;&gt;"",$AD280=""),"",IF($E280="LONG",($AD280-$I280)*$J280,($I280-$AD280)*$J280))</f>
        <v/>
      </c>
      <c r="AF280" s="40" t="str">
        <f aca="false">IF(OR($D280="",$E280&lt;&gt;"LONG",$Z280=""),"",$Z280+SUMIFS($Z$4:$Z$503,$B$4:$B$503,$B280,$E$4:$E$503,"SHORT"))</f>
        <v/>
      </c>
      <c r="AG280" s="42" t="str">
        <f aca="false">IF(OR($AF280="",$K280=0),"",$AF280/$K280)</f>
        <v/>
      </c>
      <c r="AH280" s="46"/>
      <c r="AI280" s="43" t="str">
        <f aca="false">IF(OR($D280="",$AH280="",$Z280=""),"",$Z280-$AH280)</f>
        <v/>
      </c>
      <c r="AJ280" s="49"/>
      <c r="AK280" s="47" t="str">
        <f aca="false">IF($D280="","",IFERROR(MATCH($F280,Config!$A$13:$A$15,0),1))</f>
        <v/>
      </c>
      <c r="AL280" s="47" t="str">
        <f aca="false">IF(OR($D280="",$N280=""),"",IF($E280="LONG",$K280,$O280))</f>
        <v/>
      </c>
      <c r="AM280" s="47" t="str">
        <f aca="false">IF(OR($D280="",$N280=""),"",IF($E280="LONG",$O280,$K280))</f>
        <v/>
      </c>
    </row>
    <row r="281" customFormat="false" ht="15" hidden="false" customHeight="false" outlineLevel="0" collapsed="false">
      <c r="A281" s="49"/>
      <c r="B281" s="5" t="str">
        <f aca="false">IF($D281="","",IF(OR(RIGHT($A281,2)="-L",RIGHT($A281,2)="-S"),LEFT($A281,LEN($A281)-2),$A281))</f>
        <v/>
      </c>
      <c r="C281" s="50"/>
      <c r="D281" s="49"/>
      <c r="E281" s="49"/>
      <c r="F281" s="49"/>
      <c r="G281" s="45"/>
      <c r="H281" s="50"/>
      <c r="I281" s="45"/>
      <c r="J281" s="51"/>
      <c r="K281" s="40" t="str">
        <f aca="false">IF($D281="","",$I281*$J281)</f>
        <v/>
      </c>
      <c r="L281" s="50"/>
      <c r="M281" s="49"/>
      <c r="N281" s="45"/>
      <c r="O281" s="40" t="str">
        <f aca="false">IF(OR($D281="",$N281=""),"",$N281*$J281)</f>
        <v/>
      </c>
      <c r="P281" s="41" t="str">
        <f aca="false">IF(OR($D281="",$L281=""),"",MAX($L281-$H281,0))</f>
        <v/>
      </c>
      <c r="Q281" s="40" t="str">
        <f aca="false">IF(OR($D281="",$N281=""),"",IF($E281="LONG",($N281-$I281)*$J281,($I281-$N281)*$J281))</f>
        <v/>
      </c>
      <c r="R281" s="42" t="str">
        <f aca="false">IF(OR($D281="",$Q281="",$K281=0),"",$Q281/$K281)</f>
        <v/>
      </c>
      <c r="S281" s="43" t="str">
        <f aca="false">IF(OR($D281="",$N281=""),"",MIN(INDEX(Config!$C$13:$C$15,$AK281),INDEX(Config!$B$13:$B$15,$AK281)*$K281)+MIN(INDEX(Config!$C$13:$C$15,$AK281),INDEX(Config!$B$13:$B$15,$AK281)*$O281))</f>
        <v/>
      </c>
      <c r="T281" s="43" t="str">
        <f aca="false">IF(OR($D281="",$N281=""),"",INDEX(Config!$D$13:$D$15,$AK281)*$AL281+INDEX(Config!$E$13:$E$15,$AK281)*$AM281)</f>
        <v/>
      </c>
      <c r="U281" s="43" t="str">
        <f aca="false">IF(OR($D281="",$N281=""),"",INDEX(Config!$F$13:$F$15,$AK281)*($K281+$O281))</f>
        <v/>
      </c>
      <c r="V281" s="43" t="str">
        <f aca="false">IF(OR($D281="",$N281=""),"",INDEX(Config!$G$13:$G$15,$AK281)*($K281+$O281)+INDEX(Config!$H$13:$H$15,$AK281)*$AL281+INDEX(Config!$J$13:$J$15,$AK281))</f>
        <v/>
      </c>
      <c r="W281" s="43" t="str">
        <f aca="false">IF(OR($D281="",$N281=""),"",INDEX(Config!$I$13:$I$15,$AK281)*($S281+$U281+INDEX(Config!$G$13:$G$15,$AK281)*($K281+$O281)))</f>
        <v/>
      </c>
      <c r="X281" s="43" t="str">
        <f aca="false">IF(OR($D281="",$N281=""),"",INDEX(Config!$K$13:$K$15,$AK281)/365*$P281*$K281*Config!$B$8)</f>
        <v/>
      </c>
      <c r="Y281" s="43" t="str">
        <f aca="false">IF(OR($D281="",$N281=""),"",SUM($S281:$X281))</f>
        <v/>
      </c>
      <c r="Z281" s="40" t="str">
        <f aca="false">IF(OR($D281="",$Q281=""),"",$Q281-$Y281)</f>
        <v/>
      </c>
      <c r="AA281" s="42" t="str">
        <f aca="false">IF(OR($D281="",$Z281="",$K281=0),"",$Z281/$K281)</f>
        <v/>
      </c>
      <c r="AB281" s="44" t="str">
        <f aca="false">IF(OR($D281="",$Y281="",$K281=0),"",$Y281/$K281*10000)</f>
        <v/>
      </c>
      <c r="AC281" s="44" t="str">
        <f aca="false">IF(OR($D281="",$G281="",$G281=0,$I281=""),"",IF($E281="LONG",($I281-$G281)/$G281,($G281-$I281)/$G281)*10000)</f>
        <v/>
      </c>
      <c r="AD281" s="45"/>
      <c r="AE281" s="40" t="str">
        <f aca="false">IF(OR($D281="",$N281&lt;&gt;"",$AD281=""),"",IF($E281="LONG",($AD281-$I281)*$J281,($I281-$AD281)*$J281))</f>
        <v/>
      </c>
      <c r="AF281" s="40" t="str">
        <f aca="false">IF(OR($D281="",$E281&lt;&gt;"LONG",$Z281=""),"",$Z281+SUMIFS($Z$4:$Z$503,$B$4:$B$503,$B281,$E$4:$E$503,"SHORT"))</f>
        <v/>
      </c>
      <c r="AG281" s="42" t="str">
        <f aca="false">IF(OR($AF281="",$K281=0),"",$AF281/$K281)</f>
        <v/>
      </c>
      <c r="AH281" s="46"/>
      <c r="AI281" s="43" t="str">
        <f aca="false">IF(OR($D281="",$AH281="",$Z281=""),"",$Z281-$AH281)</f>
        <v/>
      </c>
      <c r="AJ281" s="49"/>
      <c r="AK281" s="47" t="str">
        <f aca="false">IF($D281="","",IFERROR(MATCH($F281,Config!$A$13:$A$15,0),1))</f>
        <v/>
      </c>
      <c r="AL281" s="47" t="str">
        <f aca="false">IF(OR($D281="",$N281=""),"",IF($E281="LONG",$K281,$O281))</f>
        <v/>
      </c>
      <c r="AM281" s="47" t="str">
        <f aca="false">IF(OR($D281="",$N281=""),"",IF($E281="LONG",$O281,$K281))</f>
        <v/>
      </c>
    </row>
    <row r="282" customFormat="false" ht="15" hidden="false" customHeight="false" outlineLevel="0" collapsed="false">
      <c r="A282" s="49"/>
      <c r="B282" s="5" t="str">
        <f aca="false">IF($D282="","",IF(OR(RIGHT($A282,2)="-L",RIGHT($A282,2)="-S"),LEFT($A282,LEN($A282)-2),$A282))</f>
        <v/>
      </c>
      <c r="C282" s="50"/>
      <c r="D282" s="49"/>
      <c r="E282" s="49"/>
      <c r="F282" s="49"/>
      <c r="G282" s="45"/>
      <c r="H282" s="50"/>
      <c r="I282" s="45"/>
      <c r="J282" s="51"/>
      <c r="K282" s="40" t="str">
        <f aca="false">IF($D282="","",$I282*$J282)</f>
        <v/>
      </c>
      <c r="L282" s="50"/>
      <c r="M282" s="49"/>
      <c r="N282" s="45"/>
      <c r="O282" s="40" t="str">
        <f aca="false">IF(OR($D282="",$N282=""),"",$N282*$J282)</f>
        <v/>
      </c>
      <c r="P282" s="41" t="str">
        <f aca="false">IF(OR($D282="",$L282=""),"",MAX($L282-$H282,0))</f>
        <v/>
      </c>
      <c r="Q282" s="40" t="str">
        <f aca="false">IF(OR($D282="",$N282=""),"",IF($E282="LONG",($N282-$I282)*$J282,($I282-$N282)*$J282))</f>
        <v/>
      </c>
      <c r="R282" s="42" t="str">
        <f aca="false">IF(OR($D282="",$Q282="",$K282=0),"",$Q282/$K282)</f>
        <v/>
      </c>
      <c r="S282" s="43" t="str">
        <f aca="false">IF(OR($D282="",$N282=""),"",MIN(INDEX(Config!$C$13:$C$15,$AK282),INDEX(Config!$B$13:$B$15,$AK282)*$K282)+MIN(INDEX(Config!$C$13:$C$15,$AK282),INDEX(Config!$B$13:$B$15,$AK282)*$O282))</f>
        <v/>
      </c>
      <c r="T282" s="43" t="str">
        <f aca="false">IF(OR($D282="",$N282=""),"",INDEX(Config!$D$13:$D$15,$AK282)*$AL282+INDEX(Config!$E$13:$E$15,$AK282)*$AM282)</f>
        <v/>
      </c>
      <c r="U282" s="43" t="str">
        <f aca="false">IF(OR($D282="",$N282=""),"",INDEX(Config!$F$13:$F$15,$AK282)*($K282+$O282))</f>
        <v/>
      </c>
      <c r="V282" s="43" t="str">
        <f aca="false">IF(OR($D282="",$N282=""),"",INDEX(Config!$G$13:$G$15,$AK282)*($K282+$O282)+INDEX(Config!$H$13:$H$15,$AK282)*$AL282+INDEX(Config!$J$13:$J$15,$AK282))</f>
        <v/>
      </c>
      <c r="W282" s="43" t="str">
        <f aca="false">IF(OR($D282="",$N282=""),"",INDEX(Config!$I$13:$I$15,$AK282)*($S282+$U282+INDEX(Config!$G$13:$G$15,$AK282)*($K282+$O282)))</f>
        <v/>
      </c>
      <c r="X282" s="43" t="str">
        <f aca="false">IF(OR($D282="",$N282=""),"",INDEX(Config!$K$13:$K$15,$AK282)/365*$P282*$K282*Config!$B$8)</f>
        <v/>
      </c>
      <c r="Y282" s="43" t="str">
        <f aca="false">IF(OR($D282="",$N282=""),"",SUM($S282:$X282))</f>
        <v/>
      </c>
      <c r="Z282" s="40" t="str">
        <f aca="false">IF(OR($D282="",$Q282=""),"",$Q282-$Y282)</f>
        <v/>
      </c>
      <c r="AA282" s="42" t="str">
        <f aca="false">IF(OR($D282="",$Z282="",$K282=0),"",$Z282/$K282)</f>
        <v/>
      </c>
      <c r="AB282" s="44" t="str">
        <f aca="false">IF(OR($D282="",$Y282="",$K282=0),"",$Y282/$K282*10000)</f>
        <v/>
      </c>
      <c r="AC282" s="44" t="str">
        <f aca="false">IF(OR($D282="",$G282="",$G282=0,$I282=""),"",IF($E282="LONG",($I282-$G282)/$G282,($G282-$I282)/$G282)*10000)</f>
        <v/>
      </c>
      <c r="AD282" s="45"/>
      <c r="AE282" s="40" t="str">
        <f aca="false">IF(OR($D282="",$N282&lt;&gt;"",$AD282=""),"",IF($E282="LONG",($AD282-$I282)*$J282,($I282-$AD282)*$J282))</f>
        <v/>
      </c>
      <c r="AF282" s="40" t="str">
        <f aca="false">IF(OR($D282="",$E282&lt;&gt;"LONG",$Z282=""),"",$Z282+SUMIFS($Z$4:$Z$503,$B$4:$B$503,$B282,$E$4:$E$503,"SHORT"))</f>
        <v/>
      </c>
      <c r="AG282" s="42" t="str">
        <f aca="false">IF(OR($AF282="",$K282=0),"",$AF282/$K282)</f>
        <v/>
      </c>
      <c r="AH282" s="46"/>
      <c r="AI282" s="43" t="str">
        <f aca="false">IF(OR($D282="",$AH282="",$Z282=""),"",$Z282-$AH282)</f>
        <v/>
      </c>
      <c r="AJ282" s="49"/>
      <c r="AK282" s="47" t="str">
        <f aca="false">IF($D282="","",IFERROR(MATCH($F282,Config!$A$13:$A$15,0),1))</f>
        <v/>
      </c>
      <c r="AL282" s="47" t="str">
        <f aca="false">IF(OR($D282="",$N282=""),"",IF($E282="LONG",$K282,$O282))</f>
        <v/>
      </c>
      <c r="AM282" s="47" t="str">
        <f aca="false">IF(OR($D282="",$N282=""),"",IF($E282="LONG",$O282,$K282))</f>
        <v/>
      </c>
    </row>
    <row r="283" customFormat="false" ht="15" hidden="false" customHeight="false" outlineLevel="0" collapsed="false">
      <c r="A283" s="49"/>
      <c r="B283" s="5" t="str">
        <f aca="false">IF($D283="","",IF(OR(RIGHT($A283,2)="-L",RIGHT($A283,2)="-S"),LEFT($A283,LEN($A283)-2),$A283))</f>
        <v/>
      </c>
      <c r="C283" s="50"/>
      <c r="D283" s="49"/>
      <c r="E283" s="49"/>
      <c r="F283" s="49"/>
      <c r="G283" s="45"/>
      <c r="H283" s="50"/>
      <c r="I283" s="45"/>
      <c r="J283" s="51"/>
      <c r="K283" s="40" t="str">
        <f aca="false">IF($D283="","",$I283*$J283)</f>
        <v/>
      </c>
      <c r="L283" s="50"/>
      <c r="M283" s="49"/>
      <c r="N283" s="45"/>
      <c r="O283" s="40" t="str">
        <f aca="false">IF(OR($D283="",$N283=""),"",$N283*$J283)</f>
        <v/>
      </c>
      <c r="P283" s="41" t="str">
        <f aca="false">IF(OR($D283="",$L283=""),"",MAX($L283-$H283,0))</f>
        <v/>
      </c>
      <c r="Q283" s="40" t="str">
        <f aca="false">IF(OR($D283="",$N283=""),"",IF($E283="LONG",($N283-$I283)*$J283,($I283-$N283)*$J283))</f>
        <v/>
      </c>
      <c r="R283" s="42" t="str">
        <f aca="false">IF(OR($D283="",$Q283="",$K283=0),"",$Q283/$K283)</f>
        <v/>
      </c>
      <c r="S283" s="43" t="str">
        <f aca="false">IF(OR($D283="",$N283=""),"",MIN(INDEX(Config!$C$13:$C$15,$AK283),INDEX(Config!$B$13:$B$15,$AK283)*$K283)+MIN(INDEX(Config!$C$13:$C$15,$AK283),INDEX(Config!$B$13:$B$15,$AK283)*$O283))</f>
        <v/>
      </c>
      <c r="T283" s="43" t="str">
        <f aca="false">IF(OR($D283="",$N283=""),"",INDEX(Config!$D$13:$D$15,$AK283)*$AL283+INDEX(Config!$E$13:$E$15,$AK283)*$AM283)</f>
        <v/>
      </c>
      <c r="U283" s="43" t="str">
        <f aca="false">IF(OR($D283="",$N283=""),"",INDEX(Config!$F$13:$F$15,$AK283)*($K283+$O283))</f>
        <v/>
      </c>
      <c r="V283" s="43" t="str">
        <f aca="false">IF(OR($D283="",$N283=""),"",INDEX(Config!$G$13:$G$15,$AK283)*($K283+$O283)+INDEX(Config!$H$13:$H$15,$AK283)*$AL283+INDEX(Config!$J$13:$J$15,$AK283))</f>
        <v/>
      </c>
      <c r="W283" s="43" t="str">
        <f aca="false">IF(OR($D283="",$N283=""),"",INDEX(Config!$I$13:$I$15,$AK283)*($S283+$U283+INDEX(Config!$G$13:$G$15,$AK283)*($K283+$O283)))</f>
        <v/>
      </c>
      <c r="X283" s="43" t="str">
        <f aca="false">IF(OR($D283="",$N283=""),"",INDEX(Config!$K$13:$K$15,$AK283)/365*$P283*$K283*Config!$B$8)</f>
        <v/>
      </c>
      <c r="Y283" s="43" t="str">
        <f aca="false">IF(OR($D283="",$N283=""),"",SUM($S283:$X283))</f>
        <v/>
      </c>
      <c r="Z283" s="40" t="str">
        <f aca="false">IF(OR($D283="",$Q283=""),"",$Q283-$Y283)</f>
        <v/>
      </c>
      <c r="AA283" s="42" t="str">
        <f aca="false">IF(OR($D283="",$Z283="",$K283=0),"",$Z283/$K283)</f>
        <v/>
      </c>
      <c r="AB283" s="44" t="str">
        <f aca="false">IF(OR($D283="",$Y283="",$K283=0),"",$Y283/$K283*10000)</f>
        <v/>
      </c>
      <c r="AC283" s="44" t="str">
        <f aca="false">IF(OR($D283="",$G283="",$G283=0,$I283=""),"",IF($E283="LONG",($I283-$G283)/$G283,($G283-$I283)/$G283)*10000)</f>
        <v/>
      </c>
      <c r="AD283" s="45"/>
      <c r="AE283" s="40" t="str">
        <f aca="false">IF(OR($D283="",$N283&lt;&gt;"",$AD283=""),"",IF($E283="LONG",($AD283-$I283)*$J283,($I283-$AD283)*$J283))</f>
        <v/>
      </c>
      <c r="AF283" s="40" t="str">
        <f aca="false">IF(OR($D283="",$E283&lt;&gt;"LONG",$Z283=""),"",$Z283+SUMIFS($Z$4:$Z$503,$B$4:$B$503,$B283,$E$4:$E$503,"SHORT"))</f>
        <v/>
      </c>
      <c r="AG283" s="42" t="str">
        <f aca="false">IF(OR($AF283="",$K283=0),"",$AF283/$K283)</f>
        <v/>
      </c>
      <c r="AH283" s="46"/>
      <c r="AI283" s="43" t="str">
        <f aca="false">IF(OR($D283="",$AH283="",$Z283=""),"",$Z283-$AH283)</f>
        <v/>
      </c>
      <c r="AJ283" s="49"/>
      <c r="AK283" s="47" t="str">
        <f aca="false">IF($D283="","",IFERROR(MATCH($F283,Config!$A$13:$A$15,0),1))</f>
        <v/>
      </c>
      <c r="AL283" s="47" t="str">
        <f aca="false">IF(OR($D283="",$N283=""),"",IF($E283="LONG",$K283,$O283))</f>
        <v/>
      </c>
      <c r="AM283" s="47" t="str">
        <f aca="false">IF(OR($D283="",$N283=""),"",IF($E283="LONG",$O283,$K283))</f>
        <v/>
      </c>
    </row>
    <row r="284" customFormat="false" ht="15" hidden="false" customHeight="false" outlineLevel="0" collapsed="false">
      <c r="A284" s="49"/>
      <c r="B284" s="5" t="str">
        <f aca="false">IF($D284="","",IF(OR(RIGHT($A284,2)="-L",RIGHT($A284,2)="-S"),LEFT($A284,LEN($A284)-2),$A284))</f>
        <v/>
      </c>
      <c r="C284" s="50"/>
      <c r="D284" s="49"/>
      <c r="E284" s="49"/>
      <c r="F284" s="49"/>
      <c r="G284" s="45"/>
      <c r="H284" s="50"/>
      <c r="I284" s="45"/>
      <c r="J284" s="51"/>
      <c r="K284" s="40" t="str">
        <f aca="false">IF($D284="","",$I284*$J284)</f>
        <v/>
      </c>
      <c r="L284" s="50"/>
      <c r="M284" s="49"/>
      <c r="N284" s="45"/>
      <c r="O284" s="40" t="str">
        <f aca="false">IF(OR($D284="",$N284=""),"",$N284*$J284)</f>
        <v/>
      </c>
      <c r="P284" s="41" t="str">
        <f aca="false">IF(OR($D284="",$L284=""),"",MAX($L284-$H284,0))</f>
        <v/>
      </c>
      <c r="Q284" s="40" t="str">
        <f aca="false">IF(OR($D284="",$N284=""),"",IF($E284="LONG",($N284-$I284)*$J284,($I284-$N284)*$J284))</f>
        <v/>
      </c>
      <c r="R284" s="42" t="str">
        <f aca="false">IF(OR($D284="",$Q284="",$K284=0),"",$Q284/$K284)</f>
        <v/>
      </c>
      <c r="S284" s="43" t="str">
        <f aca="false">IF(OR($D284="",$N284=""),"",MIN(INDEX(Config!$C$13:$C$15,$AK284),INDEX(Config!$B$13:$B$15,$AK284)*$K284)+MIN(INDEX(Config!$C$13:$C$15,$AK284),INDEX(Config!$B$13:$B$15,$AK284)*$O284))</f>
        <v/>
      </c>
      <c r="T284" s="43" t="str">
        <f aca="false">IF(OR($D284="",$N284=""),"",INDEX(Config!$D$13:$D$15,$AK284)*$AL284+INDEX(Config!$E$13:$E$15,$AK284)*$AM284)</f>
        <v/>
      </c>
      <c r="U284" s="43" t="str">
        <f aca="false">IF(OR($D284="",$N284=""),"",INDEX(Config!$F$13:$F$15,$AK284)*($K284+$O284))</f>
        <v/>
      </c>
      <c r="V284" s="43" t="str">
        <f aca="false">IF(OR($D284="",$N284=""),"",INDEX(Config!$G$13:$G$15,$AK284)*($K284+$O284)+INDEX(Config!$H$13:$H$15,$AK284)*$AL284+INDEX(Config!$J$13:$J$15,$AK284))</f>
        <v/>
      </c>
      <c r="W284" s="43" t="str">
        <f aca="false">IF(OR($D284="",$N284=""),"",INDEX(Config!$I$13:$I$15,$AK284)*($S284+$U284+INDEX(Config!$G$13:$G$15,$AK284)*($K284+$O284)))</f>
        <v/>
      </c>
      <c r="X284" s="43" t="str">
        <f aca="false">IF(OR($D284="",$N284=""),"",INDEX(Config!$K$13:$K$15,$AK284)/365*$P284*$K284*Config!$B$8)</f>
        <v/>
      </c>
      <c r="Y284" s="43" t="str">
        <f aca="false">IF(OR($D284="",$N284=""),"",SUM($S284:$X284))</f>
        <v/>
      </c>
      <c r="Z284" s="40" t="str">
        <f aca="false">IF(OR($D284="",$Q284=""),"",$Q284-$Y284)</f>
        <v/>
      </c>
      <c r="AA284" s="42" t="str">
        <f aca="false">IF(OR($D284="",$Z284="",$K284=0),"",$Z284/$K284)</f>
        <v/>
      </c>
      <c r="AB284" s="44" t="str">
        <f aca="false">IF(OR($D284="",$Y284="",$K284=0),"",$Y284/$K284*10000)</f>
        <v/>
      </c>
      <c r="AC284" s="44" t="str">
        <f aca="false">IF(OR($D284="",$G284="",$G284=0,$I284=""),"",IF($E284="LONG",($I284-$G284)/$G284,($G284-$I284)/$G284)*10000)</f>
        <v/>
      </c>
      <c r="AD284" s="45"/>
      <c r="AE284" s="40" t="str">
        <f aca="false">IF(OR($D284="",$N284&lt;&gt;"",$AD284=""),"",IF($E284="LONG",($AD284-$I284)*$J284,($I284-$AD284)*$J284))</f>
        <v/>
      </c>
      <c r="AF284" s="40" t="str">
        <f aca="false">IF(OR($D284="",$E284&lt;&gt;"LONG",$Z284=""),"",$Z284+SUMIFS($Z$4:$Z$503,$B$4:$B$503,$B284,$E$4:$E$503,"SHORT"))</f>
        <v/>
      </c>
      <c r="AG284" s="42" t="str">
        <f aca="false">IF(OR($AF284="",$K284=0),"",$AF284/$K284)</f>
        <v/>
      </c>
      <c r="AH284" s="46"/>
      <c r="AI284" s="43" t="str">
        <f aca="false">IF(OR($D284="",$AH284="",$Z284=""),"",$Z284-$AH284)</f>
        <v/>
      </c>
      <c r="AJ284" s="49"/>
      <c r="AK284" s="47" t="str">
        <f aca="false">IF($D284="","",IFERROR(MATCH($F284,Config!$A$13:$A$15,0),1))</f>
        <v/>
      </c>
      <c r="AL284" s="47" t="str">
        <f aca="false">IF(OR($D284="",$N284=""),"",IF($E284="LONG",$K284,$O284))</f>
        <v/>
      </c>
      <c r="AM284" s="47" t="str">
        <f aca="false">IF(OR($D284="",$N284=""),"",IF($E284="LONG",$O284,$K284))</f>
        <v/>
      </c>
    </row>
    <row r="285" customFormat="false" ht="15" hidden="false" customHeight="false" outlineLevel="0" collapsed="false">
      <c r="A285" s="49"/>
      <c r="B285" s="5" t="str">
        <f aca="false">IF($D285="","",IF(OR(RIGHT($A285,2)="-L",RIGHT($A285,2)="-S"),LEFT($A285,LEN($A285)-2),$A285))</f>
        <v/>
      </c>
      <c r="C285" s="50"/>
      <c r="D285" s="49"/>
      <c r="E285" s="49"/>
      <c r="F285" s="49"/>
      <c r="G285" s="45"/>
      <c r="H285" s="50"/>
      <c r="I285" s="45"/>
      <c r="J285" s="51"/>
      <c r="K285" s="40" t="str">
        <f aca="false">IF($D285="","",$I285*$J285)</f>
        <v/>
      </c>
      <c r="L285" s="50"/>
      <c r="M285" s="49"/>
      <c r="N285" s="45"/>
      <c r="O285" s="40" t="str">
        <f aca="false">IF(OR($D285="",$N285=""),"",$N285*$J285)</f>
        <v/>
      </c>
      <c r="P285" s="41" t="str">
        <f aca="false">IF(OR($D285="",$L285=""),"",MAX($L285-$H285,0))</f>
        <v/>
      </c>
      <c r="Q285" s="40" t="str">
        <f aca="false">IF(OR($D285="",$N285=""),"",IF($E285="LONG",($N285-$I285)*$J285,($I285-$N285)*$J285))</f>
        <v/>
      </c>
      <c r="R285" s="42" t="str">
        <f aca="false">IF(OR($D285="",$Q285="",$K285=0),"",$Q285/$K285)</f>
        <v/>
      </c>
      <c r="S285" s="43" t="str">
        <f aca="false">IF(OR($D285="",$N285=""),"",MIN(INDEX(Config!$C$13:$C$15,$AK285),INDEX(Config!$B$13:$B$15,$AK285)*$K285)+MIN(INDEX(Config!$C$13:$C$15,$AK285),INDEX(Config!$B$13:$B$15,$AK285)*$O285))</f>
        <v/>
      </c>
      <c r="T285" s="43" t="str">
        <f aca="false">IF(OR($D285="",$N285=""),"",INDEX(Config!$D$13:$D$15,$AK285)*$AL285+INDEX(Config!$E$13:$E$15,$AK285)*$AM285)</f>
        <v/>
      </c>
      <c r="U285" s="43" t="str">
        <f aca="false">IF(OR($D285="",$N285=""),"",INDEX(Config!$F$13:$F$15,$AK285)*($K285+$O285))</f>
        <v/>
      </c>
      <c r="V285" s="43" t="str">
        <f aca="false">IF(OR($D285="",$N285=""),"",INDEX(Config!$G$13:$G$15,$AK285)*($K285+$O285)+INDEX(Config!$H$13:$H$15,$AK285)*$AL285+INDEX(Config!$J$13:$J$15,$AK285))</f>
        <v/>
      </c>
      <c r="W285" s="43" t="str">
        <f aca="false">IF(OR($D285="",$N285=""),"",INDEX(Config!$I$13:$I$15,$AK285)*($S285+$U285+INDEX(Config!$G$13:$G$15,$AK285)*($K285+$O285)))</f>
        <v/>
      </c>
      <c r="X285" s="43" t="str">
        <f aca="false">IF(OR($D285="",$N285=""),"",INDEX(Config!$K$13:$K$15,$AK285)/365*$P285*$K285*Config!$B$8)</f>
        <v/>
      </c>
      <c r="Y285" s="43" t="str">
        <f aca="false">IF(OR($D285="",$N285=""),"",SUM($S285:$X285))</f>
        <v/>
      </c>
      <c r="Z285" s="40" t="str">
        <f aca="false">IF(OR($D285="",$Q285=""),"",$Q285-$Y285)</f>
        <v/>
      </c>
      <c r="AA285" s="42" t="str">
        <f aca="false">IF(OR($D285="",$Z285="",$K285=0),"",$Z285/$K285)</f>
        <v/>
      </c>
      <c r="AB285" s="44" t="str">
        <f aca="false">IF(OR($D285="",$Y285="",$K285=0),"",$Y285/$K285*10000)</f>
        <v/>
      </c>
      <c r="AC285" s="44" t="str">
        <f aca="false">IF(OR($D285="",$G285="",$G285=0,$I285=""),"",IF($E285="LONG",($I285-$G285)/$G285,($G285-$I285)/$G285)*10000)</f>
        <v/>
      </c>
      <c r="AD285" s="45"/>
      <c r="AE285" s="40" t="str">
        <f aca="false">IF(OR($D285="",$N285&lt;&gt;"",$AD285=""),"",IF($E285="LONG",($AD285-$I285)*$J285,($I285-$AD285)*$J285))</f>
        <v/>
      </c>
      <c r="AF285" s="40" t="str">
        <f aca="false">IF(OR($D285="",$E285&lt;&gt;"LONG",$Z285=""),"",$Z285+SUMIFS($Z$4:$Z$503,$B$4:$B$503,$B285,$E$4:$E$503,"SHORT"))</f>
        <v/>
      </c>
      <c r="AG285" s="42" t="str">
        <f aca="false">IF(OR($AF285="",$K285=0),"",$AF285/$K285)</f>
        <v/>
      </c>
      <c r="AH285" s="46"/>
      <c r="AI285" s="43" t="str">
        <f aca="false">IF(OR($D285="",$AH285="",$Z285=""),"",$Z285-$AH285)</f>
        <v/>
      </c>
      <c r="AJ285" s="49"/>
      <c r="AK285" s="47" t="str">
        <f aca="false">IF($D285="","",IFERROR(MATCH($F285,Config!$A$13:$A$15,0),1))</f>
        <v/>
      </c>
      <c r="AL285" s="47" t="str">
        <f aca="false">IF(OR($D285="",$N285=""),"",IF($E285="LONG",$K285,$O285))</f>
        <v/>
      </c>
      <c r="AM285" s="47" t="str">
        <f aca="false">IF(OR($D285="",$N285=""),"",IF($E285="LONG",$O285,$K285))</f>
        <v/>
      </c>
    </row>
    <row r="286" customFormat="false" ht="15" hidden="false" customHeight="false" outlineLevel="0" collapsed="false">
      <c r="A286" s="49"/>
      <c r="B286" s="5" t="str">
        <f aca="false">IF($D286="","",IF(OR(RIGHT($A286,2)="-L",RIGHT($A286,2)="-S"),LEFT($A286,LEN($A286)-2),$A286))</f>
        <v/>
      </c>
      <c r="C286" s="50"/>
      <c r="D286" s="49"/>
      <c r="E286" s="49"/>
      <c r="F286" s="49"/>
      <c r="G286" s="45"/>
      <c r="H286" s="50"/>
      <c r="I286" s="45"/>
      <c r="J286" s="51"/>
      <c r="K286" s="40" t="str">
        <f aca="false">IF($D286="","",$I286*$J286)</f>
        <v/>
      </c>
      <c r="L286" s="50"/>
      <c r="M286" s="49"/>
      <c r="N286" s="45"/>
      <c r="O286" s="40" t="str">
        <f aca="false">IF(OR($D286="",$N286=""),"",$N286*$J286)</f>
        <v/>
      </c>
      <c r="P286" s="41" t="str">
        <f aca="false">IF(OR($D286="",$L286=""),"",MAX($L286-$H286,0))</f>
        <v/>
      </c>
      <c r="Q286" s="40" t="str">
        <f aca="false">IF(OR($D286="",$N286=""),"",IF($E286="LONG",($N286-$I286)*$J286,($I286-$N286)*$J286))</f>
        <v/>
      </c>
      <c r="R286" s="42" t="str">
        <f aca="false">IF(OR($D286="",$Q286="",$K286=0),"",$Q286/$K286)</f>
        <v/>
      </c>
      <c r="S286" s="43" t="str">
        <f aca="false">IF(OR($D286="",$N286=""),"",MIN(INDEX(Config!$C$13:$C$15,$AK286),INDEX(Config!$B$13:$B$15,$AK286)*$K286)+MIN(INDEX(Config!$C$13:$C$15,$AK286),INDEX(Config!$B$13:$B$15,$AK286)*$O286))</f>
        <v/>
      </c>
      <c r="T286" s="43" t="str">
        <f aca="false">IF(OR($D286="",$N286=""),"",INDEX(Config!$D$13:$D$15,$AK286)*$AL286+INDEX(Config!$E$13:$E$15,$AK286)*$AM286)</f>
        <v/>
      </c>
      <c r="U286" s="43" t="str">
        <f aca="false">IF(OR($D286="",$N286=""),"",INDEX(Config!$F$13:$F$15,$AK286)*($K286+$O286))</f>
        <v/>
      </c>
      <c r="V286" s="43" t="str">
        <f aca="false">IF(OR($D286="",$N286=""),"",INDEX(Config!$G$13:$G$15,$AK286)*($K286+$O286)+INDEX(Config!$H$13:$H$15,$AK286)*$AL286+INDEX(Config!$J$13:$J$15,$AK286))</f>
        <v/>
      </c>
      <c r="W286" s="43" t="str">
        <f aca="false">IF(OR($D286="",$N286=""),"",INDEX(Config!$I$13:$I$15,$AK286)*($S286+$U286+INDEX(Config!$G$13:$G$15,$AK286)*($K286+$O286)))</f>
        <v/>
      </c>
      <c r="X286" s="43" t="str">
        <f aca="false">IF(OR($D286="",$N286=""),"",INDEX(Config!$K$13:$K$15,$AK286)/365*$P286*$K286*Config!$B$8)</f>
        <v/>
      </c>
      <c r="Y286" s="43" t="str">
        <f aca="false">IF(OR($D286="",$N286=""),"",SUM($S286:$X286))</f>
        <v/>
      </c>
      <c r="Z286" s="40" t="str">
        <f aca="false">IF(OR($D286="",$Q286=""),"",$Q286-$Y286)</f>
        <v/>
      </c>
      <c r="AA286" s="42" t="str">
        <f aca="false">IF(OR($D286="",$Z286="",$K286=0),"",$Z286/$K286)</f>
        <v/>
      </c>
      <c r="AB286" s="44" t="str">
        <f aca="false">IF(OR($D286="",$Y286="",$K286=0),"",$Y286/$K286*10000)</f>
        <v/>
      </c>
      <c r="AC286" s="44" t="str">
        <f aca="false">IF(OR($D286="",$G286="",$G286=0,$I286=""),"",IF($E286="LONG",($I286-$G286)/$G286,($G286-$I286)/$G286)*10000)</f>
        <v/>
      </c>
      <c r="AD286" s="45"/>
      <c r="AE286" s="40" t="str">
        <f aca="false">IF(OR($D286="",$N286&lt;&gt;"",$AD286=""),"",IF($E286="LONG",($AD286-$I286)*$J286,($I286-$AD286)*$J286))</f>
        <v/>
      </c>
      <c r="AF286" s="40" t="str">
        <f aca="false">IF(OR($D286="",$E286&lt;&gt;"LONG",$Z286=""),"",$Z286+SUMIFS($Z$4:$Z$503,$B$4:$B$503,$B286,$E$4:$E$503,"SHORT"))</f>
        <v/>
      </c>
      <c r="AG286" s="42" t="str">
        <f aca="false">IF(OR($AF286="",$K286=0),"",$AF286/$K286)</f>
        <v/>
      </c>
      <c r="AH286" s="46"/>
      <c r="AI286" s="43" t="str">
        <f aca="false">IF(OR($D286="",$AH286="",$Z286=""),"",$Z286-$AH286)</f>
        <v/>
      </c>
      <c r="AJ286" s="49"/>
      <c r="AK286" s="47" t="str">
        <f aca="false">IF($D286="","",IFERROR(MATCH($F286,Config!$A$13:$A$15,0),1))</f>
        <v/>
      </c>
      <c r="AL286" s="47" t="str">
        <f aca="false">IF(OR($D286="",$N286=""),"",IF($E286="LONG",$K286,$O286))</f>
        <v/>
      </c>
      <c r="AM286" s="47" t="str">
        <f aca="false">IF(OR($D286="",$N286=""),"",IF($E286="LONG",$O286,$K286))</f>
        <v/>
      </c>
    </row>
    <row r="287" customFormat="false" ht="15" hidden="false" customHeight="false" outlineLevel="0" collapsed="false">
      <c r="A287" s="49"/>
      <c r="B287" s="5" t="str">
        <f aca="false">IF($D287="","",IF(OR(RIGHT($A287,2)="-L",RIGHT($A287,2)="-S"),LEFT($A287,LEN($A287)-2),$A287))</f>
        <v/>
      </c>
      <c r="C287" s="50"/>
      <c r="D287" s="49"/>
      <c r="E287" s="49"/>
      <c r="F287" s="49"/>
      <c r="G287" s="45"/>
      <c r="H287" s="50"/>
      <c r="I287" s="45"/>
      <c r="J287" s="51"/>
      <c r="K287" s="40" t="str">
        <f aca="false">IF($D287="","",$I287*$J287)</f>
        <v/>
      </c>
      <c r="L287" s="50"/>
      <c r="M287" s="49"/>
      <c r="N287" s="45"/>
      <c r="O287" s="40" t="str">
        <f aca="false">IF(OR($D287="",$N287=""),"",$N287*$J287)</f>
        <v/>
      </c>
      <c r="P287" s="41" t="str">
        <f aca="false">IF(OR($D287="",$L287=""),"",MAX($L287-$H287,0))</f>
        <v/>
      </c>
      <c r="Q287" s="40" t="str">
        <f aca="false">IF(OR($D287="",$N287=""),"",IF($E287="LONG",($N287-$I287)*$J287,($I287-$N287)*$J287))</f>
        <v/>
      </c>
      <c r="R287" s="42" t="str">
        <f aca="false">IF(OR($D287="",$Q287="",$K287=0),"",$Q287/$K287)</f>
        <v/>
      </c>
      <c r="S287" s="43" t="str">
        <f aca="false">IF(OR($D287="",$N287=""),"",MIN(INDEX(Config!$C$13:$C$15,$AK287),INDEX(Config!$B$13:$B$15,$AK287)*$K287)+MIN(INDEX(Config!$C$13:$C$15,$AK287),INDEX(Config!$B$13:$B$15,$AK287)*$O287))</f>
        <v/>
      </c>
      <c r="T287" s="43" t="str">
        <f aca="false">IF(OR($D287="",$N287=""),"",INDEX(Config!$D$13:$D$15,$AK287)*$AL287+INDEX(Config!$E$13:$E$15,$AK287)*$AM287)</f>
        <v/>
      </c>
      <c r="U287" s="43" t="str">
        <f aca="false">IF(OR($D287="",$N287=""),"",INDEX(Config!$F$13:$F$15,$AK287)*($K287+$O287))</f>
        <v/>
      </c>
      <c r="V287" s="43" t="str">
        <f aca="false">IF(OR($D287="",$N287=""),"",INDEX(Config!$G$13:$G$15,$AK287)*($K287+$O287)+INDEX(Config!$H$13:$H$15,$AK287)*$AL287+INDEX(Config!$J$13:$J$15,$AK287))</f>
        <v/>
      </c>
      <c r="W287" s="43" t="str">
        <f aca="false">IF(OR($D287="",$N287=""),"",INDEX(Config!$I$13:$I$15,$AK287)*($S287+$U287+INDEX(Config!$G$13:$G$15,$AK287)*($K287+$O287)))</f>
        <v/>
      </c>
      <c r="X287" s="43" t="str">
        <f aca="false">IF(OR($D287="",$N287=""),"",INDEX(Config!$K$13:$K$15,$AK287)/365*$P287*$K287*Config!$B$8)</f>
        <v/>
      </c>
      <c r="Y287" s="43" t="str">
        <f aca="false">IF(OR($D287="",$N287=""),"",SUM($S287:$X287))</f>
        <v/>
      </c>
      <c r="Z287" s="40" t="str">
        <f aca="false">IF(OR($D287="",$Q287=""),"",$Q287-$Y287)</f>
        <v/>
      </c>
      <c r="AA287" s="42" t="str">
        <f aca="false">IF(OR($D287="",$Z287="",$K287=0),"",$Z287/$K287)</f>
        <v/>
      </c>
      <c r="AB287" s="44" t="str">
        <f aca="false">IF(OR($D287="",$Y287="",$K287=0),"",$Y287/$K287*10000)</f>
        <v/>
      </c>
      <c r="AC287" s="44" t="str">
        <f aca="false">IF(OR($D287="",$G287="",$G287=0,$I287=""),"",IF($E287="LONG",($I287-$G287)/$G287,($G287-$I287)/$G287)*10000)</f>
        <v/>
      </c>
      <c r="AD287" s="45"/>
      <c r="AE287" s="40" t="str">
        <f aca="false">IF(OR($D287="",$N287&lt;&gt;"",$AD287=""),"",IF($E287="LONG",($AD287-$I287)*$J287,($I287-$AD287)*$J287))</f>
        <v/>
      </c>
      <c r="AF287" s="40" t="str">
        <f aca="false">IF(OR($D287="",$E287&lt;&gt;"LONG",$Z287=""),"",$Z287+SUMIFS($Z$4:$Z$503,$B$4:$B$503,$B287,$E$4:$E$503,"SHORT"))</f>
        <v/>
      </c>
      <c r="AG287" s="42" t="str">
        <f aca="false">IF(OR($AF287="",$K287=0),"",$AF287/$K287)</f>
        <v/>
      </c>
      <c r="AH287" s="46"/>
      <c r="AI287" s="43" t="str">
        <f aca="false">IF(OR($D287="",$AH287="",$Z287=""),"",$Z287-$AH287)</f>
        <v/>
      </c>
      <c r="AJ287" s="49"/>
      <c r="AK287" s="47" t="str">
        <f aca="false">IF($D287="","",IFERROR(MATCH($F287,Config!$A$13:$A$15,0),1))</f>
        <v/>
      </c>
      <c r="AL287" s="47" t="str">
        <f aca="false">IF(OR($D287="",$N287=""),"",IF($E287="LONG",$K287,$O287))</f>
        <v/>
      </c>
      <c r="AM287" s="47" t="str">
        <f aca="false">IF(OR($D287="",$N287=""),"",IF($E287="LONG",$O287,$K287))</f>
        <v/>
      </c>
    </row>
    <row r="288" customFormat="false" ht="15" hidden="false" customHeight="false" outlineLevel="0" collapsed="false">
      <c r="A288" s="49"/>
      <c r="B288" s="5" t="str">
        <f aca="false">IF($D288="","",IF(OR(RIGHT($A288,2)="-L",RIGHT($A288,2)="-S"),LEFT($A288,LEN($A288)-2),$A288))</f>
        <v/>
      </c>
      <c r="C288" s="50"/>
      <c r="D288" s="49"/>
      <c r="E288" s="49"/>
      <c r="F288" s="49"/>
      <c r="G288" s="45"/>
      <c r="H288" s="50"/>
      <c r="I288" s="45"/>
      <c r="J288" s="51"/>
      <c r="K288" s="40" t="str">
        <f aca="false">IF($D288="","",$I288*$J288)</f>
        <v/>
      </c>
      <c r="L288" s="50"/>
      <c r="M288" s="49"/>
      <c r="N288" s="45"/>
      <c r="O288" s="40" t="str">
        <f aca="false">IF(OR($D288="",$N288=""),"",$N288*$J288)</f>
        <v/>
      </c>
      <c r="P288" s="41" t="str">
        <f aca="false">IF(OR($D288="",$L288=""),"",MAX($L288-$H288,0))</f>
        <v/>
      </c>
      <c r="Q288" s="40" t="str">
        <f aca="false">IF(OR($D288="",$N288=""),"",IF($E288="LONG",($N288-$I288)*$J288,($I288-$N288)*$J288))</f>
        <v/>
      </c>
      <c r="R288" s="42" t="str">
        <f aca="false">IF(OR($D288="",$Q288="",$K288=0),"",$Q288/$K288)</f>
        <v/>
      </c>
      <c r="S288" s="43" t="str">
        <f aca="false">IF(OR($D288="",$N288=""),"",MIN(INDEX(Config!$C$13:$C$15,$AK288),INDEX(Config!$B$13:$B$15,$AK288)*$K288)+MIN(INDEX(Config!$C$13:$C$15,$AK288),INDEX(Config!$B$13:$B$15,$AK288)*$O288))</f>
        <v/>
      </c>
      <c r="T288" s="43" t="str">
        <f aca="false">IF(OR($D288="",$N288=""),"",INDEX(Config!$D$13:$D$15,$AK288)*$AL288+INDEX(Config!$E$13:$E$15,$AK288)*$AM288)</f>
        <v/>
      </c>
      <c r="U288" s="43" t="str">
        <f aca="false">IF(OR($D288="",$N288=""),"",INDEX(Config!$F$13:$F$15,$AK288)*($K288+$O288))</f>
        <v/>
      </c>
      <c r="V288" s="43" t="str">
        <f aca="false">IF(OR($D288="",$N288=""),"",INDEX(Config!$G$13:$G$15,$AK288)*($K288+$O288)+INDEX(Config!$H$13:$H$15,$AK288)*$AL288+INDEX(Config!$J$13:$J$15,$AK288))</f>
        <v/>
      </c>
      <c r="W288" s="43" t="str">
        <f aca="false">IF(OR($D288="",$N288=""),"",INDEX(Config!$I$13:$I$15,$AK288)*($S288+$U288+INDEX(Config!$G$13:$G$15,$AK288)*($K288+$O288)))</f>
        <v/>
      </c>
      <c r="X288" s="43" t="str">
        <f aca="false">IF(OR($D288="",$N288=""),"",INDEX(Config!$K$13:$K$15,$AK288)/365*$P288*$K288*Config!$B$8)</f>
        <v/>
      </c>
      <c r="Y288" s="43" t="str">
        <f aca="false">IF(OR($D288="",$N288=""),"",SUM($S288:$X288))</f>
        <v/>
      </c>
      <c r="Z288" s="40" t="str">
        <f aca="false">IF(OR($D288="",$Q288=""),"",$Q288-$Y288)</f>
        <v/>
      </c>
      <c r="AA288" s="42" t="str">
        <f aca="false">IF(OR($D288="",$Z288="",$K288=0),"",$Z288/$K288)</f>
        <v/>
      </c>
      <c r="AB288" s="44" t="str">
        <f aca="false">IF(OR($D288="",$Y288="",$K288=0),"",$Y288/$K288*10000)</f>
        <v/>
      </c>
      <c r="AC288" s="44" t="str">
        <f aca="false">IF(OR($D288="",$G288="",$G288=0,$I288=""),"",IF($E288="LONG",($I288-$G288)/$G288,($G288-$I288)/$G288)*10000)</f>
        <v/>
      </c>
      <c r="AD288" s="45"/>
      <c r="AE288" s="40" t="str">
        <f aca="false">IF(OR($D288="",$N288&lt;&gt;"",$AD288=""),"",IF($E288="LONG",($AD288-$I288)*$J288,($I288-$AD288)*$J288))</f>
        <v/>
      </c>
      <c r="AF288" s="40" t="str">
        <f aca="false">IF(OR($D288="",$E288&lt;&gt;"LONG",$Z288=""),"",$Z288+SUMIFS($Z$4:$Z$503,$B$4:$B$503,$B288,$E$4:$E$503,"SHORT"))</f>
        <v/>
      </c>
      <c r="AG288" s="42" t="str">
        <f aca="false">IF(OR($AF288="",$K288=0),"",$AF288/$K288)</f>
        <v/>
      </c>
      <c r="AH288" s="46"/>
      <c r="AI288" s="43" t="str">
        <f aca="false">IF(OR($D288="",$AH288="",$Z288=""),"",$Z288-$AH288)</f>
        <v/>
      </c>
      <c r="AJ288" s="49"/>
      <c r="AK288" s="47" t="str">
        <f aca="false">IF($D288="","",IFERROR(MATCH($F288,Config!$A$13:$A$15,0),1))</f>
        <v/>
      </c>
      <c r="AL288" s="47" t="str">
        <f aca="false">IF(OR($D288="",$N288=""),"",IF($E288="LONG",$K288,$O288))</f>
        <v/>
      </c>
      <c r="AM288" s="47" t="str">
        <f aca="false">IF(OR($D288="",$N288=""),"",IF($E288="LONG",$O288,$K288))</f>
        <v/>
      </c>
    </row>
    <row r="289" customFormat="false" ht="15" hidden="false" customHeight="false" outlineLevel="0" collapsed="false">
      <c r="A289" s="49"/>
      <c r="B289" s="5" t="str">
        <f aca="false">IF($D289="","",IF(OR(RIGHT($A289,2)="-L",RIGHT($A289,2)="-S"),LEFT($A289,LEN($A289)-2),$A289))</f>
        <v/>
      </c>
      <c r="C289" s="50"/>
      <c r="D289" s="49"/>
      <c r="E289" s="49"/>
      <c r="F289" s="49"/>
      <c r="G289" s="45"/>
      <c r="H289" s="50"/>
      <c r="I289" s="45"/>
      <c r="J289" s="51"/>
      <c r="K289" s="40" t="str">
        <f aca="false">IF($D289="","",$I289*$J289)</f>
        <v/>
      </c>
      <c r="L289" s="50"/>
      <c r="M289" s="49"/>
      <c r="N289" s="45"/>
      <c r="O289" s="40" t="str">
        <f aca="false">IF(OR($D289="",$N289=""),"",$N289*$J289)</f>
        <v/>
      </c>
      <c r="P289" s="41" t="str">
        <f aca="false">IF(OR($D289="",$L289=""),"",MAX($L289-$H289,0))</f>
        <v/>
      </c>
      <c r="Q289" s="40" t="str">
        <f aca="false">IF(OR($D289="",$N289=""),"",IF($E289="LONG",($N289-$I289)*$J289,($I289-$N289)*$J289))</f>
        <v/>
      </c>
      <c r="R289" s="42" t="str">
        <f aca="false">IF(OR($D289="",$Q289="",$K289=0),"",$Q289/$K289)</f>
        <v/>
      </c>
      <c r="S289" s="43" t="str">
        <f aca="false">IF(OR($D289="",$N289=""),"",MIN(INDEX(Config!$C$13:$C$15,$AK289),INDEX(Config!$B$13:$B$15,$AK289)*$K289)+MIN(INDEX(Config!$C$13:$C$15,$AK289),INDEX(Config!$B$13:$B$15,$AK289)*$O289))</f>
        <v/>
      </c>
      <c r="T289" s="43" t="str">
        <f aca="false">IF(OR($D289="",$N289=""),"",INDEX(Config!$D$13:$D$15,$AK289)*$AL289+INDEX(Config!$E$13:$E$15,$AK289)*$AM289)</f>
        <v/>
      </c>
      <c r="U289" s="43" t="str">
        <f aca="false">IF(OR($D289="",$N289=""),"",INDEX(Config!$F$13:$F$15,$AK289)*($K289+$O289))</f>
        <v/>
      </c>
      <c r="V289" s="43" t="str">
        <f aca="false">IF(OR($D289="",$N289=""),"",INDEX(Config!$G$13:$G$15,$AK289)*($K289+$O289)+INDEX(Config!$H$13:$H$15,$AK289)*$AL289+INDEX(Config!$J$13:$J$15,$AK289))</f>
        <v/>
      </c>
      <c r="W289" s="43" t="str">
        <f aca="false">IF(OR($D289="",$N289=""),"",INDEX(Config!$I$13:$I$15,$AK289)*($S289+$U289+INDEX(Config!$G$13:$G$15,$AK289)*($K289+$O289)))</f>
        <v/>
      </c>
      <c r="X289" s="43" t="str">
        <f aca="false">IF(OR($D289="",$N289=""),"",INDEX(Config!$K$13:$K$15,$AK289)/365*$P289*$K289*Config!$B$8)</f>
        <v/>
      </c>
      <c r="Y289" s="43" t="str">
        <f aca="false">IF(OR($D289="",$N289=""),"",SUM($S289:$X289))</f>
        <v/>
      </c>
      <c r="Z289" s="40" t="str">
        <f aca="false">IF(OR($D289="",$Q289=""),"",$Q289-$Y289)</f>
        <v/>
      </c>
      <c r="AA289" s="42" t="str">
        <f aca="false">IF(OR($D289="",$Z289="",$K289=0),"",$Z289/$K289)</f>
        <v/>
      </c>
      <c r="AB289" s="44" t="str">
        <f aca="false">IF(OR($D289="",$Y289="",$K289=0),"",$Y289/$K289*10000)</f>
        <v/>
      </c>
      <c r="AC289" s="44" t="str">
        <f aca="false">IF(OR($D289="",$G289="",$G289=0,$I289=""),"",IF($E289="LONG",($I289-$G289)/$G289,($G289-$I289)/$G289)*10000)</f>
        <v/>
      </c>
      <c r="AD289" s="45"/>
      <c r="AE289" s="40" t="str">
        <f aca="false">IF(OR($D289="",$N289&lt;&gt;"",$AD289=""),"",IF($E289="LONG",($AD289-$I289)*$J289,($I289-$AD289)*$J289))</f>
        <v/>
      </c>
      <c r="AF289" s="40" t="str">
        <f aca="false">IF(OR($D289="",$E289&lt;&gt;"LONG",$Z289=""),"",$Z289+SUMIFS($Z$4:$Z$503,$B$4:$B$503,$B289,$E$4:$E$503,"SHORT"))</f>
        <v/>
      </c>
      <c r="AG289" s="42" t="str">
        <f aca="false">IF(OR($AF289="",$K289=0),"",$AF289/$K289)</f>
        <v/>
      </c>
      <c r="AH289" s="46"/>
      <c r="AI289" s="43" t="str">
        <f aca="false">IF(OR($D289="",$AH289="",$Z289=""),"",$Z289-$AH289)</f>
        <v/>
      </c>
      <c r="AJ289" s="49"/>
      <c r="AK289" s="47" t="str">
        <f aca="false">IF($D289="","",IFERROR(MATCH($F289,Config!$A$13:$A$15,0),1))</f>
        <v/>
      </c>
      <c r="AL289" s="47" t="str">
        <f aca="false">IF(OR($D289="",$N289=""),"",IF($E289="LONG",$K289,$O289))</f>
        <v/>
      </c>
      <c r="AM289" s="47" t="str">
        <f aca="false">IF(OR($D289="",$N289=""),"",IF($E289="LONG",$O289,$K289))</f>
        <v/>
      </c>
    </row>
    <row r="290" customFormat="false" ht="15" hidden="false" customHeight="false" outlineLevel="0" collapsed="false">
      <c r="A290" s="49"/>
      <c r="B290" s="5" t="str">
        <f aca="false">IF($D290="","",IF(OR(RIGHT($A290,2)="-L",RIGHT($A290,2)="-S"),LEFT($A290,LEN($A290)-2),$A290))</f>
        <v/>
      </c>
      <c r="C290" s="50"/>
      <c r="D290" s="49"/>
      <c r="E290" s="49"/>
      <c r="F290" s="49"/>
      <c r="G290" s="45"/>
      <c r="H290" s="50"/>
      <c r="I290" s="45"/>
      <c r="J290" s="51"/>
      <c r="K290" s="40" t="str">
        <f aca="false">IF($D290="","",$I290*$J290)</f>
        <v/>
      </c>
      <c r="L290" s="50"/>
      <c r="M290" s="49"/>
      <c r="N290" s="45"/>
      <c r="O290" s="40" t="str">
        <f aca="false">IF(OR($D290="",$N290=""),"",$N290*$J290)</f>
        <v/>
      </c>
      <c r="P290" s="41" t="str">
        <f aca="false">IF(OR($D290="",$L290=""),"",MAX($L290-$H290,0))</f>
        <v/>
      </c>
      <c r="Q290" s="40" t="str">
        <f aca="false">IF(OR($D290="",$N290=""),"",IF($E290="LONG",($N290-$I290)*$J290,($I290-$N290)*$J290))</f>
        <v/>
      </c>
      <c r="R290" s="42" t="str">
        <f aca="false">IF(OR($D290="",$Q290="",$K290=0),"",$Q290/$K290)</f>
        <v/>
      </c>
      <c r="S290" s="43" t="str">
        <f aca="false">IF(OR($D290="",$N290=""),"",MIN(INDEX(Config!$C$13:$C$15,$AK290),INDEX(Config!$B$13:$B$15,$AK290)*$K290)+MIN(INDEX(Config!$C$13:$C$15,$AK290),INDEX(Config!$B$13:$B$15,$AK290)*$O290))</f>
        <v/>
      </c>
      <c r="T290" s="43" t="str">
        <f aca="false">IF(OR($D290="",$N290=""),"",INDEX(Config!$D$13:$D$15,$AK290)*$AL290+INDEX(Config!$E$13:$E$15,$AK290)*$AM290)</f>
        <v/>
      </c>
      <c r="U290" s="43" t="str">
        <f aca="false">IF(OR($D290="",$N290=""),"",INDEX(Config!$F$13:$F$15,$AK290)*($K290+$O290))</f>
        <v/>
      </c>
      <c r="V290" s="43" t="str">
        <f aca="false">IF(OR($D290="",$N290=""),"",INDEX(Config!$G$13:$G$15,$AK290)*($K290+$O290)+INDEX(Config!$H$13:$H$15,$AK290)*$AL290+INDEX(Config!$J$13:$J$15,$AK290))</f>
        <v/>
      </c>
      <c r="W290" s="43" t="str">
        <f aca="false">IF(OR($D290="",$N290=""),"",INDEX(Config!$I$13:$I$15,$AK290)*($S290+$U290+INDEX(Config!$G$13:$G$15,$AK290)*($K290+$O290)))</f>
        <v/>
      </c>
      <c r="X290" s="43" t="str">
        <f aca="false">IF(OR($D290="",$N290=""),"",INDEX(Config!$K$13:$K$15,$AK290)/365*$P290*$K290*Config!$B$8)</f>
        <v/>
      </c>
      <c r="Y290" s="43" t="str">
        <f aca="false">IF(OR($D290="",$N290=""),"",SUM($S290:$X290))</f>
        <v/>
      </c>
      <c r="Z290" s="40" t="str">
        <f aca="false">IF(OR($D290="",$Q290=""),"",$Q290-$Y290)</f>
        <v/>
      </c>
      <c r="AA290" s="42" t="str">
        <f aca="false">IF(OR($D290="",$Z290="",$K290=0),"",$Z290/$K290)</f>
        <v/>
      </c>
      <c r="AB290" s="44" t="str">
        <f aca="false">IF(OR($D290="",$Y290="",$K290=0),"",$Y290/$K290*10000)</f>
        <v/>
      </c>
      <c r="AC290" s="44" t="str">
        <f aca="false">IF(OR($D290="",$G290="",$G290=0,$I290=""),"",IF($E290="LONG",($I290-$G290)/$G290,($G290-$I290)/$G290)*10000)</f>
        <v/>
      </c>
      <c r="AD290" s="45"/>
      <c r="AE290" s="40" t="str">
        <f aca="false">IF(OR($D290="",$N290&lt;&gt;"",$AD290=""),"",IF($E290="LONG",($AD290-$I290)*$J290,($I290-$AD290)*$J290))</f>
        <v/>
      </c>
      <c r="AF290" s="40" t="str">
        <f aca="false">IF(OR($D290="",$E290&lt;&gt;"LONG",$Z290=""),"",$Z290+SUMIFS($Z$4:$Z$503,$B$4:$B$503,$B290,$E$4:$E$503,"SHORT"))</f>
        <v/>
      </c>
      <c r="AG290" s="42" t="str">
        <f aca="false">IF(OR($AF290="",$K290=0),"",$AF290/$K290)</f>
        <v/>
      </c>
      <c r="AH290" s="46"/>
      <c r="AI290" s="43" t="str">
        <f aca="false">IF(OR($D290="",$AH290="",$Z290=""),"",$Z290-$AH290)</f>
        <v/>
      </c>
      <c r="AJ290" s="49"/>
      <c r="AK290" s="47" t="str">
        <f aca="false">IF($D290="","",IFERROR(MATCH($F290,Config!$A$13:$A$15,0),1))</f>
        <v/>
      </c>
      <c r="AL290" s="47" t="str">
        <f aca="false">IF(OR($D290="",$N290=""),"",IF($E290="LONG",$K290,$O290))</f>
        <v/>
      </c>
      <c r="AM290" s="47" t="str">
        <f aca="false">IF(OR($D290="",$N290=""),"",IF($E290="LONG",$O290,$K290))</f>
        <v/>
      </c>
    </row>
    <row r="291" customFormat="false" ht="15" hidden="false" customHeight="false" outlineLevel="0" collapsed="false">
      <c r="A291" s="49"/>
      <c r="B291" s="5" t="str">
        <f aca="false">IF($D291="","",IF(OR(RIGHT($A291,2)="-L",RIGHT($A291,2)="-S"),LEFT($A291,LEN($A291)-2),$A291))</f>
        <v/>
      </c>
      <c r="C291" s="50"/>
      <c r="D291" s="49"/>
      <c r="E291" s="49"/>
      <c r="F291" s="49"/>
      <c r="G291" s="45"/>
      <c r="H291" s="50"/>
      <c r="I291" s="45"/>
      <c r="J291" s="51"/>
      <c r="K291" s="40" t="str">
        <f aca="false">IF($D291="","",$I291*$J291)</f>
        <v/>
      </c>
      <c r="L291" s="50"/>
      <c r="M291" s="49"/>
      <c r="N291" s="45"/>
      <c r="O291" s="40" t="str">
        <f aca="false">IF(OR($D291="",$N291=""),"",$N291*$J291)</f>
        <v/>
      </c>
      <c r="P291" s="41" t="str">
        <f aca="false">IF(OR($D291="",$L291=""),"",MAX($L291-$H291,0))</f>
        <v/>
      </c>
      <c r="Q291" s="40" t="str">
        <f aca="false">IF(OR($D291="",$N291=""),"",IF($E291="LONG",($N291-$I291)*$J291,($I291-$N291)*$J291))</f>
        <v/>
      </c>
      <c r="R291" s="42" t="str">
        <f aca="false">IF(OR($D291="",$Q291="",$K291=0),"",$Q291/$K291)</f>
        <v/>
      </c>
      <c r="S291" s="43" t="str">
        <f aca="false">IF(OR($D291="",$N291=""),"",MIN(INDEX(Config!$C$13:$C$15,$AK291),INDEX(Config!$B$13:$B$15,$AK291)*$K291)+MIN(INDEX(Config!$C$13:$C$15,$AK291),INDEX(Config!$B$13:$B$15,$AK291)*$O291))</f>
        <v/>
      </c>
      <c r="T291" s="43" t="str">
        <f aca="false">IF(OR($D291="",$N291=""),"",INDEX(Config!$D$13:$D$15,$AK291)*$AL291+INDEX(Config!$E$13:$E$15,$AK291)*$AM291)</f>
        <v/>
      </c>
      <c r="U291" s="43" t="str">
        <f aca="false">IF(OR($D291="",$N291=""),"",INDEX(Config!$F$13:$F$15,$AK291)*($K291+$O291))</f>
        <v/>
      </c>
      <c r="V291" s="43" t="str">
        <f aca="false">IF(OR($D291="",$N291=""),"",INDEX(Config!$G$13:$G$15,$AK291)*($K291+$O291)+INDEX(Config!$H$13:$H$15,$AK291)*$AL291+INDEX(Config!$J$13:$J$15,$AK291))</f>
        <v/>
      </c>
      <c r="W291" s="43" t="str">
        <f aca="false">IF(OR($D291="",$N291=""),"",INDEX(Config!$I$13:$I$15,$AK291)*($S291+$U291+INDEX(Config!$G$13:$G$15,$AK291)*($K291+$O291)))</f>
        <v/>
      </c>
      <c r="X291" s="43" t="str">
        <f aca="false">IF(OR($D291="",$N291=""),"",INDEX(Config!$K$13:$K$15,$AK291)/365*$P291*$K291*Config!$B$8)</f>
        <v/>
      </c>
      <c r="Y291" s="43" t="str">
        <f aca="false">IF(OR($D291="",$N291=""),"",SUM($S291:$X291))</f>
        <v/>
      </c>
      <c r="Z291" s="40" t="str">
        <f aca="false">IF(OR($D291="",$Q291=""),"",$Q291-$Y291)</f>
        <v/>
      </c>
      <c r="AA291" s="42" t="str">
        <f aca="false">IF(OR($D291="",$Z291="",$K291=0),"",$Z291/$K291)</f>
        <v/>
      </c>
      <c r="AB291" s="44" t="str">
        <f aca="false">IF(OR($D291="",$Y291="",$K291=0),"",$Y291/$K291*10000)</f>
        <v/>
      </c>
      <c r="AC291" s="44" t="str">
        <f aca="false">IF(OR($D291="",$G291="",$G291=0,$I291=""),"",IF($E291="LONG",($I291-$G291)/$G291,($G291-$I291)/$G291)*10000)</f>
        <v/>
      </c>
      <c r="AD291" s="45"/>
      <c r="AE291" s="40" t="str">
        <f aca="false">IF(OR($D291="",$N291&lt;&gt;"",$AD291=""),"",IF($E291="LONG",($AD291-$I291)*$J291,($I291-$AD291)*$J291))</f>
        <v/>
      </c>
      <c r="AF291" s="40" t="str">
        <f aca="false">IF(OR($D291="",$E291&lt;&gt;"LONG",$Z291=""),"",$Z291+SUMIFS($Z$4:$Z$503,$B$4:$B$503,$B291,$E$4:$E$503,"SHORT"))</f>
        <v/>
      </c>
      <c r="AG291" s="42" t="str">
        <f aca="false">IF(OR($AF291="",$K291=0),"",$AF291/$K291)</f>
        <v/>
      </c>
      <c r="AH291" s="46"/>
      <c r="AI291" s="43" t="str">
        <f aca="false">IF(OR($D291="",$AH291="",$Z291=""),"",$Z291-$AH291)</f>
        <v/>
      </c>
      <c r="AJ291" s="49"/>
      <c r="AK291" s="47" t="str">
        <f aca="false">IF($D291="","",IFERROR(MATCH($F291,Config!$A$13:$A$15,0),1))</f>
        <v/>
      </c>
      <c r="AL291" s="47" t="str">
        <f aca="false">IF(OR($D291="",$N291=""),"",IF($E291="LONG",$K291,$O291))</f>
        <v/>
      </c>
      <c r="AM291" s="47" t="str">
        <f aca="false">IF(OR($D291="",$N291=""),"",IF($E291="LONG",$O291,$K291))</f>
        <v/>
      </c>
    </row>
    <row r="292" customFormat="false" ht="15" hidden="false" customHeight="false" outlineLevel="0" collapsed="false">
      <c r="A292" s="49"/>
      <c r="B292" s="5" t="str">
        <f aca="false">IF($D292="","",IF(OR(RIGHT($A292,2)="-L",RIGHT($A292,2)="-S"),LEFT($A292,LEN($A292)-2),$A292))</f>
        <v/>
      </c>
      <c r="C292" s="50"/>
      <c r="D292" s="49"/>
      <c r="E292" s="49"/>
      <c r="F292" s="49"/>
      <c r="G292" s="45"/>
      <c r="H292" s="50"/>
      <c r="I292" s="45"/>
      <c r="J292" s="51"/>
      <c r="K292" s="40" t="str">
        <f aca="false">IF($D292="","",$I292*$J292)</f>
        <v/>
      </c>
      <c r="L292" s="50"/>
      <c r="M292" s="49"/>
      <c r="N292" s="45"/>
      <c r="O292" s="40" t="str">
        <f aca="false">IF(OR($D292="",$N292=""),"",$N292*$J292)</f>
        <v/>
      </c>
      <c r="P292" s="41" t="str">
        <f aca="false">IF(OR($D292="",$L292=""),"",MAX($L292-$H292,0))</f>
        <v/>
      </c>
      <c r="Q292" s="40" t="str">
        <f aca="false">IF(OR($D292="",$N292=""),"",IF($E292="LONG",($N292-$I292)*$J292,($I292-$N292)*$J292))</f>
        <v/>
      </c>
      <c r="R292" s="42" t="str">
        <f aca="false">IF(OR($D292="",$Q292="",$K292=0),"",$Q292/$K292)</f>
        <v/>
      </c>
      <c r="S292" s="43" t="str">
        <f aca="false">IF(OR($D292="",$N292=""),"",MIN(INDEX(Config!$C$13:$C$15,$AK292),INDEX(Config!$B$13:$B$15,$AK292)*$K292)+MIN(INDEX(Config!$C$13:$C$15,$AK292),INDEX(Config!$B$13:$B$15,$AK292)*$O292))</f>
        <v/>
      </c>
      <c r="T292" s="43" t="str">
        <f aca="false">IF(OR($D292="",$N292=""),"",INDEX(Config!$D$13:$D$15,$AK292)*$AL292+INDEX(Config!$E$13:$E$15,$AK292)*$AM292)</f>
        <v/>
      </c>
      <c r="U292" s="43" t="str">
        <f aca="false">IF(OR($D292="",$N292=""),"",INDEX(Config!$F$13:$F$15,$AK292)*($K292+$O292))</f>
        <v/>
      </c>
      <c r="V292" s="43" t="str">
        <f aca="false">IF(OR($D292="",$N292=""),"",INDEX(Config!$G$13:$G$15,$AK292)*($K292+$O292)+INDEX(Config!$H$13:$H$15,$AK292)*$AL292+INDEX(Config!$J$13:$J$15,$AK292))</f>
        <v/>
      </c>
      <c r="W292" s="43" t="str">
        <f aca="false">IF(OR($D292="",$N292=""),"",INDEX(Config!$I$13:$I$15,$AK292)*($S292+$U292+INDEX(Config!$G$13:$G$15,$AK292)*($K292+$O292)))</f>
        <v/>
      </c>
      <c r="X292" s="43" t="str">
        <f aca="false">IF(OR($D292="",$N292=""),"",INDEX(Config!$K$13:$K$15,$AK292)/365*$P292*$K292*Config!$B$8)</f>
        <v/>
      </c>
      <c r="Y292" s="43" t="str">
        <f aca="false">IF(OR($D292="",$N292=""),"",SUM($S292:$X292))</f>
        <v/>
      </c>
      <c r="Z292" s="40" t="str">
        <f aca="false">IF(OR($D292="",$Q292=""),"",$Q292-$Y292)</f>
        <v/>
      </c>
      <c r="AA292" s="42" t="str">
        <f aca="false">IF(OR($D292="",$Z292="",$K292=0),"",$Z292/$K292)</f>
        <v/>
      </c>
      <c r="AB292" s="44" t="str">
        <f aca="false">IF(OR($D292="",$Y292="",$K292=0),"",$Y292/$K292*10000)</f>
        <v/>
      </c>
      <c r="AC292" s="44" t="str">
        <f aca="false">IF(OR($D292="",$G292="",$G292=0,$I292=""),"",IF($E292="LONG",($I292-$G292)/$G292,($G292-$I292)/$G292)*10000)</f>
        <v/>
      </c>
      <c r="AD292" s="45"/>
      <c r="AE292" s="40" t="str">
        <f aca="false">IF(OR($D292="",$N292&lt;&gt;"",$AD292=""),"",IF($E292="LONG",($AD292-$I292)*$J292,($I292-$AD292)*$J292))</f>
        <v/>
      </c>
      <c r="AF292" s="40" t="str">
        <f aca="false">IF(OR($D292="",$E292&lt;&gt;"LONG",$Z292=""),"",$Z292+SUMIFS($Z$4:$Z$503,$B$4:$B$503,$B292,$E$4:$E$503,"SHORT"))</f>
        <v/>
      </c>
      <c r="AG292" s="42" t="str">
        <f aca="false">IF(OR($AF292="",$K292=0),"",$AF292/$K292)</f>
        <v/>
      </c>
      <c r="AH292" s="46"/>
      <c r="AI292" s="43" t="str">
        <f aca="false">IF(OR($D292="",$AH292="",$Z292=""),"",$Z292-$AH292)</f>
        <v/>
      </c>
      <c r="AJ292" s="49"/>
      <c r="AK292" s="47" t="str">
        <f aca="false">IF($D292="","",IFERROR(MATCH($F292,Config!$A$13:$A$15,0),1))</f>
        <v/>
      </c>
      <c r="AL292" s="47" t="str">
        <f aca="false">IF(OR($D292="",$N292=""),"",IF($E292="LONG",$K292,$O292))</f>
        <v/>
      </c>
      <c r="AM292" s="47" t="str">
        <f aca="false">IF(OR($D292="",$N292=""),"",IF($E292="LONG",$O292,$K292))</f>
        <v/>
      </c>
    </row>
    <row r="293" customFormat="false" ht="15" hidden="false" customHeight="false" outlineLevel="0" collapsed="false">
      <c r="A293" s="49"/>
      <c r="B293" s="5" t="str">
        <f aca="false">IF($D293="","",IF(OR(RIGHT($A293,2)="-L",RIGHT($A293,2)="-S"),LEFT($A293,LEN($A293)-2),$A293))</f>
        <v/>
      </c>
      <c r="C293" s="50"/>
      <c r="D293" s="49"/>
      <c r="E293" s="49"/>
      <c r="F293" s="49"/>
      <c r="G293" s="45"/>
      <c r="H293" s="50"/>
      <c r="I293" s="45"/>
      <c r="J293" s="51"/>
      <c r="K293" s="40" t="str">
        <f aca="false">IF($D293="","",$I293*$J293)</f>
        <v/>
      </c>
      <c r="L293" s="50"/>
      <c r="M293" s="49"/>
      <c r="N293" s="45"/>
      <c r="O293" s="40" t="str">
        <f aca="false">IF(OR($D293="",$N293=""),"",$N293*$J293)</f>
        <v/>
      </c>
      <c r="P293" s="41" t="str">
        <f aca="false">IF(OR($D293="",$L293=""),"",MAX($L293-$H293,0))</f>
        <v/>
      </c>
      <c r="Q293" s="40" t="str">
        <f aca="false">IF(OR($D293="",$N293=""),"",IF($E293="LONG",($N293-$I293)*$J293,($I293-$N293)*$J293))</f>
        <v/>
      </c>
      <c r="R293" s="42" t="str">
        <f aca="false">IF(OR($D293="",$Q293="",$K293=0),"",$Q293/$K293)</f>
        <v/>
      </c>
      <c r="S293" s="43" t="str">
        <f aca="false">IF(OR($D293="",$N293=""),"",MIN(INDEX(Config!$C$13:$C$15,$AK293),INDEX(Config!$B$13:$B$15,$AK293)*$K293)+MIN(INDEX(Config!$C$13:$C$15,$AK293),INDEX(Config!$B$13:$B$15,$AK293)*$O293))</f>
        <v/>
      </c>
      <c r="T293" s="43" t="str">
        <f aca="false">IF(OR($D293="",$N293=""),"",INDEX(Config!$D$13:$D$15,$AK293)*$AL293+INDEX(Config!$E$13:$E$15,$AK293)*$AM293)</f>
        <v/>
      </c>
      <c r="U293" s="43" t="str">
        <f aca="false">IF(OR($D293="",$N293=""),"",INDEX(Config!$F$13:$F$15,$AK293)*($K293+$O293))</f>
        <v/>
      </c>
      <c r="V293" s="43" t="str">
        <f aca="false">IF(OR($D293="",$N293=""),"",INDEX(Config!$G$13:$G$15,$AK293)*($K293+$O293)+INDEX(Config!$H$13:$H$15,$AK293)*$AL293+INDEX(Config!$J$13:$J$15,$AK293))</f>
        <v/>
      </c>
      <c r="W293" s="43" t="str">
        <f aca="false">IF(OR($D293="",$N293=""),"",INDEX(Config!$I$13:$I$15,$AK293)*($S293+$U293+INDEX(Config!$G$13:$G$15,$AK293)*($K293+$O293)))</f>
        <v/>
      </c>
      <c r="X293" s="43" t="str">
        <f aca="false">IF(OR($D293="",$N293=""),"",INDEX(Config!$K$13:$K$15,$AK293)/365*$P293*$K293*Config!$B$8)</f>
        <v/>
      </c>
      <c r="Y293" s="43" t="str">
        <f aca="false">IF(OR($D293="",$N293=""),"",SUM($S293:$X293))</f>
        <v/>
      </c>
      <c r="Z293" s="40" t="str">
        <f aca="false">IF(OR($D293="",$Q293=""),"",$Q293-$Y293)</f>
        <v/>
      </c>
      <c r="AA293" s="42" t="str">
        <f aca="false">IF(OR($D293="",$Z293="",$K293=0),"",$Z293/$K293)</f>
        <v/>
      </c>
      <c r="AB293" s="44" t="str">
        <f aca="false">IF(OR($D293="",$Y293="",$K293=0),"",$Y293/$K293*10000)</f>
        <v/>
      </c>
      <c r="AC293" s="44" t="str">
        <f aca="false">IF(OR($D293="",$G293="",$G293=0,$I293=""),"",IF($E293="LONG",($I293-$G293)/$G293,($G293-$I293)/$G293)*10000)</f>
        <v/>
      </c>
      <c r="AD293" s="45"/>
      <c r="AE293" s="40" t="str">
        <f aca="false">IF(OR($D293="",$N293&lt;&gt;"",$AD293=""),"",IF($E293="LONG",($AD293-$I293)*$J293,($I293-$AD293)*$J293))</f>
        <v/>
      </c>
      <c r="AF293" s="40" t="str">
        <f aca="false">IF(OR($D293="",$E293&lt;&gt;"LONG",$Z293=""),"",$Z293+SUMIFS($Z$4:$Z$503,$B$4:$B$503,$B293,$E$4:$E$503,"SHORT"))</f>
        <v/>
      </c>
      <c r="AG293" s="42" t="str">
        <f aca="false">IF(OR($AF293="",$K293=0),"",$AF293/$K293)</f>
        <v/>
      </c>
      <c r="AH293" s="46"/>
      <c r="AI293" s="43" t="str">
        <f aca="false">IF(OR($D293="",$AH293="",$Z293=""),"",$Z293-$AH293)</f>
        <v/>
      </c>
      <c r="AJ293" s="49"/>
      <c r="AK293" s="47" t="str">
        <f aca="false">IF($D293="","",IFERROR(MATCH($F293,Config!$A$13:$A$15,0),1))</f>
        <v/>
      </c>
      <c r="AL293" s="47" t="str">
        <f aca="false">IF(OR($D293="",$N293=""),"",IF($E293="LONG",$K293,$O293))</f>
        <v/>
      </c>
      <c r="AM293" s="47" t="str">
        <f aca="false">IF(OR($D293="",$N293=""),"",IF($E293="LONG",$O293,$K293))</f>
        <v/>
      </c>
    </row>
    <row r="294" customFormat="false" ht="15" hidden="false" customHeight="false" outlineLevel="0" collapsed="false">
      <c r="A294" s="49"/>
      <c r="B294" s="5" t="str">
        <f aca="false">IF($D294="","",IF(OR(RIGHT($A294,2)="-L",RIGHT($A294,2)="-S"),LEFT($A294,LEN($A294)-2),$A294))</f>
        <v/>
      </c>
      <c r="C294" s="50"/>
      <c r="D294" s="49"/>
      <c r="E294" s="49"/>
      <c r="F294" s="49"/>
      <c r="G294" s="45"/>
      <c r="H294" s="50"/>
      <c r="I294" s="45"/>
      <c r="J294" s="51"/>
      <c r="K294" s="40" t="str">
        <f aca="false">IF($D294="","",$I294*$J294)</f>
        <v/>
      </c>
      <c r="L294" s="50"/>
      <c r="M294" s="49"/>
      <c r="N294" s="45"/>
      <c r="O294" s="40" t="str">
        <f aca="false">IF(OR($D294="",$N294=""),"",$N294*$J294)</f>
        <v/>
      </c>
      <c r="P294" s="41" t="str">
        <f aca="false">IF(OR($D294="",$L294=""),"",MAX($L294-$H294,0))</f>
        <v/>
      </c>
      <c r="Q294" s="40" t="str">
        <f aca="false">IF(OR($D294="",$N294=""),"",IF($E294="LONG",($N294-$I294)*$J294,($I294-$N294)*$J294))</f>
        <v/>
      </c>
      <c r="R294" s="42" t="str">
        <f aca="false">IF(OR($D294="",$Q294="",$K294=0),"",$Q294/$K294)</f>
        <v/>
      </c>
      <c r="S294" s="43" t="str">
        <f aca="false">IF(OR($D294="",$N294=""),"",MIN(INDEX(Config!$C$13:$C$15,$AK294),INDEX(Config!$B$13:$B$15,$AK294)*$K294)+MIN(INDEX(Config!$C$13:$C$15,$AK294),INDEX(Config!$B$13:$B$15,$AK294)*$O294))</f>
        <v/>
      </c>
      <c r="T294" s="43" t="str">
        <f aca="false">IF(OR($D294="",$N294=""),"",INDEX(Config!$D$13:$D$15,$AK294)*$AL294+INDEX(Config!$E$13:$E$15,$AK294)*$AM294)</f>
        <v/>
      </c>
      <c r="U294" s="43" t="str">
        <f aca="false">IF(OR($D294="",$N294=""),"",INDEX(Config!$F$13:$F$15,$AK294)*($K294+$O294))</f>
        <v/>
      </c>
      <c r="V294" s="43" t="str">
        <f aca="false">IF(OR($D294="",$N294=""),"",INDEX(Config!$G$13:$G$15,$AK294)*($K294+$O294)+INDEX(Config!$H$13:$H$15,$AK294)*$AL294+INDEX(Config!$J$13:$J$15,$AK294))</f>
        <v/>
      </c>
      <c r="W294" s="43" t="str">
        <f aca="false">IF(OR($D294="",$N294=""),"",INDEX(Config!$I$13:$I$15,$AK294)*($S294+$U294+INDEX(Config!$G$13:$G$15,$AK294)*($K294+$O294)))</f>
        <v/>
      </c>
      <c r="X294" s="43" t="str">
        <f aca="false">IF(OR($D294="",$N294=""),"",INDEX(Config!$K$13:$K$15,$AK294)/365*$P294*$K294*Config!$B$8)</f>
        <v/>
      </c>
      <c r="Y294" s="43" t="str">
        <f aca="false">IF(OR($D294="",$N294=""),"",SUM($S294:$X294))</f>
        <v/>
      </c>
      <c r="Z294" s="40" t="str">
        <f aca="false">IF(OR($D294="",$Q294=""),"",$Q294-$Y294)</f>
        <v/>
      </c>
      <c r="AA294" s="42" t="str">
        <f aca="false">IF(OR($D294="",$Z294="",$K294=0),"",$Z294/$K294)</f>
        <v/>
      </c>
      <c r="AB294" s="44" t="str">
        <f aca="false">IF(OR($D294="",$Y294="",$K294=0),"",$Y294/$K294*10000)</f>
        <v/>
      </c>
      <c r="AC294" s="44" t="str">
        <f aca="false">IF(OR($D294="",$G294="",$G294=0,$I294=""),"",IF($E294="LONG",($I294-$G294)/$G294,($G294-$I294)/$G294)*10000)</f>
        <v/>
      </c>
      <c r="AD294" s="45"/>
      <c r="AE294" s="40" t="str">
        <f aca="false">IF(OR($D294="",$N294&lt;&gt;"",$AD294=""),"",IF($E294="LONG",($AD294-$I294)*$J294,($I294-$AD294)*$J294))</f>
        <v/>
      </c>
      <c r="AF294" s="40" t="str">
        <f aca="false">IF(OR($D294="",$E294&lt;&gt;"LONG",$Z294=""),"",$Z294+SUMIFS($Z$4:$Z$503,$B$4:$B$503,$B294,$E$4:$E$503,"SHORT"))</f>
        <v/>
      </c>
      <c r="AG294" s="42" t="str">
        <f aca="false">IF(OR($AF294="",$K294=0),"",$AF294/$K294)</f>
        <v/>
      </c>
      <c r="AH294" s="46"/>
      <c r="AI294" s="43" t="str">
        <f aca="false">IF(OR($D294="",$AH294="",$Z294=""),"",$Z294-$AH294)</f>
        <v/>
      </c>
      <c r="AJ294" s="49"/>
      <c r="AK294" s="47" t="str">
        <f aca="false">IF($D294="","",IFERROR(MATCH($F294,Config!$A$13:$A$15,0),1))</f>
        <v/>
      </c>
      <c r="AL294" s="47" t="str">
        <f aca="false">IF(OR($D294="",$N294=""),"",IF($E294="LONG",$K294,$O294))</f>
        <v/>
      </c>
      <c r="AM294" s="47" t="str">
        <f aca="false">IF(OR($D294="",$N294=""),"",IF($E294="LONG",$O294,$K294))</f>
        <v/>
      </c>
    </row>
    <row r="295" customFormat="false" ht="15" hidden="false" customHeight="false" outlineLevel="0" collapsed="false">
      <c r="A295" s="49"/>
      <c r="B295" s="5" t="str">
        <f aca="false">IF($D295="","",IF(OR(RIGHT($A295,2)="-L",RIGHT($A295,2)="-S"),LEFT($A295,LEN($A295)-2),$A295))</f>
        <v/>
      </c>
      <c r="C295" s="50"/>
      <c r="D295" s="49"/>
      <c r="E295" s="49"/>
      <c r="F295" s="49"/>
      <c r="G295" s="45"/>
      <c r="H295" s="50"/>
      <c r="I295" s="45"/>
      <c r="J295" s="51"/>
      <c r="K295" s="40" t="str">
        <f aca="false">IF($D295="","",$I295*$J295)</f>
        <v/>
      </c>
      <c r="L295" s="50"/>
      <c r="M295" s="49"/>
      <c r="N295" s="45"/>
      <c r="O295" s="40" t="str">
        <f aca="false">IF(OR($D295="",$N295=""),"",$N295*$J295)</f>
        <v/>
      </c>
      <c r="P295" s="41" t="str">
        <f aca="false">IF(OR($D295="",$L295=""),"",MAX($L295-$H295,0))</f>
        <v/>
      </c>
      <c r="Q295" s="40" t="str">
        <f aca="false">IF(OR($D295="",$N295=""),"",IF($E295="LONG",($N295-$I295)*$J295,($I295-$N295)*$J295))</f>
        <v/>
      </c>
      <c r="R295" s="42" t="str">
        <f aca="false">IF(OR($D295="",$Q295="",$K295=0),"",$Q295/$K295)</f>
        <v/>
      </c>
      <c r="S295" s="43" t="str">
        <f aca="false">IF(OR($D295="",$N295=""),"",MIN(INDEX(Config!$C$13:$C$15,$AK295),INDEX(Config!$B$13:$B$15,$AK295)*$K295)+MIN(INDEX(Config!$C$13:$C$15,$AK295),INDEX(Config!$B$13:$B$15,$AK295)*$O295))</f>
        <v/>
      </c>
      <c r="T295" s="43" t="str">
        <f aca="false">IF(OR($D295="",$N295=""),"",INDEX(Config!$D$13:$D$15,$AK295)*$AL295+INDEX(Config!$E$13:$E$15,$AK295)*$AM295)</f>
        <v/>
      </c>
      <c r="U295" s="43" t="str">
        <f aca="false">IF(OR($D295="",$N295=""),"",INDEX(Config!$F$13:$F$15,$AK295)*($K295+$O295))</f>
        <v/>
      </c>
      <c r="V295" s="43" t="str">
        <f aca="false">IF(OR($D295="",$N295=""),"",INDEX(Config!$G$13:$G$15,$AK295)*($K295+$O295)+INDEX(Config!$H$13:$H$15,$AK295)*$AL295+INDEX(Config!$J$13:$J$15,$AK295))</f>
        <v/>
      </c>
      <c r="W295" s="43" t="str">
        <f aca="false">IF(OR($D295="",$N295=""),"",INDEX(Config!$I$13:$I$15,$AK295)*($S295+$U295+INDEX(Config!$G$13:$G$15,$AK295)*($K295+$O295)))</f>
        <v/>
      </c>
      <c r="X295" s="43" t="str">
        <f aca="false">IF(OR($D295="",$N295=""),"",INDEX(Config!$K$13:$K$15,$AK295)/365*$P295*$K295*Config!$B$8)</f>
        <v/>
      </c>
      <c r="Y295" s="43" t="str">
        <f aca="false">IF(OR($D295="",$N295=""),"",SUM($S295:$X295))</f>
        <v/>
      </c>
      <c r="Z295" s="40" t="str">
        <f aca="false">IF(OR($D295="",$Q295=""),"",$Q295-$Y295)</f>
        <v/>
      </c>
      <c r="AA295" s="42" t="str">
        <f aca="false">IF(OR($D295="",$Z295="",$K295=0),"",$Z295/$K295)</f>
        <v/>
      </c>
      <c r="AB295" s="44" t="str">
        <f aca="false">IF(OR($D295="",$Y295="",$K295=0),"",$Y295/$K295*10000)</f>
        <v/>
      </c>
      <c r="AC295" s="44" t="str">
        <f aca="false">IF(OR($D295="",$G295="",$G295=0,$I295=""),"",IF($E295="LONG",($I295-$G295)/$G295,($G295-$I295)/$G295)*10000)</f>
        <v/>
      </c>
      <c r="AD295" s="45"/>
      <c r="AE295" s="40" t="str">
        <f aca="false">IF(OR($D295="",$N295&lt;&gt;"",$AD295=""),"",IF($E295="LONG",($AD295-$I295)*$J295,($I295-$AD295)*$J295))</f>
        <v/>
      </c>
      <c r="AF295" s="40" t="str">
        <f aca="false">IF(OR($D295="",$E295&lt;&gt;"LONG",$Z295=""),"",$Z295+SUMIFS($Z$4:$Z$503,$B$4:$B$503,$B295,$E$4:$E$503,"SHORT"))</f>
        <v/>
      </c>
      <c r="AG295" s="42" t="str">
        <f aca="false">IF(OR($AF295="",$K295=0),"",$AF295/$K295)</f>
        <v/>
      </c>
      <c r="AH295" s="46"/>
      <c r="AI295" s="43" t="str">
        <f aca="false">IF(OR($D295="",$AH295="",$Z295=""),"",$Z295-$AH295)</f>
        <v/>
      </c>
      <c r="AJ295" s="49"/>
      <c r="AK295" s="47" t="str">
        <f aca="false">IF($D295="","",IFERROR(MATCH($F295,Config!$A$13:$A$15,0),1))</f>
        <v/>
      </c>
      <c r="AL295" s="47" t="str">
        <f aca="false">IF(OR($D295="",$N295=""),"",IF($E295="LONG",$K295,$O295))</f>
        <v/>
      </c>
      <c r="AM295" s="47" t="str">
        <f aca="false">IF(OR($D295="",$N295=""),"",IF($E295="LONG",$O295,$K295))</f>
        <v/>
      </c>
    </row>
    <row r="296" customFormat="false" ht="15" hidden="false" customHeight="false" outlineLevel="0" collapsed="false">
      <c r="A296" s="49"/>
      <c r="B296" s="5" t="str">
        <f aca="false">IF($D296="","",IF(OR(RIGHT($A296,2)="-L",RIGHT($A296,2)="-S"),LEFT($A296,LEN($A296)-2),$A296))</f>
        <v/>
      </c>
      <c r="C296" s="50"/>
      <c r="D296" s="49"/>
      <c r="E296" s="49"/>
      <c r="F296" s="49"/>
      <c r="G296" s="45"/>
      <c r="H296" s="50"/>
      <c r="I296" s="45"/>
      <c r="J296" s="51"/>
      <c r="K296" s="40" t="str">
        <f aca="false">IF($D296="","",$I296*$J296)</f>
        <v/>
      </c>
      <c r="L296" s="50"/>
      <c r="M296" s="49"/>
      <c r="N296" s="45"/>
      <c r="O296" s="40" t="str">
        <f aca="false">IF(OR($D296="",$N296=""),"",$N296*$J296)</f>
        <v/>
      </c>
      <c r="P296" s="41" t="str">
        <f aca="false">IF(OR($D296="",$L296=""),"",MAX($L296-$H296,0))</f>
        <v/>
      </c>
      <c r="Q296" s="40" t="str">
        <f aca="false">IF(OR($D296="",$N296=""),"",IF($E296="LONG",($N296-$I296)*$J296,($I296-$N296)*$J296))</f>
        <v/>
      </c>
      <c r="R296" s="42" t="str">
        <f aca="false">IF(OR($D296="",$Q296="",$K296=0),"",$Q296/$K296)</f>
        <v/>
      </c>
      <c r="S296" s="43" t="str">
        <f aca="false">IF(OR($D296="",$N296=""),"",MIN(INDEX(Config!$C$13:$C$15,$AK296),INDEX(Config!$B$13:$B$15,$AK296)*$K296)+MIN(INDEX(Config!$C$13:$C$15,$AK296),INDEX(Config!$B$13:$B$15,$AK296)*$O296))</f>
        <v/>
      </c>
      <c r="T296" s="43" t="str">
        <f aca="false">IF(OR($D296="",$N296=""),"",INDEX(Config!$D$13:$D$15,$AK296)*$AL296+INDEX(Config!$E$13:$E$15,$AK296)*$AM296)</f>
        <v/>
      </c>
      <c r="U296" s="43" t="str">
        <f aca="false">IF(OR($D296="",$N296=""),"",INDEX(Config!$F$13:$F$15,$AK296)*($K296+$O296))</f>
        <v/>
      </c>
      <c r="V296" s="43" t="str">
        <f aca="false">IF(OR($D296="",$N296=""),"",INDEX(Config!$G$13:$G$15,$AK296)*($K296+$O296)+INDEX(Config!$H$13:$H$15,$AK296)*$AL296+INDEX(Config!$J$13:$J$15,$AK296))</f>
        <v/>
      </c>
      <c r="W296" s="43" t="str">
        <f aca="false">IF(OR($D296="",$N296=""),"",INDEX(Config!$I$13:$I$15,$AK296)*($S296+$U296+INDEX(Config!$G$13:$G$15,$AK296)*($K296+$O296)))</f>
        <v/>
      </c>
      <c r="X296" s="43" t="str">
        <f aca="false">IF(OR($D296="",$N296=""),"",INDEX(Config!$K$13:$K$15,$AK296)/365*$P296*$K296*Config!$B$8)</f>
        <v/>
      </c>
      <c r="Y296" s="43" t="str">
        <f aca="false">IF(OR($D296="",$N296=""),"",SUM($S296:$X296))</f>
        <v/>
      </c>
      <c r="Z296" s="40" t="str">
        <f aca="false">IF(OR($D296="",$Q296=""),"",$Q296-$Y296)</f>
        <v/>
      </c>
      <c r="AA296" s="42" t="str">
        <f aca="false">IF(OR($D296="",$Z296="",$K296=0),"",$Z296/$K296)</f>
        <v/>
      </c>
      <c r="AB296" s="44" t="str">
        <f aca="false">IF(OR($D296="",$Y296="",$K296=0),"",$Y296/$K296*10000)</f>
        <v/>
      </c>
      <c r="AC296" s="44" t="str">
        <f aca="false">IF(OR($D296="",$G296="",$G296=0,$I296=""),"",IF($E296="LONG",($I296-$G296)/$G296,($G296-$I296)/$G296)*10000)</f>
        <v/>
      </c>
      <c r="AD296" s="45"/>
      <c r="AE296" s="40" t="str">
        <f aca="false">IF(OR($D296="",$N296&lt;&gt;"",$AD296=""),"",IF($E296="LONG",($AD296-$I296)*$J296,($I296-$AD296)*$J296))</f>
        <v/>
      </c>
      <c r="AF296" s="40" t="str">
        <f aca="false">IF(OR($D296="",$E296&lt;&gt;"LONG",$Z296=""),"",$Z296+SUMIFS($Z$4:$Z$503,$B$4:$B$503,$B296,$E$4:$E$503,"SHORT"))</f>
        <v/>
      </c>
      <c r="AG296" s="42" t="str">
        <f aca="false">IF(OR($AF296="",$K296=0),"",$AF296/$K296)</f>
        <v/>
      </c>
      <c r="AH296" s="46"/>
      <c r="AI296" s="43" t="str">
        <f aca="false">IF(OR($D296="",$AH296="",$Z296=""),"",$Z296-$AH296)</f>
        <v/>
      </c>
      <c r="AJ296" s="49"/>
      <c r="AK296" s="47" t="str">
        <f aca="false">IF($D296="","",IFERROR(MATCH($F296,Config!$A$13:$A$15,0),1))</f>
        <v/>
      </c>
      <c r="AL296" s="47" t="str">
        <f aca="false">IF(OR($D296="",$N296=""),"",IF($E296="LONG",$K296,$O296))</f>
        <v/>
      </c>
      <c r="AM296" s="47" t="str">
        <f aca="false">IF(OR($D296="",$N296=""),"",IF($E296="LONG",$O296,$K296))</f>
        <v/>
      </c>
    </row>
    <row r="297" customFormat="false" ht="15" hidden="false" customHeight="false" outlineLevel="0" collapsed="false">
      <c r="A297" s="49"/>
      <c r="B297" s="5" t="str">
        <f aca="false">IF($D297="","",IF(OR(RIGHT($A297,2)="-L",RIGHT($A297,2)="-S"),LEFT($A297,LEN($A297)-2),$A297))</f>
        <v/>
      </c>
      <c r="C297" s="50"/>
      <c r="D297" s="49"/>
      <c r="E297" s="49"/>
      <c r="F297" s="49"/>
      <c r="G297" s="45"/>
      <c r="H297" s="50"/>
      <c r="I297" s="45"/>
      <c r="J297" s="51"/>
      <c r="K297" s="40" t="str">
        <f aca="false">IF($D297="","",$I297*$J297)</f>
        <v/>
      </c>
      <c r="L297" s="50"/>
      <c r="M297" s="49"/>
      <c r="N297" s="45"/>
      <c r="O297" s="40" t="str">
        <f aca="false">IF(OR($D297="",$N297=""),"",$N297*$J297)</f>
        <v/>
      </c>
      <c r="P297" s="41" t="str">
        <f aca="false">IF(OR($D297="",$L297=""),"",MAX($L297-$H297,0))</f>
        <v/>
      </c>
      <c r="Q297" s="40" t="str">
        <f aca="false">IF(OR($D297="",$N297=""),"",IF($E297="LONG",($N297-$I297)*$J297,($I297-$N297)*$J297))</f>
        <v/>
      </c>
      <c r="R297" s="42" t="str">
        <f aca="false">IF(OR($D297="",$Q297="",$K297=0),"",$Q297/$K297)</f>
        <v/>
      </c>
      <c r="S297" s="43" t="str">
        <f aca="false">IF(OR($D297="",$N297=""),"",MIN(INDEX(Config!$C$13:$C$15,$AK297),INDEX(Config!$B$13:$B$15,$AK297)*$K297)+MIN(INDEX(Config!$C$13:$C$15,$AK297),INDEX(Config!$B$13:$B$15,$AK297)*$O297))</f>
        <v/>
      </c>
      <c r="T297" s="43" t="str">
        <f aca="false">IF(OR($D297="",$N297=""),"",INDEX(Config!$D$13:$D$15,$AK297)*$AL297+INDEX(Config!$E$13:$E$15,$AK297)*$AM297)</f>
        <v/>
      </c>
      <c r="U297" s="43" t="str">
        <f aca="false">IF(OR($D297="",$N297=""),"",INDEX(Config!$F$13:$F$15,$AK297)*($K297+$O297))</f>
        <v/>
      </c>
      <c r="V297" s="43" t="str">
        <f aca="false">IF(OR($D297="",$N297=""),"",INDEX(Config!$G$13:$G$15,$AK297)*($K297+$O297)+INDEX(Config!$H$13:$H$15,$AK297)*$AL297+INDEX(Config!$J$13:$J$15,$AK297))</f>
        <v/>
      </c>
      <c r="W297" s="43" t="str">
        <f aca="false">IF(OR($D297="",$N297=""),"",INDEX(Config!$I$13:$I$15,$AK297)*($S297+$U297+INDEX(Config!$G$13:$G$15,$AK297)*($K297+$O297)))</f>
        <v/>
      </c>
      <c r="X297" s="43" t="str">
        <f aca="false">IF(OR($D297="",$N297=""),"",INDEX(Config!$K$13:$K$15,$AK297)/365*$P297*$K297*Config!$B$8)</f>
        <v/>
      </c>
      <c r="Y297" s="43" t="str">
        <f aca="false">IF(OR($D297="",$N297=""),"",SUM($S297:$X297))</f>
        <v/>
      </c>
      <c r="Z297" s="40" t="str">
        <f aca="false">IF(OR($D297="",$Q297=""),"",$Q297-$Y297)</f>
        <v/>
      </c>
      <c r="AA297" s="42" t="str">
        <f aca="false">IF(OR($D297="",$Z297="",$K297=0),"",$Z297/$K297)</f>
        <v/>
      </c>
      <c r="AB297" s="44" t="str">
        <f aca="false">IF(OR($D297="",$Y297="",$K297=0),"",$Y297/$K297*10000)</f>
        <v/>
      </c>
      <c r="AC297" s="44" t="str">
        <f aca="false">IF(OR($D297="",$G297="",$G297=0,$I297=""),"",IF($E297="LONG",($I297-$G297)/$G297,($G297-$I297)/$G297)*10000)</f>
        <v/>
      </c>
      <c r="AD297" s="45"/>
      <c r="AE297" s="40" t="str">
        <f aca="false">IF(OR($D297="",$N297&lt;&gt;"",$AD297=""),"",IF($E297="LONG",($AD297-$I297)*$J297,($I297-$AD297)*$J297))</f>
        <v/>
      </c>
      <c r="AF297" s="40" t="str">
        <f aca="false">IF(OR($D297="",$E297&lt;&gt;"LONG",$Z297=""),"",$Z297+SUMIFS($Z$4:$Z$503,$B$4:$B$503,$B297,$E$4:$E$503,"SHORT"))</f>
        <v/>
      </c>
      <c r="AG297" s="42" t="str">
        <f aca="false">IF(OR($AF297="",$K297=0),"",$AF297/$K297)</f>
        <v/>
      </c>
      <c r="AH297" s="46"/>
      <c r="AI297" s="43" t="str">
        <f aca="false">IF(OR($D297="",$AH297="",$Z297=""),"",$Z297-$AH297)</f>
        <v/>
      </c>
      <c r="AJ297" s="49"/>
      <c r="AK297" s="47" t="str">
        <f aca="false">IF($D297="","",IFERROR(MATCH($F297,Config!$A$13:$A$15,0),1))</f>
        <v/>
      </c>
      <c r="AL297" s="47" t="str">
        <f aca="false">IF(OR($D297="",$N297=""),"",IF($E297="LONG",$K297,$O297))</f>
        <v/>
      </c>
      <c r="AM297" s="47" t="str">
        <f aca="false">IF(OR($D297="",$N297=""),"",IF($E297="LONG",$O297,$K297))</f>
        <v/>
      </c>
    </row>
    <row r="298" customFormat="false" ht="15" hidden="false" customHeight="false" outlineLevel="0" collapsed="false">
      <c r="A298" s="49"/>
      <c r="B298" s="5" t="str">
        <f aca="false">IF($D298="","",IF(OR(RIGHT($A298,2)="-L",RIGHT($A298,2)="-S"),LEFT($A298,LEN($A298)-2),$A298))</f>
        <v/>
      </c>
      <c r="C298" s="50"/>
      <c r="D298" s="49"/>
      <c r="E298" s="49"/>
      <c r="F298" s="49"/>
      <c r="G298" s="45"/>
      <c r="H298" s="50"/>
      <c r="I298" s="45"/>
      <c r="J298" s="51"/>
      <c r="K298" s="40" t="str">
        <f aca="false">IF($D298="","",$I298*$J298)</f>
        <v/>
      </c>
      <c r="L298" s="50"/>
      <c r="M298" s="49"/>
      <c r="N298" s="45"/>
      <c r="O298" s="40" t="str">
        <f aca="false">IF(OR($D298="",$N298=""),"",$N298*$J298)</f>
        <v/>
      </c>
      <c r="P298" s="41" t="str">
        <f aca="false">IF(OR($D298="",$L298=""),"",MAX($L298-$H298,0))</f>
        <v/>
      </c>
      <c r="Q298" s="40" t="str">
        <f aca="false">IF(OR($D298="",$N298=""),"",IF($E298="LONG",($N298-$I298)*$J298,($I298-$N298)*$J298))</f>
        <v/>
      </c>
      <c r="R298" s="42" t="str">
        <f aca="false">IF(OR($D298="",$Q298="",$K298=0),"",$Q298/$K298)</f>
        <v/>
      </c>
      <c r="S298" s="43" t="str">
        <f aca="false">IF(OR($D298="",$N298=""),"",MIN(INDEX(Config!$C$13:$C$15,$AK298),INDEX(Config!$B$13:$B$15,$AK298)*$K298)+MIN(INDEX(Config!$C$13:$C$15,$AK298),INDEX(Config!$B$13:$B$15,$AK298)*$O298))</f>
        <v/>
      </c>
      <c r="T298" s="43" t="str">
        <f aca="false">IF(OR($D298="",$N298=""),"",INDEX(Config!$D$13:$D$15,$AK298)*$AL298+INDEX(Config!$E$13:$E$15,$AK298)*$AM298)</f>
        <v/>
      </c>
      <c r="U298" s="43" t="str">
        <f aca="false">IF(OR($D298="",$N298=""),"",INDEX(Config!$F$13:$F$15,$AK298)*($K298+$O298))</f>
        <v/>
      </c>
      <c r="V298" s="43" t="str">
        <f aca="false">IF(OR($D298="",$N298=""),"",INDEX(Config!$G$13:$G$15,$AK298)*($K298+$O298)+INDEX(Config!$H$13:$H$15,$AK298)*$AL298+INDEX(Config!$J$13:$J$15,$AK298))</f>
        <v/>
      </c>
      <c r="W298" s="43" t="str">
        <f aca="false">IF(OR($D298="",$N298=""),"",INDEX(Config!$I$13:$I$15,$AK298)*($S298+$U298+INDEX(Config!$G$13:$G$15,$AK298)*($K298+$O298)))</f>
        <v/>
      </c>
      <c r="X298" s="43" t="str">
        <f aca="false">IF(OR($D298="",$N298=""),"",INDEX(Config!$K$13:$K$15,$AK298)/365*$P298*$K298*Config!$B$8)</f>
        <v/>
      </c>
      <c r="Y298" s="43" t="str">
        <f aca="false">IF(OR($D298="",$N298=""),"",SUM($S298:$X298))</f>
        <v/>
      </c>
      <c r="Z298" s="40" t="str">
        <f aca="false">IF(OR($D298="",$Q298=""),"",$Q298-$Y298)</f>
        <v/>
      </c>
      <c r="AA298" s="42" t="str">
        <f aca="false">IF(OR($D298="",$Z298="",$K298=0),"",$Z298/$K298)</f>
        <v/>
      </c>
      <c r="AB298" s="44" t="str">
        <f aca="false">IF(OR($D298="",$Y298="",$K298=0),"",$Y298/$K298*10000)</f>
        <v/>
      </c>
      <c r="AC298" s="44" t="str">
        <f aca="false">IF(OR($D298="",$G298="",$G298=0,$I298=""),"",IF($E298="LONG",($I298-$G298)/$G298,($G298-$I298)/$G298)*10000)</f>
        <v/>
      </c>
      <c r="AD298" s="45"/>
      <c r="AE298" s="40" t="str">
        <f aca="false">IF(OR($D298="",$N298&lt;&gt;"",$AD298=""),"",IF($E298="LONG",($AD298-$I298)*$J298,($I298-$AD298)*$J298))</f>
        <v/>
      </c>
      <c r="AF298" s="40" t="str">
        <f aca="false">IF(OR($D298="",$E298&lt;&gt;"LONG",$Z298=""),"",$Z298+SUMIFS($Z$4:$Z$503,$B$4:$B$503,$B298,$E$4:$E$503,"SHORT"))</f>
        <v/>
      </c>
      <c r="AG298" s="42" t="str">
        <f aca="false">IF(OR($AF298="",$K298=0),"",$AF298/$K298)</f>
        <v/>
      </c>
      <c r="AH298" s="46"/>
      <c r="AI298" s="43" t="str">
        <f aca="false">IF(OR($D298="",$AH298="",$Z298=""),"",$Z298-$AH298)</f>
        <v/>
      </c>
      <c r="AJ298" s="49"/>
      <c r="AK298" s="47" t="str">
        <f aca="false">IF($D298="","",IFERROR(MATCH($F298,Config!$A$13:$A$15,0),1))</f>
        <v/>
      </c>
      <c r="AL298" s="47" t="str">
        <f aca="false">IF(OR($D298="",$N298=""),"",IF($E298="LONG",$K298,$O298))</f>
        <v/>
      </c>
      <c r="AM298" s="47" t="str">
        <f aca="false">IF(OR($D298="",$N298=""),"",IF($E298="LONG",$O298,$K298))</f>
        <v/>
      </c>
    </row>
    <row r="299" customFormat="false" ht="15" hidden="false" customHeight="false" outlineLevel="0" collapsed="false">
      <c r="A299" s="49"/>
      <c r="B299" s="5" t="str">
        <f aca="false">IF($D299="","",IF(OR(RIGHT($A299,2)="-L",RIGHT($A299,2)="-S"),LEFT($A299,LEN($A299)-2),$A299))</f>
        <v/>
      </c>
      <c r="C299" s="50"/>
      <c r="D299" s="49"/>
      <c r="E299" s="49"/>
      <c r="F299" s="49"/>
      <c r="G299" s="45"/>
      <c r="H299" s="50"/>
      <c r="I299" s="45"/>
      <c r="J299" s="51"/>
      <c r="K299" s="40" t="str">
        <f aca="false">IF($D299="","",$I299*$J299)</f>
        <v/>
      </c>
      <c r="L299" s="50"/>
      <c r="M299" s="49"/>
      <c r="N299" s="45"/>
      <c r="O299" s="40" t="str">
        <f aca="false">IF(OR($D299="",$N299=""),"",$N299*$J299)</f>
        <v/>
      </c>
      <c r="P299" s="41" t="str">
        <f aca="false">IF(OR($D299="",$L299=""),"",MAX($L299-$H299,0))</f>
        <v/>
      </c>
      <c r="Q299" s="40" t="str">
        <f aca="false">IF(OR($D299="",$N299=""),"",IF($E299="LONG",($N299-$I299)*$J299,($I299-$N299)*$J299))</f>
        <v/>
      </c>
      <c r="R299" s="42" t="str">
        <f aca="false">IF(OR($D299="",$Q299="",$K299=0),"",$Q299/$K299)</f>
        <v/>
      </c>
      <c r="S299" s="43" t="str">
        <f aca="false">IF(OR($D299="",$N299=""),"",MIN(INDEX(Config!$C$13:$C$15,$AK299),INDEX(Config!$B$13:$B$15,$AK299)*$K299)+MIN(INDEX(Config!$C$13:$C$15,$AK299),INDEX(Config!$B$13:$B$15,$AK299)*$O299))</f>
        <v/>
      </c>
      <c r="T299" s="43" t="str">
        <f aca="false">IF(OR($D299="",$N299=""),"",INDEX(Config!$D$13:$D$15,$AK299)*$AL299+INDEX(Config!$E$13:$E$15,$AK299)*$AM299)</f>
        <v/>
      </c>
      <c r="U299" s="43" t="str">
        <f aca="false">IF(OR($D299="",$N299=""),"",INDEX(Config!$F$13:$F$15,$AK299)*($K299+$O299))</f>
        <v/>
      </c>
      <c r="V299" s="43" t="str">
        <f aca="false">IF(OR($D299="",$N299=""),"",INDEX(Config!$G$13:$G$15,$AK299)*($K299+$O299)+INDEX(Config!$H$13:$H$15,$AK299)*$AL299+INDEX(Config!$J$13:$J$15,$AK299))</f>
        <v/>
      </c>
      <c r="W299" s="43" t="str">
        <f aca="false">IF(OR($D299="",$N299=""),"",INDEX(Config!$I$13:$I$15,$AK299)*($S299+$U299+INDEX(Config!$G$13:$G$15,$AK299)*($K299+$O299)))</f>
        <v/>
      </c>
      <c r="X299" s="43" t="str">
        <f aca="false">IF(OR($D299="",$N299=""),"",INDEX(Config!$K$13:$K$15,$AK299)/365*$P299*$K299*Config!$B$8)</f>
        <v/>
      </c>
      <c r="Y299" s="43" t="str">
        <f aca="false">IF(OR($D299="",$N299=""),"",SUM($S299:$X299))</f>
        <v/>
      </c>
      <c r="Z299" s="40" t="str">
        <f aca="false">IF(OR($D299="",$Q299=""),"",$Q299-$Y299)</f>
        <v/>
      </c>
      <c r="AA299" s="42" t="str">
        <f aca="false">IF(OR($D299="",$Z299="",$K299=0),"",$Z299/$K299)</f>
        <v/>
      </c>
      <c r="AB299" s="44" t="str">
        <f aca="false">IF(OR($D299="",$Y299="",$K299=0),"",$Y299/$K299*10000)</f>
        <v/>
      </c>
      <c r="AC299" s="44" t="str">
        <f aca="false">IF(OR($D299="",$G299="",$G299=0,$I299=""),"",IF($E299="LONG",($I299-$G299)/$G299,($G299-$I299)/$G299)*10000)</f>
        <v/>
      </c>
      <c r="AD299" s="45"/>
      <c r="AE299" s="40" t="str">
        <f aca="false">IF(OR($D299="",$N299&lt;&gt;"",$AD299=""),"",IF($E299="LONG",($AD299-$I299)*$J299,($I299-$AD299)*$J299))</f>
        <v/>
      </c>
      <c r="AF299" s="40" t="str">
        <f aca="false">IF(OR($D299="",$E299&lt;&gt;"LONG",$Z299=""),"",$Z299+SUMIFS($Z$4:$Z$503,$B$4:$B$503,$B299,$E$4:$E$503,"SHORT"))</f>
        <v/>
      </c>
      <c r="AG299" s="42" t="str">
        <f aca="false">IF(OR($AF299="",$K299=0),"",$AF299/$K299)</f>
        <v/>
      </c>
      <c r="AH299" s="46"/>
      <c r="AI299" s="43" t="str">
        <f aca="false">IF(OR($D299="",$AH299="",$Z299=""),"",$Z299-$AH299)</f>
        <v/>
      </c>
      <c r="AJ299" s="49"/>
      <c r="AK299" s="47" t="str">
        <f aca="false">IF($D299="","",IFERROR(MATCH($F299,Config!$A$13:$A$15,0),1))</f>
        <v/>
      </c>
      <c r="AL299" s="47" t="str">
        <f aca="false">IF(OR($D299="",$N299=""),"",IF($E299="LONG",$K299,$O299))</f>
        <v/>
      </c>
      <c r="AM299" s="47" t="str">
        <f aca="false">IF(OR($D299="",$N299=""),"",IF($E299="LONG",$O299,$K299))</f>
        <v/>
      </c>
    </row>
    <row r="300" customFormat="false" ht="15" hidden="false" customHeight="false" outlineLevel="0" collapsed="false">
      <c r="A300" s="49"/>
      <c r="B300" s="5" t="str">
        <f aca="false">IF($D300="","",IF(OR(RIGHT($A300,2)="-L",RIGHT($A300,2)="-S"),LEFT($A300,LEN($A300)-2),$A300))</f>
        <v/>
      </c>
      <c r="C300" s="50"/>
      <c r="D300" s="49"/>
      <c r="E300" s="49"/>
      <c r="F300" s="49"/>
      <c r="G300" s="45"/>
      <c r="H300" s="50"/>
      <c r="I300" s="45"/>
      <c r="J300" s="51"/>
      <c r="K300" s="40" t="str">
        <f aca="false">IF($D300="","",$I300*$J300)</f>
        <v/>
      </c>
      <c r="L300" s="50"/>
      <c r="M300" s="49"/>
      <c r="N300" s="45"/>
      <c r="O300" s="40" t="str">
        <f aca="false">IF(OR($D300="",$N300=""),"",$N300*$J300)</f>
        <v/>
      </c>
      <c r="P300" s="41" t="str">
        <f aca="false">IF(OR($D300="",$L300=""),"",MAX($L300-$H300,0))</f>
        <v/>
      </c>
      <c r="Q300" s="40" t="str">
        <f aca="false">IF(OR($D300="",$N300=""),"",IF($E300="LONG",($N300-$I300)*$J300,($I300-$N300)*$J300))</f>
        <v/>
      </c>
      <c r="R300" s="42" t="str">
        <f aca="false">IF(OR($D300="",$Q300="",$K300=0),"",$Q300/$K300)</f>
        <v/>
      </c>
      <c r="S300" s="43" t="str">
        <f aca="false">IF(OR($D300="",$N300=""),"",MIN(INDEX(Config!$C$13:$C$15,$AK300),INDEX(Config!$B$13:$B$15,$AK300)*$K300)+MIN(INDEX(Config!$C$13:$C$15,$AK300),INDEX(Config!$B$13:$B$15,$AK300)*$O300))</f>
        <v/>
      </c>
      <c r="T300" s="43" t="str">
        <f aca="false">IF(OR($D300="",$N300=""),"",INDEX(Config!$D$13:$D$15,$AK300)*$AL300+INDEX(Config!$E$13:$E$15,$AK300)*$AM300)</f>
        <v/>
      </c>
      <c r="U300" s="43" t="str">
        <f aca="false">IF(OR($D300="",$N300=""),"",INDEX(Config!$F$13:$F$15,$AK300)*($K300+$O300))</f>
        <v/>
      </c>
      <c r="V300" s="43" t="str">
        <f aca="false">IF(OR($D300="",$N300=""),"",INDEX(Config!$G$13:$G$15,$AK300)*($K300+$O300)+INDEX(Config!$H$13:$H$15,$AK300)*$AL300+INDEX(Config!$J$13:$J$15,$AK300))</f>
        <v/>
      </c>
      <c r="W300" s="43" t="str">
        <f aca="false">IF(OR($D300="",$N300=""),"",INDEX(Config!$I$13:$I$15,$AK300)*($S300+$U300+INDEX(Config!$G$13:$G$15,$AK300)*($K300+$O300)))</f>
        <v/>
      </c>
      <c r="X300" s="43" t="str">
        <f aca="false">IF(OR($D300="",$N300=""),"",INDEX(Config!$K$13:$K$15,$AK300)/365*$P300*$K300*Config!$B$8)</f>
        <v/>
      </c>
      <c r="Y300" s="43" t="str">
        <f aca="false">IF(OR($D300="",$N300=""),"",SUM($S300:$X300))</f>
        <v/>
      </c>
      <c r="Z300" s="40" t="str">
        <f aca="false">IF(OR($D300="",$Q300=""),"",$Q300-$Y300)</f>
        <v/>
      </c>
      <c r="AA300" s="42" t="str">
        <f aca="false">IF(OR($D300="",$Z300="",$K300=0),"",$Z300/$K300)</f>
        <v/>
      </c>
      <c r="AB300" s="44" t="str">
        <f aca="false">IF(OR($D300="",$Y300="",$K300=0),"",$Y300/$K300*10000)</f>
        <v/>
      </c>
      <c r="AC300" s="44" t="str">
        <f aca="false">IF(OR($D300="",$G300="",$G300=0,$I300=""),"",IF($E300="LONG",($I300-$G300)/$G300,($G300-$I300)/$G300)*10000)</f>
        <v/>
      </c>
      <c r="AD300" s="45"/>
      <c r="AE300" s="40" t="str">
        <f aca="false">IF(OR($D300="",$N300&lt;&gt;"",$AD300=""),"",IF($E300="LONG",($AD300-$I300)*$J300,($I300-$AD300)*$J300))</f>
        <v/>
      </c>
      <c r="AF300" s="40" t="str">
        <f aca="false">IF(OR($D300="",$E300&lt;&gt;"LONG",$Z300=""),"",$Z300+SUMIFS($Z$4:$Z$503,$B$4:$B$503,$B300,$E$4:$E$503,"SHORT"))</f>
        <v/>
      </c>
      <c r="AG300" s="42" t="str">
        <f aca="false">IF(OR($AF300="",$K300=0),"",$AF300/$K300)</f>
        <v/>
      </c>
      <c r="AH300" s="46"/>
      <c r="AI300" s="43" t="str">
        <f aca="false">IF(OR($D300="",$AH300="",$Z300=""),"",$Z300-$AH300)</f>
        <v/>
      </c>
      <c r="AJ300" s="49"/>
      <c r="AK300" s="47" t="str">
        <f aca="false">IF($D300="","",IFERROR(MATCH($F300,Config!$A$13:$A$15,0),1))</f>
        <v/>
      </c>
      <c r="AL300" s="47" t="str">
        <f aca="false">IF(OR($D300="",$N300=""),"",IF($E300="LONG",$K300,$O300))</f>
        <v/>
      </c>
      <c r="AM300" s="47" t="str">
        <f aca="false">IF(OR($D300="",$N300=""),"",IF($E300="LONG",$O300,$K300))</f>
        <v/>
      </c>
    </row>
    <row r="301" customFormat="false" ht="15" hidden="false" customHeight="false" outlineLevel="0" collapsed="false">
      <c r="A301" s="49"/>
      <c r="B301" s="5" t="str">
        <f aca="false">IF($D301="","",IF(OR(RIGHT($A301,2)="-L",RIGHT($A301,2)="-S"),LEFT($A301,LEN($A301)-2),$A301))</f>
        <v/>
      </c>
      <c r="C301" s="50"/>
      <c r="D301" s="49"/>
      <c r="E301" s="49"/>
      <c r="F301" s="49"/>
      <c r="G301" s="45"/>
      <c r="H301" s="50"/>
      <c r="I301" s="45"/>
      <c r="J301" s="51"/>
      <c r="K301" s="40" t="str">
        <f aca="false">IF($D301="","",$I301*$J301)</f>
        <v/>
      </c>
      <c r="L301" s="50"/>
      <c r="M301" s="49"/>
      <c r="N301" s="45"/>
      <c r="O301" s="40" t="str">
        <f aca="false">IF(OR($D301="",$N301=""),"",$N301*$J301)</f>
        <v/>
      </c>
      <c r="P301" s="41" t="str">
        <f aca="false">IF(OR($D301="",$L301=""),"",MAX($L301-$H301,0))</f>
        <v/>
      </c>
      <c r="Q301" s="40" t="str">
        <f aca="false">IF(OR($D301="",$N301=""),"",IF($E301="LONG",($N301-$I301)*$J301,($I301-$N301)*$J301))</f>
        <v/>
      </c>
      <c r="R301" s="42" t="str">
        <f aca="false">IF(OR($D301="",$Q301="",$K301=0),"",$Q301/$K301)</f>
        <v/>
      </c>
      <c r="S301" s="43" t="str">
        <f aca="false">IF(OR($D301="",$N301=""),"",MIN(INDEX(Config!$C$13:$C$15,$AK301),INDEX(Config!$B$13:$B$15,$AK301)*$K301)+MIN(INDEX(Config!$C$13:$C$15,$AK301),INDEX(Config!$B$13:$B$15,$AK301)*$O301))</f>
        <v/>
      </c>
      <c r="T301" s="43" t="str">
        <f aca="false">IF(OR($D301="",$N301=""),"",INDEX(Config!$D$13:$D$15,$AK301)*$AL301+INDEX(Config!$E$13:$E$15,$AK301)*$AM301)</f>
        <v/>
      </c>
      <c r="U301" s="43" t="str">
        <f aca="false">IF(OR($D301="",$N301=""),"",INDEX(Config!$F$13:$F$15,$AK301)*($K301+$O301))</f>
        <v/>
      </c>
      <c r="V301" s="43" t="str">
        <f aca="false">IF(OR($D301="",$N301=""),"",INDEX(Config!$G$13:$G$15,$AK301)*($K301+$O301)+INDEX(Config!$H$13:$H$15,$AK301)*$AL301+INDEX(Config!$J$13:$J$15,$AK301))</f>
        <v/>
      </c>
      <c r="W301" s="43" t="str">
        <f aca="false">IF(OR($D301="",$N301=""),"",INDEX(Config!$I$13:$I$15,$AK301)*($S301+$U301+INDEX(Config!$G$13:$G$15,$AK301)*($K301+$O301)))</f>
        <v/>
      </c>
      <c r="X301" s="43" t="str">
        <f aca="false">IF(OR($D301="",$N301=""),"",INDEX(Config!$K$13:$K$15,$AK301)/365*$P301*$K301*Config!$B$8)</f>
        <v/>
      </c>
      <c r="Y301" s="43" t="str">
        <f aca="false">IF(OR($D301="",$N301=""),"",SUM($S301:$X301))</f>
        <v/>
      </c>
      <c r="Z301" s="40" t="str">
        <f aca="false">IF(OR($D301="",$Q301=""),"",$Q301-$Y301)</f>
        <v/>
      </c>
      <c r="AA301" s="42" t="str">
        <f aca="false">IF(OR($D301="",$Z301="",$K301=0),"",$Z301/$K301)</f>
        <v/>
      </c>
      <c r="AB301" s="44" t="str">
        <f aca="false">IF(OR($D301="",$Y301="",$K301=0),"",$Y301/$K301*10000)</f>
        <v/>
      </c>
      <c r="AC301" s="44" t="str">
        <f aca="false">IF(OR($D301="",$G301="",$G301=0,$I301=""),"",IF($E301="LONG",($I301-$G301)/$G301,($G301-$I301)/$G301)*10000)</f>
        <v/>
      </c>
      <c r="AD301" s="45"/>
      <c r="AE301" s="40" t="str">
        <f aca="false">IF(OR($D301="",$N301&lt;&gt;"",$AD301=""),"",IF($E301="LONG",($AD301-$I301)*$J301,($I301-$AD301)*$J301))</f>
        <v/>
      </c>
      <c r="AF301" s="40" t="str">
        <f aca="false">IF(OR($D301="",$E301&lt;&gt;"LONG",$Z301=""),"",$Z301+SUMIFS($Z$4:$Z$503,$B$4:$B$503,$B301,$E$4:$E$503,"SHORT"))</f>
        <v/>
      </c>
      <c r="AG301" s="42" t="str">
        <f aca="false">IF(OR($AF301="",$K301=0),"",$AF301/$K301)</f>
        <v/>
      </c>
      <c r="AH301" s="46"/>
      <c r="AI301" s="43" t="str">
        <f aca="false">IF(OR($D301="",$AH301="",$Z301=""),"",$Z301-$AH301)</f>
        <v/>
      </c>
      <c r="AJ301" s="49"/>
      <c r="AK301" s="47" t="str">
        <f aca="false">IF($D301="","",IFERROR(MATCH($F301,Config!$A$13:$A$15,0),1))</f>
        <v/>
      </c>
      <c r="AL301" s="47" t="str">
        <f aca="false">IF(OR($D301="",$N301=""),"",IF($E301="LONG",$K301,$O301))</f>
        <v/>
      </c>
      <c r="AM301" s="47" t="str">
        <f aca="false">IF(OR($D301="",$N301=""),"",IF($E301="LONG",$O301,$K301))</f>
        <v/>
      </c>
    </row>
    <row r="302" customFormat="false" ht="15" hidden="false" customHeight="false" outlineLevel="0" collapsed="false">
      <c r="A302" s="49"/>
      <c r="B302" s="5" t="str">
        <f aca="false">IF($D302="","",IF(OR(RIGHT($A302,2)="-L",RIGHT($A302,2)="-S"),LEFT($A302,LEN($A302)-2),$A302))</f>
        <v/>
      </c>
      <c r="C302" s="50"/>
      <c r="D302" s="49"/>
      <c r="E302" s="49"/>
      <c r="F302" s="49"/>
      <c r="G302" s="45"/>
      <c r="H302" s="50"/>
      <c r="I302" s="45"/>
      <c r="J302" s="51"/>
      <c r="K302" s="40" t="str">
        <f aca="false">IF($D302="","",$I302*$J302)</f>
        <v/>
      </c>
      <c r="L302" s="50"/>
      <c r="M302" s="49"/>
      <c r="N302" s="45"/>
      <c r="O302" s="40" t="str">
        <f aca="false">IF(OR($D302="",$N302=""),"",$N302*$J302)</f>
        <v/>
      </c>
      <c r="P302" s="41" t="str">
        <f aca="false">IF(OR($D302="",$L302=""),"",MAX($L302-$H302,0))</f>
        <v/>
      </c>
      <c r="Q302" s="40" t="str">
        <f aca="false">IF(OR($D302="",$N302=""),"",IF($E302="LONG",($N302-$I302)*$J302,($I302-$N302)*$J302))</f>
        <v/>
      </c>
      <c r="R302" s="42" t="str">
        <f aca="false">IF(OR($D302="",$Q302="",$K302=0),"",$Q302/$K302)</f>
        <v/>
      </c>
      <c r="S302" s="43" t="str">
        <f aca="false">IF(OR($D302="",$N302=""),"",MIN(INDEX(Config!$C$13:$C$15,$AK302),INDEX(Config!$B$13:$B$15,$AK302)*$K302)+MIN(INDEX(Config!$C$13:$C$15,$AK302),INDEX(Config!$B$13:$B$15,$AK302)*$O302))</f>
        <v/>
      </c>
      <c r="T302" s="43" t="str">
        <f aca="false">IF(OR($D302="",$N302=""),"",INDEX(Config!$D$13:$D$15,$AK302)*$AL302+INDEX(Config!$E$13:$E$15,$AK302)*$AM302)</f>
        <v/>
      </c>
      <c r="U302" s="43" t="str">
        <f aca="false">IF(OR($D302="",$N302=""),"",INDEX(Config!$F$13:$F$15,$AK302)*($K302+$O302))</f>
        <v/>
      </c>
      <c r="V302" s="43" t="str">
        <f aca="false">IF(OR($D302="",$N302=""),"",INDEX(Config!$G$13:$G$15,$AK302)*($K302+$O302)+INDEX(Config!$H$13:$H$15,$AK302)*$AL302+INDEX(Config!$J$13:$J$15,$AK302))</f>
        <v/>
      </c>
      <c r="W302" s="43" t="str">
        <f aca="false">IF(OR($D302="",$N302=""),"",INDEX(Config!$I$13:$I$15,$AK302)*($S302+$U302+INDEX(Config!$G$13:$G$15,$AK302)*($K302+$O302)))</f>
        <v/>
      </c>
      <c r="X302" s="43" t="str">
        <f aca="false">IF(OR($D302="",$N302=""),"",INDEX(Config!$K$13:$K$15,$AK302)/365*$P302*$K302*Config!$B$8)</f>
        <v/>
      </c>
      <c r="Y302" s="43" t="str">
        <f aca="false">IF(OR($D302="",$N302=""),"",SUM($S302:$X302))</f>
        <v/>
      </c>
      <c r="Z302" s="40" t="str">
        <f aca="false">IF(OR($D302="",$Q302=""),"",$Q302-$Y302)</f>
        <v/>
      </c>
      <c r="AA302" s="42" t="str">
        <f aca="false">IF(OR($D302="",$Z302="",$K302=0),"",$Z302/$K302)</f>
        <v/>
      </c>
      <c r="AB302" s="44" t="str">
        <f aca="false">IF(OR($D302="",$Y302="",$K302=0),"",$Y302/$K302*10000)</f>
        <v/>
      </c>
      <c r="AC302" s="44" t="str">
        <f aca="false">IF(OR($D302="",$G302="",$G302=0,$I302=""),"",IF($E302="LONG",($I302-$G302)/$G302,($G302-$I302)/$G302)*10000)</f>
        <v/>
      </c>
      <c r="AD302" s="45"/>
      <c r="AE302" s="40" t="str">
        <f aca="false">IF(OR($D302="",$N302&lt;&gt;"",$AD302=""),"",IF($E302="LONG",($AD302-$I302)*$J302,($I302-$AD302)*$J302))</f>
        <v/>
      </c>
      <c r="AF302" s="40" t="str">
        <f aca="false">IF(OR($D302="",$E302&lt;&gt;"LONG",$Z302=""),"",$Z302+SUMIFS($Z$4:$Z$503,$B$4:$B$503,$B302,$E$4:$E$503,"SHORT"))</f>
        <v/>
      </c>
      <c r="AG302" s="42" t="str">
        <f aca="false">IF(OR($AF302="",$K302=0),"",$AF302/$K302)</f>
        <v/>
      </c>
      <c r="AH302" s="46"/>
      <c r="AI302" s="43" t="str">
        <f aca="false">IF(OR($D302="",$AH302="",$Z302=""),"",$Z302-$AH302)</f>
        <v/>
      </c>
      <c r="AJ302" s="49"/>
      <c r="AK302" s="47" t="str">
        <f aca="false">IF($D302="","",IFERROR(MATCH($F302,Config!$A$13:$A$15,0),1))</f>
        <v/>
      </c>
      <c r="AL302" s="47" t="str">
        <f aca="false">IF(OR($D302="",$N302=""),"",IF($E302="LONG",$K302,$O302))</f>
        <v/>
      </c>
      <c r="AM302" s="47" t="str">
        <f aca="false">IF(OR($D302="",$N302=""),"",IF($E302="LONG",$O302,$K302))</f>
        <v/>
      </c>
    </row>
    <row r="303" customFormat="false" ht="15" hidden="false" customHeight="false" outlineLevel="0" collapsed="false">
      <c r="A303" s="49"/>
      <c r="B303" s="5" t="str">
        <f aca="false">IF($D303="","",IF(OR(RIGHT($A303,2)="-L",RIGHT($A303,2)="-S"),LEFT($A303,LEN($A303)-2),$A303))</f>
        <v/>
      </c>
      <c r="C303" s="50"/>
      <c r="D303" s="49"/>
      <c r="E303" s="49"/>
      <c r="F303" s="49"/>
      <c r="G303" s="45"/>
      <c r="H303" s="50"/>
      <c r="I303" s="45"/>
      <c r="J303" s="51"/>
      <c r="K303" s="40" t="str">
        <f aca="false">IF($D303="","",$I303*$J303)</f>
        <v/>
      </c>
      <c r="L303" s="50"/>
      <c r="M303" s="49"/>
      <c r="N303" s="45"/>
      <c r="O303" s="40" t="str">
        <f aca="false">IF(OR($D303="",$N303=""),"",$N303*$J303)</f>
        <v/>
      </c>
      <c r="P303" s="41" t="str">
        <f aca="false">IF(OR($D303="",$L303=""),"",MAX($L303-$H303,0))</f>
        <v/>
      </c>
      <c r="Q303" s="40" t="str">
        <f aca="false">IF(OR($D303="",$N303=""),"",IF($E303="LONG",($N303-$I303)*$J303,($I303-$N303)*$J303))</f>
        <v/>
      </c>
      <c r="R303" s="42" t="str">
        <f aca="false">IF(OR($D303="",$Q303="",$K303=0),"",$Q303/$K303)</f>
        <v/>
      </c>
      <c r="S303" s="43" t="str">
        <f aca="false">IF(OR($D303="",$N303=""),"",MIN(INDEX(Config!$C$13:$C$15,$AK303),INDEX(Config!$B$13:$B$15,$AK303)*$K303)+MIN(INDEX(Config!$C$13:$C$15,$AK303),INDEX(Config!$B$13:$B$15,$AK303)*$O303))</f>
        <v/>
      </c>
      <c r="T303" s="43" t="str">
        <f aca="false">IF(OR($D303="",$N303=""),"",INDEX(Config!$D$13:$D$15,$AK303)*$AL303+INDEX(Config!$E$13:$E$15,$AK303)*$AM303)</f>
        <v/>
      </c>
      <c r="U303" s="43" t="str">
        <f aca="false">IF(OR($D303="",$N303=""),"",INDEX(Config!$F$13:$F$15,$AK303)*($K303+$O303))</f>
        <v/>
      </c>
      <c r="V303" s="43" t="str">
        <f aca="false">IF(OR($D303="",$N303=""),"",INDEX(Config!$G$13:$G$15,$AK303)*($K303+$O303)+INDEX(Config!$H$13:$H$15,$AK303)*$AL303+INDEX(Config!$J$13:$J$15,$AK303))</f>
        <v/>
      </c>
      <c r="W303" s="43" t="str">
        <f aca="false">IF(OR($D303="",$N303=""),"",INDEX(Config!$I$13:$I$15,$AK303)*($S303+$U303+INDEX(Config!$G$13:$G$15,$AK303)*($K303+$O303)))</f>
        <v/>
      </c>
      <c r="X303" s="43" t="str">
        <f aca="false">IF(OR($D303="",$N303=""),"",INDEX(Config!$K$13:$K$15,$AK303)/365*$P303*$K303*Config!$B$8)</f>
        <v/>
      </c>
      <c r="Y303" s="43" t="str">
        <f aca="false">IF(OR($D303="",$N303=""),"",SUM($S303:$X303))</f>
        <v/>
      </c>
      <c r="Z303" s="40" t="str">
        <f aca="false">IF(OR($D303="",$Q303=""),"",$Q303-$Y303)</f>
        <v/>
      </c>
      <c r="AA303" s="42" t="str">
        <f aca="false">IF(OR($D303="",$Z303="",$K303=0),"",$Z303/$K303)</f>
        <v/>
      </c>
      <c r="AB303" s="44" t="str">
        <f aca="false">IF(OR($D303="",$Y303="",$K303=0),"",$Y303/$K303*10000)</f>
        <v/>
      </c>
      <c r="AC303" s="44" t="str">
        <f aca="false">IF(OR($D303="",$G303="",$G303=0,$I303=""),"",IF($E303="LONG",($I303-$G303)/$G303,($G303-$I303)/$G303)*10000)</f>
        <v/>
      </c>
      <c r="AD303" s="45"/>
      <c r="AE303" s="40" t="str">
        <f aca="false">IF(OR($D303="",$N303&lt;&gt;"",$AD303=""),"",IF($E303="LONG",($AD303-$I303)*$J303,($I303-$AD303)*$J303))</f>
        <v/>
      </c>
      <c r="AF303" s="40" t="str">
        <f aca="false">IF(OR($D303="",$E303&lt;&gt;"LONG",$Z303=""),"",$Z303+SUMIFS($Z$4:$Z$503,$B$4:$B$503,$B303,$E$4:$E$503,"SHORT"))</f>
        <v/>
      </c>
      <c r="AG303" s="42" t="str">
        <f aca="false">IF(OR($AF303="",$K303=0),"",$AF303/$K303)</f>
        <v/>
      </c>
      <c r="AH303" s="46"/>
      <c r="AI303" s="43" t="str">
        <f aca="false">IF(OR($D303="",$AH303="",$Z303=""),"",$Z303-$AH303)</f>
        <v/>
      </c>
      <c r="AJ303" s="49"/>
      <c r="AK303" s="47" t="str">
        <f aca="false">IF($D303="","",IFERROR(MATCH($F303,Config!$A$13:$A$15,0),1))</f>
        <v/>
      </c>
      <c r="AL303" s="47" t="str">
        <f aca="false">IF(OR($D303="",$N303=""),"",IF($E303="LONG",$K303,$O303))</f>
        <v/>
      </c>
      <c r="AM303" s="47" t="str">
        <f aca="false">IF(OR($D303="",$N303=""),"",IF($E303="LONG",$O303,$K303))</f>
        <v/>
      </c>
    </row>
    <row r="304" customFormat="false" ht="15" hidden="false" customHeight="false" outlineLevel="0" collapsed="false">
      <c r="A304" s="49"/>
      <c r="B304" s="5" t="str">
        <f aca="false">IF($D304="","",IF(OR(RIGHT($A304,2)="-L",RIGHT($A304,2)="-S"),LEFT($A304,LEN($A304)-2),$A304))</f>
        <v/>
      </c>
      <c r="C304" s="50"/>
      <c r="D304" s="49"/>
      <c r="E304" s="49"/>
      <c r="F304" s="49"/>
      <c r="G304" s="45"/>
      <c r="H304" s="50"/>
      <c r="I304" s="45"/>
      <c r="J304" s="51"/>
      <c r="K304" s="40" t="str">
        <f aca="false">IF($D304="","",$I304*$J304)</f>
        <v/>
      </c>
      <c r="L304" s="50"/>
      <c r="M304" s="49"/>
      <c r="N304" s="45"/>
      <c r="O304" s="40" t="str">
        <f aca="false">IF(OR($D304="",$N304=""),"",$N304*$J304)</f>
        <v/>
      </c>
      <c r="P304" s="41" t="str">
        <f aca="false">IF(OR($D304="",$L304=""),"",MAX($L304-$H304,0))</f>
        <v/>
      </c>
      <c r="Q304" s="40" t="str">
        <f aca="false">IF(OR($D304="",$N304=""),"",IF($E304="LONG",($N304-$I304)*$J304,($I304-$N304)*$J304))</f>
        <v/>
      </c>
      <c r="R304" s="42" t="str">
        <f aca="false">IF(OR($D304="",$Q304="",$K304=0),"",$Q304/$K304)</f>
        <v/>
      </c>
      <c r="S304" s="43" t="str">
        <f aca="false">IF(OR($D304="",$N304=""),"",MIN(INDEX(Config!$C$13:$C$15,$AK304),INDEX(Config!$B$13:$B$15,$AK304)*$K304)+MIN(INDEX(Config!$C$13:$C$15,$AK304),INDEX(Config!$B$13:$B$15,$AK304)*$O304))</f>
        <v/>
      </c>
      <c r="T304" s="43" t="str">
        <f aca="false">IF(OR($D304="",$N304=""),"",INDEX(Config!$D$13:$D$15,$AK304)*$AL304+INDEX(Config!$E$13:$E$15,$AK304)*$AM304)</f>
        <v/>
      </c>
      <c r="U304" s="43" t="str">
        <f aca="false">IF(OR($D304="",$N304=""),"",INDEX(Config!$F$13:$F$15,$AK304)*($K304+$O304))</f>
        <v/>
      </c>
      <c r="V304" s="43" t="str">
        <f aca="false">IF(OR($D304="",$N304=""),"",INDEX(Config!$G$13:$G$15,$AK304)*($K304+$O304)+INDEX(Config!$H$13:$H$15,$AK304)*$AL304+INDEX(Config!$J$13:$J$15,$AK304))</f>
        <v/>
      </c>
      <c r="W304" s="43" t="str">
        <f aca="false">IF(OR($D304="",$N304=""),"",INDEX(Config!$I$13:$I$15,$AK304)*($S304+$U304+INDEX(Config!$G$13:$G$15,$AK304)*($K304+$O304)))</f>
        <v/>
      </c>
      <c r="X304" s="43" t="str">
        <f aca="false">IF(OR($D304="",$N304=""),"",INDEX(Config!$K$13:$K$15,$AK304)/365*$P304*$K304*Config!$B$8)</f>
        <v/>
      </c>
      <c r="Y304" s="43" t="str">
        <f aca="false">IF(OR($D304="",$N304=""),"",SUM($S304:$X304))</f>
        <v/>
      </c>
      <c r="Z304" s="40" t="str">
        <f aca="false">IF(OR($D304="",$Q304=""),"",$Q304-$Y304)</f>
        <v/>
      </c>
      <c r="AA304" s="42" t="str">
        <f aca="false">IF(OR($D304="",$Z304="",$K304=0),"",$Z304/$K304)</f>
        <v/>
      </c>
      <c r="AB304" s="44" t="str">
        <f aca="false">IF(OR($D304="",$Y304="",$K304=0),"",$Y304/$K304*10000)</f>
        <v/>
      </c>
      <c r="AC304" s="44" t="str">
        <f aca="false">IF(OR($D304="",$G304="",$G304=0,$I304=""),"",IF($E304="LONG",($I304-$G304)/$G304,($G304-$I304)/$G304)*10000)</f>
        <v/>
      </c>
      <c r="AD304" s="45"/>
      <c r="AE304" s="40" t="str">
        <f aca="false">IF(OR($D304="",$N304&lt;&gt;"",$AD304=""),"",IF($E304="LONG",($AD304-$I304)*$J304,($I304-$AD304)*$J304))</f>
        <v/>
      </c>
      <c r="AF304" s="40" t="str">
        <f aca="false">IF(OR($D304="",$E304&lt;&gt;"LONG",$Z304=""),"",$Z304+SUMIFS($Z$4:$Z$503,$B$4:$B$503,$B304,$E$4:$E$503,"SHORT"))</f>
        <v/>
      </c>
      <c r="AG304" s="42" t="str">
        <f aca="false">IF(OR($AF304="",$K304=0),"",$AF304/$K304)</f>
        <v/>
      </c>
      <c r="AH304" s="46"/>
      <c r="AI304" s="43" t="str">
        <f aca="false">IF(OR($D304="",$AH304="",$Z304=""),"",$Z304-$AH304)</f>
        <v/>
      </c>
      <c r="AJ304" s="49"/>
      <c r="AK304" s="47" t="str">
        <f aca="false">IF($D304="","",IFERROR(MATCH($F304,Config!$A$13:$A$15,0),1))</f>
        <v/>
      </c>
      <c r="AL304" s="47" t="str">
        <f aca="false">IF(OR($D304="",$N304=""),"",IF($E304="LONG",$K304,$O304))</f>
        <v/>
      </c>
      <c r="AM304" s="47" t="str">
        <f aca="false">IF(OR($D304="",$N304=""),"",IF($E304="LONG",$O304,$K304))</f>
        <v/>
      </c>
    </row>
    <row r="305" customFormat="false" ht="15" hidden="false" customHeight="false" outlineLevel="0" collapsed="false">
      <c r="A305" s="49"/>
      <c r="B305" s="5" t="str">
        <f aca="false">IF($D305="","",IF(OR(RIGHT($A305,2)="-L",RIGHT($A305,2)="-S"),LEFT($A305,LEN($A305)-2),$A305))</f>
        <v/>
      </c>
      <c r="C305" s="50"/>
      <c r="D305" s="49"/>
      <c r="E305" s="49"/>
      <c r="F305" s="49"/>
      <c r="G305" s="45"/>
      <c r="H305" s="50"/>
      <c r="I305" s="45"/>
      <c r="J305" s="51"/>
      <c r="K305" s="40" t="str">
        <f aca="false">IF($D305="","",$I305*$J305)</f>
        <v/>
      </c>
      <c r="L305" s="50"/>
      <c r="M305" s="49"/>
      <c r="N305" s="45"/>
      <c r="O305" s="40" t="str">
        <f aca="false">IF(OR($D305="",$N305=""),"",$N305*$J305)</f>
        <v/>
      </c>
      <c r="P305" s="41" t="str">
        <f aca="false">IF(OR($D305="",$L305=""),"",MAX($L305-$H305,0))</f>
        <v/>
      </c>
      <c r="Q305" s="40" t="str">
        <f aca="false">IF(OR($D305="",$N305=""),"",IF($E305="LONG",($N305-$I305)*$J305,($I305-$N305)*$J305))</f>
        <v/>
      </c>
      <c r="R305" s="42" t="str">
        <f aca="false">IF(OR($D305="",$Q305="",$K305=0),"",$Q305/$K305)</f>
        <v/>
      </c>
      <c r="S305" s="43" t="str">
        <f aca="false">IF(OR($D305="",$N305=""),"",MIN(INDEX(Config!$C$13:$C$15,$AK305),INDEX(Config!$B$13:$B$15,$AK305)*$K305)+MIN(INDEX(Config!$C$13:$C$15,$AK305),INDEX(Config!$B$13:$B$15,$AK305)*$O305))</f>
        <v/>
      </c>
      <c r="T305" s="43" t="str">
        <f aca="false">IF(OR($D305="",$N305=""),"",INDEX(Config!$D$13:$D$15,$AK305)*$AL305+INDEX(Config!$E$13:$E$15,$AK305)*$AM305)</f>
        <v/>
      </c>
      <c r="U305" s="43" t="str">
        <f aca="false">IF(OR($D305="",$N305=""),"",INDEX(Config!$F$13:$F$15,$AK305)*($K305+$O305))</f>
        <v/>
      </c>
      <c r="V305" s="43" t="str">
        <f aca="false">IF(OR($D305="",$N305=""),"",INDEX(Config!$G$13:$G$15,$AK305)*($K305+$O305)+INDEX(Config!$H$13:$H$15,$AK305)*$AL305+INDEX(Config!$J$13:$J$15,$AK305))</f>
        <v/>
      </c>
      <c r="W305" s="43" t="str">
        <f aca="false">IF(OR($D305="",$N305=""),"",INDEX(Config!$I$13:$I$15,$AK305)*($S305+$U305+INDEX(Config!$G$13:$G$15,$AK305)*($K305+$O305)))</f>
        <v/>
      </c>
      <c r="X305" s="43" t="str">
        <f aca="false">IF(OR($D305="",$N305=""),"",INDEX(Config!$K$13:$K$15,$AK305)/365*$P305*$K305*Config!$B$8)</f>
        <v/>
      </c>
      <c r="Y305" s="43" t="str">
        <f aca="false">IF(OR($D305="",$N305=""),"",SUM($S305:$X305))</f>
        <v/>
      </c>
      <c r="Z305" s="40" t="str">
        <f aca="false">IF(OR($D305="",$Q305=""),"",$Q305-$Y305)</f>
        <v/>
      </c>
      <c r="AA305" s="42" t="str">
        <f aca="false">IF(OR($D305="",$Z305="",$K305=0),"",$Z305/$K305)</f>
        <v/>
      </c>
      <c r="AB305" s="44" t="str">
        <f aca="false">IF(OR($D305="",$Y305="",$K305=0),"",$Y305/$K305*10000)</f>
        <v/>
      </c>
      <c r="AC305" s="44" t="str">
        <f aca="false">IF(OR($D305="",$G305="",$G305=0,$I305=""),"",IF($E305="LONG",($I305-$G305)/$G305,($G305-$I305)/$G305)*10000)</f>
        <v/>
      </c>
      <c r="AD305" s="45"/>
      <c r="AE305" s="40" t="str">
        <f aca="false">IF(OR($D305="",$N305&lt;&gt;"",$AD305=""),"",IF($E305="LONG",($AD305-$I305)*$J305,($I305-$AD305)*$J305))</f>
        <v/>
      </c>
      <c r="AF305" s="40" t="str">
        <f aca="false">IF(OR($D305="",$E305&lt;&gt;"LONG",$Z305=""),"",$Z305+SUMIFS($Z$4:$Z$503,$B$4:$B$503,$B305,$E$4:$E$503,"SHORT"))</f>
        <v/>
      </c>
      <c r="AG305" s="42" t="str">
        <f aca="false">IF(OR($AF305="",$K305=0),"",$AF305/$K305)</f>
        <v/>
      </c>
      <c r="AH305" s="46"/>
      <c r="AI305" s="43" t="str">
        <f aca="false">IF(OR($D305="",$AH305="",$Z305=""),"",$Z305-$AH305)</f>
        <v/>
      </c>
      <c r="AJ305" s="49"/>
      <c r="AK305" s="47" t="str">
        <f aca="false">IF($D305="","",IFERROR(MATCH($F305,Config!$A$13:$A$15,0),1))</f>
        <v/>
      </c>
      <c r="AL305" s="47" t="str">
        <f aca="false">IF(OR($D305="",$N305=""),"",IF($E305="LONG",$K305,$O305))</f>
        <v/>
      </c>
      <c r="AM305" s="47" t="str">
        <f aca="false">IF(OR($D305="",$N305=""),"",IF($E305="LONG",$O305,$K305))</f>
        <v/>
      </c>
    </row>
    <row r="306" customFormat="false" ht="15" hidden="false" customHeight="false" outlineLevel="0" collapsed="false">
      <c r="A306" s="49"/>
      <c r="B306" s="5" t="str">
        <f aca="false">IF($D306="","",IF(OR(RIGHT($A306,2)="-L",RIGHT($A306,2)="-S"),LEFT($A306,LEN($A306)-2),$A306))</f>
        <v/>
      </c>
      <c r="C306" s="50"/>
      <c r="D306" s="49"/>
      <c r="E306" s="49"/>
      <c r="F306" s="49"/>
      <c r="G306" s="45"/>
      <c r="H306" s="50"/>
      <c r="I306" s="45"/>
      <c r="J306" s="51"/>
      <c r="K306" s="40" t="str">
        <f aca="false">IF($D306="","",$I306*$J306)</f>
        <v/>
      </c>
      <c r="L306" s="50"/>
      <c r="M306" s="49"/>
      <c r="N306" s="45"/>
      <c r="O306" s="40" t="str">
        <f aca="false">IF(OR($D306="",$N306=""),"",$N306*$J306)</f>
        <v/>
      </c>
      <c r="P306" s="41" t="str">
        <f aca="false">IF(OR($D306="",$L306=""),"",MAX($L306-$H306,0))</f>
        <v/>
      </c>
      <c r="Q306" s="40" t="str">
        <f aca="false">IF(OR($D306="",$N306=""),"",IF($E306="LONG",($N306-$I306)*$J306,($I306-$N306)*$J306))</f>
        <v/>
      </c>
      <c r="R306" s="42" t="str">
        <f aca="false">IF(OR($D306="",$Q306="",$K306=0),"",$Q306/$K306)</f>
        <v/>
      </c>
      <c r="S306" s="43" t="str">
        <f aca="false">IF(OR($D306="",$N306=""),"",MIN(INDEX(Config!$C$13:$C$15,$AK306),INDEX(Config!$B$13:$B$15,$AK306)*$K306)+MIN(INDEX(Config!$C$13:$C$15,$AK306),INDEX(Config!$B$13:$B$15,$AK306)*$O306))</f>
        <v/>
      </c>
      <c r="T306" s="43" t="str">
        <f aca="false">IF(OR($D306="",$N306=""),"",INDEX(Config!$D$13:$D$15,$AK306)*$AL306+INDEX(Config!$E$13:$E$15,$AK306)*$AM306)</f>
        <v/>
      </c>
      <c r="U306" s="43" t="str">
        <f aca="false">IF(OR($D306="",$N306=""),"",INDEX(Config!$F$13:$F$15,$AK306)*($K306+$O306))</f>
        <v/>
      </c>
      <c r="V306" s="43" t="str">
        <f aca="false">IF(OR($D306="",$N306=""),"",INDEX(Config!$G$13:$G$15,$AK306)*($K306+$O306)+INDEX(Config!$H$13:$H$15,$AK306)*$AL306+INDEX(Config!$J$13:$J$15,$AK306))</f>
        <v/>
      </c>
      <c r="W306" s="43" t="str">
        <f aca="false">IF(OR($D306="",$N306=""),"",INDEX(Config!$I$13:$I$15,$AK306)*($S306+$U306+INDEX(Config!$G$13:$G$15,$AK306)*($K306+$O306)))</f>
        <v/>
      </c>
      <c r="X306" s="43" t="str">
        <f aca="false">IF(OR($D306="",$N306=""),"",INDEX(Config!$K$13:$K$15,$AK306)/365*$P306*$K306*Config!$B$8)</f>
        <v/>
      </c>
      <c r="Y306" s="43" t="str">
        <f aca="false">IF(OR($D306="",$N306=""),"",SUM($S306:$X306))</f>
        <v/>
      </c>
      <c r="Z306" s="40" t="str">
        <f aca="false">IF(OR($D306="",$Q306=""),"",$Q306-$Y306)</f>
        <v/>
      </c>
      <c r="AA306" s="42" t="str">
        <f aca="false">IF(OR($D306="",$Z306="",$K306=0),"",$Z306/$K306)</f>
        <v/>
      </c>
      <c r="AB306" s="44" t="str">
        <f aca="false">IF(OR($D306="",$Y306="",$K306=0),"",$Y306/$K306*10000)</f>
        <v/>
      </c>
      <c r="AC306" s="44" t="str">
        <f aca="false">IF(OR($D306="",$G306="",$G306=0,$I306=""),"",IF($E306="LONG",($I306-$G306)/$G306,($G306-$I306)/$G306)*10000)</f>
        <v/>
      </c>
      <c r="AD306" s="45"/>
      <c r="AE306" s="40" t="str">
        <f aca="false">IF(OR($D306="",$N306&lt;&gt;"",$AD306=""),"",IF($E306="LONG",($AD306-$I306)*$J306,($I306-$AD306)*$J306))</f>
        <v/>
      </c>
      <c r="AF306" s="40" t="str">
        <f aca="false">IF(OR($D306="",$E306&lt;&gt;"LONG",$Z306=""),"",$Z306+SUMIFS($Z$4:$Z$503,$B$4:$B$503,$B306,$E$4:$E$503,"SHORT"))</f>
        <v/>
      </c>
      <c r="AG306" s="42" t="str">
        <f aca="false">IF(OR($AF306="",$K306=0),"",$AF306/$K306)</f>
        <v/>
      </c>
      <c r="AH306" s="46"/>
      <c r="AI306" s="43" t="str">
        <f aca="false">IF(OR($D306="",$AH306="",$Z306=""),"",$Z306-$AH306)</f>
        <v/>
      </c>
      <c r="AJ306" s="49"/>
      <c r="AK306" s="47" t="str">
        <f aca="false">IF($D306="","",IFERROR(MATCH($F306,Config!$A$13:$A$15,0),1))</f>
        <v/>
      </c>
      <c r="AL306" s="47" t="str">
        <f aca="false">IF(OR($D306="",$N306=""),"",IF($E306="LONG",$K306,$O306))</f>
        <v/>
      </c>
      <c r="AM306" s="47" t="str">
        <f aca="false">IF(OR($D306="",$N306=""),"",IF($E306="LONG",$O306,$K306))</f>
        <v/>
      </c>
    </row>
    <row r="307" customFormat="false" ht="15" hidden="false" customHeight="false" outlineLevel="0" collapsed="false">
      <c r="A307" s="49"/>
      <c r="B307" s="5" t="str">
        <f aca="false">IF($D307="","",IF(OR(RIGHT($A307,2)="-L",RIGHT($A307,2)="-S"),LEFT($A307,LEN($A307)-2),$A307))</f>
        <v/>
      </c>
      <c r="C307" s="50"/>
      <c r="D307" s="49"/>
      <c r="E307" s="49"/>
      <c r="F307" s="49"/>
      <c r="G307" s="45"/>
      <c r="H307" s="50"/>
      <c r="I307" s="45"/>
      <c r="J307" s="51"/>
      <c r="K307" s="40" t="str">
        <f aca="false">IF($D307="","",$I307*$J307)</f>
        <v/>
      </c>
      <c r="L307" s="50"/>
      <c r="M307" s="49"/>
      <c r="N307" s="45"/>
      <c r="O307" s="40" t="str">
        <f aca="false">IF(OR($D307="",$N307=""),"",$N307*$J307)</f>
        <v/>
      </c>
      <c r="P307" s="41" t="str">
        <f aca="false">IF(OR($D307="",$L307=""),"",MAX($L307-$H307,0))</f>
        <v/>
      </c>
      <c r="Q307" s="40" t="str">
        <f aca="false">IF(OR($D307="",$N307=""),"",IF($E307="LONG",($N307-$I307)*$J307,($I307-$N307)*$J307))</f>
        <v/>
      </c>
      <c r="R307" s="42" t="str">
        <f aca="false">IF(OR($D307="",$Q307="",$K307=0),"",$Q307/$K307)</f>
        <v/>
      </c>
      <c r="S307" s="43" t="str">
        <f aca="false">IF(OR($D307="",$N307=""),"",MIN(INDEX(Config!$C$13:$C$15,$AK307),INDEX(Config!$B$13:$B$15,$AK307)*$K307)+MIN(INDEX(Config!$C$13:$C$15,$AK307),INDEX(Config!$B$13:$B$15,$AK307)*$O307))</f>
        <v/>
      </c>
      <c r="T307" s="43" t="str">
        <f aca="false">IF(OR($D307="",$N307=""),"",INDEX(Config!$D$13:$D$15,$AK307)*$AL307+INDEX(Config!$E$13:$E$15,$AK307)*$AM307)</f>
        <v/>
      </c>
      <c r="U307" s="43" t="str">
        <f aca="false">IF(OR($D307="",$N307=""),"",INDEX(Config!$F$13:$F$15,$AK307)*($K307+$O307))</f>
        <v/>
      </c>
      <c r="V307" s="43" t="str">
        <f aca="false">IF(OR($D307="",$N307=""),"",INDEX(Config!$G$13:$G$15,$AK307)*($K307+$O307)+INDEX(Config!$H$13:$H$15,$AK307)*$AL307+INDEX(Config!$J$13:$J$15,$AK307))</f>
        <v/>
      </c>
      <c r="W307" s="43" t="str">
        <f aca="false">IF(OR($D307="",$N307=""),"",INDEX(Config!$I$13:$I$15,$AK307)*($S307+$U307+INDEX(Config!$G$13:$G$15,$AK307)*($K307+$O307)))</f>
        <v/>
      </c>
      <c r="X307" s="43" t="str">
        <f aca="false">IF(OR($D307="",$N307=""),"",INDEX(Config!$K$13:$K$15,$AK307)/365*$P307*$K307*Config!$B$8)</f>
        <v/>
      </c>
      <c r="Y307" s="43" t="str">
        <f aca="false">IF(OR($D307="",$N307=""),"",SUM($S307:$X307))</f>
        <v/>
      </c>
      <c r="Z307" s="40" t="str">
        <f aca="false">IF(OR($D307="",$Q307=""),"",$Q307-$Y307)</f>
        <v/>
      </c>
      <c r="AA307" s="42" t="str">
        <f aca="false">IF(OR($D307="",$Z307="",$K307=0),"",$Z307/$K307)</f>
        <v/>
      </c>
      <c r="AB307" s="44" t="str">
        <f aca="false">IF(OR($D307="",$Y307="",$K307=0),"",$Y307/$K307*10000)</f>
        <v/>
      </c>
      <c r="AC307" s="44" t="str">
        <f aca="false">IF(OR($D307="",$G307="",$G307=0,$I307=""),"",IF($E307="LONG",($I307-$G307)/$G307,($G307-$I307)/$G307)*10000)</f>
        <v/>
      </c>
      <c r="AD307" s="45"/>
      <c r="AE307" s="40" t="str">
        <f aca="false">IF(OR($D307="",$N307&lt;&gt;"",$AD307=""),"",IF($E307="LONG",($AD307-$I307)*$J307,($I307-$AD307)*$J307))</f>
        <v/>
      </c>
      <c r="AF307" s="40" t="str">
        <f aca="false">IF(OR($D307="",$E307&lt;&gt;"LONG",$Z307=""),"",$Z307+SUMIFS($Z$4:$Z$503,$B$4:$B$503,$B307,$E$4:$E$503,"SHORT"))</f>
        <v/>
      </c>
      <c r="AG307" s="42" t="str">
        <f aca="false">IF(OR($AF307="",$K307=0),"",$AF307/$K307)</f>
        <v/>
      </c>
      <c r="AH307" s="46"/>
      <c r="AI307" s="43" t="str">
        <f aca="false">IF(OR($D307="",$AH307="",$Z307=""),"",$Z307-$AH307)</f>
        <v/>
      </c>
      <c r="AJ307" s="49"/>
      <c r="AK307" s="47" t="str">
        <f aca="false">IF($D307="","",IFERROR(MATCH($F307,Config!$A$13:$A$15,0),1))</f>
        <v/>
      </c>
      <c r="AL307" s="47" t="str">
        <f aca="false">IF(OR($D307="",$N307=""),"",IF($E307="LONG",$K307,$O307))</f>
        <v/>
      </c>
      <c r="AM307" s="47" t="str">
        <f aca="false">IF(OR($D307="",$N307=""),"",IF($E307="LONG",$O307,$K307))</f>
        <v/>
      </c>
    </row>
    <row r="308" customFormat="false" ht="15" hidden="false" customHeight="false" outlineLevel="0" collapsed="false">
      <c r="A308" s="49"/>
      <c r="B308" s="5" t="str">
        <f aca="false">IF($D308="","",IF(OR(RIGHT($A308,2)="-L",RIGHT($A308,2)="-S"),LEFT($A308,LEN($A308)-2),$A308))</f>
        <v/>
      </c>
      <c r="C308" s="50"/>
      <c r="D308" s="49"/>
      <c r="E308" s="49"/>
      <c r="F308" s="49"/>
      <c r="G308" s="45"/>
      <c r="H308" s="50"/>
      <c r="I308" s="45"/>
      <c r="J308" s="51"/>
      <c r="K308" s="40" t="str">
        <f aca="false">IF($D308="","",$I308*$J308)</f>
        <v/>
      </c>
      <c r="L308" s="50"/>
      <c r="M308" s="49"/>
      <c r="N308" s="45"/>
      <c r="O308" s="40" t="str">
        <f aca="false">IF(OR($D308="",$N308=""),"",$N308*$J308)</f>
        <v/>
      </c>
      <c r="P308" s="41" t="str">
        <f aca="false">IF(OR($D308="",$L308=""),"",MAX($L308-$H308,0))</f>
        <v/>
      </c>
      <c r="Q308" s="40" t="str">
        <f aca="false">IF(OR($D308="",$N308=""),"",IF($E308="LONG",($N308-$I308)*$J308,($I308-$N308)*$J308))</f>
        <v/>
      </c>
      <c r="R308" s="42" t="str">
        <f aca="false">IF(OR($D308="",$Q308="",$K308=0),"",$Q308/$K308)</f>
        <v/>
      </c>
      <c r="S308" s="43" t="str">
        <f aca="false">IF(OR($D308="",$N308=""),"",MIN(INDEX(Config!$C$13:$C$15,$AK308),INDEX(Config!$B$13:$B$15,$AK308)*$K308)+MIN(INDEX(Config!$C$13:$C$15,$AK308),INDEX(Config!$B$13:$B$15,$AK308)*$O308))</f>
        <v/>
      </c>
      <c r="T308" s="43" t="str">
        <f aca="false">IF(OR($D308="",$N308=""),"",INDEX(Config!$D$13:$D$15,$AK308)*$AL308+INDEX(Config!$E$13:$E$15,$AK308)*$AM308)</f>
        <v/>
      </c>
      <c r="U308" s="43" t="str">
        <f aca="false">IF(OR($D308="",$N308=""),"",INDEX(Config!$F$13:$F$15,$AK308)*($K308+$O308))</f>
        <v/>
      </c>
      <c r="V308" s="43" t="str">
        <f aca="false">IF(OR($D308="",$N308=""),"",INDEX(Config!$G$13:$G$15,$AK308)*($K308+$O308)+INDEX(Config!$H$13:$H$15,$AK308)*$AL308+INDEX(Config!$J$13:$J$15,$AK308))</f>
        <v/>
      </c>
      <c r="W308" s="43" t="str">
        <f aca="false">IF(OR($D308="",$N308=""),"",INDEX(Config!$I$13:$I$15,$AK308)*($S308+$U308+INDEX(Config!$G$13:$G$15,$AK308)*($K308+$O308)))</f>
        <v/>
      </c>
      <c r="X308" s="43" t="str">
        <f aca="false">IF(OR($D308="",$N308=""),"",INDEX(Config!$K$13:$K$15,$AK308)/365*$P308*$K308*Config!$B$8)</f>
        <v/>
      </c>
      <c r="Y308" s="43" t="str">
        <f aca="false">IF(OR($D308="",$N308=""),"",SUM($S308:$X308))</f>
        <v/>
      </c>
      <c r="Z308" s="40" t="str">
        <f aca="false">IF(OR($D308="",$Q308=""),"",$Q308-$Y308)</f>
        <v/>
      </c>
      <c r="AA308" s="42" t="str">
        <f aca="false">IF(OR($D308="",$Z308="",$K308=0),"",$Z308/$K308)</f>
        <v/>
      </c>
      <c r="AB308" s="44" t="str">
        <f aca="false">IF(OR($D308="",$Y308="",$K308=0),"",$Y308/$K308*10000)</f>
        <v/>
      </c>
      <c r="AC308" s="44" t="str">
        <f aca="false">IF(OR($D308="",$G308="",$G308=0,$I308=""),"",IF($E308="LONG",($I308-$G308)/$G308,($G308-$I308)/$G308)*10000)</f>
        <v/>
      </c>
      <c r="AD308" s="45"/>
      <c r="AE308" s="40" t="str">
        <f aca="false">IF(OR($D308="",$N308&lt;&gt;"",$AD308=""),"",IF($E308="LONG",($AD308-$I308)*$J308,($I308-$AD308)*$J308))</f>
        <v/>
      </c>
      <c r="AF308" s="40" t="str">
        <f aca="false">IF(OR($D308="",$E308&lt;&gt;"LONG",$Z308=""),"",$Z308+SUMIFS($Z$4:$Z$503,$B$4:$B$503,$B308,$E$4:$E$503,"SHORT"))</f>
        <v/>
      </c>
      <c r="AG308" s="42" t="str">
        <f aca="false">IF(OR($AF308="",$K308=0),"",$AF308/$K308)</f>
        <v/>
      </c>
      <c r="AH308" s="46"/>
      <c r="AI308" s="43" t="str">
        <f aca="false">IF(OR($D308="",$AH308="",$Z308=""),"",$Z308-$AH308)</f>
        <v/>
      </c>
      <c r="AJ308" s="49"/>
      <c r="AK308" s="47" t="str">
        <f aca="false">IF($D308="","",IFERROR(MATCH($F308,Config!$A$13:$A$15,0),1))</f>
        <v/>
      </c>
      <c r="AL308" s="47" t="str">
        <f aca="false">IF(OR($D308="",$N308=""),"",IF($E308="LONG",$K308,$O308))</f>
        <v/>
      </c>
      <c r="AM308" s="47" t="str">
        <f aca="false">IF(OR($D308="",$N308=""),"",IF($E308="LONG",$O308,$K308))</f>
        <v/>
      </c>
    </row>
    <row r="309" customFormat="false" ht="15" hidden="false" customHeight="false" outlineLevel="0" collapsed="false">
      <c r="A309" s="49"/>
      <c r="B309" s="5" t="str">
        <f aca="false">IF($D309="","",IF(OR(RIGHT($A309,2)="-L",RIGHT($A309,2)="-S"),LEFT($A309,LEN($A309)-2),$A309))</f>
        <v/>
      </c>
      <c r="C309" s="50"/>
      <c r="D309" s="49"/>
      <c r="E309" s="49"/>
      <c r="F309" s="49"/>
      <c r="G309" s="45"/>
      <c r="H309" s="50"/>
      <c r="I309" s="45"/>
      <c r="J309" s="51"/>
      <c r="K309" s="40" t="str">
        <f aca="false">IF($D309="","",$I309*$J309)</f>
        <v/>
      </c>
      <c r="L309" s="50"/>
      <c r="M309" s="49"/>
      <c r="N309" s="45"/>
      <c r="O309" s="40" t="str">
        <f aca="false">IF(OR($D309="",$N309=""),"",$N309*$J309)</f>
        <v/>
      </c>
      <c r="P309" s="41" t="str">
        <f aca="false">IF(OR($D309="",$L309=""),"",MAX($L309-$H309,0))</f>
        <v/>
      </c>
      <c r="Q309" s="40" t="str">
        <f aca="false">IF(OR($D309="",$N309=""),"",IF($E309="LONG",($N309-$I309)*$J309,($I309-$N309)*$J309))</f>
        <v/>
      </c>
      <c r="R309" s="42" t="str">
        <f aca="false">IF(OR($D309="",$Q309="",$K309=0),"",$Q309/$K309)</f>
        <v/>
      </c>
      <c r="S309" s="43" t="str">
        <f aca="false">IF(OR($D309="",$N309=""),"",MIN(INDEX(Config!$C$13:$C$15,$AK309),INDEX(Config!$B$13:$B$15,$AK309)*$K309)+MIN(INDEX(Config!$C$13:$C$15,$AK309),INDEX(Config!$B$13:$B$15,$AK309)*$O309))</f>
        <v/>
      </c>
      <c r="T309" s="43" t="str">
        <f aca="false">IF(OR($D309="",$N309=""),"",INDEX(Config!$D$13:$D$15,$AK309)*$AL309+INDEX(Config!$E$13:$E$15,$AK309)*$AM309)</f>
        <v/>
      </c>
      <c r="U309" s="43" t="str">
        <f aca="false">IF(OR($D309="",$N309=""),"",INDEX(Config!$F$13:$F$15,$AK309)*($K309+$O309))</f>
        <v/>
      </c>
      <c r="V309" s="43" t="str">
        <f aca="false">IF(OR($D309="",$N309=""),"",INDEX(Config!$G$13:$G$15,$AK309)*($K309+$O309)+INDEX(Config!$H$13:$H$15,$AK309)*$AL309+INDEX(Config!$J$13:$J$15,$AK309))</f>
        <v/>
      </c>
      <c r="W309" s="43" t="str">
        <f aca="false">IF(OR($D309="",$N309=""),"",INDEX(Config!$I$13:$I$15,$AK309)*($S309+$U309+INDEX(Config!$G$13:$G$15,$AK309)*($K309+$O309)))</f>
        <v/>
      </c>
      <c r="X309" s="43" t="str">
        <f aca="false">IF(OR($D309="",$N309=""),"",INDEX(Config!$K$13:$K$15,$AK309)/365*$P309*$K309*Config!$B$8)</f>
        <v/>
      </c>
      <c r="Y309" s="43" t="str">
        <f aca="false">IF(OR($D309="",$N309=""),"",SUM($S309:$X309))</f>
        <v/>
      </c>
      <c r="Z309" s="40" t="str">
        <f aca="false">IF(OR($D309="",$Q309=""),"",$Q309-$Y309)</f>
        <v/>
      </c>
      <c r="AA309" s="42" t="str">
        <f aca="false">IF(OR($D309="",$Z309="",$K309=0),"",$Z309/$K309)</f>
        <v/>
      </c>
      <c r="AB309" s="44" t="str">
        <f aca="false">IF(OR($D309="",$Y309="",$K309=0),"",$Y309/$K309*10000)</f>
        <v/>
      </c>
      <c r="AC309" s="44" t="str">
        <f aca="false">IF(OR($D309="",$G309="",$G309=0,$I309=""),"",IF($E309="LONG",($I309-$G309)/$G309,($G309-$I309)/$G309)*10000)</f>
        <v/>
      </c>
      <c r="AD309" s="45"/>
      <c r="AE309" s="40" t="str">
        <f aca="false">IF(OR($D309="",$N309&lt;&gt;"",$AD309=""),"",IF($E309="LONG",($AD309-$I309)*$J309,($I309-$AD309)*$J309))</f>
        <v/>
      </c>
      <c r="AF309" s="40" t="str">
        <f aca="false">IF(OR($D309="",$E309&lt;&gt;"LONG",$Z309=""),"",$Z309+SUMIFS($Z$4:$Z$503,$B$4:$B$503,$B309,$E$4:$E$503,"SHORT"))</f>
        <v/>
      </c>
      <c r="AG309" s="42" t="str">
        <f aca="false">IF(OR($AF309="",$K309=0),"",$AF309/$K309)</f>
        <v/>
      </c>
      <c r="AH309" s="46"/>
      <c r="AI309" s="43" t="str">
        <f aca="false">IF(OR($D309="",$AH309="",$Z309=""),"",$Z309-$AH309)</f>
        <v/>
      </c>
      <c r="AJ309" s="49"/>
      <c r="AK309" s="47" t="str">
        <f aca="false">IF($D309="","",IFERROR(MATCH($F309,Config!$A$13:$A$15,0),1))</f>
        <v/>
      </c>
      <c r="AL309" s="47" t="str">
        <f aca="false">IF(OR($D309="",$N309=""),"",IF($E309="LONG",$K309,$O309))</f>
        <v/>
      </c>
      <c r="AM309" s="47" t="str">
        <f aca="false">IF(OR($D309="",$N309=""),"",IF($E309="LONG",$O309,$K309))</f>
        <v/>
      </c>
    </row>
    <row r="310" customFormat="false" ht="15" hidden="false" customHeight="false" outlineLevel="0" collapsed="false">
      <c r="A310" s="49"/>
      <c r="B310" s="5" t="str">
        <f aca="false">IF($D310="","",IF(OR(RIGHT($A310,2)="-L",RIGHT($A310,2)="-S"),LEFT($A310,LEN($A310)-2),$A310))</f>
        <v/>
      </c>
      <c r="C310" s="50"/>
      <c r="D310" s="49"/>
      <c r="E310" s="49"/>
      <c r="F310" s="49"/>
      <c r="G310" s="45"/>
      <c r="H310" s="50"/>
      <c r="I310" s="45"/>
      <c r="J310" s="51"/>
      <c r="K310" s="40" t="str">
        <f aca="false">IF($D310="","",$I310*$J310)</f>
        <v/>
      </c>
      <c r="L310" s="50"/>
      <c r="M310" s="49"/>
      <c r="N310" s="45"/>
      <c r="O310" s="40" t="str">
        <f aca="false">IF(OR($D310="",$N310=""),"",$N310*$J310)</f>
        <v/>
      </c>
      <c r="P310" s="41" t="str">
        <f aca="false">IF(OR($D310="",$L310=""),"",MAX($L310-$H310,0))</f>
        <v/>
      </c>
      <c r="Q310" s="40" t="str">
        <f aca="false">IF(OR($D310="",$N310=""),"",IF($E310="LONG",($N310-$I310)*$J310,($I310-$N310)*$J310))</f>
        <v/>
      </c>
      <c r="R310" s="42" t="str">
        <f aca="false">IF(OR($D310="",$Q310="",$K310=0),"",$Q310/$K310)</f>
        <v/>
      </c>
      <c r="S310" s="43" t="str">
        <f aca="false">IF(OR($D310="",$N310=""),"",MIN(INDEX(Config!$C$13:$C$15,$AK310),INDEX(Config!$B$13:$B$15,$AK310)*$K310)+MIN(INDEX(Config!$C$13:$C$15,$AK310),INDEX(Config!$B$13:$B$15,$AK310)*$O310))</f>
        <v/>
      </c>
      <c r="T310" s="43" t="str">
        <f aca="false">IF(OR($D310="",$N310=""),"",INDEX(Config!$D$13:$D$15,$AK310)*$AL310+INDEX(Config!$E$13:$E$15,$AK310)*$AM310)</f>
        <v/>
      </c>
      <c r="U310" s="43" t="str">
        <f aca="false">IF(OR($D310="",$N310=""),"",INDEX(Config!$F$13:$F$15,$AK310)*($K310+$O310))</f>
        <v/>
      </c>
      <c r="V310" s="43" t="str">
        <f aca="false">IF(OR($D310="",$N310=""),"",INDEX(Config!$G$13:$G$15,$AK310)*($K310+$O310)+INDEX(Config!$H$13:$H$15,$AK310)*$AL310+INDEX(Config!$J$13:$J$15,$AK310))</f>
        <v/>
      </c>
      <c r="W310" s="43" t="str">
        <f aca="false">IF(OR($D310="",$N310=""),"",INDEX(Config!$I$13:$I$15,$AK310)*($S310+$U310+INDEX(Config!$G$13:$G$15,$AK310)*($K310+$O310)))</f>
        <v/>
      </c>
      <c r="X310" s="43" t="str">
        <f aca="false">IF(OR($D310="",$N310=""),"",INDEX(Config!$K$13:$K$15,$AK310)/365*$P310*$K310*Config!$B$8)</f>
        <v/>
      </c>
      <c r="Y310" s="43" t="str">
        <f aca="false">IF(OR($D310="",$N310=""),"",SUM($S310:$X310))</f>
        <v/>
      </c>
      <c r="Z310" s="40" t="str">
        <f aca="false">IF(OR($D310="",$Q310=""),"",$Q310-$Y310)</f>
        <v/>
      </c>
      <c r="AA310" s="42" t="str">
        <f aca="false">IF(OR($D310="",$Z310="",$K310=0),"",$Z310/$K310)</f>
        <v/>
      </c>
      <c r="AB310" s="44" t="str">
        <f aca="false">IF(OR($D310="",$Y310="",$K310=0),"",$Y310/$K310*10000)</f>
        <v/>
      </c>
      <c r="AC310" s="44" t="str">
        <f aca="false">IF(OR($D310="",$G310="",$G310=0,$I310=""),"",IF($E310="LONG",($I310-$G310)/$G310,($G310-$I310)/$G310)*10000)</f>
        <v/>
      </c>
      <c r="AD310" s="45"/>
      <c r="AE310" s="40" t="str">
        <f aca="false">IF(OR($D310="",$N310&lt;&gt;"",$AD310=""),"",IF($E310="LONG",($AD310-$I310)*$J310,($I310-$AD310)*$J310))</f>
        <v/>
      </c>
      <c r="AF310" s="40" t="str">
        <f aca="false">IF(OR($D310="",$E310&lt;&gt;"LONG",$Z310=""),"",$Z310+SUMIFS($Z$4:$Z$503,$B$4:$B$503,$B310,$E$4:$E$503,"SHORT"))</f>
        <v/>
      </c>
      <c r="AG310" s="42" t="str">
        <f aca="false">IF(OR($AF310="",$K310=0),"",$AF310/$K310)</f>
        <v/>
      </c>
      <c r="AH310" s="46"/>
      <c r="AI310" s="43" t="str">
        <f aca="false">IF(OR($D310="",$AH310="",$Z310=""),"",$Z310-$AH310)</f>
        <v/>
      </c>
      <c r="AJ310" s="49"/>
      <c r="AK310" s="47" t="str">
        <f aca="false">IF($D310="","",IFERROR(MATCH($F310,Config!$A$13:$A$15,0),1))</f>
        <v/>
      </c>
      <c r="AL310" s="47" t="str">
        <f aca="false">IF(OR($D310="",$N310=""),"",IF($E310="LONG",$K310,$O310))</f>
        <v/>
      </c>
      <c r="AM310" s="47" t="str">
        <f aca="false">IF(OR($D310="",$N310=""),"",IF($E310="LONG",$O310,$K310))</f>
        <v/>
      </c>
    </row>
    <row r="311" customFormat="false" ht="15" hidden="false" customHeight="false" outlineLevel="0" collapsed="false">
      <c r="A311" s="49"/>
      <c r="B311" s="5" t="str">
        <f aca="false">IF($D311="","",IF(OR(RIGHT($A311,2)="-L",RIGHT($A311,2)="-S"),LEFT($A311,LEN($A311)-2),$A311))</f>
        <v/>
      </c>
      <c r="C311" s="50"/>
      <c r="D311" s="49"/>
      <c r="E311" s="49"/>
      <c r="F311" s="49"/>
      <c r="G311" s="45"/>
      <c r="H311" s="50"/>
      <c r="I311" s="45"/>
      <c r="J311" s="51"/>
      <c r="K311" s="40" t="str">
        <f aca="false">IF($D311="","",$I311*$J311)</f>
        <v/>
      </c>
      <c r="L311" s="50"/>
      <c r="M311" s="49"/>
      <c r="N311" s="45"/>
      <c r="O311" s="40" t="str">
        <f aca="false">IF(OR($D311="",$N311=""),"",$N311*$J311)</f>
        <v/>
      </c>
      <c r="P311" s="41" t="str">
        <f aca="false">IF(OR($D311="",$L311=""),"",MAX($L311-$H311,0))</f>
        <v/>
      </c>
      <c r="Q311" s="40" t="str">
        <f aca="false">IF(OR($D311="",$N311=""),"",IF($E311="LONG",($N311-$I311)*$J311,($I311-$N311)*$J311))</f>
        <v/>
      </c>
      <c r="R311" s="42" t="str">
        <f aca="false">IF(OR($D311="",$Q311="",$K311=0),"",$Q311/$K311)</f>
        <v/>
      </c>
      <c r="S311" s="43" t="str">
        <f aca="false">IF(OR($D311="",$N311=""),"",MIN(INDEX(Config!$C$13:$C$15,$AK311),INDEX(Config!$B$13:$B$15,$AK311)*$K311)+MIN(INDEX(Config!$C$13:$C$15,$AK311),INDEX(Config!$B$13:$B$15,$AK311)*$O311))</f>
        <v/>
      </c>
      <c r="T311" s="43" t="str">
        <f aca="false">IF(OR($D311="",$N311=""),"",INDEX(Config!$D$13:$D$15,$AK311)*$AL311+INDEX(Config!$E$13:$E$15,$AK311)*$AM311)</f>
        <v/>
      </c>
      <c r="U311" s="43" t="str">
        <f aca="false">IF(OR($D311="",$N311=""),"",INDEX(Config!$F$13:$F$15,$AK311)*($K311+$O311))</f>
        <v/>
      </c>
      <c r="V311" s="43" t="str">
        <f aca="false">IF(OR($D311="",$N311=""),"",INDEX(Config!$G$13:$G$15,$AK311)*($K311+$O311)+INDEX(Config!$H$13:$H$15,$AK311)*$AL311+INDEX(Config!$J$13:$J$15,$AK311))</f>
        <v/>
      </c>
      <c r="W311" s="43" t="str">
        <f aca="false">IF(OR($D311="",$N311=""),"",INDEX(Config!$I$13:$I$15,$AK311)*($S311+$U311+INDEX(Config!$G$13:$G$15,$AK311)*($K311+$O311)))</f>
        <v/>
      </c>
      <c r="X311" s="43" t="str">
        <f aca="false">IF(OR($D311="",$N311=""),"",INDEX(Config!$K$13:$K$15,$AK311)/365*$P311*$K311*Config!$B$8)</f>
        <v/>
      </c>
      <c r="Y311" s="43" t="str">
        <f aca="false">IF(OR($D311="",$N311=""),"",SUM($S311:$X311))</f>
        <v/>
      </c>
      <c r="Z311" s="40" t="str">
        <f aca="false">IF(OR($D311="",$Q311=""),"",$Q311-$Y311)</f>
        <v/>
      </c>
      <c r="AA311" s="42" t="str">
        <f aca="false">IF(OR($D311="",$Z311="",$K311=0),"",$Z311/$K311)</f>
        <v/>
      </c>
      <c r="AB311" s="44" t="str">
        <f aca="false">IF(OR($D311="",$Y311="",$K311=0),"",$Y311/$K311*10000)</f>
        <v/>
      </c>
      <c r="AC311" s="44" t="str">
        <f aca="false">IF(OR($D311="",$G311="",$G311=0,$I311=""),"",IF($E311="LONG",($I311-$G311)/$G311,($G311-$I311)/$G311)*10000)</f>
        <v/>
      </c>
      <c r="AD311" s="45"/>
      <c r="AE311" s="40" t="str">
        <f aca="false">IF(OR($D311="",$N311&lt;&gt;"",$AD311=""),"",IF($E311="LONG",($AD311-$I311)*$J311,($I311-$AD311)*$J311))</f>
        <v/>
      </c>
      <c r="AF311" s="40" t="str">
        <f aca="false">IF(OR($D311="",$E311&lt;&gt;"LONG",$Z311=""),"",$Z311+SUMIFS($Z$4:$Z$503,$B$4:$B$503,$B311,$E$4:$E$503,"SHORT"))</f>
        <v/>
      </c>
      <c r="AG311" s="42" t="str">
        <f aca="false">IF(OR($AF311="",$K311=0),"",$AF311/$K311)</f>
        <v/>
      </c>
      <c r="AH311" s="46"/>
      <c r="AI311" s="43" t="str">
        <f aca="false">IF(OR($D311="",$AH311="",$Z311=""),"",$Z311-$AH311)</f>
        <v/>
      </c>
      <c r="AJ311" s="49"/>
      <c r="AK311" s="47" t="str">
        <f aca="false">IF($D311="","",IFERROR(MATCH($F311,Config!$A$13:$A$15,0),1))</f>
        <v/>
      </c>
      <c r="AL311" s="47" t="str">
        <f aca="false">IF(OR($D311="",$N311=""),"",IF($E311="LONG",$K311,$O311))</f>
        <v/>
      </c>
      <c r="AM311" s="47" t="str">
        <f aca="false">IF(OR($D311="",$N311=""),"",IF($E311="LONG",$O311,$K311))</f>
        <v/>
      </c>
    </row>
    <row r="312" customFormat="false" ht="15" hidden="false" customHeight="false" outlineLevel="0" collapsed="false">
      <c r="A312" s="49"/>
      <c r="B312" s="5" t="str">
        <f aca="false">IF($D312="","",IF(OR(RIGHT($A312,2)="-L",RIGHT($A312,2)="-S"),LEFT($A312,LEN($A312)-2),$A312))</f>
        <v/>
      </c>
      <c r="C312" s="50"/>
      <c r="D312" s="49"/>
      <c r="E312" s="49"/>
      <c r="F312" s="49"/>
      <c r="G312" s="45"/>
      <c r="H312" s="50"/>
      <c r="I312" s="45"/>
      <c r="J312" s="51"/>
      <c r="K312" s="40" t="str">
        <f aca="false">IF($D312="","",$I312*$J312)</f>
        <v/>
      </c>
      <c r="L312" s="50"/>
      <c r="M312" s="49"/>
      <c r="N312" s="45"/>
      <c r="O312" s="40" t="str">
        <f aca="false">IF(OR($D312="",$N312=""),"",$N312*$J312)</f>
        <v/>
      </c>
      <c r="P312" s="41" t="str">
        <f aca="false">IF(OR($D312="",$L312=""),"",MAX($L312-$H312,0))</f>
        <v/>
      </c>
      <c r="Q312" s="40" t="str">
        <f aca="false">IF(OR($D312="",$N312=""),"",IF($E312="LONG",($N312-$I312)*$J312,($I312-$N312)*$J312))</f>
        <v/>
      </c>
      <c r="R312" s="42" t="str">
        <f aca="false">IF(OR($D312="",$Q312="",$K312=0),"",$Q312/$K312)</f>
        <v/>
      </c>
      <c r="S312" s="43" t="str">
        <f aca="false">IF(OR($D312="",$N312=""),"",MIN(INDEX(Config!$C$13:$C$15,$AK312),INDEX(Config!$B$13:$B$15,$AK312)*$K312)+MIN(INDEX(Config!$C$13:$C$15,$AK312),INDEX(Config!$B$13:$B$15,$AK312)*$O312))</f>
        <v/>
      </c>
      <c r="T312" s="43" t="str">
        <f aca="false">IF(OR($D312="",$N312=""),"",INDEX(Config!$D$13:$D$15,$AK312)*$AL312+INDEX(Config!$E$13:$E$15,$AK312)*$AM312)</f>
        <v/>
      </c>
      <c r="U312" s="43" t="str">
        <f aca="false">IF(OR($D312="",$N312=""),"",INDEX(Config!$F$13:$F$15,$AK312)*($K312+$O312))</f>
        <v/>
      </c>
      <c r="V312" s="43" t="str">
        <f aca="false">IF(OR($D312="",$N312=""),"",INDEX(Config!$G$13:$G$15,$AK312)*($K312+$O312)+INDEX(Config!$H$13:$H$15,$AK312)*$AL312+INDEX(Config!$J$13:$J$15,$AK312))</f>
        <v/>
      </c>
      <c r="W312" s="43" t="str">
        <f aca="false">IF(OR($D312="",$N312=""),"",INDEX(Config!$I$13:$I$15,$AK312)*($S312+$U312+INDEX(Config!$G$13:$G$15,$AK312)*($K312+$O312)))</f>
        <v/>
      </c>
      <c r="X312" s="43" t="str">
        <f aca="false">IF(OR($D312="",$N312=""),"",INDEX(Config!$K$13:$K$15,$AK312)/365*$P312*$K312*Config!$B$8)</f>
        <v/>
      </c>
      <c r="Y312" s="43" t="str">
        <f aca="false">IF(OR($D312="",$N312=""),"",SUM($S312:$X312))</f>
        <v/>
      </c>
      <c r="Z312" s="40" t="str">
        <f aca="false">IF(OR($D312="",$Q312=""),"",$Q312-$Y312)</f>
        <v/>
      </c>
      <c r="AA312" s="42" t="str">
        <f aca="false">IF(OR($D312="",$Z312="",$K312=0),"",$Z312/$K312)</f>
        <v/>
      </c>
      <c r="AB312" s="44" t="str">
        <f aca="false">IF(OR($D312="",$Y312="",$K312=0),"",$Y312/$K312*10000)</f>
        <v/>
      </c>
      <c r="AC312" s="44" t="str">
        <f aca="false">IF(OR($D312="",$G312="",$G312=0,$I312=""),"",IF($E312="LONG",($I312-$G312)/$G312,($G312-$I312)/$G312)*10000)</f>
        <v/>
      </c>
      <c r="AD312" s="45"/>
      <c r="AE312" s="40" t="str">
        <f aca="false">IF(OR($D312="",$N312&lt;&gt;"",$AD312=""),"",IF($E312="LONG",($AD312-$I312)*$J312,($I312-$AD312)*$J312))</f>
        <v/>
      </c>
      <c r="AF312" s="40" t="str">
        <f aca="false">IF(OR($D312="",$E312&lt;&gt;"LONG",$Z312=""),"",$Z312+SUMIFS($Z$4:$Z$503,$B$4:$B$503,$B312,$E$4:$E$503,"SHORT"))</f>
        <v/>
      </c>
      <c r="AG312" s="42" t="str">
        <f aca="false">IF(OR($AF312="",$K312=0),"",$AF312/$K312)</f>
        <v/>
      </c>
      <c r="AH312" s="46"/>
      <c r="AI312" s="43" t="str">
        <f aca="false">IF(OR($D312="",$AH312="",$Z312=""),"",$Z312-$AH312)</f>
        <v/>
      </c>
      <c r="AJ312" s="49"/>
      <c r="AK312" s="47" t="str">
        <f aca="false">IF($D312="","",IFERROR(MATCH($F312,Config!$A$13:$A$15,0),1))</f>
        <v/>
      </c>
      <c r="AL312" s="47" t="str">
        <f aca="false">IF(OR($D312="",$N312=""),"",IF($E312="LONG",$K312,$O312))</f>
        <v/>
      </c>
      <c r="AM312" s="47" t="str">
        <f aca="false">IF(OR($D312="",$N312=""),"",IF($E312="LONG",$O312,$K312))</f>
        <v/>
      </c>
    </row>
    <row r="313" customFormat="false" ht="15" hidden="false" customHeight="false" outlineLevel="0" collapsed="false">
      <c r="A313" s="49"/>
      <c r="B313" s="5" t="str">
        <f aca="false">IF($D313="","",IF(OR(RIGHT($A313,2)="-L",RIGHT($A313,2)="-S"),LEFT($A313,LEN($A313)-2),$A313))</f>
        <v/>
      </c>
      <c r="C313" s="50"/>
      <c r="D313" s="49"/>
      <c r="E313" s="49"/>
      <c r="F313" s="49"/>
      <c r="G313" s="45"/>
      <c r="H313" s="50"/>
      <c r="I313" s="45"/>
      <c r="J313" s="51"/>
      <c r="K313" s="40" t="str">
        <f aca="false">IF($D313="","",$I313*$J313)</f>
        <v/>
      </c>
      <c r="L313" s="50"/>
      <c r="M313" s="49"/>
      <c r="N313" s="45"/>
      <c r="O313" s="40" t="str">
        <f aca="false">IF(OR($D313="",$N313=""),"",$N313*$J313)</f>
        <v/>
      </c>
      <c r="P313" s="41" t="str">
        <f aca="false">IF(OR($D313="",$L313=""),"",MAX($L313-$H313,0))</f>
        <v/>
      </c>
      <c r="Q313" s="40" t="str">
        <f aca="false">IF(OR($D313="",$N313=""),"",IF($E313="LONG",($N313-$I313)*$J313,($I313-$N313)*$J313))</f>
        <v/>
      </c>
      <c r="R313" s="42" t="str">
        <f aca="false">IF(OR($D313="",$Q313="",$K313=0),"",$Q313/$K313)</f>
        <v/>
      </c>
      <c r="S313" s="43" t="str">
        <f aca="false">IF(OR($D313="",$N313=""),"",MIN(INDEX(Config!$C$13:$C$15,$AK313),INDEX(Config!$B$13:$B$15,$AK313)*$K313)+MIN(INDEX(Config!$C$13:$C$15,$AK313),INDEX(Config!$B$13:$B$15,$AK313)*$O313))</f>
        <v/>
      </c>
      <c r="T313" s="43" t="str">
        <f aca="false">IF(OR($D313="",$N313=""),"",INDEX(Config!$D$13:$D$15,$AK313)*$AL313+INDEX(Config!$E$13:$E$15,$AK313)*$AM313)</f>
        <v/>
      </c>
      <c r="U313" s="43" t="str">
        <f aca="false">IF(OR($D313="",$N313=""),"",INDEX(Config!$F$13:$F$15,$AK313)*($K313+$O313))</f>
        <v/>
      </c>
      <c r="V313" s="43" t="str">
        <f aca="false">IF(OR($D313="",$N313=""),"",INDEX(Config!$G$13:$G$15,$AK313)*($K313+$O313)+INDEX(Config!$H$13:$H$15,$AK313)*$AL313+INDEX(Config!$J$13:$J$15,$AK313))</f>
        <v/>
      </c>
      <c r="W313" s="43" t="str">
        <f aca="false">IF(OR($D313="",$N313=""),"",INDEX(Config!$I$13:$I$15,$AK313)*($S313+$U313+INDEX(Config!$G$13:$G$15,$AK313)*($K313+$O313)))</f>
        <v/>
      </c>
      <c r="X313" s="43" t="str">
        <f aca="false">IF(OR($D313="",$N313=""),"",INDEX(Config!$K$13:$K$15,$AK313)/365*$P313*$K313*Config!$B$8)</f>
        <v/>
      </c>
      <c r="Y313" s="43" t="str">
        <f aca="false">IF(OR($D313="",$N313=""),"",SUM($S313:$X313))</f>
        <v/>
      </c>
      <c r="Z313" s="40" t="str">
        <f aca="false">IF(OR($D313="",$Q313=""),"",$Q313-$Y313)</f>
        <v/>
      </c>
      <c r="AA313" s="42" t="str">
        <f aca="false">IF(OR($D313="",$Z313="",$K313=0),"",$Z313/$K313)</f>
        <v/>
      </c>
      <c r="AB313" s="44" t="str">
        <f aca="false">IF(OR($D313="",$Y313="",$K313=0),"",$Y313/$K313*10000)</f>
        <v/>
      </c>
      <c r="AC313" s="44" t="str">
        <f aca="false">IF(OR($D313="",$G313="",$G313=0,$I313=""),"",IF($E313="LONG",($I313-$G313)/$G313,($G313-$I313)/$G313)*10000)</f>
        <v/>
      </c>
      <c r="AD313" s="45"/>
      <c r="AE313" s="40" t="str">
        <f aca="false">IF(OR($D313="",$N313&lt;&gt;"",$AD313=""),"",IF($E313="LONG",($AD313-$I313)*$J313,($I313-$AD313)*$J313))</f>
        <v/>
      </c>
      <c r="AF313" s="40" t="str">
        <f aca="false">IF(OR($D313="",$E313&lt;&gt;"LONG",$Z313=""),"",$Z313+SUMIFS($Z$4:$Z$503,$B$4:$B$503,$B313,$E$4:$E$503,"SHORT"))</f>
        <v/>
      </c>
      <c r="AG313" s="42" t="str">
        <f aca="false">IF(OR($AF313="",$K313=0),"",$AF313/$K313)</f>
        <v/>
      </c>
      <c r="AH313" s="46"/>
      <c r="AI313" s="43" t="str">
        <f aca="false">IF(OR($D313="",$AH313="",$Z313=""),"",$Z313-$AH313)</f>
        <v/>
      </c>
      <c r="AJ313" s="49"/>
      <c r="AK313" s="47" t="str">
        <f aca="false">IF($D313="","",IFERROR(MATCH($F313,Config!$A$13:$A$15,0),1))</f>
        <v/>
      </c>
      <c r="AL313" s="47" t="str">
        <f aca="false">IF(OR($D313="",$N313=""),"",IF($E313="LONG",$K313,$O313))</f>
        <v/>
      </c>
      <c r="AM313" s="47" t="str">
        <f aca="false">IF(OR($D313="",$N313=""),"",IF($E313="LONG",$O313,$K313))</f>
        <v/>
      </c>
    </row>
    <row r="314" customFormat="false" ht="15" hidden="false" customHeight="false" outlineLevel="0" collapsed="false">
      <c r="A314" s="49"/>
      <c r="B314" s="5" t="str">
        <f aca="false">IF($D314="","",IF(OR(RIGHT($A314,2)="-L",RIGHT($A314,2)="-S"),LEFT($A314,LEN($A314)-2),$A314))</f>
        <v/>
      </c>
      <c r="C314" s="50"/>
      <c r="D314" s="49"/>
      <c r="E314" s="49"/>
      <c r="F314" s="49"/>
      <c r="G314" s="45"/>
      <c r="H314" s="50"/>
      <c r="I314" s="45"/>
      <c r="J314" s="51"/>
      <c r="K314" s="40" t="str">
        <f aca="false">IF($D314="","",$I314*$J314)</f>
        <v/>
      </c>
      <c r="L314" s="50"/>
      <c r="M314" s="49"/>
      <c r="N314" s="45"/>
      <c r="O314" s="40" t="str">
        <f aca="false">IF(OR($D314="",$N314=""),"",$N314*$J314)</f>
        <v/>
      </c>
      <c r="P314" s="41" t="str">
        <f aca="false">IF(OR($D314="",$L314=""),"",MAX($L314-$H314,0))</f>
        <v/>
      </c>
      <c r="Q314" s="40" t="str">
        <f aca="false">IF(OR($D314="",$N314=""),"",IF($E314="LONG",($N314-$I314)*$J314,($I314-$N314)*$J314))</f>
        <v/>
      </c>
      <c r="R314" s="42" t="str">
        <f aca="false">IF(OR($D314="",$Q314="",$K314=0),"",$Q314/$K314)</f>
        <v/>
      </c>
      <c r="S314" s="43" t="str">
        <f aca="false">IF(OR($D314="",$N314=""),"",MIN(INDEX(Config!$C$13:$C$15,$AK314),INDEX(Config!$B$13:$B$15,$AK314)*$K314)+MIN(INDEX(Config!$C$13:$C$15,$AK314),INDEX(Config!$B$13:$B$15,$AK314)*$O314))</f>
        <v/>
      </c>
      <c r="T314" s="43" t="str">
        <f aca="false">IF(OR($D314="",$N314=""),"",INDEX(Config!$D$13:$D$15,$AK314)*$AL314+INDEX(Config!$E$13:$E$15,$AK314)*$AM314)</f>
        <v/>
      </c>
      <c r="U314" s="43" t="str">
        <f aca="false">IF(OR($D314="",$N314=""),"",INDEX(Config!$F$13:$F$15,$AK314)*($K314+$O314))</f>
        <v/>
      </c>
      <c r="V314" s="43" t="str">
        <f aca="false">IF(OR($D314="",$N314=""),"",INDEX(Config!$G$13:$G$15,$AK314)*($K314+$O314)+INDEX(Config!$H$13:$H$15,$AK314)*$AL314+INDEX(Config!$J$13:$J$15,$AK314))</f>
        <v/>
      </c>
      <c r="W314" s="43" t="str">
        <f aca="false">IF(OR($D314="",$N314=""),"",INDEX(Config!$I$13:$I$15,$AK314)*($S314+$U314+INDEX(Config!$G$13:$G$15,$AK314)*($K314+$O314)))</f>
        <v/>
      </c>
      <c r="X314" s="43" t="str">
        <f aca="false">IF(OR($D314="",$N314=""),"",INDEX(Config!$K$13:$K$15,$AK314)/365*$P314*$K314*Config!$B$8)</f>
        <v/>
      </c>
      <c r="Y314" s="43" t="str">
        <f aca="false">IF(OR($D314="",$N314=""),"",SUM($S314:$X314))</f>
        <v/>
      </c>
      <c r="Z314" s="40" t="str">
        <f aca="false">IF(OR($D314="",$Q314=""),"",$Q314-$Y314)</f>
        <v/>
      </c>
      <c r="AA314" s="42" t="str">
        <f aca="false">IF(OR($D314="",$Z314="",$K314=0),"",$Z314/$K314)</f>
        <v/>
      </c>
      <c r="AB314" s="44" t="str">
        <f aca="false">IF(OR($D314="",$Y314="",$K314=0),"",$Y314/$K314*10000)</f>
        <v/>
      </c>
      <c r="AC314" s="44" t="str">
        <f aca="false">IF(OR($D314="",$G314="",$G314=0,$I314=""),"",IF($E314="LONG",($I314-$G314)/$G314,($G314-$I314)/$G314)*10000)</f>
        <v/>
      </c>
      <c r="AD314" s="45"/>
      <c r="AE314" s="40" t="str">
        <f aca="false">IF(OR($D314="",$N314&lt;&gt;"",$AD314=""),"",IF($E314="LONG",($AD314-$I314)*$J314,($I314-$AD314)*$J314))</f>
        <v/>
      </c>
      <c r="AF314" s="40" t="str">
        <f aca="false">IF(OR($D314="",$E314&lt;&gt;"LONG",$Z314=""),"",$Z314+SUMIFS($Z$4:$Z$503,$B$4:$B$503,$B314,$E$4:$E$503,"SHORT"))</f>
        <v/>
      </c>
      <c r="AG314" s="42" t="str">
        <f aca="false">IF(OR($AF314="",$K314=0),"",$AF314/$K314)</f>
        <v/>
      </c>
      <c r="AH314" s="46"/>
      <c r="AI314" s="43" t="str">
        <f aca="false">IF(OR($D314="",$AH314="",$Z314=""),"",$Z314-$AH314)</f>
        <v/>
      </c>
      <c r="AJ314" s="49"/>
      <c r="AK314" s="47" t="str">
        <f aca="false">IF($D314="","",IFERROR(MATCH($F314,Config!$A$13:$A$15,0),1))</f>
        <v/>
      </c>
      <c r="AL314" s="47" t="str">
        <f aca="false">IF(OR($D314="",$N314=""),"",IF($E314="LONG",$K314,$O314))</f>
        <v/>
      </c>
      <c r="AM314" s="47" t="str">
        <f aca="false">IF(OR($D314="",$N314=""),"",IF($E314="LONG",$O314,$K314))</f>
        <v/>
      </c>
    </row>
    <row r="315" customFormat="false" ht="15" hidden="false" customHeight="false" outlineLevel="0" collapsed="false">
      <c r="A315" s="49"/>
      <c r="B315" s="5" t="str">
        <f aca="false">IF($D315="","",IF(OR(RIGHT($A315,2)="-L",RIGHT($A315,2)="-S"),LEFT($A315,LEN($A315)-2),$A315))</f>
        <v/>
      </c>
      <c r="C315" s="50"/>
      <c r="D315" s="49"/>
      <c r="E315" s="49"/>
      <c r="F315" s="49"/>
      <c r="G315" s="45"/>
      <c r="H315" s="50"/>
      <c r="I315" s="45"/>
      <c r="J315" s="51"/>
      <c r="K315" s="40" t="str">
        <f aca="false">IF($D315="","",$I315*$J315)</f>
        <v/>
      </c>
      <c r="L315" s="50"/>
      <c r="M315" s="49"/>
      <c r="N315" s="45"/>
      <c r="O315" s="40" t="str">
        <f aca="false">IF(OR($D315="",$N315=""),"",$N315*$J315)</f>
        <v/>
      </c>
      <c r="P315" s="41" t="str">
        <f aca="false">IF(OR($D315="",$L315=""),"",MAX($L315-$H315,0))</f>
        <v/>
      </c>
      <c r="Q315" s="40" t="str">
        <f aca="false">IF(OR($D315="",$N315=""),"",IF($E315="LONG",($N315-$I315)*$J315,($I315-$N315)*$J315))</f>
        <v/>
      </c>
      <c r="R315" s="42" t="str">
        <f aca="false">IF(OR($D315="",$Q315="",$K315=0),"",$Q315/$K315)</f>
        <v/>
      </c>
      <c r="S315" s="43" t="str">
        <f aca="false">IF(OR($D315="",$N315=""),"",MIN(INDEX(Config!$C$13:$C$15,$AK315),INDEX(Config!$B$13:$B$15,$AK315)*$K315)+MIN(INDEX(Config!$C$13:$C$15,$AK315),INDEX(Config!$B$13:$B$15,$AK315)*$O315))</f>
        <v/>
      </c>
      <c r="T315" s="43" t="str">
        <f aca="false">IF(OR($D315="",$N315=""),"",INDEX(Config!$D$13:$D$15,$AK315)*$AL315+INDEX(Config!$E$13:$E$15,$AK315)*$AM315)</f>
        <v/>
      </c>
      <c r="U315" s="43" t="str">
        <f aca="false">IF(OR($D315="",$N315=""),"",INDEX(Config!$F$13:$F$15,$AK315)*($K315+$O315))</f>
        <v/>
      </c>
      <c r="V315" s="43" t="str">
        <f aca="false">IF(OR($D315="",$N315=""),"",INDEX(Config!$G$13:$G$15,$AK315)*($K315+$O315)+INDEX(Config!$H$13:$H$15,$AK315)*$AL315+INDEX(Config!$J$13:$J$15,$AK315))</f>
        <v/>
      </c>
      <c r="W315" s="43" t="str">
        <f aca="false">IF(OR($D315="",$N315=""),"",INDEX(Config!$I$13:$I$15,$AK315)*($S315+$U315+INDEX(Config!$G$13:$G$15,$AK315)*($K315+$O315)))</f>
        <v/>
      </c>
      <c r="X315" s="43" t="str">
        <f aca="false">IF(OR($D315="",$N315=""),"",INDEX(Config!$K$13:$K$15,$AK315)/365*$P315*$K315*Config!$B$8)</f>
        <v/>
      </c>
      <c r="Y315" s="43" t="str">
        <f aca="false">IF(OR($D315="",$N315=""),"",SUM($S315:$X315))</f>
        <v/>
      </c>
      <c r="Z315" s="40" t="str">
        <f aca="false">IF(OR($D315="",$Q315=""),"",$Q315-$Y315)</f>
        <v/>
      </c>
      <c r="AA315" s="42" t="str">
        <f aca="false">IF(OR($D315="",$Z315="",$K315=0),"",$Z315/$K315)</f>
        <v/>
      </c>
      <c r="AB315" s="44" t="str">
        <f aca="false">IF(OR($D315="",$Y315="",$K315=0),"",$Y315/$K315*10000)</f>
        <v/>
      </c>
      <c r="AC315" s="44" t="str">
        <f aca="false">IF(OR($D315="",$G315="",$G315=0,$I315=""),"",IF($E315="LONG",($I315-$G315)/$G315,($G315-$I315)/$G315)*10000)</f>
        <v/>
      </c>
      <c r="AD315" s="45"/>
      <c r="AE315" s="40" t="str">
        <f aca="false">IF(OR($D315="",$N315&lt;&gt;"",$AD315=""),"",IF($E315="LONG",($AD315-$I315)*$J315,($I315-$AD315)*$J315))</f>
        <v/>
      </c>
      <c r="AF315" s="40" t="str">
        <f aca="false">IF(OR($D315="",$E315&lt;&gt;"LONG",$Z315=""),"",$Z315+SUMIFS($Z$4:$Z$503,$B$4:$B$503,$B315,$E$4:$E$503,"SHORT"))</f>
        <v/>
      </c>
      <c r="AG315" s="42" t="str">
        <f aca="false">IF(OR($AF315="",$K315=0),"",$AF315/$K315)</f>
        <v/>
      </c>
      <c r="AH315" s="46"/>
      <c r="AI315" s="43" t="str">
        <f aca="false">IF(OR($D315="",$AH315="",$Z315=""),"",$Z315-$AH315)</f>
        <v/>
      </c>
      <c r="AJ315" s="49"/>
      <c r="AK315" s="47" t="str">
        <f aca="false">IF($D315="","",IFERROR(MATCH($F315,Config!$A$13:$A$15,0),1))</f>
        <v/>
      </c>
      <c r="AL315" s="47" t="str">
        <f aca="false">IF(OR($D315="",$N315=""),"",IF($E315="LONG",$K315,$O315))</f>
        <v/>
      </c>
      <c r="AM315" s="47" t="str">
        <f aca="false">IF(OR($D315="",$N315=""),"",IF($E315="LONG",$O315,$K315))</f>
        <v/>
      </c>
    </row>
    <row r="316" customFormat="false" ht="15" hidden="false" customHeight="false" outlineLevel="0" collapsed="false">
      <c r="A316" s="49"/>
      <c r="B316" s="5" t="str">
        <f aca="false">IF($D316="","",IF(OR(RIGHT($A316,2)="-L",RIGHT($A316,2)="-S"),LEFT($A316,LEN($A316)-2),$A316))</f>
        <v/>
      </c>
      <c r="C316" s="50"/>
      <c r="D316" s="49"/>
      <c r="E316" s="49"/>
      <c r="F316" s="49"/>
      <c r="G316" s="45"/>
      <c r="H316" s="50"/>
      <c r="I316" s="45"/>
      <c r="J316" s="51"/>
      <c r="K316" s="40" t="str">
        <f aca="false">IF($D316="","",$I316*$J316)</f>
        <v/>
      </c>
      <c r="L316" s="50"/>
      <c r="M316" s="49"/>
      <c r="N316" s="45"/>
      <c r="O316" s="40" t="str">
        <f aca="false">IF(OR($D316="",$N316=""),"",$N316*$J316)</f>
        <v/>
      </c>
      <c r="P316" s="41" t="str">
        <f aca="false">IF(OR($D316="",$L316=""),"",MAX($L316-$H316,0))</f>
        <v/>
      </c>
      <c r="Q316" s="40" t="str">
        <f aca="false">IF(OR($D316="",$N316=""),"",IF($E316="LONG",($N316-$I316)*$J316,($I316-$N316)*$J316))</f>
        <v/>
      </c>
      <c r="R316" s="42" t="str">
        <f aca="false">IF(OR($D316="",$Q316="",$K316=0),"",$Q316/$K316)</f>
        <v/>
      </c>
      <c r="S316" s="43" t="str">
        <f aca="false">IF(OR($D316="",$N316=""),"",MIN(INDEX(Config!$C$13:$C$15,$AK316),INDEX(Config!$B$13:$B$15,$AK316)*$K316)+MIN(INDEX(Config!$C$13:$C$15,$AK316),INDEX(Config!$B$13:$B$15,$AK316)*$O316))</f>
        <v/>
      </c>
      <c r="T316" s="43" t="str">
        <f aca="false">IF(OR($D316="",$N316=""),"",INDEX(Config!$D$13:$D$15,$AK316)*$AL316+INDEX(Config!$E$13:$E$15,$AK316)*$AM316)</f>
        <v/>
      </c>
      <c r="U316" s="43" t="str">
        <f aca="false">IF(OR($D316="",$N316=""),"",INDEX(Config!$F$13:$F$15,$AK316)*($K316+$O316))</f>
        <v/>
      </c>
      <c r="V316" s="43" t="str">
        <f aca="false">IF(OR($D316="",$N316=""),"",INDEX(Config!$G$13:$G$15,$AK316)*($K316+$O316)+INDEX(Config!$H$13:$H$15,$AK316)*$AL316+INDEX(Config!$J$13:$J$15,$AK316))</f>
        <v/>
      </c>
      <c r="W316" s="43" t="str">
        <f aca="false">IF(OR($D316="",$N316=""),"",INDEX(Config!$I$13:$I$15,$AK316)*($S316+$U316+INDEX(Config!$G$13:$G$15,$AK316)*($K316+$O316)))</f>
        <v/>
      </c>
      <c r="X316" s="43" t="str">
        <f aca="false">IF(OR($D316="",$N316=""),"",INDEX(Config!$K$13:$K$15,$AK316)/365*$P316*$K316*Config!$B$8)</f>
        <v/>
      </c>
      <c r="Y316" s="43" t="str">
        <f aca="false">IF(OR($D316="",$N316=""),"",SUM($S316:$X316))</f>
        <v/>
      </c>
      <c r="Z316" s="40" t="str">
        <f aca="false">IF(OR($D316="",$Q316=""),"",$Q316-$Y316)</f>
        <v/>
      </c>
      <c r="AA316" s="42" t="str">
        <f aca="false">IF(OR($D316="",$Z316="",$K316=0),"",$Z316/$K316)</f>
        <v/>
      </c>
      <c r="AB316" s="44" t="str">
        <f aca="false">IF(OR($D316="",$Y316="",$K316=0),"",$Y316/$K316*10000)</f>
        <v/>
      </c>
      <c r="AC316" s="44" t="str">
        <f aca="false">IF(OR($D316="",$G316="",$G316=0,$I316=""),"",IF($E316="LONG",($I316-$G316)/$G316,($G316-$I316)/$G316)*10000)</f>
        <v/>
      </c>
      <c r="AD316" s="45"/>
      <c r="AE316" s="40" t="str">
        <f aca="false">IF(OR($D316="",$N316&lt;&gt;"",$AD316=""),"",IF($E316="LONG",($AD316-$I316)*$J316,($I316-$AD316)*$J316))</f>
        <v/>
      </c>
      <c r="AF316" s="40" t="str">
        <f aca="false">IF(OR($D316="",$E316&lt;&gt;"LONG",$Z316=""),"",$Z316+SUMIFS($Z$4:$Z$503,$B$4:$B$503,$B316,$E$4:$E$503,"SHORT"))</f>
        <v/>
      </c>
      <c r="AG316" s="42" t="str">
        <f aca="false">IF(OR($AF316="",$K316=0),"",$AF316/$K316)</f>
        <v/>
      </c>
      <c r="AH316" s="46"/>
      <c r="AI316" s="43" t="str">
        <f aca="false">IF(OR($D316="",$AH316="",$Z316=""),"",$Z316-$AH316)</f>
        <v/>
      </c>
      <c r="AJ316" s="49"/>
      <c r="AK316" s="47" t="str">
        <f aca="false">IF($D316="","",IFERROR(MATCH($F316,Config!$A$13:$A$15,0),1))</f>
        <v/>
      </c>
      <c r="AL316" s="47" t="str">
        <f aca="false">IF(OR($D316="",$N316=""),"",IF($E316="LONG",$K316,$O316))</f>
        <v/>
      </c>
      <c r="AM316" s="47" t="str">
        <f aca="false">IF(OR($D316="",$N316=""),"",IF($E316="LONG",$O316,$K316))</f>
        <v/>
      </c>
    </row>
    <row r="317" customFormat="false" ht="15" hidden="false" customHeight="false" outlineLevel="0" collapsed="false">
      <c r="A317" s="49"/>
      <c r="B317" s="5" t="str">
        <f aca="false">IF($D317="","",IF(OR(RIGHT($A317,2)="-L",RIGHT($A317,2)="-S"),LEFT($A317,LEN($A317)-2),$A317))</f>
        <v/>
      </c>
      <c r="C317" s="50"/>
      <c r="D317" s="49"/>
      <c r="E317" s="49"/>
      <c r="F317" s="49"/>
      <c r="G317" s="45"/>
      <c r="H317" s="50"/>
      <c r="I317" s="45"/>
      <c r="J317" s="51"/>
      <c r="K317" s="40" t="str">
        <f aca="false">IF($D317="","",$I317*$J317)</f>
        <v/>
      </c>
      <c r="L317" s="50"/>
      <c r="M317" s="49"/>
      <c r="N317" s="45"/>
      <c r="O317" s="40" t="str">
        <f aca="false">IF(OR($D317="",$N317=""),"",$N317*$J317)</f>
        <v/>
      </c>
      <c r="P317" s="41" t="str">
        <f aca="false">IF(OR($D317="",$L317=""),"",MAX($L317-$H317,0))</f>
        <v/>
      </c>
      <c r="Q317" s="40" t="str">
        <f aca="false">IF(OR($D317="",$N317=""),"",IF($E317="LONG",($N317-$I317)*$J317,($I317-$N317)*$J317))</f>
        <v/>
      </c>
      <c r="R317" s="42" t="str">
        <f aca="false">IF(OR($D317="",$Q317="",$K317=0),"",$Q317/$K317)</f>
        <v/>
      </c>
      <c r="S317" s="43" t="str">
        <f aca="false">IF(OR($D317="",$N317=""),"",MIN(INDEX(Config!$C$13:$C$15,$AK317),INDEX(Config!$B$13:$B$15,$AK317)*$K317)+MIN(INDEX(Config!$C$13:$C$15,$AK317),INDEX(Config!$B$13:$B$15,$AK317)*$O317))</f>
        <v/>
      </c>
      <c r="T317" s="43" t="str">
        <f aca="false">IF(OR($D317="",$N317=""),"",INDEX(Config!$D$13:$D$15,$AK317)*$AL317+INDEX(Config!$E$13:$E$15,$AK317)*$AM317)</f>
        <v/>
      </c>
      <c r="U317" s="43" t="str">
        <f aca="false">IF(OR($D317="",$N317=""),"",INDEX(Config!$F$13:$F$15,$AK317)*($K317+$O317))</f>
        <v/>
      </c>
      <c r="V317" s="43" t="str">
        <f aca="false">IF(OR($D317="",$N317=""),"",INDEX(Config!$G$13:$G$15,$AK317)*($K317+$O317)+INDEX(Config!$H$13:$H$15,$AK317)*$AL317+INDEX(Config!$J$13:$J$15,$AK317))</f>
        <v/>
      </c>
      <c r="W317" s="43" t="str">
        <f aca="false">IF(OR($D317="",$N317=""),"",INDEX(Config!$I$13:$I$15,$AK317)*($S317+$U317+INDEX(Config!$G$13:$G$15,$AK317)*($K317+$O317)))</f>
        <v/>
      </c>
      <c r="X317" s="43" t="str">
        <f aca="false">IF(OR($D317="",$N317=""),"",INDEX(Config!$K$13:$K$15,$AK317)/365*$P317*$K317*Config!$B$8)</f>
        <v/>
      </c>
      <c r="Y317" s="43" t="str">
        <f aca="false">IF(OR($D317="",$N317=""),"",SUM($S317:$X317))</f>
        <v/>
      </c>
      <c r="Z317" s="40" t="str">
        <f aca="false">IF(OR($D317="",$Q317=""),"",$Q317-$Y317)</f>
        <v/>
      </c>
      <c r="AA317" s="42" t="str">
        <f aca="false">IF(OR($D317="",$Z317="",$K317=0),"",$Z317/$K317)</f>
        <v/>
      </c>
      <c r="AB317" s="44" t="str">
        <f aca="false">IF(OR($D317="",$Y317="",$K317=0),"",$Y317/$K317*10000)</f>
        <v/>
      </c>
      <c r="AC317" s="44" t="str">
        <f aca="false">IF(OR($D317="",$G317="",$G317=0,$I317=""),"",IF($E317="LONG",($I317-$G317)/$G317,($G317-$I317)/$G317)*10000)</f>
        <v/>
      </c>
      <c r="AD317" s="45"/>
      <c r="AE317" s="40" t="str">
        <f aca="false">IF(OR($D317="",$N317&lt;&gt;"",$AD317=""),"",IF($E317="LONG",($AD317-$I317)*$J317,($I317-$AD317)*$J317))</f>
        <v/>
      </c>
      <c r="AF317" s="40" t="str">
        <f aca="false">IF(OR($D317="",$E317&lt;&gt;"LONG",$Z317=""),"",$Z317+SUMIFS($Z$4:$Z$503,$B$4:$B$503,$B317,$E$4:$E$503,"SHORT"))</f>
        <v/>
      </c>
      <c r="AG317" s="42" t="str">
        <f aca="false">IF(OR($AF317="",$K317=0),"",$AF317/$K317)</f>
        <v/>
      </c>
      <c r="AH317" s="46"/>
      <c r="AI317" s="43" t="str">
        <f aca="false">IF(OR($D317="",$AH317="",$Z317=""),"",$Z317-$AH317)</f>
        <v/>
      </c>
      <c r="AJ317" s="49"/>
      <c r="AK317" s="47" t="str">
        <f aca="false">IF($D317="","",IFERROR(MATCH($F317,Config!$A$13:$A$15,0),1))</f>
        <v/>
      </c>
      <c r="AL317" s="47" t="str">
        <f aca="false">IF(OR($D317="",$N317=""),"",IF($E317="LONG",$K317,$O317))</f>
        <v/>
      </c>
      <c r="AM317" s="47" t="str">
        <f aca="false">IF(OR($D317="",$N317=""),"",IF($E317="LONG",$O317,$K317))</f>
        <v/>
      </c>
    </row>
    <row r="318" customFormat="false" ht="15" hidden="false" customHeight="false" outlineLevel="0" collapsed="false">
      <c r="A318" s="49"/>
      <c r="B318" s="5" t="str">
        <f aca="false">IF($D318="","",IF(OR(RIGHT($A318,2)="-L",RIGHT($A318,2)="-S"),LEFT($A318,LEN($A318)-2),$A318))</f>
        <v/>
      </c>
      <c r="C318" s="50"/>
      <c r="D318" s="49"/>
      <c r="E318" s="49"/>
      <c r="F318" s="49"/>
      <c r="G318" s="45"/>
      <c r="H318" s="50"/>
      <c r="I318" s="45"/>
      <c r="J318" s="51"/>
      <c r="K318" s="40" t="str">
        <f aca="false">IF($D318="","",$I318*$J318)</f>
        <v/>
      </c>
      <c r="L318" s="50"/>
      <c r="M318" s="49"/>
      <c r="N318" s="45"/>
      <c r="O318" s="40" t="str">
        <f aca="false">IF(OR($D318="",$N318=""),"",$N318*$J318)</f>
        <v/>
      </c>
      <c r="P318" s="41" t="str">
        <f aca="false">IF(OR($D318="",$L318=""),"",MAX($L318-$H318,0))</f>
        <v/>
      </c>
      <c r="Q318" s="40" t="str">
        <f aca="false">IF(OR($D318="",$N318=""),"",IF($E318="LONG",($N318-$I318)*$J318,($I318-$N318)*$J318))</f>
        <v/>
      </c>
      <c r="R318" s="42" t="str">
        <f aca="false">IF(OR($D318="",$Q318="",$K318=0),"",$Q318/$K318)</f>
        <v/>
      </c>
      <c r="S318" s="43" t="str">
        <f aca="false">IF(OR($D318="",$N318=""),"",MIN(INDEX(Config!$C$13:$C$15,$AK318),INDEX(Config!$B$13:$B$15,$AK318)*$K318)+MIN(INDEX(Config!$C$13:$C$15,$AK318),INDEX(Config!$B$13:$B$15,$AK318)*$O318))</f>
        <v/>
      </c>
      <c r="T318" s="43" t="str">
        <f aca="false">IF(OR($D318="",$N318=""),"",INDEX(Config!$D$13:$D$15,$AK318)*$AL318+INDEX(Config!$E$13:$E$15,$AK318)*$AM318)</f>
        <v/>
      </c>
      <c r="U318" s="43" t="str">
        <f aca="false">IF(OR($D318="",$N318=""),"",INDEX(Config!$F$13:$F$15,$AK318)*($K318+$O318))</f>
        <v/>
      </c>
      <c r="V318" s="43" t="str">
        <f aca="false">IF(OR($D318="",$N318=""),"",INDEX(Config!$G$13:$G$15,$AK318)*($K318+$O318)+INDEX(Config!$H$13:$H$15,$AK318)*$AL318+INDEX(Config!$J$13:$J$15,$AK318))</f>
        <v/>
      </c>
      <c r="W318" s="43" t="str">
        <f aca="false">IF(OR($D318="",$N318=""),"",INDEX(Config!$I$13:$I$15,$AK318)*($S318+$U318+INDEX(Config!$G$13:$G$15,$AK318)*($K318+$O318)))</f>
        <v/>
      </c>
      <c r="X318" s="43" t="str">
        <f aca="false">IF(OR($D318="",$N318=""),"",INDEX(Config!$K$13:$K$15,$AK318)/365*$P318*$K318*Config!$B$8)</f>
        <v/>
      </c>
      <c r="Y318" s="43" t="str">
        <f aca="false">IF(OR($D318="",$N318=""),"",SUM($S318:$X318))</f>
        <v/>
      </c>
      <c r="Z318" s="40" t="str">
        <f aca="false">IF(OR($D318="",$Q318=""),"",$Q318-$Y318)</f>
        <v/>
      </c>
      <c r="AA318" s="42" t="str">
        <f aca="false">IF(OR($D318="",$Z318="",$K318=0),"",$Z318/$K318)</f>
        <v/>
      </c>
      <c r="AB318" s="44" t="str">
        <f aca="false">IF(OR($D318="",$Y318="",$K318=0),"",$Y318/$K318*10000)</f>
        <v/>
      </c>
      <c r="AC318" s="44" t="str">
        <f aca="false">IF(OR($D318="",$G318="",$G318=0,$I318=""),"",IF($E318="LONG",($I318-$G318)/$G318,($G318-$I318)/$G318)*10000)</f>
        <v/>
      </c>
      <c r="AD318" s="45"/>
      <c r="AE318" s="40" t="str">
        <f aca="false">IF(OR($D318="",$N318&lt;&gt;"",$AD318=""),"",IF($E318="LONG",($AD318-$I318)*$J318,($I318-$AD318)*$J318))</f>
        <v/>
      </c>
      <c r="AF318" s="40" t="str">
        <f aca="false">IF(OR($D318="",$E318&lt;&gt;"LONG",$Z318=""),"",$Z318+SUMIFS($Z$4:$Z$503,$B$4:$B$503,$B318,$E$4:$E$503,"SHORT"))</f>
        <v/>
      </c>
      <c r="AG318" s="42" t="str">
        <f aca="false">IF(OR($AF318="",$K318=0),"",$AF318/$K318)</f>
        <v/>
      </c>
      <c r="AH318" s="46"/>
      <c r="AI318" s="43" t="str">
        <f aca="false">IF(OR($D318="",$AH318="",$Z318=""),"",$Z318-$AH318)</f>
        <v/>
      </c>
      <c r="AJ318" s="49"/>
      <c r="AK318" s="47" t="str">
        <f aca="false">IF($D318="","",IFERROR(MATCH($F318,Config!$A$13:$A$15,0),1))</f>
        <v/>
      </c>
      <c r="AL318" s="47" t="str">
        <f aca="false">IF(OR($D318="",$N318=""),"",IF($E318="LONG",$K318,$O318))</f>
        <v/>
      </c>
      <c r="AM318" s="47" t="str">
        <f aca="false">IF(OR($D318="",$N318=""),"",IF($E318="LONG",$O318,$K318))</f>
        <v/>
      </c>
    </row>
    <row r="319" customFormat="false" ht="15" hidden="false" customHeight="false" outlineLevel="0" collapsed="false">
      <c r="A319" s="49"/>
      <c r="B319" s="5" t="str">
        <f aca="false">IF($D319="","",IF(OR(RIGHT($A319,2)="-L",RIGHT($A319,2)="-S"),LEFT($A319,LEN($A319)-2),$A319))</f>
        <v/>
      </c>
      <c r="C319" s="50"/>
      <c r="D319" s="49"/>
      <c r="E319" s="49"/>
      <c r="F319" s="49"/>
      <c r="G319" s="45"/>
      <c r="H319" s="50"/>
      <c r="I319" s="45"/>
      <c r="J319" s="51"/>
      <c r="K319" s="40" t="str">
        <f aca="false">IF($D319="","",$I319*$J319)</f>
        <v/>
      </c>
      <c r="L319" s="50"/>
      <c r="M319" s="49"/>
      <c r="N319" s="45"/>
      <c r="O319" s="40" t="str">
        <f aca="false">IF(OR($D319="",$N319=""),"",$N319*$J319)</f>
        <v/>
      </c>
      <c r="P319" s="41" t="str">
        <f aca="false">IF(OR($D319="",$L319=""),"",MAX($L319-$H319,0))</f>
        <v/>
      </c>
      <c r="Q319" s="40" t="str">
        <f aca="false">IF(OR($D319="",$N319=""),"",IF($E319="LONG",($N319-$I319)*$J319,($I319-$N319)*$J319))</f>
        <v/>
      </c>
      <c r="R319" s="42" t="str">
        <f aca="false">IF(OR($D319="",$Q319="",$K319=0),"",$Q319/$K319)</f>
        <v/>
      </c>
      <c r="S319" s="43" t="str">
        <f aca="false">IF(OR($D319="",$N319=""),"",MIN(INDEX(Config!$C$13:$C$15,$AK319),INDEX(Config!$B$13:$B$15,$AK319)*$K319)+MIN(INDEX(Config!$C$13:$C$15,$AK319),INDEX(Config!$B$13:$B$15,$AK319)*$O319))</f>
        <v/>
      </c>
      <c r="T319" s="43" t="str">
        <f aca="false">IF(OR($D319="",$N319=""),"",INDEX(Config!$D$13:$D$15,$AK319)*$AL319+INDEX(Config!$E$13:$E$15,$AK319)*$AM319)</f>
        <v/>
      </c>
      <c r="U319" s="43" t="str">
        <f aca="false">IF(OR($D319="",$N319=""),"",INDEX(Config!$F$13:$F$15,$AK319)*($K319+$O319))</f>
        <v/>
      </c>
      <c r="V319" s="43" t="str">
        <f aca="false">IF(OR($D319="",$N319=""),"",INDEX(Config!$G$13:$G$15,$AK319)*($K319+$O319)+INDEX(Config!$H$13:$H$15,$AK319)*$AL319+INDEX(Config!$J$13:$J$15,$AK319))</f>
        <v/>
      </c>
      <c r="W319" s="43" t="str">
        <f aca="false">IF(OR($D319="",$N319=""),"",INDEX(Config!$I$13:$I$15,$AK319)*($S319+$U319+INDEX(Config!$G$13:$G$15,$AK319)*($K319+$O319)))</f>
        <v/>
      </c>
      <c r="X319" s="43" t="str">
        <f aca="false">IF(OR($D319="",$N319=""),"",INDEX(Config!$K$13:$K$15,$AK319)/365*$P319*$K319*Config!$B$8)</f>
        <v/>
      </c>
      <c r="Y319" s="43" t="str">
        <f aca="false">IF(OR($D319="",$N319=""),"",SUM($S319:$X319))</f>
        <v/>
      </c>
      <c r="Z319" s="40" t="str">
        <f aca="false">IF(OR($D319="",$Q319=""),"",$Q319-$Y319)</f>
        <v/>
      </c>
      <c r="AA319" s="42" t="str">
        <f aca="false">IF(OR($D319="",$Z319="",$K319=0),"",$Z319/$K319)</f>
        <v/>
      </c>
      <c r="AB319" s="44" t="str">
        <f aca="false">IF(OR($D319="",$Y319="",$K319=0),"",$Y319/$K319*10000)</f>
        <v/>
      </c>
      <c r="AC319" s="44" t="str">
        <f aca="false">IF(OR($D319="",$G319="",$G319=0,$I319=""),"",IF($E319="LONG",($I319-$G319)/$G319,($G319-$I319)/$G319)*10000)</f>
        <v/>
      </c>
      <c r="AD319" s="45"/>
      <c r="AE319" s="40" t="str">
        <f aca="false">IF(OR($D319="",$N319&lt;&gt;"",$AD319=""),"",IF($E319="LONG",($AD319-$I319)*$J319,($I319-$AD319)*$J319))</f>
        <v/>
      </c>
      <c r="AF319" s="40" t="str">
        <f aca="false">IF(OR($D319="",$E319&lt;&gt;"LONG",$Z319=""),"",$Z319+SUMIFS($Z$4:$Z$503,$B$4:$B$503,$B319,$E$4:$E$503,"SHORT"))</f>
        <v/>
      </c>
      <c r="AG319" s="42" t="str">
        <f aca="false">IF(OR($AF319="",$K319=0),"",$AF319/$K319)</f>
        <v/>
      </c>
      <c r="AH319" s="46"/>
      <c r="AI319" s="43" t="str">
        <f aca="false">IF(OR($D319="",$AH319="",$Z319=""),"",$Z319-$AH319)</f>
        <v/>
      </c>
      <c r="AJ319" s="49"/>
      <c r="AK319" s="47" t="str">
        <f aca="false">IF($D319="","",IFERROR(MATCH($F319,Config!$A$13:$A$15,0),1))</f>
        <v/>
      </c>
      <c r="AL319" s="47" t="str">
        <f aca="false">IF(OR($D319="",$N319=""),"",IF($E319="LONG",$K319,$O319))</f>
        <v/>
      </c>
      <c r="AM319" s="47" t="str">
        <f aca="false">IF(OR($D319="",$N319=""),"",IF($E319="LONG",$O319,$K319))</f>
        <v/>
      </c>
    </row>
    <row r="320" customFormat="false" ht="15" hidden="false" customHeight="false" outlineLevel="0" collapsed="false">
      <c r="A320" s="49"/>
      <c r="B320" s="5" t="str">
        <f aca="false">IF($D320="","",IF(OR(RIGHT($A320,2)="-L",RIGHT($A320,2)="-S"),LEFT($A320,LEN($A320)-2),$A320))</f>
        <v/>
      </c>
      <c r="C320" s="50"/>
      <c r="D320" s="49"/>
      <c r="E320" s="49"/>
      <c r="F320" s="49"/>
      <c r="G320" s="45"/>
      <c r="H320" s="50"/>
      <c r="I320" s="45"/>
      <c r="J320" s="51"/>
      <c r="K320" s="40" t="str">
        <f aca="false">IF($D320="","",$I320*$J320)</f>
        <v/>
      </c>
      <c r="L320" s="50"/>
      <c r="M320" s="49"/>
      <c r="N320" s="45"/>
      <c r="O320" s="40" t="str">
        <f aca="false">IF(OR($D320="",$N320=""),"",$N320*$J320)</f>
        <v/>
      </c>
      <c r="P320" s="41" t="str">
        <f aca="false">IF(OR($D320="",$L320=""),"",MAX($L320-$H320,0))</f>
        <v/>
      </c>
      <c r="Q320" s="40" t="str">
        <f aca="false">IF(OR($D320="",$N320=""),"",IF($E320="LONG",($N320-$I320)*$J320,($I320-$N320)*$J320))</f>
        <v/>
      </c>
      <c r="R320" s="42" t="str">
        <f aca="false">IF(OR($D320="",$Q320="",$K320=0),"",$Q320/$K320)</f>
        <v/>
      </c>
      <c r="S320" s="43" t="str">
        <f aca="false">IF(OR($D320="",$N320=""),"",MIN(INDEX(Config!$C$13:$C$15,$AK320),INDEX(Config!$B$13:$B$15,$AK320)*$K320)+MIN(INDEX(Config!$C$13:$C$15,$AK320),INDEX(Config!$B$13:$B$15,$AK320)*$O320))</f>
        <v/>
      </c>
      <c r="T320" s="43" t="str">
        <f aca="false">IF(OR($D320="",$N320=""),"",INDEX(Config!$D$13:$D$15,$AK320)*$AL320+INDEX(Config!$E$13:$E$15,$AK320)*$AM320)</f>
        <v/>
      </c>
      <c r="U320" s="43" t="str">
        <f aca="false">IF(OR($D320="",$N320=""),"",INDEX(Config!$F$13:$F$15,$AK320)*($K320+$O320))</f>
        <v/>
      </c>
      <c r="V320" s="43" t="str">
        <f aca="false">IF(OR($D320="",$N320=""),"",INDEX(Config!$G$13:$G$15,$AK320)*($K320+$O320)+INDEX(Config!$H$13:$H$15,$AK320)*$AL320+INDEX(Config!$J$13:$J$15,$AK320))</f>
        <v/>
      </c>
      <c r="W320" s="43" t="str">
        <f aca="false">IF(OR($D320="",$N320=""),"",INDEX(Config!$I$13:$I$15,$AK320)*($S320+$U320+INDEX(Config!$G$13:$G$15,$AK320)*($K320+$O320)))</f>
        <v/>
      </c>
      <c r="X320" s="43" t="str">
        <f aca="false">IF(OR($D320="",$N320=""),"",INDEX(Config!$K$13:$K$15,$AK320)/365*$P320*$K320*Config!$B$8)</f>
        <v/>
      </c>
      <c r="Y320" s="43" t="str">
        <f aca="false">IF(OR($D320="",$N320=""),"",SUM($S320:$X320))</f>
        <v/>
      </c>
      <c r="Z320" s="40" t="str">
        <f aca="false">IF(OR($D320="",$Q320=""),"",$Q320-$Y320)</f>
        <v/>
      </c>
      <c r="AA320" s="42" t="str">
        <f aca="false">IF(OR($D320="",$Z320="",$K320=0),"",$Z320/$K320)</f>
        <v/>
      </c>
      <c r="AB320" s="44" t="str">
        <f aca="false">IF(OR($D320="",$Y320="",$K320=0),"",$Y320/$K320*10000)</f>
        <v/>
      </c>
      <c r="AC320" s="44" t="str">
        <f aca="false">IF(OR($D320="",$G320="",$G320=0,$I320=""),"",IF($E320="LONG",($I320-$G320)/$G320,($G320-$I320)/$G320)*10000)</f>
        <v/>
      </c>
      <c r="AD320" s="45"/>
      <c r="AE320" s="40" t="str">
        <f aca="false">IF(OR($D320="",$N320&lt;&gt;"",$AD320=""),"",IF($E320="LONG",($AD320-$I320)*$J320,($I320-$AD320)*$J320))</f>
        <v/>
      </c>
      <c r="AF320" s="40" t="str">
        <f aca="false">IF(OR($D320="",$E320&lt;&gt;"LONG",$Z320=""),"",$Z320+SUMIFS($Z$4:$Z$503,$B$4:$B$503,$B320,$E$4:$E$503,"SHORT"))</f>
        <v/>
      </c>
      <c r="AG320" s="42" t="str">
        <f aca="false">IF(OR($AF320="",$K320=0),"",$AF320/$K320)</f>
        <v/>
      </c>
      <c r="AH320" s="46"/>
      <c r="AI320" s="43" t="str">
        <f aca="false">IF(OR($D320="",$AH320="",$Z320=""),"",$Z320-$AH320)</f>
        <v/>
      </c>
      <c r="AJ320" s="49"/>
      <c r="AK320" s="47" t="str">
        <f aca="false">IF($D320="","",IFERROR(MATCH($F320,Config!$A$13:$A$15,0),1))</f>
        <v/>
      </c>
      <c r="AL320" s="47" t="str">
        <f aca="false">IF(OR($D320="",$N320=""),"",IF($E320="LONG",$K320,$O320))</f>
        <v/>
      </c>
      <c r="AM320" s="47" t="str">
        <f aca="false">IF(OR($D320="",$N320=""),"",IF($E320="LONG",$O320,$K320))</f>
        <v/>
      </c>
    </row>
    <row r="321" customFormat="false" ht="15" hidden="false" customHeight="false" outlineLevel="0" collapsed="false">
      <c r="A321" s="49"/>
      <c r="B321" s="5" t="str">
        <f aca="false">IF($D321="","",IF(OR(RIGHT($A321,2)="-L",RIGHT($A321,2)="-S"),LEFT($A321,LEN($A321)-2),$A321))</f>
        <v/>
      </c>
      <c r="C321" s="50"/>
      <c r="D321" s="49"/>
      <c r="E321" s="49"/>
      <c r="F321" s="49"/>
      <c r="G321" s="45"/>
      <c r="H321" s="50"/>
      <c r="I321" s="45"/>
      <c r="J321" s="51"/>
      <c r="K321" s="40" t="str">
        <f aca="false">IF($D321="","",$I321*$J321)</f>
        <v/>
      </c>
      <c r="L321" s="50"/>
      <c r="M321" s="49"/>
      <c r="N321" s="45"/>
      <c r="O321" s="40" t="str">
        <f aca="false">IF(OR($D321="",$N321=""),"",$N321*$J321)</f>
        <v/>
      </c>
      <c r="P321" s="41" t="str">
        <f aca="false">IF(OR($D321="",$L321=""),"",MAX($L321-$H321,0))</f>
        <v/>
      </c>
      <c r="Q321" s="40" t="str">
        <f aca="false">IF(OR($D321="",$N321=""),"",IF($E321="LONG",($N321-$I321)*$J321,($I321-$N321)*$J321))</f>
        <v/>
      </c>
      <c r="R321" s="42" t="str">
        <f aca="false">IF(OR($D321="",$Q321="",$K321=0),"",$Q321/$K321)</f>
        <v/>
      </c>
      <c r="S321" s="43" t="str">
        <f aca="false">IF(OR($D321="",$N321=""),"",MIN(INDEX(Config!$C$13:$C$15,$AK321),INDEX(Config!$B$13:$B$15,$AK321)*$K321)+MIN(INDEX(Config!$C$13:$C$15,$AK321),INDEX(Config!$B$13:$B$15,$AK321)*$O321))</f>
        <v/>
      </c>
      <c r="T321" s="43" t="str">
        <f aca="false">IF(OR($D321="",$N321=""),"",INDEX(Config!$D$13:$D$15,$AK321)*$AL321+INDEX(Config!$E$13:$E$15,$AK321)*$AM321)</f>
        <v/>
      </c>
      <c r="U321" s="43" t="str">
        <f aca="false">IF(OR($D321="",$N321=""),"",INDEX(Config!$F$13:$F$15,$AK321)*($K321+$O321))</f>
        <v/>
      </c>
      <c r="V321" s="43" t="str">
        <f aca="false">IF(OR($D321="",$N321=""),"",INDEX(Config!$G$13:$G$15,$AK321)*($K321+$O321)+INDEX(Config!$H$13:$H$15,$AK321)*$AL321+INDEX(Config!$J$13:$J$15,$AK321))</f>
        <v/>
      </c>
      <c r="W321" s="43" t="str">
        <f aca="false">IF(OR($D321="",$N321=""),"",INDEX(Config!$I$13:$I$15,$AK321)*($S321+$U321+INDEX(Config!$G$13:$G$15,$AK321)*($K321+$O321)))</f>
        <v/>
      </c>
      <c r="X321" s="43" t="str">
        <f aca="false">IF(OR($D321="",$N321=""),"",INDEX(Config!$K$13:$K$15,$AK321)/365*$P321*$K321*Config!$B$8)</f>
        <v/>
      </c>
      <c r="Y321" s="43" t="str">
        <f aca="false">IF(OR($D321="",$N321=""),"",SUM($S321:$X321))</f>
        <v/>
      </c>
      <c r="Z321" s="40" t="str">
        <f aca="false">IF(OR($D321="",$Q321=""),"",$Q321-$Y321)</f>
        <v/>
      </c>
      <c r="AA321" s="42" t="str">
        <f aca="false">IF(OR($D321="",$Z321="",$K321=0),"",$Z321/$K321)</f>
        <v/>
      </c>
      <c r="AB321" s="44" t="str">
        <f aca="false">IF(OR($D321="",$Y321="",$K321=0),"",$Y321/$K321*10000)</f>
        <v/>
      </c>
      <c r="AC321" s="44" t="str">
        <f aca="false">IF(OR($D321="",$G321="",$G321=0,$I321=""),"",IF($E321="LONG",($I321-$G321)/$G321,($G321-$I321)/$G321)*10000)</f>
        <v/>
      </c>
      <c r="AD321" s="45"/>
      <c r="AE321" s="40" t="str">
        <f aca="false">IF(OR($D321="",$N321&lt;&gt;"",$AD321=""),"",IF($E321="LONG",($AD321-$I321)*$J321,($I321-$AD321)*$J321))</f>
        <v/>
      </c>
      <c r="AF321" s="40" t="str">
        <f aca="false">IF(OR($D321="",$E321&lt;&gt;"LONG",$Z321=""),"",$Z321+SUMIFS($Z$4:$Z$503,$B$4:$B$503,$B321,$E$4:$E$503,"SHORT"))</f>
        <v/>
      </c>
      <c r="AG321" s="42" t="str">
        <f aca="false">IF(OR($AF321="",$K321=0),"",$AF321/$K321)</f>
        <v/>
      </c>
      <c r="AH321" s="46"/>
      <c r="AI321" s="43" t="str">
        <f aca="false">IF(OR($D321="",$AH321="",$Z321=""),"",$Z321-$AH321)</f>
        <v/>
      </c>
      <c r="AJ321" s="49"/>
      <c r="AK321" s="47" t="str">
        <f aca="false">IF($D321="","",IFERROR(MATCH($F321,Config!$A$13:$A$15,0),1))</f>
        <v/>
      </c>
      <c r="AL321" s="47" t="str">
        <f aca="false">IF(OR($D321="",$N321=""),"",IF($E321="LONG",$K321,$O321))</f>
        <v/>
      </c>
      <c r="AM321" s="47" t="str">
        <f aca="false">IF(OR($D321="",$N321=""),"",IF($E321="LONG",$O321,$K321))</f>
        <v/>
      </c>
    </row>
    <row r="322" customFormat="false" ht="15" hidden="false" customHeight="false" outlineLevel="0" collapsed="false">
      <c r="A322" s="49"/>
      <c r="B322" s="5" t="str">
        <f aca="false">IF($D322="","",IF(OR(RIGHT($A322,2)="-L",RIGHT($A322,2)="-S"),LEFT($A322,LEN($A322)-2),$A322))</f>
        <v/>
      </c>
      <c r="C322" s="50"/>
      <c r="D322" s="49"/>
      <c r="E322" s="49"/>
      <c r="F322" s="49"/>
      <c r="G322" s="45"/>
      <c r="H322" s="50"/>
      <c r="I322" s="45"/>
      <c r="J322" s="51"/>
      <c r="K322" s="40" t="str">
        <f aca="false">IF($D322="","",$I322*$J322)</f>
        <v/>
      </c>
      <c r="L322" s="50"/>
      <c r="M322" s="49"/>
      <c r="N322" s="45"/>
      <c r="O322" s="40" t="str">
        <f aca="false">IF(OR($D322="",$N322=""),"",$N322*$J322)</f>
        <v/>
      </c>
      <c r="P322" s="41" t="str">
        <f aca="false">IF(OR($D322="",$L322=""),"",MAX($L322-$H322,0))</f>
        <v/>
      </c>
      <c r="Q322" s="40" t="str">
        <f aca="false">IF(OR($D322="",$N322=""),"",IF($E322="LONG",($N322-$I322)*$J322,($I322-$N322)*$J322))</f>
        <v/>
      </c>
      <c r="R322" s="42" t="str">
        <f aca="false">IF(OR($D322="",$Q322="",$K322=0),"",$Q322/$K322)</f>
        <v/>
      </c>
      <c r="S322" s="43" t="str">
        <f aca="false">IF(OR($D322="",$N322=""),"",MIN(INDEX(Config!$C$13:$C$15,$AK322),INDEX(Config!$B$13:$B$15,$AK322)*$K322)+MIN(INDEX(Config!$C$13:$C$15,$AK322),INDEX(Config!$B$13:$B$15,$AK322)*$O322))</f>
        <v/>
      </c>
      <c r="T322" s="43" t="str">
        <f aca="false">IF(OR($D322="",$N322=""),"",INDEX(Config!$D$13:$D$15,$AK322)*$AL322+INDEX(Config!$E$13:$E$15,$AK322)*$AM322)</f>
        <v/>
      </c>
      <c r="U322" s="43" t="str">
        <f aca="false">IF(OR($D322="",$N322=""),"",INDEX(Config!$F$13:$F$15,$AK322)*($K322+$O322))</f>
        <v/>
      </c>
      <c r="V322" s="43" t="str">
        <f aca="false">IF(OR($D322="",$N322=""),"",INDEX(Config!$G$13:$G$15,$AK322)*($K322+$O322)+INDEX(Config!$H$13:$H$15,$AK322)*$AL322+INDEX(Config!$J$13:$J$15,$AK322))</f>
        <v/>
      </c>
      <c r="W322" s="43" t="str">
        <f aca="false">IF(OR($D322="",$N322=""),"",INDEX(Config!$I$13:$I$15,$AK322)*($S322+$U322+INDEX(Config!$G$13:$G$15,$AK322)*($K322+$O322)))</f>
        <v/>
      </c>
      <c r="X322" s="43" t="str">
        <f aca="false">IF(OR($D322="",$N322=""),"",INDEX(Config!$K$13:$K$15,$AK322)/365*$P322*$K322*Config!$B$8)</f>
        <v/>
      </c>
      <c r="Y322" s="43" t="str">
        <f aca="false">IF(OR($D322="",$N322=""),"",SUM($S322:$X322))</f>
        <v/>
      </c>
      <c r="Z322" s="40" t="str">
        <f aca="false">IF(OR($D322="",$Q322=""),"",$Q322-$Y322)</f>
        <v/>
      </c>
      <c r="AA322" s="42" t="str">
        <f aca="false">IF(OR($D322="",$Z322="",$K322=0),"",$Z322/$K322)</f>
        <v/>
      </c>
      <c r="AB322" s="44" t="str">
        <f aca="false">IF(OR($D322="",$Y322="",$K322=0),"",$Y322/$K322*10000)</f>
        <v/>
      </c>
      <c r="AC322" s="44" t="str">
        <f aca="false">IF(OR($D322="",$G322="",$G322=0,$I322=""),"",IF($E322="LONG",($I322-$G322)/$G322,($G322-$I322)/$G322)*10000)</f>
        <v/>
      </c>
      <c r="AD322" s="45"/>
      <c r="AE322" s="40" t="str">
        <f aca="false">IF(OR($D322="",$N322&lt;&gt;"",$AD322=""),"",IF($E322="LONG",($AD322-$I322)*$J322,($I322-$AD322)*$J322))</f>
        <v/>
      </c>
      <c r="AF322" s="40" t="str">
        <f aca="false">IF(OR($D322="",$E322&lt;&gt;"LONG",$Z322=""),"",$Z322+SUMIFS($Z$4:$Z$503,$B$4:$B$503,$B322,$E$4:$E$503,"SHORT"))</f>
        <v/>
      </c>
      <c r="AG322" s="42" t="str">
        <f aca="false">IF(OR($AF322="",$K322=0),"",$AF322/$K322)</f>
        <v/>
      </c>
      <c r="AH322" s="46"/>
      <c r="AI322" s="43" t="str">
        <f aca="false">IF(OR($D322="",$AH322="",$Z322=""),"",$Z322-$AH322)</f>
        <v/>
      </c>
      <c r="AJ322" s="49"/>
      <c r="AK322" s="47" t="str">
        <f aca="false">IF($D322="","",IFERROR(MATCH($F322,Config!$A$13:$A$15,0),1))</f>
        <v/>
      </c>
      <c r="AL322" s="47" t="str">
        <f aca="false">IF(OR($D322="",$N322=""),"",IF($E322="LONG",$K322,$O322))</f>
        <v/>
      </c>
      <c r="AM322" s="47" t="str">
        <f aca="false">IF(OR($D322="",$N322=""),"",IF($E322="LONG",$O322,$K322))</f>
        <v/>
      </c>
    </row>
    <row r="323" customFormat="false" ht="15" hidden="false" customHeight="false" outlineLevel="0" collapsed="false">
      <c r="A323" s="49"/>
      <c r="B323" s="5" t="str">
        <f aca="false">IF($D323="","",IF(OR(RIGHT($A323,2)="-L",RIGHT($A323,2)="-S"),LEFT($A323,LEN($A323)-2),$A323))</f>
        <v/>
      </c>
      <c r="C323" s="50"/>
      <c r="D323" s="49"/>
      <c r="E323" s="49"/>
      <c r="F323" s="49"/>
      <c r="G323" s="45"/>
      <c r="H323" s="50"/>
      <c r="I323" s="45"/>
      <c r="J323" s="51"/>
      <c r="K323" s="40" t="str">
        <f aca="false">IF($D323="","",$I323*$J323)</f>
        <v/>
      </c>
      <c r="L323" s="50"/>
      <c r="M323" s="49"/>
      <c r="N323" s="45"/>
      <c r="O323" s="40" t="str">
        <f aca="false">IF(OR($D323="",$N323=""),"",$N323*$J323)</f>
        <v/>
      </c>
      <c r="P323" s="41" t="str">
        <f aca="false">IF(OR($D323="",$L323=""),"",MAX($L323-$H323,0))</f>
        <v/>
      </c>
      <c r="Q323" s="40" t="str">
        <f aca="false">IF(OR($D323="",$N323=""),"",IF($E323="LONG",($N323-$I323)*$J323,($I323-$N323)*$J323))</f>
        <v/>
      </c>
      <c r="R323" s="42" t="str">
        <f aca="false">IF(OR($D323="",$Q323="",$K323=0),"",$Q323/$K323)</f>
        <v/>
      </c>
      <c r="S323" s="43" t="str">
        <f aca="false">IF(OR($D323="",$N323=""),"",MIN(INDEX(Config!$C$13:$C$15,$AK323),INDEX(Config!$B$13:$B$15,$AK323)*$K323)+MIN(INDEX(Config!$C$13:$C$15,$AK323),INDEX(Config!$B$13:$B$15,$AK323)*$O323))</f>
        <v/>
      </c>
      <c r="T323" s="43" t="str">
        <f aca="false">IF(OR($D323="",$N323=""),"",INDEX(Config!$D$13:$D$15,$AK323)*$AL323+INDEX(Config!$E$13:$E$15,$AK323)*$AM323)</f>
        <v/>
      </c>
      <c r="U323" s="43" t="str">
        <f aca="false">IF(OR($D323="",$N323=""),"",INDEX(Config!$F$13:$F$15,$AK323)*($K323+$O323))</f>
        <v/>
      </c>
      <c r="V323" s="43" t="str">
        <f aca="false">IF(OR($D323="",$N323=""),"",INDEX(Config!$G$13:$G$15,$AK323)*($K323+$O323)+INDEX(Config!$H$13:$H$15,$AK323)*$AL323+INDEX(Config!$J$13:$J$15,$AK323))</f>
        <v/>
      </c>
      <c r="W323" s="43" t="str">
        <f aca="false">IF(OR($D323="",$N323=""),"",INDEX(Config!$I$13:$I$15,$AK323)*($S323+$U323+INDEX(Config!$G$13:$G$15,$AK323)*($K323+$O323)))</f>
        <v/>
      </c>
      <c r="X323" s="43" t="str">
        <f aca="false">IF(OR($D323="",$N323=""),"",INDEX(Config!$K$13:$K$15,$AK323)/365*$P323*$K323*Config!$B$8)</f>
        <v/>
      </c>
      <c r="Y323" s="43" t="str">
        <f aca="false">IF(OR($D323="",$N323=""),"",SUM($S323:$X323))</f>
        <v/>
      </c>
      <c r="Z323" s="40" t="str">
        <f aca="false">IF(OR($D323="",$Q323=""),"",$Q323-$Y323)</f>
        <v/>
      </c>
      <c r="AA323" s="42" t="str">
        <f aca="false">IF(OR($D323="",$Z323="",$K323=0),"",$Z323/$K323)</f>
        <v/>
      </c>
      <c r="AB323" s="44" t="str">
        <f aca="false">IF(OR($D323="",$Y323="",$K323=0),"",$Y323/$K323*10000)</f>
        <v/>
      </c>
      <c r="AC323" s="44" t="str">
        <f aca="false">IF(OR($D323="",$G323="",$G323=0,$I323=""),"",IF($E323="LONG",($I323-$G323)/$G323,($G323-$I323)/$G323)*10000)</f>
        <v/>
      </c>
      <c r="AD323" s="45"/>
      <c r="AE323" s="40" t="str">
        <f aca="false">IF(OR($D323="",$N323&lt;&gt;"",$AD323=""),"",IF($E323="LONG",($AD323-$I323)*$J323,($I323-$AD323)*$J323))</f>
        <v/>
      </c>
      <c r="AF323" s="40" t="str">
        <f aca="false">IF(OR($D323="",$E323&lt;&gt;"LONG",$Z323=""),"",$Z323+SUMIFS($Z$4:$Z$503,$B$4:$B$503,$B323,$E$4:$E$503,"SHORT"))</f>
        <v/>
      </c>
      <c r="AG323" s="42" t="str">
        <f aca="false">IF(OR($AF323="",$K323=0),"",$AF323/$K323)</f>
        <v/>
      </c>
      <c r="AH323" s="46"/>
      <c r="AI323" s="43" t="str">
        <f aca="false">IF(OR($D323="",$AH323="",$Z323=""),"",$Z323-$AH323)</f>
        <v/>
      </c>
      <c r="AJ323" s="49"/>
      <c r="AK323" s="47" t="str">
        <f aca="false">IF($D323="","",IFERROR(MATCH($F323,Config!$A$13:$A$15,0),1))</f>
        <v/>
      </c>
      <c r="AL323" s="47" t="str">
        <f aca="false">IF(OR($D323="",$N323=""),"",IF($E323="LONG",$K323,$O323))</f>
        <v/>
      </c>
      <c r="AM323" s="47" t="str">
        <f aca="false">IF(OR($D323="",$N323=""),"",IF($E323="LONG",$O323,$K323))</f>
        <v/>
      </c>
    </row>
    <row r="324" customFormat="false" ht="15" hidden="false" customHeight="false" outlineLevel="0" collapsed="false">
      <c r="A324" s="49"/>
      <c r="B324" s="5" t="str">
        <f aca="false">IF($D324="","",IF(OR(RIGHT($A324,2)="-L",RIGHT($A324,2)="-S"),LEFT($A324,LEN($A324)-2),$A324))</f>
        <v/>
      </c>
      <c r="C324" s="50"/>
      <c r="D324" s="49"/>
      <c r="E324" s="49"/>
      <c r="F324" s="49"/>
      <c r="G324" s="45"/>
      <c r="H324" s="50"/>
      <c r="I324" s="45"/>
      <c r="J324" s="51"/>
      <c r="K324" s="40" t="str">
        <f aca="false">IF($D324="","",$I324*$J324)</f>
        <v/>
      </c>
      <c r="L324" s="50"/>
      <c r="M324" s="49"/>
      <c r="N324" s="45"/>
      <c r="O324" s="40" t="str">
        <f aca="false">IF(OR($D324="",$N324=""),"",$N324*$J324)</f>
        <v/>
      </c>
      <c r="P324" s="41" t="str">
        <f aca="false">IF(OR($D324="",$L324=""),"",MAX($L324-$H324,0))</f>
        <v/>
      </c>
      <c r="Q324" s="40" t="str">
        <f aca="false">IF(OR($D324="",$N324=""),"",IF($E324="LONG",($N324-$I324)*$J324,($I324-$N324)*$J324))</f>
        <v/>
      </c>
      <c r="R324" s="42" t="str">
        <f aca="false">IF(OR($D324="",$Q324="",$K324=0),"",$Q324/$K324)</f>
        <v/>
      </c>
      <c r="S324" s="43" t="str">
        <f aca="false">IF(OR($D324="",$N324=""),"",MIN(INDEX(Config!$C$13:$C$15,$AK324),INDEX(Config!$B$13:$B$15,$AK324)*$K324)+MIN(INDEX(Config!$C$13:$C$15,$AK324),INDEX(Config!$B$13:$B$15,$AK324)*$O324))</f>
        <v/>
      </c>
      <c r="T324" s="43" t="str">
        <f aca="false">IF(OR($D324="",$N324=""),"",INDEX(Config!$D$13:$D$15,$AK324)*$AL324+INDEX(Config!$E$13:$E$15,$AK324)*$AM324)</f>
        <v/>
      </c>
      <c r="U324" s="43" t="str">
        <f aca="false">IF(OR($D324="",$N324=""),"",INDEX(Config!$F$13:$F$15,$AK324)*($K324+$O324))</f>
        <v/>
      </c>
      <c r="V324" s="43" t="str">
        <f aca="false">IF(OR($D324="",$N324=""),"",INDEX(Config!$G$13:$G$15,$AK324)*($K324+$O324)+INDEX(Config!$H$13:$H$15,$AK324)*$AL324+INDEX(Config!$J$13:$J$15,$AK324))</f>
        <v/>
      </c>
      <c r="W324" s="43" t="str">
        <f aca="false">IF(OR($D324="",$N324=""),"",INDEX(Config!$I$13:$I$15,$AK324)*($S324+$U324+INDEX(Config!$G$13:$G$15,$AK324)*($K324+$O324)))</f>
        <v/>
      </c>
      <c r="X324" s="43" t="str">
        <f aca="false">IF(OR($D324="",$N324=""),"",INDEX(Config!$K$13:$K$15,$AK324)/365*$P324*$K324*Config!$B$8)</f>
        <v/>
      </c>
      <c r="Y324" s="43" t="str">
        <f aca="false">IF(OR($D324="",$N324=""),"",SUM($S324:$X324))</f>
        <v/>
      </c>
      <c r="Z324" s="40" t="str">
        <f aca="false">IF(OR($D324="",$Q324=""),"",$Q324-$Y324)</f>
        <v/>
      </c>
      <c r="AA324" s="42" t="str">
        <f aca="false">IF(OR($D324="",$Z324="",$K324=0),"",$Z324/$K324)</f>
        <v/>
      </c>
      <c r="AB324" s="44" t="str">
        <f aca="false">IF(OR($D324="",$Y324="",$K324=0),"",$Y324/$K324*10000)</f>
        <v/>
      </c>
      <c r="AC324" s="44" t="str">
        <f aca="false">IF(OR($D324="",$G324="",$G324=0,$I324=""),"",IF($E324="LONG",($I324-$G324)/$G324,($G324-$I324)/$G324)*10000)</f>
        <v/>
      </c>
      <c r="AD324" s="45"/>
      <c r="AE324" s="40" t="str">
        <f aca="false">IF(OR($D324="",$N324&lt;&gt;"",$AD324=""),"",IF($E324="LONG",($AD324-$I324)*$J324,($I324-$AD324)*$J324))</f>
        <v/>
      </c>
      <c r="AF324" s="40" t="str">
        <f aca="false">IF(OR($D324="",$E324&lt;&gt;"LONG",$Z324=""),"",$Z324+SUMIFS($Z$4:$Z$503,$B$4:$B$503,$B324,$E$4:$E$503,"SHORT"))</f>
        <v/>
      </c>
      <c r="AG324" s="42" t="str">
        <f aca="false">IF(OR($AF324="",$K324=0),"",$AF324/$K324)</f>
        <v/>
      </c>
      <c r="AH324" s="46"/>
      <c r="AI324" s="43" t="str">
        <f aca="false">IF(OR($D324="",$AH324="",$Z324=""),"",$Z324-$AH324)</f>
        <v/>
      </c>
      <c r="AJ324" s="49"/>
      <c r="AK324" s="47" t="str">
        <f aca="false">IF($D324="","",IFERROR(MATCH($F324,Config!$A$13:$A$15,0),1))</f>
        <v/>
      </c>
      <c r="AL324" s="47" t="str">
        <f aca="false">IF(OR($D324="",$N324=""),"",IF($E324="LONG",$K324,$O324))</f>
        <v/>
      </c>
      <c r="AM324" s="47" t="str">
        <f aca="false">IF(OR($D324="",$N324=""),"",IF($E324="LONG",$O324,$K324))</f>
        <v/>
      </c>
    </row>
    <row r="325" customFormat="false" ht="15" hidden="false" customHeight="false" outlineLevel="0" collapsed="false">
      <c r="A325" s="49"/>
      <c r="B325" s="5" t="str">
        <f aca="false">IF($D325="","",IF(OR(RIGHT($A325,2)="-L",RIGHT($A325,2)="-S"),LEFT($A325,LEN($A325)-2),$A325))</f>
        <v/>
      </c>
      <c r="C325" s="50"/>
      <c r="D325" s="49"/>
      <c r="E325" s="49"/>
      <c r="F325" s="49"/>
      <c r="G325" s="45"/>
      <c r="H325" s="50"/>
      <c r="I325" s="45"/>
      <c r="J325" s="51"/>
      <c r="K325" s="40" t="str">
        <f aca="false">IF($D325="","",$I325*$J325)</f>
        <v/>
      </c>
      <c r="L325" s="50"/>
      <c r="M325" s="49"/>
      <c r="N325" s="45"/>
      <c r="O325" s="40" t="str">
        <f aca="false">IF(OR($D325="",$N325=""),"",$N325*$J325)</f>
        <v/>
      </c>
      <c r="P325" s="41" t="str">
        <f aca="false">IF(OR($D325="",$L325=""),"",MAX($L325-$H325,0))</f>
        <v/>
      </c>
      <c r="Q325" s="40" t="str">
        <f aca="false">IF(OR($D325="",$N325=""),"",IF($E325="LONG",($N325-$I325)*$J325,($I325-$N325)*$J325))</f>
        <v/>
      </c>
      <c r="R325" s="42" t="str">
        <f aca="false">IF(OR($D325="",$Q325="",$K325=0),"",$Q325/$K325)</f>
        <v/>
      </c>
      <c r="S325" s="43" t="str">
        <f aca="false">IF(OR($D325="",$N325=""),"",MIN(INDEX(Config!$C$13:$C$15,$AK325),INDEX(Config!$B$13:$B$15,$AK325)*$K325)+MIN(INDEX(Config!$C$13:$C$15,$AK325),INDEX(Config!$B$13:$B$15,$AK325)*$O325))</f>
        <v/>
      </c>
      <c r="T325" s="43" t="str">
        <f aca="false">IF(OR($D325="",$N325=""),"",INDEX(Config!$D$13:$D$15,$AK325)*$AL325+INDEX(Config!$E$13:$E$15,$AK325)*$AM325)</f>
        <v/>
      </c>
      <c r="U325" s="43" t="str">
        <f aca="false">IF(OR($D325="",$N325=""),"",INDEX(Config!$F$13:$F$15,$AK325)*($K325+$O325))</f>
        <v/>
      </c>
      <c r="V325" s="43" t="str">
        <f aca="false">IF(OR($D325="",$N325=""),"",INDEX(Config!$G$13:$G$15,$AK325)*($K325+$O325)+INDEX(Config!$H$13:$H$15,$AK325)*$AL325+INDEX(Config!$J$13:$J$15,$AK325))</f>
        <v/>
      </c>
      <c r="W325" s="43" t="str">
        <f aca="false">IF(OR($D325="",$N325=""),"",INDEX(Config!$I$13:$I$15,$AK325)*($S325+$U325+INDEX(Config!$G$13:$G$15,$AK325)*($K325+$O325)))</f>
        <v/>
      </c>
      <c r="X325" s="43" t="str">
        <f aca="false">IF(OR($D325="",$N325=""),"",INDEX(Config!$K$13:$K$15,$AK325)/365*$P325*$K325*Config!$B$8)</f>
        <v/>
      </c>
      <c r="Y325" s="43" t="str">
        <f aca="false">IF(OR($D325="",$N325=""),"",SUM($S325:$X325))</f>
        <v/>
      </c>
      <c r="Z325" s="40" t="str">
        <f aca="false">IF(OR($D325="",$Q325=""),"",$Q325-$Y325)</f>
        <v/>
      </c>
      <c r="AA325" s="42" t="str">
        <f aca="false">IF(OR($D325="",$Z325="",$K325=0),"",$Z325/$K325)</f>
        <v/>
      </c>
      <c r="AB325" s="44" t="str">
        <f aca="false">IF(OR($D325="",$Y325="",$K325=0),"",$Y325/$K325*10000)</f>
        <v/>
      </c>
      <c r="AC325" s="44" t="str">
        <f aca="false">IF(OR($D325="",$G325="",$G325=0,$I325=""),"",IF($E325="LONG",($I325-$G325)/$G325,($G325-$I325)/$G325)*10000)</f>
        <v/>
      </c>
      <c r="AD325" s="45"/>
      <c r="AE325" s="40" t="str">
        <f aca="false">IF(OR($D325="",$N325&lt;&gt;"",$AD325=""),"",IF($E325="LONG",($AD325-$I325)*$J325,($I325-$AD325)*$J325))</f>
        <v/>
      </c>
      <c r="AF325" s="40" t="str">
        <f aca="false">IF(OR($D325="",$E325&lt;&gt;"LONG",$Z325=""),"",$Z325+SUMIFS($Z$4:$Z$503,$B$4:$B$503,$B325,$E$4:$E$503,"SHORT"))</f>
        <v/>
      </c>
      <c r="AG325" s="42" t="str">
        <f aca="false">IF(OR($AF325="",$K325=0),"",$AF325/$K325)</f>
        <v/>
      </c>
      <c r="AH325" s="46"/>
      <c r="AI325" s="43" t="str">
        <f aca="false">IF(OR($D325="",$AH325="",$Z325=""),"",$Z325-$AH325)</f>
        <v/>
      </c>
      <c r="AJ325" s="49"/>
      <c r="AK325" s="47" t="str">
        <f aca="false">IF($D325="","",IFERROR(MATCH($F325,Config!$A$13:$A$15,0),1))</f>
        <v/>
      </c>
      <c r="AL325" s="47" t="str">
        <f aca="false">IF(OR($D325="",$N325=""),"",IF($E325="LONG",$K325,$O325))</f>
        <v/>
      </c>
      <c r="AM325" s="47" t="str">
        <f aca="false">IF(OR($D325="",$N325=""),"",IF($E325="LONG",$O325,$K325))</f>
        <v/>
      </c>
    </row>
    <row r="326" customFormat="false" ht="15" hidden="false" customHeight="false" outlineLevel="0" collapsed="false">
      <c r="A326" s="49"/>
      <c r="B326" s="5" t="str">
        <f aca="false">IF($D326="","",IF(OR(RIGHT($A326,2)="-L",RIGHT($A326,2)="-S"),LEFT($A326,LEN($A326)-2),$A326))</f>
        <v/>
      </c>
      <c r="C326" s="50"/>
      <c r="D326" s="49"/>
      <c r="E326" s="49"/>
      <c r="F326" s="49"/>
      <c r="G326" s="45"/>
      <c r="H326" s="50"/>
      <c r="I326" s="45"/>
      <c r="J326" s="51"/>
      <c r="K326" s="40" t="str">
        <f aca="false">IF($D326="","",$I326*$J326)</f>
        <v/>
      </c>
      <c r="L326" s="50"/>
      <c r="M326" s="49"/>
      <c r="N326" s="45"/>
      <c r="O326" s="40" t="str">
        <f aca="false">IF(OR($D326="",$N326=""),"",$N326*$J326)</f>
        <v/>
      </c>
      <c r="P326" s="41" t="str">
        <f aca="false">IF(OR($D326="",$L326=""),"",MAX($L326-$H326,0))</f>
        <v/>
      </c>
      <c r="Q326" s="40" t="str">
        <f aca="false">IF(OR($D326="",$N326=""),"",IF($E326="LONG",($N326-$I326)*$J326,($I326-$N326)*$J326))</f>
        <v/>
      </c>
      <c r="R326" s="42" t="str">
        <f aca="false">IF(OR($D326="",$Q326="",$K326=0),"",$Q326/$K326)</f>
        <v/>
      </c>
      <c r="S326" s="43" t="str">
        <f aca="false">IF(OR($D326="",$N326=""),"",MIN(INDEX(Config!$C$13:$C$15,$AK326),INDEX(Config!$B$13:$B$15,$AK326)*$K326)+MIN(INDEX(Config!$C$13:$C$15,$AK326),INDEX(Config!$B$13:$B$15,$AK326)*$O326))</f>
        <v/>
      </c>
      <c r="T326" s="43" t="str">
        <f aca="false">IF(OR($D326="",$N326=""),"",INDEX(Config!$D$13:$D$15,$AK326)*$AL326+INDEX(Config!$E$13:$E$15,$AK326)*$AM326)</f>
        <v/>
      </c>
      <c r="U326" s="43" t="str">
        <f aca="false">IF(OR($D326="",$N326=""),"",INDEX(Config!$F$13:$F$15,$AK326)*($K326+$O326))</f>
        <v/>
      </c>
      <c r="V326" s="43" t="str">
        <f aca="false">IF(OR($D326="",$N326=""),"",INDEX(Config!$G$13:$G$15,$AK326)*($K326+$O326)+INDEX(Config!$H$13:$H$15,$AK326)*$AL326+INDEX(Config!$J$13:$J$15,$AK326))</f>
        <v/>
      </c>
      <c r="W326" s="43" t="str">
        <f aca="false">IF(OR($D326="",$N326=""),"",INDEX(Config!$I$13:$I$15,$AK326)*($S326+$U326+INDEX(Config!$G$13:$G$15,$AK326)*($K326+$O326)))</f>
        <v/>
      </c>
      <c r="X326" s="43" t="str">
        <f aca="false">IF(OR($D326="",$N326=""),"",INDEX(Config!$K$13:$K$15,$AK326)/365*$P326*$K326*Config!$B$8)</f>
        <v/>
      </c>
      <c r="Y326" s="43" t="str">
        <f aca="false">IF(OR($D326="",$N326=""),"",SUM($S326:$X326))</f>
        <v/>
      </c>
      <c r="Z326" s="40" t="str">
        <f aca="false">IF(OR($D326="",$Q326=""),"",$Q326-$Y326)</f>
        <v/>
      </c>
      <c r="AA326" s="42" t="str">
        <f aca="false">IF(OR($D326="",$Z326="",$K326=0),"",$Z326/$K326)</f>
        <v/>
      </c>
      <c r="AB326" s="44" t="str">
        <f aca="false">IF(OR($D326="",$Y326="",$K326=0),"",$Y326/$K326*10000)</f>
        <v/>
      </c>
      <c r="AC326" s="44" t="str">
        <f aca="false">IF(OR($D326="",$G326="",$G326=0,$I326=""),"",IF($E326="LONG",($I326-$G326)/$G326,($G326-$I326)/$G326)*10000)</f>
        <v/>
      </c>
      <c r="AD326" s="45"/>
      <c r="AE326" s="40" t="str">
        <f aca="false">IF(OR($D326="",$N326&lt;&gt;"",$AD326=""),"",IF($E326="LONG",($AD326-$I326)*$J326,($I326-$AD326)*$J326))</f>
        <v/>
      </c>
      <c r="AF326" s="40" t="str">
        <f aca="false">IF(OR($D326="",$E326&lt;&gt;"LONG",$Z326=""),"",$Z326+SUMIFS($Z$4:$Z$503,$B$4:$B$503,$B326,$E$4:$E$503,"SHORT"))</f>
        <v/>
      </c>
      <c r="AG326" s="42" t="str">
        <f aca="false">IF(OR($AF326="",$K326=0),"",$AF326/$K326)</f>
        <v/>
      </c>
      <c r="AH326" s="46"/>
      <c r="AI326" s="43" t="str">
        <f aca="false">IF(OR($D326="",$AH326="",$Z326=""),"",$Z326-$AH326)</f>
        <v/>
      </c>
      <c r="AJ326" s="49"/>
      <c r="AK326" s="47" t="str">
        <f aca="false">IF($D326="","",IFERROR(MATCH($F326,Config!$A$13:$A$15,0),1))</f>
        <v/>
      </c>
      <c r="AL326" s="47" t="str">
        <f aca="false">IF(OR($D326="",$N326=""),"",IF($E326="LONG",$K326,$O326))</f>
        <v/>
      </c>
      <c r="AM326" s="47" t="str">
        <f aca="false">IF(OR($D326="",$N326=""),"",IF($E326="LONG",$O326,$K326))</f>
        <v/>
      </c>
    </row>
    <row r="327" customFormat="false" ht="15" hidden="false" customHeight="false" outlineLevel="0" collapsed="false">
      <c r="A327" s="49"/>
      <c r="B327" s="5" t="str">
        <f aca="false">IF($D327="","",IF(OR(RIGHT($A327,2)="-L",RIGHT($A327,2)="-S"),LEFT($A327,LEN($A327)-2),$A327))</f>
        <v/>
      </c>
      <c r="C327" s="50"/>
      <c r="D327" s="49"/>
      <c r="E327" s="49"/>
      <c r="F327" s="49"/>
      <c r="G327" s="45"/>
      <c r="H327" s="50"/>
      <c r="I327" s="45"/>
      <c r="J327" s="51"/>
      <c r="K327" s="40" t="str">
        <f aca="false">IF($D327="","",$I327*$J327)</f>
        <v/>
      </c>
      <c r="L327" s="50"/>
      <c r="M327" s="49"/>
      <c r="N327" s="45"/>
      <c r="O327" s="40" t="str">
        <f aca="false">IF(OR($D327="",$N327=""),"",$N327*$J327)</f>
        <v/>
      </c>
      <c r="P327" s="41" t="str">
        <f aca="false">IF(OR($D327="",$L327=""),"",MAX($L327-$H327,0))</f>
        <v/>
      </c>
      <c r="Q327" s="40" t="str">
        <f aca="false">IF(OR($D327="",$N327=""),"",IF($E327="LONG",($N327-$I327)*$J327,($I327-$N327)*$J327))</f>
        <v/>
      </c>
      <c r="R327" s="42" t="str">
        <f aca="false">IF(OR($D327="",$Q327="",$K327=0),"",$Q327/$K327)</f>
        <v/>
      </c>
      <c r="S327" s="43" t="str">
        <f aca="false">IF(OR($D327="",$N327=""),"",MIN(INDEX(Config!$C$13:$C$15,$AK327),INDEX(Config!$B$13:$B$15,$AK327)*$K327)+MIN(INDEX(Config!$C$13:$C$15,$AK327),INDEX(Config!$B$13:$B$15,$AK327)*$O327))</f>
        <v/>
      </c>
      <c r="T327" s="43" t="str">
        <f aca="false">IF(OR($D327="",$N327=""),"",INDEX(Config!$D$13:$D$15,$AK327)*$AL327+INDEX(Config!$E$13:$E$15,$AK327)*$AM327)</f>
        <v/>
      </c>
      <c r="U327" s="43" t="str">
        <f aca="false">IF(OR($D327="",$N327=""),"",INDEX(Config!$F$13:$F$15,$AK327)*($K327+$O327))</f>
        <v/>
      </c>
      <c r="V327" s="43" t="str">
        <f aca="false">IF(OR($D327="",$N327=""),"",INDEX(Config!$G$13:$G$15,$AK327)*($K327+$O327)+INDEX(Config!$H$13:$H$15,$AK327)*$AL327+INDEX(Config!$J$13:$J$15,$AK327))</f>
        <v/>
      </c>
      <c r="W327" s="43" t="str">
        <f aca="false">IF(OR($D327="",$N327=""),"",INDEX(Config!$I$13:$I$15,$AK327)*($S327+$U327+INDEX(Config!$G$13:$G$15,$AK327)*($K327+$O327)))</f>
        <v/>
      </c>
      <c r="X327" s="43" t="str">
        <f aca="false">IF(OR($D327="",$N327=""),"",INDEX(Config!$K$13:$K$15,$AK327)/365*$P327*$K327*Config!$B$8)</f>
        <v/>
      </c>
      <c r="Y327" s="43" t="str">
        <f aca="false">IF(OR($D327="",$N327=""),"",SUM($S327:$X327))</f>
        <v/>
      </c>
      <c r="Z327" s="40" t="str">
        <f aca="false">IF(OR($D327="",$Q327=""),"",$Q327-$Y327)</f>
        <v/>
      </c>
      <c r="AA327" s="42" t="str">
        <f aca="false">IF(OR($D327="",$Z327="",$K327=0),"",$Z327/$K327)</f>
        <v/>
      </c>
      <c r="AB327" s="44" t="str">
        <f aca="false">IF(OR($D327="",$Y327="",$K327=0),"",$Y327/$K327*10000)</f>
        <v/>
      </c>
      <c r="AC327" s="44" t="str">
        <f aca="false">IF(OR($D327="",$G327="",$G327=0,$I327=""),"",IF($E327="LONG",($I327-$G327)/$G327,($G327-$I327)/$G327)*10000)</f>
        <v/>
      </c>
      <c r="AD327" s="45"/>
      <c r="AE327" s="40" t="str">
        <f aca="false">IF(OR($D327="",$N327&lt;&gt;"",$AD327=""),"",IF($E327="LONG",($AD327-$I327)*$J327,($I327-$AD327)*$J327))</f>
        <v/>
      </c>
      <c r="AF327" s="40" t="str">
        <f aca="false">IF(OR($D327="",$E327&lt;&gt;"LONG",$Z327=""),"",$Z327+SUMIFS($Z$4:$Z$503,$B$4:$B$503,$B327,$E$4:$E$503,"SHORT"))</f>
        <v/>
      </c>
      <c r="AG327" s="42" t="str">
        <f aca="false">IF(OR($AF327="",$K327=0),"",$AF327/$K327)</f>
        <v/>
      </c>
      <c r="AH327" s="46"/>
      <c r="AI327" s="43" t="str">
        <f aca="false">IF(OR($D327="",$AH327="",$Z327=""),"",$Z327-$AH327)</f>
        <v/>
      </c>
      <c r="AJ327" s="49"/>
      <c r="AK327" s="47" t="str">
        <f aca="false">IF($D327="","",IFERROR(MATCH($F327,Config!$A$13:$A$15,0),1))</f>
        <v/>
      </c>
      <c r="AL327" s="47" t="str">
        <f aca="false">IF(OR($D327="",$N327=""),"",IF($E327="LONG",$K327,$O327))</f>
        <v/>
      </c>
      <c r="AM327" s="47" t="str">
        <f aca="false">IF(OR($D327="",$N327=""),"",IF($E327="LONG",$O327,$K327))</f>
        <v/>
      </c>
    </row>
    <row r="328" customFormat="false" ht="15" hidden="false" customHeight="false" outlineLevel="0" collapsed="false">
      <c r="A328" s="49"/>
      <c r="B328" s="5" t="str">
        <f aca="false">IF($D328="","",IF(OR(RIGHT($A328,2)="-L",RIGHT($A328,2)="-S"),LEFT($A328,LEN($A328)-2),$A328))</f>
        <v/>
      </c>
      <c r="C328" s="50"/>
      <c r="D328" s="49"/>
      <c r="E328" s="49"/>
      <c r="F328" s="49"/>
      <c r="G328" s="45"/>
      <c r="H328" s="50"/>
      <c r="I328" s="45"/>
      <c r="J328" s="51"/>
      <c r="K328" s="40" t="str">
        <f aca="false">IF($D328="","",$I328*$J328)</f>
        <v/>
      </c>
      <c r="L328" s="50"/>
      <c r="M328" s="49"/>
      <c r="N328" s="45"/>
      <c r="O328" s="40" t="str">
        <f aca="false">IF(OR($D328="",$N328=""),"",$N328*$J328)</f>
        <v/>
      </c>
      <c r="P328" s="41" t="str">
        <f aca="false">IF(OR($D328="",$L328=""),"",MAX($L328-$H328,0))</f>
        <v/>
      </c>
      <c r="Q328" s="40" t="str">
        <f aca="false">IF(OR($D328="",$N328=""),"",IF($E328="LONG",($N328-$I328)*$J328,($I328-$N328)*$J328))</f>
        <v/>
      </c>
      <c r="R328" s="42" t="str">
        <f aca="false">IF(OR($D328="",$Q328="",$K328=0),"",$Q328/$K328)</f>
        <v/>
      </c>
      <c r="S328" s="43" t="str">
        <f aca="false">IF(OR($D328="",$N328=""),"",MIN(INDEX(Config!$C$13:$C$15,$AK328),INDEX(Config!$B$13:$B$15,$AK328)*$K328)+MIN(INDEX(Config!$C$13:$C$15,$AK328),INDEX(Config!$B$13:$B$15,$AK328)*$O328))</f>
        <v/>
      </c>
      <c r="T328" s="43" t="str">
        <f aca="false">IF(OR($D328="",$N328=""),"",INDEX(Config!$D$13:$D$15,$AK328)*$AL328+INDEX(Config!$E$13:$E$15,$AK328)*$AM328)</f>
        <v/>
      </c>
      <c r="U328" s="43" t="str">
        <f aca="false">IF(OR($D328="",$N328=""),"",INDEX(Config!$F$13:$F$15,$AK328)*($K328+$O328))</f>
        <v/>
      </c>
      <c r="V328" s="43" t="str">
        <f aca="false">IF(OR($D328="",$N328=""),"",INDEX(Config!$G$13:$G$15,$AK328)*($K328+$O328)+INDEX(Config!$H$13:$H$15,$AK328)*$AL328+INDEX(Config!$J$13:$J$15,$AK328))</f>
        <v/>
      </c>
      <c r="W328" s="43" t="str">
        <f aca="false">IF(OR($D328="",$N328=""),"",INDEX(Config!$I$13:$I$15,$AK328)*($S328+$U328+INDEX(Config!$G$13:$G$15,$AK328)*($K328+$O328)))</f>
        <v/>
      </c>
      <c r="X328" s="43" t="str">
        <f aca="false">IF(OR($D328="",$N328=""),"",INDEX(Config!$K$13:$K$15,$AK328)/365*$P328*$K328*Config!$B$8)</f>
        <v/>
      </c>
      <c r="Y328" s="43" t="str">
        <f aca="false">IF(OR($D328="",$N328=""),"",SUM($S328:$X328))</f>
        <v/>
      </c>
      <c r="Z328" s="40" t="str">
        <f aca="false">IF(OR($D328="",$Q328=""),"",$Q328-$Y328)</f>
        <v/>
      </c>
      <c r="AA328" s="42" t="str">
        <f aca="false">IF(OR($D328="",$Z328="",$K328=0),"",$Z328/$K328)</f>
        <v/>
      </c>
      <c r="AB328" s="44" t="str">
        <f aca="false">IF(OR($D328="",$Y328="",$K328=0),"",$Y328/$K328*10000)</f>
        <v/>
      </c>
      <c r="AC328" s="44" t="str">
        <f aca="false">IF(OR($D328="",$G328="",$G328=0,$I328=""),"",IF($E328="LONG",($I328-$G328)/$G328,($G328-$I328)/$G328)*10000)</f>
        <v/>
      </c>
      <c r="AD328" s="45"/>
      <c r="AE328" s="40" t="str">
        <f aca="false">IF(OR($D328="",$N328&lt;&gt;"",$AD328=""),"",IF($E328="LONG",($AD328-$I328)*$J328,($I328-$AD328)*$J328))</f>
        <v/>
      </c>
      <c r="AF328" s="40" t="str">
        <f aca="false">IF(OR($D328="",$E328&lt;&gt;"LONG",$Z328=""),"",$Z328+SUMIFS($Z$4:$Z$503,$B$4:$B$503,$B328,$E$4:$E$503,"SHORT"))</f>
        <v/>
      </c>
      <c r="AG328" s="42" t="str">
        <f aca="false">IF(OR($AF328="",$K328=0),"",$AF328/$K328)</f>
        <v/>
      </c>
      <c r="AH328" s="46"/>
      <c r="AI328" s="43" t="str">
        <f aca="false">IF(OR($D328="",$AH328="",$Z328=""),"",$Z328-$AH328)</f>
        <v/>
      </c>
      <c r="AJ328" s="49"/>
      <c r="AK328" s="47" t="str">
        <f aca="false">IF($D328="","",IFERROR(MATCH($F328,Config!$A$13:$A$15,0),1))</f>
        <v/>
      </c>
      <c r="AL328" s="47" t="str">
        <f aca="false">IF(OR($D328="",$N328=""),"",IF($E328="LONG",$K328,$O328))</f>
        <v/>
      </c>
      <c r="AM328" s="47" t="str">
        <f aca="false">IF(OR($D328="",$N328=""),"",IF($E328="LONG",$O328,$K328))</f>
        <v/>
      </c>
    </row>
    <row r="329" customFormat="false" ht="15" hidden="false" customHeight="false" outlineLevel="0" collapsed="false">
      <c r="A329" s="49"/>
      <c r="B329" s="5" t="str">
        <f aca="false">IF($D329="","",IF(OR(RIGHT($A329,2)="-L",RIGHT($A329,2)="-S"),LEFT($A329,LEN($A329)-2),$A329))</f>
        <v/>
      </c>
      <c r="C329" s="50"/>
      <c r="D329" s="49"/>
      <c r="E329" s="49"/>
      <c r="F329" s="49"/>
      <c r="G329" s="45"/>
      <c r="H329" s="50"/>
      <c r="I329" s="45"/>
      <c r="J329" s="51"/>
      <c r="K329" s="40" t="str">
        <f aca="false">IF($D329="","",$I329*$J329)</f>
        <v/>
      </c>
      <c r="L329" s="50"/>
      <c r="M329" s="49"/>
      <c r="N329" s="45"/>
      <c r="O329" s="40" t="str">
        <f aca="false">IF(OR($D329="",$N329=""),"",$N329*$J329)</f>
        <v/>
      </c>
      <c r="P329" s="41" t="str">
        <f aca="false">IF(OR($D329="",$L329=""),"",MAX($L329-$H329,0))</f>
        <v/>
      </c>
      <c r="Q329" s="40" t="str">
        <f aca="false">IF(OR($D329="",$N329=""),"",IF($E329="LONG",($N329-$I329)*$J329,($I329-$N329)*$J329))</f>
        <v/>
      </c>
      <c r="R329" s="42" t="str">
        <f aca="false">IF(OR($D329="",$Q329="",$K329=0),"",$Q329/$K329)</f>
        <v/>
      </c>
      <c r="S329" s="43" t="str">
        <f aca="false">IF(OR($D329="",$N329=""),"",MIN(INDEX(Config!$C$13:$C$15,$AK329),INDEX(Config!$B$13:$B$15,$AK329)*$K329)+MIN(INDEX(Config!$C$13:$C$15,$AK329),INDEX(Config!$B$13:$B$15,$AK329)*$O329))</f>
        <v/>
      </c>
      <c r="T329" s="43" t="str">
        <f aca="false">IF(OR($D329="",$N329=""),"",INDEX(Config!$D$13:$D$15,$AK329)*$AL329+INDEX(Config!$E$13:$E$15,$AK329)*$AM329)</f>
        <v/>
      </c>
      <c r="U329" s="43" t="str">
        <f aca="false">IF(OR($D329="",$N329=""),"",INDEX(Config!$F$13:$F$15,$AK329)*($K329+$O329))</f>
        <v/>
      </c>
      <c r="V329" s="43" t="str">
        <f aca="false">IF(OR($D329="",$N329=""),"",INDEX(Config!$G$13:$G$15,$AK329)*($K329+$O329)+INDEX(Config!$H$13:$H$15,$AK329)*$AL329+INDEX(Config!$J$13:$J$15,$AK329))</f>
        <v/>
      </c>
      <c r="W329" s="43" t="str">
        <f aca="false">IF(OR($D329="",$N329=""),"",INDEX(Config!$I$13:$I$15,$AK329)*($S329+$U329+INDEX(Config!$G$13:$G$15,$AK329)*($K329+$O329)))</f>
        <v/>
      </c>
      <c r="X329" s="43" t="str">
        <f aca="false">IF(OR($D329="",$N329=""),"",INDEX(Config!$K$13:$K$15,$AK329)/365*$P329*$K329*Config!$B$8)</f>
        <v/>
      </c>
      <c r="Y329" s="43" t="str">
        <f aca="false">IF(OR($D329="",$N329=""),"",SUM($S329:$X329))</f>
        <v/>
      </c>
      <c r="Z329" s="40" t="str">
        <f aca="false">IF(OR($D329="",$Q329=""),"",$Q329-$Y329)</f>
        <v/>
      </c>
      <c r="AA329" s="42" t="str">
        <f aca="false">IF(OR($D329="",$Z329="",$K329=0),"",$Z329/$K329)</f>
        <v/>
      </c>
      <c r="AB329" s="44" t="str">
        <f aca="false">IF(OR($D329="",$Y329="",$K329=0),"",$Y329/$K329*10000)</f>
        <v/>
      </c>
      <c r="AC329" s="44" t="str">
        <f aca="false">IF(OR($D329="",$G329="",$G329=0,$I329=""),"",IF($E329="LONG",($I329-$G329)/$G329,($G329-$I329)/$G329)*10000)</f>
        <v/>
      </c>
      <c r="AD329" s="45"/>
      <c r="AE329" s="40" t="str">
        <f aca="false">IF(OR($D329="",$N329&lt;&gt;"",$AD329=""),"",IF($E329="LONG",($AD329-$I329)*$J329,($I329-$AD329)*$J329))</f>
        <v/>
      </c>
      <c r="AF329" s="40" t="str">
        <f aca="false">IF(OR($D329="",$E329&lt;&gt;"LONG",$Z329=""),"",$Z329+SUMIFS($Z$4:$Z$503,$B$4:$B$503,$B329,$E$4:$E$503,"SHORT"))</f>
        <v/>
      </c>
      <c r="AG329" s="42" t="str">
        <f aca="false">IF(OR($AF329="",$K329=0),"",$AF329/$K329)</f>
        <v/>
      </c>
      <c r="AH329" s="46"/>
      <c r="AI329" s="43" t="str">
        <f aca="false">IF(OR($D329="",$AH329="",$Z329=""),"",$Z329-$AH329)</f>
        <v/>
      </c>
      <c r="AJ329" s="49"/>
      <c r="AK329" s="47" t="str">
        <f aca="false">IF($D329="","",IFERROR(MATCH($F329,Config!$A$13:$A$15,0),1))</f>
        <v/>
      </c>
      <c r="AL329" s="47" t="str">
        <f aca="false">IF(OR($D329="",$N329=""),"",IF($E329="LONG",$K329,$O329))</f>
        <v/>
      </c>
      <c r="AM329" s="47" t="str">
        <f aca="false">IF(OR($D329="",$N329=""),"",IF($E329="LONG",$O329,$K329))</f>
        <v/>
      </c>
    </row>
    <row r="330" customFormat="false" ht="15" hidden="false" customHeight="false" outlineLevel="0" collapsed="false">
      <c r="A330" s="49"/>
      <c r="B330" s="5" t="str">
        <f aca="false">IF($D330="","",IF(OR(RIGHT($A330,2)="-L",RIGHT($A330,2)="-S"),LEFT($A330,LEN($A330)-2),$A330))</f>
        <v/>
      </c>
      <c r="C330" s="50"/>
      <c r="D330" s="49"/>
      <c r="E330" s="49"/>
      <c r="F330" s="49"/>
      <c r="G330" s="45"/>
      <c r="H330" s="50"/>
      <c r="I330" s="45"/>
      <c r="J330" s="51"/>
      <c r="K330" s="40" t="str">
        <f aca="false">IF($D330="","",$I330*$J330)</f>
        <v/>
      </c>
      <c r="L330" s="50"/>
      <c r="M330" s="49"/>
      <c r="N330" s="45"/>
      <c r="O330" s="40" t="str">
        <f aca="false">IF(OR($D330="",$N330=""),"",$N330*$J330)</f>
        <v/>
      </c>
      <c r="P330" s="41" t="str">
        <f aca="false">IF(OR($D330="",$L330=""),"",MAX($L330-$H330,0))</f>
        <v/>
      </c>
      <c r="Q330" s="40" t="str">
        <f aca="false">IF(OR($D330="",$N330=""),"",IF($E330="LONG",($N330-$I330)*$J330,($I330-$N330)*$J330))</f>
        <v/>
      </c>
      <c r="R330" s="42" t="str">
        <f aca="false">IF(OR($D330="",$Q330="",$K330=0),"",$Q330/$K330)</f>
        <v/>
      </c>
      <c r="S330" s="43" t="str">
        <f aca="false">IF(OR($D330="",$N330=""),"",MIN(INDEX(Config!$C$13:$C$15,$AK330),INDEX(Config!$B$13:$B$15,$AK330)*$K330)+MIN(INDEX(Config!$C$13:$C$15,$AK330),INDEX(Config!$B$13:$B$15,$AK330)*$O330))</f>
        <v/>
      </c>
      <c r="T330" s="43" t="str">
        <f aca="false">IF(OR($D330="",$N330=""),"",INDEX(Config!$D$13:$D$15,$AK330)*$AL330+INDEX(Config!$E$13:$E$15,$AK330)*$AM330)</f>
        <v/>
      </c>
      <c r="U330" s="43" t="str">
        <f aca="false">IF(OR($D330="",$N330=""),"",INDEX(Config!$F$13:$F$15,$AK330)*($K330+$O330))</f>
        <v/>
      </c>
      <c r="V330" s="43" t="str">
        <f aca="false">IF(OR($D330="",$N330=""),"",INDEX(Config!$G$13:$G$15,$AK330)*($K330+$O330)+INDEX(Config!$H$13:$H$15,$AK330)*$AL330+INDEX(Config!$J$13:$J$15,$AK330))</f>
        <v/>
      </c>
      <c r="W330" s="43" t="str">
        <f aca="false">IF(OR($D330="",$N330=""),"",INDEX(Config!$I$13:$I$15,$AK330)*($S330+$U330+INDEX(Config!$G$13:$G$15,$AK330)*($K330+$O330)))</f>
        <v/>
      </c>
      <c r="X330" s="43" t="str">
        <f aca="false">IF(OR($D330="",$N330=""),"",INDEX(Config!$K$13:$K$15,$AK330)/365*$P330*$K330*Config!$B$8)</f>
        <v/>
      </c>
      <c r="Y330" s="43" t="str">
        <f aca="false">IF(OR($D330="",$N330=""),"",SUM($S330:$X330))</f>
        <v/>
      </c>
      <c r="Z330" s="40" t="str">
        <f aca="false">IF(OR($D330="",$Q330=""),"",$Q330-$Y330)</f>
        <v/>
      </c>
      <c r="AA330" s="42" t="str">
        <f aca="false">IF(OR($D330="",$Z330="",$K330=0),"",$Z330/$K330)</f>
        <v/>
      </c>
      <c r="AB330" s="44" t="str">
        <f aca="false">IF(OR($D330="",$Y330="",$K330=0),"",$Y330/$K330*10000)</f>
        <v/>
      </c>
      <c r="AC330" s="44" t="str">
        <f aca="false">IF(OR($D330="",$G330="",$G330=0,$I330=""),"",IF($E330="LONG",($I330-$G330)/$G330,($G330-$I330)/$G330)*10000)</f>
        <v/>
      </c>
      <c r="AD330" s="45"/>
      <c r="AE330" s="40" t="str">
        <f aca="false">IF(OR($D330="",$N330&lt;&gt;"",$AD330=""),"",IF($E330="LONG",($AD330-$I330)*$J330,($I330-$AD330)*$J330))</f>
        <v/>
      </c>
      <c r="AF330" s="40" t="str">
        <f aca="false">IF(OR($D330="",$E330&lt;&gt;"LONG",$Z330=""),"",$Z330+SUMIFS($Z$4:$Z$503,$B$4:$B$503,$B330,$E$4:$E$503,"SHORT"))</f>
        <v/>
      </c>
      <c r="AG330" s="42" t="str">
        <f aca="false">IF(OR($AF330="",$K330=0),"",$AF330/$K330)</f>
        <v/>
      </c>
      <c r="AH330" s="46"/>
      <c r="AI330" s="43" t="str">
        <f aca="false">IF(OR($D330="",$AH330="",$Z330=""),"",$Z330-$AH330)</f>
        <v/>
      </c>
      <c r="AJ330" s="49"/>
      <c r="AK330" s="47" t="str">
        <f aca="false">IF($D330="","",IFERROR(MATCH($F330,Config!$A$13:$A$15,0),1))</f>
        <v/>
      </c>
      <c r="AL330" s="47" t="str">
        <f aca="false">IF(OR($D330="",$N330=""),"",IF($E330="LONG",$K330,$O330))</f>
        <v/>
      </c>
      <c r="AM330" s="47" t="str">
        <f aca="false">IF(OR($D330="",$N330=""),"",IF($E330="LONG",$O330,$K330))</f>
        <v/>
      </c>
    </row>
    <row r="331" customFormat="false" ht="15" hidden="false" customHeight="false" outlineLevel="0" collapsed="false">
      <c r="A331" s="49"/>
      <c r="B331" s="5" t="str">
        <f aca="false">IF($D331="","",IF(OR(RIGHT($A331,2)="-L",RIGHT($A331,2)="-S"),LEFT($A331,LEN($A331)-2),$A331))</f>
        <v/>
      </c>
      <c r="C331" s="50"/>
      <c r="D331" s="49"/>
      <c r="E331" s="49"/>
      <c r="F331" s="49"/>
      <c r="G331" s="45"/>
      <c r="H331" s="50"/>
      <c r="I331" s="45"/>
      <c r="J331" s="51"/>
      <c r="K331" s="40" t="str">
        <f aca="false">IF($D331="","",$I331*$J331)</f>
        <v/>
      </c>
      <c r="L331" s="50"/>
      <c r="M331" s="49"/>
      <c r="N331" s="45"/>
      <c r="O331" s="40" t="str">
        <f aca="false">IF(OR($D331="",$N331=""),"",$N331*$J331)</f>
        <v/>
      </c>
      <c r="P331" s="41" t="str">
        <f aca="false">IF(OR($D331="",$L331=""),"",MAX($L331-$H331,0))</f>
        <v/>
      </c>
      <c r="Q331" s="40" t="str">
        <f aca="false">IF(OR($D331="",$N331=""),"",IF($E331="LONG",($N331-$I331)*$J331,($I331-$N331)*$J331))</f>
        <v/>
      </c>
      <c r="R331" s="42" t="str">
        <f aca="false">IF(OR($D331="",$Q331="",$K331=0),"",$Q331/$K331)</f>
        <v/>
      </c>
      <c r="S331" s="43" t="str">
        <f aca="false">IF(OR($D331="",$N331=""),"",MIN(INDEX(Config!$C$13:$C$15,$AK331),INDEX(Config!$B$13:$B$15,$AK331)*$K331)+MIN(INDEX(Config!$C$13:$C$15,$AK331),INDEX(Config!$B$13:$B$15,$AK331)*$O331))</f>
        <v/>
      </c>
      <c r="T331" s="43" t="str">
        <f aca="false">IF(OR($D331="",$N331=""),"",INDEX(Config!$D$13:$D$15,$AK331)*$AL331+INDEX(Config!$E$13:$E$15,$AK331)*$AM331)</f>
        <v/>
      </c>
      <c r="U331" s="43" t="str">
        <f aca="false">IF(OR($D331="",$N331=""),"",INDEX(Config!$F$13:$F$15,$AK331)*($K331+$O331))</f>
        <v/>
      </c>
      <c r="V331" s="43" t="str">
        <f aca="false">IF(OR($D331="",$N331=""),"",INDEX(Config!$G$13:$G$15,$AK331)*($K331+$O331)+INDEX(Config!$H$13:$H$15,$AK331)*$AL331+INDEX(Config!$J$13:$J$15,$AK331))</f>
        <v/>
      </c>
      <c r="W331" s="43" t="str">
        <f aca="false">IF(OR($D331="",$N331=""),"",INDEX(Config!$I$13:$I$15,$AK331)*($S331+$U331+INDEX(Config!$G$13:$G$15,$AK331)*($K331+$O331)))</f>
        <v/>
      </c>
      <c r="X331" s="43" t="str">
        <f aca="false">IF(OR($D331="",$N331=""),"",INDEX(Config!$K$13:$K$15,$AK331)/365*$P331*$K331*Config!$B$8)</f>
        <v/>
      </c>
      <c r="Y331" s="43" t="str">
        <f aca="false">IF(OR($D331="",$N331=""),"",SUM($S331:$X331))</f>
        <v/>
      </c>
      <c r="Z331" s="40" t="str">
        <f aca="false">IF(OR($D331="",$Q331=""),"",$Q331-$Y331)</f>
        <v/>
      </c>
      <c r="AA331" s="42" t="str">
        <f aca="false">IF(OR($D331="",$Z331="",$K331=0),"",$Z331/$K331)</f>
        <v/>
      </c>
      <c r="AB331" s="44" t="str">
        <f aca="false">IF(OR($D331="",$Y331="",$K331=0),"",$Y331/$K331*10000)</f>
        <v/>
      </c>
      <c r="AC331" s="44" t="str">
        <f aca="false">IF(OR($D331="",$G331="",$G331=0,$I331=""),"",IF($E331="LONG",($I331-$G331)/$G331,($G331-$I331)/$G331)*10000)</f>
        <v/>
      </c>
      <c r="AD331" s="45"/>
      <c r="AE331" s="40" t="str">
        <f aca="false">IF(OR($D331="",$N331&lt;&gt;"",$AD331=""),"",IF($E331="LONG",($AD331-$I331)*$J331,($I331-$AD331)*$J331))</f>
        <v/>
      </c>
      <c r="AF331" s="40" t="str">
        <f aca="false">IF(OR($D331="",$E331&lt;&gt;"LONG",$Z331=""),"",$Z331+SUMIFS($Z$4:$Z$503,$B$4:$B$503,$B331,$E$4:$E$503,"SHORT"))</f>
        <v/>
      </c>
      <c r="AG331" s="42" t="str">
        <f aca="false">IF(OR($AF331="",$K331=0),"",$AF331/$K331)</f>
        <v/>
      </c>
      <c r="AH331" s="46"/>
      <c r="AI331" s="43" t="str">
        <f aca="false">IF(OR($D331="",$AH331="",$Z331=""),"",$Z331-$AH331)</f>
        <v/>
      </c>
      <c r="AJ331" s="49"/>
      <c r="AK331" s="47" t="str">
        <f aca="false">IF($D331="","",IFERROR(MATCH($F331,Config!$A$13:$A$15,0),1))</f>
        <v/>
      </c>
      <c r="AL331" s="47" t="str">
        <f aca="false">IF(OR($D331="",$N331=""),"",IF($E331="LONG",$K331,$O331))</f>
        <v/>
      </c>
      <c r="AM331" s="47" t="str">
        <f aca="false">IF(OR($D331="",$N331=""),"",IF($E331="LONG",$O331,$K331))</f>
        <v/>
      </c>
    </row>
    <row r="332" customFormat="false" ht="15" hidden="false" customHeight="false" outlineLevel="0" collapsed="false">
      <c r="A332" s="49"/>
      <c r="B332" s="5" t="str">
        <f aca="false">IF($D332="","",IF(OR(RIGHT($A332,2)="-L",RIGHT($A332,2)="-S"),LEFT($A332,LEN($A332)-2),$A332))</f>
        <v/>
      </c>
      <c r="C332" s="50"/>
      <c r="D332" s="49"/>
      <c r="E332" s="49"/>
      <c r="F332" s="49"/>
      <c r="G332" s="45"/>
      <c r="H332" s="50"/>
      <c r="I332" s="45"/>
      <c r="J332" s="51"/>
      <c r="K332" s="40" t="str">
        <f aca="false">IF($D332="","",$I332*$J332)</f>
        <v/>
      </c>
      <c r="L332" s="50"/>
      <c r="M332" s="49"/>
      <c r="N332" s="45"/>
      <c r="O332" s="40" t="str">
        <f aca="false">IF(OR($D332="",$N332=""),"",$N332*$J332)</f>
        <v/>
      </c>
      <c r="P332" s="41" t="str">
        <f aca="false">IF(OR($D332="",$L332=""),"",MAX($L332-$H332,0))</f>
        <v/>
      </c>
      <c r="Q332" s="40" t="str">
        <f aca="false">IF(OR($D332="",$N332=""),"",IF($E332="LONG",($N332-$I332)*$J332,($I332-$N332)*$J332))</f>
        <v/>
      </c>
      <c r="R332" s="42" t="str">
        <f aca="false">IF(OR($D332="",$Q332="",$K332=0),"",$Q332/$K332)</f>
        <v/>
      </c>
      <c r="S332" s="43" t="str">
        <f aca="false">IF(OR($D332="",$N332=""),"",MIN(INDEX(Config!$C$13:$C$15,$AK332),INDEX(Config!$B$13:$B$15,$AK332)*$K332)+MIN(INDEX(Config!$C$13:$C$15,$AK332),INDEX(Config!$B$13:$B$15,$AK332)*$O332))</f>
        <v/>
      </c>
      <c r="T332" s="43" t="str">
        <f aca="false">IF(OR($D332="",$N332=""),"",INDEX(Config!$D$13:$D$15,$AK332)*$AL332+INDEX(Config!$E$13:$E$15,$AK332)*$AM332)</f>
        <v/>
      </c>
      <c r="U332" s="43" t="str">
        <f aca="false">IF(OR($D332="",$N332=""),"",INDEX(Config!$F$13:$F$15,$AK332)*($K332+$O332))</f>
        <v/>
      </c>
      <c r="V332" s="43" t="str">
        <f aca="false">IF(OR($D332="",$N332=""),"",INDEX(Config!$G$13:$G$15,$AK332)*($K332+$O332)+INDEX(Config!$H$13:$H$15,$AK332)*$AL332+INDEX(Config!$J$13:$J$15,$AK332))</f>
        <v/>
      </c>
      <c r="W332" s="43" t="str">
        <f aca="false">IF(OR($D332="",$N332=""),"",INDEX(Config!$I$13:$I$15,$AK332)*($S332+$U332+INDEX(Config!$G$13:$G$15,$AK332)*($K332+$O332)))</f>
        <v/>
      </c>
      <c r="X332" s="43" t="str">
        <f aca="false">IF(OR($D332="",$N332=""),"",INDEX(Config!$K$13:$K$15,$AK332)/365*$P332*$K332*Config!$B$8)</f>
        <v/>
      </c>
      <c r="Y332" s="43" t="str">
        <f aca="false">IF(OR($D332="",$N332=""),"",SUM($S332:$X332))</f>
        <v/>
      </c>
      <c r="Z332" s="40" t="str">
        <f aca="false">IF(OR($D332="",$Q332=""),"",$Q332-$Y332)</f>
        <v/>
      </c>
      <c r="AA332" s="42" t="str">
        <f aca="false">IF(OR($D332="",$Z332="",$K332=0),"",$Z332/$K332)</f>
        <v/>
      </c>
      <c r="AB332" s="44" t="str">
        <f aca="false">IF(OR($D332="",$Y332="",$K332=0),"",$Y332/$K332*10000)</f>
        <v/>
      </c>
      <c r="AC332" s="44" t="str">
        <f aca="false">IF(OR($D332="",$G332="",$G332=0,$I332=""),"",IF($E332="LONG",($I332-$G332)/$G332,($G332-$I332)/$G332)*10000)</f>
        <v/>
      </c>
      <c r="AD332" s="45"/>
      <c r="AE332" s="40" t="str">
        <f aca="false">IF(OR($D332="",$N332&lt;&gt;"",$AD332=""),"",IF($E332="LONG",($AD332-$I332)*$J332,($I332-$AD332)*$J332))</f>
        <v/>
      </c>
      <c r="AF332" s="40" t="str">
        <f aca="false">IF(OR($D332="",$E332&lt;&gt;"LONG",$Z332=""),"",$Z332+SUMIFS($Z$4:$Z$503,$B$4:$B$503,$B332,$E$4:$E$503,"SHORT"))</f>
        <v/>
      </c>
      <c r="AG332" s="42" t="str">
        <f aca="false">IF(OR($AF332="",$K332=0),"",$AF332/$K332)</f>
        <v/>
      </c>
      <c r="AH332" s="46"/>
      <c r="AI332" s="43" t="str">
        <f aca="false">IF(OR($D332="",$AH332="",$Z332=""),"",$Z332-$AH332)</f>
        <v/>
      </c>
      <c r="AJ332" s="49"/>
      <c r="AK332" s="47" t="str">
        <f aca="false">IF($D332="","",IFERROR(MATCH($F332,Config!$A$13:$A$15,0),1))</f>
        <v/>
      </c>
      <c r="AL332" s="47" t="str">
        <f aca="false">IF(OR($D332="",$N332=""),"",IF($E332="LONG",$K332,$O332))</f>
        <v/>
      </c>
      <c r="AM332" s="47" t="str">
        <f aca="false">IF(OR($D332="",$N332=""),"",IF($E332="LONG",$O332,$K332))</f>
        <v/>
      </c>
    </row>
    <row r="333" customFormat="false" ht="15" hidden="false" customHeight="false" outlineLevel="0" collapsed="false">
      <c r="A333" s="49"/>
      <c r="B333" s="5" t="str">
        <f aca="false">IF($D333="","",IF(OR(RIGHT($A333,2)="-L",RIGHT($A333,2)="-S"),LEFT($A333,LEN($A333)-2),$A333))</f>
        <v/>
      </c>
      <c r="C333" s="50"/>
      <c r="D333" s="49"/>
      <c r="E333" s="49"/>
      <c r="F333" s="49"/>
      <c r="G333" s="45"/>
      <c r="H333" s="50"/>
      <c r="I333" s="45"/>
      <c r="J333" s="51"/>
      <c r="K333" s="40" t="str">
        <f aca="false">IF($D333="","",$I333*$J333)</f>
        <v/>
      </c>
      <c r="L333" s="50"/>
      <c r="M333" s="49"/>
      <c r="N333" s="45"/>
      <c r="O333" s="40" t="str">
        <f aca="false">IF(OR($D333="",$N333=""),"",$N333*$J333)</f>
        <v/>
      </c>
      <c r="P333" s="41" t="str">
        <f aca="false">IF(OR($D333="",$L333=""),"",MAX($L333-$H333,0))</f>
        <v/>
      </c>
      <c r="Q333" s="40" t="str">
        <f aca="false">IF(OR($D333="",$N333=""),"",IF($E333="LONG",($N333-$I333)*$J333,($I333-$N333)*$J333))</f>
        <v/>
      </c>
      <c r="R333" s="42" t="str">
        <f aca="false">IF(OR($D333="",$Q333="",$K333=0),"",$Q333/$K333)</f>
        <v/>
      </c>
      <c r="S333" s="43" t="str">
        <f aca="false">IF(OR($D333="",$N333=""),"",MIN(INDEX(Config!$C$13:$C$15,$AK333),INDEX(Config!$B$13:$B$15,$AK333)*$K333)+MIN(INDEX(Config!$C$13:$C$15,$AK333),INDEX(Config!$B$13:$B$15,$AK333)*$O333))</f>
        <v/>
      </c>
      <c r="T333" s="43" t="str">
        <f aca="false">IF(OR($D333="",$N333=""),"",INDEX(Config!$D$13:$D$15,$AK333)*$AL333+INDEX(Config!$E$13:$E$15,$AK333)*$AM333)</f>
        <v/>
      </c>
      <c r="U333" s="43" t="str">
        <f aca="false">IF(OR($D333="",$N333=""),"",INDEX(Config!$F$13:$F$15,$AK333)*($K333+$O333))</f>
        <v/>
      </c>
      <c r="V333" s="43" t="str">
        <f aca="false">IF(OR($D333="",$N333=""),"",INDEX(Config!$G$13:$G$15,$AK333)*($K333+$O333)+INDEX(Config!$H$13:$H$15,$AK333)*$AL333+INDEX(Config!$J$13:$J$15,$AK333))</f>
        <v/>
      </c>
      <c r="W333" s="43" t="str">
        <f aca="false">IF(OR($D333="",$N333=""),"",INDEX(Config!$I$13:$I$15,$AK333)*($S333+$U333+INDEX(Config!$G$13:$G$15,$AK333)*($K333+$O333)))</f>
        <v/>
      </c>
      <c r="X333" s="43" t="str">
        <f aca="false">IF(OR($D333="",$N333=""),"",INDEX(Config!$K$13:$K$15,$AK333)/365*$P333*$K333*Config!$B$8)</f>
        <v/>
      </c>
      <c r="Y333" s="43" t="str">
        <f aca="false">IF(OR($D333="",$N333=""),"",SUM($S333:$X333))</f>
        <v/>
      </c>
      <c r="Z333" s="40" t="str">
        <f aca="false">IF(OR($D333="",$Q333=""),"",$Q333-$Y333)</f>
        <v/>
      </c>
      <c r="AA333" s="42" t="str">
        <f aca="false">IF(OR($D333="",$Z333="",$K333=0),"",$Z333/$K333)</f>
        <v/>
      </c>
      <c r="AB333" s="44" t="str">
        <f aca="false">IF(OR($D333="",$Y333="",$K333=0),"",$Y333/$K333*10000)</f>
        <v/>
      </c>
      <c r="AC333" s="44" t="str">
        <f aca="false">IF(OR($D333="",$G333="",$G333=0,$I333=""),"",IF($E333="LONG",($I333-$G333)/$G333,($G333-$I333)/$G333)*10000)</f>
        <v/>
      </c>
      <c r="AD333" s="45"/>
      <c r="AE333" s="40" t="str">
        <f aca="false">IF(OR($D333="",$N333&lt;&gt;"",$AD333=""),"",IF($E333="LONG",($AD333-$I333)*$J333,($I333-$AD333)*$J333))</f>
        <v/>
      </c>
      <c r="AF333" s="40" t="str">
        <f aca="false">IF(OR($D333="",$E333&lt;&gt;"LONG",$Z333=""),"",$Z333+SUMIFS($Z$4:$Z$503,$B$4:$B$503,$B333,$E$4:$E$503,"SHORT"))</f>
        <v/>
      </c>
      <c r="AG333" s="42" t="str">
        <f aca="false">IF(OR($AF333="",$K333=0),"",$AF333/$K333)</f>
        <v/>
      </c>
      <c r="AH333" s="46"/>
      <c r="AI333" s="43" t="str">
        <f aca="false">IF(OR($D333="",$AH333="",$Z333=""),"",$Z333-$AH333)</f>
        <v/>
      </c>
      <c r="AJ333" s="49"/>
      <c r="AK333" s="47" t="str">
        <f aca="false">IF($D333="","",IFERROR(MATCH($F333,Config!$A$13:$A$15,0),1))</f>
        <v/>
      </c>
      <c r="AL333" s="47" t="str">
        <f aca="false">IF(OR($D333="",$N333=""),"",IF($E333="LONG",$K333,$O333))</f>
        <v/>
      </c>
      <c r="AM333" s="47" t="str">
        <f aca="false">IF(OR($D333="",$N333=""),"",IF($E333="LONG",$O333,$K333))</f>
        <v/>
      </c>
    </row>
    <row r="334" customFormat="false" ht="15" hidden="false" customHeight="false" outlineLevel="0" collapsed="false">
      <c r="A334" s="49"/>
      <c r="B334" s="5" t="str">
        <f aca="false">IF($D334="","",IF(OR(RIGHT($A334,2)="-L",RIGHT($A334,2)="-S"),LEFT($A334,LEN($A334)-2),$A334))</f>
        <v/>
      </c>
      <c r="C334" s="50"/>
      <c r="D334" s="49"/>
      <c r="E334" s="49"/>
      <c r="F334" s="49"/>
      <c r="G334" s="45"/>
      <c r="H334" s="50"/>
      <c r="I334" s="45"/>
      <c r="J334" s="51"/>
      <c r="K334" s="40" t="str">
        <f aca="false">IF($D334="","",$I334*$J334)</f>
        <v/>
      </c>
      <c r="L334" s="50"/>
      <c r="M334" s="49"/>
      <c r="N334" s="45"/>
      <c r="O334" s="40" t="str">
        <f aca="false">IF(OR($D334="",$N334=""),"",$N334*$J334)</f>
        <v/>
      </c>
      <c r="P334" s="41" t="str">
        <f aca="false">IF(OR($D334="",$L334=""),"",MAX($L334-$H334,0))</f>
        <v/>
      </c>
      <c r="Q334" s="40" t="str">
        <f aca="false">IF(OR($D334="",$N334=""),"",IF($E334="LONG",($N334-$I334)*$J334,($I334-$N334)*$J334))</f>
        <v/>
      </c>
      <c r="R334" s="42" t="str">
        <f aca="false">IF(OR($D334="",$Q334="",$K334=0),"",$Q334/$K334)</f>
        <v/>
      </c>
      <c r="S334" s="43" t="str">
        <f aca="false">IF(OR($D334="",$N334=""),"",MIN(INDEX(Config!$C$13:$C$15,$AK334),INDEX(Config!$B$13:$B$15,$AK334)*$K334)+MIN(INDEX(Config!$C$13:$C$15,$AK334),INDEX(Config!$B$13:$B$15,$AK334)*$O334))</f>
        <v/>
      </c>
      <c r="T334" s="43" t="str">
        <f aca="false">IF(OR($D334="",$N334=""),"",INDEX(Config!$D$13:$D$15,$AK334)*$AL334+INDEX(Config!$E$13:$E$15,$AK334)*$AM334)</f>
        <v/>
      </c>
      <c r="U334" s="43" t="str">
        <f aca="false">IF(OR($D334="",$N334=""),"",INDEX(Config!$F$13:$F$15,$AK334)*($K334+$O334))</f>
        <v/>
      </c>
      <c r="V334" s="43" t="str">
        <f aca="false">IF(OR($D334="",$N334=""),"",INDEX(Config!$G$13:$G$15,$AK334)*($K334+$O334)+INDEX(Config!$H$13:$H$15,$AK334)*$AL334+INDEX(Config!$J$13:$J$15,$AK334))</f>
        <v/>
      </c>
      <c r="W334" s="43" t="str">
        <f aca="false">IF(OR($D334="",$N334=""),"",INDEX(Config!$I$13:$I$15,$AK334)*($S334+$U334+INDEX(Config!$G$13:$G$15,$AK334)*($K334+$O334)))</f>
        <v/>
      </c>
      <c r="X334" s="43" t="str">
        <f aca="false">IF(OR($D334="",$N334=""),"",INDEX(Config!$K$13:$K$15,$AK334)/365*$P334*$K334*Config!$B$8)</f>
        <v/>
      </c>
      <c r="Y334" s="43" t="str">
        <f aca="false">IF(OR($D334="",$N334=""),"",SUM($S334:$X334))</f>
        <v/>
      </c>
      <c r="Z334" s="40" t="str">
        <f aca="false">IF(OR($D334="",$Q334=""),"",$Q334-$Y334)</f>
        <v/>
      </c>
      <c r="AA334" s="42" t="str">
        <f aca="false">IF(OR($D334="",$Z334="",$K334=0),"",$Z334/$K334)</f>
        <v/>
      </c>
      <c r="AB334" s="44" t="str">
        <f aca="false">IF(OR($D334="",$Y334="",$K334=0),"",$Y334/$K334*10000)</f>
        <v/>
      </c>
      <c r="AC334" s="44" t="str">
        <f aca="false">IF(OR($D334="",$G334="",$G334=0,$I334=""),"",IF($E334="LONG",($I334-$G334)/$G334,($G334-$I334)/$G334)*10000)</f>
        <v/>
      </c>
      <c r="AD334" s="45"/>
      <c r="AE334" s="40" t="str">
        <f aca="false">IF(OR($D334="",$N334&lt;&gt;"",$AD334=""),"",IF($E334="LONG",($AD334-$I334)*$J334,($I334-$AD334)*$J334))</f>
        <v/>
      </c>
      <c r="AF334" s="40" t="str">
        <f aca="false">IF(OR($D334="",$E334&lt;&gt;"LONG",$Z334=""),"",$Z334+SUMIFS($Z$4:$Z$503,$B$4:$B$503,$B334,$E$4:$E$503,"SHORT"))</f>
        <v/>
      </c>
      <c r="AG334" s="42" t="str">
        <f aca="false">IF(OR($AF334="",$K334=0),"",$AF334/$K334)</f>
        <v/>
      </c>
      <c r="AH334" s="46"/>
      <c r="AI334" s="43" t="str">
        <f aca="false">IF(OR($D334="",$AH334="",$Z334=""),"",$Z334-$AH334)</f>
        <v/>
      </c>
      <c r="AJ334" s="49"/>
      <c r="AK334" s="47" t="str">
        <f aca="false">IF($D334="","",IFERROR(MATCH($F334,Config!$A$13:$A$15,0),1))</f>
        <v/>
      </c>
      <c r="AL334" s="47" t="str">
        <f aca="false">IF(OR($D334="",$N334=""),"",IF($E334="LONG",$K334,$O334))</f>
        <v/>
      </c>
      <c r="AM334" s="47" t="str">
        <f aca="false">IF(OR($D334="",$N334=""),"",IF($E334="LONG",$O334,$K334))</f>
        <v/>
      </c>
    </row>
    <row r="335" customFormat="false" ht="15" hidden="false" customHeight="false" outlineLevel="0" collapsed="false">
      <c r="A335" s="49"/>
      <c r="B335" s="5" t="str">
        <f aca="false">IF($D335="","",IF(OR(RIGHT($A335,2)="-L",RIGHT($A335,2)="-S"),LEFT($A335,LEN($A335)-2),$A335))</f>
        <v/>
      </c>
      <c r="C335" s="50"/>
      <c r="D335" s="49"/>
      <c r="E335" s="49"/>
      <c r="F335" s="49"/>
      <c r="G335" s="45"/>
      <c r="H335" s="50"/>
      <c r="I335" s="45"/>
      <c r="J335" s="51"/>
      <c r="K335" s="40" t="str">
        <f aca="false">IF($D335="","",$I335*$J335)</f>
        <v/>
      </c>
      <c r="L335" s="50"/>
      <c r="M335" s="49"/>
      <c r="N335" s="45"/>
      <c r="O335" s="40" t="str">
        <f aca="false">IF(OR($D335="",$N335=""),"",$N335*$J335)</f>
        <v/>
      </c>
      <c r="P335" s="41" t="str">
        <f aca="false">IF(OR($D335="",$L335=""),"",MAX($L335-$H335,0))</f>
        <v/>
      </c>
      <c r="Q335" s="40" t="str">
        <f aca="false">IF(OR($D335="",$N335=""),"",IF($E335="LONG",($N335-$I335)*$J335,($I335-$N335)*$J335))</f>
        <v/>
      </c>
      <c r="R335" s="42" t="str">
        <f aca="false">IF(OR($D335="",$Q335="",$K335=0),"",$Q335/$K335)</f>
        <v/>
      </c>
      <c r="S335" s="43" t="str">
        <f aca="false">IF(OR($D335="",$N335=""),"",MIN(INDEX(Config!$C$13:$C$15,$AK335),INDEX(Config!$B$13:$B$15,$AK335)*$K335)+MIN(INDEX(Config!$C$13:$C$15,$AK335),INDEX(Config!$B$13:$B$15,$AK335)*$O335))</f>
        <v/>
      </c>
      <c r="T335" s="43" t="str">
        <f aca="false">IF(OR($D335="",$N335=""),"",INDEX(Config!$D$13:$D$15,$AK335)*$AL335+INDEX(Config!$E$13:$E$15,$AK335)*$AM335)</f>
        <v/>
      </c>
      <c r="U335" s="43" t="str">
        <f aca="false">IF(OR($D335="",$N335=""),"",INDEX(Config!$F$13:$F$15,$AK335)*($K335+$O335))</f>
        <v/>
      </c>
      <c r="V335" s="43" t="str">
        <f aca="false">IF(OR($D335="",$N335=""),"",INDEX(Config!$G$13:$G$15,$AK335)*($K335+$O335)+INDEX(Config!$H$13:$H$15,$AK335)*$AL335+INDEX(Config!$J$13:$J$15,$AK335))</f>
        <v/>
      </c>
      <c r="W335" s="43" t="str">
        <f aca="false">IF(OR($D335="",$N335=""),"",INDEX(Config!$I$13:$I$15,$AK335)*($S335+$U335+INDEX(Config!$G$13:$G$15,$AK335)*($K335+$O335)))</f>
        <v/>
      </c>
      <c r="X335" s="43" t="str">
        <f aca="false">IF(OR($D335="",$N335=""),"",INDEX(Config!$K$13:$K$15,$AK335)/365*$P335*$K335*Config!$B$8)</f>
        <v/>
      </c>
      <c r="Y335" s="43" t="str">
        <f aca="false">IF(OR($D335="",$N335=""),"",SUM($S335:$X335))</f>
        <v/>
      </c>
      <c r="Z335" s="40" t="str">
        <f aca="false">IF(OR($D335="",$Q335=""),"",$Q335-$Y335)</f>
        <v/>
      </c>
      <c r="AA335" s="42" t="str">
        <f aca="false">IF(OR($D335="",$Z335="",$K335=0),"",$Z335/$K335)</f>
        <v/>
      </c>
      <c r="AB335" s="44" t="str">
        <f aca="false">IF(OR($D335="",$Y335="",$K335=0),"",$Y335/$K335*10000)</f>
        <v/>
      </c>
      <c r="AC335" s="44" t="str">
        <f aca="false">IF(OR($D335="",$G335="",$G335=0,$I335=""),"",IF($E335="LONG",($I335-$G335)/$G335,($G335-$I335)/$G335)*10000)</f>
        <v/>
      </c>
      <c r="AD335" s="45"/>
      <c r="AE335" s="40" t="str">
        <f aca="false">IF(OR($D335="",$N335&lt;&gt;"",$AD335=""),"",IF($E335="LONG",($AD335-$I335)*$J335,($I335-$AD335)*$J335))</f>
        <v/>
      </c>
      <c r="AF335" s="40" t="str">
        <f aca="false">IF(OR($D335="",$E335&lt;&gt;"LONG",$Z335=""),"",$Z335+SUMIFS($Z$4:$Z$503,$B$4:$B$503,$B335,$E$4:$E$503,"SHORT"))</f>
        <v/>
      </c>
      <c r="AG335" s="42" t="str">
        <f aca="false">IF(OR($AF335="",$K335=0),"",$AF335/$K335)</f>
        <v/>
      </c>
      <c r="AH335" s="46"/>
      <c r="AI335" s="43" t="str">
        <f aca="false">IF(OR($D335="",$AH335="",$Z335=""),"",$Z335-$AH335)</f>
        <v/>
      </c>
      <c r="AJ335" s="49"/>
      <c r="AK335" s="47" t="str">
        <f aca="false">IF($D335="","",IFERROR(MATCH($F335,Config!$A$13:$A$15,0),1))</f>
        <v/>
      </c>
      <c r="AL335" s="47" t="str">
        <f aca="false">IF(OR($D335="",$N335=""),"",IF($E335="LONG",$K335,$O335))</f>
        <v/>
      </c>
      <c r="AM335" s="47" t="str">
        <f aca="false">IF(OR($D335="",$N335=""),"",IF($E335="LONG",$O335,$K335))</f>
        <v/>
      </c>
    </row>
    <row r="336" customFormat="false" ht="15" hidden="false" customHeight="false" outlineLevel="0" collapsed="false">
      <c r="A336" s="49"/>
      <c r="B336" s="5" t="str">
        <f aca="false">IF($D336="","",IF(OR(RIGHT($A336,2)="-L",RIGHT($A336,2)="-S"),LEFT($A336,LEN($A336)-2),$A336))</f>
        <v/>
      </c>
      <c r="C336" s="50"/>
      <c r="D336" s="49"/>
      <c r="E336" s="49"/>
      <c r="F336" s="49"/>
      <c r="G336" s="45"/>
      <c r="H336" s="50"/>
      <c r="I336" s="45"/>
      <c r="J336" s="51"/>
      <c r="K336" s="40" t="str">
        <f aca="false">IF($D336="","",$I336*$J336)</f>
        <v/>
      </c>
      <c r="L336" s="50"/>
      <c r="M336" s="49"/>
      <c r="N336" s="45"/>
      <c r="O336" s="40" t="str">
        <f aca="false">IF(OR($D336="",$N336=""),"",$N336*$J336)</f>
        <v/>
      </c>
      <c r="P336" s="41" t="str">
        <f aca="false">IF(OR($D336="",$L336=""),"",MAX($L336-$H336,0))</f>
        <v/>
      </c>
      <c r="Q336" s="40" t="str">
        <f aca="false">IF(OR($D336="",$N336=""),"",IF($E336="LONG",($N336-$I336)*$J336,($I336-$N336)*$J336))</f>
        <v/>
      </c>
      <c r="R336" s="42" t="str">
        <f aca="false">IF(OR($D336="",$Q336="",$K336=0),"",$Q336/$K336)</f>
        <v/>
      </c>
      <c r="S336" s="43" t="str">
        <f aca="false">IF(OR($D336="",$N336=""),"",MIN(INDEX(Config!$C$13:$C$15,$AK336),INDEX(Config!$B$13:$B$15,$AK336)*$K336)+MIN(INDEX(Config!$C$13:$C$15,$AK336),INDEX(Config!$B$13:$B$15,$AK336)*$O336))</f>
        <v/>
      </c>
      <c r="T336" s="43" t="str">
        <f aca="false">IF(OR($D336="",$N336=""),"",INDEX(Config!$D$13:$D$15,$AK336)*$AL336+INDEX(Config!$E$13:$E$15,$AK336)*$AM336)</f>
        <v/>
      </c>
      <c r="U336" s="43" t="str">
        <f aca="false">IF(OR($D336="",$N336=""),"",INDEX(Config!$F$13:$F$15,$AK336)*($K336+$O336))</f>
        <v/>
      </c>
      <c r="V336" s="43" t="str">
        <f aca="false">IF(OR($D336="",$N336=""),"",INDEX(Config!$G$13:$G$15,$AK336)*($K336+$O336)+INDEX(Config!$H$13:$H$15,$AK336)*$AL336+INDEX(Config!$J$13:$J$15,$AK336))</f>
        <v/>
      </c>
      <c r="W336" s="43" t="str">
        <f aca="false">IF(OR($D336="",$N336=""),"",INDEX(Config!$I$13:$I$15,$AK336)*($S336+$U336+INDEX(Config!$G$13:$G$15,$AK336)*($K336+$O336)))</f>
        <v/>
      </c>
      <c r="X336" s="43" t="str">
        <f aca="false">IF(OR($D336="",$N336=""),"",INDEX(Config!$K$13:$K$15,$AK336)/365*$P336*$K336*Config!$B$8)</f>
        <v/>
      </c>
      <c r="Y336" s="43" t="str">
        <f aca="false">IF(OR($D336="",$N336=""),"",SUM($S336:$X336))</f>
        <v/>
      </c>
      <c r="Z336" s="40" t="str">
        <f aca="false">IF(OR($D336="",$Q336=""),"",$Q336-$Y336)</f>
        <v/>
      </c>
      <c r="AA336" s="42" t="str">
        <f aca="false">IF(OR($D336="",$Z336="",$K336=0),"",$Z336/$K336)</f>
        <v/>
      </c>
      <c r="AB336" s="44" t="str">
        <f aca="false">IF(OR($D336="",$Y336="",$K336=0),"",$Y336/$K336*10000)</f>
        <v/>
      </c>
      <c r="AC336" s="44" t="str">
        <f aca="false">IF(OR($D336="",$G336="",$G336=0,$I336=""),"",IF($E336="LONG",($I336-$G336)/$G336,($G336-$I336)/$G336)*10000)</f>
        <v/>
      </c>
      <c r="AD336" s="45"/>
      <c r="AE336" s="40" t="str">
        <f aca="false">IF(OR($D336="",$N336&lt;&gt;"",$AD336=""),"",IF($E336="LONG",($AD336-$I336)*$J336,($I336-$AD336)*$J336))</f>
        <v/>
      </c>
      <c r="AF336" s="40" t="str">
        <f aca="false">IF(OR($D336="",$E336&lt;&gt;"LONG",$Z336=""),"",$Z336+SUMIFS($Z$4:$Z$503,$B$4:$B$503,$B336,$E$4:$E$503,"SHORT"))</f>
        <v/>
      </c>
      <c r="AG336" s="42" t="str">
        <f aca="false">IF(OR($AF336="",$K336=0),"",$AF336/$K336)</f>
        <v/>
      </c>
      <c r="AH336" s="46"/>
      <c r="AI336" s="43" t="str">
        <f aca="false">IF(OR($D336="",$AH336="",$Z336=""),"",$Z336-$AH336)</f>
        <v/>
      </c>
      <c r="AJ336" s="49"/>
      <c r="AK336" s="47" t="str">
        <f aca="false">IF($D336="","",IFERROR(MATCH($F336,Config!$A$13:$A$15,0),1))</f>
        <v/>
      </c>
      <c r="AL336" s="47" t="str">
        <f aca="false">IF(OR($D336="",$N336=""),"",IF($E336="LONG",$K336,$O336))</f>
        <v/>
      </c>
      <c r="AM336" s="47" t="str">
        <f aca="false">IF(OR($D336="",$N336=""),"",IF($E336="LONG",$O336,$K336))</f>
        <v/>
      </c>
    </row>
    <row r="337" customFormat="false" ht="15" hidden="false" customHeight="false" outlineLevel="0" collapsed="false">
      <c r="A337" s="49"/>
      <c r="B337" s="5" t="str">
        <f aca="false">IF($D337="","",IF(OR(RIGHT($A337,2)="-L",RIGHT($A337,2)="-S"),LEFT($A337,LEN($A337)-2),$A337))</f>
        <v/>
      </c>
      <c r="C337" s="50"/>
      <c r="D337" s="49"/>
      <c r="E337" s="49"/>
      <c r="F337" s="49"/>
      <c r="G337" s="45"/>
      <c r="H337" s="50"/>
      <c r="I337" s="45"/>
      <c r="J337" s="51"/>
      <c r="K337" s="40" t="str">
        <f aca="false">IF($D337="","",$I337*$J337)</f>
        <v/>
      </c>
      <c r="L337" s="50"/>
      <c r="M337" s="49"/>
      <c r="N337" s="45"/>
      <c r="O337" s="40" t="str">
        <f aca="false">IF(OR($D337="",$N337=""),"",$N337*$J337)</f>
        <v/>
      </c>
      <c r="P337" s="41" t="str">
        <f aca="false">IF(OR($D337="",$L337=""),"",MAX($L337-$H337,0))</f>
        <v/>
      </c>
      <c r="Q337" s="40" t="str">
        <f aca="false">IF(OR($D337="",$N337=""),"",IF($E337="LONG",($N337-$I337)*$J337,($I337-$N337)*$J337))</f>
        <v/>
      </c>
      <c r="R337" s="42" t="str">
        <f aca="false">IF(OR($D337="",$Q337="",$K337=0),"",$Q337/$K337)</f>
        <v/>
      </c>
      <c r="S337" s="43" t="str">
        <f aca="false">IF(OR($D337="",$N337=""),"",MIN(INDEX(Config!$C$13:$C$15,$AK337),INDEX(Config!$B$13:$B$15,$AK337)*$K337)+MIN(INDEX(Config!$C$13:$C$15,$AK337),INDEX(Config!$B$13:$B$15,$AK337)*$O337))</f>
        <v/>
      </c>
      <c r="T337" s="43" t="str">
        <f aca="false">IF(OR($D337="",$N337=""),"",INDEX(Config!$D$13:$D$15,$AK337)*$AL337+INDEX(Config!$E$13:$E$15,$AK337)*$AM337)</f>
        <v/>
      </c>
      <c r="U337" s="43" t="str">
        <f aca="false">IF(OR($D337="",$N337=""),"",INDEX(Config!$F$13:$F$15,$AK337)*($K337+$O337))</f>
        <v/>
      </c>
      <c r="V337" s="43" t="str">
        <f aca="false">IF(OR($D337="",$N337=""),"",INDEX(Config!$G$13:$G$15,$AK337)*($K337+$O337)+INDEX(Config!$H$13:$H$15,$AK337)*$AL337+INDEX(Config!$J$13:$J$15,$AK337))</f>
        <v/>
      </c>
      <c r="W337" s="43" t="str">
        <f aca="false">IF(OR($D337="",$N337=""),"",INDEX(Config!$I$13:$I$15,$AK337)*($S337+$U337+INDEX(Config!$G$13:$G$15,$AK337)*($K337+$O337)))</f>
        <v/>
      </c>
      <c r="X337" s="43" t="str">
        <f aca="false">IF(OR($D337="",$N337=""),"",INDEX(Config!$K$13:$K$15,$AK337)/365*$P337*$K337*Config!$B$8)</f>
        <v/>
      </c>
      <c r="Y337" s="43" t="str">
        <f aca="false">IF(OR($D337="",$N337=""),"",SUM($S337:$X337))</f>
        <v/>
      </c>
      <c r="Z337" s="40" t="str">
        <f aca="false">IF(OR($D337="",$Q337=""),"",$Q337-$Y337)</f>
        <v/>
      </c>
      <c r="AA337" s="42" t="str">
        <f aca="false">IF(OR($D337="",$Z337="",$K337=0),"",$Z337/$K337)</f>
        <v/>
      </c>
      <c r="AB337" s="44" t="str">
        <f aca="false">IF(OR($D337="",$Y337="",$K337=0),"",$Y337/$K337*10000)</f>
        <v/>
      </c>
      <c r="AC337" s="44" t="str">
        <f aca="false">IF(OR($D337="",$G337="",$G337=0,$I337=""),"",IF($E337="LONG",($I337-$G337)/$G337,($G337-$I337)/$G337)*10000)</f>
        <v/>
      </c>
      <c r="AD337" s="45"/>
      <c r="AE337" s="40" t="str">
        <f aca="false">IF(OR($D337="",$N337&lt;&gt;"",$AD337=""),"",IF($E337="LONG",($AD337-$I337)*$J337,($I337-$AD337)*$J337))</f>
        <v/>
      </c>
      <c r="AF337" s="40" t="str">
        <f aca="false">IF(OR($D337="",$E337&lt;&gt;"LONG",$Z337=""),"",$Z337+SUMIFS($Z$4:$Z$503,$B$4:$B$503,$B337,$E$4:$E$503,"SHORT"))</f>
        <v/>
      </c>
      <c r="AG337" s="42" t="str">
        <f aca="false">IF(OR($AF337="",$K337=0),"",$AF337/$K337)</f>
        <v/>
      </c>
      <c r="AH337" s="46"/>
      <c r="AI337" s="43" t="str">
        <f aca="false">IF(OR($D337="",$AH337="",$Z337=""),"",$Z337-$AH337)</f>
        <v/>
      </c>
      <c r="AJ337" s="49"/>
      <c r="AK337" s="47" t="str">
        <f aca="false">IF($D337="","",IFERROR(MATCH($F337,Config!$A$13:$A$15,0),1))</f>
        <v/>
      </c>
      <c r="AL337" s="47" t="str">
        <f aca="false">IF(OR($D337="",$N337=""),"",IF($E337="LONG",$K337,$O337))</f>
        <v/>
      </c>
      <c r="AM337" s="47" t="str">
        <f aca="false">IF(OR($D337="",$N337=""),"",IF($E337="LONG",$O337,$K337))</f>
        <v/>
      </c>
    </row>
    <row r="338" customFormat="false" ht="15" hidden="false" customHeight="false" outlineLevel="0" collapsed="false">
      <c r="A338" s="49"/>
      <c r="B338" s="5" t="str">
        <f aca="false">IF($D338="","",IF(OR(RIGHT($A338,2)="-L",RIGHT($A338,2)="-S"),LEFT($A338,LEN($A338)-2),$A338))</f>
        <v/>
      </c>
      <c r="C338" s="50"/>
      <c r="D338" s="49"/>
      <c r="E338" s="49"/>
      <c r="F338" s="49"/>
      <c r="G338" s="45"/>
      <c r="H338" s="50"/>
      <c r="I338" s="45"/>
      <c r="J338" s="51"/>
      <c r="K338" s="40" t="str">
        <f aca="false">IF($D338="","",$I338*$J338)</f>
        <v/>
      </c>
      <c r="L338" s="50"/>
      <c r="M338" s="49"/>
      <c r="N338" s="45"/>
      <c r="O338" s="40" t="str">
        <f aca="false">IF(OR($D338="",$N338=""),"",$N338*$J338)</f>
        <v/>
      </c>
      <c r="P338" s="41" t="str">
        <f aca="false">IF(OR($D338="",$L338=""),"",MAX($L338-$H338,0))</f>
        <v/>
      </c>
      <c r="Q338" s="40" t="str">
        <f aca="false">IF(OR($D338="",$N338=""),"",IF($E338="LONG",($N338-$I338)*$J338,($I338-$N338)*$J338))</f>
        <v/>
      </c>
      <c r="R338" s="42" t="str">
        <f aca="false">IF(OR($D338="",$Q338="",$K338=0),"",$Q338/$K338)</f>
        <v/>
      </c>
      <c r="S338" s="43" t="str">
        <f aca="false">IF(OR($D338="",$N338=""),"",MIN(INDEX(Config!$C$13:$C$15,$AK338),INDEX(Config!$B$13:$B$15,$AK338)*$K338)+MIN(INDEX(Config!$C$13:$C$15,$AK338),INDEX(Config!$B$13:$B$15,$AK338)*$O338))</f>
        <v/>
      </c>
      <c r="T338" s="43" t="str">
        <f aca="false">IF(OR($D338="",$N338=""),"",INDEX(Config!$D$13:$D$15,$AK338)*$AL338+INDEX(Config!$E$13:$E$15,$AK338)*$AM338)</f>
        <v/>
      </c>
      <c r="U338" s="43" t="str">
        <f aca="false">IF(OR($D338="",$N338=""),"",INDEX(Config!$F$13:$F$15,$AK338)*($K338+$O338))</f>
        <v/>
      </c>
      <c r="V338" s="43" t="str">
        <f aca="false">IF(OR($D338="",$N338=""),"",INDEX(Config!$G$13:$G$15,$AK338)*($K338+$O338)+INDEX(Config!$H$13:$H$15,$AK338)*$AL338+INDEX(Config!$J$13:$J$15,$AK338))</f>
        <v/>
      </c>
      <c r="W338" s="43" t="str">
        <f aca="false">IF(OR($D338="",$N338=""),"",INDEX(Config!$I$13:$I$15,$AK338)*($S338+$U338+INDEX(Config!$G$13:$G$15,$AK338)*($K338+$O338)))</f>
        <v/>
      </c>
      <c r="X338" s="43" t="str">
        <f aca="false">IF(OR($D338="",$N338=""),"",INDEX(Config!$K$13:$K$15,$AK338)/365*$P338*$K338*Config!$B$8)</f>
        <v/>
      </c>
      <c r="Y338" s="43" t="str">
        <f aca="false">IF(OR($D338="",$N338=""),"",SUM($S338:$X338))</f>
        <v/>
      </c>
      <c r="Z338" s="40" t="str">
        <f aca="false">IF(OR($D338="",$Q338=""),"",$Q338-$Y338)</f>
        <v/>
      </c>
      <c r="AA338" s="42" t="str">
        <f aca="false">IF(OR($D338="",$Z338="",$K338=0),"",$Z338/$K338)</f>
        <v/>
      </c>
      <c r="AB338" s="44" t="str">
        <f aca="false">IF(OR($D338="",$Y338="",$K338=0),"",$Y338/$K338*10000)</f>
        <v/>
      </c>
      <c r="AC338" s="44" t="str">
        <f aca="false">IF(OR($D338="",$G338="",$G338=0,$I338=""),"",IF($E338="LONG",($I338-$G338)/$G338,($G338-$I338)/$G338)*10000)</f>
        <v/>
      </c>
      <c r="AD338" s="45"/>
      <c r="AE338" s="40" t="str">
        <f aca="false">IF(OR($D338="",$N338&lt;&gt;"",$AD338=""),"",IF($E338="LONG",($AD338-$I338)*$J338,($I338-$AD338)*$J338))</f>
        <v/>
      </c>
      <c r="AF338" s="40" t="str">
        <f aca="false">IF(OR($D338="",$E338&lt;&gt;"LONG",$Z338=""),"",$Z338+SUMIFS($Z$4:$Z$503,$B$4:$B$503,$B338,$E$4:$E$503,"SHORT"))</f>
        <v/>
      </c>
      <c r="AG338" s="42" t="str">
        <f aca="false">IF(OR($AF338="",$K338=0),"",$AF338/$K338)</f>
        <v/>
      </c>
      <c r="AH338" s="46"/>
      <c r="AI338" s="43" t="str">
        <f aca="false">IF(OR($D338="",$AH338="",$Z338=""),"",$Z338-$AH338)</f>
        <v/>
      </c>
      <c r="AJ338" s="49"/>
      <c r="AK338" s="47" t="str">
        <f aca="false">IF($D338="","",IFERROR(MATCH($F338,Config!$A$13:$A$15,0),1))</f>
        <v/>
      </c>
      <c r="AL338" s="47" t="str">
        <f aca="false">IF(OR($D338="",$N338=""),"",IF($E338="LONG",$K338,$O338))</f>
        <v/>
      </c>
      <c r="AM338" s="47" t="str">
        <f aca="false">IF(OR($D338="",$N338=""),"",IF($E338="LONG",$O338,$K338))</f>
        <v/>
      </c>
    </row>
    <row r="339" customFormat="false" ht="15" hidden="false" customHeight="false" outlineLevel="0" collapsed="false">
      <c r="A339" s="49"/>
      <c r="B339" s="5" t="str">
        <f aca="false">IF($D339="","",IF(OR(RIGHT($A339,2)="-L",RIGHT($A339,2)="-S"),LEFT($A339,LEN($A339)-2),$A339))</f>
        <v/>
      </c>
      <c r="C339" s="50"/>
      <c r="D339" s="49"/>
      <c r="E339" s="49"/>
      <c r="F339" s="49"/>
      <c r="G339" s="45"/>
      <c r="H339" s="50"/>
      <c r="I339" s="45"/>
      <c r="J339" s="51"/>
      <c r="K339" s="40" t="str">
        <f aca="false">IF($D339="","",$I339*$J339)</f>
        <v/>
      </c>
      <c r="L339" s="50"/>
      <c r="M339" s="49"/>
      <c r="N339" s="45"/>
      <c r="O339" s="40" t="str">
        <f aca="false">IF(OR($D339="",$N339=""),"",$N339*$J339)</f>
        <v/>
      </c>
      <c r="P339" s="41" t="str">
        <f aca="false">IF(OR($D339="",$L339=""),"",MAX($L339-$H339,0))</f>
        <v/>
      </c>
      <c r="Q339" s="40" t="str">
        <f aca="false">IF(OR($D339="",$N339=""),"",IF($E339="LONG",($N339-$I339)*$J339,($I339-$N339)*$J339))</f>
        <v/>
      </c>
      <c r="R339" s="42" t="str">
        <f aca="false">IF(OR($D339="",$Q339="",$K339=0),"",$Q339/$K339)</f>
        <v/>
      </c>
      <c r="S339" s="43" t="str">
        <f aca="false">IF(OR($D339="",$N339=""),"",MIN(INDEX(Config!$C$13:$C$15,$AK339),INDEX(Config!$B$13:$B$15,$AK339)*$K339)+MIN(INDEX(Config!$C$13:$C$15,$AK339),INDEX(Config!$B$13:$B$15,$AK339)*$O339))</f>
        <v/>
      </c>
      <c r="T339" s="43" t="str">
        <f aca="false">IF(OR($D339="",$N339=""),"",INDEX(Config!$D$13:$D$15,$AK339)*$AL339+INDEX(Config!$E$13:$E$15,$AK339)*$AM339)</f>
        <v/>
      </c>
      <c r="U339" s="43" t="str">
        <f aca="false">IF(OR($D339="",$N339=""),"",INDEX(Config!$F$13:$F$15,$AK339)*($K339+$O339))</f>
        <v/>
      </c>
      <c r="V339" s="43" t="str">
        <f aca="false">IF(OR($D339="",$N339=""),"",INDEX(Config!$G$13:$G$15,$AK339)*($K339+$O339)+INDEX(Config!$H$13:$H$15,$AK339)*$AL339+INDEX(Config!$J$13:$J$15,$AK339))</f>
        <v/>
      </c>
      <c r="W339" s="43" t="str">
        <f aca="false">IF(OR($D339="",$N339=""),"",INDEX(Config!$I$13:$I$15,$AK339)*($S339+$U339+INDEX(Config!$G$13:$G$15,$AK339)*($K339+$O339)))</f>
        <v/>
      </c>
      <c r="X339" s="43" t="str">
        <f aca="false">IF(OR($D339="",$N339=""),"",INDEX(Config!$K$13:$K$15,$AK339)/365*$P339*$K339*Config!$B$8)</f>
        <v/>
      </c>
      <c r="Y339" s="43" t="str">
        <f aca="false">IF(OR($D339="",$N339=""),"",SUM($S339:$X339))</f>
        <v/>
      </c>
      <c r="Z339" s="40" t="str">
        <f aca="false">IF(OR($D339="",$Q339=""),"",$Q339-$Y339)</f>
        <v/>
      </c>
      <c r="AA339" s="42" t="str">
        <f aca="false">IF(OR($D339="",$Z339="",$K339=0),"",$Z339/$K339)</f>
        <v/>
      </c>
      <c r="AB339" s="44" t="str">
        <f aca="false">IF(OR($D339="",$Y339="",$K339=0),"",$Y339/$K339*10000)</f>
        <v/>
      </c>
      <c r="AC339" s="44" t="str">
        <f aca="false">IF(OR($D339="",$G339="",$G339=0,$I339=""),"",IF($E339="LONG",($I339-$G339)/$G339,($G339-$I339)/$G339)*10000)</f>
        <v/>
      </c>
      <c r="AD339" s="45"/>
      <c r="AE339" s="40" t="str">
        <f aca="false">IF(OR($D339="",$N339&lt;&gt;"",$AD339=""),"",IF($E339="LONG",($AD339-$I339)*$J339,($I339-$AD339)*$J339))</f>
        <v/>
      </c>
      <c r="AF339" s="40" t="str">
        <f aca="false">IF(OR($D339="",$E339&lt;&gt;"LONG",$Z339=""),"",$Z339+SUMIFS($Z$4:$Z$503,$B$4:$B$503,$B339,$E$4:$E$503,"SHORT"))</f>
        <v/>
      </c>
      <c r="AG339" s="42" t="str">
        <f aca="false">IF(OR($AF339="",$K339=0),"",$AF339/$K339)</f>
        <v/>
      </c>
      <c r="AH339" s="46"/>
      <c r="AI339" s="43" t="str">
        <f aca="false">IF(OR($D339="",$AH339="",$Z339=""),"",$Z339-$AH339)</f>
        <v/>
      </c>
      <c r="AJ339" s="49"/>
      <c r="AK339" s="47" t="str">
        <f aca="false">IF($D339="","",IFERROR(MATCH($F339,Config!$A$13:$A$15,0),1))</f>
        <v/>
      </c>
      <c r="AL339" s="47" t="str">
        <f aca="false">IF(OR($D339="",$N339=""),"",IF($E339="LONG",$K339,$O339))</f>
        <v/>
      </c>
      <c r="AM339" s="47" t="str">
        <f aca="false">IF(OR($D339="",$N339=""),"",IF($E339="LONG",$O339,$K339))</f>
        <v/>
      </c>
    </row>
    <row r="340" customFormat="false" ht="15" hidden="false" customHeight="false" outlineLevel="0" collapsed="false">
      <c r="A340" s="49"/>
      <c r="B340" s="5" t="str">
        <f aca="false">IF($D340="","",IF(OR(RIGHT($A340,2)="-L",RIGHT($A340,2)="-S"),LEFT($A340,LEN($A340)-2),$A340))</f>
        <v/>
      </c>
      <c r="C340" s="50"/>
      <c r="D340" s="49"/>
      <c r="E340" s="49"/>
      <c r="F340" s="49"/>
      <c r="G340" s="45"/>
      <c r="H340" s="50"/>
      <c r="I340" s="45"/>
      <c r="J340" s="51"/>
      <c r="K340" s="40" t="str">
        <f aca="false">IF($D340="","",$I340*$J340)</f>
        <v/>
      </c>
      <c r="L340" s="50"/>
      <c r="M340" s="49"/>
      <c r="N340" s="45"/>
      <c r="O340" s="40" t="str">
        <f aca="false">IF(OR($D340="",$N340=""),"",$N340*$J340)</f>
        <v/>
      </c>
      <c r="P340" s="41" t="str">
        <f aca="false">IF(OR($D340="",$L340=""),"",MAX($L340-$H340,0))</f>
        <v/>
      </c>
      <c r="Q340" s="40" t="str">
        <f aca="false">IF(OR($D340="",$N340=""),"",IF($E340="LONG",($N340-$I340)*$J340,($I340-$N340)*$J340))</f>
        <v/>
      </c>
      <c r="R340" s="42" t="str">
        <f aca="false">IF(OR($D340="",$Q340="",$K340=0),"",$Q340/$K340)</f>
        <v/>
      </c>
      <c r="S340" s="43" t="str">
        <f aca="false">IF(OR($D340="",$N340=""),"",MIN(INDEX(Config!$C$13:$C$15,$AK340),INDEX(Config!$B$13:$B$15,$AK340)*$K340)+MIN(INDEX(Config!$C$13:$C$15,$AK340),INDEX(Config!$B$13:$B$15,$AK340)*$O340))</f>
        <v/>
      </c>
      <c r="T340" s="43" t="str">
        <f aca="false">IF(OR($D340="",$N340=""),"",INDEX(Config!$D$13:$D$15,$AK340)*$AL340+INDEX(Config!$E$13:$E$15,$AK340)*$AM340)</f>
        <v/>
      </c>
      <c r="U340" s="43" t="str">
        <f aca="false">IF(OR($D340="",$N340=""),"",INDEX(Config!$F$13:$F$15,$AK340)*($K340+$O340))</f>
        <v/>
      </c>
      <c r="V340" s="43" t="str">
        <f aca="false">IF(OR($D340="",$N340=""),"",INDEX(Config!$G$13:$G$15,$AK340)*($K340+$O340)+INDEX(Config!$H$13:$H$15,$AK340)*$AL340+INDEX(Config!$J$13:$J$15,$AK340))</f>
        <v/>
      </c>
      <c r="W340" s="43" t="str">
        <f aca="false">IF(OR($D340="",$N340=""),"",INDEX(Config!$I$13:$I$15,$AK340)*($S340+$U340+INDEX(Config!$G$13:$G$15,$AK340)*($K340+$O340)))</f>
        <v/>
      </c>
      <c r="X340" s="43" t="str">
        <f aca="false">IF(OR($D340="",$N340=""),"",INDEX(Config!$K$13:$K$15,$AK340)/365*$P340*$K340*Config!$B$8)</f>
        <v/>
      </c>
      <c r="Y340" s="43" t="str">
        <f aca="false">IF(OR($D340="",$N340=""),"",SUM($S340:$X340))</f>
        <v/>
      </c>
      <c r="Z340" s="40" t="str">
        <f aca="false">IF(OR($D340="",$Q340=""),"",$Q340-$Y340)</f>
        <v/>
      </c>
      <c r="AA340" s="42" t="str">
        <f aca="false">IF(OR($D340="",$Z340="",$K340=0),"",$Z340/$K340)</f>
        <v/>
      </c>
      <c r="AB340" s="44" t="str">
        <f aca="false">IF(OR($D340="",$Y340="",$K340=0),"",$Y340/$K340*10000)</f>
        <v/>
      </c>
      <c r="AC340" s="44" t="str">
        <f aca="false">IF(OR($D340="",$G340="",$G340=0,$I340=""),"",IF($E340="LONG",($I340-$G340)/$G340,($G340-$I340)/$G340)*10000)</f>
        <v/>
      </c>
      <c r="AD340" s="45"/>
      <c r="AE340" s="40" t="str">
        <f aca="false">IF(OR($D340="",$N340&lt;&gt;"",$AD340=""),"",IF($E340="LONG",($AD340-$I340)*$J340,($I340-$AD340)*$J340))</f>
        <v/>
      </c>
      <c r="AF340" s="40" t="str">
        <f aca="false">IF(OR($D340="",$E340&lt;&gt;"LONG",$Z340=""),"",$Z340+SUMIFS($Z$4:$Z$503,$B$4:$B$503,$B340,$E$4:$E$503,"SHORT"))</f>
        <v/>
      </c>
      <c r="AG340" s="42" t="str">
        <f aca="false">IF(OR($AF340="",$K340=0),"",$AF340/$K340)</f>
        <v/>
      </c>
      <c r="AH340" s="46"/>
      <c r="AI340" s="43" t="str">
        <f aca="false">IF(OR($D340="",$AH340="",$Z340=""),"",$Z340-$AH340)</f>
        <v/>
      </c>
      <c r="AJ340" s="49"/>
      <c r="AK340" s="47" t="str">
        <f aca="false">IF($D340="","",IFERROR(MATCH($F340,Config!$A$13:$A$15,0),1))</f>
        <v/>
      </c>
      <c r="AL340" s="47" t="str">
        <f aca="false">IF(OR($D340="",$N340=""),"",IF($E340="LONG",$K340,$O340))</f>
        <v/>
      </c>
      <c r="AM340" s="47" t="str">
        <f aca="false">IF(OR($D340="",$N340=""),"",IF($E340="LONG",$O340,$K340))</f>
        <v/>
      </c>
    </row>
    <row r="341" customFormat="false" ht="15" hidden="false" customHeight="false" outlineLevel="0" collapsed="false">
      <c r="A341" s="49"/>
      <c r="B341" s="5" t="str">
        <f aca="false">IF($D341="","",IF(OR(RIGHT($A341,2)="-L",RIGHT($A341,2)="-S"),LEFT($A341,LEN($A341)-2),$A341))</f>
        <v/>
      </c>
      <c r="C341" s="50"/>
      <c r="D341" s="49"/>
      <c r="E341" s="49"/>
      <c r="F341" s="49"/>
      <c r="G341" s="45"/>
      <c r="H341" s="50"/>
      <c r="I341" s="45"/>
      <c r="J341" s="51"/>
      <c r="K341" s="40" t="str">
        <f aca="false">IF($D341="","",$I341*$J341)</f>
        <v/>
      </c>
      <c r="L341" s="50"/>
      <c r="M341" s="49"/>
      <c r="N341" s="45"/>
      <c r="O341" s="40" t="str">
        <f aca="false">IF(OR($D341="",$N341=""),"",$N341*$J341)</f>
        <v/>
      </c>
      <c r="P341" s="41" t="str">
        <f aca="false">IF(OR($D341="",$L341=""),"",MAX($L341-$H341,0))</f>
        <v/>
      </c>
      <c r="Q341" s="40" t="str">
        <f aca="false">IF(OR($D341="",$N341=""),"",IF($E341="LONG",($N341-$I341)*$J341,($I341-$N341)*$J341))</f>
        <v/>
      </c>
      <c r="R341" s="42" t="str">
        <f aca="false">IF(OR($D341="",$Q341="",$K341=0),"",$Q341/$K341)</f>
        <v/>
      </c>
      <c r="S341" s="43" t="str">
        <f aca="false">IF(OR($D341="",$N341=""),"",MIN(INDEX(Config!$C$13:$C$15,$AK341),INDEX(Config!$B$13:$B$15,$AK341)*$K341)+MIN(INDEX(Config!$C$13:$C$15,$AK341),INDEX(Config!$B$13:$B$15,$AK341)*$O341))</f>
        <v/>
      </c>
      <c r="T341" s="43" t="str">
        <f aca="false">IF(OR($D341="",$N341=""),"",INDEX(Config!$D$13:$D$15,$AK341)*$AL341+INDEX(Config!$E$13:$E$15,$AK341)*$AM341)</f>
        <v/>
      </c>
      <c r="U341" s="43" t="str">
        <f aca="false">IF(OR($D341="",$N341=""),"",INDEX(Config!$F$13:$F$15,$AK341)*($K341+$O341))</f>
        <v/>
      </c>
      <c r="V341" s="43" t="str">
        <f aca="false">IF(OR($D341="",$N341=""),"",INDEX(Config!$G$13:$G$15,$AK341)*($K341+$O341)+INDEX(Config!$H$13:$H$15,$AK341)*$AL341+INDEX(Config!$J$13:$J$15,$AK341))</f>
        <v/>
      </c>
      <c r="W341" s="43" t="str">
        <f aca="false">IF(OR($D341="",$N341=""),"",INDEX(Config!$I$13:$I$15,$AK341)*($S341+$U341+INDEX(Config!$G$13:$G$15,$AK341)*($K341+$O341)))</f>
        <v/>
      </c>
      <c r="X341" s="43" t="str">
        <f aca="false">IF(OR($D341="",$N341=""),"",INDEX(Config!$K$13:$K$15,$AK341)/365*$P341*$K341*Config!$B$8)</f>
        <v/>
      </c>
      <c r="Y341" s="43" t="str">
        <f aca="false">IF(OR($D341="",$N341=""),"",SUM($S341:$X341))</f>
        <v/>
      </c>
      <c r="Z341" s="40" t="str">
        <f aca="false">IF(OR($D341="",$Q341=""),"",$Q341-$Y341)</f>
        <v/>
      </c>
      <c r="AA341" s="42" t="str">
        <f aca="false">IF(OR($D341="",$Z341="",$K341=0),"",$Z341/$K341)</f>
        <v/>
      </c>
      <c r="AB341" s="44" t="str">
        <f aca="false">IF(OR($D341="",$Y341="",$K341=0),"",$Y341/$K341*10000)</f>
        <v/>
      </c>
      <c r="AC341" s="44" t="str">
        <f aca="false">IF(OR($D341="",$G341="",$G341=0,$I341=""),"",IF($E341="LONG",($I341-$G341)/$G341,($G341-$I341)/$G341)*10000)</f>
        <v/>
      </c>
      <c r="AD341" s="45"/>
      <c r="AE341" s="40" t="str">
        <f aca="false">IF(OR($D341="",$N341&lt;&gt;"",$AD341=""),"",IF($E341="LONG",($AD341-$I341)*$J341,($I341-$AD341)*$J341))</f>
        <v/>
      </c>
      <c r="AF341" s="40" t="str">
        <f aca="false">IF(OR($D341="",$E341&lt;&gt;"LONG",$Z341=""),"",$Z341+SUMIFS($Z$4:$Z$503,$B$4:$B$503,$B341,$E$4:$E$503,"SHORT"))</f>
        <v/>
      </c>
      <c r="AG341" s="42" t="str">
        <f aca="false">IF(OR($AF341="",$K341=0),"",$AF341/$K341)</f>
        <v/>
      </c>
      <c r="AH341" s="46"/>
      <c r="AI341" s="43" t="str">
        <f aca="false">IF(OR($D341="",$AH341="",$Z341=""),"",$Z341-$AH341)</f>
        <v/>
      </c>
      <c r="AJ341" s="49"/>
      <c r="AK341" s="47" t="str">
        <f aca="false">IF($D341="","",IFERROR(MATCH($F341,Config!$A$13:$A$15,0),1))</f>
        <v/>
      </c>
      <c r="AL341" s="47" t="str">
        <f aca="false">IF(OR($D341="",$N341=""),"",IF($E341="LONG",$K341,$O341))</f>
        <v/>
      </c>
      <c r="AM341" s="47" t="str">
        <f aca="false">IF(OR($D341="",$N341=""),"",IF($E341="LONG",$O341,$K341))</f>
        <v/>
      </c>
    </row>
    <row r="342" customFormat="false" ht="15" hidden="false" customHeight="false" outlineLevel="0" collapsed="false">
      <c r="A342" s="49"/>
      <c r="B342" s="5" t="str">
        <f aca="false">IF($D342="","",IF(OR(RIGHT($A342,2)="-L",RIGHT($A342,2)="-S"),LEFT($A342,LEN($A342)-2),$A342))</f>
        <v/>
      </c>
      <c r="C342" s="50"/>
      <c r="D342" s="49"/>
      <c r="E342" s="49"/>
      <c r="F342" s="49"/>
      <c r="G342" s="45"/>
      <c r="H342" s="50"/>
      <c r="I342" s="45"/>
      <c r="J342" s="51"/>
      <c r="K342" s="40" t="str">
        <f aca="false">IF($D342="","",$I342*$J342)</f>
        <v/>
      </c>
      <c r="L342" s="50"/>
      <c r="M342" s="49"/>
      <c r="N342" s="45"/>
      <c r="O342" s="40" t="str">
        <f aca="false">IF(OR($D342="",$N342=""),"",$N342*$J342)</f>
        <v/>
      </c>
      <c r="P342" s="41" t="str">
        <f aca="false">IF(OR($D342="",$L342=""),"",MAX($L342-$H342,0))</f>
        <v/>
      </c>
      <c r="Q342" s="40" t="str">
        <f aca="false">IF(OR($D342="",$N342=""),"",IF($E342="LONG",($N342-$I342)*$J342,($I342-$N342)*$J342))</f>
        <v/>
      </c>
      <c r="R342" s="42" t="str">
        <f aca="false">IF(OR($D342="",$Q342="",$K342=0),"",$Q342/$K342)</f>
        <v/>
      </c>
      <c r="S342" s="43" t="str">
        <f aca="false">IF(OR($D342="",$N342=""),"",MIN(INDEX(Config!$C$13:$C$15,$AK342),INDEX(Config!$B$13:$B$15,$AK342)*$K342)+MIN(INDEX(Config!$C$13:$C$15,$AK342),INDEX(Config!$B$13:$B$15,$AK342)*$O342))</f>
        <v/>
      </c>
      <c r="T342" s="43" t="str">
        <f aca="false">IF(OR($D342="",$N342=""),"",INDEX(Config!$D$13:$D$15,$AK342)*$AL342+INDEX(Config!$E$13:$E$15,$AK342)*$AM342)</f>
        <v/>
      </c>
      <c r="U342" s="43" t="str">
        <f aca="false">IF(OR($D342="",$N342=""),"",INDEX(Config!$F$13:$F$15,$AK342)*($K342+$O342))</f>
        <v/>
      </c>
      <c r="V342" s="43" t="str">
        <f aca="false">IF(OR($D342="",$N342=""),"",INDEX(Config!$G$13:$G$15,$AK342)*($K342+$O342)+INDEX(Config!$H$13:$H$15,$AK342)*$AL342+INDEX(Config!$J$13:$J$15,$AK342))</f>
        <v/>
      </c>
      <c r="W342" s="43" t="str">
        <f aca="false">IF(OR($D342="",$N342=""),"",INDEX(Config!$I$13:$I$15,$AK342)*($S342+$U342+INDEX(Config!$G$13:$G$15,$AK342)*($K342+$O342)))</f>
        <v/>
      </c>
      <c r="X342" s="43" t="str">
        <f aca="false">IF(OR($D342="",$N342=""),"",INDEX(Config!$K$13:$K$15,$AK342)/365*$P342*$K342*Config!$B$8)</f>
        <v/>
      </c>
      <c r="Y342" s="43" t="str">
        <f aca="false">IF(OR($D342="",$N342=""),"",SUM($S342:$X342))</f>
        <v/>
      </c>
      <c r="Z342" s="40" t="str">
        <f aca="false">IF(OR($D342="",$Q342=""),"",$Q342-$Y342)</f>
        <v/>
      </c>
      <c r="AA342" s="42" t="str">
        <f aca="false">IF(OR($D342="",$Z342="",$K342=0),"",$Z342/$K342)</f>
        <v/>
      </c>
      <c r="AB342" s="44" t="str">
        <f aca="false">IF(OR($D342="",$Y342="",$K342=0),"",$Y342/$K342*10000)</f>
        <v/>
      </c>
      <c r="AC342" s="44" t="str">
        <f aca="false">IF(OR($D342="",$G342="",$G342=0,$I342=""),"",IF($E342="LONG",($I342-$G342)/$G342,($G342-$I342)/$G342)*10000)</f>
        <v/>
      </c>
      <c r="AD342" s="45"/>
      <c r="AE342" s="40" t="str">
        <f aca="false">IF(OR($D342="",$N342&lt;&gt;"",$AD342=""),"",IF($E342="LONG",($AD342-$I342)*$J342,($I342-$AD342)*$J342))</f>
        <v/>
      </c>
      <c r="AF342" s="40" t="str">
        <f aca="false">IF(OR($D342="",$E342&lt;&gt;"LONG",$Z342=""),"",$Z342+SUMIFS($Z$4:$Z$503,$B$4:$B$503,$B342,$E$4:$E$503,"SHORT"))</f>
        <v/>
      </c>
      <c r="AG342" s="42" t="str">
        <f aca="false">IF(OR($AF342="",$K342=0),"",$AF342/$K342)</f>
        <v/>
      </c>
      <c r="AH342" s="46"/>
      <c r="AI342" s="43" t="str">
        <f aca="false">IF(OR($D342="",$AH342="",$Z342=""),"",$Z342-$AH342)</f>
        <v/>
      </c>
      <c r="AJ342" s="49"/>
      <c r="AK342" s="47" t="str">
        <f aca="false">IF($D342="","",IFERROR(MATCH($F342,Config!$A$13:$A$15,0),1))</f>
        <v/>
      </c>
      <c r="AL342" s="47" t="str">
        <f aca="false">IF(OR($D342="",$N342=""),"",IF($E342="LONG",$K342,$O342))</f>
        <v/>
      </c>
      <c r="AM342" s="47" t="str">
        <f aca="false">IF(OR($D342="",$N342=""),"",IF($E342="LONG",$O342,$K342))</f>
        <v/>
      </c>
    </row>
    <row r="343" customFormat="false" ht="15" hidden="false" customHeight="false" outlineLevel="0" collapsed="false">
      <c r="A343" s="49"/>
      <c r="B343" s="5" t="str">
        <f aca="false">IF($D343="","",IF(OR(RIGHT($A343,2)="-L",RIGHT($A343,2)="-S"),LEFT($A343,LEN($A343)-2),$A343))</f>
        <v/>
      </c>
      <c r="C343" s="50"/>
      <c r="D343" s="49"/>
      <c r="E343" s="49"/>
      <c r="F343" s="49"/>
      <c r="G343" s="45"/>
      <c r="H343" s="50"/>
      <c r="I343" s="45"/>
      <c r="J343" s="51"/>
      <c r="K343" s="40" t="str">
        <f aca="false">IF($D343="","",$I343*$J343)</f>
        <v/>
      </c>
      <c r="L343" s="50"/>
      <c r="M343" s="49"/>
      <c r="N343" s="45"/>
      <c r="O343" s="40" t="str">
        <f aca="false">IF(OR($D343="",$N343=""),"",$N343*$J343)</f>
        <v/>
      </c>
      <c r="P343" s="41" t="str">
        <f aca="false">IF(OR($D343="",$L343=""),"",MAX($L343-$H343,0))</f>
        <v/>
      </c>
      <c r="Q343" s="40" t="str">
        <f aca="false">IF(OR($D343="",$N343=""),"",IF($E343="LONG",($N343-$I343)*$J343,($I343-$N343)*$J343))</f>
        <v/>
      </c>
      <c r="R343" s="42" t="str">
        <f aca="false">IF(OR($D343="",$Q343="",$K343=0),"",$Q343/$K343)</f>
        <v/>
      </c>
      <c r="S343" s="43" t="str">
        <f aca="false">IF(OR($D343="",$N343=""),"",MIN(INDEX(Config!$C$13:$C$15,$AK343),INDEX(Config!$B$13:$B$15,$AK343)*$K343)+MIN(INDEX(Config!$C$13:$C$15,$AK343),INDEX(Config!$B$13:$B$15,$AK343)*$O343))</f>
        <v/>
      </c>
      <c r="T343" s="43" t="str">
        <f aca="false">IF(OR($D343="",$N343=""),"",INDEX(Config!$D$13:$D$15,$AK343)*$AL343+INDEX(Config!$E$13:$E$15,$AK343)*$AM343)</f>
        <v/>
      </c>
      <c r="U343" s="43" t="str">
        <f aca="false">IF(OR($D343="",$N343=""),"",INDEX(Config!$F$13:$F$15,$AK343)*($K343+$O343))</f>
        <v/>
      </c>
      <c r="V343" s="43" t="str">
        <f aca="false">IF(OR($D343="",$N343=""),"",INDEX(Config!$G$13:$G$15,$AK343)*($K343+$O343)+INDEX(Config!$H$13:$H$15,$AK343)*$AL343+INDEX(Config!$J$13:$J$15,$AK343))</f>
        <v/>
      </c>
      <c r="W343" s="43" t="str">
        <f aca="false">IF(OR($D343="",$N343=""),"",INDEX(Config!$I$13:$I$15,$AK343)*($S343+$U343+INDEX(Config!$G$13:$G$15,$AK343)*($K343+$O343)))</f>
        <v/>
      </c>
      <c r="X343" s="43" t="str">
        <f aca="false">IF(OR($D343="",$N343=""),"",INDEX(Config!$K$13:$K$15,$AK343)/365*$P343*$K343*Config!$B$8)</f>
        <v/>
      </c>
      <c r="Y343" s="43" t="str">
        <f aca="false">IF(OR($D343="",$N343=""),"",SUM($S343:$X343))</f>
        <v/>
      </c>
      <c r="Z343" s="40" t="str">
        <f aca="false">IF(OR($D343="",$Q343=""),"",$Q343-$Y343)</f>
        <v/>
      </c>
      <c r="AA343" s="42" t="str">
        <f aca="false">IF(OR($D343="",$Z343="",$K343=0),"",$Z343/$K343)</f>
        <v/>
      </c>
      <c r="AB343" s="44" t="str">
        <f aca="false">IF(OR($D343="",$Y343="",$K343=0),"",$Y343/$K343*10000)</f>
        <v/>
      </c>
      <c r="AC343" s="44" t="str">
        <f aca="false">IF(OR($D343="",$G343="",$G343=0,$I343=""),"",IF($E343="LONG",($I343-$G343)/$G343,($G343-$I343)/$G343)*10000)</f>
        <v/>
      </c>
      <c r="AD343" s="45"/>
      <c r="AE343" s="40" t="str">
        <f aca="false">IF(OR($D343="",$N343&lt;&gt;"",$AD343=""),"",IF($E343="LONG",($AD343-$I343)*$J343,($I343-$AD343)*$J343))</f>
        <v/>
      </c>
      <c r="AF343" s="40" t="str">
        <f aca="false">IF(OR($D343="",$E343&lt;&gt;"LONG",$Z343=""),"",$Z343+SUMIFS($Z$4:$Z$503,$B$4:$B$503,$B343,$E$4:$E$503,"SHORT"))</f>
        <v/>
      </c>
      <c r="AG343" s="42" t="str">
        <f aca="false">IF(OR($AF343="",$K343=0),"",$AF343/$K343)</f>
        <v/>
      </c>
      <c r="AH343" s="46"/>
      <c r="AI343" s="43" t="str">
        <f aca="false">IF(OR($D343="",$AH343="",$Z343=""),"",$Z343-$AH343)</f>
        <v/>
      </c>
      <c r="AJ343" s="49"/>
      <c r="AK343" s="47" t="str">
        <f aca="false">IF($D343="","",IFERROR(MATCH($F343,Config!$A$13:$A$15,0),1))</f>
        <v/>
      </c>
      <c r="AL343" s="47" t="str">
        <f aca="false">IF(OR($D343="",$N343=""),"",IF($E343="LONG",$K343,$O343))</f>
        <v/>
      </c>
      <c r="AM343" s="47" t="str">
        <f aca="false">IF(OR($D343="",$N343=""),"",IF($E343="LONG",$O343,$K343))</f>
        <v/>
      </c>
    </row>
    <row r="344" customFormat="false" ht="15" hidden="false" customHeight="false" outlineLevel="0" collapsed="false">
      <c r="A344" s="49"/>
      <c r="B344" s="5" t="str">
        <f aca="false">IF($D344="","",IF(OR(RIGHT($A344,2)="-L",RIGHT($A344,2)="-S"),LEFT($A344,LEN($A344)-2),$A344))</f>
        <v/>
      </c>
      <c r="C344" s="50"/>
      <c r="D344" s="49"/>
      <c r="E344" s="49"/>
      <c r="F344" s="49"/>
      <c r="G344" s="45"/>
      <c r="H344" s="50"/>
      <c r="I344" s="45"/>
      <c r="J344" s="51"/>
      <c r="K344" s="40" t="str">
        <f aca="false">IF($D344="","",$I344*$J344)</f>
        <v/>
      </c>
      <c r="L344" s="50"/>
      <c r="M344" s="49"/>
      <c r="N344" s="45"/>
      <c r="O344" s="40" t="str">
        <f aca="false">IF(OR($D344="",$N344=""),"",$N344*$J344)</f>
        <v/>
      </c>
      <c r="P344" s="41" t="str">
        <f aca="false">IF(OR($D344="",$L344=""),"",MAX($L344-$H344,0))</f>
        <v/>
      </c>
      <c r="Q344" s="40" t="str">
        <f aca="false">IF(OR($D344="",$N344=""),"",IF($E344="LONG",($N344-$I344)*$J344,($I344-$N344)*$J344))</f>
        <v/>
      </c>
      <c r="R344" s="42" t="str">
        <f aca="false">IF(OR($D344="",$Q344="",$K344=0),"",$Q344/$K344)</f>
        <v/>
      </c>
      <c r="S344" s="43" t="str">
        <f aca="false">IF(OR($D344="",$N344=""),"",MIN(INDEX(Config!$C$13:$C$15,$AK344),INDEX(Config!$B$13:$B$15,$AK344)*$K344)+MIN(INDEX(Config!$C$13:$C$15,$AK344),INDEX(Config!$B$13:$B$15,$AK344)*$O344))</f>
        <v/>
      </c>
      <c r="T344" s="43" t="str">
        <f aca="false">IF(OR($D344="",$N344=""),"",INDEX(Config!$D$13:$D$15,$AK344)*$AL344+INDEX(Config!$E$13:$E$15,$AK344)*$AM344)</f>
        <v/>
      </c>
      <c r="U344" s="43" t="str">
        <f aca="false">IF(OR($D344="",$N344=""),"",INDEX(Config!$F$13:$F$15,$AK344)*($K344+$O344))</f>
        <v/>
      </c>
      <c r="V344" s="43" t="str">
        <f aca="false">IF(OR($D344="",$N344=""),"",INDEX(Config!$G$13:$G$15,$AK344)*($K344+$O344)+INDEX(Config!$H$13:$H$15,$AK344)*$AL344+INDEX(Config!$J$13:$J$15,$AK344))</f>
        <v/>
      </c>
      <c r="W344" s="43" t="str">
        <f aca="false">IF(OR($D344="",$N344=""),"",INDEX(Config!$I$13:$I$15,$AK344)*($S344+$U344+INDEX(Config!$G$13:$G$15,$AK344)*($K344+$O344)))</f>
        <v/>
      </c>
      <c r="X344" s="43" t="str">
        <f aca="false">IF(OR($D344="",$N344=""),"",INDEX(Config!$K$13:$K$15,$AK344)/365*$P344*$K344*Config!$B$8)</f>
        <v/>
      </c>
      <c r="Y344" s="43" t="str">
        <f aca="false">IF(OR($D344="",$N344=""),"",SUM($S344:$X344))</f>
        <v/>
      </c>
      <c r="Z344" s="40" t="str">
        <f aca="false">IF(OR($D344="",$Q344=""),"",$Q344-$Y344)</f>
        <v/>
      </c>
      <c r="AA344" s="42" t="str">
        <f aca="false">IF(OR($D344="",$Z344="",$K344=0),"",$Z344/$K344)</f>
        <v/>
      </c>
      <c r="AB344" s="44" t="str">
        <f aca="false">IF(OR($D344="",$Y344="",$K344=0),"",$Y344/$K344*10000)</f>
        <v/>
      </c>
      <c r="AC344" s="44" t="str">
        <f aca="false">IF(OR($D344="",$G344="",$G344=0,$I344=""),"",IF($E344="LONG",($I344-$G344)/$G344,($G344-$I344)/$G344)*10000)</f>
        <v/>
      </c>
      <c r="AD344" s="45"/>
      <c r="AE344" s="40" t="str">
        <f aca="false">IF(OR($D344="",$N344&lt;&gt;"",$AD344=""),"",IF($E344="LONG",($AD344-$I344)*$J344,($I344-$AD344)*$J344))</f>
        <v/>
      </c>
      <c r="AF344" s="40" t="str">
        <f aca="false">IF(OR($D344="",$E344&lt;&gt;"LONG",$Z344=""),"",$Z344+SUMIFS($Z$4:$Z$503,$B$4:$B$503,$B344,$E$4:$E$503,"SHORT"))</f>
        <v/>
      </c>
      <c r="AG344" s="42" t="str">
        <f aca="false">IF(OR($AF344="",$K344=0),"",$AF344/$K344)</f>
        <v/>
      </c>
      <c r="AH344" s="46"/>
      <c r="AI344" s="43" t="str">
        <f aca="false">IF(OR($D344="",$AH344="",$Z344=""),"",$Z344-$AH344)</f>
        <v/>
      </c>
      <c r="AJ344" s="49"/>
      <c r="AK344" s="47" t="str">
        <f aca="false">IF($D344="","",IFERROR(MATCH($F344,Config!$A$13:$A$15,0),1))</f>
        <v/>
      </c>
      <c r="AL344" s="47" t="str">
        <f aca="false">IF(OR($D344="",$N344=""),"",IF($E344="LONG",$K344,$O344))</f>
        <v/>
      </c>
      <c r="AM344" s="47" t="str">
        <f aca="false">IF(OR($D344="",$N344=""),"",IF($E344="LONG",$O344,$K344))</f>
        <v/>
      </c>
    </row>
    <row r="345" customFormat="false" ht="15" hidden="false" customHeight="false" outlineLevel="0" collapsed="false">
      <c r="A345" s="49"/>
      <c r="B345" s="5" t="str">
        <f aca="false">IF($D345="","",IF(OR(RIGHT($A345,2)="-L",RIGHT($A345,2)="-S"),LEFT($A345,LEN($A345)-2),$A345))</f>
        <v/>
      </c>
      <c r="C345" s="50"/>
      <c r="D345" s="49"/>
      <c r="E345" s="49"/>
      <c r="F345" s="49"/>
      <c r="G345" s="45"/>
      <c r="H345" s="50"/>
      <c r="I345" s="45"/>
      <c r="J345" s="51"/>
      <c r="K345" s="40" t="str">
        <f aca="false">IF($D345="","",$I345*$J345)</f>
        <v/>
      </c>
      <c r="L345" s="50"/>
      <c r="M345" s="49"/>
      <c r="N345" s="45"/>
      <c r="O345" s="40" t="str">
        <f aca="false">IF(OR($D345="",$N345=""),"",$N345*$J345)</f>
        <v/>
      </c>
      <c r="P345" s="41" t="str">
        <f aca="false">IF(OR($D345="",$L345=""),"",MAX($L345-$H345,0))</f>
        <v/>
      </c>
      <c r="Q345" s="40" t="str">
        <f aca="false">IF(OR($D345="",$N345=""),"",IF($E345="LONG",($N345-$I345)*$J345,($I345-$N345)*$J345))</f>
        <v/>
      </c>
      <c r="R345" s="42" t="str">
        <f aca="false">IF(OR($D345="",$Q345="",$K345=0),"",$Q345/$K345)</f>
        <v/>
      </c>
      <c r="S345" s="43" t="str">
        <f aca="false">IF(OR($D345="",$N345=""),"",MIN(INDEX(Config!$C$13:$C$15,$AK345),INDEX(Config!$B$13:$B$15,$AK345)*$K345)+MIN(INDEX(Config!$C$13:$C$15,$AK345),INDEX(Config!$B$13:$B$15,$AK345)*$O345))</f>
        <v/>
      </c>
      <c r="T345" s="43" t="str">
        <f aca="false">IF(OR($D345="",$N345=""),"",INDEX(Config!$D$13:$D$15,$AK345)*$AL345+INDEX(Config!$E$13:$E$15,$AK345)*$AM345)</f>
        <v/>
      </c>
      <c r="U345" s="43" t="str">
        <f aca="false">IF(OR($D345="",$N345=""),"",INDEX(Config!$F$13:$F$15,$AK345)*($K345+$O345))</f>
        <v/>
      </c>
      <c r="V345" s="43" t="str">
        <f aca="false">IF(OR($D345="",$N345=""),"",INDEX(Config!$G$13:$G$15,$AK345)*($K345+$O345)+INDEX(Config!$H$13:$H$15,$AK345)*$AL345+INDEX(Config!$J$13:$J$15,$AK345))</f>
        <v/>
      </c>
      <c r="W345" s="43" t="str">
        <f aca="false">IF(OR($D345="",$N345=""),"",INDEX(Config!$I$13:$I$15,$AK345)*($S345+$U345+INDEX(Config!$G$13:$G$15,$AK345)*($K345+$O345)))</f>
        <v/>
      </c>
      <c r="X345" s="43" t="str">
        <f aca="false">IF(OR($D345="",$N345=""),"",INDEX(Config!$K$13:$K$15,$AK345)/365*$P345*$K345*Config!$B$8)</f>
        <v/>
      </c>
      <c r="Y345" s="43" t="str">
        <f aca="false">IF(OR($D345="",$N345=""),"",SUM($S345:$X345))</f>
        <v/>
      </c>
      <c r="Z345" s="40" t="str">
        <f aca="false">IF(OR($D345="",$Q345=""),"",$Q345-$Y345)</f>
        <v/>
      </c>
      <c r="AA345" s="42" t="str">
        <f aca="false">IF(OR($D345="",$Z345="",$K345=0),"",$Z345/$K345)</f>
        <v/>
      </c>
      <c r="AB345" s="44" t="str">
        <f aca="false">IF(OR($D345="",$Y345="",$K345=0),"",$Y345/$K345*10000)</f>
        <v/>
      </c>
      <c r="AC345" s="44" t="str">
        <f aca="false">IF(OR($D345="",$G345="",$G345=0,$I345=""),"",IF($E345="LONG",($I345-$G345)/$G345,($G345-$I345)/$G345)*10000)</f>
        <v/>
      </c>
      <c r="AD345" s="45"/>
      <c r="AE345" s="40" t="str">
        <f aca="false">IF(OR($D345="",$N345&lt;&gt;"",$AD345=""),"",IF($E345="LONG",($AD345-$I345)*$J345,($I345-$AD345)*$J345))</f>
        <v/>
      </c>
      <c r="AF345" s="40" t="str">
        <f aca="false">IF(OR($D345="",$E345&lt;&gt;"LONG",$Z345=""),"",$Z345+SUMIFS($Z$4:$Z$503,$B$4:$B$503,$B345,$E$4:$E$503,"SHORT"))</f>
        <v/>
      </c>
      <c r="AG345" s="42" t="str">
        <f aca="false">IF(OR($AF345="",$K345=0),"",$AF345/$K345)</f>
        <v/>
      </c>
      <c r="AH345" s="46"/>
      <c r="AI345" s="43" t="str">
        <f aca="false">IF(OR($D345="",$AH345="",$Z345=""),"",$Z345-$AH345)</f>
        <v/>
      </c>
      <c r="AJ345" s="49"/>
      <c r="AK345" s="47" t="str">
        <f aca="false">IF($D345="","",IFERROR(MATCH($F345,Config!$A$13:$A$15,0),1))</f>
        <v/>
      </c>
      <c r="AL345" s="47" t="str">
        <f aca="false">IF(OR($D345="",$N345=""),"",IF($E345="LONG",$K345,$O345))</f>
        <v/>
      </c>
      <c r="AM345" s="47" t="str">
        <f aca="false">IF(OR($D345="",$N345=""),"",IF($E345="LONG",$O345,$K345))</f>
        <v/>
      </c>
    </row>
    <row r="346" customFormat="false" ht="15" hidden="false" customHeight="false" outlineLevel="0" collapsed="false">
      <c r="A346" s="49"/>
      <c r="B346" s="5" t="str">
        <f aca="false">IF($D346="","",IF(OR(RIGHT($A346,2)="-L",RIGHT($A346,2)="-S"),LEFT($A346,LEN($A346)-2),$A346))</f>
        <v/>
      </c>
      <c r="C346" s="50"/>
      <c r="D346" s="49"/>
      <c r="E346" s="49"/>
      <c r="F346" s="49"/>
      <c r="G346" s="45"/>
      <c r="H346" s="50"/>
      <c r="I346" s="45"/>
      <c r="J346" s="51"/>
      <c r="K346" s="40" t="str">
        <f aca="false">IF($D346="","",$I346*$J346)</f>
        <v/>
      </c>
      <c r="L346" s="50"/>
      <c r="M346" s="49"/>
      <c r="N346" s="45"/>
      <c r="O346" s="40" t="str">
        <f aca="false">IF(OR($D346="",$N346=""),"",$N346*$J346)</f>
        <v/>
      </c>
      <c r="P346" s="41" t="str">
        <f aca="false">IF(OR($D346="",$L346=""),"",MAX($L346-$H346,0))</f>
        <v/>
      </c>
      <c r="Q346" s="40" t="str">
        <f aca="false">IF(OR($D346="",$N346=""),"",IF($E346="LONG",($N346-$I346)*$J346,($I346-$N346)*$J346))</f>
        <v/>
      </c>
      <c r="R346" s="42" t="str">
        <f aca="false">IF(OR($D346="",$Q346="",$K346=0),"",$Q346/$K346)</f>
        <v/>
      </c>
      <c r="S346" s="43" t="str">
        <f aca="false">IF(OR($D346="",$N346=""),"",MIN(INDEX(Config!$C$13:$C$15,$AK346),INDEX(Config!$B$13:$B$15,$AK346)*$K346)+MIN(INDEX(Config!$C$13:$C$15,$AK346),INDEX(Config!$B$13:$B$15,$AK346)*$O346))</f>
        <v/>
      </c>
      <c r="T346" s="43" t="str">
        <f aca="false">IF(OR($D346="",$N346=""),"",INDEX(Config!$D$13:$D$15,$AK346)*$AL346+INDEX(Config!$E$13:$E$15,$AK346)*$AM346)</f>
        <v/>
      </c>
      <c r="U346" s="43" t="str">
        <f aca="false">IF(OR($D346="",$N346=""),"",INDEX(Config!$F$13:$F$15,$AK346)*($K346+$O346))</f>
        <v/>
      </c>
      <c r="V346" s="43" t="str">
        <f aca="false">IF(OR($D346="",$N346=""),"",INDEX(Config!$G$13:$G$15,$AK346)*($K346+$O346)+INDEX(Config!$H$13:$H$15,$AK346)*$AL346+INDEX(Config!$J$13:$J$15,$AK346))</f>
        <v/>
      </c>
      <c r="W346" s="43" t="str">
        <f aca="false">IF(OR($D346="",$N346=""),"",INDEX(Config!$I$13:$I$15,$AK346)*($S346+$U346+INDEX(Config!$G$13:$G$15,$AK346)*($K346+$O346)))</f>
        <v/>
      </c>
      <c r="X346" s="43" t="str">
        <f aca="false">IF(OR($D346="",$N346=""),"",INDEX(Config!$K$13:$K$15,$AK346)/365*$P346*$K346*Config!$B$8)</f>
        <v/>
      </c>
      <c r="Y346" s="43" t="str">
        <f aca="false">IF(OR($D346="",$N346=""),"",SUM($S346:$X346))</f>
        <v/>
      </c>
      <c r="Z346" s="40" t="str">
        <f aca="false">IF(OR($D346="",$Q346=""),"",$Q346-$Y346)</f>
        <v/>
      </c>
      <c r="AA346" s="42" t="str">
        <f aca="false">IF(OR($D346="",$Z346="",$K346=0),"",$Z346/$K346)</f>
        <v/>
      </c>
      <c r="AB346" s="44" t="str">
        <f aca="false">IF(OR($D346="",$Y346="",$K346=0),"",$Y346/$K346*10000)</f>
        <v/>
      </c>
      <c r="AC346" s="44" t="str">
        <f aca="false">IF(OR($D346="",$G346="",$G346=0,$I346=""),"",IF($E346="LONG",($I346-$G346)/$G346,($G346-$I346)/$G346)*10000)</f>
        <v/>
      </c>
      <c r="AD346" s="45"/>
      <c r="AE346" s="40" t="str">
        <f aca="false">IF(OR($D346="",$N346&lt;&gt;"",$AD346=""),"",IF($E346="LONG",($AD346-$I346)*$J346,($I346-$AD346)*$J346))</f>
        <v/>
      </c>
      <c r="AF346" s="40" t="str">
        <f aca="false">IF(OR($D346="",$E346&lt;&gt;"LONG",$Z346=""),"",$Z346+SUMIFS($Z$4:$Z$503,$B$4:$B$503,$B346,$E$4:$E$503,"SHORT"))</f>
        <v/>
      </c>
      <c r="AG346" s="42" t="str">
        <f aca="false">IF(OR($AF346="",$K346=0),"",$AF346/$K346)</f>
        <v/>
      </c>
      <c r="AH346" s="46"/>
      <c r="AI346" s="43" t="str">
        <f aca="false">IF(OR($D346="",$AH346="",$Z346=""),"",$Z346-$AH346)</f>
        <v/>
      </c>
      <c r="AJ346" s="49"/>
      <c r="AK346" s="47" t="str">
        <f aca="false">IF($D346="","",IFERROR(MATCH($F346,Config!$A$13:$A$15,0),1))</f>
        <v/>
      </c>
      <c r="AL346" s="47" t="str">
        <f aca="false">IF(OR($D346="",$N346=""),"",IF($E346="LONG",$K346,$O346))</f>
        <v/>
      </c>
      <c r="AM346" s="47" t="str">
        <f aca="false">IF(OR($D346="",$N346=""),"",IF($E346="LONG",$O346,$K346))</f>
        <v/>
      </c>
    </row>
    <row r="347" customFormat="false" ht="15" hidden="false" customHeight="false" outlineLevel="0" collapsed="false">
      <c r="A347" s="49"/>
      <c r="B347" s="5" t="str">
        <f aca="false">IF($D347="","",IF(OR(RIGHT($A347,2)="-L",RIGHT($A347,2)="-S"),LEFT($A347,LEN($A347)-2),$A347))</f>
        <v/>
      </c>
      <c r="C347" s="50"/>
      <c r="D347" s="49"/>
      <c r="E347" s="49"/>
      <c r="F347" s="49"/>
      <c r="G347" s="45"/>
      <c r="H347" s="50"/>
      <c r="I347" s="45"/>
      <c r="J347" s="51"/>
      <c r="K347" s="40" t="str">
        <f aca="false">IF($D347="","",$I347*$J347)</f>
        <v/>
      </c>
      <c r="L347" s="50"/>
      <c r="M347" s="49"/>
      <c r="N347" s="45"/>
      <c r="O347" s="40" t="str">
        <f aca="false">IF(OR($D347="",$N347=""),"",$N347*$J347)</f>
        <v/>
      </c>
      <c r="P347" s="41" t="str">
        <f aca="false">IF(OR($D347="",$L347=""),"",MAX($L347-$H347,0))</f>
        <v/>
      </c>
      <c r="Q347" s="40" t="str">
        <f aca="false">IF(OR($D347="",$N347=""),"",IF($E347="LONG",($N347-$I347)*$J347,($I347-$N347)*$J347))</f>
        <v/>
      </c>
      <c r="R347" s="42" t="str">
        <f aca="false">IF(OR($D347="",$Q347="",$K347=0),"",$Q347/$K347)</f>
        <v/>
      </c>
      <c r="S347" s="43" t="str">
        <f aca="false">IF(OR($D347="",$N347=""),"",MIN(INDEX(Config!$C$13:$C$15,$AK347),INDEX(Config!$B$13:$B$15,$AK347)*$K347)+MIN(INDEX(Config!$C$13:$C$15,$AK347),INDEX(Config!$B$13:$B$15,$AK347)*$O347))</f>
        <v/>
      </c>
      <c r="T347" s="43" t="str">
        <f aca="false">IF(OR($D347="",$N347=""),"",INDEX(Config!$D$13:$D$15,$AK347)*$AL347+INDEX(Config!$E$13:$E$15,$AK347)*$AM347)</f>
        <v/>
      </c>
      <c r="U347" s="43" t="str">
        <f aca="false">IF(OR($D347="",$N347=""),"",INDEX(Config!$F$13:$F$15,$AK347)*($K347+$O347))</f>
        <v/>
      </c>
      <c r="V347" s="43" t="str">
        <f aca="false">IF(OR($D347="",$N347=""),"",INDEX(Config!$G$13:$G$15,$AK347)*($K347+$O347)+INDEX(Config!$H$13:$H$15,$AK347)*$AL347+INDEX(Config!$J$13:$J$15,$AK347))</f>
        <v/>
      </c>
      <c r="W347" s="43" t="str">
        <f aca="false">IF(OR($D347="",$N347=""),"",INDEX(Config!$I$13:$I$15,$AK347)*($S347+$U347+INDEX(Config!$G$13:$G$15,$AK347)*($K347+$O347)))</f>
        <v/>
      </c>
      <c r="X347" s="43" t="str">
        <f aca="false">IF(OR($D347="",$N347=""),"",INDEX(Config!$K$13:$K$15,$AK347)/365*$P347*$K347*Config!$B$8)</f>
        <v/>
      </c>
      <c r="Y347" s="43" t="str">
        <f aca="false">IF(OR($D347="",$N347=""),"",SUM($S347:$X347))</f>
        <v/>
      </c>
      <c r="Z347" s="40" t="str">
        <f aca="false">IF(OR($D347="",$Q347=""),"",$Q347-$Y347)</f>
        <v/>
      </c>
      <c r="AA347" s="42" t="str">
        <f aca="false">IF(OR($D347="",$Z347="",$K347=0),"",$Z347/$K347)</f>
        <v/>
      </c>
      <c r="AB347" s="44" t="str">
        <f aca="false">IF(OR($D347="",$Y347="",$K347=0),"",$Y347/$K347*10000)</f>
        <v/>
      </c>
      <c r="AC347" s="44" t="str">
        <f aca="false">IF(OR($D347="",$G347="",$G347=0,$I347=""),"",IF($E347="LONG",($I347-$G347)/$G347,($G347-$I347)/$G347)*10000)</f>
        <v/>
      </c>
      <c r="AD347" s="45"/>
      <c r="AE347" s="40" t="str">
        <f aca="false">IF(OR($D347="",$N347&lt;&gt;"",$AD347=""),"",IF($E347="LONG",($AD347-$I347)*$J347,($I347-$AD347)*$J347))</f>
        <v/>
      </c>
      <c r="AF347" s="40" t="str">
        <f aca="false">IF(OR($D347="",$E347&lt;&gt;"LONG",$Z347=""),"",$Z347+SUMIFS($Z$4:$Z$503,$B$4:$B$503,$B347,$E$4:$E$503,"SHORT"))</f>
        <v/>
      </c>
      <c r="AG347" s="42" t="str">
        <f aca="false">IF(OR($AF347="",$K347=0),"",$AF347/$K347)</f>
        <v/>
      </c>
      <c r="AH347" s="46"/>
      <c r="AI347" s="43" t="str">
        <f aca="false">IF(OR($D347="",$AH347="",$Z347=""),"",$Z347-$AH347)</f>
        <v/>
      </c>
      <c r="AJ347" s="49"/>
      <c r="AK347" s="47" t="str">
        <f aca="false">IF($D347="","",IFERROR(MATCH($F347,Config!$A$13:$A$15,0),1))</f>
        <v/>
      </c>
      <c r="AL347" s="47" t="str">
        <f aca="false">IF(OR($D347="",$N347=""),"",IF($E347="LONG",$K347,$O347))</f>
        <v/>
      </c>
      <c r="AM347" s="47" t="str">
        <f aca="false">IF(OR($D347="",$N347=""),"",IF($E347="LONG",$O347,$K347))</f>
        <v/>
      </c>
    </row>
    <row r="348" customFormat="false" ht="15" hidden="false" customHeight="false" outlineLevel="0" collapsed="false">
      <c r="A348" s="49"/>
      <c r="B348" s="5" t="str">
        <f aca="false">IF($D348="","",IF(OR(RIGHT($A348,2)="-L",RIGHT($A348,2)="-S"),LEFT($A348,LEN($A348)-2),$A348))</f>
        <v/>
      </c>
      <c r="C348" s="50"/>
      <c r="D348" s="49"/>
      <c r="E348" s="49"/>
      <c r="F348" s="49"/>
      <c r="G348" s="45"/>
      <c r="H348" s="50"/>
      <c r="I348" s="45"/>
      <c r="J348" s="51"/>
      <c r="K348" s="40" t="str">
        <f aca="false">IF($D348="","",$I348*$J348)</f>
        <v/>
      </c>
      <c r="L348" s="50"/>
      <c r="M348" s="49"/>
      <c r="N348" s="45"/>
      <c r="O348" s="40" t="str">
        <f aca="false">IF(OR($D348="",$N348=""),"",$N348*$J348)</f>
        <v/>
      </c>
      <c r="P348" s="41" t="str">
        <f aca="false">IF(OR($D348="",$L348=""),"",MAX($L348-$H348,0))</f>
        <v/>
      </c>
      <c r="Q348" s="40" t="str">
        <f aca="false">IF(OR($D348="",$N348=""),"",IF($E348="LONG",($N348-$I348)*$J348,($I348-$N348)*$J348))</f>
        <v/>
      </c>
      <c r="R348" s="42" t="str">
        <f aca="false">IF(OR($D348="",$Q348="",$K348=0),"",$Q348/$K348)</f>
        <v/>
      </c>
      <c r="S348" s="43" t="str">
        <f aca="false">IF(OR($D348="",$N348=""),"",MIN(INDEX(Config!$C$13:$C$15,$AK348),INDEX(Config!$B$13:$B$15,$AK348)*$K348)+MIN(INDEX(Config!$C$13:$C$15,$AK348),INDEX(Config!$B$13:$B$15,$AK348)*$O348))</f>
        <v/>
      </c>
      <c r="T348" s="43" t="str">
        <f aca="false">IF(OR($D348="",$N348=""),"",INDEX(Config!$D$13:$D$15,$AK348)*$AL348+INDEX(Config!$E$13:$E$15,$AK348)*$AM348)</f>
        <v/>
      </c>
      <c r="U348" s="43" t="str">
        <f aca="false">IF(OR($D348="",$N348=""),"",INDEX(Config!$F$13:$F$15,$AK348)*($K348+$O348))</f>
        <v/>
      </c>
      <c r="V348" s="43" t="str">
        <f aca="false">IF(OR($D348="",$N348=""),"",INDEX(Config!$G$13:$G$15,$AK348)*($K348+$O348)+INDEX(Config!$H$13:$H$15,$AK348)*$AL348+INDEX(Config!$J$13:$J$15,$AK348))</f>
        <v/>
      </c>
      <c r="W348" s="43" t="str">
        <f aca="false">IF(OR($D348="",$N348=""),"",INDEX(Config!$I$13:$I$15,$AK348)*($S348+$U348+INDEX(Config!$G$13:$G$15,$AK348)*($K348+$O348)))</f>
        <v/>
      </c>
      <c r="X348" s="43" t="str">
        <f aca="false">IF(OR($D348="",$N348=""),"",INDEX(Config!$K$13:$K$15,$AK348)/365*$P348*$K348*Config!$B$8)</f>
        <v/>
      </c>
      <c r="Y348" s="43" t="str">
        <f aca="false">IF(OR($D348="",$N348=""),"",SUM($S348:$X348))</f>
        <v/>
      </c>
      <c r="Z348" s="40" t="str">
        <f aca="false">IF(OR($D348="",$Q348=""),"",$Q348-$Y348)</f>
        <v/>
      </c>
      <c r="AA348" s="42" t="str">
        <f aca="false">IF(OR($D348="",$Z348="",$K348=0),"",$Z348/$K348)</f>
        <v/>
      </c>
      <c r="AB348" s="44" t="str">
        <f aca="false">IF(OR($D348="",$Y348="",$K348=0),"",$Y348/$K348*10000)</f>
        <v/>
      </c>
      <c r="AC348" s="44" t="str">
        <f aca="false">IF(OR($D348="",$G348="",$G348=0,$I348=""),"",IF($E348="LONG",($I348-$G348)/$G348,($G348-$I348)/$G348)*10000)</f>
        <v/>
      </c>
      <c r="AD348" s="45"/>
      <c r="AE348" s="40" t="str">
        <f aca="false">IF(OR($D348="",$N348&lt;&gt;"",$AD348=""),"",IF($E348="LONG",($AD348-$I348)*$J348,($I348-$AD348)*$J348))</f>
        <v/>
      </c>
      <c r="AF348" s="40" t="str">
        <f aca="false">IF(OR($D348="",$E348&lt;&gt;"LONG",$Z348=""),"",$Z348+SUMIFS($Z$4:$Z$503,$B$4:$B$503,$B348,$E$4:$E$503,"SHORT"))</f>
        <v/>
      </c>
      <c r="AG348" s="42" t="str">
        <f aca="false">IF(OR($AF348="",$K348=0),"",$AF348/$K348)</f>
        <v/>
      </c>
      <c r="AH348" s="46"/>
      <c r="AI348" s="43" t="str">
        <f aca="false">IF(OR($D348="",$AH348="",$Z348=""),"",$Z348-$AH348)</f>
        <v/>
      </c>
      <c r="AJ348" s="49"/>
      <c r="AK348" s="47" t="str">
        <f aca="false">IF($D348="","",IFERROR(MATCH($F348,Config!$A$13:$A$15,0),1))</f>
        <v/>
      </c>
      <c r="AL348" s="47" t="str">
        <f aca="false">IF(OR($D348="",$N348=""),"",IF($E348="LONG",$K348,$O348))</f>
        <v/>
      </c>
      <c r="AM348" s="47" t="str">
        <f aca="false">IF(OR($D348="",$N348=""),"",IF($E348="LONG",$O348,$K348))</f>
        <v/>
      </c>
    </row>
    <row r="349" customFormat="false" ht="15" hidden="false" customHeight="false" outlineLevel="0" collapsed="false">
      <c r="A349" s="49"/>
      <c r="B349" s="5" t="str">
        <f aca="false">IF($D349="","",IF(OR(RIGHT($A349,2)="-L",RIGHT($A349,2)="-S"),LEFT($A349,LEN($A349)-2),$A349))</f>
        <v/>
      </c>
      <c r="C349" s="50"/>
      <c r="D349" s="49"/>
      <c r="E349" s="49"/>
      <c r="F349" s="49"/>
      <c r="G349" s="45"/>
      <c r="H349" s="50"/>
      <c r="I349" s="45"/>
      <c r="J349" s="51"/>
      <c r="K349" s="40" t="str">
        <f aca="false">IF($D349="","",$I349*$J349)</f>
        <v/>
      </c>
      <c r="L349" s="50"/>
      <c r="M349" s="49"/>
      <c r="N349" s="45"/>
      <c r="O349" s="40" t="str">
        <f aca="false">IF(OR($D349="",$N349=""),"",$N349*$J349)</f>
        <v/>
      </c>
      <c r="P349" s="41" t="str">
        <f aca="false">IF(OR($D349="",$L349=""),"",MAX($L349-$H349,0))</f>
        <v/>
      </c>
      <c r="Q349" s="40" t="str">
        <f aca="false">IF(OR($D349="",$N349=""),"",IF($E349="LONG",($N349-$I349)*$J349,($I349-$N349)*$J349))</f>
        <v/>
      </c>
      <c r="R349" s="42" t="str">
        <f aca="false">IF(OR($D349="",$Q349="",$K349=0),"",$Q349/$K349)</f>
        <v/>
      </c>
      <c r="S349" s="43" t="str">
        <f aca="false">IF(OR($D349="",$N349=""),"",MIN(INDEX(Config!$C$13:$C$15,$AK349),INDEX(Config!$B$13:$B$15,$AK349)*$K349)+MIN(INDEX(Config!$C$13:$C$15,$AK349),INDEX(Config!$B$13:$B$15,$AK349)*$O349))</f>
        <v/>
      </c>
      <c r="T349" s="43" t="str">
        <f aca="false">IF(OR($D349="",$N349=""),"",INDEX(Config!$D$13:$D$15,$AK349)*$AL349+INDEX(Config!$E$13:$E$15,$AK349)*$AM349)</f>
        <v/>
      </c>
      <c r="U349" s="43" t="str">
        <f aca="false">IF(OR($D349="",$N349=""),"",INDEX(Config!$F$13:$F$15,$AK349)*($K349+$O349))</f>
        <v/>
      </c>
      <c r="V349" s="43" t="str">
        <f aca="false">IF(OR($D349="",$N349=""),"",INDEX(Config!$G$13:$G$15,$AK349)*($K349+$O349)+INDEX(Config!$H$13:$H$15,$AK349)*$AL349+INDEX(Config!$J$13:$J$15,$AK349))</f>
        <v/>
      </c>
      <c r="W349" s="43" t="str">
        <f aca="false">IF(OR($D349="",$N349=""),"",INDEX(Config!$I$13:$I$15,$AK349)*($S349+$U349+INDEX(Config!$G$13:$G$15,$AK349)*($K349+$O349)))</f>
        <v/>
      </c>
      <c r="X349" s="43" t="str">
        <f aca="false">IF(OR($D349="",$N349=""),"",INDEX(Config!$K$13:$K$15,$AK349)/365*$P349*$K349*Config!$B$8)</f>
        <v/>
      </c>
      <c r="Y349" s="43" t="str">
        <f aca="false">IF(OR($D349="",$N349=""),"",SUM($S349:$X349))</f>
        <v/>
      </c>
      <c r="Z349" s="40" t="str">
        <f aca="false">IF(OR($D349="",$Q349=""),"",$Q349-$Y349)</f>
        <v/>
      </c>
      <c r="AA349" s="42" t="str">
        <f aca="false">IF(OR($D349="",$Z349="",$K349=0),"",$Z349/$K349)</f>
        <v/>
      </c>
      <c r="AB349" s="44" t="str">
        <f aca="false">IF(OR($D349="",$Y349="",$K349=0),"",$Y349/$K349*10000)</f>
        <v/>
      </c>
      <c r="AC349" s="44" t="str">
        <f aca="false">IF(OR($D349="",$G349="",$G349=0,$I349=""),"",IF($E349="LONG",($I349-$G349)/$G349,($G349-$I349)/$G349)*10000)</f>
        <v/>
      </c>
      <c r="AD349" s="45"/>
      <c r="AE349" s="40" t="str">
        <f aca="false">IF(OR($D349="",$N349&lt;&gt;"",$AD349=""),"",IF($E349="LONG",($AD349-$I349)*$J349,($I349-$AD349)*$J349))</f>
        <v/>
      </c>
      <c r="AF349" s="40" t="str">
        <f aca="false">IF(OR($D349="",$E349&lt;&gt;"LONG",$Z349=""),"",$Z349+SUMIFS($Z$4:$Z$503,$B$4:$B$503,$B349,$E$4:$E$503,"SHORT"))</f>
        <v/>
      </c>
      <c r="AG349" s="42" t="str">
        <f aca="false">IF(OR($AF349="",$K349=0),"",$AF349/$K349)</f>
        <v/>
      </c>
      <c r="AH349" s="46"/>
      <c r="AI349" s="43" t="str">
        <f aca="false">IF(OR($D349="",$AH349="",$Z349=""),"",$Z349-$AH349)</f>
        <v/>
      </c>
      <c r="AJ349" s="49"/>
      <c r="AK349" s="47" t="str">
        <f aca="false">IF($D349="","",IFERROR(MATCH($F349,Config!$A$13:$A$15,0),1))</f>
        <v/>
      </c>
      <c r="AL349" s="47" t="str">
        <f aca="false">IF(OR($D349="",$N349=""),"",IF($E349="LONG",$K349,$O349))</f>
        <v/>
      </c>
      <c r="AM349" s="47" t="str">
        <f aca="false">IF(OR($D349="",$N349=""),"",IF($E349="LONG",$O349,$K349))</f>
        <v/>
      </c>
    </row>
    <row r="350" customFormat="false" ht="15" hidden="false" customHeight="false" outlineLevel="0" collapsed="false">
      <c r="A350" s="49"/>
      <c r="B350" s="5" t="str">
        <f aca="false">IF($D350="","",IF(OR(RIGHT($A350,2)="-L",RIGHT($A350,2)="-S"),LEFT($A350,LEN($A350)-2),$A350))</f>
        <v/>
      </c>
      <c r="C350" s="50"/>
      <c r="D350" s="49"/>
      <c r="E350" s="49"/>
      <c r="F350" s="49"/>
      <c r="G350" s="45"/>
      <c r="H350" s="50"/>
      <c r="I350" s="45"/>
      <c r="J350" s="51"/>
      <c r="K350" s="40" t="str">
        <f aca="false">IF($D350="","",$I350*$J350)</f>
        <v/>
      </c>
      <c r="L350" s="50"/>
      <c r="M350" s="49"/>
      <c r="N350" s="45"/>
      <c r="O350" s="40" t="str">
        <f aca="false">IF(OR($D350="",$N350=""),"",$N350*$J350)</f>
        <v/>
      </c>
      <c r="P350" s="41" t="str">
        <f aca="false">IF(OR($D350="",$L350=""),"",MAX($L350-$H350,0))</f>
        <v/>
      </c>
      <c r="Q350" s="40" t="str">
        <f aca="false">IF(OR($D350="",$N350=""),"",IF($E350="LONG",($N350-$I350)*$J350,($I350-$N350)*$J350))</f>
        <v/>
      </c>
      <c r="R350" s="42" t="str">
        <f aca="false">IF(OR($D350="",$Q350="",$K350=0),"",$Q350/$K350)</f>
        <v/>
      </c>
      <c r="S350" s="43" t="str">
        <f aca="false">IF(OR($D350="",$N350=""),"",MIN(INDEX(Config!$C$13:$C$15,$AK350),INDEX(Config!$B$13:$B$15,$AK350)*$K350)+MIN(INDEX(Config!$C$13:$C$15,$AK350),INDEX(Config!$B$13:$B$15,$AK350)*$O350))</f>
        <v/>
      </c>
      <c r="T350" s="43" t="str">
        <f aca="false">IF(OR($D350="",$N350=""),"",INDEX(Config!$D$13:$D$15,$AK350)*$AL350+INDEX(Config!$E$13:$E$15,$AK350)*$AM350)</f>
        <v/>
      </c>
      <c r="U350" s="43" t="str">
        <f aca="false">IF(OR($D350="",$N350=""),"",INDEX(Config!$F$13:$F$15,$AK350)*($K350+$O350))</f>
        <v/>
      </c>
      <c r="V350" s="43" t="str">
        <f aca="false">IF(OR($D350="",$N350=""),"",INDEX(Config!$G$13:$G$15,$AK350)*($K350+$O350)+INDEX(Config!$H$13:$H$15,$AK350)*$AL350+INDEX(Config!$J$13:$J$15,$AK350))</f>
        <v/>
      </c>
      <c r="W350" s="43" t="str">
        <f aca="false">IF(OR($D350="",$N350=""),"",INDEX(Config!$I$13:$I$15,$AK350)*($S350+$U350+INDEX(Config!$G$13:$G$15,$AK350)*($K350+$O350)))</f>
        <v/>
      </c>
      <c r="X350" s="43" t="str">
        <f aca="false">IF(OR($D350="",$N350=""),"",INDEX(Config!$K$13:$K$15,$AK350)/365*$P350*$K350*Config!$B$8)</f>
        <v/>
      </c>
      <c r="Y350" s="43" t="str">
        <f aca="false">IF(OR($D350="",$N350=""),"",SUM($S350:$X350))</f>
        <v/>
      </c>
      <c r="Z350" s="40" t="str">
        <f aca="false">IF(OR($D350="",$Q350=""),"",$Q350-$Y350)</f>
        <v/>
      </c>
      <c r="AA350" s="42" t="str">
        <f aca="false">IF(OR($D350="",$Z350="",$K350=0),"",$Z350/$K350)</f>
        <v/>
      </c>
      <c r="AB350" s="44" t="str">
        <f aca="false">IF(OR($D350="",$Y350="",$K350=0),"",$Y350/$K350*10000)</f>
        <v/>
      </c>
      <c r="AC350" s="44" t="str">
        <f aca="false">IF(OR($D350="",$G350="",$G350=0,$I350=""),"",IF($E350="LONG",($I350-$G350)/$G350,($G350-$I350)/$G350)*10000)</f>
        <v/>
      </c>
      <c r="AD350" s="45"/>
      <c r="AE350" s="40" t="str">
        <f aca="false">IF(OR($D350="",$N350&lt;&gt;"",$AD350=""),"",IF($E350="LONG",($AD350-$I350)*$J350,($I350-$AD350)*$J350))</f>
        <v/>
      </c>
      <c r="AF350" s="40" t="str">
        <f aca="false">IF(OR($D350="",$E350&lt;&gt;"LONG",$Z350=""),"",$Z350+SUMIFS($Z$4:$Z$503,$B$4:$B$503,$B350,$E$4:$E$503,"SHORT"))</f>
        <v/>
      </c>
      <c r="AG350" s="42" t="str">
        <f aca="false">IF(OR($AF350="",$K350=0),"",$AF350/$K350)</f>
        <v/>
      </c>
      <c r="AH350" s="46"/>
      <c r="AI350" s="43" t="str">
        <f aca="false">IF(OR($D350="",$AH350="",$Z350=""),"",$Z350-$AH350)</f>
        <v/>
      </c>
      <c r="AJ350" s="49"/>
      <c r="AK350" s="47" t="str">
        <f aca="false">IF($D350="","",IFERROR(MATCH($F350,Config!$A$13:$A$15,0),1))</f>
        <v/>
      </c>
      <c r="AL350" s="47" t="str">
        <f aca="false">IF(OR($D350="",$N350=""),"",IF($E350="LONG",$K350,$O350))</f>
        <v/>
      </c>
      <c r="AM350" s="47" t="str">
        <f aca="false">IF(OR($D350="",$N350=""),"",IF($E350="LONG",$O350,$K350))</f>
        <v/>
      </c>
    </row>
    <row r="351" customFormat="false" ht="15" hidden="false" customHeight="false" outlineLevel="0" collapsed="false">
      <c r="A351" s="49"/>
      <c r="B351" s="5" t="str">
        <f aca="false">IF($D351="","",IF(OR(RIGHT($A351,2)="-L",RIGHT($A351,2)="-S"),LEFT($A351,LEN($A351)-2),$A351))</f>
        <v/>
      </c>
      <c r="C351" s="50"/>
      <c r="D351" s="49"/>
      <c r="E351" s="49"/>
      <c r="F351" s="49"/>
      <c r="G351" s="45"/>
      <c r="H351" s="50"/>
      <c r="I351" s="45"/>
      <c r="J351" s="51"/>
      <c r="K351" s="40" t="str">
        <f aca="false">IF($D351="","",$I351*$J351)</f>
        <v/>
      </c>
      <c r="L351" s="50"/>
      <c r="M351" s="49"/>
      <c r="N351" s="45"/>
      <c r="O351" s="40" t="str">
        <f aca="false">IF(OR($D351="",$N351=""),"",$N351*$J351)</f>
        <v/>
      </c>
      <c r="P351" s="41" t="str">
        <f aca="false">IF(OR($D351="",$L351=""),"",MAX($L351-$H351,0))</f>
        <v/>
      </c>
      <c r="Q351" s="40" t="str">
        <f aca="false">IF(OR($D351="",$N351=""),"",IF($E351="LONG",($N351-$I351)*$J351,($I351-$N351)*$J351))</f>
        <v/>
      </c>
      <c r="R351" s="42" t="str">
        <f aca="false">IF(OR($D351="",$Q351="",$K351=0),"",$Q351/$K351)</f>
        <v/>
      </c>
      <c r="S351" s="43" t="str">
        <f aca="false">IF(OR($D351="",$N351=""),"",MIN(INDEX(Config!$C$13:$C$15,$AK351),INDEX(Config!$B$13:$B$15,$AK351)*$K351)+MIN(INDEX(Config!$C$13:$C$15,$AK351),INDEX(Config!$B$13:$B$15,$AK351)*$O351))</f>
        <v/>
      </c>
      <c r="T351" s="43" t="str">
        <f aca="false">IF(OR($D351="",$N351=""),"",INDEX(Config!$D$13:$D$15,$AK351)*$AL351+INDEX(Config!$E$13:$E$15,$AK351)*$AM351)</f>
        <v/>
      </c>
      <c r="U351" s="43" t="str">
        <f aca="false">IF(OR($D351="",$N351=""),"",INDEX(Config!$F$13:$F$15,$AK351)*($K351+$O351))</f>
        <v/>
      </c>
      <c r="V351" s="43" t="str">
        <f aca="false">IF(OR($D351="",$N351=""),"",INDEX(Config!$G$13:$G$15,$AK351)*($K351+$O351)+INDEX(Config!$H$13:$H$15,$AK351)*$AL351+INDEX(Config!$J$13:$J$15,$AK351))</f>
        <v/>
      </c>
      <c r="W351" s="43" t="str">
        <f aca="false">IF(OR($D351="",$N351=""),"",INDEX(Config!$I$13:$I$15,$AK351)*($S351+$U351+INDEX(Config!$G$13:$G$15,$AK351)*($K351+$O351)))</f>
        <v/>
      </c>
      <c r="X351" s="43" t="str">
        <f aca="false">IF(OR($D351="",$N351=""),"",INDEX(Config!$K$13:$K$15,$AK351)/365*$P351*$K351*Config!$B$8)</f>
        <v/>
      </c>
      <c r="Y351" s="43" t="str">
        <f aca="false">IF(OR($D351="",$N351=""),"",SUM($S351:$X351))</f>
        <v/>
      </c>
      <c r="Z351" s="40" t="str">
        <f aca="false">IF(OR($D351="",$Q351=""),"",$Q351-$Y351)</f>
        <v/>
      </c>
      <c r="AA351" s="42" t="str">
        <f aca="false">IF(OR($D351="",$Z351="",$K351=0),"",$Z351/$K351)</f>
        <v/>
      </c>
      <c r="AB351" s="44" t="str">
        <f aca="false">IF(OR($D351="",$Y351="",$K351=0),"",$Y351/$K351*10000)</f>
        <v/>
      </c>
      <c r="AC351" s="44" t="str">
        <f aca="false">IF(OR($D351="",$G351="",$G351=0,$I351=""),"",IF($E351="LONG",($I351-$G351)/$G351,($G351-$I351)/$G351)*10000)</f>
        <v/>
      </c>
      <c r="AD351" s="45"/>
      <c r="AE351" s="40" t="str">
        <f aca="false">IF(OR($D351="",$N351&lt;&gt;"",$AD351=""),"",IF($E351="LONG",($AD351-$I351)*$J351,($I351-$AD351)*$J351))</f>
        <v/>
      </c>
      <c r="AF351" s="40" t="str">
        <f aca="false">IF(OR($D351="",$E351&lt;&gt;"LONG",$Z351=""),"",$Z351+SUMIFS($Z$4:$Z$503,$B$4:$B$503,$B351,$E$4:$E$503,"SHORT"))</f>
        <v/>
      </c>
      <c r="AG351" s="42" t="str">
        <f aca="false">IF(OR($AF351="",$K351=0),"",$AF351/$K351)</f>
        <v/>
      </c>
      <c r="AH351" s="46"/>
      <c r="AI351" s="43" t="str">
        <f aca="false">IF(OR($D351="",$AH351="",$Z351=""),"",$Z351-$AH351)</f>
        <v/>
      </c>
      <c r="AJ351" s="49"/>
      <c r="AK351" s="47" t="str">
        <f aca="false">IF($D351="","",IFERROR(MATCH($F351,Config!$A$13:$A$15,0),1))</f>
        <v/>
      </c>
      <c r="AL351" s="47" t="str">
        <f aca="false">IF(OR($D351="",$N351=""),"",IF($E351="LONG",$K351,$O351))</f>
        <v/>
      </c>
      <c r="AM351" s="47" t="str">
        <f aca="false">IF(OR($D351="",$N351=""),"",IF($E351="LONG",$O351,$K351))</f>
        <v/>
      </c>
    </row>
    <row r="352" customFormat="false" ht="15" hidden="false" customHeight="false" outlineLevel="0" collapsed="false">
      <c r="A352" s="49"/>
      <c r="B352" s="5" t="str">
        <f aca="false">IF($D352="","",IF(OR(RIGHT($A352,2)="-L",RIGHT($A352,2)="-S"),LEFT($A352,LEN($A352)-2),$A352))</f>
        <v/>
      </c>
      <c r="C352" s="50"/>
      <c r="D352" s="49"/>
      <c r="E352" s="49"/>
      <c r="F352" s="49"/>
      <c r="G352" s="45"/>
      <c r="H352" s="50"/>
      <c r="I352" s="45"/>
      <c r="J352" s="51"/>
      <c r="K352" s="40" t="str">
        <f aca="false">IF($D352="","",$I352*$J352)</f>
        <v/>
      </c>
      <c r="L352" s="50"/>
      <c r="M352" s="49"/>
      <c r="N352" s="45"/>
      <c r="O352" s="40" t="str">
        <f aca="false">IF(OR($D352="",$N352=""),"",$N352*$J352)</f>
        <v/>
      </c>
      <c r="P352" s="41" t="str">
        <f aca="false">IF(OR($D352="",$L352=""),"",MAX($L352-$H352,0))</f>
        <v/>
      </c>
      <c r="Q352" s="40" t="str">
        <f aca="false">IF(OR($D352="",$N352=""),"",IF($E352="LONG",($N352-$I352)*$J352,($I352-$N352)*$J352))</f>
        <v/>
      </c>
      <c r="R352" s="42" t="str">
        <f aca="false">IF(OR($D352="",$Q352="",$K352=0),"",$Q352/$K352)</f>
        <v/>
      </c>
      <c r="S352" s="43" t="str">
        <f aca="false">IF(OR($D352="",$N352=""),"",MIN(INDEX(Config!$C$13:$C$15,$AK352),INDEX(Config!$B$13:$B$15,$AK352)*$K352)+MIN(INDEX(Config!$C$13:$C$15,$AK352),INDEX(Config!$B$13:$B$15,$AK352)*$O352))</f>
        <v/>
      </c>
      <c r="T352" s="43" t="str">
        <f aca="false">IF(OR($D352="",$N352=""),"",INDEX(Config!$D$13:$D$15,$AK352)*$AL352+INDEX(Config!$E$13:$E$15,$AK352)*$AM352)</f>
        <v/>
      </c>
      <c r="U352" s="43" t="str">
        <f aca="false">IF(OR($D352="",$N352=""),"",INDEX(Config!$F$13:$F$15,$AK352)*($K352+$O352))</f>
        <v/>
      </c>
      <c r="V352" s="43" t="str">
        <f aca="false">IF(OR($D352="",$N352=""),"",INDEX(Config!$G$13:$G$15,$AK352)*($K352+$O352)+INDEX(Config!$H$13:$H$15,$AK352)*$AL352+INDEX(Config!$J$13:$J$15,$AK352))</f>
        <v/>
      </c>
      <c r="W352" s="43" t="str">
        <f aca="false">IF(OR($D352="",$N352=""),"",INDEX(Config!$I$13:$I$15,$AK352)*($S352+$U352+INDEX(Config!$G$13:$G$15,$AK352)*($K352+$O352)))</f>
        <v/>
      </c>
      <c r="X352" s="43" t="str">
        <f aca="false">IF(OR($D352="",$N352=""),"",INDEX(Config!$K$13:$K$15,$AK352)/365*$P352*$K352*Config!$B$8)</f>
        <v/>
      </c>
      <c r="Y352" s="43" t="str">
        <f aca="false">IF(OR($D352="",$N352=""),"",SUM($S352:$X352))</f>
        <v/>
      </c>
      <c r="Z352" s="40" t="str">
        <f aca="false">IF(OR($D352="",$Q352=""),"",$Q352-$Y352)</f>
        <v/>
      </c>
      <c r="AA352" s="42" t="str">
        <f aca="false">IF(OR($D352="",$Z352="",$K352=0),"",$Z352/$K352)</f>
        <v/>
      </c>
      <c r="AB352" s="44" t="str">
        <f aca="false">IF(OR($D352="",$Y352="",$K352=0),"",$Y352/$K352*10000)</f>
        <v/>
      </c>
      <c r="AC352" s="44" t="str">
        <f aca="false">IF(OR($D352="",$G352="",$G352=0,$I352=""),"",IF($E352="LONG",($I352-$G352)/$G352,($G352-$I352)/$G352)*10000)</f>
        <v/>
      </c>
      <c r="AD352" s="45"/>
      <c r="AE352" s="40" t="str">
        <f aca="false">IF(OR($D352="",$N352&lt;&gt;"",$AD352=""),"",IF($E352="LONG",($AD352-$I352)*$J352,($I352-$AD352)*$J352))</f>
        <v/>
      </c>
      <c r="AF352" s="40" t="str">
        <f aca="false">IF(OR($D352="",$E352&lt;&gt;"LONG",$Z352=""),"",$Z352+SUMIFS($Z$4:$Z$503,$B$4:$B$503,$B352,$E$4:$E$503,"SHORT"))</f>
        <v/>
      </c>
      <c r="AG352" s="42" t="str">
        <f aca="false">IF(OR($AF352="",$K352=0),"",$AF352/$K352)</f>
        <v/>
      </c>
      <c r="AH352" s="46"/>
      <c r="AI352" s="43" t="str">
        <f aca="false">IF(OR($D352="",$AH352="",$Z352=""),"",$Z352-$AH352)</f>
        <v/>
      </c>
      <c r="AJ352" s="49"/>
      <c r="AK352" s="47" t="str">
        <f aca="false">IF($D352="","",IFERROR(MATCH($F352,Config!$A$13:$A$15,0),1))</f>
        <v/>
      </c>
      <c r="AL352" s="47" t="str">
        <f aca="false">IF(OR($D352="",$N352=""),"",IF($E352="LONG",$K352,$O352))</f>
        <v/>
      </c>
      <c r="AM352" s="47" t="str">
        <f aca="false">IF(OR($D352="",$N352=""),"",IF($E352="LONG",$O352,$K352))</f>
        <v/>
      </c>
    </row>
    <row r="353" customFormat="false" ht="15" hidden="false" customHeight="false" outlineLevel="0" collapsed="false">
      <c r="A353" s="49"/>
      <c r="B353" s="5" t="str">
        <f aca="false">IF($D353="","",IF(OR(RIGHT($A353,2)="-L",RIGHT($A353,2)="-S"),LEFT($A353,LEN($A353)-2),$A353))</f>
        <v/>
      </c>
      <c r="C353" s="50"/>
      <c r="D353" s="49"/>
      <c r="E353" s="49"/>
      <c r="F353" s="49"/>
      <c r="G353" s="45"/>
      <c r="H353" s="50"/>
      <c r="I353" s="45"/>
      <c r="J353" s="51"/>
      <c r="K353" s="40" t="str">
        <f aca="false">IF($D353="","",$I353*$J353)</f>
        <v/>
      </c>
      <c r="L353" s="50"/>
      <c r="M353" s="49"/>
      <c r="N353" s="45"/>
      <c r="O353" s="40" t="str">
        <f aca="false">IF(OR($D353="",$N353=""),"",$N353*$J353)</f>
        <v/>
      </c>
      <c r="P353" s="41" t="str">
        <f aca="false">IF(OR($D353="",$L353=""),"",MAX($L353-$H353,0))</f>
        <v/>
      </c>
      <c r="Q353" s="40" t="str">
        <f aca="false">IF(OR($D353="",$N353=""),"",IF($E353="LONG",($N353-$I353)*$J353,($I353-$N353)*$J353))</f>
        <v/>
      </c>
      <c r="R353" s="42" t="str">
        <f aca="false">IF(OR($D353="",$Q353="",$K353=0),"",$Q353/$K353)</f>
        <v/>
      </c>
      <c r="S353" s="43" t="str">
        <f aca="false">IF(OR($D353="",$N353=""),"",MIN(INDEX(Config!$C$13:$C$15,$AK353),INDEX(Config!$B$13:$B$15,$AK353)*$K353)+MIN(INDEX(Config!$C$13:$C$15,$AK353),INDEX(Config!$B$13:$B$15,$AK353)*$O353))</f>
        <v/>
      </c>
      <c r="T353" s="43" t="str">
        <f aca="false">IF(OR($D353="",$N353=""),"",INDEX(Config!$D$13:$D$15,$AK353)*$AL353+INDEX(Config!$E$13:$E$15,$AK353)*$AM353)</f>
        <v/>
      </c>
      <c r="U353" s="43" t="str">
        <f aca="false">IF(OR($D353="",$N353=""),"",INDEX(Config!$F$13:$F$15,$AK353)*($K353+$O353))</f>
        <v/>
      </c>
      <c r="V353" s="43" t="str">
        <f aca="false">IF(OR($D353="",$N353=""),"",INDEX(Config!$G$13:$G$15,$AK353)*($K353+$O353)+INDEX(Config!$H$13:$H$15,$AK353)*$AL353+INDEX(Config!$J$13:$J$15,$AK353))</f>
        <v/>
      </c>
      <c r="W353" s="43" t="str">
        <f aca="false">IF(OR($D353="",$N353=""),"",INDEX(Config!$I$13:$I$15,$AK353)*($S353+$U353+INDEX(Config!$G$13:$G$15,$AK353)*($K353+$O353)))</f>
        <v/>
      </c>
      <c r="X353" s="43" t="str">
        <f aca="false">IF(OR($D353="",$N353=""),"",INDEX(Config!$K$13:$K$15,$AK353)/365*$P353*$K353*Config!$B$8)</f>
        <v/>
      </c>
      <c r="Y353" s="43" t="str">
        <f aca="false">IF(OR($D353="",$N353=""),"",SUM($S353:$X353))</f>
        <v/>
      </c>
      <c r="Z353" s="40" t="str">
        <f aca="false">IF(OR($D353="",$Q353=""),"",$Q353-$Y353)</f>
        <v/>
      </c>
      <c r="AA353" s="42" t="str">
        <f aca="false">IF(OR($D353="",$Z353="",$K353=0),"",$Z353/$K353)</f>
        <v/>
      </c>
      <c r="AB353" s="44" t="str">
        <f aca="false">IF(OR($D353="",$Y353="",$K353=0),"",$Y353/$K353*10000)</f>
        <v/>
      </c>
      <c r="AC353" s="44" t="str">
        <f aca="false">IF(OR($D353="",$G353="",$G353=0,$I353=""),"",IF($E353="LONG",($I353-$G353)/$G353,($G353-$I353)/$G353)*10000)</f>
        <v/>
      </c>
      <c r="AD353" s="45"/>
      <c r="AE353" s="40" t="str">
        <f aca="false">IF(OR($D353="",$N353&lt;&gt;"",$AD353=""),"",IF($E353="LONG",($AD353-$I353)*$J353,($I353-$AD353)*$J353))</f>
        <v/>
      </c>
      <c r="AF353" s="40" t="str">
        <f aca="false">IF(OR($D353="",$E353&lt;&gt;"LONG",$Z353=""),"",$Z353+SUMIFS($Z$4:$Z$503,$B$4:$B$503,$B353,$E$4:$E$503,"SHORT"))</f>
        <v/>
      </c>
      <c r="AG353" s="42" t="str">
        <f aca="false">IF(OR($AF353="",$K353=0),"",$AF353/$K353)</f>
        <v/>
      </c>
      <c r="AH353" s="46"/>
      <c r="AI353" s="43" t="str">
        <f aca="false">IF(OR($D353="",$AH353="",$Z353=""),"",$Z353-$AH353)</f>
        <v/>
      </c>
      <c r="AJ353" s="49"/>
      <c r="AK353" s="47" t="str">
        <f aca="false">IF($D353="","",IFERROR(MATCH($F353,Config!$A$13:$A$15,0),1))</f>
        <v/>
      </c>
      <c r="AL353" s="47" t="str">
        <f aca="false">IF(OR($D353="",$N353=""),"",IF($E353="LONG",$K353,$O353))</f>
        <v/>
      </c>
      <c r="AM353" s="47" t="str">
        <f aca="false">IF(OR($D353="",$N353=""),"",IF($E353="LONG",$O353,$K353))</f>
        <v/>
      </c>
    </row>
    <row r="354" customFormat="false" ht="15" hidden="false" customHeight="false" outlineLevel="0" collapsed="false">
      <c r="A354" s="49"/>
      <c r="B354" s="5" t="str">
        <f aca="false">IF($D354="","",IF(OR(RIGHT($A354,2)="-L",RIGHT($A354,2)="-S"),LEFT($A354,LEN($A354)-2),$A354))</f>
        <v/>
      </c>
      <c r="C354" s="50"/>
      <c r="D354" s="49"/>
      <c r="E354" s="49"/>
      <c r="F354" s="49"/>
      <c r="G354" s="45"/>
      <c r="H354" s="50"/>
      <c r="I354" s="45"/>
      <c r="J354" s="51"/>
      <c r="K354" s="40" t="str">
        <f aca="false">IF($D354="","",$I354*$J354)</f>
        <v/>
      </c>
      <c r="L354" s="50"/>
      <c r="M354" s="49"/>
      <c r="N354" s="45"/>
      <c r="O354" s="40" t="str">
        <f aca="false">IF(OR($D354="",$N354=""),"",$N354*$J354)</f>
        <v/>
      </c>
      <c r="P354" s="41" t="str">
        <f aca="false">IF(OR($D354="",$L354=""),"",MAX($L354-$H354,0))</f>
        <v/>
      </c>
      <c r="Q354" s="40" t="str">
        <f aca="false">IF(OR($D354="",$N354=""),"",IF($E354="LONG",($N354-$I354)*$J354,($I354-$N354)*$J354))</f>
        <v/>
      </c>
      <c r="R354" s="42" t="str">
        <f aca="false">IF(OR($D354="",$Q354="",$K354=0),"",$Q354/$K354)</f>
        <v/>
      </c>
      <c r="S354" s="43" t="str">
        <f aca="false">IF(OR($D354="",$N354=""),"",MIN(INDEX(Config!$C$13:$C$15,$AK354),INDEX(Config!$B$13:$B$15,$AK354)*$K354)+MIN(INDEX(Config!$C$13:$C$15,$AK354),INDEX(Config!$B$13:$B$15,$AK354)*$O354))</f>
        <v/>
      </c>
      <c r="T354" s="43" t="str">
        <f aca="false">IF(OR($D354="",$N354=""),"",INDEX(Config!$D$13:$D$15,$AK354)*$AL354+INDEX(Config!$E$13:$E$15,$AK354)*$AM354)</f>
        <v/>
      </c>
      <c r="U354" s="43" t="str">
        <f aca="false">IF(OR($D354="",$N354=""),"",INDEX(Config!$F$13:$F$15,$AK354)*($K354+$O354))</f>
        <v/>
      </c>
      <c r="V354" s="43" t="str">
        <f aca="false">IF(OR($D354="",$N354=""),"",INDEX(Config!$G$13:$G$15,$AK354)*($K354+$O354)+INDEX(Config!$H$13:$H$15,$AK354)*$AL354+INDEX(Config!$J$13:$J$15,$AK354))</f>
        <v/>
      </c>
      <c r="W354" s="43" t="str">
        <f aca="false">IF(OR($D354="",$N354=""),"",INDEX(Config!$I$13:$I$15,$AK354)*($S354+$U354+INDEX(Config!$G$13:$G$15,$AK354)*($K354+$O354)))</f>
        <v/>
      </c>
      <c r="X354" s="43" t="str">
        <f aca="false">IF(OR($D354="",$N354=""),"",INDEX(Config!$K$13:$K$15,$AK354)/365*$P354*$K354*Config!$B$8)</f>
        <v/>
      </c>
      <c r="Y354" s="43" t="str">
        <f aca="false">IF(OR($D354="",$N354=""),"",SUM($S354:$X354))</f>
        <v/>
      </c>
      <c r="Z354" s="40" t="str">
        <f aca="false">IF(OR($D354="",$Q354=""),"",$Q354-$Y354)</f>
        <v/>
      </c>
      <c r="AA354" s="42" t="str">
        <f aca="false">IF(OR($D354="",$Z354="",$K354=0),"",$Z354/$K354)</f>
        <v/>
      </c>
      <c r="AB354" s="44" t="str">
        <f aca="false">IF(OR($D354="",$Y354="",$K354=0),"",$Y354/$K354*10000)</f>
        <v/>
      </c>
      <c r="AC354" s="44" t="str">
        <f aca="false">IF(OR($D354="",$G354="",$G354=0,$I354=""),"",IF($E354="LONG",($I354-$G354)/$G354,($G354-$I354)/$G354)*10000)</f>
        <v/>
      </c>
      <c r="AD354" s="45"/>
      <c r="AE354" s="40" t="str">
        <f aca="false">IF(OR($D354="",$N354&lt;&gt;"",$AD354=""),"",IF($E354="LONG",($AD354-$I354)*$J354,($I354-$AD354)*$J354))</f>
        <v/>
      </c>
      <c r="AF354" s="40" t="str">
        <f aca="false">IF(OR($D354="",$E354&lt;&gt;"LONG",$Z354=""),"",$Z354+SUMIFS($Z$4:$Z$503,$B$4:$B$503,$B354,$E$4:$E$503,"SHORT"))</f>
        <v/>
      </c>
      <c r="AG354" s="42" t="str">
        <f aca="false">IF(OR($AF354="",$K354=0),"",$AF354/$K354)</f>
        <v/>
      </c>
      <c r="AH354" s="46"/>
      <c r="AI354" s="43" t="str">
        <f aca="false">IF(OR($D354="",$AH354="",$Z354=""),"",$Z354-$AH354)</f>
        <v/>
      </c>
      <c r="AJ354" s="49"/>
      <c r="AK354" s="47" t="str">
        <f aca="false">IF($D354="","",IFERROR(MATCH($F354,Config!$A$13:$A$15,0),1))</f>
        <v/>
      </c>
      <c r="AL354" s="47" t="str">
        <f aca="false">IF(OR($D354="",$N354=""),"",IF($E354="LONG",$K354,$O354))</f>
        <v/>
      </c>
      <c r="AM354" s="47" t="str">
        <f aca="false">IF(OR($D354="",$N354=""),"",IF($E354="LONG",$O354,$K354))</f>
        <v/>
      </c>
    </row>
    <row r="355" customFormat="false" ht="15" hidden="false" customHeight="false" outlineLevel="0" collapsed="false">
      <c r="A355" s="49"/>
      <c r="B355" s="5" t="str">
        <f aca="false">IF($D355="","",IF(OR(RIGHT($A355,2)="-L",RIGHT($A355,2)="-S"),LEFT($A355,LEN($A355)-2),$A355))</f>
        <v/>
      </c>
      <c r="C355" s="50"/>
      <c r="D355" s="49"/>
      <c r="E355" s="49"/>
      <c r="F355" s="49"/>
      <c r="G355" s="45"/>
      <c r="H355" s="50"/>
      <c r="I355" s="45"/>
      <c r="J355" s="51"/>
      <c r="K355" s="40" t="str">
        <f aca="false">IF($D355="","",$I355*$J355)</f>
        <v/>
      </c>
      <c r="L355" s="50"/>
      <c r="M355" s="49"/>
      <c r="N355" s="45"/>
      <c r="O355" s="40" t="str">
        <f aca="false">IF(OR($D355="",$N355=""),"",$N355*$J355)</f>
        <v/>
      </c>
      <c r="P355" s="41" t="str">
        <f aca="false">IF(OR($D355="",$L355=""),"",MAX($L355-$H355,0))</f>
        <v/>
      </c>
      <c r="Q355" s="40" t="str">
        <f aca="false">IF(OR($D355="",$N355=""),"",IF($E355="LONG",($N355-$I355)*$J355,($I355-$N355)*$J355))</f>
        <v/>
      </c>
      <c r="R355" s="42" t="str">
        <f aca="false">IF(OR($D355="",$Q355="",$K355=0),"",$Q355/$K355)</f>
        <v/>
      </c>
      <c r="S355" s="43" t="str">
        <f aca="false">IF(OR($D355="",$N355=""),"",MIN(INDEX(Config!$C$13:$C$15,$AK355),INDEX(Config!$B$13:$B$15,$AK355)*$K355)+MIN(INDEX(Config!$C$13:$C$15,$AK355),INDEX(Config!$B$13:$B$15,$AK355)*$O355))</f>
        <v/>
      </c>
      <c r="T355" s="43" t="str">
        <f aca="false">IF(OR($D355="",$N355=""),"",INDEX(Config!$D$13:$D$15,$AK355)*$AL355+INDEX(Config!$E$13:$E$15,$AK355)*$AM355)</f>
        <v/>
      </c>
      <c r="U355" s="43" t="str">
        <f aca="false">IF(OR($D355="",$N355=""),"",INDEX(Config!$F$13:$F$15,$AK355)*($K355+$O355))</f>
        <v/>
      </c>
      <c r="V355" s="43" t="str">
        <f aca="false">IF(OR($D355="",$N355=""),"",INDEX(Config!$G$13:$G$15,$AK355)*($K355+$O355)+INDEX(Config!$H$13:$H$15,$AK355)*$AL355+INDEX(Config!$J$13:$J$15,$AK355))</f>
        <v/>
      </c>
      <c r="W355" s="43" t="str">
        <f aca="false">IF(OR($D355="",$N355=""),"",INDEX(Config!$I$13:$I$15,$AK355)*($S355+$U355+INDEX(Config!$G$13:$G$15,$AK355)*($K355+$O355)))</f>
        <v/>
      </c>
      <c r="X355" s="43" t="str">
        <f aca="false">IF(OR($D355="",$N355=""),"",INDEX(Config!$K$13:$K$15,$AK355)/365*$P355*$K355*Config!$B$8)</f>
        <v/>
      </c>
      <c r="Y355" s="43" t="str">
        <f aca="false">IF(OR($D355="",$N355=""),"",SUM($S355:$X355))</f>
        <v/>
      </c>
      <c r="Z355" s="40" t="str">
        <f aca="false">IF(OR($D355="",$Q355=""),"",$Q355-$Y355)</f>
        <v/>
      </c>
      <c r="AA355" s="42" t="str">
        <f aca="false">IF(OR($D355="",$Z355="",$K355=0),"",$Z355/$K355)</f>
        <v/>
      </c>
      <c r="AB355" s="44" t="str">
        <f aca="false">IF(OR($D355="",$Y355="",$K355=0),"",$Y355/$K355*10000)</f>
        <v/>
      </c>
      <c r="AC355" s="44" t="str">
        <f aca="false">IF(OR($D355="",$G355="",$G355=0,$I355=""),"",IF($E355="LONG",($I355-$G355)/$G355,($G355-$I355)/$G355)*10000)</f>
        <v/>
      </c>
      <c r="AD355" s="45"/>
      <c r="AE355" s="40" t="str">
        <f aca="false">IF(OR($D355="",$N355&lt;&gt;"",$AD355=""),"",IF($E355="LONG",($AD355-$I355)*$J355,($I355-$AD355)*$J355))</f>
        <v/>
      </c>
      <c r="AF355" s="40" t="str">
        <f aca="false">IF(OR($D355="",$E355&lt;&gt;"LONG",$Z355=""),"",$Z355+SUMIFS($Z$4:$Z$503,$B$4:$B$503,$B355,$E$4:$E$503,"SHORT"))</f>
        <v/>
      </c>
      <c r="AG355" s="42" t="str">
        <f aca="false">IF(OR($AF355="",$K355=0),"",$AF355/$K355)</f>
        <v/>
      </c>
      <c r="AH355" s="46"/>
      <c r="AI355" s="43" t="str">
        <f aca="false">IF(OR($D355="",$AH355="",$Z355=""),"",$Z355-$AH355)</f>
        <v/>
      </c>
      <c r="AJ355" s="49"/>
      <c r="AK355" s="47" t="str">
        <f aca="false">IF($D355="","",IFERROR(MATCH($F355,Config!$A$13:$A$15,0),1))</f>
        <v/>
      </c>
      <c r="AL355" s="47" t="str">
        <f aca="false">IF(OR($D355="",$N355=""),"",IF($E355="LONG",$K355,$O355))</f>
        <v/>
      </c>
      <c r="AM355" s="47" t="str">
        <f aca="false">IF(OR($D355="",$N355=""),"",IF($E355="LONG",$O355,$K355))</f>
        <v/>
      </c>
    </row>
    <row r="356" customFormat="false" ht="15" hidden="false" customHeight="false" outlineLevel="0" collapsed="false">
      <c r="A356" s="49"/>
      <c r="B356" s="5" t="str">
        <f aca="false">IF($D356="","",IF(OR(RIGHT($A356,2)="-L",RIGHT($A356,2)="-S"),LEFT($A356,LEN($A356)-2),$A356))</f>
        <v/>
      </c>
      <c r="C356" s="50"/>
      <c r="D356" s="49"/>
      <c r="E356" s="49"/>
      <c r="F356" s="49"/>
      <c r="G356" s="45"/>
      <c r="H356" s="50"/>
      <c r="I356" s="45"/>
      <c r="J356" s="51"/>
      <c r="K356" s="40" t="str">
        <f aca="false">IF($D356="","",$I356*$J356)</f>
        <v/>
      </c>
      <c r="L356" s="50"/>
      <c r="M356" s="49"/>
      <c r="N356" s="45"/>
      <c r="O356" s="40" t="str">
        <f aca="false">IF(OR($D356="",$N356=""),"",$N356*$J356)</f>
        <v/>
      </c>
      <c r="P356" s="41" t="str">
        <f aca="false">IF(OR($D356="",$L356=""),"",MAX($L356-$H356,0))</f>
        <v/>
      </c>
      <c r="Q356" s="40" t="str">
        <f aca="false">IF(OR($D356="",$N356=""),"",IF($E356="LONG",($N356-$I356)*$J356,($I356-$N356)*$J356))</f>
        <v/>
      </c>
      <c r="R356" s="42" t="str">
        <f aca="false">IF(OR($D356="",$Q356="",$K356=0),"",$Q356/$K356)</f>
        <v/>
      </c>
      <c r="S356" s="43" t="str">
        <f aca="false">IF(OR($D356="",$N356=""),"",MIN(INDEX(Config!$C$13:$C$15,$AK356),INDEX(Config!$B$13:$B$15,$AK356)*$K356)+MIN(INDEX(Config!$C$13:$C$15,$AK356),INDEX(Config!$B$13:$B$15,$AK356)*$O356))</f>
        <v/>
      </c>
      <c r="T356" s="43" t="str">
        <f aca="false">IF(OR($D356="",$N356=""),"",INDEX(Config!$D$13:$D$15,$AK356)*$AL356+INDEX(Config!$E$13:$E$15,$AK356)*$AM356)</f>
        <v/>
      </c>
      <c r="U356" s="43" t="str">
        <f aca="false">IF(OR($D356="",$N356=""),"",INDEX(Config!$F$13:$F$15,$AK356)*($K356+$O356))</f>
        <v/>
      </c>
      <c r="V356" s="43" t="str">
        <f aca="false">IF(OR($D356="",$N356=""),"",INDEX(Config!$G$13:$G$15,$AK356)*($K356+$O356)+INDEX(Config!$H$13:$H$15,$AK356)*$AL356+INDEX(Config!$J$13:$J$15,$AK356))</f>
        <v/>
      </c>
      <c r="W356" s="43" t="str">
        <f aca="false">IF(OR($D356="",$N356=""),"",INDEX(Config!$I$13:$I$15,$AK356)*($S356+$U356+INDEX(Config!$G$13:$G$15,$AK356)*($K356+$O356)))</f>
        <v/>
      </c>
      <c r="X356" s="43" t="str">
        <f aca="false">IF(OR($D356="",$N356=""),"",INDEX(Config!$K$13:$K$15,$AK356)/365*$P356*$K356*Config!$B$8)</f>
        <v/>
      </c>
      <c r="Y356" s="43" t="str">
        <f aca="false">IF(OR($D356="",$N356=""),"",SUM($S356:$X356))</f>
        <v/>
      </c>
      <c r="Z356" s="40" t="str">
        <f aca="false">IF(OR($D356="",$Q356=""),"",$Q356-$Y356)</f>
        <v/>
      </c>
      <c r="AA356" s="42" t="str">
        <f aca="false">IF(OR($D356="",$Z356="",$K356=0),"",$Z356/$K356)</f>
        <v/>
      </c>
      <c r="AB356" s="44" t="str">
        <f aca="false">IF(OR($D356="",$Y356="",$K356=0),"",$Y356/$K356*10000)</f>
        <v/>
      </c>
      <c r="AC356" s="44" t="str">
        <f aca="false">IF(OR($D356="",$G356="",$G356=0,$I356=""),"",IF($E356="LONG",($I356-$G356)/$G356,($G356-$I356)/$G356)*10000)</f>
        <v/>
      </c>
      <c r="AD356" s="45"/>
      <c r="AE356" s="40" t="str">
        <f aca="false">IF(OR($D356="",$N356&lt;&gt;"",$AD356=""),"",IF($E356="LONG",($AD356-$I356)*$J356,($I356-$AD356)*$J356))</f>
        <v/>
      </c>
      <c r="AF356" s="40" t="str">
        <f aca="false">IF(OR($D356="",$E356&lt;&gt;"LONG",$Z356=""),"",$Z356+SUMIFS($Z$4:$Z$503,$B$4:$B$503,$B356,$E$4:$E$503,"SHORT"))</f>
        <v/>
      </c>
      <c r="AG356" s="42" t="str">
        <f aca="false">IF(OR($AF356="",$K356=0),"",$AF356/$K356)</f>
        <v/>
      </c>
      <c r="AH356" s="46"/>
      <c r="AI356" s="43" t="str">
        <f aca="false">IF(OR($D356="",$AH356="",$Z356=""),"",$Z356-$AH356)</f>
        <v/>
      </c>
      <c r="AJ356" s="49"/>
      <c r="AK356" s="47" t="str">
        <f aca="false">IF($D356="","",IFERROR(MATCH($F356,Config!$A$13:$A$15,0),1))</f>
        <v/>
      </c>
      <c r="AL356" s="47" t="str">
        <f aca="false">IF(OR($D356="",$N356=""),"",IF($E356="LONG",$K356,$O356))</f>
        <v/>
      </c>
      <c r="AM356" s="47" t="str">
        <f aca="false">IF(OR($D356="",$N356=""),"",IF($E356="LONG",$O356,$K356))</f>
        <v/>
      </c>
    </row>
    <row r="357" customFormat="false" ht="15" hidden="false" customHeight="false" outlineLevel="0" collapsed="false">
      <c r="A357" s="49"/>
      <c r="B357" s="5" t="str">
        <f aca="false">IF($D357="","",IF(OR(RIGHT($A357,2)="-L",RIGHT($A357,2)="-S"),LEFT($A357,LEN($A357)-2),$A357))</f>
        <v/>
      </c>
      <c r="C357" s="50"/>
      <c r="D357" s="49"/>
      <c r="E357" s="49"/>
      <c r="F357" s="49"/>
      <c r="G357" s="45"/>
      <c r="H357" s="50"/>
      <c r="I357" s="45"/>
      <c r="J357" s="51"/>
      <c r="K357" s="40" t="str">
        <f aca="false">IF($D357="","",$I357*$J357)</f>
        <v/>
      </c>
      <c r="L357" s="50"/>
      <c r="M357" s="49"/>
      <c r="N357" s="45"/>
      <c r="O357" s="40" t="str">
        <f aca="false">IF(OR($D357="",$N357=""),"",$N357*$J357)</f>
        <v/>
      </c>
      <c r="P357" s="41" t="str">
        <f aca="false">IF(OR($D357="",$L357=""),"",MAX($L357-$H357,0))</f>
        <v/>
      </c>
      <c r="Q357" s="40" t="str">
        <f aca="false">IF(OR($D357="",$N357=""),"",IF($E357="LONG",($N357-$I357)*$J357,($I357-$N357)*$J357))</f>
        <v/>
      </c>
      <c r="R357" s="42" t="str">
        <f aca="false">IF(OR($D357="",$Q357="",$K357=0),"",$Q357/$K357)</f>
        <v/>
      </c>
      <c r="S357" s="43" t="str">
        <f aca="false">IF(OR($D357="",$N357=""),"",MIN(INDEX(Config!$C$13:$C$15,$AK357),INDEX(Config!$B$13:$B$15,$AK357)*$K357)+MIN(INDEX(Config!$C$13:$C$15,$AK357),INDEX(Config!$B$13:$B$15,$AK357)*$O357))</f>
        <v/>
      </c>
      <c r="T357" s="43" t="str">
        <f aca="false">IF(OR($D357="",$N357=""),"",INDEX(Config!$D$13:$D$15,$AK357)*$AL357+INDEX(Config!$E$13:$E$15,$AK357)*$AM357)</f>
        <v/>
      </c>
      <c r="U357" s="43" t="str">
        <f aca="false">IF(OR($D357="",$N357=""),"",INDEX(Config!$F$13:$F$15,$AK357)*($K357+$O357))</f>
        <v/>
      </c>
      <c r="V357" s="43" t="str">
        <f aca="false">IF(OR($D357="",$N357=""),"",INDEX(Config!$G$13:$G$15,$AK357)*($K357+$O357)+INDEX(Config!$H$13:$H$15,$AK357)*$AL357+INDEX(Config!$J$13:$J$15,$AK357))</f>
        <v/>
      </c>
      <c r="W357" s="43" t="str">
        <f aca="false">IF(OR($D357="",$N357=""),"",INDEX(Config!$I$13:$I$15,$AK357)*($S357+$U357+INDEX(Config!$G$13:$G$15,$AK357)*($K357+$O357)))</f>
        <v/>
      </c>
      <c r="X357" s="43" t="str">
        <f aca="false">IF(OR($D357="",$N357=""),"",INDEX(Config!$K$13:$K$15,$AK357)/365*$P357*$K357*Config!$B$8)</f>
        <v/>
      </c>
      <c r="Y357" s="43" t="str">
        <f aca="false">IF(OR($D357="",$N357=""),"",SUM($S357:$X357))</f>
        <v/>
      </c>
      <c r="Z357" s="40" t="str">
        <f aca="false">IF(OR($D357="",$Q357=""),"",$Q357-$Y357)</f>
        <v/>
      </c>
      <c r="AA357" s="42" t="str">
        <f aca="false">IF(OR($D357="",$Z357="",$K357=0),"",$Z357/$K357)</f>
        <v/>
      </c>
      <c r="AB357" s="44" t="str">
        <f aca="false">IF(OR($D357="",$Y357="",$K357=0),"",$Y357/$K357*10000)</f>
        <v/>
      </c>
      <c r="AC357" s="44" t="str">
        <f aca="false">IF(OR($D357="",$G357="",$G357=0,$I357=""),"",IF($E357="LONG",($I357-$G357)/$G357,($G357-$I357)/$G357)*10000)</f>
        <v/>
      </c>
      <c r="AD357" s="45"/>
      <c r="AE357" s="40" t="str">
        <f aca="false">IF(OR($D357="",$N357&lt;&gt;"",$AD357=""),"",IF($E357="LONG",($AD357-$I357)*$J357,($I357-$AD357)*$J357))</f>
        <v/>
      </c>
      <c r="AF357" s="40" t="str">
        <f aca="false">IF(OR($D357="",$E357&lt;&gt;"LONG",$Z357=""),"",$Z357+SUMIFS($Z$4:$Z$503,$B$4:$B$503,$B357,$E$4:$E$503,"SHORT"))</f>
        <v/>
      </c>
      <c r="AG357" s="42" t="str">
        <f aca="false">IF(OR($AF357="",$K357=0),"",$AF357/$K357)</f>
        <v/>
      </c>
      <c r="AH357" s="46"/>
      <c r="AI357" s="43" t="str">
        <f aca="false">IF(OR($D357="",$AH357="",$Z357=""),"",$Z357-$AH357)</f>
        <v/>
      </c>
      <c r="AJ357" s="49"/>
      <c r="AK357" s="47" t="str">
        <f aca="false">IF($D357="","",IFERROR(MATCH($F357,Config!$A$13:$A$15,0),1))</f>
        <v/>
      </c>
      <c r="AL357" s="47" t="str">
        <f aca="false">IF(OR($D357="",$N357=""),"",IF($E357="LONG",$K357,$O357))</f>
        <v/>
      </c>
      <c r="AM357" s="47" t="str">
        <f aca="false">IF(OR($D357="",$N357=""),"",IF($E357="LONG",$O357,$K357))</f>
        <v/>
      </c>
    </row>
    <row r="358" customFormat="false" ht="15" hidden="false" customHeight="false" outlineLevel="0" collapsed="false">
      <c r="A358" s="49"/>
      <c r="B358" s="5" t="str">
        <f aca="false">IF($D358="","",IF(OR(RIGHT($A358,2)="-L",RIGHT($A358,2)="-S"),LEFT($A358,LEN($A358)-2),$A358))</f>
        <v/>
      </c>
      <c r="C358" s="50"/>
      <c r="D358" s="49"/>
      <c r="E358" s="49"/>
      <c r="F358" s="49"/>
      <c r="G358" s="45"/>
      <c r="H358" s="50"/>
      <c r="I358" s="45"/>
      <c r="J358" s="51"/>
      <c r="K358" s="40" t="str">
        <f aca="false">IF($D358="","",$I358*$J358)</f>
        <v/>
      </c>
      <c r="L358" s="50"/>
      <c r="M358" s="49"/>
      <c r="N358" s="45"/>
      <c r="O358" s="40" t="str">
        <f aca="false">IF(OR($D358="",$N358=""),"",$N358*$J358)</f>
        <v/>
      </c>
      <c r="P358" s="41" t="str">
        <f aca="false">IF(OR($D358="",$L358=""),"",MAX($L358-$H358,0))</f>
        <v/>
      </c>
      <c r="Q358" s="40" t="str">
        <f aca="false">IF(OR($D358="",$N358=""),"",IF($E358="LONG",($N358-$I358)*$J358,($I358-$N358)*$J358))</f>
        <v/>
      </c>
      <c r="R358" s="42" t="str">
        <f aca="false">IF(OR($D358="",$Q358="",$K358=0),"",$Q358/$K358)</f>
        <v/>
      </c>
      <c r="S358" s="43" t="str">
        <f aca="false">IF(OR($D358="",$N358=""),"",MIN(INDEX(Config!$C$13:$C$15,$AK358),INDEX(Config!$B$13:$B$15,$AK358)*$K358)+MIN(INDEX(Config!$C$13:$C$15,$AK358),INDEX(Config!$B$13:$B$15,$AK358)*$O358))</f>
        <v/>
      </c>
      <c r="T358" s="43" t="str">
        <f aca="false">IF(OR($D358="",$N358=""),"",INDEX(Config!$D$13:$D$15,$AK358)*$AL358+INDEX(Config!$E$13:$E$15,$AK358)*$AM358)</f>
        <v/>
      </c>
      <c r="U358" s="43" t="str">
        <f aca="false">IF(OR($D358="",$N358=""),"",INDEX(Config!$F$13:$F$15,$AK358)*($K358+$O358))</f>
        <v/>
      </c>
      <c r="V358" s="43" t="str">
        <f aca="false">IF(OR($D358="",$N358=""),"",INDEX(Config!$G$13:$G$15,$AK358)*($K358+$O358)+INDEX(Config!$H$13:$H$15,$AK358)*$AL358+INDEX(Config!$J$13:$J$15,$AK358))</f>
        <v/>
      </c>
      <c r="W358" s="43" t="str">
        <f aca="false">IF(OR($D358="",$N358=""),"",INDEX(Config!$I$13:$I$15,$AK358)*($S358+$U358+INDEX(Config!$G$13:$G$15,$AK358)*($K358+$O358)))</f>
        <v/>
      </c>
      <c r="X358" s="43" t="str">
        <f aca="false">IF(OR($D358="",$N358=""),"",INDEX(Config!$K$13:$K$15,$AK358)/365*$P358*$K358*Config!$B$8)</f>
        <v/>
      </c>
      <c r="Y358" s="43" t="str">
        <f aca="false">IF(OR($D358="",$N358=""),"",SUM($S358:$X358))</f>
        <v/>
      </c>
      <c r="Z358" s="40" t="str">
        <f aca="false">IF(OR($D358="",$Q358=""),"",$Q358-$Y358)</f>
        <v/>
      </c>
      <c r="AA358" s="42" t="str">
        <f aca="false">IF(OR($D358="",$Z358="",$K358=0),"",$Z358/$K358)</f>
        <v/>
      </c>
      <c r="AB358" s="44" t="str">
        <f aca="false">IF(OR($D358="",$Y358="",$K358=0),"",$Y358/$K358*10000)</f>
        <v/>
      </c>
      <c r="AC358" s="44" t="str">
        <f aca="false">IF(OR($D358="",$G358="",$G358=0,$I358=""),"",IF($E358="LONG",($I358-$G358)/$G358,($G358-$I358)/$G358)*10000)</f>
        <v/>
      </c>
      <c r="AD358" s="45"/>
      <c r="AE358" s="40" t="str">
        <f aca="false">IF(OR($D358="",$N358&lt;&gt;"",$AD358=""),"",IF($E358="LONG",($AD358-$I358)*$J358,($I358-$AD358)*$J358))</f>
        <v/>
      </c>
      <c r="AF358" s="40" t="str">
        <f aca="false">IF(OR($D358="",$E358&lt;&gt;"LONG",$Z358=""),"",$Z358+SUMIFS($Z$4:$Z$503,$B$4:$B$503,$B358,$E$4:$E$503,"SHORT"))</f>
        <v/>
      </c>
      <c r="AG358" s="42" t="str">
        <f aca="false">IF(OR($AF358="",$K358=0),"",$AF358/$K358)</f>
        <v/>
      </c>
      <c r="AH358" s="46"/>
      <c r="AI358" s="43" t="str">
        <f aca="false">IF(OR($D358="",$AH358="",$Z358=""),"",$Z358-$AH358)</f>
        <v/>
      </c>
      <c r="AJ358" s="49"/>
      <c r="AK358" s="47" t="str">
        <f aca="false">IF($D358="","",IFERROR(MATCH($F358,Config!$A$13:$A$15,0),1))</f>
        <v/>
      </c>
      <c r="AL358" s="47" t="str">
        <f aca="false">IF(OR($D358="",$N358=""),"",IF($E358="LONG",$K358,$O358))</f>
        <v/>
      </c>
      <c r="AM358" s="47" t="str">
        <f aca="false">IF(OR($D358="",$N358=""),"",IF($E358="LONG",$O358,$K358))</f>
        <v/>
      </c>
    </row>
    <row r="359" customFormat="false" ht="15" hidden="false" customHeight="false" outlineLevel="0" collapsed="false">
      <c r="A359" s="49"/>
      <c r="B359" s="5" t="str">
        <f aca="false">IF($D359="","",IF(OR(RIGHT($A359,2)="-L",RIGHT($A359,2)="-S"),LEFT($A359,LEN($A359)-2),$A359))</f>
        <v/>
      </c>
      <c r="C359" s="50"/>
      <c r="D359" s="49"/>
      <c r="E359" s="49"/>
      <c r="F359" s="49"/>
      <c r="G359" s="45"/>
      <c r="H359" s="50"/>
      <c r="I359" s="45"/>
      <c r="J359" s="51"/>
      <c r="K359" s="40" t="str">
        <f aca="false">IF($D359="","",$I359*$J359)</f>
        <v/>
      </c>
      <c r="L359" s="50"/>
      <c r="M359" s="49"/>
      <c r="N359" s="45"/>
      <c r="O359" s="40" t="str">
        <f aca="false">IF(OR($D359="",$N359=""),"",$N359*$J359)</f>
        <v/>
      </c>
      <c r="P359" s="41" t="str">
        <f aca="false">IF(OR($D359="",$L359=""),"",MAX($L359-$H359,0))</f>
        <v/>
      </c>
      <c r="Q359" s="40" t="str">
        <f aca="false">IF(OR($D359="",$N359=""),"",IF($E359="LONG",($N359-$I359)*$J359,($I359-$N359)*$J359))</f>
        <v/>
      </c>
      <c r="R359" s="42" t="str">
        <f aca="false">IF(OR($D359="",$Q359="",$K359=0),"",$Q359/$K359)</f>
        <v/>
      </c>
      <c r="S359" s="43" t="str">
        <f aca="false">IF(OR($D359="",$N359=""),"",MIN(INDEX(Config!$C$13:$C$15,$AK359),INDEX(Config!$B$13:$B$15,$AK359)*$K359)+MIN(INDEX(Config!$C$13:$C$15,$AK359),INDEX(Config!$B$13:$B$15,$AK359)*$O359))</f>
        <v/>
      </c>
      <c r="T359" s="43" t="str">
        <f aca="false">IF(OR($D359="",$N359=""),"",INDEX(Config!$D$13:$D$15,$AK359)*$AL359+INDEX(Config!$E$13:$E$15,$AK359)*$AM359)</f>
        <v/>
      </c>
      <c r="U359" s="43" t="str">
        <f aca="false">IF(OR($D359="",$N359=""),"",INDEX(Config!$F$13:$F$15,$AK359)*($K359+$O359))</f>
        <v/>
      </c>
      <c r="V359" s="43" t="str">
        <f aca="false">IF(OR($D359="",$N359=""),"",INDEX(Config!$G$13:$G$15,$AK359)*($K359+$O359)+INDEX(Config!$H$13:$H$15,$AK359)*$AL359+INDEX(Config!$J$13:$J$15,$AK359))</f>
        <v/>
      </c>
      <c r="W359" s="43" t="str">
        <f aca="false">IF(OR($D359="",$N359=""),"",INDEX(Config!$I$13:$I$15,$AK359)*($S359+$U359+INDEX(Config!$G$13:$G$15,$AK359)*($K359+$O359)))</f>
        <v/>
      </c>
      <c r="X359" s="43" t="str">
        <f aca="false">IF(OR($D359="",$N359=""),"",INDEX(Config!$K$13:$K$15,$AK359)/365*$P359*$K359*Config!$B$8)</f>
        <v/>
      </c>
      <c r="Y359" s="43" t="str">
        <f aca="false">IF(OR($D359="",$N359=""),"",SUM($S359:$X359))</f>
        <v/>
      </c>
      <c r="Z359" s="40" t="str">
        <f aca="false">IF(OR($D359="",$Q359=""),"",$Q359-$Y359)</f>
        <v/>
      </c>
      <c r="AA359" s="42" t="str">
        <f aca="false">IF(OR($D359="",$Z359="",$K359=0),"",$Z359/$K359)</f>
        <v/>
      </c>
      <c r="AB359" s="44" t="str">
        <f aca="false">IF(OR($D359="",$Y359="",$K359=0),"",$Y359/$K359*10000)</f>
        <v/>
      </c>
      <c r="AC359" s="44" t="str">
        <f aca="false">IF(OR($D359="",$G359="",$G359=0,$I359=""),"",IF($E359="LONG",($I359-$G359)/$G359,($G359-$I359)/$G359)*10000)</f>
        <v/>
      </c>
      <c r="AD359" s="45"/>
      <c r="AE359" s="40" t="str">
        <f aca="false">IF(OR($D359="",$N359&lt;&gt;"",$AD359=""),"",IF($E359="LONG",($AD359-$I359)*$J359,($I359-$AD359)*$J359))</f>
        <v/>
      </c>
      <c r="AF359" s="40" t="str">
        <f aca="false">IF(OR($D359="",$E359&lt;&gt;"LONG",$Z359=""),"",$Z359+SUMIFS($Z$4:$Z$503,$B$4:$B$503,$B359,$E$4:$E$503,"SHORT"))</f>
        <v/>
      </c>
      <c r="AG359" s="42" t="str">
        <f aca="false">IF(OR($AF359="",$K359=0),"",$AF359/$K359)</f>
        <v/>
      </c>
      <c r="AH359" s="46"/>
      <c r="AI359" s="43" t="str">
        <f aca="false">IF(OR($D359="",$AH359="",$Z359=""),"",$Z359-$AH359)</f>
        <v/>
      </c>
      <c r="AJ359" s="49"/>
      <c r="AK359" s="47" t="str">
        <f aca="false">IF($D359="","",IFERROR(MATCH($F359,Config!$A$13:$A$15,0),1))</f>
        <v/>
      </c>
      <c r="AL359" s="47" t="str">
        <f aca="false">IF(OR($D359="",$N359=""),"",IF($E359="LONG",$K359,$O359))</f>
        <v/>
      </c>
      <c r="AM359" s="47" t="str">
        <f aca="false">IF(OR($D359="",$N359=""),"",IF($E359="LONG",$O359,$K359))</f>
        <v/>
      </c>
    </row>
    <row r="360" customFormat="false" ht="15" hidden="false" customHeight="false" outlineLevel="0" collapsed="false">
      <c r="A360" s="49"/>
      <c r="B360" s="5" t="str">
        <f aca="false">IF($D360="","",IF(OR(RIGHT($A360,2)="-L",RIGHT($A360,2)="-S"),LEFT($A360,LEN($A360)-2),$A360))</f>
        <v/>
      </c>
      <c r="C360" s="50"/>
      <c r="D360" s="49"/>
      <c r="E360" s="49"/>
      <c r="F360" s="49"/>
      <c r="G360" s="45"/>
      <c r="H360" s="50"/>
      <c r="I360" s="45"/>
      <c r="J360" s="51"/>
      <c r="K360" s="40" t="str">
        <f aca="false">IF($D360="","",$I360*$J360)</f>
        <v/>
      </c>
      <c r="L360" s="50"/>
      <c r="M360" s="49"/>
      <c r="N360" s="45"/>
      <c r="O360" s="40" t="str">
        <f aca="false">IF(OR($D360="",$N360=""),"",$N360*$J360)</f>
        <v/>
      </c>
      <c r="P360" s="41" t="str">
        <f aca="false">IF(OR($D360="",$L360=""),"",MAX($L360-$H360,0))</f>
        <v/>
      </c>
      <c r="Q360" s="40" t="str">
        <f aca="false">IF(OR($D360="",$N360=""),"",IF($E360="LONG",($N360-$I360)*$J360,($I360-$N360)*$J360))</f>
        <v/>
      </c>
      <c r="R360" s="42" t="str">
        <f aca="false">IF(OR($D360="",$Q360="",$K360=0),"",$Q360/$K360)</f>
        <v/>
      </c>
      <c r="S360" s="43" t="str">
        <f aca="false">IF(OR($D360="",$N360=""),"",MIN(INDEX(Config!$C$13:$C$15,$AK360),INDEX(Config!$B$13:$B$15,$AK360)*$K360)+MIN(INDEX(Config!$C$13:$C$15,$AK360),INDEX(Config!$B$13:$B$15,$AK360)*$O360))</f>
        <v/>
      </c>
      <c r="T360" s="43" t="str">
        <f aca="false">IF(OR($D360="",$N360=""),"",INDEX(Config!$D$13:$D$15,$AK360)*$AL360+INDEX(Config!$E$13:$E$15,$AK360)*$AM360)</f>
        <v/>
      </c>
      <c r="U360" s="43" t="str">
        <f aca="false">IF(OR($D360="",$N360=""),"",INDEX(Config!$F$13:$F$15,$AK360)*($K360+$O360))</f>
        <v/>
      </c>
      <c r="V360" s="43" t="str">
        <f aca="false">IF(OR($D360="",$N360=""),"",INDEX(Config!$G$13:$G$15,$AK360)*($K360+$O360)+INDEX(Config!$H$13:$H$15,$AK360)*$AL360+INDEX(Config!$J$13:$J$15,$AK360))</f>
        <v/>
      </c>
      <c r="W360" s="43" t="str">
        <f aca="false">IF(OR($D360="",$N360=""),"",INDEX(Config!$I$13:$I$15,$AK360)*($S360+$U360+INDEX(Config!$G$13:$G$15,$AK360)*($K360+$O360)))</f>
        <v/>
      </c>
      <c r="X360" s="43" t="str">
        <f aca="false">IF(OR($D360="",$N360=""),"",INDEX(Config!$K$13:$K$15,$AK360)/365*$P360*$K360*Config!$B$8)</f>
        <v/>
      </c>
      <c r="Y360" s="43" t="str">
        <f aca="false">IF(OR($D360="",$N360=""),"",SUM($S360:$X360))</f>
        <v/>
      </c>
      <c r="Z360" s="40" t="str">
        <f aca="false">IF(OR($D360="",$Q360=""),"",$Q360-$Y360)</f>
        <v/>
      </c>
      <c r="AA360" s="42" t="str">
        <f aca="false">IF(OR($D360="",$Z360="",$K360=0),"",$Z360/$K360)</f>
        <v/>
      </c>
      <c r="AB360" s="44" t="str">
        <f aca="false">IF(OR($D360="",$Y360="",$K360=0),"",$Y360/$K360*10000)</f>
        <v/>
      </c>
      <c r="AC360" s="44" t="str">
        <f aca="false">IF(OR($D360="",$G360="",$G360=0,$I360=""),"",IF($E360="LONG",($I360-$G360)/$G360,($G360-$I360)/$G360)*10000)</f>
        <v/>
      </c>
      <c r="AD360" s="45"/>
      <c r="AE360" s="40" t="str">
        <f aca="false">IF(OR($D360="",$N360&lt;&gt;"",$AD360=""),"",IF($E360="LONG",($AD360-$I360)*$J360,($I360-$AD360)*$J360))</f>
        <v/>
      </c>
      <c r="AF360" s="40" t="str">
        <f aca="false">IF(OR($D360="",$E360&lt;&gt;"LONG",$Z360=""),"",$Z360+SUMIFS($Z$4:$Z$503,$B$4:$B$503,$B360,$E$4:$E$503,"SHORT"))</f>
        <v/>
      </c>
      <c r="AG360" s="42" t="str">
        <f aca="false">IF(OR($AF360="",$K360=0),"",$AF360/$K360)</f>
        <v/>
      </c>
      <c r="AH360" s="46"/>
      <c r="AI360" s="43" t="str">
        <f aca="false">IF(OR($D360="",$AH360="",$Z360=""),"",$Z360-$AH360)</f>
        <v/>
      </c>
      <c r="AJ360" s="49"/>
      <c r="AK360" s="47" t="str">
        <f aca="false">IF($D360="","",IFERROR(MATCH($F360,Config!$A$13:$A$15,0),1))</f>
        <v/>
      </c>
      <c r="AL360" s="47" t="str">
        <f aca="false">IF(OR($D360="",$N360=""),"",IF($E360="LONG",$K360,$O360))</f>
        <v/>
      </c>
      <c r="AM360" s="47" t="str">
        <f aca="false">IF(OR($D360="",$N360=""),"",IF($E360="LONG",$O360,$K360))</f>
        <v/>
      </c>
    </row>
    <row r="361" customFormat="false" ht="15" hidden="false" customHeight="false" outlineLevel="0" collapsed="false">
      <c r="A361" s="49"/>
      <c r="B361" s="5" t="str">
        <f aca="false">IF($D361="","",IF(OR(RIGHT($A361,2)="-L",RIGHT($A361,2)="-S"),LEFT($A361,LEN($A361)-2),$A361))</f>
        <v/>
      </c>
      <c r="C361" s="50"/>
      <c r="D361" s="49"/>
      <c r="E361" s="49"/>
      <c r="F361" s="49"/>
      <c r="G361" s="45"/>
      <c r="H361" s="50"/>
      <c r="I361" s="45"/>
      <c r="J361" s="51"/>
      <c r="K361" s="40" t="str">
        <f aca="false">IF($D361="","",$I361*$J361)</f>
        <v/>
      </c>
      <c r="L361" s="50"/>
      <c r="M361" s="49"/>
      <c r="N361" s="45"/>
      <c r="O361" s="40" t="str">
        <f aca="false">IF(OR($D361="",$N361=""),"",$N361*$J361)</f>
        <v/>
      </c>
      <c r="P361" s="41" t="str">
        <f aca="false">IF(OR($D361="",$L361=""),"",MAX($L361-$H361,0))</f>
        <v/>
      </c>
      <c r="Q361" s="40" t="str">
        <f aca="false">IF(OR($D361="",$N361=""),"",IF($E361="LONG",($N361-$I361)*$J361,($I361-$N361)*$J361))</f>
        <v/>
      </c>
      <c r="R361" s="42" t="str">
        <f aca="false">IF(OR($D361="",$Q361="",$K361=0),"",$Q361/$K361)</f>
        <v/>
      </c>
      <c r="S361" s="43" t="str">
        <f aca="false">IF(OR($D361="",$N361=""),"",MIN(INDEX(Config!$C$13:$C$15,$AK361),INDEX(Config!$B$13:$B$15,$AK361)*$K361)+MIN(INDEX(Config!$C$13:$C$15,$AK361),INDEX(Config!$B$13:$B$15,$AK361)*$O361))</f>
        <v/>
      </c>
      <c r="T361" s="43" t="str">
        <f aca="false">IF(OR($D361="",$N361=""),"",INDEX(Config!$D$13:$D$15,$AK361)*$AL361+INDEX(Config!$E$13:$E$15,$AK361)*$AM361)</f>
        <v/>
      </c>
      <c r="U361" s="43" t="str">
        <f aca="false">IF(OR($D361="",$N361=""),"",INDEX(Config!$F$13:$F$15,$AK361)*($K361+$O361))</f>
        <v/>
      </c>
      <c r="V361" s="43" t="str">
        <f aca="false">IF(OR($D361="",$N361=""),"",INDEX(Config!$G$13:$G$15,$AK361)*($K361+$O361)+INDEX(Config!$H$13:$H$15,$AK361)*$AL361+INDEX(Config!$J$13:$J$15,$AK361))</f>
        <v/>
      </c>
      <c r="W361" s="43" t="str">
        <f aca="false">IF(OR($D361="",$N361=""),"",INDEX(Config!$I$13:$I$15,$AK361)*($S361+$U361+INDEX(Config!$G$13:$G$15,$AK361)*($K361+$O361)))</f>
        <v/>
      </c>
      <c r="X361" s="43" t="str">
        <f aca="false">IF(OR($D361="",$N361=""),"",INDEX(Config!$K$13:$K$15,$AK361)/365*$P361*$K361*Config!$B$8)</f>
        <v/>
      </c>
      <c r="Y361" s="43" t="str">
        <f aca="false">IF(OR($D361="",$N361=""),"",SUM($S361:$X361))</f>
        <v/>
      </c>
      <c r="Z361" s="40" t="str">
        <f aca="false">IF(OR($D361="",$Q361=""),"",$Q361-$Y361)</f>
        <v/>
      </c>
      <c r="AA361" s="42" t="str">
        <f aca="false">IF(OR($D361="",$Z361="",$K361=0),"",$Z361/$K361)</f>
        <v/>
      </c>
      <c r="AB361" s="44" t="str">
        <f aca="false">IF(OR($D361="",$Y361="",$K361=0),"",$Y361/$K361*10000)</f>
        <v/>
      </c>
      <c r="AC361" s="44" t="str">
        <f aca="false">IF(OR($D361="",$G361="",$G361=0,$I361=""),"",IF($E361="LONG",($I361-$G361)/$G361,($G361-$I361)/$G361)*10000)</f>
        <v/>
      </c>
      <c r="AD361" s="45"/>
      <c r="AE361" s="40" t="str">
        <f aca="false">IF(OR($D361="",$N361&lt;&gt;"",$AD361=""),"",IF($E361="LONG",($AD361-$I361)*$J361,($I361-$AD361)*$J361))</f>
        <v/>
      </c>
      <c r="AF361" s="40" t="str">
        <f aca="false">IF(OR($D361="",$E361&lt;&gt;"LONG",$Z361=""),"",$Z361+SUMIFS($Z$4:$Z$503,$B$4:$B$503,$B361,$E$4:$E$503,"SHORT"))</f>
        <v/>
      </c>
      <c r="AG361" s="42" t="str">
        <f aca="false">IF(OR($AF361="",$K361=0),"",$AF361/$K361)</f>
        <v/>
      </c>
      <c r="AH361" s="46"/>
      <c r="AI361" s="43" t="str">
        <f aca="false">IF(OR($D361="",$AH361="",$Z361=""),"",$Z361-$AH361)</f>
        <v/>
      </c>
      <c r="AJ361" s="49"/>
      <c r="AK361" s="47" t="str">
        <f aca="false">IF($D361="","",IFERROR(MATCH($F361,Config!$A$13:$A$15,0),1))</f>
        <v/>
      </c>
      <c r="AL361" s="47" t="str">
        <f aca="false">IF(OR($D361="",$N361=""),"",IF($E361="LONG",$K361,$O361))</f>
        <v/>
      </c>
      <c r="AM361" s="47" t="str">
        <f aca="false">IF(OR($D361="",$N361=""),"",IF($E361="LONG",$O361,$K361))</f>
        <v/>
      </c>
    </row>
    <row r="362" customFormat="false" ht="15" hidden="false" customHeight="false" outlineLevel="0" collapsed="false">
      <c r="A362" s="49"/>
      <c r="B362" s="5" t="str">
        <f aca="false">IF($D362="","",IF(OR(RIGHT($A362,2)="-L",RIGHT($A362,2)="-S"),LEFT($A362,LEN($A362)-2),$A362))</f>
        <v/>
      </c>
      <c r="C362" s="50"/>
      <c r="D362" s="49"/>
      <c r="E362" s="49"/>
      <c r="F362" s="49"/>
      <c r="G362" s="45"/>
      <c r="H362" s="50"/>
      <c r="I362" s="45"/>
      <c r="J362" s="51"/>
      <c r="K362" s="40" t="str">
        <f aca="false">IF($D362="","",$I362*$J362)</f>
        <v/>
      </c>
      <c r="L362" s="50"/>
      <c r="M362" s="49"/>
      <c r="N362" s="45"/>
      <c r="O362" s="40" t="str">
        <f aca="false">IF(OR($D362="",$N362=""),"",$N362*$J362)</f>
        <v/>
      </c>
      <c r="P362" s="41" t="str">
        <f aca="false">IF(OR($D362="",$L362=""),"",MAX($L362-$H362,0))</f>
        <v/>
      </c>
      <c r="Q362" s="40" t="str">
        <f aca="false">IF(OR($D362="",$N362=""),"",IF($E362="LONG",($N362-$I362)*$J362,($I362-$N362)*$J362))</f>
        <v/>
      </c>
      <c r="R362" s="42" t="str">
        <f aca="false">IF(OR($D362="",$Q362="",$K362=0),"",$Q362/$K362)</f>
        <v/>
      </c>
      <c r="S362" s="43" t="str">
        <f aca="false">IF(OR($D362="",$N362=""),"",MIN(INDEX(Config!$C$13:$C$15,$AK362),INDEX(Config!$B$13:$B$15,$AK362)*$K362)+MIN(INDEX(Config!$C$13:$C$15,$AK362),INDEX(Config!$B$13:$B$15,$AK362)*$O362))</f>
        <v/>
      </c>
      <c r="T362" s="43" t="str">
        <f aca="false">IF(OR($D362="",$N362=""),"",INDEX(Config!$D$13:$D$15,$AK362)*$AL362+INDEX(Config!$E$13:$E$15,$AK362)*$AM362)</f>
        <v/>
      </c>
      <c r="U362" s="43" t="str">
        <f aca="false">IF(OR($D362="",$N362=""),"",INDEX(Config!$F$13:$F$15,$AK362)*($K362+$O362))</f>
        <v/>
      </c>
      <c r="V362" s="43" t="str">
        <f aca="false">IF(OR($D362="",$N362=""),"",INDEX(Config!$G$13:$G$15,$AK362)*($K362+$O362)+INDEX(Config!$H$13:$H$15,$AK362)*$AL362+INDEX(Config!$J$13:$J$15,$AK362))</f>
        <v/>
      </c>
      <c r="W362" s="43" t="str">
        <f aca="false">IF(OR($D362="",$N362=""),"",INDEX(Config!$I$13:$I$15,$AK362)*($S362+$U362+INDEX(Config!$G$13:$G$15,$AK362)*($K362+$O362)))</f>
        <v/>
      </c>
      <c r="X362" s="43" t="str">
        <f aca="false">IF(OR($D362="",$N362=""),"",INDEX(Config!$K$13:$K$15,$AK362)/365*$P362*$K362*Config!$B$8)</f>
        <v/>
      </c>
      <c r="Y362" s="43" t="str">
        <f aca="false">IF(OR($D362="",$N362=""),"",SUM($S362:$X362))</f>
        <v/>
      </c>
      <c r="Z362" s="40" t="str">
        <f aca="false">IF(OR($D362="",$Q362=""),"",$Q362-$Y362)</f>
        <v/>
      </c>
      <c r="AA362" s="42" t="str">
        <f aca="false">IF(OR($D362="",$Z362="",$K362=0),"",$Z362/$K362)</f>
        <v/>
      </c>
      <c r="AB362" s="44" t="str">
        <f aca="false">IF(OR($D362="",$Y362="",$K362=0),"",$Y362/$K362*10000)</f>
        <v/>
      </c>
      <c r="AC362" s="44" t="str">
        <f aca="false">IF(OR($D362="",$G362="",$G362=0,$I362=""),"",IF($E362="LONG",($I362-$G362)/$G362,($G362-$I362)/$G362)*10000)</f>
        <v/>
      </c>
      <c r="AD362" s="45"/>
      <c r="AE362" s="40" t="str">
        <f aca="false">IF(OR($D362="",$N362&lt;&gt;"",$AD362=""),"",IF($E362="LONG",($AD362-$I362)*$J362,($I362-$AD362)*$J362))</f>
        <v/>
      </c>
      <c r="AF362" s="40" t="str">
        <f aca="false">IF(OR($D362="",$E362&lt;&gt;"LONG",$Z362=""),"",$Z362+SUMIFS($Z$4:$Z$503,$B$4:$B$503,$B362,$E$4:$E$503,"SHORT"))</f>
        <v/>
      </c>
      <c r="AG362" s="42" t="str">
        <f aca="false">IF(OR($AF362="",$K362=0),"",$AF362/$K362)</f>
        <v/>
      </c>
      <c r="AH362" s="46"/>
      <c r="AI362" s="43" t="str">
        <f aca="false">IF(OR($D362="",$AH362="",$Z362=""),"",$Z362-$AH362)</f>
        <v/>
      </c>
      <c r="AJ362" s="49"/>
      <c r="AK362" s="47" t="str">
        <f aca="false">IF($D362="","",IFERROR(MATCH($F362,Config!$A$13:$A$15,0),1))</f>
        <v/>
      </c>
      <c r="AL362" s="47" t="str">
        <f aca="false">IF(OR($D362="",$N362=""),"",IF($E362="LONG",$K362,$O362))</f>
        <v/>
      </c>
      <c r="AM362" s="47" t="str">
        <f aca="false">IF(OR($D362="",$N362=""),"",IF($E362="LONG",$O362,$K362))</f>
        <v/>
      </c>
    </row>
    <row r="363" customFormat="false" ht="15" hidden="false" customHeight="false" outlineLevel="0" collapsed="false">
      <c r="A363" s="49"/>
      <c r="B363" s="5" t="str">
        <f aca="false">IF($D363="","",IF(OR(RIGHT($A363,2)="-L",RIGHT($A363,2)="-S"),LEFT($A363,LEN($A363)-2),$A363))</f>
        <v/>
      </c>
      <c r="C363" s="50"/>
      <c r="D363" s="49"/>
      <c r="E363" s="49"/>
      <c r="F363" s="49"/>
      <c r="G363" s="45"/>
      <c r="H363" s="50"/>
      <c r="I363" s="45"/>
      <c r="J363" s="51"/>
      <c r="K363" s="40" t="str">
        <f aca="false">IF($D363="","",$I363*$J363)</f>
        <v/>
      </c>
      <c r="L363" s="50"/>
      <c r="M363" s="49"/>
      <c r="N363" s="45"/>
      <c r="O363" s="40" t="str">
        <f aca="false">IF(OR($D363="",$N363=""),"",$N363*$J363)</f>
        <v/>
      </c>
      <c r="P363" s="41" t="str">
        <f aca="false">IF(OR($D363="",$L363=""),"",MAX($L363-$H363,0))</f>
        <v/>
      </c>
      <c r="Q363" s="40" t="str">
        <f aca="false">IF(OR($D363="",$N363=""),"",IF($E363="LONG",($N363-$I363)*$J363,($I363-$N363)*$J363))</f>
        <v/>
      </c>
      <c r="R363" s="42" t="str">
        <f aca="false">IF(OR($D363="",$Q363="",$K363=0),"",$Q363/$K363)</f>
        <v/>
      </c>
      <c r="S363" s="43" t="str">
        <f aca="false">IF(OR($D363="",$N363=""),"",MIN(INDEX(Config!$C$13:$C$15,$AK363),INDEX(Config!$B$13:$B$15,$AK363)*$K363)+MIN(INDEX(Config!$C$13:$C$15,$AK363),INDEX(Config!$B$13:$B$15,$AK363)*$O363))</f>
        <v/>
      </c>
      <c r="T363" s="43" t="str">
        <f aca="false">IF(OR($D363="",$N363=""),"",INDEX(Config!$D$13:$D$15,$AK363)*$AL363+INDEX(Config!$E$13:$E$15,$AK363)*$AM363)</f>
        <v/>
      </c>
      <c r="U363" s="43" t="str">
        <f aca="false">IF(OR($D363="",$N363=""),"",INDEX(Config!$F$13:$F$15,$AK363)*($K363+$O363))</f>
        <v/>
      </c>
      <c r="V363" s="43" t="str">
        <f aca="false">IF(OR($D363="",$N363=""),"",INDEX(Config!$G$13:$G$15,$AK363)*($K363+$O363)+INDEX(Config!$H$13:$H$15,$AK363)*$AL363+INDEX(Config!$J$13:$J$15,$AK363))</f>
        <v/>
      </c>
      <c r="W363" s="43" t="str">
        <f aca="false">IF(OR($D363="",$N363=""),"",INDEX(Config!$I$13:$I$15,$AK363)*($S363+$U363+INDEX(Config!$G$13:$G$15,$AK363)*($K363+$O363)))</f>
        <v/>
      </c>
      <c r="X363" s="43" t="str">
        <f aca="false">IF(OR($D363="",$N363=""),"",INDEX(Config!$K$13:$K$15,$AK363)/365*$P363*$K363*Config!$B$8)</f>
        <v/>
      </c>
      <c r="Y363" s="43" t="str">
        <f aca="false">IF(OR($D363="",$N363=""),"",SUM($S363:$X363))</f>
        <v/>
      </c>
      <c r="Z363" s="40" t="str">
        <f aca="false">IF(OR($D363="",$Q363=""),"",$Q363-$Y363)</f>
        <v/>
      </c>
      <c r="AA363" s="42" t="str">
        <f aca="false">IF(OR($D363="",$Z363="",$K363=0),"",$Z363/$K363)</f>
        <v/>
      </c>
      <c r="AB363" s="44" t="str">
        <f aca="false">IF(OR($D363="",$Y363="",$K363=0),"",$Y363/$K363*10000)</f>
        <v/>
      </c>
      <c r="AC363" s="44" t="str">
        <f aca="false">IF(OR($D363="",$G363="",$G363=0,$I363=""),"",IF($E363="LONG",($I363-$G363)/$G363,($G363-$I363)/$G363)*10000)</f>
        <v/>
      </c>
      <c r="AD363" s="45"/>
      <c r="AE363" s="40" t="str">
        <f aca="false">IF(OR($D363="",$N363&lt;&gt;"",$AD363=""),"",IF($E363="LONG",($AD363-$I363)*$J363,($I363-$AD363)*$J363))</f>
        <v/>
      </c>
      <c r="AF363" s="40" t="str">
        <f aca="false">IF(OR($D363="",$E363&lt;&gt;"LONG",$Z363=""),"",$Z363+SUMIFS($Z$4:$Z$503,$B$4:$B$503,$B363,$E$4:$E$503,"SHORT"))</f>
        <v/>
      </c>
      <c r="AG363" s="42" t="str">
        <f aca="false">IF(OR($AF363="",$K363=0),"",$AF363/$K363)</f>
        <v/>
      </c>
      <c r="AH363" s="46"/>
      <c r="AI363" s="43" t="str">
        <f aca="false">IF(OR($D363="",$AH363="",$Z363=""),"",$Z363-$AH363)</f>
        <v/>
      </c>
      <c r="AJ363" s="49"/>
      <c r="AK363" s="47" t="str">
        <f aca="false">IF($D363="","",IFERROR(MATCH($F363,Config!$A$13:$A$15,0),1))</f>
        <v/>
      </c>
      <c r="AL363" s="47" t="str">
        <f aca="false">IF(OR($D363="",$N363=""),"",IF($E363="LONG",$K363,$O363))</f>
        <v/>
      </c>
      <c r="AM363" s="47" t="str">
        <f aca="false">IF(OR($D363="",$N363=""),"",IF($E363="LONG",$O363,$K363))</f>
        <v/>
      </c>
    </row>
    <row r="364" customFormat="false" ht="15" hidden="false" customHeight="false" outlineLevel="0" collapsed="false">
      <c r="A364" s="49"/>
      <c r="B364" s="5" t="str">
        <f aca="false">IF($D364="","",IF(OR(RIGHT($A364,2)="-L",RIGHT($A364,2)="-S"),LEFT($A364,LEN($A364)-2),$A364))</f>
        <v/>
      </c>
      <c r="C364" s="50"/>
      <c r="D364" s="49"/>
      <c r="E364" s="49"/>
      <c r="F364" s="49"/>
      <c r="G364" s="45"/>
      <c r="H364" s="50"/>
      <c r="I364" s="45"/>
      <c r="J364" s="51"/>
      <c r="K364" s="40" t="str">
        <f aca="false">IF($D364="","",$I364*$J364)</f>
        <v/>
      </c>
      <c r="L364" s="50"/>
      <c r="M364" s="49"/>
      <c r="N364" s="45"/>
      <c r="O364" s="40" t="str">
        <f aca="false">IF(OR($D364="",$N364=""),"",$N364*$J364)</f>
        <v/>
      </c>
      <c r="P364" s="41" t="str">
        <f aca="false">IF(OR($D364="",$L364=""),"",MAX($L364-$H364,0))</f>
        <v/>
      </c>
      <c r="Q364" s="40" t="str">
        <f aca="false">IF(OR($D364="",$N364=""),"",IF($E364="LONG",($N364-$I364)*$J364,($I364-$N364)*$J364))</f>
        <v/>
      </c>
      <c r="R364" s="42" t="str">
        <f aca="false">IF(OR($D364="",$Q364="",$K364=0),"",$Q364/$K364)</f>
        <v/>
      </c>
      <c r="S364" s="43" t="str">
        <f aca="false">IF(OR($D364="",$N364=""),"",MIN(INDEX(Config!$C$13:$C$15,$AK364),INDEX(Config!$B$13:$B$15,$AK364)*$K364)+MIN(INDEX(Config!$C$13:$C$15,$AK364),INDEX(Config!$B$13:$B$15,$AK364)*$O364))</f>
        <v/>
      </c>
      <c r="T364" s="43" t="str">
        <f aca="false">IF(OR($D364="",$N364=""),"",INDEX(Config!$D$13:$D$15,$AK364)*$AL364+INDEX(Config!$E$13:$E$15,$AK364)*$AM364)</f>
        <v/>
      </c>
      <c r="U364" s="43" t="str">
        <f aca="false">IF(OR($D364="",$N364=""),"",INDEX(Config!$F$13:$F$15,$AK364)*($K364+$O364))</f>
        <v/>
      </c>
      <c r="V364" s="43" t="str">
        <f aca="false">IF(OR($D364="",$N364=""),"",INDEX(Config!$G$13:$G$15,$AK364)*($K364+$O364)+INDEX(Config!$H$13:$H$15,$AK364)*$AL364+INDEX(Config!$J$13:$J$15,$AK364))</f>
        <v/>
      </c>
      <c r="W364" s="43" t="str">
        <f aca="false">IF(OR($D364="",$N364=""),"",INDEX(Config!$I$13:$I$15,$AK364)*($S364+$U364+INDEX(Config!$G$13:$G$15,$AK364)*($K364+$O364)))</f>
        <v/>
      </c>
      <c r="X364" s="43" t="str">
        <f aca="false">IF(OR($D364="",$N364=""),"",INDEX(Config!$K$13:$K$15,$AK364)/365*$P364*$K364*Config!$B$8)</f>
        <v/>
      </c>
      <c r="Y364" s="43" t="str">
        <f aca="false">IF(OR($D364="",$N364=""),"",SUM($S364:$X364))</f>
        <v/>
      </c>
      <c r="Z364" s="40" t="str">
        <f aca="false">IF(OR($D364="",$Q364=""),"",$Q364-$Y364)</f>
        <v/>
      </c>
      <c r="AA364" s="42" t="str">
        <f aca="false">IF(OR($D364="",$Z364="",$K364=0),"",$Z364/$K364)</f>
        <v/>
      </c>
      <c r="AB364" s="44" t="str">
        <f aca="false">IF(OR($D364="",$Y364="",$K364=0),"",$Y364/$K364*10000)</f>
        <v/>
      </c>
      <c r="AC364" s="44" t="str">
        <f aca="false">IF(OR($D364="",$G364="",$G364=0,$I364=""),"",IF($E364="LONG",($I364-$G364)/$G364,($G364-$I364)/$G364)*10000)</f>
        <v/>
      </c>
      <c r="AD364" s="45"/>
      <c r="AE364" s="40" t="str">
        <f aca="false">IF(OR($D364="",$N364&lt;&gt;"",$AD364=""),"",IF($E364="LONG",($AD364-$I364)*$J364,($I364-$AD364)*$J364))</f>
        <v/>
      </c>
      <c r="AF364" s="40" t="str">
        <f aca="false">IF(OR($D364="",$E364&lt;&gt;"LONG",$Z364=""),"",$Z364+SUMIFS($Z$4:$Z$503,$B$4:$B$503,$B364,$E$4:$E$503,"SHORT"))</f>
        <v/>
      </c>
      <c r="AG364" s="42" t="str">
        <f aca="false">IF(OR($AF364="",$K364=0),"",$AF364/$K364)</f>
        <v/>
      </c>
      <c r="AH364" s="46"/>
      <c r="AI364" s="43" t="str">
        <f aca="false">IF(OR($D364="",$AH364="",$Z364=""),"",$Z364-$AH364)</f>
        <v/>
      </c>
      <c r="AJ364" s="49"/>
      <c r="AK364" s="47" t="str">
        <f aca="false">IF($D364="","",IFERROR(MATCH($F364,Config!$A$13:$A$15,0),1))</f>
        <v/>
      </c>
      <c r="AL364" s="47" t="str">
        <f aca="false">IF(OR($D364="",$N364=""),"",IF($E364="LONG",$K364,$O364))</f>
        <v/>
      </c>
      <c r="AM364" s="47" t="str">
        <f aca="false">IF(OR($D364="",$N364=""),"",IF($E364="LONG",$O364,$K364))</f>
        <v/>
      </c>
    </row>
    <row r="365" customFormat="false" ht="15" hidden="false" customHeight="false" outlineLevel="0" collapsed="false">
      <c r="A365" s="49"/>
      <c r="B365" s="5" t="str">
        <f aca="false">IF($D365="","",IF(OR(RIGHT($A365,2)="-L",RIGHT($A365,2)="-S"),LEFT($A365,LEN($A365)-2),$A365))</f>
        <v/>
      </c>
      <c r="C365" s="50"/>
      <c r="D365" s="49"/>
      <c r="E365" s="49"/>
      <c r="F365" s="49"/>
      <c r="G365" s="45"/>
      <c r="H365" s="50"/>
      <c r="I365" s="45"/>
      <c r="J365" s="51"/>
      <c r="K365" s="40" t="str">
        <f aca="false">IF($D365="","",$I365*$J365)</f>
        <v/>
      </c>
      <c r="L365" s="50"/>
      <c r="M365" s="49"/>
      <c r="N365" s="45"/>
      <c r="O365" s="40" t="str">
        <f aca="false">IF(OR($D365="",$N365=""),"",$N365*$J365)</f>
        <v/>
      </c>
      <c r="P365" s="41" t="str">
        <f aca="false">IF(OR($D365="",$L365=""),"",MAX($L365-$H365,0))</f>
        <v/>
      </c>
      <c r="Q365" s="40" t="str">
        <f aca="false">IF(OR($D365="",$N365=""),"",IF($E365="LONG",($N365-$I365)*$J365,($I365-$N365)*$J365))</f>
        <v/>
      </c>
      <c r="R365" s="42" t="str">
        <f aca="false">IF(OR($D365="",$Q365="",$K365=0),"",$Q365/$K365)</f>
        <v/>
      </c>
      <c r="S365" s="43" t="str">
        <f aca="false">IF(OR($D365="",$N365=""),"",MIN(INDEX(Config!$C$13:$C$15,$AK365),INDEX(Config!$B$13:$B$15,$AK365)*$K365)+MIN(INDEX(Config!$C$13:$C$15,$AK365),INDEX(Config!$B$13:$B$15,$AK365)*$O365))</f>
        <v/>
      </c>
      <c r="T365" s="43" t="str">
        <f aca="false">IF(OR($D365="",$N365=""),"",INDEX(Config!$D$13:$D$15,$AK365)*$AL365+INDEX(Config!$E$13:$E$15,$AK365)*$AM365)</f>
        <v/>
      </c>
      <c r="U365" s="43" t="str">
        <f aca="false">IF(OR($D365="",$N365=""),"",INDEX(Config!$F$13:$F$15,$AK365)*($K365+$O365))</f>
        <v/>
      </c>
      <c r="V365" s="43" t="str">
        <f aca="false">IF(OR($D365="",$N365=""),"",INDEX(Config!$G$13:$G$15,$AK365)*($K365+$O365)+INDEX(Config!$H$13:$H$15,$AK365)*$AL365+INDEX(Config!$J$13:$J$15,$AK365))</f>
        <v/>
      </c>
      <c r="W365" s="43" t="str">
        <f aca="false">IF(OR($D365="",$N365=""),"",INDEX(Config!$I$13:$I$15,$AK365)*($S365+$U365+INDEX(Config!$G$13:$G$15,$AK365)*($K365+$O365)))</f>
        <v/>
      </c>
      <c r="X365" s="43" t="str">
        <f aca="false">IF(OR($D365="",$N365=""),"",INDEX(Config!$K$13:$K$15,$AK365)/365*$P365*$K365*Config!$B$8)</f>
        <v/>
      </c>
      <c r="Y365" s="43" t="str">
        <f aca="false">IF(OR($D365="",$N365=""),"",SUM($S365:$X365))</f>
        <v/>
      </c>
      <c r="Z365" s="40" t="str">
        <f aca="false">IF(OR($D365="",$Q365=""),"",$Q365-$Y365)</f>
        <v/>
      </c>
      <c r="AA365" s="42" t="str">
        <f aca="false">IF(OR($D365="",$Z365="",$K365=0),"",$Z365/$K365)</f>
        <v/>
      </c>
      <c r="AB365" s="44" t="str">
        <f aca="false">IF(OR($D365="",$Y365="",$K365=0),"",$Y365/$K365*10000)</f>
        <v/>
      </c>
      <c r="AC365" s="44" t="str">
        <f aca="false">IF(OR($D365="",$G365="",$G365=0,$I365=""),"",IF($E365="LONG",($I365-$G365)/$G365,($G365-$I365)/$G365)*10000)</f>
        <v/>
      </c>
      <c r="AD365" s="45"/>
      <c r="AE365" s="40" t="str">
        <f aca="false">IF(OR($D365="",$N365&lt;&gt;"",$AD365=""),"",IF($E365="LONG",($AD365-$I365)*$J365,($I365-$AD365)*$J365))</f>
        <v/>
      </c>
      <c r="AF365" s="40" t="str">
        <f aca="false">IF(OR($D365="",$E365&lt;&gt;"LONG",$Z365=""),"",$Z365+SUMIFS($Z$4:$Z$503,$B$4:$B$503,$B365,$E$4:$E$503,"SHORT"))</f>
        <v/>
      </c>
      <c r="AG365" s="42" t="str">
        <f aca="false">IF(OR($AF365="",$K365=0),"",$AF365/$K365)</f>
        <v/>
      </c>
      <c r="AH365" s="46"/>
      <c r="AI365" s="43" t="str">
        <f aca="false">IF(OR($D365="",$AH365="",$Z365=""),"",$Z365-$AH365)</f>
        <v/>
      </c>
      <c r="AJ365" s="49"/>
      <c r="AK365" s="47" t="str">
        <f aca="false">IF($D365="","",IFERROR(MATCH($F365,Config!$A$13:$A$15,0),1))</f>
        <v/>
      </c>
      <c r="AL365" s="47" t="str">
        <f aca="false">IF(OR($D365="",$N365=""),"",IF($E365="LONG",$K365,$O365))</f>
        <v/>
      </c>
      <c r="AM365" s="47" t="str">
        <f aca="false">IF(OR($D365="",$N365=""),"",IF($E365="LONG",$O365,$K365))</f>
        <v/>
      </c>
    </row>
    <row r="366" customFormat="false" ht="15" hidden="false" customHeight="false" outlineLevel="0" collapsed="false">
      <c r="A366" s="49"/>
      <c r="B366" s="5" t="str">
        <f aca="false">IF($D366="","",IF(OR(RIGHT($A366,2)="-L",RIGHT($A366,2)="-S"),LEFT($A366,LEN($A366)-2),$A366))</f>
        <v/>
      </c>
      <c r="C366" s="50"/>
      <c r="D366" s="49"/>
      <c r="E366" s="49"/>
      <c r="F366" s="49"/>
      <c r="G366" s="45"/>
      <c r="H366" s="50"/>
      <c r="I366" s="45"/>
      <c r="J366" s="51"/>
      <c r="K366" s="40" t="str">
        <f aca="false">IF($D366="","",$I366*$J366)</f>
        <v/>
      </c>
      <c r="L366" s="50"/>
      <c r="M366" s="49"/>
      <c r="N366" s="45"/>
      <c r="O366" s="40" t="str">
        <f aca="false">IF(OR($D366="",$N366=""),"",$N366*$J366)</f>
        <v/>
      </c>
      <c r="P366" s="41" t="str">
        <f aca="false">IF(OR($D366="",$L366=""),"",MAX($L366-$H366,0))</f>
        <v/>
      </c>
      <c r="Q366" s="40" t="str">
        <f aca="false">IF(OR($D366="",$N366=""),"",IF($E366="LONG",($N366-$I366)*$J366,($I366-$N366)*$J366))</f>
        <v/>
      </c>
      <c r="R366" s="42" t="str">
        <f aca="false">IF(OR($D366="",$Q366="",$K366=0),"",$Q366/$K366)</f>
        <v/>
      </c>
      <c r="S366" s="43" t="str">
        <f aca="false">IF(OR($D366="",$N366=""),"",MIN(INDEX(Config!$C$13:$C$15,$AK366),INDEX(Config!$B$13:$B$15,$AK366)*$K366)+MIN(INDEX(Config!$C$13:$C$15,$AK366),INDEX(Config!$B$13:$B$15,$AK366)*$O366))</f>
        <v/>
      </c>
      <c r="T366" s="43" t="str">
        <f aca="false">IF(OR($D366="",$N366=""),"",INDEX(Config!$D$13:$D$15,$AK366)*$AL366+INDEX(Config!$E$13:$E$15,$AK366)*$AM366)</f>
        <v/>
      </c>
      <c r="U366" s="43" t="str">
        <f aca="false">IF(OR($D366="",$N366=""),"",INDEX(Config!$F$13:$F$15,$AK366)*($K366+$O366))</f>
        <v/>
      </c>
      <c r="V366" s="43" t="str">
        <f aca="false">IF(OR($D366="",$N366=""),"",INDEX(Config!$G$13:$G$15,$AK366)*($K366+$O366)+INDEX(Config!$H$13:$H$15,$AK366)*$AL366+INDEX(Config!$J$13:$J$15,$AK366))</f>
        <v/>
      </c>
      <c r="W366" s="43" t="str">
        <f aca="false">IF(OR($D366="",$N366=""),"",INDEX(Config!$I$13:$I$15,$AK366)*($S366+$U366+INDEX(Config!$G$13:$G$15,$AK366)*($K366+$O366)))</f>
        <v/>
      </c>
      <c r="X366" s="43" t="str">
        <f aca="false">IF(OR($D366="",$N366=""),"",INDEX(Config!$K$13:$K$15,$AK366)/365*$P366*$K366*Config!$B$8)</f>
        <v/>
      </c>
      <c r="Y366" s="43" t="str">
        <f aca="false">IF(OR($D366="",$N366=""),"",SUM($S366:$X366))</f>
        <v/>
      </c>
      <c r="Z366" s="40" t="str">
        <f aca="false">IF(OR($D366="",$Q366=""),"",$Q366-$Y366)</f>
        <v/>
      </c>
      <c r="AA366" s="42" t="str">
        <f aca="false">IF(OR($D366="",$Z366="",$K366=0),"",$Z366/$K366)</f>
        <v/>
      </c>
      <c r="AB366" s="44" t="str">
        <f aca="false">IF(OR($D366="",$Y366="",$K366=0),"",$Y366/$K366*10000)</f>
        <v/>
      </c>
      <c r="AC366" s="44" t="str">
        <f aca="false">IF(OR($D366="",$G366="",$G366=0,$I366=""),"",IF($E366="LONG",($I366-$G366)/$G366,($G366-$I366)/$G366)*10000)</f>
        <v/>
      </c>
      <c r="AD366" s="45"/>
      <c r="AE366" s="40" t="str">
        <f aca="false">IF(OR($D366="",$N366&lt;&gt;"",$AD366=""),"",IF($E366="LONG",($AD366-$I366)*$J366,($I366-$AD366)*$J366))</f>
        <v/>
      </c>
      <c r="AF366" s="40" t="str">
        <f aca="false">IF(OR($D366="",$E366&lt;&gt;"LONG",$Z366=""),"",$Z366+SUMIFS($Z$4:$Z$503,$B$4:$B$503,$B366,$E$4:$E$503,"SHORT"))</f>
        <v/>
      </c>
      <c r="AG366" s="42" t="str">
        <f aca="false">IF(OR($AF366="",$K366=0),"",$AF366/$K366)</f>
        <v/>
      </c>
      <c r="AH366" s="46"/>
      <c r="AI366" s="43" t="str">
        <f aca="false">IF(OR($D366="",$AH366="",$Z366=""),"",$Z366-$AH366)</f>
        <v/>
      </c>
      <c r="AJ366" s="49"/>
      <c r="AK366" s="47" t="str">
        <f aca="false">IF($D366="","",IFERROR(MATCH($F366,Config!$A$13:$A$15,0),1))</f>
        <v/>
      </c>
      <c r="AL366" s="47" t="str">
        <f aca="false">IF(OR($D366="",$N366=""),"",IF($E366="LONG",$K366,$O366))</f>
        <v/>
      </c>
      <c r="AM366" s="47" t="str">
        <f aca="false">IF(OR($D366="",$N366=""),"",IF($E366="LONG",$O366,$K366))</f>
        <v/>
      </c>
    </row>
    <row r="367" customFormat="false" ht="15" hidden="false" customHeight="false" outlineLevel="0" collapsed="false">
      <c r="A367" s="49"/>
      <c r="B367" s="5" t="str">
        <f aca="false">IF($D367="","",IF(OR(RIGHT($A367,2)="-L",RIGHT($A367,2)="-S"),LEFT($A367,LEN($A367)-2),$A367))</f>
        <v/>
      </c>
      <c r="C367" s="50"/>
      <c r="D367" s="49"/>
      <c r="E367" s="49"/>
      <c r="F367" s="49"/>
      <c r="G367" s="45"/>
      <c r="H367" s="50"/>
      <c r="I367" s="45"/>
      <c r="J367" s="51"/>
      <c r="K367" s="40" t="str">
        <f aca="false">IF($D367="","",$I367*$J367)</f>
        <v/>
      </c>
      <c r="L367" s="50"/>
      <c r="M367" s="49"/>
      <c r="N367" s="45"/>
      <c r="O367" s="40" t="str">
        <f aca="false">IF(OR($D367="",$N367=""),"",$N367*$J367)</f>
        <v/>
      </c>
      <c r="P367" s="41" t="str">
        <f aca="false">IF(OR($D367="",$L367=""),"",MAX($L367-$H367,0))</f>
        <v/>
      </c>
      <c r="Q367" s="40" t="str">
        <f aca="false">IF(OR($D367="",$N367=""),"",IF($E367="LONG",($N367-$I367)*$J367,($I367-$N367)*$J367))</f>
        <v/>
      </c>
      <c r="R367" s="42" t="str">
        <f aca="false">IF(OR($D367="",$Q367="",$K367=0),"",$Q367/$K367)</f>
        <v/>
      </c>
      <c r="S367" s="43" t="str">
        <f aca="false">IF(OR($D367="",$N367=""),"",MIN(INDEX(Config!$C$13:$C$15,$AK367),INDEX(Config!$B$13:$B$15,$AK367)*$K367)+MIN(INDEX(Config!$C$13:$C$15,$AK367),INDEX(Config!$B$13:$B$15,$AK367)*$O367))</f>
        <v/>
      </c>
      <c r="T367" s="43" t="str">
        <f aca="false">IF(OR($D367="",$N367=""),"",INDEX(Config!$D$13:$D$15,$AK367)*$AL367+INDEX(Config!$E$13:$E$15,$AK367)*$AM367)</f>
        <v/>
      </c>
      <c r="U367" s="43" t="str">
        <f aca="false">IF(OR($D367="",$N367=""),"",INDEX(Config!$F$13:$F$15,$AK367)*($K367+$O367))</f>
        <v/>
      </c>
      <c r="V367" s="43" t="str">
        <f aca="false">IF(OR($D367="",$N367=""),"",INDEX(Config!$G$13:$G$15,$AK367)*($K367+$O367)+INDEX(Config!$H$13:$H$15,$AK367)*$AL367+INDEX(Config!$J$13:$J$15,$AK367))</f>
        <v/>
      </c>
      <c r="W367" s="43" t="str">
        <f aca="false">IF(OR($D367="",$N367=""),"",INDEX(Config!$I$13:$I$15,$AK367)*($S367+$U367+INDEX(Config!$G$13:$G$15,$AK367)*($K367+$O367)))</f>
        <v/>
      </c>
      <c r="X367" s="43" t="str">
        <f aca="false">IF(OR($D367="",$N367=""),"",INDEX(Config!$K$13:$K$15,$AK367)/365*$P367*$K367*Config!$B$8)</f>
        <v/>
      </c>
      <c r="Y367" s="43" t="str">
        <f aca="false">IF(OR($D367="",$N367=""),"",SUM($S367:$X367))</f>
        <v/>
      </c>
      <c r="Z367" s="40" t="str">
        <f aca="false">IF(OR($D367="",$Q367=""),"",$Q367-$Y367)</f>
        <v/>
      </c>
      <c r="AA367" s="42" t="str">
        <f aca="false">IF(OR($D367="",$Z367="",$K367=0),"",$Z367/$K367)</f>
        <v/>
      </c>
      <c r="AB367" s="44" t="str">
        <f aca="false">IF(OR($D367="",$Y367="",$K367=0),"",$Y367/$K367*10000)</f>
        <v/>
      </c>
      <c r="AC367" s="44" t="str">
        <f aca="false">IF(OR($D367="",$G367="",$G367=0,$I367=""),"",IF($E367="LONG",($I367-$G367)/$G367,($G367-$I367)/$G367)*10000)</f>
        <v/>
      </c>
      <c r="AD367" s="45"/>
      <c r="AE367" s="40" t="str">
        <f aca="false">IF(OR($D367="",$N367&lt;&gt;"",$AD367=""),"",IF($E367="LONG",($AD367-$I367)*$J367,($I367-$AD367)*$J367))</f>
        <v/>
      </c>
      <c r="AF367" s="40" t="str">
        <f aca="false">IF(OR($D367="",$E367&lt;&gt;"LONG",$Z367=""),"",$Z367+SUMIFS($Z$4:$Z$503,$B$4:$B$503,$B367,$E$4:$E$503,"SHORT"))</f>
        <v/>
      </c>
      <c r="AG367" s="42" t="str">
        <f aca="false">IF(OR($AF367="",$K367=0),"",$AF367/$K367)</f>
        <v/>
      </c>
      <c r="AH367" s="46"/>
      <c r="AI367" s="43" t="str">
        <f aca="false">IF(OR($D367="",$AH367="",$Z367=""),"",$Z367-$AH367)</f>
        <v/>
      </c>
      <c r="AJ367" s="49"/>
      <c r="AK367" s="47" t="str">
        <f aca="false">IF($D367="","",IFERROR(MATCH($F367,Config!$A$13:$A$15,0),1))</f>
        <v/>
      </c>
      <c r="AL367" s="47" t="str">
        <f aca="false">IF(OR($D367="",$N367=""),"",IF($E367="LONG",$K367,$O367))</f>
        <v/>
      </c>
      <c r="AM367" s="47" t="str">
        <f aca="false">IF(OR($D367="",$N367=""),"",IF($E367="LONG",$O367,$K367))</f>
        <v/>
      </c>
    </row>
    <row r="368" customFormat="false" ht="15" hidden="false" customHeight="false" outlineLevel="0" collapsed="false">
      <c r="A368" s="49"/>
      <c r="B368" s="5" t="str">
        <f aca="false">IF($D368="","",IF(OR(RIGHT($A368,2)="-L",RIGHT($A368,2)="-S"),LEFT($A368,LEN($A368)-2),$A368))</f>
        <v/>
      </c>
      <c r="C368" s="50"/>
      <c r="D368" s="49"/>
      <c r="E368" s="49"/>
      <c r="F368" s="49"/>
      <c r="G368" s="45"/>
      <c r="H368" s="50"/>
      <c r="I368" s="45"/>
      <c r="J368" s="51"/>
      <c r="K368" s="40" t="str">
        <f aca="false">IF($D368="","",$I368*$J368)</f>
        <v/>
      </c>
      <c r="L368" s="50"/>
      <c r="M368" s="49"/>
      <c r="N368" s="45"/>
      <c r="O368" s="40" t="str">
        <f aca="false">IF(OR($D368="",$N368=""),"",$N368*$J368)</f>
        <v/>
      </c>
      <c r="P368" s="41" t="str">
        <f aca="false">IF(OR($D368="",$L368=""),"",MAX($L368-$H368,0))</f>
        <v/>
      </c>
      <c r="Q368" s="40" t="str">
        <f aca="false">IF(OR($D368="",$N368=""),"",IF($E368="LONG",($N368-$I368)*$J368,($I368-$N368)*$J368))</f>
        <v/>
      </c>
      <c r="R368" s="42" t="str">
        <f aca="false">IF(OR($D368="",$Q368="",$K368=0),"",$Q368/$K368)</f>
        <v/>
      </c>
      <c r="S368" s="43" t="str">
        <f aca="false">IF(OR($D368="",$N368=""),"",MIN(INDEX(Config!$C$13:$C$15,$AK368),INDEX(Config!$B$13:$B$15,$AK368)*$K368)+MIN(INDEX(Config!$C$13:$C$15,$AK368),INDEX(Config!$B$13:$B$15,$AK368)*$O368))</f>
        <v/>
      </c>
      <c r="T368" s="43" t="str">
        <f aca="false">IF(OR($D368="",$N368=""),"",INDEX(Config!$D$13:$D$15,$AK368)*$AL368+INDEX(Config!$E$13:$E$15,$AK368)*$AM368)</f>
        <v/>
      </c>
      <c r="U368" s="43" t="str">
        <f aca="false">IF(OR($D368="",$N368=""),"",INDEX(Config!$F$13:$F$15,$AK368)*($K368+$O368))</f>
        <v/>
      </c>
      <c r="V368" s="43" t="str">
        <f aca="false">IF(OR($D368="",$N368=""),"",INDEX(Config!$G$13:$G$15,$AK368)*($K368+$O368)+INDEX(Config!$H$13:$H$15,$AK368)*$AL368+INDEX(Config!$J$13:$J$15,$AK368))</f>
        <v/>
      </c>
      <c r="W368" s="43" t="str">
        <f aca="false">IF(OR($D368="",$N368=""),"",INDEX(Config!$I$13:$I$15,$AK368)*($S368+$U368+INDEX(Config!$G$13:$G$15,$AK368)*($K368+$O368)))</f>
        <v/>
      </c>
      <c r="X368" s="43" t="str">
        <f aca="false">IF(OR($D368="",$N368=""),"",INDEX(Config!$K$13:$K$15,$AK368)/365*$P368*$K368*Config!$B$8)</f>
        <v/>
      </c>
      <c r="Y368" s="43" t="str">
        <f aca="false">IF(OR($D368="",$N368=""),"",SUM($S368:$X368))</f>
        <v/>
      </c>
      <c r="Z368" s="40" t="str">
        <f aca="false">IF(OR($D368="",$Q368=""),"",$Q368-$Y368)</f>
        <v/>
      </c>
      <c r="AA368" s="42" t="str">
        <f aca="false">IF(OR($D368="",$Z368="",$K368=0),"",$Z368/$K368)</f>
        <v/>
      </c>
      <c r="AB368" s="44" t="str">
        <f aca="false">IF(OR($D368="",$Y368="",$K368=0),"",$Y368/$K368*10000)</f>
        <v/>
      </c>
      <c r="AC368" s="44" t="str">
        <f aca="false">IF(OR($D368="",$G368="",$G368=0,$I368=""),"",IF($E368="LONG",($I368-$G368)/$G368,($G368-$I368)/$G368)*10000)</f>
        <v/>
      </c>
      <c r="AD368" s="45"/>
      <c r="AE368" s="40" t="str">
        <f aca="false">IF(OR($D368="",$N368&lt;&gt;"",$AD368=""),"",IF($E368="LONG",($AD368-$I368)*$J368,($I368-$AD368)*$J368))</f>
        <v/>
      </c>
      <c r="AF368" s="40" t="str">
        <f aca="false">IF(OR($D368="",$E368&lt;&gt;"LONG",$Z368=""),"",$Z368+SUMIFS($Z$4:$Z$503,$B$4:$B$503,$B368,$E$4:$E$503,"SHORT"))</f>
        <v/>
      </c>
      <c r="AG368" s="42" t="str">
        <f aca="false">IF(OR($AF368="",$K368=0),"",$AF368/$K368)</f>
        <v/>
      </c>
      <c r="AH368" s="46"/>
      <c r="AI368" s="43" t="str">
        <f aca="false">IF(OR($D368="",$AH368="",$Z368=""),"",$Z368-$AH368)</f>
        <v/>
      </c>
      <c r="AJ368" s="49"/>
      <c r="AK368" s="47" t="str">
        <f aca="false">IF($D368="","",IFERROR(MATCH($F368,Config!$A$13:$A$15,0),1))</f>
        <v/>
      </c>
      <c r="AL368" s="47" t="str">
        <f aca="false">IF(OR($D368="",$N368=""),"",IF($E368="LONG",$K368,$O368))</f>
        <v/>
      </c>
      <c r="AM368" s="47" t="str">
        <f aca="false">IF(OR($D368="",$N368=""),"",IF($E368="LONG",$O368,$K368))</f>
        <v/>
      </c>
    </row>
    <row r="369" customFormat="false" ht="15" hidden="false" customHeight="false" outlineLevel="0" collapsed="false">
      <c r="A369" s="49"/>
      <c r="B369" s="5" t="str">
        <f aca="false">IF($D369="","",IF(OR(RIGHT($A369,2)="-L",RIGHT($A369,2)="-S"),LEFT($A369,LEN($A369)-2),$A369))</f>
        <v/>
      </c>
      <c r="C369" s="50"/>
      <c r="D369" s="49"/>
      <c r="E369" s="49"/>
      <c r="F369" s="49"/>
      <c r="G369" s="45"/>
      <c r="H369" s="50"/>
      <c r="I369" s="45"/>
      <c r="J369" s="51"/>
      <c r="K369" s="40" t="str">
        <f aca="false">IF($D369="","",$I369*$J369)</f>
        <v/>
      </c>
      <c r="L369" s="50"/>
      <c r="M369" s="49"/>
      <c r="N369" s="45"/>
      <c r="O369" s="40" t="str">
        <f aca="false">IF(OR($D369="",$N369=""),"",$N369*$J369)</f>
        <v/>
      </c>
      <c r="P369" s="41" t="str">
        <f aca="false">IF(OR($D369="",$L369=""),"",MAX($L369-$H369,0))</f>
        <v/>
      </c>
      <c r="Q369" s="40" t="str">
        <f aca="false">IF(OR($D369="",$N369=""),"",IF($E369="LONG",($N369-$I369)*$J369,($I369-$N369)*$J369))</f>
        <v/>
      </c>
      <c r="R369" s="42" t="str">
        <f aca="false">IF(OR($D369="",$Q369="",$K369=0),"",$Q369/$K369)</f>
        <v/>
      </c>
      <c r="S369" s="43" t="str">
        <f aca="false">IF(OR($D369="",$N369=""),"",MIN(INDEX(Config!$C$13:$C$15,$AK369),INDEX(Config!$B$13:$B$15,$AK369)*$K369)+MIN(INDEX(Config!$C$13:$C$15,$AK369),INDEX(Config!$B$13:$B$15,$AK369)*$O369))</f>
        <v/>
      </c>
      <c r="T369" s="43" t="str">
        <f aca="false">IF(OR($D369="",$N369=""),"",INDEX(Config!$D$13:$D$15,$AK369)*$AL369+INDEX(Config!$E$13:$E$15,$AK369)*$AM369)</f>
        <v/>
      </c>
      <c r="U369" s="43" t="str">
        <f aca="false">IF(OR($D369="",$N369=""),"",INDEX(Config!$F$13:$F$15,$AK369)*($K369+$O369))</f>
        <v/>
      </c>
      <c r="V369" s="43" t="str">
        <f aca="false">IF(OR($D369="",$N369=""),"",INDEX(Config!$G$13:$G$15,$AK369)*($K369+$O369)+INDEX(Config!$H$13:$H$15,$AK369)*$AL369+INDEX(Config!$J$13:$J$15,$AK369))</f>
        <v/>
      </c>
      <c r="W369" s="43" t="str">
        <f aca="false">IF(OR($D369="",$N369=""),"",INDEX(Config!$I$13:$I$15,$AK369)*($S369+$U369+INDEX(Config!$G$13:$G$15,$AK369)*($K369+$O369)))</f>
        <v/>
      </c>
      <c r="X369" s="43" t="str">
        <f aca="false">IF(OR($D369="",$N369=""),"",INDEX(Config!$K$13:$K$15,$AK369)/365*$P369*$K369*Config!$B$8)</f>
        <v/>
      </c>
      <c r="Y369" s="43" t="str">
        <f aca="false">IF(OR($D369="",$N369=""),"",SUM($S369:$X369))</f>
        <v/>
      </c>
      <c r="Z369" s="40" t="str">
        <f aca="false">IF(OR($D369="",$Q369=""),"",$Q369-$Y369)</f>
        <v/>
      </c>
      <c r="AA369" s="42" t="str">
        <f aca="false">IF(OR($D369="",$Z369="",$K369=0),"",$Z369/$K369)</f>
        <v/>
      </c>
      <c r="AB369" s="44" t="str">
        <f aca="false">IF(OR($D369="",$Y369="",$K369=0),"",$Y369/$K369*10000)</f>
        <v/>
      </c>
      <c r="AC369" s="44" t="str">
        <f aca="false">IF(OR($D369="",$G369="",$G369=0,$I369=""),"",IF($E369="LONG",($I369-$G369)/$G369,($G369-$I369)/$G369)*10000)</f>
        <v/>
      </c>
      <c r="AD369" s="45"/>
      <c r="AE369" s="40" t="str">
        <f aca="false">IF(OR($D369="",$N369&lt;&gt;"",$AD369=""),"",IF($E369="LONG",($AD369-$I369)*$J369,($I369-$AD369)*$J369))</f>
        <v/>
      </c>
      <c r="AF369" s="40" t="str">
        <f aca="false">IF(OR($D369="",$E369&lt;&gt;"LONG",$Z369=""),"",$Z369+SUMIFS($Z$4:$Z$503,$B$4:$B$503,$B369,$E$4:$E$503,"SHORT"))</f>
        <v/>
      </c>
      <c r="AG369" s="42" t="str">
        <f aca="false">IF(OR($AF369="",$K369=0),"",$AF369/$K369)</f>
        <v/>
      </c>
      <c r="AH369" s="46"/>
      <c r="AI369" s="43" t="str">
        <f aca="false">IF(OR($D369="",$AH369="",$Z369=""),"",$Z369-$AH369)</f>
        <v/>
      </c>
      <c r="AJ369" s="49"/>
      <c r="AK369" s="47" t="str">
        <f aca="false">IF($D369="","",IFERROR(MATCH($F369,Config!$A$13:$A$15,0),1))</f>
        <v/>
      </c>
      <c r="AL369" s="47" t="str">
        <f aca="false">IF(OR($D369="",$N369=""),"",IF($E369="LONG",$K369,$O369))</f>
        <v/>
      </c>
      <c r="AM369" s="47" t="str">
        <f aca="false">IF(OR($D369="",$N369=""),"",IF($E369="LONG",$O369,$K369))</f>
        <v/>
      </c>
    </row>
    <row r="370" customFormat="false" ht="15" hidden="false" customHeight="false" outlineLevel="0" collapsed="false">
      <c r="A370" s="49"/>
      <c r="B370" s="5" t="str">
        <f aca="false">IF($D370="","",IF(OR(RIGHT($A370,2)="-L",RIGHT($A370,2)="-S"),LEFT($A370,LEN($A370)-2),$A370))</f>
        <v/>
      </c>
      <c r="C370" s="50"/>
      <c r="D370" s="49"/>
      <c r="E370" s="49"/>
      <c r="F370" s="49"/>
      <c r="G370" s="45"/>
      <c r="H370" s="50"/>
      <c r="I370" s="45"/>
      <c r="J370" s="51"/>
      <c r="K370" s="40" t="str">
        <f aca="false">IF($D370="","",$I370*$J370)</f>
        <v/>
      </c>
      <c r="L370" s="50"/>
      <c r="M370" s="49"/>
      <c r="N370" s="45"/>
      <c r="O370" s="40" t="str">
        <f aca="false">IF(OR($D370="",$N370=""),"",$N370*$J370)</f>
        <v/>
      </c>
      <c r="P370" s="41" t="str">
        <f aca="false">IF(OR($D370="",$L370=""),"",MAX($L370-$H370,0))</f>
        <v/>
      </c>
      <c r="Q370" s="40" t="str">
        <f aca="false">IF(OR($D370="",$N370=""),"",IF($E370="LONG",($N370-$I370)*$J370,($I370-$N370)*$J370))</f>
        <v/>
      </c>
      <c r="R370" s="42" t="str">
        <f aca="false">IF(OR($D370="",$Q370="",$K370=0),"",$Q370/$K370)</f>
        <v/>
      </c>
      <c r="S370" s="43" t="str">
        <f aca="false">IF(OR($D370="",$N370=""),"",MIN(INDEX(Config!$C$13:$C$15,$AK370),INDEX(Config!$B$13:$B$15,$AK370)*$K370)+MIN(INDEX(Config!$C$13:$C$15,$AK370),INDEX(Config!$B$13:$B$15,$AK370)*$O370))</f>
        <v/>
      </c>
      <c r="T370" s="43" t="str">
        <f aca="false">IF(OR($D370="",$N370=""),"",INDEX(Config!$D$13:$D$15,$AK370)*$AL370+INDEX(Config!$E$13:$E$15,$AK370)*$AM370)</f>
        <v/>
      </c>
      <c r="U370" s="43" t="str">
        <f aca="false">IF(OR($D370="",$N370=""),"",INDEX(Config!$F$13:$F$15,$AK370)*($K370+$O370))</f>
        <v/>
      </c>
      <c r="V370" s="43" t="str">
        <f aca="false">IF(OR($D370="",$N370=""),"",INDEX(Config!$G$13:$G$15,$AK370)*($K370+$O370)+INDEX(Config!$H$13:$H$15,$AK370)*$AL370+INDEX(Config!$J$13:$J$15,$AK370))</f>
        <v/>
      </c>
      <c r="W370" s="43" t="str">
        <f aca="false">IF(OR($D370="",$N370=""),"",INDEX(Config!$I$13:$I$15,$AK370)*($S370+$U370+INDEX(Config!$G$13:$G$15,$AK370)*($K370+$O370)))</f>
        <v/>
      </c>
      <c r="X370" s="43" t="str">
        <f aca="false">IF(OR($D370="",$N370=""),"",INDEX(Config!$K$13:$K$15,$AK370)/365*$P370*$K370*Config!$B$8)</f>
        <v/>
      </c>
      <c r="Y370" s="43" t="str">
        <f aca="false">IF(OR($D370="",$N370=""),"",SUM($S370:$X370))</f>
        <v/>
      </c>
      <c r="Z370" s="40" t="str">
        <f aca="false">IF(OR($D370="",$Q370=""),"",$Q370-$Y370)</f>
        <v/>
      </c>
      <c r="AA370" s="42" t="str">
        <f aca="false">IF(OR($D370="",$Z370="",$K370=0),"",$Z370/$K370)</f>
        <v/>
      </c>
      <c r="AB370" s="44" t="str">
        <f aca="false">IF(OR($D370="",$Y370="",$K370=0),"",$Y370/$K370*10000)</f>
        <v/>
      </c>
      <c r="AC370" s="44" t="str">
        <f aca="false">IF(OR($D370="",$G370="",$G370=0,$I370=""),"",IF($E370="LONG",($I370-$G370)/$G370,($G370-$I370)/$G370)*10000)</f>
        <v/>
      </c>
      <c r="AD370" s="45"/>
      <c r="AE370" s="40" t="str">
        <f aca="false">IF(OR($D370="",$N370&lt;&gt;"",$AD370=""),"",IF($E370="LONG",($AD370-$I370)*$J370,($I370-$AD370)*$J370))</f>
        <v/>
      </c>
      <c r="AF370" s="40" t="str">
        <f aca="false">IF(OR($D370="",$E370&lt;&gt;"LONG",$Z370=""),"",$Z370+SUMIFS($Z$4:$Z$503,$B$4:$B$503,$B370,$E$4:$E$503,"SHORT"))</f>
        <v/>
      </c>
      <c r="AG370" s="42" t="str">
        <f aca="false">IF(OR($AF370="",$K370=0),"",$AF370/$K370)</f>
        <v/>
      </c>
      <c r="AH370" s="46"/>
      <c r="AI370" s="43" t="str">
        <f aca="false">IF(OR($D370="",$AH370="",$Z370=""),"",$Z370-$AH370)</f>
        <v/>
      </c>
      <c r="AJ370" s="49"/>
      <c r="AK370" s="47" t="str">
        <f aca="false">IF($D370="","",IFERROR(MATCH($F370,Config!$A$13:$A$15,0),1))</f>
        <v/>
      </c>
      <c r="AL370" s="47" t="str">
        <f aca="false">IF(OR($D370="",$N370=""),"",IF($E370="LONG",$K370,$O370))</f>
        <v/>
      </c>
      <c r="AM370" s="47" t="str">
        <f aca="false">IF(OR($D370="",$N370=""),"",IF($E370="LONG",$O370,$K370))</f>
        <v/>
      </c>
    </row>
    <row r="371" customFormat="false" ht="15" hidden="false" customHeight="false" outlineLevel="0" collapsed="false">
      <c r="A371" s="49"/>
      <c r="B371" s="5" t="str">
        <f aca="false">IF($D371="","",IF(OR(RIGHT($A371,2)="-L",RIGHT($A371,2)="-S"),LEFT($A371,LEN($A371)-2),$A371))</f>
        <v/>
      </c>
      <c r="C371" s="50"/>
      <c r="D371" s="49"/>
      <c r="E371" s="49"/>
      <c r="F371" s="49"/>
      <c r="G371" s="45"/>
      <c r="H371" s="50"/>
      <c r="I371" s="45"/>
      <c r="J371" s="51"/>
      <c r="K371" s="40" t="str">
        <f aca="false">IF($D371="","",$I371*$J371)</f>
        <v/>
      </c>
      <c r="L371" s="50"/>
      <c r="M371" s="49"/>
      <c r="N371" s="45"/>
      <c r="O371" s="40" t="str">
        <f aca="false">IF(OR($D371="",$N371=""),"",$N371*$J371)</f>
        <v/>
      </c>
      <c r="P371" s="41" t="str">
        <f aca="false">IF(OR($D371="",$L371=""),"",MAX($L371-$H371,0))</f>
        <v/>
      </c>
      <c r="Q371" s="40" t="str">
        <f aca="false">IF(OR($D371="",$N371=""),"",IF($E371="LONG",($N371-$I371)*$J371,($I371-$N371)*$J371))</f>
        <v/>
      </c>
      <c r="R371" s="42" t="str">
        <f aca="false">IF(OR($D371="",$Q371="",$K371=0),"",$Q371/$K371)</f>
        <v/>
      </c>
      <c r="S371" s="43" t="str">
        <f aca="false">IF(OR($D371="",$N371=""),"",MIN(INDEX(Config!$C$13:$C$15,$AK371),INDEX(Config!$B$13:$B$15,$AK371)*$K371)+MIN(INDEX(Config!$C$13:$C$15,$AK371),INDEX(Config!$B$13:$B$15,$AK371)*$O371))</f>
        <v/>
      </c>
      <c r="T371" s="43" t="str">
        <f aca="false">IF(OR($D371="",$N371=""),"",INDEX(Config!$D$13:$D$15,$AK371)*$AL371+INDEX(Config!$E$13:$E$15,$AK371)*$AM371)</f>
        <v/>
      </c>
      <c r="U371" s="43" t="str">
        <f aca="false">IF(OR($D371="",$N371=""),"",INDEX(Config!$F$13:$F$15,$AK371)*($K371+$O371))</f>
        <v/>
      </c>
      <c r="V371" s="43" t="str">
        <f aca="false">IF(OR($D371="",$N371=""),"",INDEX(Config!$G$13:$G$15,$AK371)*($K371+$O371)+INDEX(Config!$H$13:$H$15,$AK371)*$AL371+INDEX(Config!$J$13:$J$15,$AK371))</f>
        <v/>
      </c>
      <c r="W371" s="43" t="str">
        <f aca="false">IF(OR($D371="",$N371=""),"",INDEX(Config!$I$13:$I$15,$AK371)*($S371+$U371+INDEX(Config!$G$13:$G$15,$AK371)*($K371+$O371)))</f>
        <v/>
      </c>
      <c r="X371" s="43" t="str">
        <f aca="false">IF(OR($D371="",$N371=""),"",INDEX(Config!$K$13:$K$15,$AK371)/365*$P371*$K371*Config!$B$8)</f>
        <v/>
      </c>
      <c r="Y371" s="43" t="str">
        <f aca="false">IF(OR($D371="",$N371=""),"",SUM($S371:$X371))</f>
        <v/>
      </c>
      <c r="Z371" s="40" t="str">
        <f aca="false">IF(OR($D371="",$Q371=""),"",$Q371-$Y371)</f>
        <v/>
      </c>
      <c r="AA371" s="42" t="str">
        <f aca="false">IF(OR($D371="",$Z371="",$K371=0),"",$Z371/$K371)</f>
        <v/>
      </c>
      <c r="AB371" s="44" t="str">
        <f aca="false">IF(OR($D371="",$Y371="",$K371=0),"",$Y371/$K371*10000)</f>
        <v/>
      </c>
      <c r="AC371" s="44" t="str">
        <f aca="false">IF(OR($D371="",$G371="",$G371=0,$I371=""),"",IF($E371="LONG",($I371-$G371)/$G371,($G371-$I371)/$G371)*10000)</f>
        <v/>
      </c>
      <c r="AD371" s="45"/>
      <c r="AE371" s="40" t="str">
        <f aca="false">IF(OR($D371="",$N371&lt;&gt;"",$AD371=""),"",IF($E371="LONG",($AD371-$I371)*$J371,($I371-$AD371)*$J371))</f>
        <v/>
      </c>
      <c r="AF371" s="40" t="str">
        <f aca="false">IF(OR($D371="",$E371&lt;&gt;"LONG",$Z371=""),"",$Z371+SUMIFS($Z$4:$Z$503,$B$4:$B$503,$B371,$E$4:$E$503,"SHORT"))</f>
        <v/>
      </c>
      <c r="AG371" s="42" t="str">
        <f aca="false">IF(OR($AF371="",$K371=0),"",$AF371/$K371)</f>
        <v/>
      </c>
      <c r="AH371" s="46"/>
      <c r="AI371" s="43" t="str">
        <f aca="false">IF(OR($D371="",$AH371="",$Z371=""),"",$Z371-$AH371)</f>
        <v/>
      </c>
      <c r="AJ371" s="49"/>
      <c r="AK371" s="47" t="str">
        <f aca="false">IF($D371="","",IFERROR(MATCH($F371,Config!$A$13:$A$15,0),1))</f>
        <v/>
      </c>
      <c r="AL371" s="47" t="str">
        <f aca="false">IF(OR($D371="",$N371=""),"",IF($E371="LONG",$K371,$O371))</f>
        <v/>
      </c>
      <c r="AM371" s="47" t="str">
        <f aca="false">IF(OR($D371="",$N371=""),"",IF($E371="LONG",$O371,$K371))</f>
        <v/>
      </c>
    </row>
    <row r="372" customFormat="false" ht="15" hidden="false" customHeight="false" outlineLevel="0" collapsed="false">
      <c r="A372" s="49"/>
      <c r="B372" s="5" t="str">
        <f aca="false">IF($D372="","",IF(OR(RIGHT($A372,2)="-L",RIGHT($A372,2)="-S"),LEFT($A372,LEN($A372)-2),$A372))</f>
        <v/>
      </c>
      <c r="C372" s="50"/>
      <c r="D372" s="49"/>
      <c r="E372" s="49"/>
      <c r="F372" s="49"/>
      <c r="G372" s="45"/>
      <c r="H372" s="50"/>
      <c r="I372" s="45"/>
      <c r="J372" s="51"/>
      <c r="K372" s="40" t="str">
        <f aca="false">IF($D372="","",$I372*$J372)</f>
        <v/>
      </c>
      <c r="L372" s="50"/>
      <c r="M372" s="49"/>
      <c r="N372" s="45"/>
      <c r="O372" s="40" t="str">
        <f aca="false">IF(OR($D372="",$N372=""),"",$N372*$J372)</f>
        <v/>
      </c>
      <c r="P372" s="41" t="str">
        <f aca="false">IF(OR($D372="",$L372=""),"",MAX($L372-$H372,0))</f>
        <v/>
      </c>
      <c r="Q372" s="40" t="str">
        <f aca="false">IF(OR($D372="",$N372=""),"",IF($E372="LONG",($N372-$I372)*$J372,($I372-$N372)*$J372))</f>
        <v/>
      </c>
      <c r="R372" s="42" t="str">
        <f aca="false">IF(OR($D372="",$Q372="",$K372=0),"",$Q372/$K372)</f>
        <v/>
      </c>
      <c r="S372" s="43" t="str">
        <f aca="false">IF(OR($D372="",$N372=""),"",MIN(INDEX(Config!$C$13:$C$15,$AK372),INDEX(Config!$B$13:$B$15,$AK372)*$K372)+MIN(INDEX(Config!$C$13:$C$15,$AK372),INDEX(Config!$B$13:$B$15,$AK372)*$O372))</f>
        <v/>
      </c>
      <c r="T372" s="43" t="str">
        <f aca="false">IF(OR($D372="",$N372=""),"",INDEX(Config!$D$13:$D$15,$AK372)*$AL372+INDEX(Config!$E$13:$E$15,$AK372)*$AM372)</f>
        <v/>
      </c>
      <c r="U372" s="43" t="str">
        <f aca="false">IF(OR($D372="",$N372=""),"",INDEX(Config!$F$13:$F$15,$AK372)*($K372+$O372))</f>
        <v/>
      </c>
      <c r="V372" s="43" t="str">
        <f aca="false">IF(OR($D372="",$N372=""),"",INDEX(Config!$G$13:$G$15,$AK372)*($K372+$O372)+INDEX(Config!$H$13:$H$15,$AK372)*$AL372+INDEX(Config!$J$13:$J$15,$AK372))</f>
        <v/>
      </c>
      <c r="W372" s="43" t="str">
        <f aca="false">IF(OR($D372="",$N372=""),"",INDEX(Config!$I$13:$I$15,$AK372)*($S372+$U372+INDEX(Config!$G$13:$G$15,$AK372)*($K372+$O372)))</f>
        <v/>
      </c>
      <c r="X372" s="43" t="str">
        <f aca="false">IF(OR($D372="",$N372=""),"",INDEX(Config!$K$13:$K$15,$AK372)/365*$P372*$K372*Config!$B$8)</f>
        <v/>
      </c>
      <c r="Y372" s="43" t="str">
        <f aca="false">IF(OR($D372="",$N372=""),"",SUM($S372:$X372))</f>
        <v/>
      </c>
      <c r="Z372" s="40" t="str">
        <f aca="false">IF(OR($D372="",$Q372=""),"",$Q372-$Y372)</f>
        <v/>
      </c>
      <c r="AA372" s="42" t="str">
        <f aca="false">IF(OR($D372="",$Z372="",$K372=0),"",$Z372/$K372)</f>
        <v/>
      </c>
      <c r="AB372" s="44" t="str">
        <f aca="false">IF(OR($D372="",$Y372="",$K372=0),"",$Y372/$K372*10000)</f>
        <v/>
      </c>
      <c r="AC372" s="44" t="str">
        <f aca="false">IF(OR($D372="",$G372="",$G372=0,$I372=""),"",IF($E372="LONG",($I372-$G372)/$G372,($G372-$I372)/$G372)*10000)</f>
        <v/>
      </c>
      <c r="AD372" s="45"/>
      <c r="AE372" s="40" t="str">
        <f aca="false">IF(OR($D372="",$N372&lt;&gt;"",$AD372=""),"",IF($E372="LONG",($AD372-$I372)*$J372,($I372-$AD372)*$J372))</f>
        <v/>
      </c>
      <c r="AF372" s="40" t="str">
        <f aca="false">IF(OR($D372="",$E372&lt;&gt;"LONG",$Z372=""),"",$Z372+SUMIFS($Z$4:$Z$503,$B$4:$B$503,$B372,$E$4:$E$503,"SHORT"))</f>
        <v/>
      </c>
      <c r="AG372" s="42" t="str">
        <f aca="false">IF(OR($AF372="",$K372=0),"",$AF372/$K372)</f>
        <v/>
      </c>
      <c r="AH372" s="46"/>
      <c r="AI372" s="43" t="str">
        <f aca="false">IF(OR($D372="",$AH372="",$Z372=""),"",$Z372-$AH372)</f>
        <v/>
      </c>
      <c r="AJ372" s="49"/>
      <c r="AK372" s="47" t="str">
        <f aca="false">IF($D372="","",IFERROR(MATCH($F372,Config!$A$13:$A$15,0),1))</f>
        <v/>
      </c>
      <c r="AL372" s="47" t="str">
        <f aca="false">IF(OR($D372="",$N372=""),"",IF($E372="LONG",$K372,$O372))</f>
        <v/>
      </c>
      <c r="AM372" s="47" t="str">
        <f aca="false">IF(OR($D372="",$N372=""),"",IF($E372="LONG",$O372,$K372))</f>
        <v/>
      </c>
    </row>
    <row r="373" customFormat="false" ht="15" hidden="false" customHeight="false" outlineLevel="0" collapsed="false">
      <c r="A373" s="49"/>
      <c r="B373" s="5" t="str">
        <f aca="false">IF($D373="","",IF(OR(RIGHT($A373,2)="-L",RIGHT($A373,2)="-S"),LEFT($A373,LEN($A373)-2),$A373))</f>
        <v/>
      </c>
      <c r="C373" s="50"/>
      <c r="D373" s="49"/>
      <c r="E373" s="49"/>
      <c r="F373" s="49"/>
      <c r="G373" s="45"/>
      <c r="H373" s="50"/>
      <c r="I373" s="45"/>
      <c r="J373" s="51"/>
      <c r="K373" s="40" t="str">
        <f aca="false">IF($D373="","",$I373*$J373)</f>
        <v/>
      </c>
      <c r="L373" s="50"/>
      <c r="M373" s="49"/>
      <c r="N373" s="45"/>
      <c r="O373" s="40" t="str">
        <f aca="false">IF(OR($D373="",$N373=""),"",$N373*$J373)</f>
        <v/>
      </c>
      <c r="P373" s="41" t="str">
        <f aca="false">IF(OR($D373="",$L373=""),"",MAX($L373-$H373,0))</f>
        <v/>
      </c>
      <c r="Q373" s="40" t="str">
        <f aca="false">IF(OR($D373="",$N373=""),"",IF($E373="LONG",($N373-$I373)*$J373,($I373-$N373)*$J373))</f>
        <v/>
      </c>
      <c r="R373" s="42" t="str">
        <f aca="false">IF(OR($D373="",$Q373="",$K373=0),"",$Q373/$K373)</f>
        <v/>
      </c>
      <c r="S373" s="43" t="str">
        <f aca="false">IF(OR($D373="",$N373=""),"",MIN(INDEX(Config!$C$13:$C$15,$AK373),INDEX(Config!$B$13:$B$15,$AK373)*$K373)+MIN(INDEX(Config!$C$13:$C$15,$AK373),INDEX(Config!$B$13:$B$15,$AK373)*$O373))</f>
        <v/>
      </c>
      <c r="T373" s="43" t="str">
        <f aca="false">IF(OR($D373="",$N373=""),"",INDEX(Config!$D$13:$D$15,$AK373)*$AL373+INDEX(Config!$E$13:$E$15,$AK373)*$AM373)</f>
        <v/>
      </c>
      <c r="U373" s="43" t="str">
        <f aca="false">IF(OR($D373="",$N373=""),"",INDEX(Config!$F$13:$F$15,$AK373)*($K373+$O373))</f>
        <v/>
      </c>
      <c r="V373" s="43" t="str">
        <f aca="false">IF(OR($D373="",$N373=""),"",INDEX(Config!$G$13:$G$15,$AK373)*($K373+$O373)+INDEX(Config!$H$13:$H$15,$AK373)*$AL373+INDEX(Config!$J$13:$J$15,$AK373))</f>
        <v/>
      </c>
      <c r="W373" s="43" t="str">
        <f aca="false">IF(OR($D373="",$N373=""),"",INDEX(Config!$I$13:$I$15,$AK373)*($S373+$U373+INDEX(Config!$G$13:$G$15,$AK373)*($K373+$O373)))</f>
        <v/>
      </c>
      <c r="X373" s="43" t="str">
        <f aca="false">IF(OR($D373="",$N373=""),"",INDEX(Config!$K$13:$K$15,$AK373)/365*$P373*$K373*Config!$B$8)</f>
        <v/>
      </c>
      <c r="Y373" s="43" t="str">
        <f aca="false">IF(OR($D373="",$N373=""),"",SUM($S373:$X373))</f>
        <v/>
      </c>
      <c r="Z373" s="40" t="str">
        <f aca="false">IF(OR($D373="",$Q373=""),"",$Q373-$Y373)</f>
        <v/>
      </c>
      <c r="AA373" s="42" t="str">
        <f aca="false">IF(OR($D373="",$Z373="",$K373=0),"",$Z373/$K373)</f>
        <v/>
      </c>
      <c r="AB373" s="44" t="str">
        <f aca="false">IF(OR($D373="",$Y373="",$K373=0),"",$Y373/$K373*10000)</f>
        <v/>
      </c>
      <c r="AC373" s="44" t="str">
        <f aca="false">IF(OR($D373="",$G373="",$G373=0,$I373=""),"",IF($E373="LONG",($I373-$G373)/$G373,($G373-$I373)/$G373)*10000)</f>
        <v/>
      </c>
      <c r="AD373" s="45"/>
      <c r="AE373" s="40" t="str">
        <f aca="false">IF(OR($D373="",$N373&lt;&gt;"",$AD373=""),"",IF($E373="LONG",($AD373-$I373)*$J373,($I373-$AD373)*$J373))</f>
        <v/>
      </c>
      <c r="AF373" s="40" t="str">
        <f aca="false">IF(OR($D373="",$E373&lt;&gt;"LONG",$Z373=""),"",$Z373+SUMIFS($Z$4:$Z$503,$B$4:$B$503,$B373,$E$4:$E$503,"SHORT"))</f>
        <v/>
      </c>
      <c r="AG373" s="42" t="str">
        <f aca="false">IF(OR($AF373="",$K373=0),"",$AF373/$K373)</f>
        <v/>
      </c>
      <c r="AH373" s="46"/>
      <c r="AI373" s="43" t="str">
        <f aca="false">IF(OR($D373="",$AH373="",$Z373=""),"",$Z373-$AH373)</f>
        <v/>
      </c>
      <c r="AJ373" s="49"/>
      <c r="AK373" s="47" t="str">
        <f aca="false">IF($D373="","",IFERROR(MATCH($F373,Config!$A$13:$A$15,0),1))</f>
        <v/>
      </c>
      <c r="AL373" s="47" t="str">
        <f aca="false">IF(OR($D373="",$N373=""),"",IF($E373="LONG",$K373,$O373))</f>
        <v/>
      </c>
      <c r="AM373" s="47" t="str">
        <f aca="false">IF(OR($D373="",$N373=""),"",IF($E373="LONG",$O373,$K373))</f>
        <v/>
      </c>
    </row>
    <row r="374" customFormat="false" ht="15" hidden="false" customHeight="false" outlineLevel="0" collapsed="false">
      <c r="A374" s="49"/>
      <c r="B374" s="5" t="str">
        <f aca="false">IF($D374="","",IF(OR(RIGHT($A374,2)="-L",RIGHT($A374,2)="-S"),LEFT($A374,LEN($A374)-2),$A374))</f>
        <v/>
      </c>
      <c r="C374" s="50"/>
      <c r="D374" s="49"/>
      <c r="E374" s="49"/>
      <c r="F374" s="49"/>
      <c r="G374" s="45"/>
      <c r="H374" s="50"/>
      <c r="I374" s="45"/>
      <c r="J374" s="51"/>
      <c r="K374" s="40" t="str">
        <f aca="false">IF($D374="","",$I374*$J374)</f>
        <v/>
      </c>
      <c r="L374" s="50"/>
      <c r="M374" s="49"/>
      <c r="N374" s="45"/>
      <c r="O374" s="40" t="str">
        <f aca="false">IF(OR($D374="",$N374=""),"",$N374*$J374)</f>
        <v/>
      </c>
      <c r="P374" s="41" t="str">
        <f aca="false">IF(OR($D374="",$L374=""),"",MAX($L374-$H374,0))</f>
        <v/>
      </c>
      <c r="Q374" s="40" t="str">
        <f aca="false">IF(OR($D374="",$N374=""),"",IF($E374="LONG",($N374-$I374)*$J374,($I374-$N374)*$J374))</f>
        <v/>
      </c>
      <c r="R374" s="42" t="str">
        <f aca="false">IF(OR($D374="",$Q374="",$K374=0),"",$Q374/$K374)</f>
        <v/>
      </c>
      <c r="S374" s="43" t="str">
        <f aca="false">IF(OR($D374="",$N374=""),"",MIN(INDEX(Config!$C$13:$C$15,$AK374),INDEX(Config!$B$13:$B$15,$AK374)*$K374)+MIN(INDEX(Config!$C$13:$C$15,$AK374),INDEX(Config!$B$13:$B$15,$AK374)*$O374))</f>
        <v/>
      </c>
      <c r="T374" s="43" t="str">
        <f aca="false">IF(OR($D374="",$N374=""),"",INDEX(Config!$D$13:$D$15,$AK374)*$AL374+INDEX(Config!$E$13:$E$15,$AK374)*$AM374)</f>
        <v/>
      </c>
      <c r="U374" s="43" t="str">
        <f aca="false">IF(OR($D374="",$N374=""),"",INDEX(Config!$F$13:$F$15,$AK374)*($K374+$O374))</f>
        <v/>
      </c>
      <c r="V374" s="43" t="str">
        <f aca="false">IF(OR($D374="",$N374=""),"",INDEX(Config!$G$13:$G$15,$AK374)*($K374+$O374)+INDEX(Config!$H$13:$H$15,$AK374)*$AL374+INDEX(Config!$J$13:$J$15,$AK374))</f>
        <v/>
      </c>
      <c r="W374" s="43" t="str">
        <f aca="false">IF(OR($D374="",$N374=""),"",INDEX(Config!$I$13:$I$15,$AK374)*($S374+$U374+INDEX(Config!$G$13:$G$15,$AK374)*($K374+$O374)))</f>
        <v/>
      </c>
      <c r="X374" s="43" t="str">
        <f aca="false">IF(OR($D374="",$N374=""),"",INDEX(Config!$K$13:$K$15,$AK374)/365*$P374*$K374*Config!$B$8)</f>
        <v/>
      </c>
      <c r="Y374" s="43" t="str">
        <f aca="false">IF(OR($D374="",$N374=""),"",SUM($S374:$X374))</f>
        <v/>
      </c>
      <c r="Z374" s="40" t="str">
        <f aca="false">IF(OR($D374="",$Q374=""),"",$Q374-$Y374)</f>
        <v/>
      </c>
      <c r="AA374" s="42" t="str">
        <f aca="false">IF(OR($D374="",$Z374="",$K374=0),"",$Z374/$K374)</f>
        <v/>
      </c>
      <c r="AB374" s="44" t="str">
        <f aca="false">IF(OR($D374="",$Y374="",$K374=0),"",$Y374/$K374*10000)</f>
        <v/>
      </c>
      <c r="AC374" s="44" t="str">
        <f aca="false">IF(OR($D374="",$G374="",$G374=0,$I374=""),"",IF($E374="LONG",($I374-$G374)/$G374,($G374-$I374)/$G374)*10000)</f>
        <v/>
      </c>
      <c r="AD374" s="45"/>
      <c r="AE374" s="40" t="str">
        <f aca="false">IF(OR($D374="",$N374&lt;&gt;"",$AD374=""),"",IF($E374="LONG",($AD374-$I374)*$J374,($I374-$AD374)*$J374))</f>
        <v/>
      </c>
      <c r="AF374" s="40" t="str">
        <f aca="false">IF(OR($D374="",$E374&lt;&gt;"LONG",$Z374=""),"",$Z374+SUMIFS($Z$4:$Z$503,$B$4:$B$503,$B374,$E$4:$E$503,"SHORT"))</f>
        <v/>
      </c>
      <c r="AG374" s="42" t="str">
        <f aca="false">IF(OR($AF374="",$K374=0),"",$AF374/$K374)</f>
        <v/>
      </c>
      <c r="AH374" s="46"/>
      <c r="AI374" s="43" t="str">
        <f aca="false">IF(OR($D374="",$AH374="",$Z374=""),"",$Z374-$AH374)</f>
        <v/>
      </c>
      <c r="AJ374" s="49"/>
      <c r="AK374" s="47" t="str">
        <f aca="false">IF($D374="","",IFERROR(MATCH($F374,Config!$A$13:$A$15,0),1))</f>
        <v/>
      </c>
      <c r="AL374" s="47" t="str">
        <f aca="false">IF(OR($D374="",$N374=""),"",IF($E374="LONG",$K374,$O374))</f>
        <v/>
      </c>
      <c r="AM374" s="47" t="str">
        <f aca="false">IF(OR($D374="",$N374=""),"",IF($E374="LONG",$O374,$K374))</f>
        <v/>
      </c>
    </row>
    <row r="375" customFormat="false" ht="15" hidden="false" customHeight="false" outlineLevel="0" collapsed="false">
      <c r="A375" s="49"/>
      <c r="B375" s="5" t="str">
        <f aca="false">IF($D375="","",IF(OR(RIGHT($A375,2)="-L",RIGHT($A375,2)="-S"),LEFT($A375,LEN($A375)-2),$A375))</f>
        <v/>
      </c>
      <c r="C375" s="50"/>
      <c r="D375" s="49"/>
      <c r="E375" s="49"/>
      <c r="F375" s="49"/>
      <c r="G375" s="45"/>
      <c r="H375" s="50"/>
      <c r="I375" s="45"/>
      <c r="J375" s="51"/>
      <c r="K375" s="40" t="str">
        <f aca="false">IF($D375="","",$I375*$J375)</f>
        <v/>
      </c>
      <c r="L375" s="50"/>
      <c r="M375" s="49"/>
      <c r="N375" s="45"/>
      <c r="O375" s="40" t="str">
        <f aca="false">IF(OR($D375="",$N375=""),"",$N375*$J375)</f>
        <v/>
      </c>
      <c r="P375" s="41" t="str">
        <f aca="false">IF(OR($D375="",$L375=""),"",MAX($L375-$H375,0))</f>
        <v/>
      </c>
      <c r="Q375" s="40" t="str">
        <f aca="false">IF(OR($D375="",$N375=""),"",IF($E375="LONG",($N375-$I375)*$J375,($I375-$N375)*$J375))</f>
        <v/>
      </c>
      <c r="R375" s="42" t="str">
        <f aca="false">IF(OR($D375="",$Q375="",$K375=0),"",$Q375/$K375)</f>
        <v/>
      </c>
      <c r="S375" s="43" t="str">
        <f aca="false">IF(OR($D375="",$N375=""),"",MIN(INDEX(Config!$C$13:$C$15,$AK375),INDEX(Config!$B$13:$B$15,$AK375)*$K375)+MIN(INDEX(Config!$C$13:$C$15,$AK375),INDEX(Config!$B$13:$B$15,$AK375)*$O375))</f>
        <v/>
      </c>
      <c r="T375" s="43" t="str">
        <f aca="false">IF(OR($D375="",$N375=""),"",INDEX(Config!$D$13:$D$15,$AK375)*$AL375+INDEX(Config!$E$13:$E$15,$AK375)*$AM375)</f>
        <v/>
      </c>
      <c r="U375" s="43" t="str">
        <f aca="false">IF(OR($D375="",$N375=""),"",INDEX(Config!$F$13:$F$15,$AK375)*($K375+$O375))</f>
        <v/>
      </c>
      <c r="V375" s="43" t="str">
        <f aca="false">IF(OR($D375="",$N375=""),"",INDEX(Config!$G$13:$G$15,$AK375)*($K375+$O375)+INDEX(Config!$H$13:$H$15,$AK375)*$AL375+INDEX(Config!$J$13:$J$15,$AK375))</f>
        <v/>
      </c>
      <c r="W375" s="43" t="str">
        <f aca="false">IF(OR($D375="",$N375=""),"",INDEX(Config!$I$13:$I$15,$AK375)*($S375+$U375+INDEX(Config!$G$13:$G$15,$AK375)*($K375+$O375)))</f>
        <v/>
      </c>
      <c r="X375" s="43" t="str">
        <f aca="false">IF(OR($D375="",$N375=""),"",INDEX(Config!$K$13:$K$15,$AK375)/365*$P375*$K375*Config!$B$8)</f>
        <v/>
      </c>
      <c r="Y375" s="43" t="str">
        <f aca="false">IF(OR($D375="",$N375=""),"",SUM($S375:$X375))</f>
        <v/>
      </c>
      <c r="Z375" s="40" t="str">
        <f aca="false">IF(OR($D375="",$Q375=""),"",$Q375-$Y375)</f>
        <v/>
      </c>
      <c r="AA375" s="42" t="str">
        <f aca="false">IF(OR($D375="",$Z375="",$K375=0),"",$Z375/$K375)</f>
        <v/>
      </c>
      <c r="AB375" s="44" t="str">
        <f aca="false">IF(OR($D375="",$Y375="",$K375=0),"",$Y375/$K375*10000)</f>
        <v/>
      </c>
      <c r="AC375" s="44" t="str">
        <f aca="false">IF(OR($D375="",$G375="",$G375=0,$I375=""),"",IF($E375="LONG",($I375-$G375)/$G375,($G375-$I375)/$G375)*10000)</f>
        <v/>
      </c>
      <c r="AD375" s="45"/>
      <c r="AE375" s="40" t="str">
        <f aca="false">IF(OR($D375="",$N375&lt;&gt;"",$AD375=""),"",IF($E375="LONG",($AD375-$I375)*$J375,($I375-$AD375)*$J375))</f>
        <v/>
      </c>
      <c r="AF375" s="40" t="str">
        <f aca="false">IF(OR($D375="",$E375&lt;&gt;"LONG",$Z375=""),"",$Z375+SUMIFS($Z$4:$Z$503,$B$4:$B$503,$B375,$E$4:$E$503,"SHORT"))</f>
        <v/>
      </c>
      <c r="AG375" s="42" t="str">
        <f aca="false">IF(OR($AF375="",$K375=0),"",$AF375/$K375)</f>
        <v/>
      </c>
      <c r="AH375" s="46"/>
      <c r="AI375" s="43" t="str">
        <f aca="false">IF(OR($D375="",$AH375="",$Z375=""),"",$Z375-$AH375)</f>
        <v/>
      </c>
      <c r="AJ375" s="49"/>
      <c r="AK375" s="47" t="str">
        <f aca="false">IF($D375="","",IFERROR(MATCH($F375,Config!$A$13:$A$15,0),1))</f>
        <v/>
      </c>
      <c r="AL375" s="47" t="str">
        <f aca="false">IF(OR($D375="",$N375=""),"",IF($E375="LONG",$K375,$O375))</f>
        <v/>
      </c>
      <c r="AM375" s="47" t="str">
        <f aca="false">IF(OR($D375="",$N375=""),"",IF($E375="LONG",$O375,$K375))</f>
        <v/>
      </c>
    </row>
    <row r="376" customFormat="false" ht="15" hidden="false" customHeight="false" outlineLevel="0" collapsed="false">
      <c r="A376" s="49"/>
      <c r="B376" s="5" t="str">
        <f aca="false">IF($D376="","",IF(OR(RIGHT($A376,2)="-L",RIGHT($A376,2)="-S"),LEFT($A376,LEN($A376)-2),$A376))</f>
        <v/>
      </c>
      <c r="C376" s="50"/>
      <c r="D376" s="49"/>
      <c r="E376" s="49"/>
      <c r="F376" s="49"/>
      <c r="G376" s="45"/>
      <c r="H376" s="50"/>
      <c r="I376" s="45"/>
      <c r="J376" s="51"/>
      <c r="K376" s="40" t="str">
        <f aca="false">IF($D376="","",$I376*$J376)</f>
        <v/>
      </c>
      <c r="L376" s="50"/>
      <c r="M376" s="49"/>
      <c r="N376" s="45"/>
      <c r="O376" s="40" t="str">
        <f aca="false">IF(OR($D376="",$N376=""),"",$N376*$J376)</f>
        <v/>
      </c>
      <c r="P376" s="41" t="str">
        <f aca="false">IF(OR($D376="",$L376=""),"",MAX($L376-$H376,0))</f>
        <v/>
      </c>
      <c r="Q376" s="40" t="str">
        <f aca="false">IF(OR($D376="",$N376=""),"",IF($E376="LONG",($N376-$I376)*$J376,($I376-$N376)*$J376))</f>
        <v/>
      </c>
      <c r="R376" s="42" t="str">
        <f aca="false">IF(OR($D376="",$Q376="",$K376=0),"",$Q376/$K376)</f>
        <v/>
      </c>
      <c r="S376" s="43" t="str">
        <f aca="false">IF(OR($D376="",$N376=""),"",MIN(INDEX(Config!$C$13:$C$15,$AK376),INDEX(Config!$B$13:$B$15,$AK376)*$K376)+MIN(INDEX(Config!$C$13:$C$15,$AK376),INDEX(Config!$B$13:$B$15,$AK376)*$O376))</f>
        <v/>
      </c>
      <c r="T376" s="43" t="str">
        <f aca="false">IF(OR($D376="",$N376=""),"",INDEX(Config!$D$13:$D$15,$AK376)*$AL376+INDEX(Config!$E$13:$E$15,$AK376)*$AM376)</f>
        <v/>
      </c>
      <c r="U376" s="43" t="str">
        <f aca="false">IF(OR($D376="",$N376=""),"",INDEX(Config!$F$13:$F$15,$AK376)*($K376+$O376))</f>
        <v/>
      </c>
      <c r="V376" s="43" t="str">
        <f aca="false">IF(OR($D376="",$N376=""),"",INDEX(Config!$G$13:$G$15,$AK376)*($K376+$O376)+INDEX(Config!$H$13:$H$15,$AK376)*$AL376+INDEX(Config!$J$13:$J$15,$AK376))</f>
        <v/>
      </c>
      <c r="W376" s="43" t="str">
        <f aca="false">IF(OR($D376="",$N376=""),"",INDEX(Config!$I$13:$I$15,$AK376)*($S376+$U376+INDEX(Config!$G$13:$G$15,$AK376)*($K376+$O376)))</f>
        <v/>
      </c>
      <c r="X376" s="43" t="str">
        <f aca="false">IF(OR($D376="",$N376=""),"",INDEX(Config!$K$13:$K$15,$AK376)/365*$P376*$K376*Config!$B$8)</f>
        <v/>
      </c>
      <c r="Y376" s="43" t="str">
        <f aca="false">IF(OR($D376="",$N376=""),"",SUM($S376:$X376))</f>
        <v/>
      </c>
      <c r="Z376" s="40" t="str">
        <f aca="false">IF(OR($D376="",$Q376=""),"",$Q376-$Y376)</f>
        <v/>
      </c>
      <c r="AA376" s="42" t="str">
        <f aca="false">IF(OR($D376="",$Z376="",$K376=0),"",$Z376/$K376)</f>
        <v/>
      </c>
      <c r="AB376" s="44" t="str">
        <f aca="false">IF(OR($D376="",$Y376="",$K376=0),"",$Y376/$K376*10000)</f>
        <v/>
      </c>
      <c r="AC376" s="44" t="str">
        <f aca="false">IF(OR($D376="",$G376="",$G376=0,$I376=""),"",IF($E376="LONG",($I376-$G376)/$G376,($G376-$I376)/$G376)*10000)</f>
        <v/>
      </c>
      <c r="AD376" s="45"/>
      <c r="AE376" s="40" t="str">
        <f aca="false">IF(OR($D376="",$N376&lt;&gt;"",$AD376=""),"",IF($E376="LONG",($AD376-$I376)*$J376,($I376-$AD376)*$J376))</f>
        <v/>
      </c>
      <c r="AF376" s="40" t="str">
        <f aca="false">IF(OR($D376="",$E376&lt;&gt;"LONG",$Z376=""),"",$Z376+SUMIFS($Z$4:$Z$503,$B$4:$B$503,$B376,$E$4:$E$503,"SHORT"))</f>
        <v/>
      </c>
      <c r="AG376" s="42" t="str">
        <f aca="false">IF(OR($AF376="",$K376=0),"",$AF376/$K376)</f>
        <v/>
      </c>
      <c r="AH376" s="46"/>
      <c r="AI376" s="43" t="str">
        <f aca="false">IF(OR($D376="",$AH376="",$Z376=""),"",$Z376-$AH376)</f>
        <v/>
      </c>
      <c r="AJ376" s="49"/>
      <c r="AK376" s="47" t="str">
        <f aca="false">IF($D376="","",IFERROR(MATCH($F376,Config!$A$13:$A$15,0),1))</f>
        <v/>
      </c>
      <c r="AL376" s="47" t="str">
        <f aca="false">IF(OR($D376="",$N376=""),"",IF($E376="LONG",$K376,$O376))</f>
        <v/>
      </c>
      <c r="AM376" s="47" t="str">
        <f aca="false">IF(OR($D376="",$N376=""),"",IF($E376="LONG",$O376,$K376))</f>
        <v/>
      </c>
    </row>
    <row r="377" customFormat="false" ht="15" hidden="false" customHeight="false" outlineLevel="0" collapsed="false">
      <c r="A377" s="49"/>
      <c r="B377" s="5" t="str">
        <f aca="false">IF($D377="","",IF(OR(RIGHT($A377,2)="-L",RIGHT($A377,2)="-S"),LEFT($A377,LEN($A377)-2),$A377))</f>
        <v/>
      </c>
      <c r="C377" s="50"/>
      <c r="D377" s="49"/>
      <c r="E377" s="49"/>
      <c r="F377" s="49"/>
      <c r="G377" s="45"/>
      <c r="H377" s="50"/>
      <c r="I377" s="45"/>
      <c r="J377" s="51"/>
      <c r="K377" s="40" t="str">
        <f aca="false">IF($D377="","",$I377*$J377)</f>
        <v/>
      </c>
      <c r="L377" s="50"/>
      <c r="M377" s="49"/>
      <c r="N377" s="45"/>
      <c r="O377" s="40" t="str">
        <f aca="false">IF(OR($D377="",$N377=""),"",$N377*$J377)</f>
        <v/>
      </c>
      <c r="P377" s="41" t="str">
        <f aca="false">IF(OR($D377="",$L377=""),"",MAX($L377-$H377,0))</f>
        <v/>
      </c>
      <c r="Q377" s="40" t="str">
        <f aca="false">IF(OR($D377="",$N377=""),"",IF($E377="LONG",($N377-$I377)*$J377,($I377-$N377)*$J377))</f>
        <v/>
      </c>
      <c r="R377" s="42" t="str">
        <f aca="false">IF(OR($D377="",$Q377="",$K377=0),"",$Q377/$K377)</f>
        <v/>
      </c>
      <c r="S377" s="43" t="str">
        <f aca="false">IF(OR($D377="",$N377=""),"",MIN(INDEX(Config!$C$13:$C$15,$AK377),INDEX(Config!$B$13:$B$15,$AK377)*$K377)+MIN(INDEX(Config!$C$13:$C$15,$AK377),INDEX(Config!$B$13:$B$15,$AK377)*$O377))</f>
        <v/>
      </c>
      <c r="T377" s="43" t="str">
        <f aca="false">IF(OR($D377="",$N377=""),"",INDEX(Config!$D$13:$D$15,$AK377)*$AL377+INDEX(Config!$E$13:$E$15,$AK377)*$AM377)</f>
        <v/>
      </c>
      <c r="U377" s="43" t="str">
        <f aca="false">IF(OR($D377="",$N377=""),"",INDEX(Config!$F$13:$F$15,$AK377)*($K377+$O377))</f>
        <v/>
      </c>
      <c r="V377" s="43" t="str">
        <f aca="false">IF(OR($D377="",$N377=""),"",INDEX(Config!$G$13:$G$15,$AK377)*($K377+$O377)+INDEX(Config!$H$13:$H$15,$AK377)*$AL377+INDEX(Config!$J$13:$J$15,$AK377))</f>
        <v/>
      </c>
      <c r="W377" s="43" t="str">
        <f aca="false">IF(OR($D377="",$N377=""),"",INDEX(Config!$I$13:$I$15,$AK377)*($S377+$U377+INDEX(Config!$G$13:$G$15,$AK377)*($K377+$O377)))</f>
        <v/>
      </c>
      <c r="X377" s="43" t="str">
        <f aca="false">IF(OR($D377="",$N377=""),"",INDEX(Config!$K$13:$K$15,$AK377)/365*$P377*$K377*Config!$B$8)</f>
        <v/>
      </c>
      <c r="Y377" s="43" t="str">
        <f aca="false">IF(OR($D377="",$N377=""),"",SUM($S377:$X377))</f>
        <v/>
      </c>
      <c r="Z377" s="40" t="str">
        <f aca="false">IF(OR($D377="",$Q377=""),"",$Q377-$Y377)</f>
        <v/>
      </c>
      <c r="AA377" s="42" t="str">
        <f aca="false">IF(OR($D377="",$Z377="",$K377=0),"",$Z377/$K377)</f>
        <v/>
      </c>
      <c r="AB377" s="44" t="str">
        <f aca="false">IF(OR($D377="",$Y377="",$K377=0),"",$Y377/$K377*10000)</f>
        <v/>
      </c>
      <c r="AC377" s="44" t="str">
        <f aca="false">IF(OR($D377="",$G377="",$G377=0,$I377=""),"",IF($E377="LONG",($I377-$G377)/$G377,($G377-$I377)/$G377)*10000)</f>
        <v/>
      </c>
      <c r="AD377" s="45"/>
      <c r="AE377" s="40" t="str">
        <f aca="false">IF(OR($D377="",$N377&lt;&gt;"",$AD377=""),"",IF($E377="LONG",($AD377-$I377)*$J377,($I377-$AD377)*$J377))</f>
        <v/>
      </c>
      <c r="AF377" s="40" t="str">
        <f aca="false">IF(OR($D377="",$E377&lt;&gt;"LONG",$Z377=""),"",$Z377+SUMIFS($Z$4:$Z$503,$B$4:$B$503,$B377,$E$4:$E$503,"SHORT"))</f>
        <v/>
      </c>
      <c r="AG377" s="42" t="str">
        <f aca="false">IF(OR($AF377="",$K377=0),"",$AF377/$K377)</f>
        <v/>
      </c>
      <c r="AH377" s="46"/>
      <c r="AI377" s="43" t="str">
        <f aca="false">IF(OR($D377="",$AH377="",$Z377=""),"",$Z377-$AH377)</f>
        <v/>
      </c>
      <c r="AJ377" s="49"/>
      <c r="AK377" s="47" t="str">
        <f aca="false">IF($D377="","",IFERROR(MATCH($F377,Config!$A$13:$A$15,0),1))</f>
        <v/>
      </c>
      <c r="AL377" s="47" t="str">
        <f aca="false">IF(OR($D377="",$N377=""),"",IF($E377="LONG",$K377,$O377))</f>
        <v/>
      </c>
      <c r="AM377" s="47" t="str">
        <f aca="false">IF(OR($D377="",$N377=""),"",IF($E377="LONG",$O377,$K377))</f>
        <v/>
      </c>
    </row>
    <row r="378" customFormat="false" ht="15" hidden="false" customHeight="false" outlineLevel="0" collapsed="false">
      <c r="A378" s="49"/>
      <c r="B378" s="5" t="str">
        <f aca="false">IF($D378="","",IF(OR(RIGHT($A378,2)="-L",RIGHT($A378,2)="-S"),LEFT($A378,LEN($A378)-2),$A378))</f>
        <v/>
      </c>
      <c r="C378" s="50"/>
      <c r="D378" s="49"/>
      <c r="E378" s="49"/>
      <c r="F378" s="49"/>
      <c r="G378" s="45"/>
      <c r="H378" s="50"/>
      <c r="I378" s="45"/>
      <c r="J378" s="51"/>
      <c r="K378" s="40" t="str">
        <f aca="false">IF($D378="","",$I378*$J378)</f>
        <v/>
      </c>
      <c r="L378" s="50"/>
      <c r="M378" s="49"/>
      <c r="N378" s="45"/>
      <c r="O378" s="40" t="str">
        <f aca="false">IF(OR($D378="",$N378=""),"",$N378*$J378)</f>
        <v/>
      </c>
      <c r="P378" s="41" t="str">
        <f aca="false">IF(OR($D378="",$L378=""),"",MAX($L378-$H378,0))</f>
        <v/>
      </c>
      <c r="Q378" s="40" t="str">
        <f aca="false">IF(OR($D378="",$N378=""),"",IF($E378="LONG",($N378-$I378)*$J378,($I378-$N378)*$J378))</f>
        <v/>
      </c>
      <c r="R378" s="42" t="str">
        <f aca="false">IF(OR($D378="",$Q378="",$K378=0),"",$Q378/$K378)</f>
        <v/>
      </c>
      <c r="S378" s="43" t="str">
        <f aca="false">IF(OR($D378="",$N378=""),"",MIN(INDEX(Config!$C$13:$C$15,$AK378),INDEX(Config!$B$13:$B$15,$AK378)*$K378)+MIN(INDEX(Config!$C$13:$C$15,$AK378),INDEX(Config!$B$13:$B$15,$AK378)*$O378))</f>
        <v/>
      </c>
      <c r="T378" s="43" t="str">
        <f aca="false">IF(OR($D378="",$N378=""),"",INDEX(Config!$D$13:$D$15,$AK378)*$AL378+INDEX(Config!$E$13:$E$15,$AK378)*$AM378)</f>
        <v/>
      </c>
      <c r="U378" s="43" t="str">
        <f aca="false">IF(OR($D378="",$N378=""),"",INDEX(Config!$F$13:$F$15,$AK378)*($K378+$O378))</f>
        <v/>
      </c>
      <c r="V378" s="43" t="str">
        <f aca="false">IF(OR($D378="",$N378=""),"",INDEX(Config!$G$13:$G$15,$AK378)*($K378+$O378)+INDEX(Config!$H$13:$H$15,$AK378)*$AL378+INDEX(Config!$J$13:$J$15,$AK378))</f>
        <v/>
      </c>
      <c r="W378" s="43" t="str">
        <f aca="false">IF(OR($D378="",$N378=""),"",INDEX(Config!$I$13:$I$15,$AK378)*($S378+$U378+INDEX(Config!$G$13:$G$15,$AK378)*($K378+$O378)))</f>
        <v/>
      </c>
      <c r="X378" s="43" t="str">
        <f aca="false">IF(OR($D378="",$N378=""),"",INDEX(Config!$K$13:$K$15,$AK378)/365*$P378*$K378*Config!$B$8)</f>
        <v/>
      </c>
      <c r="Y378" s="43" t="str">
        <f aca="false">IF(OR($D378="",$N378=""),"",SUM($S378:$X378))</f>
        <v/>
      </c>
      <c r="Z378" s="40" t="str">
        <f aca="false">IF(OR($D378="",$Q378=""),"",$Q378-$Y378)</f>
        <v/>
      </c>
      <c r="AA378" s="42" t="str">
        <f aca="false">IF(OR($D378="",$Z378="",$K378=0),"",$Z378/$K378)</f>
        <v/>
      </c>
      <c r="AB378" s="44" t="str">
        <f aca="false">IF(OR($D378="",$Y378="",$K378=0),"",$Y378/$K378*10000)</f>
        <v/>
      </c>
      <c r="AC378" s="44" t="str">
        <f aca="false">IF(OR($D378="",$G378="",$G378=0,$I378=""),"",IF($E378="LONG",($I378-$G378)/$G378,($G378-$I378)/$G378)*10000)</f>
        <v/>
      </c>
      <c r="AD378" s="45"/>
      <c r="AE378" s="40" t="str">
        <f aca="false">IF(OR($D378="",$N378&lt;&gt;"",$AD378=""),"",IF($E378="LONG",($AD378-$I378)*$J378,($I378-$AD378)*$J378))</f>
        <v/>
      </c>
      <c r="AF378" s="40" t="str">
        <f aca="false">IF(OR($D378="",$E378&lt;&gt;"LONG",$Z378=""),"",$Z378+SUMIFS($Z$4:$Z$503,$B$4:$B$503,$B378,$E$4:$E$503,"SHORT"))</f>
        <v/>
      </c>
      <c r="AG378" s="42" t="str">
        <f aca="false">IF(OR($AF378="",$K378=0),"",$AF378/$K378)</f>
        <v/>
      </c>
      <c r="AH378" s="46"/>
      <c r="AI378" s="43" t="str">
        <f aca="false">IF(OR($D378="",$AH378="",$Z378=""),"",$Z378-$AH378)</f>
        <v/>
      </c>
      <c r="AJ378" s="49"/>
      <c r="AK378" s="47" t="str">
        <f aca="false">IF($D378="","",IFERROR(MATCH($F378,Config!$A$13:$A$15,0),1))</f>
        <v/>
      </c>
      <c r="AL378" s="47" t="str">
        <f aca="false">IF(OR($D378="",$N378=""),"",IF($E378="LONG",$K378,$O378))</f>
        <v/>
      </c>
      <c r="AM378" s="47" t="str">
        <f aca="false">IF(OR($D378="",$N378=""),"",IF($E378="LONG",$O378,$K378))</f>
        <v/>
      </c>
    </row>
    <row r="379" customFormat="false" ht="15" hidden="false" customHeight="false" outlineLevel="0" collapsed="false">
      <c r="A379" s="49"/>
      <c r="B379" s="5" t="str">
        <f aca="false">IF($D379="","",IF(OR(RIGHT($A379,2)="-L",RIGHT($A379,2)="-S"),LEFT($A379,LEN($A379)-2),$A379))</f>
        <v/>
      </c>
      <c r="C379" s="50"/>
      <c r="D379" s="49"/>
      <c r="E379" s="49"/>
      <c r="F379" s="49"/>
      <c r="G379" s="45"/>
      <c r="H379" s="50"/>
      <c r="I379" s="45"/>
      <c r="J379" s="51"/>
      <c r="K379" s="40" t="str">
        <f aca="false">IF($D379="","",$I379*$J379)</f>
        <v/>
      </c>
      <c r="L379" s="50"/>
      <c r="M379" s="49"/>
      <c r="N379" s="45"/>
      <c r="O379" s="40" t="str">
        <f aca="false">IF(OR($D379="",$N379=""),"",$N379*$J379)</f>
        <v/>
      </c>
      <c r="P379" s="41" t="str">
        <f aca="false">IF(OR($D379="",$L379=""),"",MAX($L379-$H379,0))</f>
        <v/>
      </c>
      <c r="Q379" s="40" t="str">
        <f aca="false">IF(OR($D379="",$N379=""),"",IF($E379="LONG",($N379-$I379)*$J379,($I379-$N379)*$J379))</f>
        <v/>
      </c>
      <c r="R379" s="42" t="str">
        <f aca="false">IF(OR($D379="",$Q379="",$K379=0),"",$Q379/$K379)</f>
        <v/>
      </c>
      <c r="S379" s="43" t="str">
        <f aca="false">IF(OR($D379="",$N379=""),"",MIN(INDEX(Config!$C$13:$C$15,$AK379),INDEX(Config!$B$13:$B$15,$AK379)*$K379)+MIN(INDEX(Config!$C$13:$C$15,$AK379),INDEX(Config!$B$13:$B$15,$AK379)*$O379))</f>
        <v/>
      </c>
      <c r="T379" s="43" t="str">
        <f aca="false">IF(OR($D379="",$N379=""),"",INDEX(Config!$D$13:$D$15,$AK379)*$AL379+INDEX(Config!$E$13:$E$15,$AK379)*$AM379)</f>
        <v/>
      </c>
      <c r="U379" s="43" t="str">
        <f aca="false">IF(OR($D379="",$N379=""),"",INDEX(Config!$F$13:$F$15,$AK379)*($K379+$O379))</f>
        <v/>
      </c>
      <c r="V379" s="43" t="str">
        <f aca="false">IF(OR($D379="",$N379=""),"",INDEX(Config!$G$13:$G$15,$AK379)*($K379+$O379)+INDEX(Config!$H$13:$H$15,$AK379)*$AL379+INDEX(Config!$J$13:$J$15,$AK379))</f>
        <v/>
      </c>
      <c r="W379" s="43" t="str">
        <f aca="false">IF(OR($D379="",$N379=""),"",INDEX(Config!$I$13:$I$15,$AK379)*($S379+$U379+INDEX(Config!$G$13:$G$15,$AK379)*($K379+$O379)))</f>
        <v/>
      </c>
      <c r="X379" s="43" t="str">
        <f aca="false">IF(OR($D379="",$N379=""),"",INDEX(Config!$K$13:$K$15,$AK379)/365*$P379*$K379*Config!$B$8)</f>
        <v/>
      </c>
      <c r="Y379" s="43" t="str">
        <f aca="false">IF(OR($D379="",$N379=""),"",SUM($S379:$X379))</f>
        <v/>
      </c>
      <c r="Z379" s="40" t="str">
        <f aca="false">IF(OR($D379="",$Q379=""),"",$Q379-$Y379)</f>
        <v/>
      </c>
      <c r="AA379" s="42" t="str">
        <f aca="false">IF(OR($D379="",$Z379="",$K379=0),"",$Z379/$K379)</f>
        <v/>
      </c>
      <c r="AB379" s="44" t="str">
        <f aca="false">IF(OR($D379="",$Y379="",$K379=0),"",$Y379/$K379*10000)</f>
        <v/>
      </c>
      <c r="AC379" s="44" t="str">
        <f aca="false">IF(OR($D379="",$G379="",$G379=0,$I379=""),"",IF($E379="LONG",($I379-$G379)/$G379,($G379-$I379)/$G379)*10000)</f>
        <v/>
      </c>
      <c r="AD379" s="45"/>
      <c r="AE379" s="40" t="str">
        <f aca="false">IF(OR($D379="",$N379&lt;&gt;"",$AD379=""),"",IF($E379="LONG",($AD379-$I379)*$J379,($I379-$AD379)*$J379))</f>
        <v/>
      </c>
      <c r="AF379" s="40" t="str">
        <f aca="false">IF(OR($D379="",$E379&lt;&gt;"LONG",$Z379=""),"",$Z379+SUMIFS($Z$4:$Z$503,$B$4:$B$503,$B379,$E$4:$E$503,"SHORT"))</f>
        <v/>
      </c>
      <c r="AG379" s="42" t="str">
        <f aca="false">IF(OR($AF379="",$K379=0),"",$AF379/$K379)</f>
        <v/>
      </c>
      <c r="AH379" s="46"/>
      <c r="AI379" s="43" t="str">
        <f aca="false">IF(OR($D379="",$AH379="",$Z379=""),"",$Z379-$AH379)</f>
        <v/>
      </c>
      <c r="AJ379" s="49"/>
      <c r="AK379" s="47" t="str">
        <f aca="false">IF($D379="","",IFERROR(MATCH($F379,Config!$A$13:$A$15,0),1))</f>
        <v/>
      </c>
      <c r="AL379" s="47" t="str">
        <f aca="false">IF(OR($D379="",$N379=""),"",IF($E379="LONG",$K379,$O379))</f>
        <v/>
      </c>
      <c r="AM379" s="47" t="str">
        <f aca="false">IF(OR($D379="",$N379=""),"",IF($E379="LONG",$O379,$K379))</f>
        <v/>
      </c>
    </row>
    <row r="380" customFormat="false" ht="15" hidden="false" customHeight="false" outlineLevel="0" collapsed="false">
      <c r="A380" s="49"/>
      <c r="B380" s="5" t="str">
        <f aca="false">IF($D380="","",IF(OR(RIGHT($A380,2)="-L",RIGHT($A380,2)="-S"),LEFT($A380,LEN($A380)-2),$A380))</f>
        <v/>
      </c>
      <c r="C380" s="50"/>
      <c r="D380" s="49"/>
      <c r="E380" s="49"/>
      <c r="F380" s="49"/>
      <c r="G380" s="45"/>
      <c r="H380" s="50"/>
      <c r="I380" s="45"/>
      <c r="J380" s="51"/>
      <c r="K380" s="40" t="str">
        <f aca="false">IF($D380="","",$I380*$J380)</f>
        <v/>
      </c>
      <c r="L380" s="50"/>
      <c r="M380" s="49"/>
      <c r="N380" s="45"/>
      <c r="O380" s="40" t="str">
        <f aca="false">IF(OR($D380="",$N380=""),"",$N380*$J380)</f>
        <v/>
      </c>
      <c r="P380" s="41" t="str">
        <f aca="false">IF(OR($D380="",$L380=""),"",MAX($L380-$H380,0))</f>
        <v/>
      </c>
      <c r="Q380" s="40" t="str">
        <f aca="false">IF(OR($D380="",$N380=""),"",IF($E380="LONG",($N380-$I380)*$J380,($I380-$N380)*$J380))</f>
        <v/>
      </c>
      <c r="R380" s="42" t="str">
        <f aca="false">IF(OR($D380="",$Q380="",$K380=0),"",$Q380/$K380)</f>
        <v/>
      </c>
      <c r="S380" s="43" t="str">
        <f aca="false">IF(OR($D380="",$N380=""),"",MIN(INDEX(Config!$C$13:$C$15,$AK380),INDEX(Config!$B$13:$B$15,$AK380)*$K380)+MIN(INDEX(Config!$C$13:$C$15,$AK380),INDEX(Config!$B$13:$B$15,$AK380)*$O380))</f>
        <v/>
      </c>
      <c r="T380" s="43" t="str">
        <f aca="false">IF(OR($D380="",$N380=""),"",INDEX(Config!$D$13:$D$15,$AK380)*$AL380+INDEX(Config!$E$13:$E$15,$AK380)*$AM380)</f>
        <v/>
      </c>
      <c r="U380" s="43" t="str">
        <f aca="false">IF(OR($D380="",$N380=""),"",INDEX(Config!$F$13:$F$15,$AK380)*($K380+$O380))</f>
        <v/>
      </c>
      <c r="V380" s="43" t="str">
        <f aca="false">IF(OR($D380="",$N380=""),"",INDEX(Config!$G$13:$G$15,$AK380)*($K380+$O380)+INDEX(Config!$H$13:$H$15,$AK380)*$AL380+INDEX(Config!$J$13:$J$15,$AK380))</f>
        <v/>
      </c>
      <c r="W380" s="43" t="str">
        <f aca="false">IF(OR($D380="",$N380=""),"",INDEX(Config!$I$13:$I$15,$AK380)*($S380+$U380+INDEX(Config!$G$13:$G$15,$AK380)*($K380+$O380)))</f>
        <v/>
      </c>
      <c r="X380" s="43" t="str">
        <f aca="false">IF(OR($D380="",$N380=""),"",INDEX(Config!$K$13:$K$15,$AK380)/365*$P380*$K380*Config!$B$8)</f>
        <v/>
      </c>
      <c r="Y380" s="43" t="str">
        <f aca="false">IF(OR($D380="",$N380=""),"",SUM($S380:$X380))</f>
        <v/>
      </c>
      <c r="Z380" s="40" t="str">
        <f aca="false">IF(OR($D380="",$Q380=""),"",$Q380-$Y380)</f>
        <v/>
      </c>
      <c r="AA380" s="42" t="str">
        <f aca="false">IF(OR($D380="",$Z380="",$K380=0),"",$Z380/$K380)</f>
        <v/>
      </c>
      <c r="AB380" s="44" t="str">
        <f aca="false">IF(OR($D380="",$Y380="",$K380=0),"",$Y380/$K380*10000)</f>
        <v/>
      </c>
      <c r="AC380" s="44" t="str">
        <f aca="false">IF(OR($D380="",$G380="",$G380=0,$I380=""),"",IF($E380="LONG",($I380-$G380)/$G380,($G380-$I380)/$G380)*10000)</f>
        <v/>
      </c>
      <c r="AD380" s="45"/>
      <c r="AE380" s="40" t="str">
        <f aca="false">IF(OR($D380="",$N380&lt;&gt;"",$AD380=""),"",IF($E380="LONG",($AD380-$I380)*$J380,($I380-$AD380)*$J380))</f>
        <v/>
      </c>
      <c r="AF380" s="40" t="str">
        <f aca="false">IF(OR($D380="",$E380&lt;&gt;"LONG",$Z380=""),"",$Z380+SUMIFS($Z$4:$Z$503,$B$4:$B$503,$B380,$E$4:$E$503,"SHORT"))</f>
        <v/>
      </c>
      <c r="AG380" s="42" t="str">
        <f aca="false">IF(OR($AF380="",$K380=0),"",$AF380/$K380)</f>
        <v/>
      </c>
      <c r="AH380" s="46"/>
      <c r="AI380" s="43" t="str">
        <f aca="false">IF(OR($D380="",$AH380="",$Z380=""),"",$Z380-$AH380)</f>
        <v/>
      </c>
      <c r="AJ380" s="49"/>
      <c r="AK380" s="47" t="str">
        <f aca="false">IF($D380="","",IFERROR(MATCH($F380,Config!$A$13:$A$15,0),1))</f>
        <v/>
      </c>
      <c r="AL380" s="47" t="str">
        <f aca="false">IF(OR($D380="",$N380=""),"",IF($E380="LONG",$K380,$O380))</f>
        <v/>
      </c>
      <c r="AM380" s="47" t="str">
        <f aca="false">IF(OR($D380="",$N380=""),"",IF($E380="LONG",$O380,$K380))</f>
        <v/>
      </c>
    </row>
    <row r="381" customFormat="false" ht="15" hidden="false" customHeight="false" outlineLevel="0" collapsed="false">
      <c r="A381" s="49"/>
      <c r="B381" s="5" t="str">
        <f aca="false">IF($D381="","",IF(OR(RIGHT($A381,2)="-L",RIGHT($A381,2)="-S"),LEFT($A381,LEN($A381)-2),$A381))</f>
        <v/>
      </c>
      <c r="C381" s="50"/>
      <c r="D381" s="49"/>
      <c r="E381" s="49"/>
      <c r="F381" s="49"/>
      <c r="G381" s="45"/>
      <c r="H381" s="50"/>
      <c r="I381" s="45"/>
      <c r="J381" s="51"/>
      <c r="K381" s="40" t="str">
        <f aca="false">IF($D381="","",$I381*$J381)</f>
        <v/>
      </c>
      <c r="L381" s="50"/>
      <c r="M381" s="49"/>
      <c r="N381" s="45"/>
      <c r="O381" s="40" t="str">
        <f aca="false">IF(OR($D381="",$N381=""),"",$N381*$J381)</f>
        <v/>
      </c>
      <c r="P381" s="41" t="str">
        <f aca="false">IF(OR($D381="",$L381=""),"",MAX($L381-$H381,0))</f>
        <v/>
      </c>
      <c r="Q381" s="40" t="str">
        <f aca="false">IF(OR($D381="",$N381=""),"",IF($E381="LONG",($N381-$I381)*$J381,($I381-$N381)*$J381))</f>
        <v/>
      </c>
      <c r="R381" s="42" t="str">
        <f aca="false">IF(OR($D381="",$Q381="",$K381=0),"",$Q381/$K381)</f>
        <v/>
      </c>
      <c r="S381" s="43" t="str">
        <f aca="false">IF(OR($D381="",$N381=""),"",MIN(INDEX(Config!$C$13:$C$15,$AK381),INDEX(Config!$B$13:$B$15,$AK381)*$K381)+MIN(INDEX(Config!$C$13:$C$15,$AK381),INDEX(Config!$B$13:$B$15,$AK381)*$O381))</f>
        <v/>
      </c>
      <c r="T381" s="43" t="str">
        <f aca="false">IF(OR($D381="",$N381=""),"",INDEX(Config!$D$13:$D$15,$AK381)*$AL381+INDEX(Config!$E$13:$E$15,$AK381)*$AM381)</f>
        <v/>
      </c>
      <c r="U381" s="43" t="str">
        <f aca="false">IF(OR($D381="",$N381=""),"",INDEX(Config!$F$13:$F$15,$AK381)*($K381+$O381))</f>
        <v/>
      </c>
      <c r="V381" s="43" t="str">
        <f aca="false">IF(OR($D381="",$N381=""),"",INDEX(Config!$G$13:$G$15,$AK381)*($K381+$O381)+INDEX(Config!$H$13:$H$15,$AK381)*$AL381+INDEX(Config!$J$13:$J$15,$AK381))</f>
        <v/>
      </c>
      <c r="W381" s="43" t="str">
        <f aca="false">IF(OR($D381="",$N381=""),"",INDEX(Config!$I$13:$I$15,$AK381)*($S381+$U381+INDEX(Config!$G$13:$G$15,$AK381)*($K381+$O381)))</f>
        <v/>
      </c>
      <c r="X381" s="43" t="str">
        <f aca="false">IF(OR($D381="",$N381=""),"",INDEX(Config!$K$13:$K$15,$AK381)/365*$P381*$K381*Config!$B$8)</f>
        <v/>
      </c>
      <c r="Y381" s="43" t="str">
        <f aca="false">IF(OR($D381="",$N381=""),"",SUM($S381:$X381))</f>
        <v/>
      </c>
      <c r="Z381" s="40" t="str">
        <f aca="false">IF(OR($D381="",$Q381=""),"",$Q381-$Y381)</f>
        <v/>
      </c>
      <c r="AA381" s="42" t="str">
        <f aca="false">IF(OR($D381="",$Z381="",$K381=0),"",$Z381/$K381)</f>
        <v/>
      </c>
      <c r="AB381" s="44" t="str">
        <f aca="false">IF(OR($D381="",$Y381="",$K381=0),"",$Y381/$K381*10000)</f>
        <v/>
      </c>
      <c r="AC381" s="44" t="str">
        <f aca="false">IF(OR($D381="",$G381="",$G381=0,$I381=""),"",IF($E381="LONG",($I381-$G381)/$G381,($G381-$I381)/$G381)*10000)</f>
        <v/>
      </c>
      <c r="AD381" s="45"/>
      <c r="AE381" s="40" t="str">
        <f aca="false">IF(OR($D381="",$N381&lt;&gt;"",$AD381=""),"",IF($E381="LONG",($AD381-$I381)*$J381,($I381-$AD381)*$J381))</f>
        <v/>
      </c>
      <c r="AF381" s="40" t="str">
        <f aca="false">IF(OR($D381="",$E381&lt;&gt;"LONG",$Z381=""),"",$Z381+SUMIFS($Z$4:$Z$503,$B$4:$B$503,$B381,$E$4:$E$503,"SHORT"))</f>
        <v/>
      </c>
      <c r="AG381" s="42" t="str">
        <f aca="false">IF(OR($AF381="",$K381=0),"",$AF381/$K381)</f>
        <v/>
      </c>
      <c r="AH381" s="46"/>
      <c r="AI381" s="43" t="str">
        <f aca="false">IF(OR($D381="",$AH381="",$Z381=""),"",$Z381-$AH381)</f>
        <v/>
      </c>
      <c r="AJ381" s="49"/>
      <c r="AK381" s="47" t="str">
        <f aca="false">IF($D381="","",IFERROR(MATCH($F381,Config!$A$13:$A$15,0),1))</f>
        <v/>
      </c>
      <c r="AL381" s="47" t="str">
        <f aca="false">IF(OR($D381="",$N381=""),"",IF($E381="LONG",$K381,$O381))</f>
        <v/>
      </c>
      <c r="AM381" s="47" t="str">
        <f aca="false">IF(OR($D381="",$N381=""),"",IF($E381="LONG",$O381,$K381))</f>
        <v/>
      </c>
    </row>
    <row r="382" customFormat="false" ht="15" hidden="false" customHeight="false" outlineLevel="0" collapsed="false">
      <c r="A382" s="49"/>
      <c r="B382" s="5" t="str">
        <f aca="false">IF($D382="","",IF(OR(RIGHT($A382,2)="-L",RIGHT($A382,2)="-S"),LEFT($A382,LEN($A382)-2),$A382))</f>
        <v/>
      </c>
      <c r="C382" s="50"/>
      <c r="D382" s="49"/>
      <c r="E382" s="49"/>
      <c r="F382" s="49"/>
      <c r="G382" s="45"/>
      <c r="H382" s="50"/>
      <c r="I382" s="45"/>
      <c r="J382" s="51"/>
      <c r="K382" s="40" t="str">
        <f aca="false">IF($D382="","",$I382*$J382)</f>
        <v/>
      </c>
      <c r="L382" s="50"/>
      <c r="M382" s="49"/>
      <c r="N382" s="45"/>
      <c r="O382" s="40" t="str">
        <f aca="false">IF(OR($D382="",$N382=""),"",$N382*$J382)</f>
        <v/>
      </c>
      <c r="P382" s="41" t="str">
        <f aca="false">IF(OR($D382="",$L382=""),"",MAX($L382-$H382,0))</f>
        <v/>
      </c>
      <c r="Q382" s="40" t="str">
        <f aca="false">IF(OR($D382="",$N382=""),"",IF($E382="LONG",($N382-$I382)*$J382,($I382-$N382)*$J382))</f>
        <v/>
      </c>
      <c r="R382" s="42" t="str">
        <f aca="false">IF(OR($D382="",$Q382="",$K382=0),"",$Q382/$K382)</f>
        <v/>
      </c>
      <c r="S382" s="43" t="str">
        <f aca="false">IF(OR($D382="",$N382=""),"",MIN(INDEX(Config!$C$13:$C$15,$AK382),INDEX(Config!$B$13:$B$15,$AK382)*$K382)+MIN(INDEX(Config!$C$13:$C$15,$AK382),INDEX(Config!$B$13:$B$15,$AK382)*$O382))</f>
        <v/>
      </c>
      <c r="T382" s="43" t="str">
        <f aca="false">IF(OR($D382="",$N382=""),"",INDEX(Config!$D$13:$D$15,$AK382)*$AL382+INDEX(Config!$E$13:$E$15,$AK382)*$AM382)</f>
        <v/>
      </c>
      <c r="U382" s="43" t="str">
        <f aca="false">IF(OR($D382="",$N382=""),"",INDEX(Config!$F$13:$F$15,$AK382)*($K382+$O382))</f>
        <v/>
      </c>
      <c r="V382" s="43" t="str">
        <f aca="false">IF(OR($D382="",$N382=""),"",INDEX(Config!$G$13:$G$15,$AK382)*($K382+$O382)+INDEX(Config!$H$13:$H$15,$AK382)*$AL382+INDEX(Config!$J$13:$J$15,$AK382))</f>
        <v/>
      </c>
      <c r="W382" s="43" t="str">
        <f aca="false">IF(OR($D382="",$N382=""),"",INDEX(Config!$I$13:$I$15,$AK382)*($S382+$U382+INDEX(Config!$G$13:$G$15,$AK382)*($K382+$O382)))</f>
        <v/>
      </c>
      <c r="X382" s="43" t="str">
        <f aca="false">IF(OR($D382="",$N382=""),"",INDEX(Config!$K$13:$K$15,$AK382)/365*$P382*$K382*Config!$B$8)</f>
        <v/>
      </c>
      <c r="Y382" s="43" t="str">
        <f aca="false">IF(OR($D382="",$N382=""),"",SUM($S382:$X382))</f>
        <v/>
      </c>
      <c r="Z382" s="40" t="str">
        <f aca="false">IF(OR($D382="",$Q382=""),"",$Q382-$Y382)</f>
        <v/>
      </c>
      <c r="AA382" s="42" t="str">
        <f aca="false">IF(OR($D382="",$Z382="",$K382=0),"",$Z382/$K382)</f>
        <v/>
      </c>
      <c r="AB382" s="44" t="str">
        <f aca="false">IF(OR($D382="",$Y382="",$K382=0),"",$Y382/$K382*10000)</f>
        <v/>
      </c>
      <c r="AC382" s="44" t="str">
        <f aca="false">IF(OR($D382="",$G382="",$G382=0,$I382=""),"",IF($E382="LONG",($I382-$G382)/$G382,($G382-$I382)/$G382)*10000)</f>
        <v/>
      </c>
      <c r="AD382" s="45"/>
      <c r="AE382" s="40" t="str">
        <f aca="false">IF(OR($D382="",$N382&lt;&gt;"",$AD382=""),"",IF($E382="LONG",($AD382-$I382)*$J382,($I382-$AD382)*$J382))</f>
        <v/>
      </c>
      <c r="AF382" s="40" t="str">
        <f aca="false">IF(OR($D382="",$E382&lt;&gt;"LONG",$Z382=""),"",$Z382+SUMIFS($Z$4:$Z$503,$B$4:$B$503,$B382,$E$4:$E$503,"SHORT"))</f>
        <v/>
      </c>
      <c r="AG382" s="42" t="str">
        <f aca="false">IF(OR($AF382="",$K382=0),"",$AF382/$K382)</f>
        <v/>
      </c>
      <c r="AH382" s="46"/>
      <c r="AI382" s="43" t="str">
        <f aca="false">IF(OR($D382="",$AH382="",$Z382=""),"",$Z382-$AH382)</f>
        <v/>
      </c>
      <c r="AJ382" s="49"/>
      <c r="AK382" s="47" t="str">
        <f aca="false">IF($D382="","",IFERROR(MATCH($F382,Config!$A$13:$A$15,0),1))</f>
        <v/>
      </c>
      <c r="AL382" s="47" t="str">
        <f aca="false">IF(OR($D382="",$N382=""),"",IF($E382="LONG",$K382,$O382))</f>
        <v/>
      </c>
      <c r="AM382" s="47" t="str">
        <f aca="false">IF(OR($D382="",$N382=""),"",IF($E382="LONG",$O382,$K382))</f>
        <v/>
      </c>
    </row>
    <row r="383" customFormat="false" ht="15" hidden="false" customHeight="false" outlineLevel="0" collapsed="false">
      <c r="A383" s="49"/>
      <c r="B383" s="5" t="str">
        <f aca="false">IF($D383="","",IF(OR(RIGHT($A383,2)="-L",RIGHT($A383,2)="-S"),LEFT($A383,LEN($A383)-2),$A383))</f>
        <v/>
      </c>
      <c r="C383" s="50"/>
      <c r="D383" s="49"/>
      <c r="E383" s="49"/>
      <c r="F383" s="49"/>
      <c r="G383" s="45"/>
      <c r="H383" s="50"/>
      <c r="I383" s="45"/>
      <c r="J383" s="51"/>
      <c r="K383" s="40" t="str">
        <f aca="false">IF($D383="","",$I383*$J383)</f>
        <v/>
      </c>
      <c r="L383" s="50"/>
      <c r="M383" s="49"/>
      <c r="N383" s="45"/>
      <c r="O383" s="40" t="str">
        <f aca="false">IF(OR($D383="",$N383=""),"",$N383*$J383)</f>
        <v/>
      </c>
      <c r="P383" s="41" t="str">
        <f aca="false">IF(OR($D383="",$L383=""),"",MAX($L383-$H383,0))</f>
        <v/>
      </c>
      <c r="Q383" s="40" t="str">
        <f aca="false">IF(OR($D383="",$N383=""),"",IF($E383="LONG",($N383-$I383)*$J383,($I383-$N383)*$J383))</f>
        <v/>
      </c>
      <c r="R383" s="42" t="str">
        <f aca="false">IF(OR($D383="",$Q383="",$K383=0),"",$Q383/$K383)</f>
        <v/>
      </c>
      <c r="S383" s="43" t="str">
        <f aca="false">IF(OR($D383="",$N383=""),"",MIN(INDEX(Config!$C$13:$C$15,$AK383),INDEX(Config!$B$13:$B$15,$AK383)*$K383)+MIN(INDEX(Config!$C$13:$C$15,$AK383),INDEX(Config!$B$13:$B$15,$AK383)*$O383))</f>
        <v/>
      </c>
      <c r="T383" s="43" t="str">
        <f aca="false">IF(OR($D383="",$N383=""),"",INDEX(Config!$D$13:$D$15,$AK383)*$AL383+INDEX(Config!$E$13:$E$15,$AK383)*$AM383)</f>
        <v/>
      </c>
      <c r="U383" s="43" t="str">
        <f aca="false">IF(OR($D383="",$N383=""),"",INDEX(Config!$F$13:$F$15,$AK383)*($K383+$O383))</f>
        <v/>
      </c>
      <c r="V383" s="43" t="str">
        <f aca="false">IF(OR($D383="",$N383=""),"",INDEX(Config!$G$13:$G$15,$AK383)*($K383+$O383)+INDEX(Config!$H$13:$H$15,$AK383)*$AL383+INDEX(Config!$J$13:$J$15,$AK383))</f>
        <v/>
      </c>
      <c r="W383" s="43" t="str">
        <f aca="false">IF(OR($D383="",$N383=""),"",INDEX(Config!$I$13:$I$15,$AK383)*($S383+$U383+INDEX(Config!$G$13:$G$15,$AK383)*($K383+$O383)))</f>
        <v/>
      </c>
      <c r="X383" s="43" t="str">
        <f aca="false">IF(OR($D383="",$N383=""),"",INDEX(Config!$K$13:$K$15,$AK383)/365*$P383*$K383*Config!$B$8)</f>
        <v/>
      </c>
      <c r="Y383" s="43" t="str">
        <f aca="false">IF(OR($D383="",$N383=""),"",SUM($S383:$X383))</f>
        <v/>
      </c>
      <c r="Z383" s="40" t="str">
        <f aca="false">IF(OR($D383="",$Q383=""),"",$Q383-$Y383)</f>
        <v/>
      </c>
      <c r="AA383" s="42" t="str">
        <f aca="false">IF(OR($D383="",$Z383="",$K383=0),"",$Z383/$K383)</f>
        <v/>
      </c>
      <c r="AB383" s="44" t="str">
        <f aca="false">IF(OR($D383="",$Y383="",$K383=0),"",$Y383/$K383*10000)</f>
        <v/>
      </c>
      <c r="AC383" s="44" t="str">
        <f aca="false">IF(OR($D383="",$G383="",$G383=0,$I383=""),"",IF($E383="LONG",($I383-$G383)/$G383,($G383-$I383)/$G383)*10000)</f>
        <v/>
      </c>
      <c r="AD383" s="45"/>
      <c r="AE383" s="40" t="str">
        <f aca="false">IF(OR($D383="",$N383&lt;&gt;"",$AD383=""),"",IF($E383="LONG",($AD383-$I383)*$J383,($I383-$AD383)*$J383))</f>
        <v/>
      </c>
      <c r="AF383" s="40" t="str">
        <f aca="false">IF(OR($D383="",$E383&lt;&gt;"LONG",$Z383=""),"",$Z383+SUMIFS($Z$4:$Z$503,$B$4:$B$503,$B383,$E$4:$E$503,"SHORT"))</f>
        <v/>
      </c>
      <c r="AG383" s="42" t="str">
        <f aca="false">IF(OR($AF383="",$K383=0),"",$AF383/$K383)</f>
        <v/>
      </c>
      <c r="AH383" s="46"/>
      <c r="AI383" s="43" t="str">
        <f aca="false">IF(OR($D383="",$AH383="",$Z383=""),"",$Z383-$AH383)</f>
        <v/>
      </c>
      <c r="AJ383" s="49"/>
      <c r="AK383" s="47" t="str">
        <f aca="false">IF($D383="","",IFERROR(MATCH($F383,Config!$A$13:$A$15,0),1))</f>
        <v/>
      </c>
      <c r="AL383" s="47" t="str">
        <f aca="false">IF(OR($D383="",$N383=""),"",IF($E383="LONG",$K383,$O383))</f>
        <v/>
      </c>
      <c r="AM383" s="47" t="str">
        <f aca="false">IF(OR($D383="",$N383=""),"",IF($E383="LONG",$O383,$K383))</f>
        <v/>
      </c>
    </row>
    <row r="384" customFormat="false" ht="15" hidden="false" customHeight="false" outlineLevel="0" collapsed="false">
      <c r="A384" s="49"/>
      <c r="B384" s="5" t="str">
        <f aca="false">IF($D384="","",IF(OR(RIGHT($A384,2)="-L",RIGHT($A384,2)="-S"),LEFT($A384,LEN($A384)-2),$A384))</f>
        <v/>
      </c>
      <c r="C384" s="50"/>
      <c r="D384" s="49"/>
      <c r="E384" s="49"/>
      <c r="F384" s="49"/>
      <c r="G384" s="45"/>
      <c r="H384" s="50"/>
      <c r="I384" s="45"/>
      <c r="J384" s="51"/>
      <c r="K384" s="40" t="str">
        <f aca="false">IF($D384="","",$I384*$J384)</f>
        <v/>
      </c>
      <c r="L384" s="50"/>
      <c r="M384" s="49"/>
      <c r="N384" s="45"/>
      <c r="O384" s="40" t="str">
        <f aca="false">IF(OR($D384="",$N384=""),"",$N384*$J384)</f>
        <v/>
      </c>
      <c r="P384" s="41" t="str">
        <f aca="false">IF(OR($D384="",$L384=""),"",MAX($L384-$H384,0))</f>
        <v/>
      </c>
      <c r="Q384" s="40" t="str">
        <f aca="false">IF(OR($D384="",$N384=""),"",IF($E384="LONG",($N384-$I384)*$J384,($I384-$N384)*$J384))</f>
        <v/>
      </c>
      <c r="R384" s="42" t="str">
        <f aca="false">IF(OR($D384="",$Q384="",$K384=0),"",$Q384/$K384)</f>
        <v/>
      </c>
      <c r="S384" s="43" t="str">
        <f aca="false">IF(OR($D384="",$N384=""),"",MIN(INDEX(Config!$C$13:$C$15,$AK384),INDEX(Config!$B$13:$B$15,$AK384)*$K384)+MIN(INDEX(Config!$C$13:$C$15,$AK384),INDEX(Config!$B$13:$B$15,$AK384)*$O384))</f>
        <v/>
      </c>
      <c r="T384" s="43" t="str">
        <f aca="false">IF(OR($D384="",$N384=""),"",INDEX(Config!$D$13:$D$15,$AK384)*$AL384+INDEX(Config!$E$13:$E$15,$AK384)*$AM384)</f>
        <v/>
      </c>
      <c r="U384" s="43" t="str">
        <f aca="false">IF(OR($D384="",$N384=""),"",INDEX(Config!$F$13:$F$15,$AK384)*($K384+$O384))</f>
        <v/>
      </c>
      <c r="V384" s="43" t="str">
        <f aca="false">IF(OR($D384="",$N384=""),"",INDEX(Config!$G$13:$G$15,$AK384)*($K384+$O384)+INDEX(Config!$H$13:$H$15,$AK384)*$AL384+INDEX(Config!$J$13:$J$15,$AK384))</f>
        <v/>
      </c>
      <c r="W384" s="43" t="str">
        <f aca="false">IF(OR($D384="",$N384=""),"",INDEX(Config!$I$13:$I$15,$AK384)*($S384+$U384+INDEX(Config!$G$13:$G$15,$AK384)*($K384+$O384)))</f>
        <v/>
      </c>
      <c r="X384" s="43" t="str">
        <f aca="false">IF(OR($D384="",$N384=""),"",INDEX(Config!$K$13:$K$15,$AK384)/365*$P384*$K384*Config!$B$8)</f>
        <v/>
      </c>
      <c r="Y384" s="43" t="str">
        <f aca="false">IF(OR($D384="",$N384=""),"",SUM($S384:$X384))</f>
        <v/>
      </c>
      <c r="Z384" s="40" t="str">
        <f aca="false">IF(OR($D384="",$Q384=""),"",$Q384-$Y384)</f>
        <v/>
      </c>
      <c r="AA384" s="42" t="str">
        <f aca="false">IF(OR($D384="",$Z384="",$K384=0),"",$Z384/$K384)</f>
        <v/>
      </c>
      <c r="AB384" s="44" t="str">
        <f aca="false">IF(OR($D384="",$Y384="",$K384=0),"",$Y384/$K384*10000)</f>
        <v/>
      </c>
      <c r="AC384" s="44" t="str">
        <f aca="false">IF(OR($D384="",$G384="",$G384=0,$I384=""),"",IF($E384="LONG",($I384-$G384)/$G384,($G384-$I384)/$G384)*10000)</f>
        <v/>
      </c>
      <c r="AD384" s="45"/>
      <c r="AE384" s="40" t="str">
        <f aca="false">IF(OR($D384="",$N384&lt;&gt;"",$AD384=""),"",IF($E384="LONG",($AD384-$I384)*$J384,($I384-$AD384)*$J384))</f>
        <v/>
      </c>
      <c r="AF384" s="40" t="str">
        <f aca="false">IF(OR($D384="",$E384&lt;&gt;"LONG",$Z384=""),"",$Z384+SUMIFS($Z$4:$Z$503,$B$4:$B$503,$B384,$E$4:$E$503,"SHORT"))</f>
        <v/>
      </c>
      <c r="AG384" s="42" t="str">
        <f aca="false">IF(OR($AF384="",$K384=0),"",$AF384/$K384)</f>
        <v/>
      </c>
      <c r="AH384" s="46"/>
      <c r="AI384" s="43" t="str">
        <f aca="false">IF(OR($D384="",$AH384="",$Z384=""),"",$Z384-$AH384)</f>
        <v/>
      </c>
      <c r="AJ384" s="49"/>
      <c r="AK384" s="47" t="str">
        <f aca="false">IF($D384="","",IFERROR(MATCH($F384,Config!$A$13:$A$15,0),1))</f>
        <v/>
      </c>
      <c r="AL384" s="47" t="str">
        <f aca="false">IF(OR($D384="",$N384=""),"",IF($E384="LONG",$K384,$O384))</f>
        <v/>
      </c>
      <c r="AM384" s="47" t="str">
        <f aca="false">IF(OR($D384="",$N384=""),"",IF($E384="LONG",$O384,$K384))</f>
        <v/>
      </c>
    </row>
    <row r="385" customFormat="false" ht="15" hidden="false" customHeight="false" outlineLevel="0" collapsed="false">
      <c r="A385" s="49"/>
      <c r="B385" s="5" t="str">
        <f aca="false">IF($D385="","",IF(OR(RIGHT($A385,2)="-L",RIGHT($A385,2)="-S"),LEFT($A385,LEN($A385)-2),$A385))</f>
        <v/>
      </c>
      <c r="C385" s="50"/>
      <c r="D385" s="49"/>
      <c r="E385" s="49"/>
      <c r="F385" s="49"/>
      <c r="G385" s="45"/>
      <c r="H385" s="50"/>
      <c r="I385" s="45"/>
      <c r="J385" s="51"/>
      <c r="K385" s="40" t="str">
        <f aca="false">IF($D385="","",$I385*$J385)</f>
        <v/>
      </c>
      <c r="L385" s="50"/>
      <c r="M385" s="49"/>
      <c r="N385" s="45"/>
      <c r="O385" s="40" t="str">
        <f aca="false">IF(OR($D385="",$N385=""),"",$N385*$J385)</f>
        <v/>
      </c>
      <c r="P385" s="41" t="str">
        <f aca="false">IF(OR($D385="",$L385=""),"",MAX($L385-$H385,0))</f>
        <v/>
      </c>
      <c r="Q385" s="40" t="str">
        <f aca="false">IF(OR($D385="",$N385=""),"",IF($E385="LONG",($N385-$I385)*$J385,($I385-$N385)*$J385))</f>
        <v/>
      </c>
      <c r="R385" s="42" t="str">
        <f aca="false">IF(OR($D385="",$Q385="",$K385=0),"",$Q385/$K385)</f>
        <v/>
      </c>
      <c r="S385" s="43" t="str">
        <f aca="false">IF(OR($D385="",$N385=""),"",MIN(INDEX(Config!$C$13:$C$15,$AK385),INDEX(Config!$B$13:$B$15,$AK385)*$K385)+MIN(INDEX(Config!$C$13:$C$15,$AK385),INDEX(Config!$B$13:$B$15,$AK385)*$O385))</f>
        <v/>
      </c>
      <c r="T385" s="43" t="str">
        <f aca="false">IF(OR($D385="",$N385=""),"",INDEX(Config!$D$13:$D$15,$AK385)*$AL385+INDEX(Config!$E$13:$E$15,$AK385)*$AM385)</f>
        <v/>
      </c>
      <c r="U385" s="43" t="str">
        <f aca="false">IF(OR($D385="",$N385=""),"",INDEX(Config!$F$13:$F$15,$AK385)*($K385+$O385))</f>
        <v/>
      </c>
      <c r="V385" s="43" t="str">
        <f aca="false">IF(OR($D385="",$N385=""),"",INDEX(Config!$G$13:$G$15,$AK385)*($K385+$O385)+INDEX(Config!$H$13:$H$15,$AK385)*$AL385+INDEX(Config!$J$13:$J$15,$AK385))</f>
        <v/>
      </c>
      <c r="W385" s="43" t="str">
        <f aca="false">IF(OR($D385="",$N385=""),"",INDEX(Config!$I$13:$I$15,$AK385)*($S385+$U385+INDEX(Config!$G$13:$G$15,$AK385)*($K385+$O385)))</f>
        <v/>
      </c>
      <c r="X385" s="43" t="str">
        <f aca="false">IF(OR($D385="",$N385=""),"",INDEX(Config!$K$13:$K$15,$AK385)/365*$P385*$K385*Config!$B$8)</f>
        <v/>
      </c>
      <c r="Y385" s="43" t="str">
        <f aca="false">IF(OR($D385="",$N385=""),"",SUM($S385:$X385))</f>
        <v/>
      </c>
      <c r="Z385" s="40" t="str">
        <f aca="false">IF(OR($D385="",$Q385=""),"",$Q385-$Y385)</f>
        <v/>
      </c>
      <c r="AA385" s="42" t="str">
        <f aca="false">IF(OR($D385="",$Z385="",$K385=0),"",$Z385/$K385)</f>
        <v/>
      </c>
      <c r="AB385" s="44" t="str">
        <f aca="false">IF(OR($D385="",$Y385="",$K385=0),"",$Y385/$K385*10000)</f>
        <v/>
      </c>
      <c r="AC385" s="44" t="str">
        <f aca="false">IF(OR($D385="",$G385="",$G385=0,$I385=""),"",IF($E385="LONG",($I385-$G385)/$G385,($G385-$I385)/$G385)*10000)</f>
        <v/>
      </c>
      <c r="AD385" s="45"/>
      <c r="AE385" s="40" t="str">
        <f aca="false">IF(OR($D385="",$N385&lt;&gt;"",$AD385=""),"",IF($E385="LONG",($AD385-$I385)*$J385,($I385-$AD385)*$J385))</f>
        <v/>
      </c>
      <c r="AF385" s="40" t="str">
        <f aca="false">IF(OR($D385="",$E385&lt;&gt;"LONG",$Z385=""),"",$Z385+SUMIFS($Z$4:$Z$503,$B$4:$B$503,$B385,$E$4:$E$503,"SHORT"))</f>
        <v/>
      </c>
      <c r="AG385" s="42" t="str">
        <f aca="false">IF(OR($AF385="",$K385=0),"",$AF385/$K385)</f>
        <v/>
      </c>
      <c r="AH385" s="46"/>
      <c r="AI385" s="43" t="str">
        <f aca="false">IF(OR($D385="",$AH385="",$Z385=""),"",$Z385-$AH385)</f>
        <v/>
      </c>
      <c r="AJ385" s="49"/>
      <c r="AK385" s="47" t="str">
        <f aca="false">IF($D385="","",IFERROR(MATCH($F385,Config!$A$13:$A$15,0),1))</f>
        <v/>
      </c>
      <c r="AL385" s="47" t="str">
        <f aca="false">IF(OR($D385="",$N385=""),"",IF($E385="LONG",$K385,$O385))</f>
        <v/>
      </c>
      <c r="AM385" s="47" t="str">
        <f aca="false">IF(OR($D385="",$N385=""),"",IF($E385="LONG",$O385,$K385))</f>
        <v/>
      </c>
    </row>
    <row r="386" customFormat="false" ht="15" hidden="false" customHeight="false" outlineLevel="0" collapsed="false">
      <c r="A386" s="49"/>
      <c r="B386" s="5" t="str">
        <f aca="false">IF($D386="","",IF(OR(RIGHT($A386,2)="-L",RIGHT($A386,2)="-S"),LEFT($A386,LEN($A386)-2),$A386))</f>
        <v/>
      </c>
      <c r="C386" s="50"/>
      <c r="D386" s="49"/>
      <c r="E386" s="49"/>
      <c r="F386" s="49"/>
      <c r="G386" s="45"/>
      <c r="H386" s="50"/>
      <c r="I386" s="45"/>
      <c r="J386" s="51"/>
      <c r="K386" s="40" t="str">
        <f aca="false">IF($D386="","",$I386*$J386)</f>
        <v/>
      </c>
      <c r="L386" s="50"/>
      <c r="M386" s="49"/>
      <c r="N386" s="45"/>
      <c r="O386" s="40" t="str">
        <f aca="false">IF(OR($D386="",$N386=""),"",$N386*$J386)</f>
        <v/>
      </c>
      <c r="P386" s="41" t="str">
        <f aca="false">IF(OR($D386="",$L386=""),"",MAX($L386-$H386,0))</f>
        <v/>
      </c>
      <c r="Q386" s="40" t="str">
        <f aca="false">IF(OR($D386="",$N386=""),"",IF($E386="LONG",($N386-$I386)*$J386,($I386-$N386)*$J386))</f>
        <v/>
      </c>
      <c r="R386" s="42" t="str">
        <f aca="false">IF(OR($D386="",$Q386="",$K386=0),"",$Q386/$K386)</f>
        <v/>
      </c>
      <c r="S386" s="43" t="str">
        <f aca="false">IF(OR($D386="",$N386=""),"",MIN(INDEX(Config!$C$13:$C$15,$AK386),INDEX(Config!$B$13:$B$15,$AK386)*$K386)+MIN(INDEX(Config!$C$13:$C$15,$AK386),INDEX(Config!$B$13:$B$15,$AK386)*$O386))</f>
        <v/>
      </c>
      <c r="T386" s="43" t="str">
        <f aca="false">IF(OR($D386="",$N386=""),"",INDEX(Config!$D$13:$D$15,$AK386)*$AL386+INDEX(Config!$E$13:$E$15,$AK386)*$AM386)</f>
        <v/>
      </c>
      <c r="U386" s="43" t="str">
        <f aca="false">IF(OR($D386="",$N386=""),"",INDEX(Config!$F$13:$F$15,$AK386)*($K386+$O386))</f>
        <v/>
      </c>
      <c r="V386" s="43" t="str">
        <f aca="false">IF(OR($D386="",$N386=""),"",INDEX(Config!$G$13:$G$15,$AK386)*($K386+$O386)+INDEX(Config!$H$13:$H$15,$AK386)*$AL386+INDEX(Config!$J$13:$J$15,$AK386))</f>
        <v/>
      </c>
      <c r="W386" s="43" t="str">
        <f aca="false">IF(OR($D386="",$N386=""),"",INDEX(Config!$I$13:$I$15,$AK386)*($S386+$U386+INDEX(Config!$G$13:$G$15,$AK386)*($K386+$O386)))</f>
        <v/>
      </c>
      <c r="X386" s="43" t="str">
        <f aca="false">IF(OR($D386="",$N386=""),"",INDEX(Config!$K$13:$K$15,$AK386)/365*$P386*$K386*Config!$B$8)</f>
        <v/>
      </c>
      <c r="Y386" s="43" t="str">
        <f aca="false">IF(OR($D386="",$N386=""),"",SUM($S386:$X386))</f>
        <v/>
      </c>
      <c r="Z386" s="40" t="str">
        <f aca="false">IF(OR($D386="",$Q386=""),"",$Q386-$Y386)</f>
        <v/>
      </c>
      <c r="AA386" s="42" t="str">
        <f aca="false">IF(OR($D386="",$Z386="",$K386=0),"",$Z386/$K386)</f>
        <v/>
      </c>
      <c r="AB386" s="44" t="str">
        <f aca="false">IF(OR($D386="",$Y386="",$K386=0),"",$Y386/$K386*10000)</f>
        <v/>
      </c>
      <c r="AC386" s="44" t="str">
        <f aca="false">IF(OR($D386="",$G386="",$G386=0,$I386=""),"",IF($E386="LONG",($I386-$G386)/$G386,($G386-$I386)/$G386)*10000)</f>
        <v/>
      </c>
      <c r="AD386" s="45"/>
      <c r="AE386" s="40" t="str">
        <f aca="false">IF(OR($D386="",$N386&lt;&gt;"",$AD386=""),"",IF($E386="LONG",($AD386-$I386)*$J386,($I386-$AD386)*$J386))</f>
        <v/>
      </c>
      <c r="AF386" s="40" t="str">
        <f aca="false">IF(OR($D386="",$E386&lt;&gt;"LONG",$Z386=""),"",$Z386+SUMIFS($Z$4:$Z$503,$B$4:$B$503,$B386,$E$4:$E$503,"SHORT"))</f>
        <v/>
      </c>
      <c r="AG386" s="42" t="str">
        <f aca="false">IF(OR($AF386="",$K386=0),"",$AF386/$K386)</f>
        <v/>
      </c>
      <c r="AH386" s="46"/>
      <c r="AI386" s="43" t="str">
        <f aca="false">IF(OR($D386="",$AH386="",$Z386=""),"",$Z386-$AH386)</f>
        <v/>
      </c>
      <c r="AJ386" s="49"/>
      <c r="AK386" s="47" t="str">
        <f aca="false">IF($D386="","",IFERROR(MATCH($F386,Config!$A$13:$A$15,0),1))</f>
        <v/>
      </c>
      <c r="AL386" s="47" t="str">
        <f aca="false">IF(OR($D386="",$N386=""),"",IF($E386="LONG",$K386,$O386))</f>
        <v/>
      </c>
      <c r="AM386" s="47" t="str">
        <f aca="false">IF(OR($D386="",$N386=""),"",IF($E386="LONG",$O386,$K386))</f>
        <v/>
      </c>
    </row>
    <row r="387" customFormat="false" ht="15" hidden="false" customHeight="false" outlineLevel="0" collapsed="false">
      <c r="A387" s="49"/>
      <c r="B387" s="5" t="str">
        <f aca="false">IF($D387="","",IF(OR(RIGHT($A387,2)="-L",RIGHT($A387,2)="-S"),LEFT($A387,LEN($A387)-2),$A387))</f>
        <v/>
      </c>
      <c r="C387" s="50"/>
      <c r="D387" s="49"/>
      <c r="E387" s="49"/>
      <c r="F387" s="49"/>
      <c r="G387" s="45"/>
      <c r="H387" s="50"/>
      <c r="I387" s="45"/>
      <c r="J387" s="51"/>
      <c r="K387" s="40" t="str">
        <f aca="false">IF($D387="","",$I387*$J387)</f>
        <v/>
      </c>
      <c r="L387" s="50"/>
      <c r="M387" s="49"/>
      <c r="N387" s="45"/>
      <c r="O387" s="40" t="str">
        <f aca="false">IF(OR($D387="",$N387=""),"",$N387*$J387)</f>
        <v/>
      </c>
      <c r="P387" s="41" t="str">
        <f aca="false">IF(OR($D387="",$L387=""),"",MAX($L387-$H387,0))</f>
        <v/>
      </c>
      <c r="Q387" s="40" t="str">
        <f aca="false">IF(OR($D387="",$N387=""),"",IF($E387="LONG",($N387-$I387)*$J387,($I387-$N387)*$J387))</f>
        <v/>
      </c>
      <c r="R387" s="42" t="str">
        <f aca="false">IF(OR($D387="",$Q387="",$K387=0),"",$Q387/$K387)</f>
        <v/>
      </c>
      <c r="S387" s="43" t="str">
        <f aca="false">IF(OR($D387="",$N387=""),"",MIN(INDEX(Config!$C$13:$C$15,$AK387),INDEX(Config!$B$13:$B$15,$AK387)*$K387)+MIN(INDEX(Config!$C$13:$C$15,$AK387),INDEX(Config!$B$13:$B$15,$AK387)*$O387))</f>
        <v/>
      </c>
      <c r="T387" s="43" t="str">
        <f aca="false">IF(OR($D387="",$N387=""),"",INDEX(Config!$D$13:$D$15,$AK387)*$AL387+INDEX(Config!$E$13:$E$15,$AK387)*$AM387)</f>
        <v/>
      </c>
      <c r="U387" s="43" t="str">
        <f aca="false">IF(OR($D387="",$N387=""),"",INDEX(Config!$F$13:$F$15,$AK387)*($K387+$O387))</f>
        <v/>
      </c>
      <c r="V387" s="43" t="str">
        <f aca="false">IF(OR($D387="",$N387=""),"",INDEX(Config!$G$13:$G$15,$AK387)*($K387+$O387)+INDEX(Config!$H$13:$H$15,$AK387)*$AL387+INDEX(Config!$J$13:$J$15,$AK387))</f>
        <v/>
      </c>
      <c r="W387" s="43" t="str">
        <f aca="false">IF(OR($D387="",$N387=""),"",INDEX(Config!$I$13:$I$15,$AK387)*($S387+$U387+INDEX(Config!$G$13:$G$15,$AK387)*($K387+$O387)))</f>
        <v/>
      </c>
      <c r="X387" s="43" t="str">
        <f aca="false">IF(OR($D387="",$N387=""),"",INDEX(Config!$K$13:$K$15,$AK387)/365*$P387*$K387*Config!$B$8)</f>
        <v/>
      </c>
      <c r="Y387" s="43" t="str">
        <f aca="false">IF(OR($D387="",$N387=""),"",SUM($S387:$X387))</f>
        <v/>
      </c>
      <c r="Z387" s="40" t="str">
        <f aca="false">IF(OR($D387="",$Q387=""),"",$Q387-$Y387)</f>
        <v/>
      </c>
      <c r="AA387" s="42" t="str">
        <f aca="false">IF(OR($D387="",$Z387="",$K387=0),"",$Z387/$K387)</f>
        <v/>
      </c>
      <c r="AB387" s="44" t="str">
        <f aca="false">IF(OR($D387="",$Y387="",$K387=0),"",$Y387/$K387*10000)</f>
        <v/>
      </c>
      <c r="AC387" s="44" t="str">
        <f aca="false">IF(OR($D387="",$G387="",$G387=0,$I387=""),"",IF($E387="LONG",($I387-$G387)/$G387,($G387-$I387)/$G387)*10000)</f>
        <v/>
      </c>
      <c r="AD387" s="45"/>
      <c r="AE387" s="40" t="str">
        <f aca="false">IF(OR($D387="",$N387&lt;&gt;"",$AD387=""),"",IF($E387="LONG",($AD387-$I387)*$J387,($I387-$AD387)*$J387))</f>
        <v/>
      </c>
      <c r="AF387" s="40" t="str">
        <f aca="false">IF(OR($D387="",$E387&lt;&gt;"LONG",$Z387=""),"",$Z387+SUMIFS($Z$4:$Z$503,$B$4:$B$503,$B387,$E$4:$E$503,"SHORT"))</f>
        <v/>
      </c>
      <c r="AG387" s="42" t="str">
        <f aca="false">IF(OR($AF387="",$K387=0),"",$AF387/$K387)</f>
        <v/>
      </c>
      <c r="AH387" s="46"/>
      <c r="AI387" s="43" t="str">
        <f aca="false">IF(OR($D387="",$AH387="",$Z387=""),"",$Z387-$AH387)</f>
        <v/>
      </c>
      <c r="AJ387" s="49"/>
      <c r="AK387" s="47" t="str">
        <f aca="false">IF($D387="","",IFERROR(MATCH($F387,Config!$A$13:$A$15,0),1))</f>
        <v/>
      </c>
      <c r="AL387" s="47" t="str">
        <f aca="false">IF(OR($D387="",$N387=""),"",IF($E387="LONG",$K387,$O387))</f>
        <v/>
      </c>
      <c r="AM387" s="47" t="str">
        <f aca="false">IF(OR($D387="",$N387=""),"",IF($E387="LONG",$O387,$K387))</f>
        <v/>
      </c>
    </row>
    <row r="388" customFormat="false" ht="15" hidden="false" customHeight="false" outlineLevel="0" collapsed="false">
      <c r="A388" s="49"/>
      <c r="B388" s="5" t="str">
        <f aca="false">IF($D388="","",IF(OR(RIGHT($A388,2)="-L",RIGHT($A388,2)="-S"),LEFT($A388,LEN($A388)-2),$A388))</f>
        <v/>
      </c>
      <c r="C388" s="50"/>
      <c r="D388" s="49"/>
      <c r="E388" s="49"/>
      <c r="F388" s="49"/>
      <c r="G388" s="45"/>
      <c r="H388" s="50"/>
      <c r="I388" s="45"/>
      <c r="J388" s="51"/>
      <c r="K388" s="40" t="str">
        <f aca="false">IF($D388="","",$I388*$J388)</f>
        <v/>
      </c>
      <c r="L388" s="50"/>
      <c r="M388" s="49"/>
      <c r="N388" s="45"/>
      <c r="O388" s="40" t="str">
        <f aca="false">IF(OR($D388="",$N388=""),"",$N388*$J388)</f>
        <v/>
      </c>
      <c r="P388" s="41" t="str">
        <f aca="false">IF(OR($D388="",$L388=""),"",MAX($L388-$H388,0))</f>
        <v/>
      </c>
      <c r="Q388" s="40" t="str">
        <f aca="false">IF(OR($D388="",$N388=""),"",IF($E388="LONG",($N388-$I388)*$J388,($I388-$N388)*$J388))</f>
        <v/>
      </c>
      <c r="R388" s="42" t="str">
        <f aca="false">IF(OR($D388="",$Q388="",$K388=0),"",$Q388/$K388)</f>
        <v/>
      </c>
      <c r="S388" s="43" t="str">
        <f aca="false">IF(OR($D388="",$N388=""),"",MIN(INDEX(Config!$C$13:$C$15,$AK388),INDEX(Config!$B$13:$B$15,$AK388)*$K388)+MIN(INDEX(Config!$C$13:$C$15,$AK388),INDEX(Config!$B$13:$B$15,$AK388)*$O388))</f>
        <v/>
      </c>
      <c r="T388" s="43" t="str">
        <f aca="false">IF(OR($D388="",$N388=""),"",INDEX(Config!$D$13:$D$15,$AK388)*$AL388+INDEX(Config!$E$13:$E$15,$AK388)*$AM388)</f>
        <v/>
      </c>
      <c r="U388" s="43" t="str">
        <f aca="false">IF(OR($D388="",$N388=""),"",INDEX(Config!$F$13:$F$15,$AK388)*($K388+$O388))</f>
        <v/>
      </c>
      <c r="V388" s="43" t="str">
        <f aca="false">IF(OR($D388="",$N388=""),"",INDEX(Config!$G$13:$G$15,$AK388)*($K388+$O388)+INDEX(Config!$H$13:$H$15,$AK388)*$AL388+INDEX(Config!$J$13:$J$15,$AK388))</f>
        <v/>
      </c>
      <c r="W388" s="43" t="str">
        <f aca="false">IF(OR($D388="",$N388=""),"",INDEX(Config!$I$13:$I$15,$AK388)*($S388+$U388+INDEX(Config!$G$13:$G$15,$AK388)*($K388+$O388)))</f>
        <v/>
      </c>
      <c r="X388" s="43" t="str">
        <f aca="false">IF(OR($D388="",$N388=""),"",INDEX(Config!$K$13:$K$15,$AK388)/365*$P388*$K388*Config!$B$8)</f>
        <v/>
      </c>
      <c r="Y388" s="43" t="str">
        <f aca="false">IF(OR($D388="",$N388=""),"",SUM($S388:$X388))</f>
        <v/>
      </c>
      <c r="Z388" s="40" t="str">
        <f aca="false">IF(OR($D388="",$Q388=""),"",$Q388-$Y388)</f>
        <v/>
      </c>
      <c r="AA388" s="42" t="str">
        <f aca="false">IF(OR($D388="",$Z388="",$K388=0),"",$Z388/$K388)</f>
        <v/>
      </c>
      <c r="AB388" s="44" t="str">
        <f aca="false">IF(OR($D388="",$Y388="",$K388=0),"",$Y388/$K388*10000)</f>
        <v/>
      </c>
      <c r="AC388" s="44" t="str">
        <f aca="false">IF(OR($D388="",$G388="",$G388=0,$I388=""),"",IF($E388="LONG",($I388-$G388)/$G388,($G388-$I388)/$G388)*10000)</f>
        <v/>
      </c>
      <c r="AD388" s="45"/>
      <c r="AE388" s="40" t="str">
        <f aca="false">IF(OR($D388="",$N388&lt;&gt;"",$AD388=""),"",IF($E388="LONG",($AD388-$I388)*$J388,($I388-$AD388)*$J388))</f>
        <v/>
      </c>
      <c r="AF388" s="40" t="str">
        <f aca="false">IF(OR($D388="",$E388&lt;&gt;"LONG",$Z388=""),"",$Z388+SUMIFS($Z$4:$Z$503,$B$4:$B$503,$B388,$E$4:$E$503,"SHORT"))</f>
        <v/>
      </c>
      <c r="AG388" s="42" t="str">
        <f aca="false">IF(OR($AF388="",$K388=0),"",$AF388/$K388)</f>
        <v/>
      </c>
      <c r="AH388" s="46"/>
      <c r="AI388" s="43" t="str">
        <f aca="false">IF(OR($D388="",$AH388="",$Z388=""),"",$Z388-$AH388)</f>
        <v/>
      </c>
      <c r="AJ388" s="49"/>
      <c r="AK388" s="47" t="str">
        <f aca="false">IF($D388="","",IFERROR(MATCH($F388,Config!$A$13:$A$15,0),1))</f>
        <v/>
      </c>
      <c r="AL388" s="47" t="str">
        <f aca="false">IF(OR($D388="",$N388=""),"",IF($E388="LONG",$K388,$O388))</f>
        <v/>
      </c>
      <c r="AM388" s="47" t="str">
        <f aca="false">IF(OR($D388="",$N388=""),"",IF($E388="LONG",$O388,$K388))</f>
        <v/>
      </c>
    </row>
    <row r="389" customFormat="false" ht="15" hidden="false" customHeight="false" outlineLevel="0" collapsed="false">
      <c r="A389" s="49"/>
      <c r="B389" s="5" t="str">
        <f aca="false">IF($D389="","",IF(OR(RIGHT($A389,2)="-L",RIGHT($A389,2)="-S"),LEFT($A389,LEN($A389)-2),$A389))</f>
        <v/>
      </c>
      <c r="C389" s="50"/>
      <c r="D389" s="49"/>
      <c r="E389" s="49"/>
      <c r="F389" s="49"/>
      <c r="G389" s="45"/>
      <c r="H389" s="50"/>
      <c r="I389" s="45"/>
      <c r="J389" s="51"/>
      <c r="K389" s="40" t="str">
        <f aca="false">IF($D389="","",$I389*$J389)</f>
        <v/>
      </c>
      <c r="L389" s="50"/>
      <c r="M389" s="49"/>
      <c r="N389" s="45"/>
      <c r="O389" s="40" t="str">
        <f aca="false">IF(OR($D389="",$N389=""),"",$N389*$J389)</f>
        <v/>
      </c>
      <c r="P389" s="41" t="str">
        <f aca="false">IF(OR($D389="",$L389=""),"",MAX($L389-$H389,0))</f>
        <v/>
      </c>
      <c r="Q389" s="40" t="str">
        <f aca="false">IF(OR($D389="",$N389=""),"",IF($E389="LONG",($N389-$I389)*$J389,($I389-$N389)*$J389))</f>
        <v/>
      </c>
      <c r="R389" s="42" t="str">
        <f aca="false">IF(OR($D389="",$Q389="",$K389=0),"",$Q389/$K389)</f>
        <v/>
      </c>
      <c r="S389" s="43" t="str">
        <f aca="false">IF(OR($D389="",$N389=""),"",MIN(INDEX(Config!$C$13:$C$15,$AK389),INDEX(Config!$B$13:$B$15,$AK389)*$K389)+MIN(INDEX(Config!$C$13:$C$15,$AK389),INDEX(Config!$B$13:$B$15,$AK389)*$O389))</f>
        <v/>
      </c>
      <c r="T389" s="43" t="str">
        <f aca="false">IF(OR($D389="",$N389=""),"",INDEX(Config!$D$13:$D$15,$AK389)*$AL389+INDEX(Config!$E$13:$E$15,$AK389)*$AM389)</f>
        <v/>
      </c>
      <c r="U389" s="43" t="str">
        <f aca="false">IF(OR($D389="",$N389=""),"",INDEX(Config!$F$13:$F$15,$AK389)*($K389+$O389))</f>
        <v/>
      </c>
      <c r="V389" s="43" t="str">
        <f aca="false">IF(OR($D389="",$N389=""),"",INDEX(Config!$G$13:$G$15,$AK389)*($K389+$O389)+INDEX(Config!$H$13:$H$15,$AK389)*$AL389+INDEX(Config!$J$13:$J$15,$AK389))</f>
        <v/>
      </c>
      <c r="W389" s="43" t="str">
        <f aca="false">IF(OR($D389="",$N389=""),"",INDEX(Config!$I$13:$I$15,$AK389)*($S389+$U389+INDEX(Config!$G$13:$G$15,$AK389)*($K389+$O389)))</f>
        <v/>
      </c>
      <c r="X389" s="43" t="str">
        <f aca="false">IF(OR($D389="",$N389=""),"",INDEX(Config!$K$13:$K$15,$AK389)/365*$P389*$K389*Config!$B$8)</f>
        <v/>
      </c>
      <c r="Y389" s="43" t="str">
        <f aca="false">IF(OR($D389="",$N389=""),"",SUM($S389:$X389))</f>
        <v/>
      </c>
      <c r="Z389" s="40" t="str">
        <f aca="false">IF(OR($D389="",$Q389=""),"",$Q389-$Y389)</f>
        <v/>
      </c>
      <c r="AA389" s="42" t="str">
        <f aca="false">IF(OR($D389="",$Z389="",$K389=0),"",$Z389/$K389)</f>
        <v/>
      </c>
      <c r="AB389" s="44" t="str">
        <f aca="false">IF(OR($D389="",$Y389="",$K389=0),"",$Y389/$K389*10000)</f>
        <v/>
      </c>
      <c r="AC389" s="44" t="str">
        <f aca="false">IF(OR($D389="",$G389="",$G389=0,$I389=""),"",IF($E389="LONG",($I389-$G389)/$G389,($G389-$I389)/$G389)*10000)</f>
        <v/>
      </c>
      <c r="AD389" s="45"/>
      <c r="AE389" s="40" t="str">
        <f aca="false">IF(OR($D389="",$N389&lt;&gt;"",$AD389=""),"",IF($E389="LONG",($AD389-$I389)*$J389,($I389-$AD389)*$J389))</f>
        <v/>
      </c>
      <c r="AF389" s="40" t="str">
        <f aca="false">IF(OR($D389="",$E389&lt;&gt;"LONG",$Z389=""),"",$Z389+SUMIFS($Z$4:$Z$503,$B$4:$B$503,$B389,$E$4:$E$503,"SHORT"))</f>
        <v/>
      </c>
      <c r="AG389" s="42" t="str">
        <f aca="false">IF(OR($AF389="",$K389=0),"",$AF389/$K389)</f>
        <v/>
      </c>
      <c r="AH389" s="46"/>
      <c r="AI389" s="43" t="str">
        <f aca="false">IF(OR($D389="",$AH389="",$Z389=""),"",$Z389-$AH389)</f>
        <v/>
      </c>
      <c r="AJ389" s="49"/>
      <c r="AK389" s="47" t="str">
        <f aca="false">IF($D389="","",IFERROR(MATCH($F389,Config!$A$13:$A$15,0),1))</f>
        <v/>
      </c>
      <c r="AL389" s="47" t="str">
        <f aca="false">IF(OR($D389="",$N389=""),"",IF($E389="LONG",$K389,$O389))</f>
        <v/>
      </c>
      <c r="AM389" s="47" t="str">
        <f aca="false">IF(OR($D389="",$N389=""),"",IF($E389="LONG",$O389,$K389))</f>
        <v/>
      </c>
    </row>
    <row r="390" customFormat="false" ht="15" hidden="false" customHeight="false" outlineLevel="0" collapsed="false">
      <c r="A390" s="49"/>
      <c r="B390" s="5" t="str">
        <f aca="false">IF($D390="","",IF(OR(RIGHT($A390,2)="-L",RIGHT($A390,2)="-S"),LEFT($A390,LEN($A390)-2),$A390))</f>
        <v/>
      </c>
      <c r="C390" s="50"/>
      <c r="D390" s="49"/>
      <c r="E390" s="49"/>
      <c r="F390" s="49"/>
      <c r="G390" s="45"/>
      <c r="H390" s="50"/>
      <c r="I390" s="45"/>
      <c r="J390" s="51"/>
      <c r="K390" s="40" t="str">
        <f aca="false">IF($D390="","",$I390*$J390)</f>
        <v/>
      </c>
      <c r="L390" s="50"/>
      <c r="M390" s="49"/>
      <c r="N390" s="45"/>
      <c r="O390" s="40" t="str">
        <f aca="false">IF(OR($D390="",$N390=""),"",$N390*$J390)</f>
        <v/>
      </c>
      <c r="P390" s="41" t="str">
        <f aca="false">IF(OR($D390="",$L390=""),"",MAX($L390-$H390,0))</f>
        <v/>
      </c>
      <c r="Q390" s="40" t="str">
        <f aca="false">IF(OR($D390="",$N390=""),"",IF($E390="LONG",($N390-$I390)*$J390,($I390-$N390)*$J390))</f>
        <v/>
      </c>
      <c r="R390" s="42" t="str">
        <f aca="false">IF(OR($D390="",$Q390="",$K390=0),"",$Q390/$K390)</f>
        <v/>
      </c>
      <c r="S390" s="43" t="str">
        <f aca="false">IF(OR($D390="",$N390=""),"",MIN(INDEX(Config!$C$13:$C$15,$AK390),INDEX(Config!$B$13:$B$15,$AK390)*$K390)+MIN(INDEX(Config!$C$13:$C$15,$AK390),INDEX(Config!$B$13:$B$15,$AK390)*$O390))</f>
        <v/>
      </c>
      <c r="T390" s="43" t="str">
        <f aca="false">IF(OR($D390="",$N390=""),"",INDEX(Config!$D$13:$D$15,$AK390)*$AL390+INDEX(Config!$E$13:$E$15,$AK390)*$AM390)</f>
        <v/>
      </c>
      <c r="U390" s="43" t="str">
        <f aca="false">IF(OR($D390="",$N390=""),"",INDEX(Config!$F$13:$F$15,$AK390)*($K390+$O390))</f>
        <v/>
      </c>
      <c r="V390" s="43" t="str">
        <f aca="false">IF(OR($D390="",$N390=""),"",INDEX(Config!$G$13:$G$15,$AK390)*($K390+$O390)+INDEX(Config!$H$13:$H$15,$AK390)*$AL390+INDEX(Config!$J$13:$J$15,$AK390))</f>
        <v/>
      </c>
      <c r="W390" s="43" t="str">
        <f aca="false">IF(OR($D390="",$N390=""),"",INDEX(Config!$I$13:$I$15,$AK390)*($S390+$U390+INDEX(Config!$G$13:$G$15,$AK390)*($K390+$O390)))</f>
        <v/>
      </c>
      <c r="X390" s="43" t="str">
        <f aca="false">IF(OR($D390="",$N390=""),"",INDEX(Config!$K$13:$K$15,$AK390)/365*$P390*$K390*Config!$B$8)</f>
        <v/>
      </c>
      <c r="Y390" s="43" t="str">
        <f aca="false">IF(OR($D390="",$N390=""),"",SUM($S390:$X390))</f>
        <v/>
      </c>
      <c r="Z390" s="40" t="str">
        <f aca="false">IF(OR($D390="",$Q390=""),"",$Q390-$Y390)</f>
        <v/>
      </c>
      <c r="AA390" s="42" t="str">
        <f aca="false">IF(OR($D390="",$Z390="",$K390=0),"",$Z390/$K390)</f>
        <v/>
      </c>
      <c r="AB390" s="44" t="str">
        <f aca="false">IF(OR($D390="",$Y390="",$K390=0),"",$Y390/$K390*10000)</f>
        <v/>
      </c>
      <c r="AC390" s="44" t="str">
        <f aca="false">IF(OR($D390="",$G390="",$G390=0,$I390=""),"",IF($E390="LONG",($I390-$G390)/$G390,($G390-$I390)/$G390)*10000)</f>
        <v/>
      </c>
      <c r="AD390" s="45"/>
      <c r="AE390" s="40" t="str">
        <f aca="false">IF(OR($D390="",$N390&lt;&gt;"",$AD390=""),"",IF($E390="LONG",($AD390-$I390)*$J390,($I390-$AD390)*$J390))</f>
        <v/>
      </c>
      <c r="AF390" s="40" t="str">
        <f aca="false">IF(OR($D390="",$E390&lt;&gt;"LONG",$Z390=""),"",$Z390+SUMIFS($Z$4:$Z$503,$B$4:$B$503,$B390,$E$4:$E$503,"SHORT"))</f>
        <v/>
      </c>
      <c r="AG390" s="42" t="str">
        <f aca="false">IF(OR($AF390="",$K390=0),"",$AF390/$K390)</f>
        <v/>
      </c>
      <c r="AH390" s="46"/>
      <c r="AI390" s="43" t="str">
        <f aca="false">IF(OR($D390="",$AH390="",$Z390=""),"",$Z390-$AH390)</f>
        <v/>
      </c>
      <c r="AJ390" s="49"/>
      <c r="AK390" s="47" t="str">
        <f aca="false">IF($D390="","",IFERROR(MATCH($F390,Config!$A$13:$A$15,0),1))</f>
        <v/>
      </c>
      <c r="AL390" s="47" t="str">
        <f aca="false">IF(OR($D390="",$N390=""),"",IF($E390="LONG",$K390,$O390))</f>
        <v/>
      </c>
      <c r="AM390" s="47" t="str">
        <f aca="false">IF(OR($D390="",$N390=""),"",IF($E390="LONG",$O390,$K390))</f>
        <v/>
      </c>
    </row>
    <row r="391" customFormat="false" ht="15" hidden="false" customHeight="false" outlineLevel="0" collapsed="false">
      <c r="A391" s="49"/>
      <c r="B391" s="5" t="str">
        <f aca="false">IF($D391="","",IF(OR(RIGHT($A391,2)="-L",RIGHT($A391,2)="-S"),LEFT($A391,LEN($A391)-2),$A391))</f>
        <v/>
      </c>
      <c r="C391" s="50"/>
      <c r="D391" s="49"/>
      <c r="E391" s="49"/>
      <c r="F391" s="49"/>
      <c r="G391" s="45"/>
      <c r="H391" s="50"/>
      <c r="I391" s="45"/>
      <c r="J391" s="51"/>
      <c r="K391" s="40" t="str">
        <f aca="false">IF($D391="","",$I391*$J391)</f>
        <v/>
      </c>
      <c r="L391" s="50"/>
      <c r="M391" s="49"/>
      <c r="N391" s="45"/>
      <c r="O391" s="40" t="str">
        <f aca="false">IF(OR($D391="",$N391=""),"",$N391*$J391)</f>
        <v/>
      </c>
      <c r="P391" s="41" t="str">
        <f aca="false">IF(OR($D391="",$L391=""),"",MAX($L391-$H391,0))</f>
        <v/>
      </c>
      <c r="Q391" s="40" t="str">
        <f aca="false">IF(OR($D391="",$N391=""),"",IF($E391="LONG",($N391-$I391)*$J391,($I391-$N391)*$J391))</f>
        <v/>
      </c>
      <c r="R391" s="42" t="str">
        <f aca="false">IF(OR($D391="",$Q391="",$K391=0),"",$Q391/$K391)</f>
        <v/>
      </c>
      <c r="S391" s="43" t="str">
        <f aca="false">IF(OR($D391="",$N391=""),"",MIN(INDEX(Config!$C$13:$C$15,$AK391),INDEX(Config!$B$13:$B$15,$AK391)*$K391)+MIN(INDEX(Config!$C$13:$C$15,$AK391),INDEX(Config!$B$13:$B$15,$AK391)*$O391))</f>
        <v/>
      </c>
      <c r="T391" s="43" t="str">
        <f aca="false">IF(OR($D391="",$N391=""),"",INDEX(Config!$D$13:$D$15,$AK391)*$AL391+INDEX(Config!$E$13:$E$15,$AK391)*$AM391)</f>
        <v/>
      </c>
      <c r="U391" s="43" t="str">
        <f aca="false">IF(OR($D391="",$N391=""),"",INDEX(Config!$F$13:$F$15,$AK391)*($K391+$O391))</f>
        <v/>
      </c>
      <c r="V391" s="43" t="str">
        <f aca="false">IF(OR($D391="",$N391=""),"",INDEX(Config!$G$13:$G$15,$AK391)*($K391+$O391)+INDEX(Config!$H$13:$H$15,$AK391)*$AL391+INDEX(Config!$J$13:$J$15,$AK391))</f>
        <v/>
      </c>
      <c r="W391" s="43" t="str">
        <f aca="false">IF(OR($D391="",$N391=""),"",INDEX(Config!$I$13:$I$15,$AK391)*($S391+$U391+INDEX(Config!$G$13:$G$15,$AK391)*($K391+$O391)))</f>
        <v/>
      </c>
      <c r="X391" s="43" t="str">
        <f aca="false">IF(OR($D391="",$N391=""),"",INDEX(Config!$K$13:$K$15,$AK391)/365*$P391*$K391*Config!$B$8)</f>
        <v/>
      </c>
      <c r="Y391" s="43" t="str">
        <f aca="false">IF(OR($D391="",$N391=""),"",SUM($S391:$X391))</f>
        <v/>
      </c>
      <c r="Z391" s="40" t="str">
        <f aca="false">IF(OR($D391="",$Q391=""),"",$Q391-$Y391)</f>
        <v/>
      </c>
      <c r="AA391" s="42" t="str">
        <f aca="false">IF(OR($D391="",$Z391="",$K391=0),"",$Z391/$K391)</f>
        <v/>
      </c>
      <c r="AB391" s="44" t="str">
        <f aca="false">IF(OR($D391="",$Y391="",$K391=0),"",$Y391/$K391*10000)</f>
        <v/>
      </c>
      <c r="AC391" s="44" t="str">
        <f aca="false">IF(OR($D391="",$G391="",$G391=0,$I391=""),"",IF($E391="LONG",($I391-$G391)/$G391,($G391-$I391)/$G391)*10000)</f>
        <v/>
      </c>
      <c r="AD391" s="45"/>
      <c r="AE391" s="40" t="str">
        <f aca="false">IF(OR($D391="",$N391&lt;&gt;"",$AD391=""),"",IF($E391="LONG",($AD391-$I391)*$J391,($I391-$AD391)*$J391))</f>
        <v/>
      </c>
      <c r="AF391" s="40" t="str">
        <f aca="false">IF(OR($D391="",$E391&lt;&gt;"LONG",$Z391=""),"",$Z391+SUMIFS($Z$4:$Z$503,$B$4:$B$503,$B391,$E$4:$E$503,"SHORT"))</f>
        <v/>
      </c>
      <c r="AG391" s="42" t="str">
        <f aca="false">IF(OR($AF391="",$K391=0),"",$AF391/$K391)</f>
        <v/>
      </c>
      <c r="AH391" s="46"/>
      <c r="AI391" s="43" t="str">
        <f aca="false">IF(OR($D391="",$AH391="",$Z391=""),"",$Z391-$AH391)</f>
        <v/>
      </c>
      <c r="AJ391" s="49"/>
      <c r="AK391" s="47" t="str">
        <f aca="false">IF($D391="","",IFERROR(MATCH($F391,Config!$A$13:$A$15,0),1))</f>
        <v/>
      </c>
      <c r="AL391" s="47" t="str">
        <f aca="false">IF(OR($D391="",$N391=""),"",IF($E391="LONG",$K391,$O391))</f>
        <v/>
      </c>
      <c r="AM391" s="47" t="str">
        <f aca="false">IF(OR($D391="",$N391=""),"",IF($E391="LONG",$O391,$K391))</f>
        <v/>
      </c>
    </row>
    <row r="392" customFormat="false" ht="15" hidden="false" customHeight="false" outlineLevel="0" collapsed="false">
      <c r="A392" s="49"/>
      <c r="B392" s="5" t="str">
        <f aca="false">IF($D392="","",IF(OR(RIGHT($A392,2)="-L",RIGHT($A392,2)="-S"),LEFT($A392,LEN($A392)-2),$A392))</f>
        <v/>
      </c>
      <c r="C392" s="50"/>
      <c r="D392" s="49"/>
      <c r="E392" s="49"/>
      <c r="F392" s="49"/>
      <c r="G392" s="45"/>
      <c r="H392" s="50"/>
      <c r="I392" s="45"/>
      <c r="J392" s="51"/>
      <c r="K392" s="40" t="str">
        <f aca="false">IF($D392="","",$I392*$J392)</f>
        <v/>
      </c>
      <c r="L392" s="50"/>
      <c r="M392" s="49"/>
      <c r="N392" s="45"/>
      <c r="O392" s="40" t="str">
        <f aca="false">IF(OR($D392="",$N392=""),"",$N392*$J392)</f>
        <v/>
      </c>
      <c r="P392" s="41" t="str">
        <f aca="false">IF(OR($D392="",$L392=""),"",MAX($L392-$H392,0))</f>
        <v/>
      </c>
      <c r="Q392" s="40" t="str">
        <f aca="false">IF(OR($D392="",$N392=""),"",IF($E392="LONG",($N392-$I392)*$J392,($I392-$N392)*$J392))</f>
        <v/>
      </c>
      <c r="R392" s="42" t="str">
        <f aca="false">IF(OR($D392="",$Q392="",$K392=0),"",$Q392/$K392)</f>
        <v/>
      </c>
      <c r="S392" s="43" t="str">
        <f aca="false">IF(OR($D392="",$N392=""),"",MIN(INDEX(Config!$C$13:$C$15,$AK392),INDEX(Config!$B$13:$B$15,$AK392)*$K392)+MIN(INDEX(Config!$C$13:$C$15,$AK392),INDEX(Config!$B$13:$B$15,$AK392)*$O392))</f>
        <v/>
      </c>
      <c r="T392" s="43" t="str">
        <f aca="false">IF(OR($D392="",$N392=""),"",INDEX(Config!$D$13:$D$15,$AK392)*$AL392+INDEX(Config!$E$13:$E$15,$AK392)*$AM392)</f>
        <v/>
      </c>
      <c r="U392" s="43" t="str">
        <f aca="false">IF(OR($D392="",$N392=""),"",INDEX(Config!$F$13:$F$15,$AK392)*($K392+$O392))</f>
        <v/>
      </c>
      <c r="V392" s="43" t="str">
        <f aca="false">IF(OR($D392="",$N392=""),"",INDEX(Config!$G$13:$G$15,$AK392)*($K392+$O392)+INDEX(Config!$H$13:$H$15,$AK392)*$AL392+INDEX(Config!$J$13:$J$15,$AK392))</f>
        <v/>
      </c>
      <c r="W392" s="43" t="str">
        <f aca="false">IF(OR($D392="",$N392=""),"",INDEX(Config!$I$13:$I$15,$AK392)*($S392+$U392+INDEX(Config!$G$13:$G$15,$AK392)*($K392+$O392)))</f>
        <v/>
      </c>
      <c r="X392" s="43" t="str">
        <f aca="false">IF(OR($D392="",$N392=""),"",INDEX(Config!$K$13:$K$15,$AK392)/365*$P392*$K392*Config!$B$8)</f>
        <v/>
      </c>
      <c r="Y392" s="43" t="str">
        <f aca="false">IF(OR($D392="",$N392=""),"",SUM($S392:$X392))</f>
        <v/>
      </c>
      <c r="Z392" s="40" t="str">
        <f aca="false">IF(OR($D392="",$Q392=""),"",$Q392-$Y392)</f>
        <v/>
      </c>
      <c r="AA392" s="42" t="str">
        <f aca="false">IF(OR($D392="",$Z392="",$K392=0),"",$Z392/$K392)</f>
        <v/>
      </c>
      <c r="AB392" s="44" t="str">
        <f aca="false">IF(OR($D392="",$Y392="",$K392=0),"",$Y392/$K392*10000)</f>
        <v/>
      </c>
      <c r="AC392" s="44" t="str">
        <f aca="false">IF(OR($D392="",$G392="",$G392=0,$I392=""),"",IF($E392="LONG",($I392-$G392)/$G392,($G392-$I392)/$G392)*10000)</f>
        <v/>
      </c>
      <c r="AD392" s="45"/>
      <c r="AE392" s="40" t="str">
        <f aca="false">IF(OR($D392="",$N392&lt;&gt;"",$AD392=""),"",IF($E392="LONG",($AD392-$I392)*$J392,($I392-$AD392)*$J392))</f>
        <v/>
      </c>
      <c r="AF392" s="40" t="str">
        <f aca="false">IF(OR($D392="",$E392&lt;&gt;"LONG",$Z392=""),"",$Z392+SUMIFS($Z$4:$Z$503,$B$4:$B$503,$B392,$E$4:$E$503,"SHORT"))</f>
        <v/>
      </c>
      <c r="AG392" s="42" t="str">
        <f aca="false">IF(OR($AF392="",$K392=0),"",$AF392/$K392)</f>
        <v/>
      </c>
      <c r="AH392" s="46"/>
      <c r="AI392" s="43" t="str">
        <f aca="false">IF(OR($D392="",$AH392="",$Z392=""),"",$Z392-$AH392)</f>
        <v/>
      </c>
      <c r="AJ392" s="49"/>
      <c r="AK392" s="47" t="str">
        <f aca="false">IF($D392="","",IFERROR(MATCH($F392,Config!$A$13:$A$15,0),1))</f>
        <v/>
      </c>
      <c r="AL392" s="47" t="str">
        <f aca="false">IF(OR($D392="",$N392=""),"",IF($E392="LONG",$K392,$O392))</f>
        <v/>
      </c>
      <c r="AM392" s="47" t="str">
        <f aca="false">IF(OR($D392="",$N392=""),"",IF($E392="LONG",$O392,$K392))</f>
        <v/>
      </c>
    </row>
    <row r="393" customFormat="false" ht="15" hidden="false" customHeight="false" outlineLevel="0" collapsed="false">
      <c r="A393" s="49"/>
      <c r="B393" s="5" t="str">
        <f aca="false">IF($D393="","",IF(OR(RIGHT($A393,2)="-L",RIGHT($A393,2)="-S"),LEFT($A393,LEN($A393)-2),$A393))</f>
        <v/>
      </c>
      <c r="C393" s="50"/>
      <c r="D393" s="49"/>
      <c r="E393" s="49"/>
      <c r="F393" s="49"/>
      <c r="G393" s="45"/>
      <c r="H393" s="50"/>
      <c r="I393" s="45"/>
      <c r="J393" s="51"/>
      <c r="K393" s="40" t="str">
        <f aca="false">IF($D393="","",$I393*$J393)</f>
        <v/>
      </c>
      <c r="L393" s="50"/>
      <c r="M393" s="49"/>
      <c r="N393" s="45"/>
      <c r="O393" s="40" t="str">
        <f aca="false">IF(OR($D393="",$N393=""),"",$N393*$J393)</f>
        <v/>
      </c>
      <c r="P393" s="41" t="str">
        <f aca="false">IF(OR($D393="",$L393=""),"",MAX($L393-$H393,0))</f>
        <v/>
      </c>
      <c r="Q393" s="40" t="str">
        <f aca="false">IF(OR($D393="",$N393=""),"",IF($E393="LONG",($N393-$I393)*$J393,($I393-$N393)*$J393))</f>
        <v/>
      </c>
      <c r="R393" s="42" t="str">
        <f aca="false">IF(OR($D393="",$Q393="",$K393=0),"",$Q393/$K393)</f>
        <v/>
      </c>
      <c r="S393" s="43" t="str">
        <f aca="false">IF(OR($D393="",$N393=""),"",MIN(INDEX(Config!$C$13:$C$15,$AK393),INDEX(Config!$B$13:$B$15,$AK393)*$K393)+MIN(INDEX(Config!$C$13:$C$15,$AK393),INDEX(Config!$B$13:$B$15,$AK393)*$O393))</f>
        <v/>
      </c>
      <c r="T393" s="43" t="str">
        <f aca="false">IF(OR($D393="",$N393=""),"",INDEX(Config!$D$13:$D$15,$AK393)*$AL393+INDEX(Config!$E$13:$E$15,$AK393)*$AM393)</f>
        <v/>
      </c>
      <c r="U393" s="43" t="str">
        <f aca="false">IF(OR($D393="",$N393=""),"",INDEX(Config!$F$13:$F$15,$AK393)*($K393+$O393))</f>
        <v/>
      </c>
      <c r="V393" s="43" t="str">
        <f aca="false">IF(OR($D393="",$N393=""),"",INDEX(Config!$G$13:$G$15,$AK393)*($K393+$O393)+INDEX(Config!$H$13:$H$15,$AK393)*$AL393+INDEX(Config!$J$13:$J$15,$AK393))</f>
        <v/>
      </c>
      <c r="W393" s="43" t="str">
        <f aca="false">IF(OR($D393="",$N393=""),"",INDEX(Config!$I$13:$I$15,$AK393)*($S393+$U393+INDEX(Config!$G$13:$G$15,$AK393)*($K393+$O393)))</f>
        <v/>
      </c>
      <c r="X393" s="43" t="str">
        <f aca="false">IF(OR($D393="",$N393=""),"",INDEX(Config!$K$13:$K$15,$AK393)/365*$P393*$K393*Config!$B$8)</f>
        <v/>
      </c>
      <c r="Y393" s="43" t="str">
        <f aca="false">IF(OR($D393="",$N393=""),"",SUM($S393:$X393))</f>
        <v/>
      </c>
      <c r="Z393" s="40" t="str">
        <f aca="false">IF(OR($D393="",$Q393=""),"",$Q393-$Y393)</f>
        <v/>
      </c>
      <c r="AA393" s="42" t="str">
        <f aca="false">IF(OR($D393="",$Z393="",$K393=0),"",$Z393/$K393)</f>
        <v/>
      </c>
      <c r="AB393" s="44" t="str">
        <f aca="false">IF(OR($D393="",$Y393="",$K393=0),"",$Y393/$K393*10000)</f>
        <v/>
      </c>
      <c r="AC393" s="44" t="str">
        <f aca="false">IF(OR($D393="",$G393="",$G393=0,$I393=""),"",IF($E393="LONG",($I393-$G393)/$G393,($G393-$I393)/$G393)*10000)</f>
        <v/>
      </c>
      <c r="AD393" s="45"/>
      <c r="AE393" s="40" t="str">
        <f aca="false">IF(OR($D393="",$N393&lt;&gt;"",$AD393=""),"",IF($E393="LONG",($AD393-$I393)*$J393,($I393-$AD393)*$J393))</f>
        <v/>
      </c>
      <c r="AF393" s="40" t="str">
        <f aca="false">IF(OR($D393="",$E393&lt;&gt;"LONG",$Z393=""),"",$Z393+SUMIFS($Z$4:$Z$503,$B$4:$B$503,$B393,$E$4:$E$503,"SHORT"))</f>
        <v/>
      </c>
      <c r="AG393" s="42" t="str">
        <f aca="false">IF(OR($AF393="",$K393=0),"",$AF393/$K393)</f>
        <v/>
      </c>
      <c r="AH393" s="46"/>
      <c r="AI393" s="43" t="str">
        <f aca="false">IF(OR($D393="",$AH393="",$Z393=""),"",$Z393-$AH393)</f>
        <v/>
      </c>
      <c r="AJ393" s="49"/>
      <c r="AK393" s="47" t="str">
        <f aca="false">IF($D393="","",IFERROR(MATCH($F393,Config!$A$13:$A$15,0),1))</f>
        <v/>
      </c>
      <c r="AL393" s="47" t="str">
        <f aca="false">IF(OR($D393="",$N393=""),"",IF($E393="LONG",$K393,$O393))</f>
        <v/>
      </c>
      <c r="AM393" s="47" t="str">
        <f aca="false">IF(OR($D393="",$N393=""),"",IF($E393="LONG",$O393,$K393))</f>
        <v/>
      </c>
    </row>
    <row r="394" customFormat="false" ht="15" hidden="false" customHeight="false" outlineLevel="0" collapsed="false">
      <c r="A394" s="49"/>
      <c r="B394" s="5" t="str">
        <f aca="false">IF($D394="","",IF(OR(RIGHT($A394,2)="-L",RIGHT($A394,2)="-S"),LEFT($A394,LEN($A394)-2),$A394))</f>
        <v/>
      </c>
      <c r="C394" s="50"/>
      <c r="D394" s="49"/>
      <c r="E394" s="49"/>
      <c r="F394" s="49"/>
      <c r="G394" s="45"/>
      <c r="H394" s="50"/>
      <c r="I394" s="45"/>
      <c r="J394" s="51"/>
      <c r="K394" s="40" t="str">
        <f aca="false">IF($D394="","",$I394*$J394)</f>
        <v/>
      </c>
      <c r="L394" s="50"/>
      <c r="M394" s="49"/>
      <c r="N394" s="45"/>
      <c r="O394" s="40" t="str">
        <f aca="false">IF(OR($D394="",$N394=""),"",$N394*$J394)</f>
        <v/>
      </c>
      <c r="P394" s="41" t="str">
        <f aca="false">IF(OR($D394="",$L394=""),"",MAX($L394-$H394,0))</f>
        <v/>
      </c>
      <c r="Q394" s="40" t="str">
        <f aca="false">IF(OR($D394="",$N394=""),"",IF($E394="LONG",($N394-$I394)*$J394,($I394-$N394)*$J394))</f>
        <v/>
      </c>
      <c r="R394" s="42" t="str">
        <f aca="false">IF(OR($D394="",$Q394="",$K394=0),"",$Q394/$K394)</f>
        <v/>
      </c>
      <c r="S394" s="43" t="str">
        <f aca="false">IF(OR($D394="",$N394=""),"",MIN(INDEX(Config!$C$13:$C$15,$AK394),INDEX(Config!$B$13:$B$15,$AK394)*$K394)+MIN(INDEX(Config!$C$13:$C$15,$AK394),INDEX(Config!$B$13:$B$15,$AK394)*$O394))</f>
        <v/>
      </c>
      <c r="T394" s="43" t="str">
        <f aca="false">IF(OR($D394="",$N394=""),"",INDEX(Config!$D$13:$D$15,$AK394)*$AL394+INDEX(Config!$E$13:$E$15,$AK394)*$AM394)</f>
        <v/>
      </c>
      <c r="U394" s="43" t="str">
        <f aca="false">IF(OR($D394="",$N394=""),"",INDEX(Config!$F$13:$F$15,$AK394)*($K394+$O394))</f>
        <v/>
      </c>
      <c r="V394" s="43" t="str">
        <f aca="false">IF(OR($D394="",$N394=""),"",INDEX(Config!$G$13:$G$15,$AK394)*($K394+$O394)+INDEX(Config!$H$13:$H$15,$AK394)*$AL394+INDEX(Config!$J$13:$J$15,$AK394))</f>
        <v/>
      </c>
      <c r="W394" s="43" t="str">
        <f aca="false">IF(OR($D394="",$N394=""),"",INDEX(Config!$I$13:$I$15,$AK394)*($S394+$U394+INDEX(Config!$G$13:$G$15,$AK394)*($K394+$O394)))</f>
        <v/>
      </c>
      <c r="X394" s="43" t="str">
        <f aca="false">IF(OR($D394="",$N394=""),"",INDEX(Config!$K$13:$K$15,$AK394)/365*$P394*$K394*Config!$B$8)</f>
        <v/>
      </c>
      <c r="Y394" s="43" t="str">
        <f aca="false">IF(OR($D394="",$N394=""),"",SUM($S394:$X394))</f>
        <v/>
      </c>
      <c r="Z394" s="40" t="str">
        <f aca="false">IF(OR($D394="",$Q394=""),"",$Q394-$Y394)</f>
        <v/>
      </c>
      <c r="AA394" s="42" t="str">
        <f aca="false">IF(OR($D394="",$Z394="",$K394=0),"",$Z394/$K394)</f>
        <v/>
      </c>
      <c r="AB394" s="44" t="str">
        <f aca="false">IF(OR($D394="",$Y394="",$K394=0),"",$Y394/$K394*10000)</f>
        <v/>
      </c>
      <c r="AC394" s="44" t="str">
        <f aca="false">IF(OR($D394="",$G394="",$G394=0,$I394=""),"",IF($E394="LONG",($I394-$G394)/$G394,($G394-$I394)/$G394)*10000)</f>
        <v/>
      </c>
      <c r="AD394" s="45"/>
      <c r="AE394" s="40" t="str">
        <f aca="false">IF(OR($D394="",$N394&lt;&gt;"",$AD394=""),"",IF($E394="LONG",($AD394-$I394)*$J394,($I394-$AD394)*$J394))</f>
        <v/>
      </c>
      <c r="AF394" s="40" t="str">
        <f aca="false">IF(OR($D394="",$E394&lt;&gt;"LONG",$Z394=""),"",$Z394+SUMIFS($Z$4:$Z$503,$B$4:$B$503,$B394,$E$4:$E$503,"SHORT"))</f>
        <v/>
      </c>
      <c r="AG394" s="42" t="str">
        <f aca="false">IF(OR($AF394="",$K394=0),"",$AF394/$K394)</f>
        <v/>
      </c>
      <c r="AH394" s="46"/>
      <c r="AI394" s="43" t="str">
        <f aca="false">IF(OR($D394="",$AH394="",$Z394=""),"",$Z394-$AH394)</f>
        <v/>
      </c>
      <c r="AJ394" s="49"/>
      <c r="AK394" s="47" t="str">
        <f aca="false">IF($D394="","",IFERROR(MATCH($F394,Config!$A$13:$A$15,0),1))</f>
        <v/>
      </c>
      <c r="AL394" s="47" t="str">
        <f aca="false">IF(OR($D394="",$N394=""),"",IF($E394="LONG",$K394,$O394))</f>
        <v/>
      </c>
      <c r="AM394" s="47" t="str">
        <f aca="false">IF(OR($D394="",$N394=""),"",IF($E394="LONG",$O394,$K394))</f>
        <v/>
      </c>
    </row>
    <row r="395" customFormat="false" ht="15" hidden="false" customHeight="false" outlineLevel="0" collapsed="false">
      <c r="A395" s="49"/>
      <c r="B395" s="5" t="str">
        <f aca="false">IF($D395="","",IF(OR(RIGHT($A395,2)="-L",RIGHT($A395,2)="-S"),LEFT($A395,LEN($A395)-2),$A395))</f>
        <v/>
      </c>
      <c r="C395" s="50"/>
      <c r="D395" s="49"/>
      <c r="E395" s="49"/>
      <c r="F395" s="49"/>
      <c r="G395" s="45"/>
      <c r="H395" s="50"/>
      <c r="I395" s="45"/>
      <c r="J395" s="51"/>
      <c r="K395" s="40" t="str">
        <f aca="false">IF($D395="","",$I395*$J395)</f>
        <v/>
      </c>
      <c r="L395" s="50"/>
      <c r="M395" s="49"/>
      <c r="N395" s="45"/>
      <c r="O395" s="40" t="str">
        <f aca="false">IF(OR($D395="",$N395=""),"",$N395*$J395)</f>
        <v/>
      </c>
      <c r="P395" s="41" t="str">
        <f aca="false">IF(OR($D395="",$L395=""),"",MAX($L395-$H395,0))</f>
        <v/>
      </c>
      <c r="Q395" s="40" t="str">
        <f aca="false">IF(OR($D395="",$N395=""),"",IF($E395="LONG",($N395-$I395)*$J395,($I395-$N395)*$J395))</f>
        <v/>
      </c>
      <c r="R395" s="42" t="str">
        <f aca="false">IF(OR($D395="",$Q395="",$K395=0),"",$Q395/$K395)</f>
        <v/>
      </c>
      <c r="S395" s="43" t="str">
        <f aca="false">IF(OR($D395="",$N395=""),"",MIN(INDEX(Config!$C$13:$C$15,$AK395),INDEX(Config!$B$13:$B$15,$AK395)*$K395)+MIN(INDEX(Config!$C$13:$C$15,$AK395),INDEX(Config!$B$13:$B$15,$AK395)*$O395))</f>
        <v/>
      </c>
      <c r="T395" s="43" t="str">
        <f aca="false">IF(OR($D395="",$N395=""),"",INDEX(Config!$D$13:$D$15,$AK395)*$AL395+INDEX(Config!$E$13:$E$15,$AK395)*$AM395)</f>
        <v/>
      </c>
      <c r="U395" s="43" t="str">
        <f aca="false">IF(OR($D395="",$N395=""),"",INDEX(Config!$F$13:$F$15,$AK395)*($K395+$O395))</f>
        <v/>
      </c>
      <c r="V395" s="43" t="str">
        <f aca="false">IF(OR($D395="",$N395=""),"",INDEX(Config!$G$13:$G$15,$AK395)*($K395+$O395)+INDEX(Config!$H$13:$H$15,$AK395)*$AL395+INDEX(Config!$J$13:$J$15,$AK395))</f>
        <v/>
      </c>
      <c r="W395" s="43" t="str">
        <f aca="false">IF(OR($D395="",$N395=""),"",INDEX(Config!$I$13:$I$15,$AK395)*($S395+$U395+INDEX(Config!$G$13:$G$15,$AK395)*($K395+$O395)))</f>
        <v/>
      </c>
      <c r="X395" s="43" t="str">
        <f aca="false">IF(OR($D395="",$N395=""),"",INDEX(Config!$K$13:$K$15,$AK395)/365*$P395*$K395*Config!$B$8)</f>
        <v/>
      </c>
      <c r="Y395" s="43" t="str">
        <f aca="false">IF(OR($D395="",$N395=""),"",SUM($S395:$X395))</f>
        <v/>
      </c>
      <c r="Z395" s="40" t="str">
        <f aca="false">IF(OR($D395="",$Q395=""),"",$Q395-$Y395)</f>
        <v/>
      </c>
      <c r="AA395" s="42" t="str">
        <f aca="false">IF(OR($D395="",$Z395="",$K395=0),"",$Z395/$K395)</f>
        <v/>
      </c>
      <c r="AB395" s="44" t="str">
        <f aca="false">IF(OR($D395="",$Y395="",$K395=0),"",$Y395/$K395*10000)</f>
        <v/>
      </c>
      <c r="AC395" s="44" t="str">
        <f aca="false">IF(OR($D395="",$G395="",$G395=0,$I395=""),"",IF($E395="LONG",($I395-$G395)/$G395,($G395-$I395)/$G395)*10000)</f>
        <v/>
      </c>
      <c r="AD395" s="45"/>
      <c r="AE395" s="40" t="str">
        <f aca="false">IF(OR($D395="",$N395&lt;&gt;"",$AD395=""),"",IF($E395="LONG",($AD395-$I395)*$J395,($I395-$AD395)*$J395))</f>
        <v/>
      </c>
      <c r="AF395" s="40" t="str">
        <f aca="false">IF(OR($D395="",$E395&lt;&gt;"LONG",$Z395=""),"",$Z395+SUMIFS($Z$4:$Z$503,$B$4:$B$503,$B395,$E$4:$E$503,"SHORT"))</f>
        <v/>
      </c>
      <c r="AG395" s="42" t="str">
        <f aca="false">IF(OR($AF395="",$K395=0),"",$AF395/$K395)</f>
        <v/>
      </c>
      <c r="AH395" s="46"/>
      <c r="AI395" s="43" t="str">
        <f aca="false">IF(OR($D395="",$AH395="",$Z395=""),"",$Z395-$AH395)</f>
        <v/>
      </c>
      <c r="AJ395" s="49"/>
      <c r="AK395" s="47" t="str">
        <f aca="false">IF($D395="","",IFERROR(MATCH($F395,Config!$A$13:$A$15,0),1))</f>
        <v/>
      </c>
      <c r="AL395" s="47" t="str">
        <f aca="false">IF(OR($D395="",$N395=""),"",IF($E395="LONG",$K395,$O395))</f>
        <v/>
      </c>
      <c r="AM395" s="47" t="str">
        <f aca="false">IF(OR($D395="",$N395=""),"",IF($E395="LONG",$O395,$K395))</f>
        <v/>
      </c>
    </row>
    <row r="396" customFormat="false" ht="15" hidden="false" customHeight="false" outlineLevel="0" collapsed="false">
      <c r="A396" s="49"/>
      <c r="B396" s="5" t="str">
        <f aca="false">IF($D396="","",IF(OR(RIGHT($A396,2)="-L",RIGHT($A396,2)="-S"),LEFT($A396,LEN($A396)-2),$A396))</f>
        <v/>
      </c>
      <c r="C396" s="50"/>
      <c r="D396" s="49"/>
      <c r="E396" s="49"/>
      <c r="F396" s="49"/>
      <c r="G396" s="45"/>
      <c r="H396" s="50"/>
      <c r="I396" s="45"/>
      <c r="J396" s="51"/>
      <c r="K396" s="40" t="str">
        <f aca="false">IF($D396="","",$I396*$J396)</f>
        <v/>
      </c>
      <c r="L396" s="50"/>
      <c r="M396" s="49"/>
      <c r="N396" s="45"/>
      <c r="O396" s="40" t="str">
        <f aca="false">IF(OR($D396="",$N396=""),"",$N396*$J396)</f>
        <v/>
      </c>
      <c r="P396" s="41" t="str">
        <f aca="false">IF(OR($D396="",$L396=""),"",MAX($L396-$H396,0))</f>
        <v/>
      </c>
      <c r="Q396" s="40" t="str">
        <f aca="false">IF(OR($D396="",$N396=""),"",IF($E396="LONG",($N396-$I396)*$J396,($I396-$N396)*$J396))</f>
        <v/>
      </c>
      <c r="R396" s="42" t="str">
        <f aca="false">IF(OR($D396="",$Q396="",$K396=0),"",$Q396/$K396)</f>
        <v/>
      </c>
      <c r="S396" s="43" t="str">
        <f aca="false">IF(OR($D396="",$N396=""),"",MIN(INDEX(Config!$C$13:$C$15,$AK396),INDEX(Config!$B$13:$B$15,$AK396)*$K396)+MIN(INDEX(Config!$C$13:$C$15,$AK396),INDEX(Config!$B$13:$B$15,$AK396)*$O396))</f>
        <v/>
      </c>
      <c r="T396" s="43" t="str">
        <f aca="false">IF(OR($D396="",$N396=""),"",INDEX(Config!$D$13:$D$15,$AK396)*$AL396+INDEX(Config!$E$13:$E$15,$AK396)*$AM396)</f>
        <v/>
      </c>
      <c r="U396" s="43" t="str">
        <f aca="false">IF(OR($D396="",$N396=""),"",INDEX(Config!$F$13:$F$15,$AK396)*($K396+$O396))</f>
        <v/>
      </c>
      <c r="V396" s="43" t="str">
        <f aca="false">IF(OR($D396="",$N396=""),"",INDEX(Config!$G$13:$G$15,$AK396)*($K396+$O396)+INDEX(Config!$H$13:$H$15,$AK396)*$AL396+INDEX(Config!$J$13:$J$15,$AK396))</f>
        <v/>
      </c>
      <c r="W396" s="43" t="str">
        <f aca="false">IF(OR($D396="",$N396=""),"",INDEX(Config!$I$13:$I$15,$AK396)*($S396+$U396+INDEX(Config!$G$13:$G$15,$AK396)*($K396+$O396)))</f>
        <v/>
      </c>
      <c r="X396" s="43" t="str">
        <f aca="false">IF(OR($D396="",$N396=""),"",INDEX(Config!$K$13:$K$15,$AK396)/365*$P396*$K396*Config!$B$8)</f>
        <v/>
      </c>
      <c r="Y396" s="43" t="str">
        <f aca="false">IF(OR($D396="",$N396=""),"",SUM($S396:$X396))</f>
        <v/>
      </c>
      <c r="Z396" s="40" t="str">
        <f aca="false">IF(OR($D396="",$Q396=""),"",$Q396-$Y396)</f>
        <v/>
      </c>
      <c r="AA396" s="42" t="str">
        <f aca="false">IF(OR($D396="",$Z396="",$K396=0),"",$Z396/$K396)</f>
        <v/>
      </c>
      <c r="AB396" s="44" t="str">
        <f aca="false">IF(OR($D396="",$Y396="",$K396=0),"",$Y396/$K396*10000)</f>
        <v/>
      </c>
      <c r="AC396" s="44" t="str">
        <f aca="false">IF(OR($D396="",$G396="",$G396=0,$I396=""),"",IF($E396="LONG",($I396-$G396)/$G396,($G396-$I396)/$G396)*10000)</f>
        <v/>
      </c>
      <c r="AD396" s="45"/>
      <c r="AE396" s="40" t="str">
        <f aca="false">IF(OR($D396="",$N396&lt;&gt;"",$AD396=""),"",IF($E396="LONG",($AD396-$I396)*$J396,($I396-$AD396)*$J396))</f>
        <v/>
      </c>
      <c r="AF396" s="40" t="str">
        <f aca="false">IF(OR($D396="",$E396&lt;&gt;"LONG",$Z396=""),"",$Z396+SUMIFS($Z$4:$Z$503,$B$4:$B$503,$B396,$E$4:$E$503,"SHORT"))</f>
        <v/>
      </c>
      <c r="AG396" s="42" t="str">
        <f aca="false">IF(OR($AF396="",$K396=0),"",$AF396/$K396)</f>
        <v/>
      </c>
      <c r="AH396" s="46"/>
      <c r="AI396" s="43" t="str">
        <f aca="false">IF(OR($D396="",$AH396="",$Z396=""),"",$Z396-$AH396)</f>
        <v/>
      </c>
      <c r="AJ396" s="49"/>
      <c r="AK396" s="47" t="str">
        <f aca="false">IF($D396="","",IFERROR(MATCH($F396,Config!$A$13:$A$15,0),1))</f>
        <v/>
      </c>
      <c r="AL396" s="47" t="str">
        <f aca="false">IF(OR($D396="",$N396=""),"",IF($E396="LONG",$K396,$O396))</f>
        <v/>
      </c>
      <c r="AM396" s="47" t="str">
        <f aca="false">IF(OR($D396="",$N396=""),"",IF($E396="LONG",$O396,$K396))</f>
        <v/>
      </c>
    </row>
    <row r="397" customFormat="false" ht="15" hidden="false" customHeight="false" outlineLevel="0" collapsed="false">
      <c r="A397" s="49"/>
      <c r="B397" s="5" t="str">
        <f aca="false">IF($D397="","",IF(OR(RIGHT($A397,2)="-L",RIGHT($A397,2)="-S"),LEFT($A397,LEN($A397)-2),$A397))</f>
        <v/>
      </c>
      <c r="C397" s="50"/>
      <c r="D397" s="49"/>
      <c r="E397" s="49"/>
      <c r="F397" s="49"/>
      <c r="G397" s="45"/>
      <c r="H397" s="50"/>
      <c r="I397" s="45"/>
      <c r="J397" s="51"/>
      <c r="K397" s="40" t="str">
        <f aca="false">IF($D397="","",$I397*$J397)</f>
        <v/>
      </c>
      <c r="L397" s="50"/>
      <c r="M397" s="49"/>
      <c r="N397" s="45"/>
      <c r="O397" s="40" t="str">
        <f aca="false">IF(OR($D397="",$N397=""),"",$N397*$J397)</f>
        <v/>
      </c>
      <c r="P397" s="41" t="str">
        <f aca="false">IF(OR($D397="",$L397=""),"",MAX($L397-$H397,0))</f>
        <v/>
      </c>
      <c r="Q397" s="40" t="str">
        <f aca="false">IF(OR($D397="",$N397=""),"",IF($E397="LONG",($N397-$I397)*$J397,($I397-$N397)*$J397))</f>
        <v/>
      </c>
      <c r="R397" s="42" t="str">
        <f aca="false">IF(OR($D397="",$Q397="",$K397=0),"",$Q397/$K397)</f>
        <v/>
      </c>
      <c r="S397" s="43" t="str">
        <f aca="false">IF(OR($D397="",$N397=""),"",MIN(INDEX(Config!$C$13:$C$15,$AK397),INDEX(Config!$B$13:$B$15,$AK397)*$K397)+MIN(INDEX(Config!$C$13:$C$15,$AK397),INDEX(Config!$B$13:$B$15,$AK397)*$O397))</f>
        <v/>
      </c>
      <c r="T397" s="43" t="str">
        <f aca="false">IF(OR($D397="",$N397=""),"",INDEX(Config!$D$13:$D$15,$AK397)*$AL397+INDEX(Config!$E$13:$E$15,$AK397)*$AM397)</f>
        <v/>
      </c>
      <c r="U397" s="43" t="str">
        <f aca="false">IF(OR($D397="",$N397=""),"",INDEX(Config!$F$13:$F$15,$AK397)*($K397+$O397))</f>
        <v/>
      </c>
      <c r="V397" s="43" t="str">
        <f aca="false">IF(OR($D397="",$N397=""),"",INDEX(Config!$G$13:$G$15,$AK397)*($K397+$O397)+INDEX(Config!$H$13:$H$15,$AK397)*$AL397+INDEX(Config!$J$13:$J$15,$AK397))</f>
        <v/>
      </c>
      <c r="W397" s="43" t="str">
        <f aca="false">IF(OR($D397="",$N397=""),"",INDEX(Config!$I$13:$I$15,$AK397)*($S397+$U397+INDEX(Config!$G$13:$G$15,$AK397)*($K397+$O397)))</f>
        <v/>
      </c>
      <c r="X397" s="43" t="str">
        <f aca="false">IF(OR($D397="",$N397=""),"",INDEX(Config!$K$13:$K$15,$AK397)/365*$P397*$K397*Config!$B$8)</f>
        <v/>
      </c>
      <c r="Y397" s="43" t="str">
        <f aca="false">IF(OR($D397="",$N397=""),"",SUM($S397:$X397))</f>
        <v/>
      </c>
      <c r="Z397" s="40" t="str">
        <f aca="false">IF(OR($D397="",$Q397=""),"",$Q397-$Y397)</f>
        <v/>
      </c>
      <c r="AA397" s="42" t="str">
        <f aca="false">IF(OR($D397="",$Z397="",$K397=0),"",$Z397/$K397)</f>
        <v/>
      </c>
      <c r="AB397" s="44" t="str">
        <f aca="false">IF(OR($D397="",$Y397="",$K397=0),"",$Y397/$K397*10000)</f>
        <v/>
      </c>
      <c r="AC397" s="44" t="str">
        <f aca="false">IF(OR($D397="",$G397="",$G397=0,$I397=""),"",IF($E397="LONG",($I397-$G397)/$G397,($G397-$I397)/$G397)*10000)</f>
        <v/>
      </c>
      <c r="AD397" s="45"/>
      <c r="AE397" s="40" t="str">
        <f aca="false">IF(OR($D397="",$N397&lt;&gt;"",$AD397=""),"",IF($E397="LONG",($AD397-$I397)*$J397,($I397-$AD397)*$J397))</f>
        <v/>
      </c>
      <c r="AF397" s="40" t="str">
        <f aca="false">IF(OR($D397="",$E397&lt;&gt;"LONG",$Z397=""),"",$Z397+SUMIFS($Z$4:$Z$503,$B$4:$B$503,$B397,$E$4:$E$503,"SHORT"))</f>
        <v/>
      </c>
      <c r="AG397" s="42" t="str">
        <f aca="false">IF(OR($AF397="",$K397=0),"",$AF397/$K397)</f>
        <v/>
      </c>
      <c r="AH397" s="46"/>
      <c r="AI397" s="43" t="str">
        <f aca="false">IF(OR($D397="",$AH397="",$Z397=""),"",$Z397-$AH397)</f>
        <v/>
      </c>
      <c r="AJ397" s="49"/>
      <c r="AK397" s="47" t="str">
        <f aca="false">IF($D397="","",IFERROR(MATCH($F397,Config!$A$13:$A$15,0),1))</f>
        <v/>
      </c>
      <c r="AL397" s="47" t="str">
        <f aca="false">IF(OR($D397="",$N397=""),"",IF($E397="LONG",$K397,$O397))</f>
        <v/>
      </c>
      <c r="AM397" s="47" t="str">
        <f aca="false">IF(OR($D397="",$N397=""),"",IF($E397="LONG",$O397,$K397))</f>
        <v/>
      </c>
    </row>
    <row r="398" customFormat="false" ht="15" hidden="false" customHeight="false" outlineLevel="0" collapsed="false">
      <c r="A398" s="49"/>
      <c r="B398" s="5" t="str">
        <f aca="false">IF($D398="","",IF(OR(RIGHT($A398,2)="-L",RIGHT($A398,2)="-S"),LEFT($A398,LEN($A398)-2),$A398))</f>
        <v/>
      </c>
      <c r="C398" s="50"/>
      <c r="D398" s="49"/>
      <c r="E398" s="49"/>
      <c r="F398" s="49"/>
      <c r="G398" s="45"/>
      <c r="H398" s="50"/>
      <c r="I398" s="45"/>
      <c r="J398" s="51"/>
      <c r="K398" s="40" t="str">
        <f aca="false">IF($D398="","",$I398*$J398)</f>
        <v/>
      </c>
      <c r="L398" s="50"/>
      <c r="M398" s="49"/>
      <c r="N398" s="45"/>
      <c r="O398" s="40" t="str">
        <f aca="false">IF(OR($D398="",$N398=""),"",$N398*$J398)</f>
        <v/>
      </c>
      <c r="P398" s="41" t="str">
        <f aca="false">IF(OR($D398="",$L398=""),"",MAX($L398-$H398,0))</f>
        <v/>
      </c>
      <c r="Q398" s="40" t="str">
        <f aca="false">IF(OR($D398="",$N398=""),"",IF($E398="LONG",($N398-$I398)*$J398,($I398-$N398)*$J398))</f>
        <v/>
      </c>
      <c r="R398" s="42" t="str">
        <f aca="false">IF(OR($D398="",$Q398="",$K398=0),"",$Q398/$K398)</f>
        <v/>
      </c>
      <c r="S398" s="43" t="str">
        <f aca="false">IF(OR($D398="",$N398=""),"",MIN(INDEX(Config!$C$13:$C$15,$AK398),INDEX(Config!$B$13:$B$15,$AK398)*$K398)+MIN(INDEX(Config!$C$13:$C$15,$AK398),INDEX(Config!$B$13:$B$15,$AK398)*$O398))</f>
        <v/>
      </c>
      <c r="T398" s="43" t="str">
        <f aca="false">IF(OR($D398="",$N398=""),"",INDEX(Config!$D$13:$D$15,$AK398)*$AL398+INDEX(Config!$E$13:$E$15,$AK398)*$AM398)</f>
        <v/>
      </c>
      <c r="U398" s="43" t="str">
        <f aca="false">IF(OR($D398="",$N398=""),"",INDEX(Config!$F$13:$F$15,$AK398)*($K398+$O398))</f>
        <v/>
      </c>
      <c r="V398" s="43" t="str">
        <f aca="false">IF(OR($D398="",$N398=""),"",INDEX(Config!$G$13:$G$15,$AK398)*($K398+$O398)+INDEX(Config!$H$13:$H$15,$AK398)*$AL398+INDEX(Config!$J$13:$J$15,$AK398))</f>
        <v/>
      </c>
      <c r="W398" s="43" t="str">
        <f aca="false">IF(OR($D398="",$N398=""),"",INDEX(Config!$I$13:$I$15,$AK398)*($S398+$U398+INDEX(Config!$G$13:$G$15,$AK398)*($K398+$O398)))</f>
        <v/>
      </c>
      <c r="X398" s="43" t="str">
        <f aca="false">IF(OR($D398="",$N398=""),"",INDEX(Config!$K$13:$K$15,$AK398)/365*$P398*$K398*Config!$B$8)</f>
        <v/>
      </c>
      <c r="Y398" s="43" t="str">
        <f aca="false">IF(OR($D398="",$N398=""),"",SUM($S398:$X398))</f>
        <v/>
      </c>
      <c r="Z398" s="40" t="str">
        <f aca="false">IF(OR($D398="",$Q398=""),"",$Q398-$Y398)</f>
        <v/>
      </c>
      <c r="AA398" s="42" t="str">
        <f aca="false">IF(OR($D398="",$Z398="",$K398=0),"",$Z398/$K398)</f>
        <v/>
      </c>
      <c r="AB398" s="44" t="str">
        <f aca="false">IF(OR($D398="",$Y398="",$K398=0),"",$Y398/$K398*10000)</f>
        <v/>
      </c>
      <c r="AC398" s="44" t="str">
        <f aca="false">IF(OR($D398="",$G398="",$G398=0,$I398=""),"",IF($E398="LONG",($I398-$G398)/$G398,($G398-$I398)/$G398)*10000)</f>
        <v/>
      </c>
      <c r="AD398" s="45"/>
      <c r="AE398" s="40" t="str">
        <f aca="false">IF(OR($D398="",$N398&lt;&gt;"",$AD398=""),"",IF($E398="LONG",($AD398-$I398)*$J398,($I398-$AD398)*$J398))</f>
        <v/>
      </c>
      <c r="AF398" s="40" t="str">
        <f aca="false">IF(OR($D398="",$E398&lt;&gt;"LONG",$Z398=""),"",$Z398+SUMIFS($Z$4:$Z$503,$B$4:$B$503,$B398,$E$4:$E$503,"SHORT"))</f>
        <v/>
      </c>
      <c r="AG398" s="42" t="str">
        <f aca="false">IF(OR($AF398="",$K398=0),"",$AF398/$K398)</f>
        <v/>
      </c>
      <c r="AH398" s="46"/>
      <c r="AI398" s="43" t="str">
        <f aca="false">IF(OR($D398="",$AH398="",$Z398=""),"",$Z398-$AH398)</f>
        <v/>
      </c>
      <c r="AJ398" s="49"/>
      <c r="AK398" s="47" t="str">
        <f aca="false">IF($D398="","",IFERROR(MATCH($F398,Config!$A$13:$A$15,0),1))</f>
        <v/>
      </c>
      <c r="AL398" s="47" t="str">
        <f aca="false">IF(OR($D398="",$N398=""),"",IF($E398="LONG",$K398,$O398))</f>
        <v/>
      </c>
      <c r="AM398" s="47" t="str">
        <f aca="false">IF(OR($D398="",$N398=""),"",IF($E398="LONG",$O398,$K398))</f>
        <v/>
      </c>
    </row>
    <row r="399" customFormat="false" ht="15" hidden="false" customHeight="false" outlineLevel="0" collapsed="false">
      <c r="A399" s="49"/>
      <c r="B399" s="5" t="str">
        <f aca="false">IF($D399="","",IF(OR(RIGHT($A399,2)="-L",RIGHT($A399,2)="-S"),LEFT($A399,LEN($A399)-2),$A399))</f>
        <v/>
      </c>
      <c r="C399" s="50"/>
      <c r="D399" s="49"/>
      <c r="E399" s="49"/>
      <c r="F399" s="49"/>
      <c r="G399" s="45"/>
      <c r="H399" s="50"/>
      <c r="I399" s="45"/>
      <c r="J399" s="51"/>
      <c r="K399" s="40" t="str">
        <f aca="false">IF($D399="","",$I399*$J399)</f>
        <v/>
      </c>
      <c r="L399" s="50"/>
      <c r="M399" s="49"/>
      <c r="N399" s="45"/>
      <c r="O399" s="40" t="str">
        <f aca="false">IF(OR($D399="",$N399=""),"",$N399*$J399)</f>
        <v/>
      </c>
      <c r="P399" s="41" t="str">
        <f aca="false">IF(OR($D399="",$L399=""),"",MAX($L399-$H399,0))</f>
        <v/>
      </c>
      <c r="Q399" s="40" t="str">
        <f aca="false">IF(OR($D399="",$N399=""),"",IF($E399="LONG",($N399-$I399)*$J399,($I399-$N399)*$J399))</f>
        <v/>
      </c>
      <c r="R399" s="42" t="str">
        <f aca="false">IF(OR($D399="",$Q399="",$K399=0),"",$Q399/$K399)</f>
        <v/>
      </c>
      <c r="S399" s="43" t="str">
        <f aca="false">IF(OR($D399="",$N399=""),"",MIN(INDEX(Config!$C$13:$C$15,$AK399),INDEX(Config!$B$13:$B$15,$AK399)*$K399)+MIN(INDEX(Config!$C$13:$C$15,$AK399),INDEX(Config!$B$13:$B$15,$AK399)*$O399))</f>
        <v/>
      </c>
      <c r="T399" s="43" t="str">
        <f aca="false">IF(OR($D399="",$N399=""),"",INDEX(Config!$D$13:$D$15,$AK399)*$AL399+INDEX(Config!$E$13:$E$15,$AK399)*$AM399)</f>
        <v/>
      </c>
      <c r="U399" s="43" t="str">
        <f aca="false">IF(OR($D399="",$N399=""),"",INDEX(Config!$F$13:$F$15,$AK399)*($K399+$O399))</f>
        <v/>
      </c>
      <c r="V399" s="43" t="str">
        <f aca="false">IF(OR($D399="",$N399=""),"",INDEX(Config!$G$13:$G$15,$AK399)*($K399+$O399)+INDEX(Config!$H$13:$H$15,$AK399)*$AL399+INDEX(Config!$J$13:$J$15,$AK399))</f>
        <v/>
      </c>
      <c r="W399" s="43" t="str">
        <f aca="false">IF(OR($D399="",$N399=""),"",INDEX(Config!$I$13:$I$15,$AK399)*($S399+$U399+INDEX(Config!$G$13:$G$15,$AK399)*($K399+$O399)))</f>
        <v/>
      </c>
      <c r="X399" s="43" t="str">
        <f aca="false">IF(OR($D399="",$N399=""),"",INDEX(Config!$K$13:$K$15,$AK399)/365*$P399*$K399*Config!$B$8)</f>
        <v/>
      </c>
      <c r="Y399" s="43" t="str">
        <f aca="false">IF(OR($D399="",$N399=""),"",SUM($S399:$X399))</f>
        <v/>
      </c>
      <c r="Z399" s="40" t="str">
        <f aca="false">IF(OR($D399="",$Q399=""),"",$Q399-$Y399)</f>
        <v/>
      </c>
      <c r="AA399" s="42" t="str">
        <f aca="false">IF(OR($D399="",$Z399="",$K399=0),"",$Z399/$K399)</f>
        <v/>
      </c>
      <c r="AB399" s="44" t="str">
        <f aca="false">IF(OR($D399="",$Y399="",$K399=0),"",$Y399/$K399*10000)</f>
        <v/>
      </c>
      <c r="AC399" s="44" t="str">
        <f aca="false">IF(OR($D399="",$G399="",$G399=0,$I399=""),"",IF($E399="LONG",($I399-$G399)/$G399,($G399-$I399)/$G399)*10000)</f>
        <v/>
      </c>
      <c r="AD399" s="45"/>
      <c r="AE399" s="40" t="str">
        <f aca="false">IF(OR($D399="",$N399&lt;&gt;"",$AD399=""),"",IF($E399="LONG",($AD399-$I399)*$J399,($I399-$AD399)*$J399))</f>
        <v/>
      </c>
      <c r="AF399" s="40" t="str">
        <f aca="false">IF(OR($D399="",$E399&lt;&gt;"LONG",$Z399=""),"",$Z399+SUMIFS($Z$4:$Z$503,$B$4:$B$503,$B399,$E$4:$E$503,"SHORT"))</f>
        <v/>
      </c>
      <c r="AG399" s="42" t="str">
        <f aca="false">IF(OR($AF399="",$K399=0),"",$AF399/$K399)</f>
        <v/>
      </c>
      <c r="AH399" s="46"/>
      <c r="AI399" s="43" t="str">
        <f aca="false">IF(OR($D399="",$AH399="",$Z399=""),"",$Z399-$AH399)</f>
        <v/>
      </c>
      <c r="AJ399" s="49"/>
      <c r="AK399" s="47" t="str">
        <f aca="false">IF($D399="","",IFERROR(MATCH($F399,Config!$A$13:$A$15,0),1))</f>
        <v/>
      </c>
      <c r="AL399" s="47" t="str">
        <f aca="false">IF(OR($D399="",$N399=""),"",IF($E399="LONG",$K399,$O399))</f>
        <v/>
      </c>
      <c r="AM399" s="47" t="str">
        <f aca="false">IF(OR($D399="",$N399=""),"",IF($E399="LONG",$O399,$K399))</f>
        <v/>
      </c>
    </row>
    <row r="400" customFormat="false" ht="15" hidden="false" customHeight="false" outlineLevel="0" collapsed="false">
      <c r="A400" s="49"/>
      <c r="B400" s="5" t="str">
        <f aca="false">IF($D400="","",IF(OR(RIGHT($A400,2)="-L",RIGHT($A400,2)="-S"),LEFT($A400,LEN($A400)-2),$A400))</f>
        <v/>
      </c>
      <c r="C400" s="50"/>
      <c r="D400" s="49"/>
      <c r="E400" s="49"/>
      <c r="F400" s="49"/>
      <c r="G400" s="45"/>
      <c r="H400" s="50"/>
      <c r="I400" s="45"/>
      <c r="J400" s="51"/>
      <c r="K400" s="40" t="str">
        <f aca="false">IF($D400="","",$I400*$J400)</f>
        <v/>
      </c>
      <c r="L400" s="50"/>
      <c r="M400" s="49"/>
      <c r="N400" s="45"/>
      <c r="O400" s="40" t="str">
        <f aca="false">IF(OR($D400="",$N400=""),"",$N400*$J400)</f>
        <v/>
      </c>
      <c r="P400" s="41" t="str">
        <f aca="false">IF(OR($D400="",$L400=""),"",MAX($L400-$H400,0))</f>
        <v/>
      </c>
      <c r="Q400" s="40" t="str">
        <f aca="false">IF(OR($D400="",$N400=""),"",IF($E400="LONG",($N400-$I400)*$J400,($I400-$N400)*$J400))</f>
        <v/>
      </c>
      <c r="R400" s="42" t="str">
        <f aca="false">IF(OR($D400="",$Q400="",$K400=0),"",$Q400/$K400)</f>
        <v/>
      </c>
      <c r="S400" s="43" t="str">
        <f aca="false">IF(OR($D400="",$N400=""),"",MIN(INDEX(Config!$C$13:$C$15,$AK400),INDEX(Config!$B$13:$B$15,$AK400)*$K400)+MIN(INDEX(Config!$C$13:$C$15,$AK400),INDEX(Config!$B$13:$B$15,$AK400)*$O400))</f>
        <v/>
      </c>
      <c r="T400" s="43" t="str">
        <f aca="false">IF(OR($D400="",$N400=""),"",INDEX(Config!$D$13:$D$15,$AK400)*$AL400+INDEX(Config!$E$13:$E$15,$AK400)*$AM400)</f>
        <v/>
      </c>
      <c r="U400" s="43" t="str">
        <f aca="false">IF(OR($D400="",$N400=""),"",INDEX(Config!$F$13:$F$15,$AK400)*($K400+$O400))</f>
        <v/>
      </c>
      <c r="V400" s="43" t="str">
        <f aca="false">IF(OR($D400="",$N400=""),"",INDEX(Config!$G$13:$G$15,$AK400)*($K400+$O400)+INDEX(Config!$H$13:$H$15,$AK400)*$AL400+INDEX(Config!$J$13:$J$15,$AK400))</f>
        <v/>
      </c>
      <c r="W400" s="43" t="str">
        <f aca="false">IF(OR($D400="",$N400=""),"",INDEX(Config!$I$13:$I$15,$AK400)*($S400+$U400+INDEX(Config!$G$13:$G$15,$AK400)*($K400+$O400)))</f>
        <v/>
      </c>
      <c r="X400" s="43" t="str">
        <f aca="false">IF(OR($D400="",$N400=""),"",INDEX(Config!$K$13:$K$15,$AK400)/365*$P400*$K400*Config!$B$8)</f>
        <v/>
      </c>
      <c r="Y400" s="43" t="str">
        <f aca="false">IF(OR($D400="",$N400=""),"",SUM($S400:$X400))</f>
        <v/>
      </c>
      <c r="Z400" s="40" t="str">
        <f aca="false">IF(OR($D400="",$Q400=""),"",$Q400-$Y400)</f>
        <v/>
      </c>
      <c r="AA400" s="42" t="str">
        <f aca="false">IF(OR($D400="",$Z400="",$K400=0),"",$Z400/$K400)</f>
        <v/>
      </c>
      <c r="AB400" s="44" t="str">
        <f aca="false">IF(OR($D400="",$Y400="",$K400=0),"",$Y400/$K400*10000)</f>
        <v/>
      </c>
      <c r="AC400" s="44" t="str">
        <f aca="false">IF(OR($D400="",$G400="",$G400=0,$I400=""),"",IF($E400="LONG",($I400-$G400)/$G400,($G400-$I400)/$G400)*10000)</f>
        <v/>
      </c>
      <c r="AD400" s="45"/>
      <c r="AE400" s="40" t="str">
        <f aca="false">IF(OR($D400="",$N400&lt;&gt;"",$AD400=""),"",IF($E400="LONG",($AD400-$I400)*$J400,($I400-$AD400)*$J400))</f>
        <v/>
      </c>
      <c r="AF400" s="40" t="str">
        <f aca="false">IF(OR($D400="",$E400&lt;&gt;"LONG",$Z400=""),"",$Z400+SUMIFS($Z$4:$Z$503,$B$4:$B$503,$B400,$E$4:$E$503,"SHORT"))</f>
        <v/>
      </c>
      <c r="AG400" s="42" t="str">
        <f aca="false">IF(OR($AF400="",$K400=0),"",$AF400/$K400)</f>
        <v/>
      </c>
      <c r="AH400" s="46"/>
      <c r="AI400" s="43" t="str">
        <f aca="false">IF(OR($D400="",$AH400="",$Z400=""),"",$Z400-$AH400)</f>
        <v/>
      </c>
      <c r="AJ400" s="49"/>
      <c r="AK400" s="47" t="str">
        <f aca="false">IF($D400="","",IFERROR(MATCH($F400,Config!$A$13:$A$15,0),1))</f>
        <v/>
      </c>
      <c r="AL400" s="47" t="str">
        <f aca="false">IF(OR($D400="",$N400=""),"",IF($E400="LONG",$K400,$O400))</f>
        <v/>
      </c>
      <c r="AM400" s="47" t="str">
        <f aca="false">IF(OR($D400="",$N400=""),"",IF($E400="LONG",$O400,$K400))</f>
        <v/>
      </c>
    </row>
    <row r="401" customFormat="false" ht="15" hidden="false" customHeight="false" outlineLevel="0" collapsed="false">
      <c r="A401" s="49"/>
      <c r="B401" s="5" t="str">
        <f aca="false">IF($D401="","",IF(OR(RIGHT($A401,2)="-L",RIGHT($A401,2)="-S"),LEFT($A401,LEN($A401)-2),$A401))</f>
        <v/>
      </c>
      <c r="C401" s="50"/>
      <c r="D401" s="49"/>
      <c r="E401" s="49"/>
      <c r="F401" s="49"/>
      <c r="G401" s="45"/>
      <c r="H401" s="50"/>
      <c r="I401" s="45"/>
      <c r="J401" s="51"/>
      <c r="K401" s="40" t="str">
        <f aca="false">IF($D401="","",$I401*$J401)</f>
        <v/>
      </c>
      <c r="L401" s="50"/>
      <c r="M401" s="49"/>
      <c r="N401" s="45"/>
      <c r="O401" s="40" t="str">
        <f aca="false">IF(OR($D401="",$N401=""),"",$N401*$J401)</f>
        <v/>
      </c>
      <c r="P401" s="41" t="str">
        <f aca="false">IF(OR($D401="",$L401=""),"",MAX($L401-$H401,0))</f>
        <v/>
      </c>
      <c r="Q401" s="40" t="str">
        <f aca="false">IF(OR($D401="",$N401=""),"",IF($E401="LONG",($N401-$I401)*$J401,($I401-$N401)*$J401))</f>
        <v/>
      </c>
      <c r="R401" s="42" t="str">
        <f aca="false">IF(OR($D401="",$Q401="",$K401=0),"",$Q401/$K401)</f>
        <v/>
      </c>
      <c r="S401" s="43" t="str">
        <f aca="false">IF(OR($D401="",$N401=""),"",MIN(INDEX(Config!$C$13:$C$15,$AK401),INDEX(Config!$B$13:$B$15,$AK401)*$K401)+MIN(INDEX(Config!$C$13:$C$15,$AK401),INDEX(Config!$B$13:$B$15,$AK401)*$O401))</f>
        <v/>
      </c>
      <c r="T401" s="43" t="str">
        <f aca="false">IF(OR($D401="",$N401=""),"",INDEX(Config!$D$13:$D$15,$AK401)*$AL401+INDEX(Config!$E$13:$E$15,$AK401)*$AM401)</f>
        <v/>
      </c>
      <c r="U401" s="43" t="str">
        <f aca="false">IF(OR($D401="",$N401=""),"",INDEX(Config!$F$13:$F$15,$AK401)*($K401+$O401))</f>
        <v/>
      </c>
      <c r="V401" s="43" t="str">
        <f aca="false">IF(OR($D401="",$N401=""),"",INDEX(Config!$G$13:$G$15,$AK401)*($K401+$O401)+INDEX(Config!$H$13:$H$15,$AK401)*$AL401+INDEX(Config!$J$13:$J$15,$AK401))</f>
        <v/>
      </c>
      <c r="W401" s="43" t="str">
        <f aca="false">IF(OR($D401="",$N401=""),"",INDEX(Config!$I$13:$I$15,$AK401)*($S401+$U401+INDEX(Config!$G$13:$G$15,$AK401)*($K401+$O401)))</f>
        <v/>
      </c>
      <c r="X401" s="43" t="str">
        <f aca="false">IF(OR($D401="",$N401=""),"",INDEX(Config!$K$13:$K$15,$AK401)/365*$P401*$K401*Config!$B$8)</f>
        <v/>
      </c>
      <c r="Y401" s="43" t="str">
        <f aca="false">IF(OR($D401="",$N401=""),"",SUM($S401:$X401))</f>
        <v/>
      </c>
      <c r="Z401" s="40" t="str">
        <f aca="false">IF(OR($D401="",$Q401=""),"",$Q401-$Y401)</f>
        <v/>
      </c>
      <c r="AA401" s="42" t="str">
        <f aca="false">IF(OR($D401="",$Z401="",$K401=0),"",$Z401/$K401)</f>
        <v/>
      </c>
      <c r="AB401" s="44" t="str">
        <f aca="false">IF(OR($D401="",$Y401="",$K401=0),"",$Y401/$K401*10000)</f>
        <v/>
      </c>
      <c r="AC401" s="44" t="str">
        <f aca="false">IF(OR($D401="",$G401="",$G401=0,$I401=""),"",IF($E401="LONG",($I401-$G401)/$G401,($G401-$I401)/$G401)*10000)</f>
        <v/>
      </c>
      <c r="AD401" s="45"/>
      <c r="AE401" s="40" t="str">
        <f aca="false">IF(OR($D401="",$N401&lt;&gt;"",$AD401=""),"",IF($E401="LONG",($AD401-$I401)*$J401,($I401-$AD401)*$J401))</f>
        <v/>
      </c>
      <c r="AF401" s="40" t="str">
        <f aca="false">IF(OR($D401="",$E401&lt;&gt;"LONG",$Z401=""),"",$Z401+SUMIFS($Z$4:$Z$503,$B$4:$B$503,$B401,$E$4:$E$503,"SHORT"))</f>
        <v/>
      </c>
      <c r="AG401" s="42" t="str">
        <f aca="false">IF(OR($AF401="",$K401=0),"",$AF401/$K401)</f>
        <v/>
      </c>
      <c r="AH401" s="46"/>
      <c r="AI401" s="43" t="str">
        <f aca="false">IF(OR($D401="",$AH401="",$Z401=""),"",$Z401-$AH401)</f>
        <v/>
      </c>
      <c r="AJ401" s="49"/>
      <c r="AK401" s="47" t="str">
        <f aca="false">IF($D401="","",IFERROR(MATCH($F401,Config!$A$13:$A$15,0),1))</f>
        <v/>
      </c>
      <c r="AL401" s="47" t="str">
        <f aca="false">IF(OR($D401="",$N401=""),"",IF($E401="LONG",$K401,$O401))</f>
        <v/>
      </c>
      <c r="AM401" s="47" t="str">
        <f aca="false">IF(OR($D401="",$N401=""),"",IF($E401="LONG",$O401,$K401))</f>
        <v/>
      </c>
    </row>
    <row r="402" customFormat="false" ht="15" hidden="false" customHeight="false" outlineLevel="0" collapsed="false">
      <c r="A402" s="49"/>
      <c r="B402" s="5" t="str">
        <f aca="false">IF($D402="","",IF(OR(RIGHT($A402,2)="-L",RIGHT($A402,2)="-S"),LEFT($A402,LEN($A402)-2),$A402))</f>
        <v/>
      </c>
      <c r="C402" s="50"/>
      <c r="D402" s="49"/>
      <c r="E402" s="49"/>
      <c r="F402" s="49"/>
      <c r="G402" s="45"/>
      <c r="H402" s="50"/>
      <c r="I402" s="45"/>
      <c r="J402" s="51"/>
      <c r="K402" s="40" t="str">
        <f aca="false">IF($D402="","",$I402*$J402)</f>
        <v/>
      </c>
      <c r="L402" s="50"/>
      <c r="M402" s="49"/>
      <c r="N402" s="45"/>
      <c r="O402" s="40" t="str">
        <f aca="false">IF(OR($D402="",$N402=""),"",$N402*$J402)</f>
        <v/>
      </c>
      <c r="P402" s="41" t="str">
        <f aca="false">IF(OR($D402="",$L402=""),"",MAX($L402-$H402,0))</f>
        <v/>
      </c>
      <c r="Q402" s="40" t="str">
        <f aca="false">IF(OR($D402="",$N402=""),"",IF($E402="LONG",($N402-$I402)*$J402,($I402-$N402)*$J402))</f>
        <v/>
      </c>
      <c r="R402" s="42" t="str">
        <f aca="false">IF(OR($D402="",$Q402="",$K402=0),"",$Q402/$K402)</f>
        <v/>
      </c>
      <c r="S402" s="43" t="str">
        <f aca="false">IF(OR($D402="",$N402=""),"",MIN(INDEX(Config!$C$13:$C$15,$AK402),INDEX(Config!$B$13:$B$15,$AK402)*$K402)+MIN(INDEX(Config!$C$13:$C$15,$AK402),INDEX(Config!$B$13:$B$15,$AK402)*$O402))</f>
        <v/>
      </c>
      <c r="T402" s="43" t="str">
        <f aca="false">IF(OR($D402="",$N402=""),"",INDEX(Config!$D$13:$D$15,$AK402)*$AL402+INDEX(Config!$E$13:$E$15,$AK402)*$AM402)</f>
        <v/>
      </c>
      <c r="U402" s="43" t="str">
        <f aca="false">IF(OR($D402="",$N402=""),"",INDEX(Config!$F$13:$F$15,$AK402)*($K402+$O402))</f>
        <v/>
      </c>
      <c r="V402" s="43" t="str">
        <f aca="false">IF(OR($D402="",$N402=""),"",INDEX(Config!$G$13:$G$15,$AK402)*($K402+$O402)+INDEX(Config!$H$13:$H$15,$AK402)*$AL402+INDEX(Config!$J$13:$J$15,$AK402))</f>
        <v/>
      </c>
      <c r="W402" s="43" t="str">
        <f aca="false">IF(OR($D402="",$N402=""),"",INDEX(Config!$I$13:$I$15,$AK402)*($S402+$U402+INDEX(Config!$G$13:$G$15,$AK402)*($K402+$O402)))</f>
        <v/>
      </c>
      <c r="X402" s="43" t="str">
        <f aca="false">IF(OR($D402="",$N402=""),"",INDEX(Config!$K$13:$K$15,$AK402)/365*$P402*$K402*Config!$B$8)</f>
        <v/>
      </c>
      <c r="Y402" s="43" t="str">
        <f aca="false">IF(OR($D402="",$N402=""),"",SUM($S402:$X402))</f>
        <v/>
      </c>
      <c r="Z402" s="40" t="str">
        <f aca="false">IF(OR($D402="",$Q402=""),"",$Q402-$Y402)</f>
        <v/>
      </c>
      <c r="AA402" s="42" t="str">
        <f aca="false">IF(OR($D402="",$Z402="",$K402=0),"",$Z402/$K402)</f>
        <v/>
      </c>
      <c r="AB402" s="44" t="str">
        <f aca="false">IF(OR($D402="",$Y402="",$K402=0),"",$Y402/$K402*10000)</f>
        <v/>
      </c>
      <c r="AC402" s="44" t="str">
        <f aca="false">IF(OR($D402="",$G402="",$G402=0,$I402=""),"",IF($E402="LONG",($I402-$G402)/$G402,($G402-$I402)/$G402)*10000)</f>
        <v/>
      </c>
      <c r="AD402" s="45"/>
      <c r="AE402" s="40" t="str">
        <f aca="false">IF(OR($D402="",$N402&lt;&gt;"",$AD402=""),"",IF($E402="LONG",($AD402-$I402)*$J402,($I402-$AD402)*$J402))</f>
        <v/>
      </c>
      <c r="AF402" s="40" t="str">
        <f aca="false">IF(OR($D402="",$E402&lt;&gt;"LONG",$Z402=""),"",$Z402+SUMIFS($Z$4:$Z$503,$B$4:$B$503,$B402,$E$4:$E$503,"SHORT"))</f>
        <v/>
      </c>
      <c r="AG402" s="42" t="str">
        <f aca="false">IF(OR($AF402="",$K402=0),"",$AF402/$K402)</f>
        <v/>
      </c>
      <c r="AH402" s="46"/>
      <c r="AI402" s="43" t="str">
        <f aca="false">IF(OR($D402="",$AH402="",$Z402=""),"",$Z402-$AH402)</f>
        <v/>
      </c>
      <c r="AJ402" s="49"/>
      <c r="AK402" s="47" t="str">
        <f aca="false">IF($D402="","",IFERROR(MATCH($F402,Config!$A$13:$A$15,0),1))</f>
        <v/>
      </c>
      <c r="AL402" s="47" t="str">
        <f aca="false">IF(OR($D402="",$N402=""),"",IF($E402="LONG",$K402,$O402))</f>
        <v/>
      </c>
      <c r="AM402" s="47" t="str">
        <f aca="false">IF(OR($D402="",$N402=""),"",IF($E402="LONG",$O402,$K402))</f>
        <v/>
      </c>
    </row>
    <row r="403" customFormat="false" ht="15" hidden="false" customHeight="false" outlineLevel="0" collapsed="false">
      <c r="A403" s="49"/>
      <c r="B403" s="5" t="str">
        <f aca="false">IF($D403="","",IF(OR(RIGHT($A403,2)="-L",RIGHT($A403,2)="-S"),LEFT($A403,LEN($A403)-2),$A403))</f>
        <v/>
      </c>
      <c r="C403" s="50"/>
      <c r="D403" s="49"/>
      <c r="E403" s="49"/>
      <c r="F403" s="49"/>
      <c r="G403" s="45"/>
      <c r="H403" s="50"/>
      <c r="I403" s="45"/>
      <c r="J403" s="51"/>
      <c r="K403" s="40" t="str">
        <f aca="false">IF($D403="","",$I403*$J403)</f>
        <v/>
      </c>
      <c r="L403" s="50"/>
      <c r="M403" s="49"/>
      <c r="N403" s="45"/>
      <c r="O403" s="40" t="str">
        <f aca="false">IF(OR($D403="",$N403=""),"",$N403*$J403)</f>
        <v/>
      </c>
      <c r="P403" s="41" t="str">
        <f aca="false">IF(OR($D403="",$L403=""),"",MAX($L403-$H403,0))</f>
        <v/>
      </c>
      <c r="Q403" s="40" t="str">
        <f aca="false">IF(OR($D403="",$N403=""),"",IF($E403="LONG",($N403-$I403)*$J403,($I403-$N403)*$J403))</f>
        <v/>
      </c>
      <c r="R403" s="42" t="str">
        <f aca="false">IF(OR($D403="",$Q403="",$K403=0),"",$Q403/$K403)</f>
        <v/>
      </c>
      <c r="S403" s="43" t="str">
        <f aca="false">IF(OR($D403="",$N403=""),"",MIN(INDEX(Config!$C$13:$C$15,$AK403),INDEX(Config!$B$13:$B$15,$AK403)*$K403)+MIN(INDEX(Config!$C$13:$C$15,$AK403),INDEX(Config!$B$13:$B$15,$AK403)*$O403))</f>
        <v/>
      </c>
      <c r="T403" s="43" t="str">
        <f aca="false">IF(OR($D403="",$N403=""),"",INDEX(Config!$D$13:$D$15,$AK403)*$AL403+INDEX(Config!$E$13:$E$15,$AK403)*$AM403)</f>
        <v/>
      </c>
      <c r="U403" s="43" t="str">
        <f aca="false">IF(OR($D403="",$N403=""),"",INDEX(Config!$F$13:$F$15,$AK403)*($K403+$O403))</f>
        <v/>
      </c>
      <c r="V403" s="43" t="str">
        <f aca="false">IF(OR($D403="",$N403=""),"",INDEX(Config!$G$13:$G$15,$AK403)*($K403+$O403)+INDEX(Config!$H$13:$H$15,$AK403)*$AL403+INDEX(Config!$J$13:$J$15,$AK403))</f>
        <v/>
      </c>
      <c r="W403" s="43" t="str">
        <f aca="false">IF(OR($D403="",$N403=""),"",INDEX(Config!$I$13:$I$15,$AK403)*($S403+$U403+INDEX(Config!$G$13:$G$15,$AK403)*($K403+$O403)))</f>
        <v/>
      </c>
      <c r="X403" s="43" t="str">
        <f aca="false">IF(OR($D403="",$N403=""),"",INDEX(Config!$K$13:$K$15,$AK403)/365*$P403*$K403*Config!$B$8)</f>
        <v/>
      </c>
      <c r="Y403" s="43" t="str">
        <f aca="false">IF(OR($D403="",$N403=""),"",SUM($S403:$X403))</f>
        <v/>
      </c>
      <c r="Z403" s="40" t="str">
        <f aca="false">IF(OR($D403="",$Q403=""),"",$Q403-$Y403)</f>
        <v/>
      </c>
      <c r="AA403" s="42" t="str">
        <f aca="false">IF(OR($D403="",$Z403="",$K403=0),"",$Z403/$K403)</f>
        <v/>
      </c>
      <c r="AB403" s="44" t="str">
        <f aca="false">IF(OR($D403="",$Y403="",$K403=0),"",$Y403/$K403*10000)</f>
        <v/>
      </c>
      <c r="AC403" s="44" t="str">
        <f aca="false">IF(OR($D403="",$G403="",$G403=0,$I403=""),"",IF($E403="LONG",($I403-$G403)/$G403,($G403-$I403)/$G403)*10000)</f>
        <v/>
      </c>
      <c r="AD403" s="45"/>
      <c r="AE403" s="40" t="str">
        <f aca="false">IF(OR($D403="",$N403&lt;&gt;"",$AD403=""),"",IF($E403="LONG",($AD403-$I403)*$J403,($I403-$AD403)*$J403))</f>
        <v/>
      </c>
      <c r="AF403" s="40" t="str">
        <f aca="false">IF(OR($D403="",$E403&lt;&gt;"LONG",$Z403=""),"",$Z403+SUMIFS($Z$4:$Z$503,$B$4:$B$503,$B403,$E$4:$E$503,"SHORT"))</f>
        <v/>
      </c>
      <c r="AG403" s="42" t="str">
        <f aca="false">IF(OR($AF403="",$K403=0),"",$AF403/$K403)</f>
        <v/>
      </c>
      <c r="AH403" s="46"/>
      <c r="AI403" s="43" t="str">
        <f aca="false">IF(OR($D403="",$AH403="",$Z403=""),"",$Z403-$AH403)</f>
        <v/>
      </c>
      <c r="AJ403" s="49"/>
      <c r="AK403" s="47" t="str">
        <f aca="false">IF($D403="","",IFERROR(MATCH($F403,Config!$A$13:$A$15,0),1))</f>
        <v/>
      </c>
      <c r="AL403" s="47" t="str">
        <f aca="false">IF(OR($D403="",$N403=""),"",IF($E403="LONG",$K403,$O403))</f>
        <v/>
      </c>
      <c r="AM403" s="47" t="str">
        <f aca="false">IF(OR($D403="",$N403=""),"",IF($E403="LONG",$O403,$K403))</f>
        <v/>
      </c>
    </row>
    <row r="404" customFormat="false" ht="15" hidden="false" customHeight="false" outlineLevel="0" collapsed="false">
      <c r="A404" s="49"/>
      <c r="B404" s="5" t="str">
        <f aca="false">IF($D404="","",IF(OR(RIGHT($A404,2)="-L",RIGHT($A404,2)="-S"),LEFT($A404,LEN($A404)-2),$A404))</f>
        <v/>
      </c>
      <c r="C404" s="50"/>
      <c r="D404" s="49"/>
      <c r="E404" s="49"/>
      <c r="F404" s="49"/>
      <c r="G404" s="45"/>
      <c r="H404" s="50"/>
      <c r="I404" s="45"/>
      <c r="J404" s="51"/>
      <c r="K404" s="40" t="str">
        <f aca="false">IF($D404="","",$I404*$J404)</f>
        <v/>
      </c>
      <c r="L404" s="50"/>
      <c r="M404" s="49"/>
      <c r="N404" s="45"/>
      <c r="O404" s="40" t="str">
        <f aca="false">IF(OR($D404="",$N404=""),"",$N404*$J404)</f>
        <v/>
      </c>
      <c r="P404" s="41" t="str">
        <f aca="false">IF(OR($D404="",$L404=""),"",MAX($L404-$H404,0))</f>
        <v/>
      </c>
      <c r="Q404" s="40" t="str">
        <f aca="false">IF(OR($D404="",$N404=""),"",IF($E404="LONG",($N404-$I404)*$J404,($I404-$N404)*$J404))</f>
        <v/>
      </c>
      <c r="R404" s="42" t="str">
        <f aca="false">IF(OR($D404="",$Q404="",$K404=0),"",$Q404/$K404)</f>
        <v/>
      </c>
      <c r="S404" s="43" t="str">
        <f aca="false">IF(OR($D404="",$N404=""),"",MIN(INDEX(Config!$C$13:$C$15,$AK404),INDEX(Config!$B$13:$B$15,$AK404)*$K404)+MIN(INDEX(Config!$C$13:$C$15,$AK404),INDEX(Config!$B$13:$B$15,$AK404)*$O404))</f>
        <v/>
      </c>
      <c r="T404" s="43" t="str">
        <f aca="false">IF(OR($D404="",$N404=""),"",INDEX(Config!$D$13:$D$15,$AK404)*$AL404+INDEX(Config!$E$13:$E$15,$AK404)*$AM404)</f>
        <v/>
      </c>
      <c r="U404" s="43" t="str">
        <f aca="false">IF(OR($D404="",$N404=""),"",INDEX(Config!$F$13:$F$15,$AK404)*($K404+$O404))</f>
        <v/>
      </c>
      <c r="V404" s="43" t="str">
        <f aca="false">IF(OR($D404="",$N404=""),"",INDEX(Config!$G$13:$G$15,$AK404)*($K404+$O404)+INDEX(Config!$H$13:$H$15,$AK404)*$AL404+INDEX(Config!$J$13:$J$15,$AK404))</f>
        <v/>
      </c>
      <c r="W404" s="43" t="str">
        <f aca="false">IF(OR($D404="",$N404=""),"",INDEX(Config!$I$13:$I$15,$AK404)*($S404+$U404+INDEX(Config!$G$13:$G$15,$AK404)*($K404+$O404)))</f>
        <v/>
      </c>
      <c r="X404" s="43" t="str">
        <f aca="false">IF(OR($D404="",$N404=""),"",INDEX(Config!$K$13:$K$15,$AK404)/365*$P404*$K404*Config!$B$8)</f>
        <v/>
      </c>
      <c r="Y404" s="43" t="str">
        <f aca="false">IF(OR($D404="",$N404=""),"",SUM($S404:$X404))</f>
        <v/>
      </c>
      <c r="Z404" s="40" t="str">
        <f aca="false">IF(OR($D404="",$Q404=""),"",$Q404-$Y404)</f>
        <v/>
      </c>
      <c r="AA404" s="42" t="str">
        <f aca="false">IF(OR($D404="",$Z404="",$K404=0),"",$Z404/$K404)</f>
        <v/>
      </c>
      <c r="AB404" s="44" t="str">
        <f aca="false">IF(OR($D404="",$Y404="",$K404=0),"",$Y404/$K404*10000)</f>
        <v/>
      </c>
      <c r="AC404" s="44" t="str">
        <f aca="false">IF(OR($D404="",$G404="",$G404=0,$I404=""),"",IF($E404="LONG",($I404-$G404)/$G404,($G404-$I404)/$G404)*10000)</f>
        <v/>
      </c>
      <c r="AD404" s="45"/>
      <c r="AE404" s="40" t="str">
        <f aca="false">IF(OR($D404="",$N404&lt;&gt;"",$AD404=""),"",IF($E404="LONG",($AD404-$I404)*$J404,($I404-$AD404)*$J404))</f>
        <v/>
      </c>
      <c r="AF404" s="40" t="str">
        <f aca="false">IF(OR($D404="",$E404&lt;&gt;"LONG",$Z404=""),"",$Z404+SUMIFS($Z$4:$Z$503,$B$4:$B$503,$B404,$E$4:$E$503,"SHORT"))</f>
        <v/>
      </c>
      <c r="AG404" s="42" t="str">
        <f aca="false">IF(OR($AF404="",$K404=0),"",$AF404/$K404)</f>
        <v/>
      </c>
      <c r="AH404" s="46"/>
      <c r="AI404" s="43" t="str">
        <f aca="false">IF(OR($D404="",$AH404="",$Z404=""),"",$Z404-$AH404)</f>
        <v/>
      </c>
      <c r="AJ404" s="49"/>
      <c r="AK404" s="47" t="str">
        <f aca="false">IF($D404="","",IFERROR(MATCH($F404,Config!$A$13:$A$15,0),1))</f>
        <v/>
      </c>
      <c r="AL404" s="47" t="str">
        <f aca="false">IF(OR($D404="",$N404=""),"",IF($E404="LONG",$K404,$O404))</f>
        <v/>
      </c>
      <c r="AM404" s="47" t="str">
        <f aca="false">IF(OR($D404="",$N404=""),"",IF($E404="LONG",$O404,$K404))</f>
        <v/>
      </c>
    </row>
    <row r="405" customFormat="false" ht="15" hidden="false" customHeight="false" outlineLevel="0" collapsed="false">
      <c r="A405" s="49"/>
      <c r="B405" s="5" t="str">
        <f aca="false">IF($D405="","",IF(OR(RIGHT($A405,2)="-L",RIGHT($A405,2)="-S"),LEFT($A405,LEN($A405)-2),$A405))</f>
        <v/>
      </c>
      <c r="C405" s="50"/>
      <c r="D405" s="49"/>
      <c r="E405" s="49"/>
      <c r="F405" s="49"/>
      <c r="G405" s="45"/>
      <c r="H405" s="50"/>
      <c r="I405" s="45"/>
      <c r="J405" s="51"/>
      <c r="K405" s="40" t="str">
        <f aca="false">IF($D405="","",$I405*$J405)</f>
        <v/>
      </c>
      <c r="L405" s="50"/>
      <c r="M405" s="49"/>
      <c r="N405" s="45"/>
      <c r="O405" s="40" t="str">
        <f aca="false">IF(OR($D405="",$N405=""),"",$N405*$J405)</f>
        <v/>
      </c>
      <c r="P405" s="41" t="str">
        <f aca="false">IF(OR($D405="",$L405=""),"",MAX($L405-$H405,0))</f>
        <v/>
      </c>
      <c r="Q405" s="40" t="str">
        <f aca="false">IF(OR($D405="",$N405=""),"",IF($E405="LONG",($N405-$I405)*$J405,($I405-$N405)*$J405))</f>
        <v/>
      </c>
      <c r="R405" s="42" t="str">
        <f aca="false">IF(OR($D405="",$Q405="",$K405=0),"",$Q405/$K405)</f>
        <v/>
      </c>
      <c r="S405" s="43" t="str">
        <f aca="false">IF(OR($D405="",$N405=""),"",MIN(INDEX(Config!$C$13:$C$15,$AK405),INDEX(Config!$B$13:$B$15,$AK405)*$K405)+MIN(INDEX(Config!$C$13:$C$15,$AK405),INDEX(Config!$B$13:$B$15,$AK405)*$O405))</f>
        <v/>
      </c>
      <c r="T405" s="43" t="str">
        <f aca="false">IF(OR($D405="",$N405=""),"",INDEX(Config!$D$13:$D$15,$AK405)*$AL405+INDEX(Config!$E$13:$E$15,$AK405)*$AM405)</f>
        <v/>
      </c>
      <c r="U405" s="43" t="str">
        <f aca="false">IF(OR($D405="",$N405=""),"",INDEX(Config!$F$13:$F$15,$AK405)*($K405+$O405))</f>
        <v/>
      </c>
      <c r="V405" s="43" t="str">
        <f aca="false">IF(OR($D405="",$N405=""),"",INDEX(Config!$G$13:$G$15,$AK405)*($K405+$O405)+INDEX(Config!$H$13:$H$15,$AK405)*$AL405+INDEX(Config!$J$13:$J$15,$AK405))</f>
        <v/>
      </c>
      <c r="W405" s="43" t="str">
        <f aca="false">IF(OR($D405="",$N405=""),"",INDEX(Config!$I$13:$I$15,$AK405)*($S405+$U405+INDEX(Config!$G$13:$G$15,$AK405)*($K405+$O405)))</f>
        <v/>
      </c>
      <c r="X405" s="43" t="str">
        <f aca="false">IF(OR($D405="",$N405=""),"",INDEX(Config!$K$13:$K$15,$AK405)/365*$P405*$K405*Config!$B$8)</f>
        <v/>
      </c>
      <c r="Y405" s="43" t="str">
        <f aca="false">IF(OR($D405="",$N405=""),"",SUM($S405:$X405))</f>
        <v/>
      </c>
      <c r="Z405" s="40" t="str">
        <f aca="false">IF(OR($D405="",$Q405=""),"",$Q405-$Y405)</f>
        <v/>
      </c>
      <c r="AA405" s="42" t="str">
        <f aca="false">IF(OR($D405="",$Z405="",$K405=0),"",$Z405/$K405)</f>
        <v/>
      </c>
      <c r="AB405" s="44" t="str">
        <f aca="false">IF(OR($D405="",$Y405="",$K405=0),"",$Y405/$K405*10000)</f>
        <v/>
      </c>
      <c r="AC405" s="44" t="str">
        <f aca="false">IF(OR($D405="",$G405="",$G405=0,$I405=""),"",IF($E405="LONG",($I405-$G405)/$G405,($G405-$I405)/$G405)*10000)</f>
        <v/>
      </c>
      <c r="AD405" s="45"/>
      <c r="AE405" s="40" t="str">
        <f aca="false">IF(OR($D405="",$N405&lt;&gt;"",$AD405=""),"",IF($E405="LONG",($AD405-$I405)*$J405,($I405-$AD405)*$J405))</f>
        <v/>
      </c>
      <c r="AF405" s="40" t="str">
        <f aca="false">IF(OR($D405="",$E405&lt;&gt;"LONG",$Z405=""),"",$Z405+SUMIFS($Z$4:$Z$503,$B$4:$B$503,$B405,$E$4:$E$503,"SHORT"))</f>
        <v/>
      </c>
      <c r="AG405" s="42" t="str">
        <f aca="false">IF(OR($AF405="",$K405=0),"",$AF405/$K405)</f>
        <v/>
      </c>
      <c r="AH405" s="46"/>
      <c r="AI405" s="43" t="str">
        <f aca="false">IF(OR($D405="",$AH405="",$Z405=""),"",$Z405-$AH405)</f>
        <v/>
      </c>
      <c r="AJ405" s="49"/>
      <c r="AK405" s="47" t="str">
        <f aca="false">IF($D405="","",IFERROR(MATCH($F405,Config!$A$13:$A$15,0),1))</f>
        <v/>
      </c>
      <c r="AL405" s="47" t="str">
        <f aca="false">IF(OR($D405="",$N405=""),"",IF($E405="LONG",$K405,$O405))</f>
        <v/>
      </c>
      <c r="AM405" s="47" t="str">
        <f aca="false">IF(OR($D405="",$N405=""),"",IF($E405="LONG",$O405,$K405))</f>
        <v/>
      </c>
    </row>
    <row r="406" customFormat="false" ht="15" hidden="false" customHeight="false" outlineLevel="0" collapsed="false">
      <c r="A406" s="49"/>
      <c r="B406" s="5" t="str">
        <f aca="false">IF($D406="","",IF(OR(RIGHT($A406,2)="-L",RIGHT($A406,2)="-S"),LEFT($A406,LEN($A406)-2),$A406))</f>
        <v/>
      </c>
      <c r="C406" s="50"/>
      <c r="D406" s="49"/>
      <c r="E406" s="49"/>
      <c r="F406" s="49"/>
      <c r="G406" s="45"/>
      <c r="H406" s="50"/>
      <c r="I406" s="45"/>
      <c r="J406" s="51"/>
      <c r="K406" s="40" t="str">
        <f aca="false">IF($D406="","",$I406*$J406)</f>
        <v/>
      </c>
      <c r="L406" s="50"/>
      <c r="M406" s="49"/>
      <c r="N406" s="45"/>
      <c r="O406" s="40" t="str">
        <f aca="false">IF(OR($D406="",$N406=""),"",$N406*$J406)</f>
        <v/>
      </c>
      <c r="P406" s="41" t="str">
        <f aca="false">IF(OR($D406="",$L406=""),"",MAX($L406-$H406,0))</f>
        <v/>
      </c>
      <c r="Q406" s="40" t="str">
        <f aca="false">IF(OR($D406="",$N406=""),"",IF($E406="LONG",($N406-$I406)*$J406,($I406-$N406)*$J406))</f>
        <v/>
      </c>
      <c r="R406" s="42" t="str">
        <f aca="false">IF(OR($D406="",$Q406="",$K406=0),"",$Q406/$K406)</f>
        <v/>
      </c>
      <c r="S406" s="43" t="str">
        <f aca="false">IF(OR($D406="",$N406=""),"",MIN(INDEX(Config!$C$13:$C$15,$AK406),INDEX(Config!$B$13:$B$15,$AK406)*$K406)+MIN(INDEX(Config!$C$13:$C$15,$AK406),INDEX(Config!$B$13:$B$15,$AK406)*$O406))</f>
        <v/>
      </c>
      <c r="T406" s="43" t="str">
        <f aca="false">IF(OR($D406="",$N406=""),"",INDEX(Config!$D$13:$D$15,$AK406)*$AL406+INDEX(Config!$E$13:$E$15,$AK406)*$AM406)</f>
        <v/>
      </c>
      <c r="U406" s="43" t="str">
        <f aca="false">IF(OR($D406="",$N406=""),"",INDEX(Config!$F$13:$F$15,$AK406)*($K406+$O406))</f>
        <v/>
      </c>
      <c r="V406" s="43" t="str">
        <f aca="false">IF(OR($D406="",$N406=""),"",INDEX(Config!$G$13:$G$15,$AK406)*($K406+$O406)+INDEX(Config!$H$13:$H$15,$AK406)*$AL406+INDEX(Config!$J$13:$J$15,$AK406))</f>
        <v/>
      </c>
      <c r="W406" s="43" t="str">
        <f aca="false">IF(OR($D406="",$N406=""),"",INDEX(Config!$I$13:$I$15,$AK406)*($S406+$U406+INDEX(Config!$G$13:$G$15,$AK406)*($K406+$O406)))</f>
        <v/>
      </c>
      <c r="X406" s="43" t="str">
        <f aca="false">IF(OR($D406="",$N406=""),"",INDEX(Config!$K$13:$K$15,$AK406)/365*$P406*$K406*Config!$B$8)</f>
        <v/>
      </c>
      <c r="Y406" s="43" t="str">
        <f aca="false">IF(OR($D406="",$N406=""),"",SUM($S406:$X406))</f>
        <v/>
      </c>
      <c r="Z406" s="40" t="str">
        <f aca="false">IF(OR($D406="",$Q406=""),"",$Q406-$Y406)</f>
        <v/>
      </c>
      <c r="AA406" s="42" t="str">
        <f aca="false">IF(OR($D406="",$Z406="",$K406=0),"",$Z406/$K406)</f>
        <v/>
      </c>
      <c r="AB406" s="44" t="str">
        <f aca="false">IF(OR($D406="",$Y406="",$K406=0),"",$Y406/$K406*10000)</f>
        <v/>
      </c>
      <c r="AC406" s="44" t="str">
        <f aca="false">IF(OR($D406="",$G406="",$G406=0,$I406=""),"",IF($E406="LONG",($I406-$G406)/$G406,($G406-$I406)/$G406)*10000)</f>
        <v/>
      </c>
      <c r="AD406" s="45"/>
      <c r="AE406" s="40" t="str">
        <f aca="false">IF(OR($D406="",$N406&lt;&gt;"",$AD406=""),"",IF($E406="LONG",($AD406-$I406)*$J406,($I406-$AD406)*$J406))</f>
        <v/>
      </c>
      <c r="AF406" s="40" t="str">
        <f aca="false">IF(OR($D406="",$E406&lt;&gt;"LONG",$Z406=""),"",$Z406+SUMIFS($Z$4:$Z$503,$B$4:$B$503,$B406,$E$4:$E$503,"SHORT"))</f>
        <v/>
      </c>
      <c r="AG406" s="42" t="str">
        <f aca="false">IF(OR($AF406="",$K406=0),"",$AF406/$K406)</f>
        <v/>
      </c>
      <c r="AH406" s="46"/>
      <c r="AI406" s="43" t="str">
        <f aca="false">IF(OR($D406="",$AH406="",$Z406=""),"",$Z406-$AH406)</f>
        <v/>
      </c>
      <c r="AJ406" s="49"/>
      <c r="AK406" s="47" t="str">
        <f aca="false">IF($D406="","",IFERROR(MATCH($F406,Config!$A$13:$A$15,0),1))</f>
        <v/>
      </c>
      <c r="AL406" s="47" t="str">
        <f aca="false">IF(OR($D406="",$N406=""),"",IF($E406="LONG",$K406,$O406))</f>
        <v/>
      </c>
      <c r="AM406" s="47" t="str">
        <f aca="false">IF(OR($D406="",$N406=""),"",IF($E406="LONG",$O406,$K406))</f>
        <v/>
      </c>
    </row>
    <row r="407" customFormat="false" ht="15" hidden="false" customHeight="false" outlineLevel="0" collapsed="false">
      <c r="A407" s="49"/>
      <c r="B407" s="5" t="str">
        <f aca="false">IF($D407="","",IF(OR(RIGHT($A407,2)="-L",RIGHT($A407,2)="-S"),LEFT($A407,LEN($A407)-2),$A407))</f>
        <v/>
      </c>
      <c r="C407" s="50"/>
      <c r="D407" s="49"/>
      <c r="E407" s="49"/>
      <c r="F407" s="49"/>
      <c r="G407" s="45"/>
      <c r="H407" s="50"/>
      <c r="I407" s="45"/>
      <c r="J407" s="51"/>
      <c r="K407" s="40" t="str">
        <f aca="false">IF($D407="","",$I407*$J407)</f>
        <v/>
      </c>
      <c r="L407" s="50"/>
      <c r="M407" s="49"/>
      <c r="N407" s="45"/>
      <c r="O407" s="40" t="str">
        <f aca="false">IF(OR($D407="",$N407=""),"",$N407*$J407)</f>
        <v/>
      </c>
      <c r="P407" s="41" t="str">
        <f aca="false">IF(OR($D407="",$L407=""),"",MAX($L407-$H407,0))</f>
        <v/>
      </c>
      <c r="Q407" s="40" t="str">
        <f aca="false">IF(OR($D407="",$N407=""),"",IF($E407="LONG",($N407-$I407)*$J407,($I407-$N407)*$J407))</f>
        <v/>
      </c>
      <c r="R407" s="42" t="str">
        <f aca="false">IF(OR($D407="",$Q407="",$K407=0),"",$Q407/$K407)</f>
        <v/>
      </c>
      <c r="S407" s="43" t="str">
        <f aca="false">IF(OR($D407="",$N407=""),"",MIN(INDEX(Config!$C$13:$C$15,$AK407),INDEX(Config!$B$13:$B$15,$AK407)*$K407)+MIN(INDEX(Config!$C$13:$C$15,$AK407),INDEX(Config!$B$13:$B$15,$AK407)*$O407))</f>
        <v/>
      </c>
      <c r="T407" s="43" t="str">
        <f aca="false">IF(OR($D407="",$N407=""),"",INDEX(Config!$D$13:$D$15,$AK407)*$AL407+INDEX(Config!$E$13:$E$15,$AK407)*$AM407)</f>
        <v/>
      </c>
      <c r="U407" s="43" t="str">
        <f aca="false">IF(OR($D407="",$N407=""),"",INDEX(Config!$F$13:$F$15,$AK407)*($K407+$O407))</f>
        <v/>
      </c>
      <c r="V407" s="43" t="str">
        <f aca="false">IF(OR($D407="",$N407=""),"",INDEX(Config!$G$13:$G$15,$AK407)*($K407+$O407)+INDEX(Config!$H$13:$H$15,$AK407)*$AL407+INDEX(Config!$J$13:$J$15,$AK407))</f>
        <v/>
      </c>
      <c r="W407" s="43" t="str">
        <f aca="false">IF(OR($D407="",$N407=""),"",INDEX(Config!$I$13:$I$15,$AK407)*($S407+$U407+INDEX(Config!$G$13:$G$15,$AK407)*($K407+$O407)))</f>
        <v/>
      </c>
      <c r="X407" s="43" t="str">
        <f aca="false">IF(OR($D407="",$N407=""),"",INDEX(Config!$K$13:$K$15,$AK407)/365*$P407*$K407*Config!$B$8)</f>
        <v/>
      </c>
      <c r="Y407" s="43" t="str">
        <f aca="false">IF(OR($D407="",$N407=""),"",SUM($S407:$X407))</f>
        <v/>
      </c>
      <c r="Z407" s="40" t="str">
        <f aca="false">IF(OR($D407="",$Q407=""),"",$Q407-$Y407)</f>
        <v/>
      </c>
      <c r="AA407" s="42" t="str">
        <f aca="false">IF(OR($D407="",$Z407="",$K407=0),"",$Z407/$K407)</f>
        <v/>
      </c>
      <c r="AB407" s="44" t="str">
        <f aca="false">IF(OR($D407="",$Y407="",$K407=0),"",$Y407/$K407*10000)</f>
        <v/>
      </c>
      <c r="AC407" s="44" t="str">
        <f aca="false">IF(OR($D407="",$G407="",$G407=0,$I407=""),"",IF($E407="LONG",($I407-$G407)/$G407,($G407-$I407)/$G407)*10000)</f>
        <v/>
      </c>
      <c r="AD407" s="45"/>
      <c r="AE407" s="40" t="str">
        <f aca="false">IF(OR($D407="",$N407&lt;&gt;"",$AD407=""),"",IF($E407="LONG",($AD407-$I407)*$J407,($I407-$AD407)*$J407))</f>
        <v/>
      </c>
      <c r="AF407" s="40" t="str">
        <f aca="false">IF(OR($D407="",$E407&lt;&gt;"LONG",$Z407=""),"",$Z407+SUMIFS($Z$4:$Z$503,$B$4:$B$503,$B407,$E$4:$E$503,"SHORT"))</f>
        <v/>
      </c>
      <c r="AG407" s="42" t="str">
        <f aca="false">IF(OR($AF407="",$K407=0),"",$AF407/$K407)</f>
        <v/>
      </c>
      <c r="AH407" s="46"/>
      <c r="AI407" s="43" t="str">
        <f aca="false">IF(OR($D407="",$AH407="",$Z407=""),"",$Z407-$AH407)</f>
        <v/>
      </c>
      <c r="AJ407" s="49"/>
      <c r="AK407" s="47" t="str">
        <f aca="false">IF($D407="","",IFERROR(MATCH($F407,Config!$A$13:$A$15,0),1))</f>
        <v/>
      </c>
      <c r="AL407" s="47" t="str">
        <f aca="false">IF(OR($D407="",$N407=""),"",IF($E407="LONG",$K407,$O407))</f>
        <v/>
      </c>
      <c r="AM407" s="47" t="str">
        <f aca="false">IF(OR($D407="",$N407=""),"",IF($E407="LONG",$O407,$K407))</f>
        <v/>
      </c>
    </row>
    <row r="408" customFormat="false" ht="15" hidden="false" customHeight="false" outlineLevel="0" collapsed="false">
      <c r="A408" s="49"/>
      <c r="B408" s="5" t="str">
        <f aca="false">IF($D408="","",IF(OR(RIGHT($A408,2)="-L",RIGHT($A408,2)="-S"),LEFT($A408,LEN($A408)-2),$A408))</f>
        <v/>
      </c>
      <c r="C408" s="50"/>
      <c r="D408" s="49"/>
      <c r="E408" s="49"/>
      <c r="F408" s="49"/>
      <c r="G408" s="45"/>
      <c r="H408" s="50"/>
      <c r="I408" s="45"/>
      <c r="J408" s="51"/>
      <c r="K408" s="40" t="str">
        <f aca="false">IF($D408="","",$I408*$J408)</f>
        <v/>
      </c>
      <c r="L408" s="50"/>
      <c r="M408" s="49"/>
      <c r="N408" s="45"/>
      <c r="O408" s="40" t="str">
        <f aca="false">IF(OR($D408="",$N408=""),"",$N408*$J408)</f>
        <v/>
      </c>
      <c r="P408" s="41" t="str">
        <f aca="false">IF(OR($D408="",$L408=""),"",MAX($L408-$H408,0))</f>
        <v/>
      </c>
      <c r="Q408" s="40" t="str">
        <f aca="false">IF(OR($D408="",$N408=""),"",IF($E408="LONG",($N408-$I408)*$J408,($I408-$N408)*$J408))</f>
        <v/>
      </c>
      <c r="R408" s="42" t="str">
        <f aca="false">IF(OR($D408="",$Q408="",$K408=0),"",$Q408/$K408)</f>
        <v/>
      </c>
      <c r="S408" s="43" t="str">
        <f aca="false">IF(OR($D408="",$N408=""),"",MIN(INDEX(Config!$C$13:$C$15,$AK408),INDEX(Config!$B$13:$B$15,$AK408)*$K408)+MIN(INDEX(Config!$C$13:$C$15,$AK408),INDEX(Config!$B$13:$B$15,$AK408)*$O408))</f>
        <v/>
      </c>
      <c r="T408" s="43" t="str">
        <f aca="false">IF(OR($D408="",$N408=""),"",INDEX(Config!$D$13:$D$15,$AK408)*$AL408+INDEX(Config!$E$13:$E$15,$AK408)*$AM408)</f>
        <v/>
      </c>
      <c r="U408" s="43" t="str">
        <f aca="false">IF(OR($D408="",$N408=""),"",INDEX(Config!$F$13:$F$15,$AK408)*($K408+$O408))</f>
        <v/>
      </c>
      <c r="V408" s="43" t="str">
        <f aca="false">IF(OR($D408="",$N408=""),"",INDEX(Config!$G$13:$G$15,$AK408)*($K408+$O408)+INDEX(Config!$H$13:$H$15,$AK408)*$AL408+INDEX(Config!$J$13:$J$15,$AK408))</f>
        <v/>
      </c>
      <c r="W408" s="43" t="str">
        <f aca="false">IF(OR($D408="",$N408=""),"",INDEX(Config!$I$13:$I$15,$AK408)*($S408+$U408+INDEX(Config!$G$13:$G$15,$AK408)*($K408+$O408)))</f>
        <v/>
      </c>
      <c r="X408" s="43" t="str">
        <f aca="false">IF(OR($D408="",$N408=""),"",INDEX(Config!$K$13:$K$15,$AK408)/365*$P408*$K408*Config!$B$8)</f>
        <v/>
      </c>
      <c r="Y408" s="43" t="str">
        <f aca="false">IF(OR($D408="",$N408=""),"",SUM($S408:$X408))</f>
        <v/>
      </c>
      <c r="Z408" s="40" t="str">
        <f aca="false">IF(OR($D408="",$Q408=""),"",$Q408-$Y408)</f>
        <v/>
      </c>
      <c r="AA408" s="42" t="str">
        <f aca="false">IF(OR($D408="",$Z408="",$K408=0),"",$Z408/$K408)</f>
        <v/>
      </c>
      <c r="AB408" s="44" t="str">
        <f aca="false">IF(OR($D408="",$Y408="",$K408=0),"",$Y408/$K408*10000)</f>
        <v/>
      </c>
      <c r="AC408" s="44" t="str">
        <f aca="false">IF(OR($D408="",$G408="",$G408=0,$I408=""),"",IF($E408="LONG",($I408-$G408)/$G408,($G408-$I408)/$G408)*10000)</f>
        <v/>
      </c>
      <c r="AD408" s="45"/>
      <c r="AE408" s="40" t="str">
        <f aca="false">IF(OR($D408="",$N408&lt;&gt;"",$AD408=""),"",IF($E408="LONG",($AD408-$I408)*$J408,($I408-$AD408)*$J408))</f>
        <v/>
      </c>
      <c r="AF408" s="40" t="str">
        <f aca="false">IF(OR($D408="",$E408&lt;&gt;"LONG",$Z408=""),"",$Z408+SUMIFS($Z$4:$Z$503,$B$4:$B$503,$B408,$E$4:$E$503,"SHORT"))</f>
        <v/>
      </c>
      <c r="AG408" s="42" t="str">
        <f aca="false">IF(OR($AF408="",$K408=0),"",$AF408/$K408)</f>
        <v/>
      </c>
      <c r="AH408" s="46"/>
      <c r="AI408" s="43" t="str">
        <f aca="false">IF(OR($D408="",$AH408="",$Z408=""),"",$Z408-$AH408)</f>
        <v/>
      </c>
      <c r="AJ408" s="49"/>
      <c r="AK408" s="47" t="str">
        <f aca="false">IF($D408="","",IFERROR(MATCH($F408,Config!$A$13:$A$15,0),1))</f>
        <v/>
      </c>
      <c r="AL408" s="47" t="str">
        <f aca="false">IF(OR($D408="",$N408=""),"",IF($E408="LONG",$K408,$O408))</f>
        <v/>
      </c>
      <c r="AM408" s="47" t="str">
        <f aca="false">IF(OR($D408="",$N408=""),"",IF($E408="LONG",$O408,$K408))</f>
        <v/>
      </c>
    </row>
    <row r="409" customFormat="false" ht="15" hidden="false" customHeight="false" outlineLevel="0" collapsed="false">
      <c r="A409" s="49"/>
      <c r="B409" s="5" t="str">
        <f aca="false">IF($D409="","",IF(OR(RIGHT($A409,2)="-L",RIGHT($A409,2)="-S"),LEFT($A409,LEN($A409)-2),$A409))</f>
        <v/>
      </c>
      <c r="C409" s="50"/>
      <c r="D409" s="49"/>
      <c r="E409" s="49"/>
      <c r="F409" s="49"/>
      <c r="G409" s="45"/>
      <c r="H409" s="50"/>
      <c r="I409" s="45"/>
      <c r="J409" s="51"/>
      <c r="K409" s="40" t="str">
        <f aca="false">IF($D409="","",$I409*$J409)</f>
        <v/>
      </c>
      <c r="L409" s="50"/>
      <c r="M409" s="49"/>
      <c r="N409" s="45"/>
      <c r="O409" s="40" t="str">
        <f aca="false">IF(OR($D409="",$N409=""),"",$N409*$J409)</f>
        <v/>
      </c>
      <c r="P409" s="41" t="str">
        <f aca="false">IF(OR($D409="",$L409=""),"",MAX($L409-$H409,0))</f>
        <v/>
      </c>
      <c r="Q409" s="40" t="str">
        <f aca="false">IF(OR($D409="",$N409=""),"",IF($E409="LONG",($N409-$I409)*$J409,($I409-$N409)*$J409))</f>
        <v/>
      </c>
      <c r="R409" s="42" t="str">
        <f aca="false">IF(OR($D409="",$Q409="",$K409=0),"",$Q409/$K409)</f>
        <v/>
      </c>
      <c r="S409" s="43" t="str">
        <f aca="false">IF(OR($D409="",$N409=""),"",MIN(INDEX(Config!$C$13:$C$15,$AK409),INDEX(Config!$B$13:$B$15,$AK409)*$K409)+MIN(INDEX(Config!$C$13:$C$15,$AK409),INDEX(Config!$B$13:$B$15,$AK409)*$O409))</f>
        <v/>
      </c>
      <c r="T409" s="43" t="str">
        <f aca="false">IF(OR($D409="",$N409=""),"",INDEX(Config!$D$13:$D$15,$AK409)*$AL409+INDEX(Config!$E$13:$E$15,$AK409)*$AM409)</f>
        <v/>
      </c>
      <c r="U409" s="43" t="str">
        <f aca="false">IF(OR($D409="",$N409=""),"",INDEX(Config!$F$13:$F$15,$AK409)*($K409+$O409))</f>
        <v/>
      </c>
      <c r="V409" s="43" t="str">
        <f aca="false">IF(OR($D409="",$N409=""),"",INDEX(Config!$G$13:$G$15,$AK409)*($K409+$O409)+INDEX(Config!$H$13:$H$15,$AK409)*$AL409+INDEX(Config!$J$13:$J$15,$AK409))</f>
        <v/>
      </c>
      <c r="W409" s="43" t="str">
        <f aca="false">IF(OR($D409="",$N409=""),"",INDEX(Config!$I$13:$I$15,$AK409)*($S409+$U409+INDEX(Config!$G$13:$G$15,$AK409)*($K409+$O409)))</f>
        <v/>
      </c>
      <c r="X409" s="43" t="str">
        <f aca="false">IF(OR($D409="",$N409=""),"",INDEX(Config!$K$13:$K$15,$AK409)/365*$P409*$K409*Config!$B$8)</f>
        <v/>
      </c>
      <c r="Y409" s="43" t="str">
        <f aca="false">IF(OR($D409="",$N409=""),"",SUM($S409:$X409))</f>
        <v/>
      </c>
      <c r="Z409" s="40" t="str">
        <f aca="false">IF(OR($D409="",$Q409=""),"",$Q409-$Y409)</f>
        <v/>
      </c>
      <c r="AA409" s="42" t="str">
        <f aca="false">IF(OR($D409="",$Z409="",$K409=0),"",$Z409/$K409)</f>
        <v/>
      </c>
      <c r="AB409" s="44" t="str">
        <f aca="false">IF(OR($D409="",$Y409="",$K409=0),"",$Y409/$K409*10000)</f>
        <v/>
      </c>
      <c r="AC409" s="44" t="str">
        <f aca="false">IF(OR($D409="",$G409="",$G409=0,$I409=""),"",IF($E409="LONG",($I409-$G409)/$G409,($G409-$I409)/$G409)*10000)</f>
        <v/>
      </c>
      <c r="AD409" s="45"/>
      <c r="AE409" s="40" t="str">
        <f aca="false">IF(OR($D409="",$N409&lt;&gt;"",$AD409=""),"",IF($E409="LONG",($AD409-$I409)*$J409,($I409-$AD409)*$J409))</f>
        <v/>
      </c>
      <c r="AF409" s="40" t="str">
        <f aca="false">IF(OR($D409="",$E409&lt;&gt;"LONG",$Z409=""),"",$Z409+SUMIFS($Z$4:$Z$503,$B$4:$B$503,$B409,$E$4:$E$503,"SHORT"))</f>
        <v/>
      </c>
      <c r="AG409" s="42" t="str">
        <f aca="false">IF(OR($AF409="",$K409=0),"",$AF409/$K409)</f>
        <v/>
      </c>
      <c r="AH409" s="46"/>
      <c r="AI409" s="43" t="str">
        <f aca="false">IF(OR($D409="",$AH409="",$Z409=""),"",$Z409-$AH409)</f>
        <v/>
      </c>
      <c r="AJ409" s="49"/>
      <c r="AK409" s="47" t="str">
        <f aca="false">IF($D409="","",IFERROR(MATCH($F409,Config!$A$13:$A$15,0),1))</f>
        <v/>
      </c>
      <c r="AL409" s="47" t="str">
        <f aca="false">IF(OR($D409="",$N409=""),"",IF($E409="LONG",$K409,$O409))</f>
        <v/>
      </c>
      <c r="AM409" s="47" t="str">
        <f aca="false">IF(OR($D409="",$N409=""),"",IF($E409="LONG",$O409,$K409))</f>
        <v/>
      </c>
    </row>
    <row r="410" customFormat="false" ht="15" hidden="false" customHeight="false" outlineLevel="0" collapsed="false">
      <c r="A410" s="49"/>
      <c r="B410" s="5" t="str">
        <f aca="false">IF($D410="","",IF(OR(RIGHT($A410,2)="-L",RIGHT($A410,2)="-S"),LEFT($A410,LEN($A410)-2),$A410))</f>
        <v/>
      </c>
      <c r="C410" s="50"/>
      <c r="D410" s="49"/>
      <c r="E410" s="49"/>
      <c r="F410" s="49"/>
      <c r="G410" s="45"/>
      <c r="H410" s="50"/>
      <c r="I410" s="45"/>
      <c r="J410" s="51"/>
      <c r="K410" s="40" t="str">
        <f aca="false">IF($D410="","",$I410*$J410)</f>
        <v/>
      </c>
      <c r="L410" s="50"/>
      <c r="M410" s="49"/>
      <c r="N410" s="45"/>
      <c r="O410" s="40" t="str">
        <f aca="false">IF(OR($D410="",$N410=""),"",$N410*$J410)</f>
        <v/>
      </c>
      <c r="P410" s="41" t="str">
        <f aca="false">IF(OR($D410="",$L410=""),"",MAX($L410-$H410,0))</f>
        <v/>
      </c>
      <c r="Q410" s="40" t="str">
        <f aca="false">IF(OR($D410="",$N410=""),"",IF($E410="LONG",($N410-$I410)*$J410,($I410-$N410)*$J410))</f>
        <v/>
      </c>
      <c r="R410" s="42" t="str">
        <f aca="false">IF(OR($D410="",$Q410="",$K410=0),"",$Q410/$K410)</f>
        <v/>
      </c>
      <c r="S410" s="43" t="str">
        <f aca="false">IF(OR($D410="",$N410=""),"",MIN(INDEX(Config!$C$13:$C$15,$AK410),INDEX(Config!$B$13:$B$15,$AK410)*$K410)+MIN(INDEX(Config!$C$13:$C$15,$AK410),INDEX(Config!$B$13:$B$15,$AK410)*$O410))</f>
        <v/>
      </c>
      <c r="T410" s="43" t="str">
        <f aca="false">IF(OR($D410="",$N410=""),"",INDEX(Config!$D$13:$D$15,$AK410)*$AL410+INDEX(Config!$E$13:$E$15,$AK410)*$AM410)</f>
        <v/>
      </c>
      <c r="U410" s="43" t="str">
        <f aca="false">IF(OR($D410="",$N410=""),"",INDEX(Config!$F$13:$F$15,$AK410)*($K410+$O410))</f>
        <v/>
      </c>
      <c r="V410" s="43" t="str">
        <f aca="false">IF(OR($D410="",$N410=""),"",INDEX(Config!$G$13:$G$15,$AK410)*($K410+$O410)+INDEX(Config!$H$13:$H$15,$AK410)*$AL410+INDEX(Config!$J$13:$J$15,$AK410))</f>
        <v/>
      </c>
      <c r="W410" s="43" t="str">
        <f aca="false">IF(OR($D410="",$N410=""),"",INDEX(Config!$I$13:$I$15,$AK410)*($S410+$U410+INDEX(Config!$G$13:$G$15,$AK410)*($K410+$O410)))</f>
        <v/>
      </c>
      <c r="X410" s="43" t="str">
        <f aca="false">IF(OR($D410="",$N410=""),"",INDEX(Config!$K$13:$K$15,$AK410)/365*$P410*$K410*Config!$B$8)</f>
        <v/>
      </c>
      <c r="Y410" s="43" t="str">
        <f aca="false">IF(OR($D410="",$N410=""),"",SUM($S410:$X410))</f>
        <v/>
      </c>
      <c r="Z410" s="40" t="str">
        <f aca="false">IF(OR($D410="",$Q410=""),"",$Q410-$Y410)</f>
        <v/>
      </c>
      <c r="AA410" s="42" t="str">
        <f aca="false">IF(OR($D410="",$Z410="",$K410=0),"",$Z410/$K410)</f>
        <v/>
      </c>
      <c r="AB410" s="44" t="str">
        <f aca="false">IF(OR($D410="",$Y410="",$K410=0),"",$Y410/$K410*10000)</f>
        <v/>
      </c>
      <c r="AC410" s="44" t="str">
        <f aca="false">IF(OR($D410="",$G410="",$G410=0,$I410=""),"",IF($E410="LONG",($I410-$G410)/$G410,($G410-$I410)/$G410)*10000)</f>
        <v/>
      </c>
      <c r="AD410" s="45"/>
      <c r="AE410" s="40" t="str">
        <f aca="false">IF(OR($D410="",$N410&lt;&gt;"",$AD410=""),"",IF($E410="LONG",($AD410-$I410)*$J410,($I410-$AD410)*$J410))</f>
        <v/>
      </c>
      <c r="AF410" s="40" t="str">
        <f aca="false">IF(OR($D410="",$E410&lt;&gt;"LONG",$Z410=""),"",$Z410+SUMIFS($Z$4:$Z$503,$B$4:$B$503,$B410,$E$4:$E$503,"SHORT"))</f>
        <v/>
      </c>
      <c r="AG410" s="42" t="str">
        <f aca="false">IF(OR($AF410="",$K410=0),"",$AF410/$K410)</f>
        <v/>
      </c>
      <c r="AH410" s="46"/>
      <c r="AI410" s="43" t="str">
        <f aca="false">IF(OR($D410="",$AH410="",$Z410=""),"",$Z410-$AH410)</f>
        <v/>
      </c>
      <c r="AJ410" s="49"/>
      <c r="AK410" s="47" t="str">
        <f aca="false">IF($D410="","",IFERROR(MATCH($F410,Config!$A$13:$A$15,0),1))</f>
        <v/>
      </c>
      <c r="AL410" s="47" t="str">
        <f aca="false">IF(OR($D410="",$N410=""),"",IF($E410="LONG",$K410,$O410))</f>
        <v/>
      </c>
      <c r="AM410" s="47" t="str">
        <f aca="false">IF(OR($D410="",$N410=""),"",IF($E410="LONG",$O410,$K410))</f>
        <v/>
      </c>
    </row>
    <row r="411" customFormat="false" ht="15" hidden="false" customHeight="false" outlineLevel="0" collapsed="false">
      <c r="A411" s="49"/>
      <c r="B411" s="5" t="str">
        <f aca="false">IF($D411="","",IF(OR(RIGHT($A411,2)="-L",RIGHT($A411,2)="-S"),LEFT($A411,LEN($A411)-2),$A411))</f>
        <v/>
      </c>
      <c r="C411" s="50"/>
      <c r="D411" s="49"/>
      <c r="E411" s="49"/>
      <c r="F411" s="49"/>
      <c r="G411" s="45"/>
      <c r="H411" s="50"/>
      <c r="I411" s="45"/>
      <c r="J411" s="51"/>
      <c r="K411" s="40" t="str">
        <f aca="false">IF($D411="","",$I411*$J411)</f>
        <v/>
      </c>
      <c r="L411" s="50"/>
      <c r="M411" s="49"/>
      <c r="N411" s="45"/>
      <c r="O411" s="40" t="str">
        <f aca="false">IF(OR($D411="",$N411=""),"",$N411*$J411)</f>
        <v/>
      </c>
      <c r="P411" s="41" t="str">
        <f aca="false">IF(OR($D411="",$L411=""),"",MAX($L411-$H411,0))</f>
        <v/>
      </c>
      <c r="Q411" s="40" t="str">
        <f aca="false">IF(OR($D411="",$N411=""),"",IF($E411="LONG",($N411-$I411)*$J411,($I411-$N411)*$J411))</f>
        <v/>
      </c>
      <c r="R411" s="42" t="str">
        <f aca="false">IF(OR($D411="",$Q411="",$K411=0),"",$Q411/$K411)</f>
        <v/>
      </c>
      <c r="S411" s="43" t="str">
        <f aca="false">IF(OR($D411="",$N411=""),"",MIN(INDEX(Config!$C$13:$C$15,$AK411),INDEX(Config!$B$13:$B$15,$AK411)*$K411)+MIN(INDEX(Config!$C$13:$C$15,$AK411),INDEX(Config!$B$13:$B$15,$AK411)*$O411))</f>
        <v/>
      </c>
      <c r="T411" s="43" t="str">
        <f aca="false">IF(OR($D411="",$N411=""),"",INDEX(Config!$D$13:$D$15,$AK411)*$AL411+INDEX(Config!$E$13:$E$15,$AK411)*$AM411)</f>
        <v/>
      </c>
      <c r="U411" s="43" t="str">
        <f aca="false">IF(OR($D411="",$N411=""),"",INDEX(Config!$F$13:$F$15,$AK411)*($K411+$O411))</f>
        <v/>
      </c>
      <c r="V411" s="43" t="str">
        <f aca="false">IF(OR($D411="",$N411=""),"",INDEX(Config!$G$13:$G$15,$AK411)*($K411+$O411)+INDEX(Config!$H$13:$H$15,$AK411)*$AL411+INDEX(Config!$J$13:$J$15,$AK411))</f>
        <v/>
      </c>
      <c r="W411" s="43" t="str">
        <f aca="false">IF(OR($D411="",$N411=""),"",INDEX(Config!$I$13:$I$15,$AK411)*($S411+$U411+INDEX(Config!$G$13:$G$15,$AK411)*($K411+$O411)))</f>
        <v/>
      </c>
      <c r="X411" s="43" t="str">
        <f aca="false">IF(OR($D411="",$N411=""),"",INDEX(Config!$K$13:$K$15,$AK411)/365*$P411*$K411*Config!$B$8)</f>
        <v/>
      </c>
      <c r="Y411" s="43" t="str">
        <f aca="false">IF(OR($D411="",$N411=""),"",SUM($S411:$X411))</f>
        <v/>
      </c>
      <c r="Z411" s="40" t="str">
        <f aca="false">IF(OR($D411="",$Q411=""),"",$Q411-$Y411)</f>
        <v/>
      </c>
      <c r="AA411" s="42" t="str">
        <f aca="false">IF(OR($D411="",$Z411="",$K411=0),"",$Z411/$K411)</f>
        <v/>
      </c>
      <c r="AB411" s="44" t="str">
        <f aca="false">IF(OR($D411="",$Y411="",$K411=0),"",$Y411/$K411*10000)</f>
        <v/>
      </c>
      <c r="AC411" s="44" t="str">
        <f aca="false">IF(OR($D411="",$G411="",$G411=0,$I411=""),"",IF($E411="LONG",($I411-$G411)/$G411,($G411-$I411)/$G411)*10000)</f>
        <v/>
      </c>
      <c r="AD411" s="45"/>
      <c r="AE411" s="40" t="str">
        <f aca="false">IF(OR($D411="",$N411&lt;&gt;"",$AD411=""),"",IF($E411="LONG",($AD411-$I411)*$J411,($I411-$AD411)*$J411))</f>
        <v/>
      </c>
      <c r="AF411" s="40" t="str">
        <f aca="false">IF(OR($D411="",$E411&lt;&gt;"LONG",$Z411=""),"",$Z411+SUMIFS($Z$4:$Z$503,$B$4:$B$503,$B411,$E$4:$E$503,"SHORT"))</f>
        <v/>
      </c>
      <c r="AG411" s="42" t="str">
        <f aca="false">IF(OR($AF411="",$K411=0),"",$AF411/$K411)</f>
        <v/>
      </c>
      <c r="AH411" s="46"/>
      <c r="AI411" s="43" t="str">
        <f aca="false">IF(OR($D411="",$AH411="",$Z411=""),"",$Z411-$AH411)</f>
        <v/>
      </c>
      <c r="AJ411" s="49"/>
      <c r="AK411" s="47" t="str">
        <f aca="false">IF($D411="","",IFERROR(MATCH($F411,Config!$A$13:$A$15,0),1))</f>
        <v/>
      </c>
      <c r="AL411" s="47" t="str">
        <f aca="false">IF(OR($D411="",$N411=""),"",IF($E411="LONG",$K411,$O411))</f>
        <v/>
      </c>
      <c r="AM411" s="47" t="str">
        <f aca="false">IF(OR($D411="",$N411=""),"",IF($E411="LONG",$O411,$K411))</f>
        <v/>
      </c>
    </row>
    <row r="412" customFormat="false" ht="15" hidden="false" customHeight="false" outlineLevel="0" collapsed="false">
      <c r="A412" s="49"/>
      <c r="B412" s="5" t="str">
        <f aca="false">IF($D412="","",IF(OR(RIGHT($A412,2)="-L",RIGHT($A412,2)="-S"),LEFT($A412,LEN($A412)-2),$A412))</f>
        <v/>
      </c>
      <c r="C412" s="50"/>
      <c r="D412" s="49"/>
      <c r="E412" s="49"/>
      <c r="F412" s="49"/>
      <c r="G412" s="45"/>
      <c r="H412" s="50"/>
      <c r="I412" s="45"/>
      <c r="J412" s="51"/>
      <c r="K412" s="40" t="str">
        <f aca="false">IF($D412="","",$I412*$J412)</f>
        <v/>
      </c>
      <c r="L412" s="50"/>
      <c r="M412" s="49"/>
      <c r="N412" s="45"/>
      <c r="O412" s="40" t="str">
        <f aca="false">IF(OR($D412="",$N412=""),"",$N412*$J412)</f>
        <v/>
      </c>
      <c r="P412" s="41" t="str">
        <f aca="false">IF(OR($D412="",$L412=""),"",MAX($L412-$H412,0))</f>
        <v/>
      </c>
      <c r="Q412" s="40" t="str">
        <f aca="false">IF(OR($D412="",$N412=""),"",IF($E412="LONG",($N412-$I412)*$J412,($I412-$N412)*$J412))</f>
        <v/>
      </c>
      <c r="R412" s="42" t="str">
        <f aca="false">IF(OR($D412="",$Q412="",$K412=0),"",$Q412/$K412)</f>
        <v/>
      </c>
      <c r="S412" s="43" t="str">
        <f aca="false">IF(OR($D412="",$N412=""),"",MIN(INDEX(Config!$C$13:$C$15,$AK412),INDEX(Config!$B$13:$B$15,$AK412)*$K412)+MIN(INDEX(Config!$C$13:$C$15,$AK412),INDEX(Config!$B$13:$B$15,$AK412)*$O412))</f>
        <v/>
      </c>
      <c r="T412" s="43" t="str">
        <f aca="false">IF(OR($D412="",$N412=""),"",INDEX(Config!$D$13:$D$15,$AK412)*$AL412+INDEX(Config!$E$13:$E$15,$AK412)*$AM412)</f>
        <v/>
      </c>
      <c r="U412" s="43" t="str">
        <f aca="false">IF(OR($D412="",$N412=""),"",INDEX(Config!$F$13:$F$15,$AK412)*($K412+$O412))</f>
        <v/>
      </c>
      <c r="V412" s="43" t="str">
        <f aca="false">IF(OR($D412="",$N412=""),"",INDEX(Config!$G$13:$G$15,$AK412)*($K412+$O412)+INDEX(Config!$H$13:$H$15,$AK412)*$AL412+INDEX(Config!$J$13:$J$15,$AK412))</f>
        <v/>
      </c>
      <c r="W412" s="43" t="str">
        <f aca="false">IF(OR($D412="",$N412=""),"",INDEX(Config!$I$13:$I$15,$AK412)*($S412+$U412+INDEX(Config!$G$13:$G$15,$AK412)*($K412+$O412)))</f>
        <v/>
      </c>
      <c r="X412" s="43" t="str">
        <f aca="false">IF(OR($D412="",$N412=""),"",INDEX(Config!$K$13:$K$15,$AK412)/365*$P412*$K412*Config!$B$8)</f>
        <v/>
      </c>
      <c r="Y412" s="43" t="str">
        <f aca="false">IF(OR($D412="",$N412=""),"",SUM($S412:$X412))</f>
        <v/>
      </c>
      <c r="Z412" s="40" t="str">
        <f aca="false">IF(OR($D412="",$Q412=""),"",$Q412-$Y412)</f>
        <v/>
      </c>
      <c r="AA412" s="42" t="str">
        <f aca="false">IF(OR($D412="",$Z412="",$K412=0),"",$Z412/$K412)</f>
        <v/>
      </c>
      <c r="AB412" s="44" t="str">
        <f aca="false">IF(OR($D412="",$Y412="",$K412=0),"",$Y412/$K412*10000)</f>
        <v/>
      </c>
      <c r="AC412" s="44" t="str">
        <f aca="false">IF(OR($D412="",$G412="",$G412=0,$I412=""),"",IF($E412="LONG",($I412-$G412)/$G412,($G412-$I412)/$G412)*10000)</f>
        <v/>
      </c>
      <c r="AD412" s="45"/>
      <c r="AE412" s="40" t="str">
        <f aca="false">IF(OR($D412="",$N412&lt;&gt;"",$AD412=""),"",IF($E412="LONG",($AD412-$I412)*$J412,($I412-$AD412)*$J412))</f>
        <v/>
      </c>
      <c r="AF412" s="40" t="str">
        <f aca="false">IF(OR($D412="",$E412&lt;&gt;"LONG",$Z412=""),"",$Z412+SUMIFS($Z$4:$Z$503,$B$4:$B$503,$B412,$E$4:$E$503,"SHORT"))</f>
        <v/>
      </c>
      <c r="AG412" s="42" t="str">
        <f aca="false">IF(OR($AF412="",$K412=0),"",$AF412/$K412)</f>
        <v/>
      </c>
      <c r="AH412" s="46"/>
      <c r="AI412" s="43" t="str">
        <f aca="false">IF(OR($D412="",$AH412="",$Z412=""),"",$Z412-$AH412)</f>
        <v/>
      </c>
      <c r="AJ412" s="49"/>
      <c r="AK412" s="47" t="str">
        <f aca="false">IF($D412="","",IFERROR(MATCH($F412,Config!$A$13:$A$15,0),1))</f>
        <v/>
      </c>
      <c r="AL412" s="47" t="str">
        <f aca="false">IF(OR($D412="",$N412=""),"",IF($E412="LONG",$K412,$O412))</f>
        <v/>
      </c>
      <c r="AM412" s="47" t="str">
        <f aca="false">IF(OR($D412="",$N412=""),"",IF($E412="LONG",$O412,$K412))</f>
        <v/>
      </c>
    </row>
    <row r="413" customFormat="false" ht="15" hidden="false" customHeight="false" outlineLevel="0" collapsed="false">
      <c r="A413" s="49"/>
      <c r="B413" s="5" t="str">
        <f aca="false">IF($D413="","",IF(OR(RIGHT($A413,2)="-L",RIGHT($A413,2)="-S"),LEFT($A413,LEN($A413)-2),$A413))</f>
        <v/>
      </c>
      <c r="C413" s="50"/>
      <c r="D413" s="49"/>
      <c r="E413" s="49"/>
      <c r="F413" s="49"/>
      <c r="G413" s="45"/>
      <c r="H413" s="50"/>
      <c r="I413" s="45"/>
      <c r="J413" s="51"/>
      <c r="K413" s="40" t="str">
        <f aca="false">IF($D413="","",$I413*$J413)</f>
        <v/>
      </c>
      <c r="L413" s="50"/>
      <c r="M413" s="49"/>
      <c r="N413" s="45"/>
      <c r="O413" s="40" t="str">
        <f aca="false">IF(OR($D413="",$N413=""),"",$N413*$J413)</f>
        <v/>
      </c>
      <c r="P413" s="41" t="str">
        <f aca="false">IF(OR($D413="",$L413=""),"",MAX($L413-$H413,0))</f>
        <v/>
      </c>
      <c r="Q413" s="40" t="str">
        <f aca="false">IF(OR($D413="",$N413=""),"",IF($E413="LONG",($N413-$I413)*$J413,($I413-$N413)*$J413))</f>
        <v/>
      </c>
      <c r="R413" s="42" t="str">
        <f aca="false">IF(OR($D413="",$Q413="",$K413=0),"",$Q413/$K413)</f>
        <v/>
      </c>
      <c r="S413" s="43" t="str">
        <f aca="false">IF(OR($D413="",$N413=""),"",MIN(INDEX(Config!$C$13:$C$15,$AK413),INDEX(Config!$B$13:$B$15,$AK413)*$K413)+MIN(INDEX(Config!$C$13:$C$15,$AK413),INDEX(Config!$B$13:$B$15,$AK413)*$O413))</f>
        <v/>
      </c>
      <c r="T413" s="43" t="str">
        <f aca="false">IF(OR($D413="",$N413=""),"",INDEX(Config!$D$13:$D$15,$AK413)*$AL413+INDEX(Config!$E$13:$E$15,$AK413)*$AM413)</f>
        <v/>
      </c>
      <c r="U413" s="43" t="str">
        <f aca="false">IF(OR($D413="",$N413=""),"",INDEX(Config!$F$13:$F$15,$AK413)*($K413+$O413))</f>
        <v/>
      </c>
      <c r="V413" s="43" t="str">
        <f aca="false">IF(OR($D413="",$N413=""),"",INDEX(Config!$G$13:$G$15,$AK413)*($K413+$O413)+INDEX(Config!$H$13:$H$15,$AK413)*$AL413+INDEX(Config!$J$13:$J$15,$AK413))</f>
        <v/>
      </c>
      <c r="W413" s="43" t="str">
        <f aca="false">IF(OR($D413="",$N413=""),"",INDEX(Config!$I$13:$I$15,$AK413)*($S413+$U413+INDEX(Config!$G$13:$G$15,$AK413)*($K413+$O413)))</f>
        <v/>
      </c>
      <c r="X413" s="43" t="str">
        <f aca="false">IF(OR($D413="",$N413=""),"",INDEX(Config!$K$13:$K$15,$AK413)/365*$P413*$K413*Config!$B$8)</f>
        <v/>
      </c>
      <c r="Y413" s="43" t="str">
        <f aca="false">IF(OR($D413="",$N413=""),"",SUM($S413:$X413))</f>
        <v/>
      </c>
      <c r="Z413" s="40" t="str">
        <f aca="false">IF(OR($D413="",$Q413=""),"",$Q413-$Y413)</f>
        <v/>
      </c>
      <c r="AA413" s="42" t="str">
        <f aca="false">IF(OR($D413="",$Z413="",$K413=0),"",$Z413/$K413)</f>
        <v/>
      </c>
      <c r="AB413" s="44" t="str">
        <f aca="false">IF(OR($D413="",$Y413="",$K413=0),"",$Y413/$K413*10000)</f>
        <v/>
      </c>
      <c r="AC413" s="44" t="str">
        <f aca="false">IF(OR($D413="",$G413="",$G413=0,$I413=""),"",IF($E413="LONG",($I413-$G413)/$G413,($G413-$I413)/$G413)*10000)</f>
        <v/>
      </c>
      <c r="AD413" s="45"/>
      <c r="AE413" s="40" t="str">
        <f aca="false">IF(OR($D413="",$N413&lt;&gt;"",$AD413=""),"",IF($E413="LONG",($AD413-$I413)*$J413,($I413-$AD413)*$J413))</f>
        <v/>
      </c>
      <c r="AF413" s="40" t="str">
        <f aca="false">IF(OR($D413="",$E413&lt;&gt;"LONG",$Z413=""),"",$Z413+SUMIFS($Z$4:$Z$503,$B$4:$B$503,$B413,$E$4:$E$503,"SHORT"))</f>
        <v/>
      </c>
      <c r="AG413" s="42" t="str">
        <f aca="false">IF(OR($AF413="",$K413=0),"",$AF413/$K413)</f>
        <v/>
      </c>
      <c r="AH413" s="46"/>
      <c r="AI413" s="43" t="str">
        <f aca="false">IF(OR($D413="",$AH413="",$Z413=""),"",$Z413-$AH413)</f>
        <v/>
      </c>
      <c r="AJ413" s="49"/>
      <c r="AK413" s="47" t="str">
        <f aca="false">IF($D413="","",IFERROR(MATCH($F413,Config!$A$13:$A$15,0),1))</f>
        <v/>
      </c>
      <c r="AL413" s="47" t="str">
        <f aca="false">IF(OR($D413="",$N413=""),"",IF($E413="LONG",$K413,$O413))</f>
        <v/>
      </c>
      <c r="AM413" s="47" t="str">
        <f aca="false">IF(OR($D413="",$N413=""),"",IF($E413="LONG",$O413,$K413))</f>
        <v/>
      </c>
    </row>
    <row r="414" customFormat="false" ht="15" hidden="false" customHeight="false" outlineLevel="0" collapsed="false">
      <c r="A414" s="49"/>
      <c r="B414" s="5" t="str">
        <f aca="false">IF($D414="","",IF(OR(RIGHT($A414,2)="-L",RIGHT($A414,2)="-S"),LEFT($A414,LEN($A414)-2),$A414))</f>
        <v/>
      </c>
      <c r="C414" s="50"/>
      <c r="D414" s="49"/>
      <c r="E414" s="49"/>
      <c r="F414" s="49"/>
      <c r="G414" s="45"/>
      <c r="H414" s="50"/>
      <c r="I414" s="45"/>
      <c r="J414" s="51"/>
      <c r="K414" s="40" t="str">
        <f aca="false">IF($D414="","",$I414*$J414)</f>
        <v/>
      </c>
      <c r="L414" s="50"/>
      <c r="M414" s="49"/>
      <c r="N414" s="45"/>
      <c r="O414" s="40" t="str">
        <f aca="false">IF(OR($D414="",$N414=""),"",$N414*$J414)</f>
        <v/>
      </c>
      <c r="P414" s="41" t="str">
        <f aca="false">IF(OR($D414="",$L414=""),"",MAX($L414-$H414,0))</f>
        <v/>
      </c>
      <c r="Q414" s="40" t="str">
        <f aca="false">IF(OR($D414="",$N414=""),"",IF($E414="LONG",($N414-$I414)*$J414,($I414-$N414)*$J414))</f>
        <v/>
      </c>
      <c r="R414" s="42" t="str">
        <f aca="false">IF(OR($D414="",$Q414="",$K414=0),"",$Q414/$K414)</f>
        <v/>
      </c>
      <c r="S414" s="43" t="str">
        <f aca="false">IF(OR($D414="",$N414=""),"",MIN(INDEX(Config!$C$13:$C$15,$AK414),INDEX(Config!$B$13:$B$15,$AK414)*$K414)+MIN(INDEX(Config!$C$13:$C$15,$AK414),INDEX(Config!$B$13:$B$15,$AK414)*$O414))</f>
        <v/>
      </c>
      <c r="T414" s="43" t="str">
        <f aca="false">IF(OR($D414="",$N414=""),"",INDEX(Config!$D$13:$D$15,$AK414)*$AL414+INDEX(Config!$E$13:$E$15,$AK414)*$AM414)</f>
        <v/>
      </c>
      <c r="U414" s="43" t="str">
        <f aca="false">IF(OR($D414="",$N414=""),"",INDEX(Config!$F$13:$F$15,$AK414)*($K414+$O414))</f>
        <v/>
      </c>
      <c r="V414" s="43" t="str">
        <f aca="false">IF(OR($D414="",$N414=""),"",INDEX(Config!$G$13:$G$15,$AK414)*($K414+$O414)+INDEX(Config!$H$13:$H$15,$AK414)*$AL414+INDEX(Config!$J$13:$J$15,$AK414))</f>
        <v/>
      </c>
      <c r="W414" s="43" t="str">
        <f aca="false">IF(OR($D414="",$N414=""),"",INDEX(Config!$I$13:$I$15,$AK414)*($S414+$U414+INDEX(Config!$G$13:$G$15,$AK414)*($K414+$O414)))</f>
        <v/>
      </c>
      <c r="X414" s="43" t="str">
        <f aca="false">IF(OR($D414="",$N414=""),"",INDEX(Config!$K$13:$K$15,$AK414)/365*$P414*$K414*Config!$B$8)</f>
        <v/>
      </c>
      <c r="Y414" s="43" t="str">
        <f aca="false">IF(OR($D414="",$N414=""),"",SUM($S414:$X414))</f>
        <v/>
      </c>
      <c r="Z414" s="40" t="str">
        <f aca="false">IF(OR($D414="",$Q414=""),"",$Q414-$Y414)</f>
        <v/>
      </c>
      <c r="AA414" s="42" t="str">
        <f aca="false">IF(OR($D414="",$Z414="",$K414=0),"",$Z414/$K414)</f>
        <v/>
      </c>
      <c r="AB414" s="44" t="str">
        <f aca="false">IF(OR($D414="",$Y414="",$K414=0),"",$Y414/$K414*10000)</f>
        <v/>
      </c>
      <c r="AC414" s="44" t="str">
        <f aca="false">IF(OR($D414="",$G414="",$G414=0,$I414=""),"",IF($E414="LONG",($I414-$G414)/$G414,($G414-$I414)/$G414)*10000)</f>
        <v/>
      </c>
      <c r="AD414" s="45"/>
      <c r="AE414" s="40" t="str">
        <f aca="false">IF(OR($D414="",$N414&lt;&gt;"",$AD414=""),"",IF($E414="LONG",($AD414-$I414)*$J414,($I414-$AD414)*$J414))</f>
        <v/>
      </c>
      <c r="AF414" s="40" t="str">
        <f aca="false">IF(OR($D414="",$E414&lt;&gt;"LONG",$Z414=""),"",$Z414+SUMIFS($Z$4:$Z$503,$B$4:$B$503,$B414,$E$4:$E$503,"SHORT"))</f>
        <v/>
      </c>
      <c r="AG414" s="42" t="str">
        <f aca="false">IF(OR($AF414="",$K414=0),"",$AF414/$K414)</f>
        <v/>
      </c>
      <c r="AH414" s="46"/>
      <c r="AI414" s="43" t="str">
        <f aca="false">IF(OR($D414="",$AH414="",$Z414=""),"",$Z414-$AH414)</f>
        <v/>
      </c>
      <c r="AJ414" s="49"/>
      <c r="AK414" s="47" t="str">
        <f aca="false">IF($D414="","",IFERROR(MATCH($F414,Config!$A$13:$A$15,0),1))</f>
        <v/>
      </c>
      <c r="AL414" s="47" t="str">
        <f aca="false">IF(OR($D414="",$N414=""),"",IF($E414="LONG",$K414,$O414))</f>
        <v/>
      </c>
      <c r="AM414" s="47" t="str">
        <f aca="false">IF(OR($D414="",$N414=""),"",IF($E414="LONG",$O414,$K414))</f>
        <v/>
      </c>
    </row>
    <row r="415" customFormat="false" ht="15" hidden="false" customHeight="false" outlineLevel="0" collapsed="false">
      <c r="A415" s="49"/>
      <c r="B415" s="5" t="str">
        <f aca="false">IF($D415="","",IF(OR(RIGHT($A415,2)="-L",RIGHT($A415,2)="-S"),LEFT($A415,LEN($A415)-2),$A415))</f>
        <v/>
      </c>
      <c r="C415" s="50"/>
      <c r="D415" s="49"/>
      <c r="E415" s="49"/>
      <c r="F415" s="49"/>
      <c r="G415" s="45"/>
      <c r="H415" s="50"/>
      <c r="I415" s="45"/>
      <c r="J415" s="51"/>
      <c r="K415" s="40" t="str">
        <f aca="false">IF($D415="","",$I415*$J415)</f>
        <v/>
      </c>
      <c r="L415" s="50"/>
      <c r="M415" s="49"/>
      <c r="N415" s="45"/>
      <c r="O415" s="40" t="str">
        <f aca="false">IF(OR($D415="",$N415=""),"",$N415*$J415)</f>
        <v/>
      </c>
      <c r="P415" s="41" t="str">
        <f aca="false">IF(OR($D415="",$L415=""),"",MAX($L415-$H415,0))</f>
        <v/>
      </c>
      <c r="Q415" s="40" t="str">
        <f aca="false">IF(OR($D415="",$N415=""),"",IF($E415="LONG",($N415-$I415)*$J415,($I415-$N415)*$J415))</f>
        <v/>
      </c>
      <c r="R415" s="42" t="str">
        <f aca="false">IF(OR($D415="",$Q415="",$K415=0),"",$Q415/$K415)</f>
        <v/>
      </c>
      <c r="S415" s="43" t="str">
        <f aca="false">IF(OR($D415="",$N415=""),"",MIN(INDEX(Config!$C$13:$C$15,$AK415),INDEX(Config!$B$13:$B$15,$AK415)*$K415)+MIN(INDEX(Config!$C$13:$C$15,$AK415),INDEX(Config!$B$13:$B$15,$AK415)*$O415))</f>
        <v/>
      </c>
      <c r="T415" s="43" t="str">
        <f aca="false">IF(OR($D415="",$N415=""),"",INDEX(Config!$D$13:$D$15,$AK415)*$AL415+INDEX(Config!$E$13:$E$15,$AK415)*$AM415)</f>
        <v/>
      </c>
      <c r="U415" s="43" t="str">
        <f aca="false">IF(OR($D415="",$N415=""),"",INDEX(Config!$F$13:$F$15,$AK415)*($K415+$O415))</f>
        <v/>
      </c>
      <c r="V415" s="43" t="str">
        <f aca="false">IF(OR($D415="",$N415=""),"",INDEX(Config!$G$13:$G$15,$AK415)*($K415+$O415)+INDEX(Config!$H$13:$H$15,$AK415)*$AL415+INDEX(Config!$J$13:$J$15,$AK415))</f>
        <v/>
      </c>
      <c r="W415" s="43" t="str">
        <f aca="false">IF(OR($D415="",$N415=""),"",INDEX(Config!$I$13:$I$15,$AK415)*($S415+$U415+INDEX(Config!$G$13:$G$15,$AK415)*($K415+$O415)))</f>
        <v/>
      </c>
      <c r="X415" s="43" t="str">
        <f aca="false">IF(OR($D415="",$N415=""),"",INDEX(Config!$K$13:$K$15,$AK415)/365*$P415*$K415*Config!$B$8)</f>
        <v/>
      </c>
      <c r="Y415" s="43" t="str">
        <f aca="false">IF(OR($D415="",$N415=""),"",SUM($S415:$X415))</f>
        <v/>
      </c>
      <c r="Z415" s="40" t="str">
        <f aca="false">IF(OR($D415="",$Q415=""),"",$Q415-$Y415)</f>
        <v/>
      </c>
      <c r="AA415" s="42" t="str">
        <f aca="false">IF(OR($D415="",$Z415="",$K415=0),"",$Z415/$K415)</f>
        <v/>
      </c>
      <c r="AB415" s="44" t="str">
        <f aca="false">IF(OR($D415="",$Y415="",$K415=0),"",$Y415/$K415*10000)</f>
        <v/>
      </c>
      <c r="AC415" s="44" t="str">
        <f aca="false">IF(OR($D415="",$G415="",$G415=0,$I415=""),"",IF($E415="LONG",($I415-$G415)/$G415,($G415-$I415)/$G415)*10000)</f>
        <v/>
      </c>
      <c r="AD415" s="45"/>
      <c r="AE415" s="40" t="str">
        <f aca="false">IF(OR($D415="",$N415&lt;&gt;"",$AD415=""),"",IF($E415="LONG",($AD415-$I415)*$J415,($I415-$AD415)*$J415))</f>
        <v/>
      </c>
      <c r="AF415" s="40" t="str">
        <f aca="false">IF(OR($D415="",$E415&lt;&gt;"LONG",$Z415=""),"",$Z415+SUMIFS($Z$4:$Z$503,$B$4:$B$503,$B415,$E$4:$E$503,"SHORT"))</f>
        <v/>
      </c>
      <c r="AG415" s="42" t="str">
        <f aca="false">IF(OR($AF415="",$K415=0),"",$AF415/$K415)</f>
        <v/>
      </c>
      <c r="AH415" s="46"/>
      <c r="AI415" s="43" t="str">
        <f aca="false">IF(OR($D415="",$AH415="",$Z415=""),"",$Z415-$AH415)</f>
        <v/>
      </c>
      <c r="AJ415" s="49"/>
      <c r="AK415" s="47" t="str">
        <f aca="false">IF($D415="","",IFERROR(MATCH($F415,Config!$A$13:$A$15,0),1))</f>
        <v/>
      </c>
      <c r="AL415" s="47" t="str">
        <f aca="false">IF(OR($D415="",$N415=""),"",IF($E415="LONG",$K415,$O415))</f>
        <v/>
      </c>
      <c r="AM415" s="47" t="str">
        <f aca="false">IF(OR($D415="",$N415=""),"",IF($E415="LONG",$O415,$K415))</f>
        <v/>
      </c>
    </row>
    <row r="416" customFormat="false" ht="15" hidden="false" customHeight="false" outlineLevel="0" collapsed="false">
      <c r="A416" s="49"/>
      <c r="B416" s="5" t="str">
        <f aca="false">IF($D416="","",IF(OR(RIGHT($A416,2)="-L",RIGHT($A416,2)="-S"),LEFT($A416,LEN($A416)-2),$A416))</f>
        <v/>
      </c>
      <c r="C416" s="50"/>
      <c r="D416" s="49"/>
      <c r="E416" s="49"/>
      <c r="F416" s="49"/>
      <c r="G416" s="45"/>
      <c r="H416" s="50"/>
      <c r="I416" s="45"/>
      <c r="J416" s="51"/>
      <c r="K416" s="40" t="str">
        <f aca="false">IF($D416="","",$I416*$J416)</f>
        <v/>
      </c>
      <c r="L416" s="50"/>
      <c r="M416" s="49"/>
      <c r="N416" s="45"/>
      <c r="O416" s="40" t="str">
        <f aca="false">IF(OR($D416="",$N416=""),"",$N416*$J416)</f>
        <v/>
      </c>
      <c r="P416" s="41" t="str">
        <f aca="false">IF(OR($D416="",$L416=""),"",MAX($L416-$H416,0))</f>
        <v/>
      </c>
      <c r="Q416" s="40" t="str">
        <f aca="false">IF(OR($D416="",$N416=""),"",IF($E416="LONG",($N416-$I416)*$J416,($I416-$N416)*$J416))</f>
        <v/>
      </c>
      <c r="R416" s="42" t="str">
        <f aca="false">IF(OR($D416="",$Q416="",$K416=0),"",$Q416/$K416)</f>
        <v/>
      </c>
      <c r="S416" s="43" t="str">
        <f aca="false">IF(OR($D416="",$N416=""),"",MIN(INDEX(Config!$C$13:$C$15,$AK416),INDEX(Config!$B$13:$B$15,$AK416)*$K416)+MIN(INDEX(Config!$C$13:$C$15,$AK416),INDEX(Config!$B$13:$B$15,$AK416)*$O416))</f>
        <v/>
      </c>
      <c r="T416" s="43" t="str">
        <f aca="false">IF(OR($D416="",$N416=""),"",INDEX(Config!$D$13:$D$15,$AK416)*$AL416+INDEX(Config!$E$13:$E$15,$AK416)*$AM416)</f>
        <v/>
      </c>
      <c r="U416" s="43" t="str">
        <f aca="false">IF(OR($D416="",$N416=""),"",INDEX(Config!$F$13:$F$15,$AK416)*($K416+$O416))</f>
        <v/>
      </c>
      <c r="V416" s="43" t="str">
        <f aca="false">IF(OR($D416="",$N416=""),"",INDEX(Config!$G$13:$G$15,$AK416)*($K416+$O416)+INDEX(Config!$H$13:$H$15,$AK416)*$AL416+INDEX(Config!$J$13:$J$15,$AK416))</f>
        <v/>
      </c>
      <c r="W416" s="43" t="str">
        <f aca="false">IF(OR($D416="",$N416=""),"",INDEX(Config!$I$13:$I$15,$AK416)*($S416+$U416+INDEX(Config!$G$13:$G$15,$AK416)*($K416+$O416)))</f>
        <v/>
      </c>
      <c r="X416" s="43" t="str">
        <f aca="false">IF(OR($D416="",$N416=""),"",INDEX(Config!$K$13:$K$15,$AK416)/365*$P416*$K416*Config!$B$8)</f>
        <v/>
      </c>
      <c r="Y416" s="43" t="str">
        <f aca="false">IF(OR($D416="",$N416=""),"",SUM($S416:$X416))</f>
        <v/>
      </c>
      <c r="Z416" s="40" t="str">
        <f aca="false">IF(OR($D416="",$Q416=""),"",$Q416-$Y416)</f>
        <v/>
      </c>
      <c r="AA416" s="42" t="str">
        <f aca="false">IF(OR($D416="",$Z416="",$K416=0),"",$Z416/$K416)</f>
        <v/>
      </c>
      <c r="AB416" s="44" t="str">
        <f aca="false">IF(OR($D416="",$Y416="",$K416=0),"",$Y416/$K416*10000)</f>
        <v/>
      </c>
      <c r="AC416" s="44" t="str">
        <f aca="false">IF(OR($D416="",$G416="",$G416=0,$I416=""),"",IF($E416="LONG",($I416-$G416)/$G416,($G416-$I416)/$G416)*10000)</f>
        <v/>
      </c>
      <c r="AD416" s="45"/>
      <c r="AE416" s="40" t="str">
        <f aca="false">IF(OR($D416="",$N416&lt;&gt;"",$AD416=""),"",IF($E416="LONG",($AD416-$I416)*$J416,($I416-$AD416)*$J416))</f>
        <v/>
      </c>
      <c r="AF416" s="40" t="str">
        <f aca="false">IF(OR($D416="",$E416&lt;&gt;"LONG",$Z416=""),"",$Z416+SUMIFS($Z$4:$Z$503,$B$4:$B$503,$B416,$E$4:$E$503,"SHORT"))</f>
        <v/>
      </c>
      <c r="AG416" s="42" t="str">
        <f aca="false">IF(OR($AF416="",$K416=0),"",$AF416/$K416)</f>
        <v/>
      </c>
      <c r="AH416" s="46"/>
      <c r="AI416" s="43" t="str">
        <f aca="false">IF(OR($D416="",$AH416="",$Z416=""),"",$Z416-$AH416)</f>
        <v/>
      </c>
      <c r="AJ416" s="49"/>
      <c r="AK416" s="47" t="str">
        <f aca="false">IF($D416="","",IFERROR(MATCH($F416,Config!$A$13:$A$15,0),1))</f>
        <v/>
      </c>
      <c r="AL416" s="47" t="str">
        <f aca="false">IF(OR($D416="",$N416=""),"",IF($E416="LONG",$K416,$O416))</f>
        <v/>
      </c>
      <c r="AM416" s="47" t="str">
        <f aca="false">IF(OR($D416="",$N416=""),"",IF($E416="LONG",$O416,$K416))</f>
        <v/>
      </c>
    </row>
    <row r="417" customFormat="false" ht="15" hidden="false" customHeight="false" outlineLevel="0" collapsed="false">
      <c r="A417" s="49"/>
      <c r="B417" s="5" t="str">
        <f aca="false">IF($D417="","",IF(OR(RIGHT($A417,2)="-L",RIGHT($A417,2)="-S"),LEFT($A417,LEN($A417)-2),$A417))</f>
        <v/>
      </c>
      <c r="C417" s="50"/>
      <c r="D417" s="49"/>
      <c r="E417" s="49"/>
      <c r="F417" s="49"/>
      <c r="G417" s="45"/>
      <c r="H417" s="50"/>
      <c r="I417" s="45"/>
      <c r="J417" s="51"/>
      <c r="K417" s="40" t="str">
        <f aca="false">IF($D417="","",$I417*$J417)</f>
        <v/>
      </c>
      <c r="L417" s="50"/>
      <c r="M417" s="49"/>
      <c r="N417" s="45"/>
      <c r="O417" s="40" t="str">
        <f aca="false">IF(OR($D417="",$N417=""),"",$N417*$J417)</f>
        <v/>
      </c>
      <c r="P417" s="41" t="str">
        <f aca="false">IF(OR($D417="",$L417=""),"",MAX($L417-$H417,0))</f>
        <v/>
      </c>
      <c r="Q417" s="40" t="str">
        <f aca="false">IF(OR($D417="",$N417=""),"",IF($E417="LONG",($N417-$I417)*$J417,($I417-$N417)*$J417))</f>
        <v/>
      </c>
      <c r="R417" s="42" t="str">
        <f aca="false">IF(OR($D417="",$Q417="",$K417=0),"",$Q417/$K417)</f>
        <v/>
      </c>
      <c r="S417" s="43" t="str">
        <f aca="false">IF(OR($D417="",$N417=""),"",MIN(INDEX(Config!$C$13:$C$15,$AK417),INDEX(Config!$B$13:$B$15,$AK417)*$K417)+MIN(INDEX(Config!$C$13:$C$15,$AK417),INDEX(Config!$B$13:$B$15,$AK417)*$O417))</f>
        <v/>
      </c>
      <c r="T417" s="43" t="str">
        <f aca="false">IF(OR($D417="",$N417=""),"",INDEX(Config!$D$13:$D$15,$AK417)*$AL417+INDEX(Config!$E$13:$E$15,$AK417)*$AM417)</f>
        <v/>
      </c>
      <c r="U417" s="43" t="str">
        <f aca="false">IF(OR($D417="",$N417=""),"",INDEX(Config!$F$13:$F$15,$AK417)*($K417+$O417))</f>
        <v/>
      </c>
      <c r="V417" s="43" t="str">
        <f aca="false">IF(OR($D417="",$N417=""),"",INDEX(Config!$G$13:$G$15,$AK417)*($K417+$O417)+INDEX(Config!$H$13:$H$15,$AK417)*$AL417+INDEX(Config!$J$13:$J$15,$AK417))</f>
        <v/>
      </c>
      <c r="W417" s="43" t="str">
        <f aca="false">IF(OR($D417="",$N417=""),"",INDEX(Config!$I$13:$I$15,$AK417)*($S417+$U417+INDEX(Config!$G$13:$G$15,$AK417)*($K417+$O417)))</f>
        <v/>
      </c>
      <c r="X417" s="43" t="str">
        <f aca="false">IF(OR($D417="",$N417=""),"",INDEX(Config!$K$13:$K$15,$AK417)/365*$P417*$K417*Config!$B$8)</f>
        <v/>
      </c>
      <c r="Y417" s="43" t="str">
        <f aca="false">IF(OR($D417="",$N417=""),"",SUM($S417:$X417))</f>
        <v/>
      </c>
      <c r="Z417" s="40" t="str">
        <f aca="false">IF(OR($D417="",$Q417=""),"",$Q417-$Y417)</f>
        <v/>
      </c>
      <c r="AA417" s="42" t="str">
        <f aca="false">IF(OR($D417="",$Z417="",$K417=0),"",$Z417/$K417)</f>
        <v/>
      </c>
      <c r="AB417" s="44" t="str">
        <f aca="false">IF(OR($D417="",$Y417="",$K417=0),"",$Y417/$K417*10000)</f>
        <v/>
      </c>
      <c r="AC417" s="44" t="str">
        <f aca="false">IF(OR($D417="",$G417="",$G417=0,$I417=""),"",IF($E417="LONG",($I417-$G417)/$G417,($G417-$I417)/$G417)*10000)</f>
        <v/>
      </c>
      <c r="AD417" s="45"/>
      <c r="AE417" s="40" t="str">
        <f aca="false">IF(OR($D417="",$N417&lt;&gt;"",$AD417=""),"",IF($E417="LONG",($AD417-$I417)*$J417,($I417-$AD417)*$J417))</f>
        <v/>
      </c>
      <c r="AF417" s="40" t="str">
        <f aca="false">IF(OR($D417="",$E417&lt;&gt;"LONG",$Z417=""),"",$Z417+SUMIFS($Z$4:$Z$503,$B$4:$B$503,$B417,$E$4:$E$503,"SHORT"))</f>
        <v/>
      </c>
      <c r="AG417" s="42" t="str">
        <f aca="false">IF(OR($AF417="",$K417=0),"",$AF417/$K417)</f>
        <v/>
      </c>
      <c r="AH417" s="46"/>
      <c r="AI417" s="43" t="str">
        <f aca="false">IF(OR($D417="",$AH417="",$Z417=""),"",$Z417-$AH417)</f>
        <v/>
      </c>
      <c r="AJ417" s="49"/>
      <c r="AK417" s="47" t="str">
        <f aca="false">IF($D417="","",IFERROR(MATCH($F417,Config!$A$13:$A$15,0),1))</f>
        <v/>
      </c>
      <c r="AL417" s="47" t="str">
        <f aca="false">IF(OR($D417="",$N417=""),"",IF($E417="LONG",$K417,$O417))</f>
        <v/>
      </c>
      <c r="AM417" s="47" t="str">
        <f aca="false">IF(OR($D417="",$N417=""),"",IF($E417="LONG",$O417,$K417))</f>
        <v/>
      </c>
    </row>
    <row r="418" customFormat="false" ht="15" hidden="false" customHeight="false" outlineLevel="0" collapsed="false">
      <c r="A418" s="49"/>
      <c r="B418" s="5" t="str">
        <f aca="false">IF($D418="","",IF(OR(RIGHT($A418,2)="-L",RIGHT($A418,2)="-S"),LEFT($A418,LEN($A418)-2),$A418))</f>
        <v/>
      </c>
      <c r="C418" s="50"/>
      <c r="D418" s="49"/>
      <c r="E418" s="49"/>
      <c r="F418" s="49"/>
      <c r="G418" s="45"/>
      <c r="H418" s="50"/>
      <c r="I418" s="45"/>
      <c r="J418" s="51"/>
      <c r="K418" s="40" t="str">
        <f aca="false">IF($D418="","",$I418*$J418)</f>
        <v/>
      </c>
      <c r="L418" s="50"/>
      <c r="M418" s="49"/>
      <c r="N418" s="45"/>
      <c r="O418" s="40" t="str">
        <f aca="false">IF(OR($D418="",$N418=""),"",$N418*$J418)</f>
        <v/>
      </c>
      <c r="P418" s="41" t="str">
        <f aca="false">IF(OR($D418="",$L418=""),"",MAX($L418-$H418,0))</f>
        <v/>
      </c>
      <c r="Q418" s="40" t="str">
        <f aca="false">IF(OR($D418="",$N418=""),"",IF($E418="LONG",($N418-$I418)*$J418,($I418-$N418)*$J418))</f>
        <v/>
      </c>
      <c r="R418" s="42" t="str">
        <f aca="false">IF(OR($D418="",$Q418="",$K418=0),"",$Q418/$K418)</f>
        <v/>
      </c>
      <c r="S418" s="43" t="str">
        <f aca="false">IF(OR($D418="",$N418=""),"",MIN(INDEX(Config!$C$13:$C$15,$AK418),INDEX(Config!$B$13:$B$15,$AK418)*$K418)+MIN(INDEX(Config!$C$13:$C$15,$AK418),INDEX(Config!$B$13:$B$15,$AK418)*$O418))</f>
        <v/>
      </c>
      <c r="T418" s="43" t="str">
        <f aca="false">IF(OR($D418="",$N418=""),"",INDEX(Config!$D$13:$D$15,$AK418)*$AL418+INDEX(Config!$E$13:$E$15,$AK418)*$AM418)</f>
        <v/>
      </c>
      <c r="U418" s="43" t="str">
        <f aca="false">IF(OR($D418="",$N418=""),"",INDEX(Config!$F$13:$F$15,$AK418)*($K418+$O418))</f>
        <v/>
      </c>
      <c r="V418" s="43" t="str">
        <f aca="false">IF(OR($D418="",$N418=""),"",INDEX(Config!$G$13:$G$15,$AK418)*($K418+$O418)+INDEX(Config!$H$13:$H$15,$AK418)*$AL418+INDEX(Config!$J$13:$J$15,$AK418))</f>
        <v/>
      </c>
      <c r="W418" s="43" t="str">
        <f aca="false">IF(OR($D418="",$N418=""),"",INDEX(Config!$I$13:$I$15,$AK418)*($S418+$U418+INDEX(Config!$G$13:$G$15,$AK418)*($K418+$O418)))</f>
        <v/>
      </c>
      <c r="X418" s="43" t="str">
        <f aca="false">IF(OR($D418="",$N418=""),"",INDEX(Config!$K$13:$K$15,$AK418)/365*$P418*$K418*Config!$B$8)</f>
        <v/>
      </c>
      <c r="Y418" s="43" t="str">
        <f aca="false">IF(OR($D418="",$N418=""),"",SUM($S418:$X418))</f>
        <v/>
      </c>
      <c r="Z418" s="40" t="str">
        <f aca="false">IF(OR($D418="",$Q418=""),"",$Q418-$Y418)</f>
        <v/>
      </c>
      <c r="AA418" s="42" t="str">
        <f aca="false">IF(OR($D418="",$Z418="",$K418=0),"",$Z418/$K418)</f>
        <v/>
      </c>
      <c r="AB418" s="44" t="str">
        <f aca="false">IF(OR($D418="",$Y418="",$K418=0),"",$Y418/$K418*10000)</f>
        <v/>
      </c>
      <c r="AC418" s="44" t="str">
        <f aca="false">IF(OR($D418="",$G418="",$G418=0,$I418=""),"",IF($E418="LONG",($I418-$G418)/$G418,($G418-$I418)/$G418)*10000)</f>
        <v/>
      </c>
      <c r="AD418" s="45"/>
      <c r="AE418" s="40" t="str">
        <f aca="false">IF(OR($D418="",$N418&lt;&gt;"",$AD418=""),"",IF($E418="LONG",($AD418-$I418)*$J418,($I418-$AD418)*$J418))</f>
        <v/>
      </c>
      <c r="AF418" s="40" t="str">
        <f aca="false">IF(OR($D418="",$E418&lt;&gt;"LONG",$Z418=""),"",$Z418+SUMIFS($Z$4:$Z$503,$B$4:$B$503,$B418,$E$4:$E$503,"SHORT"))</f>
        <v/>
      </c>
      <c r="AG418" s="42" t="str">
        <f aca="false">IF(OR($AF418="",$K418=0),"",$AF418/$K418)</f>
        <v/>
      </c>
      <c r="AH418" s="46"/>
      <c r="AI418" s="43" t="str">
        <f aca="false">IF(OR($D418="",$AH418="",$Z418=""),"",$Z418-$AH418)</f>
        <v/>
      </c>
      <c r="AJ418" s="49"/>
      <c r="AK418" s="47" t="str">
        <f aca="false">IF($D418="","",IFERROR(MATCH($F418,Config!$A$13:$A$15,0),1))</f>
        <v/>
      </c>
      <c r="AL418" s="47" t="str">
        <f aca="false">IF(OR($D418="",$N418=""),"",IF($E418="LONG",$K418,$O418))</f>
        <v/>
      </c>
      <c r="AM418" s="47" t="str">
        <f aca="false">IF(OR($D418="",$N418=""),"",IF($E418="LONG",$O418,$K418))</f>
        <v/>
      </c>
    </row>
    <row r="419" customFormat="false" ht="15" hidden="false" customHeight="false" outlineLevel="0" collapsed="false">
      <c r="A419" s="49"/>
      <c r="B419" s="5" t="str">
        <f aca="false">IF($D419="","",IF(OR(RIGHT($A419,2)="-L",RIGHT($A419,2)="-S"),LEFT($A419,LEN($A419)-2),$A419))</f>
        <v/>
      </c>
      <c r="C419" s="50"/>
      <c r="D419" s="49"/>
      <c r="E419" s="49"/>
      <c r="F419" s="49"/>
      <c r="G419" s="45"/>
      <c r="H419" s="50"/>
      <c r="I419" s="45"/>
      <c r="J419" s="51"/>
      <c r="K419" s="40" t="str">
        <f aca="false">IF($D419="","",$I419*$J419)</f>
        <v/>
      </c>
      <c r="L419" s="50"/>
      <c r="M419" s="49"/>
      <c r="N419" s="45"/>
      <c r="O419" s="40" t="str">
        <f aca="false">IF(OR($D419="",$N419=""),"",$N419*$J419)</f>
        <v/>
      </c>
      <c r="P419" s="41" t="str">
        <f aca="false">IF(OR($D419="",$L419=""),"",MAX($L419-$H419,0))</f>
        <v/>
      </c>
      <c r="Q419" s="40" t="str">
        <f aca="false">IF(OR($D419="",$N419=""),"",IF($E419="LONG",($N419-$I419)*$J419,($I419-$N419)*$J419))</f>
        <v/>
      </c>
      <c r="R419" s="42" t="str">
        <f aca="false">IF(OR($D419="",$Q419="",$K419=0),"",$Q419/$K419)</f>
        <v/>
      </c>
      <c r="S419" s="43" t="str">
        <f aca="false">IF(OR($D419="",$N419=""),"",MIN(INDEX(Config!$C$13:$C$15,$AK419),INDEX(Config!$B$13:$B$15,$AK419)*$K419)+MIN(INDEX(Config!$C$13:$C$15,$AK419),INDEX(Config!$B$13:$B$15,$AK419)*$O419))</f>
        <v/>
      </c>
      <c r="T419" s="43" t="str">
        <f aca="false">IF(OR($D419="",$N419=""),"",INDEX(Config!$D$13:$D$15,$AK419)*$AL419+INDEX(Config!$E$13:$E$15,$AK419)*$AM419)</f>
        <v/>
      </c>
      <c r="U419" s="43" t="str">
        <f aca="false">IF(OR($D419="",$N419=""),"",INDEX(Config!$F$13:$F$15,$AK419)*($K419+$O419))</f>
        <v/>
      </c>
      <c r="V419" s="43" t="str">
        <f aca="false">IF(OR($D419="",$N419=""),"",INDEX(Config!$G$13:$G$15,$AK419)*($K419+$O419)+INDEX(Config!$H$13:$H$15,$AK419)*$AL419+INDEX(Config!$J$13:$J$15,$AK419))</f>
        <v/>
      </c>
      <c r="W419" s="43" t="str">
        <f aca="false">IF(OR($D419="",$N419=""),"",INDEX(Config!$I$13:$I$15,$AK419)*($S419+$U419+INDEX(Config!$G$13:$G$15,$AK419)*($K419+$O419)))</f>
        <v/>
      </c>
      <c r="X419" s="43" t="str">
        <f aca="false">IF(OR($D419="",$N419=""),"",INDEX(Config!$K$13:$K$15,$AK419)/365*$P419*$K419*Config!$B$8)</f>
        <v/>
      </c>
      <c r="Y419" s="43" t="str">
        <f aca="false">IF(OR($D419="",$N419=""),"",SUM($S419:$X419))</f>
        <v/>
      </c>
      <c r="Z419" s="40" t="str">
        <f aca="false">IF(OR($D419="",$Q419=""),"",$Q419-$Y419)</f>
        <v/>
      </c>
      <c r="AA419" s="42" t="str">
        <f aca="false">IF(OR($D419="",$Z419="",$K419=0),"",$Z419/$K419)</f>
        <v/>
      </c>
      <c r="AB419" s="44" t="str">
        <f aca="false">IF(OR($D419="",$Y419="",$K419=0),"",$Y419/$K419*10000)</f>
        <v/>
      </c>
      <c r="AC419" s="44" t="str">
        <f aca="false">IF(OR($D419="",$G419="",$G419=0,$I419=""),"",IF($E419="LONG",($I419-$G419)/$G419,($G419-$I419)/$G419)*10000)</f>
        <v/>
      </c>
      <c r="AD419" s="45"/>
      <c r="AE419" s="40" t="str">
        <f aca="false">IF(OR($D419="",$N419&lt;&gt;"",$AD419=""),"",IF($E419="LONG",($AD419-$I419)*$J419,($I419-$AD419)*$J419))</f>
        <v/>
      </c>
      <c r="AF419" s="40" t="str">
        <f aca="false">IF(OR($D419="",$E419&lt;&gt;"LONG",$Z419=""),"",$Z419+SUMIFS($Z$4:$Z$503,$B$4:$B$503,$B419,$E$4:$E$503,"SHORT"))</f>
        <v/>
      </c>
      <c r="AG419" s="42" t="str">
        <f aca="false">IF(OR($AF419="",$K419=0),"",$AF419/$K419)</f>
        <v/>
      </c>
      <c r="AH419" s="46"/>
      <c r="AI419" s="43" t="str">
        <f aca="false">IF(OR($D419="",$AH419="",$Z419=""),"",$Z419-$AH419)</f>
        <v/>
      </c>
      <c r="AJ419" s="49"/>
      <c r="AK419" s="47" t="str">
        <f aca="false">IF($D419="","",IFERROR(MATCH($F419,Config!$A$13:$A$15,0),1))</f>
        <v/>
      </c>
      <c r="AL419" s="47" t="str">
        <f aca="false">IF(OR($D419="",$N419=""),"",IF($E419="LONG",$K419,$O419))</f>
        <v/>
      </c>
      <c r="AM419" s="47" t="str">
        <f aca="false">IF(OR($D419="",$N419=""),"",IF($E419="LONG",$O419,$K419))</f>
        <v/>
      </c>
    </row>
    <row r="420" customFormat="false" ht="15" hidden="false" customHeight="false" outlineLevel="0" collapsed="false">
      <c r="A420" s="49"/>
      <c r="B420" s="5" t="str">
        <f aca="false">IF($D420="","",IF(OR(RIGHT($A420,2)="-L",RIGHT($A420,2)="-S"),LEFT($A420,LEN($A420)-2),$A420))</f>
        <v/>
      </c>
      <c r="C420" s="50"/>
      <c r="D420" s="49"/>
      <c r="E420" s="49"/>
      <c r="F420" s="49"/>
      <c r="G420" s="45"/>
      <c r="H420" s="50"/>
      <c r="I420" s="45"/>
      <c r="J420" s="51"/>
      <c r="K420" s="40" t="str">
        <f aca="false">IF($D420="","",$I420*$J420)</f>
        <v/>
      </c>
      <c r="L420" s="50"/>
      <c r="M420" s="49"/>
      <c r="N420" s="45"/>
      <c r="O420" s="40" t="str">
        <f aca="false">IF(OR($D420="",$N420=""),"",$N420*$J420)</f>
        <v/>
      </c>
      <c r="P420" s="41" t="str">
        <f aca="false">IF(OR($D420="",$L420=""),"",MAX($L420-$H420,0))</f>
        <v/>
      </c>
      <c r="Q420" s="40" t="str">
        <f aca="false">IF(OR($D420="",$N420=""),"",IF($E420="LONG",($N420-$I420)*$J420,($I420-$N420)*$J420))</f>
        <v/>
      </c>
      <c r="R420" s="42" t="str">
        <f aca="false">IF(OR($D420="",$Q420="",$K420=0),"",$Q420/$K420)</f>
        <v/>
      </c>
      <c r="S420" s="43" t="str">
        <f aca="false">IF(OR($D420="",$N420=""),"",MIN(INDEX(Config!$C$13:$C$15,$AK420),INDEX(Config!$B$13:$B$15,$AK420)*$K420)+MIN(INDEX(Config!$C$13:$C$15,$AK420),INDEX(Config!$B$13:$B$15,$AK420)*$O420))</f>
        <v/>
      </c>
      <c r="T420" s="43" t="str">
        <f aca="false">IF(OR($D420="",$N420=""),"",INDEX(Config!$D$13:$D$15,$AK420)*$AL420+INDEX(Config!$E$13:$E$15,$AK420)*$AM420)</f>
        <v/>
      </c>
      <c r="U420" s="43" t="str">
        <f aca="false">IF(OR($D420="",$N420=""),"",INDEX(Config!$F$13:$F$15,$AK420)*($K420+$O420))</f>
        <v/>
      </c>
      <c r="V420" s="43" t="str">
        <f aca="false">IF(OR($D420="",$N420=""),"",INDEX(Config!$G$13:$G$15,$AK420)*($K420+$O420)+INDEX(Config!$H$13:$H$15,$AK420)*$AL420+INDEX(Config!$J$13:$J$15,$AK420))</f>
        <v/>
      </c>
      <c r="W420" s="43" t="str">
        <f aca="false">IF(OR($D420="",$N420=""),"",INDEX(Config!$I$13:$I$15,$AK420)*($S420+$U420+INDEX(Config!$G$13:$G$15,$AK420)*($K420+$O420)))</f>
        <v/>
      </c>
      <c r="X420" s="43" t="str">
        <f aca="false">IF(OR($D420="",$N420=""),"",INDEX(Config!$K$13:$K$15,$AK420)/365*$P420*$K420*Config!$B$8)</f>
        <v/>
      </c>
      <c r="Y420" s="43" t="str">
        <f aca="false">IF(OR($D420="",$N420=""),"",SUM($S420:$X420))</f>
        <v/>
      </c>
      <c r="Z420" s="40" t="str">
        <f aca="false">IF(OR($D420="",$Q420=""),"",$Q420-$Y420)</f>
        <v/>
      </c>
      <c r="AA420" s="42" t="str">
        <f aca="false">IF(OR($D420="",$Z420="",$K420=0),"",$Z420/$K420)</f>
        <v/>
      </c>
      <c r="AB420" s="44" t="str">
        <f aca="false">IF(OR($D420="",$Y420="",$K420=0),"",$Y420/$K420*10000)</f>
        <v/>
      </c>
      <c r="AC420" s="44" t="str">
        <f aca="false">IF(OR($D420="",$G420="",$G420=0,$I420=""),"",IF($E420="LONG",($I420-$G420)/$G420,($G420-$I420)/$G420)*10000)</f>
        <v/>
      </c>
      <c r="AD420" s="45"/>
      <c r="AE420" s="40" t="str">
        <f aca="false">IF(OR($D420="",$N420&lt;&gt;"",$AD420=""),"",IF($E420="LONG",($AD420-$I420)*$J420,($I420-$AD420)*$J420))</f>
        <v/>
      </c>
      <c r="AF420" s="40" t="str">
        <f aca="false">IF(OR($D420="",$E420&lt;&gt;"LONG",$Z420=""),"",$Z420+SUMIFS($Z$4:$Z$503,$B$4:$B$503,$B420,$E$4:$E$503,"SHORT"))</f>
        <v/>
      </c>
      <c r="AG420" s="42" t="str">
        <f aca="false">IF(OR($AF420="",$K420=0),"",$AF420/$K420)</f>
        <v/>
      </c>
      <c r="AH420" s="46"/>
      <c r="AI420" s="43" t="str">
        <f aca="false">IF(OR($D420="",$AH420="",$Z420=""),"",$Z420-$AH420)</f>
        <v/>
      </c>
      <c r="AJ420" s="49"/>
      <c r="AK420" s="47" t="str">
        <f aca="false">IF($D420="","",IFERROR(MATCH($F420,Config!$A$13:$A$15,0),1))</f>
        <v/>
      </c>
      <c r="AL420" s="47" t="str">
        <f aca="false">IF(OR($D420="",$N420=""),"",IF($E420="LONG",$K420,$O420))</f>
        <v/>
      </c>
      <c r="AM420" s="47" t="str">
        <f aca="false">IF(OR($D420="",$N420=""),"",IF($E420="LONG",$O420,$K420))</f>
        <v/>
      </c>
    </row>
    <row r="421" customFormat="false" ht="15" hidden="false" customHeight="false" outlineLevel="0" collapsed="false">
      <c r="A421" s="49"/>
      <c r="B421" s="5" t="str">
        <f aca="false">IF($D421="","",IF(OR(RIGHT($A421,2)="-L",RIGHT($A421,2)="-S"),LEFT($A421,LEN($A421)-2),$A421))</f>
        <v/>
      </c>
      <c r="C421" s="50"/>
      <c r="D421" s="49"/>
      <c r="E421" s="49"/>
      <c r="F421" s="49"/>
      <c r="G421" s="45"/>
      <c r="H421" s="50"/>
      <c r="I421" s="45"/>
      <c r="J421" s="51"/>
      <c r="K421" s="40" t="str">
        <f aca="false">IF($D421="","",$I421*$J421)</f>
        <v/>
      </c>
      <c r="L421" s="50"/>
      <c r="M421" s="49"/>
      <c r="N421" s="45"/>
      <c r="O421" s="40" t="str">
        <f aca="false">IF(OR($D421="",$N421=""),"",$N421*$J421)</f>
        <v/>
      </c>
      <c r="P421" s="41" t="str">
        <f aca="false">IF(OR($D421="",$L421=""),"",MAX($L421-$H421,0))</f>
        <v/>
      </c>
      <c r="Q421" s="40" t="str">
        <f aca="false">IF(OR($D421="",$N421=""),"",IF($E421="LONG",($N421-$I421)*$J421,($I421-$N421)*$J421))</f>
        <v/>
      </c>
      <c r="R421" s="42" t="str">
        <f aca="false">IF(OR($D421="",$Q421="",$K421=0),"",$Q421/$K421)</f>
        <v/>
      </c>
      <c r="S421" s="43" t="str">
        <f aca="false">IF(OR($D421="",$N421=""),"",MIN(INDEX(Config!$C$13:$C$15,$AK421),INDEX(Config!$B$13:$B$15,$AK421)*$K421)+MIN(INDEX(Config!$C$13:$C$15,$AK421),INDEX(Config!$B$13:$B$15,$AK421)*$O421))</f>
        <v/>
      </c>
      <c r="T421" s="43" t="str">
        <f aca="false">IF(OR($D421="",$N421=""),"",INDEX(Config!$D$13:$D$15,$AK421)*$AL421+INDEX(Config!$E$13:$E$15,$AK421)*$AM421)</f>
        <v/>
      </c>
      <c r="U421" s="43" t="str">
        <f aca="false">IF(OR($D421="",$N421=""),"",INDEX(Config!$F$13:$F$15,$AK421)*($K421+$O421))</f>
        <v/>
      </c>
      <c r="V421" s="43" t="str">
        <f aca="false">IF(OR($D421="",$N421=""),"",INDEX(Config!$G$13:$G$15,$AK421)*($K421+$O421)+INDEX(Config!$H$13:$H$15,$AK421)*$AL421+INDEX(Config!$J$13:$J$15,$AK421))</f>
        <v/>
      </c>
      <c r="W421" s="43" t="str">
        <f aca="false">IF(OR($D421="",$N421=""),"",INDEX(Config!$I$13:$I$15,$AK421)*($S421+$U421+INDEX(Config!$G$13:$G$15,$AK421)*($K421+$O421)))</f>
        <v/>
      </c>
      <c r="X421" s="43" t="str">
        <f aca="false">IF(OR($D421="",$N421=""),"",INDEX(Config!$K$13:$K$15,$AK421)/365*$P421*$K421*Config!$B$8)</f>
        <v/>
      </c>
      <c r="Y421" s="43" t="str">
        <f aca="false">IF(OR($D421="",$N421=""),"",SUM($S421:$X421))</f>
        <v/>
      </c>
      <c r="Z421" s="40" t="str">
        <f aca="false">IF(OR($D421="",$Q421=""),"",$Q421-$Y421)</f>
        <v/>
      </c>
      <c r="AA421" s="42" t="str">
        <f aca="false">IF(OR($D421="",$Z421="",$K421=0),"",$Z421/$K421)</f>
        <v/>
      </c>
      <c r="AB421" s="44" t="str">
        <f aca="false">IF(OR($D421="",$Y421="",$K421=0),"",$Y421/$K421*10000)</f>
        <v/>
      </c>
      <c r="AC421" s="44" t="str">
        <f aca="false">IF(OR($D421="",$G421="",$G421=0,$I421=""),"",IF($E421="LONG",($I421-$G421)/$G421,($G421-$I421)/$G421)*10000)</f>
        <v/>
      </c>
      <c r="AD421" s="45"/>
      <c r="AE421" s="40" t="str">
        <f aca="false">IF(OR($D421="",$N421&lt;&gt;"",$AD421=""),"",IF($E421="LONG",($AD421-$I421)*$J421,($I421-$AD421)*$J421))</f>
        <v/>
      </c>
      <c r="AF421" s="40" t="str">
        <f aca="false">IF(OR($D421="",$E421&lt;&gt;"LONG",$Z421=""),"",$Z421+SUMIFS($Z$4:$Z$503,$B$4:$B$503,$B421,$E$4:$E$503,"SHORT"))</f>
        <v/>
      </c>
      <c r="AG421" s="42" t="str">
        <f aca="false">IF(OR($AF421="",$K421=0),"",$AF421/$K421)</f>
        <v/>
      </c>
      <c r="AH421" s="46"/>
      <c r="AI421" s="43" t="str">
        <f aca="false">IF(OR($D421="",$AH421="",$Z421=""),"",$Z421-$AH421)</f>
        <v/>
      </c>
      <c r="AJ421" s="49"/>
      <c r="AK421" s="47" t="str">
        <f aca="false">IF($D421="","",IFERROR(MATCH($F421,Config!$A$13:$A$15,0),1))</f>
        <v/>
      </c>
      <c r="AL421" s="47" t="str">
        <f aca="false">IF(OR($D421="",$N421=""),"",IF($E421="LONG",$K421,$O421))</f>
        <v/>
      </c>
      <c r="AM421" s="47" t="str">
        <f aca="false">IF(OR($D421="",$N421=""),"",IF($E421="LONG",$O421,$K421))</f>
        <v/>
      </c>
    </row>
    <row r="422" customFormat="false" ht="15" hidden="false" customHeight="false" outlineLevel="0" collapsed="false">
      <c r="A422" s="49"/>
      <c r="B422" s="5" t="str">
        <f aca="false">IF($D422="","",IF(OR(RIGHT($A422,2)="-L",RIGHT($A422,2)="-S"),LEFT($A422,LEN($A422)-2),$A422))</f>
        <v/>
      </c>
      <c r="C422" s="50"/>
      <c r="D422" s="49"/>
      <c r="E422" s="49"/>
      <c r="F422" s="49"/>
      <c r="G422" s="45"/>
      <c r="H422" s="50"/>
      <c r="I422" s="45"/>
      <c r="J422" s="51"/>
      <c r="K422" s="40" t="str">
        <f aca="false">IF($D422="","",$I422*$J422)</f>
        <v/>
      </c>
      <c r="L422" s="50"/>
      <c r="M422" s="49"/>
      <c r="N422" s="45"/>
      <c r="O422" s="40" t="str">
        <f aca="false">IF(OR($D422="",$N422=""),"",$N422*$J422)</f>
        <v/>
      </c>
      <c r="P422" s="41" t="str">
        <f aca="false">IF(OR($D422="",$L422=""),"",MAX($L422-$H422,0))</f>
        <v/>
      </c>
      <c r="Q422" s="40" t="str">
        <f aca="false">IF(OR($D422="",$N422=""),"",IF($E422="LONG",($N422-$I422)*$J422,($I422-$N422)*$J422))</f>
        <v/>
      </c>
      <c r="R422" s="42" t="str">
        <f aca="false">IF(OR($D422="",$Q422="",$K422=0),"",$Q422/$K422)</f>
        <v/>
      </c>
      <c r="S422" s="43" t="str">
        <f aca="false">IF(OR($D422="",$N422=""),"",MIN(INDEX(Config!$C$13:$C$15,$AK422),INDEX(Config!$B$13:$B$15,$AK422)*$K422)+MIN(INDEX(Config!$C$13:$C$15,$AK422),INDEX(Config!$B$13:$B$15,$AK422)*$O422))</f>
        <v/>
      </c>
      <c r="T422" s="43" t="str">
        <f aca="false">IF(OR($D422="",$N422=""),"",INDEX(Config!$D$13:$D$15,$AK422)*$AL422+INDEX(Config!$E$13:$E$15,$AK422)*$AM422)</f>
        <v/>
      </c>
      <c r="U422" s="43" t="str">
        <f aca="false">IF(OR($D422="",$N422=""),"",INDEX(Config!$F$13:$F$15,$AK422)*($K422+$O422))</f>
        <v/>
      </c>
      <c r="V422" s="43" t="str">
        <f aca="false">IF(OR($D422="",$N422=""),"",INDEX(Config!$G$13:$G$15,$AK422)*($K422+$O422)+INDEX(Config!$H$13:$H$15,$AK422)*$AL422+INDEX(Config!$J$13:$J$15,$AK422))</f>
        <v/>
      </c>
      <c r="W422" s="43" t="str">
        <f aca="false">IF(OR($D422="",$N422=""),"",INDEX(Config!$I$13:$I$15,$AK422)*($S422+$U422+INDEX(Config!$G$13:$G$15,$AK422)*($K422+$O422)))</f>
        <v/>
      </c>
      <c r="X422" s="43" t="str">
        <f aca="false">IF(OR($D422="",$N422=""),"",INDEX(Config!$K$13:$K$15,$AK422)/365*$P422*$K422*Config!$B$8)</f>
        <v/>
      </c>
      <c r="Y422" s="43" t="str">
        <f aca="false">IF(OR($D422="",$N422=""),"",SUM($S422:$X422))</f>
        <v/>
      </c>
      <c r="Z422" s="40" t="str">
        <f aca="false">IF(OR($D422="",$Q422=""),"",$Q422-$Y422)</f>
        <v/>
      </c>
      <c r="AA422" s="42" t="str">
        <f aca="false">IF(OR($D422="",$Z422="",$K422=0),"",$Z422/$K422)</f>
        <v/>
      </c>
      <c r="AB422" s="44" t="str">
        <f aca="false">IF(OR($D422="",$Y422="",$K422=0),"",$Y422/$K422*10000)</f>
        <v/>
      </c>
      <c r="AC422" s="44" t="str">
        <f aca="false">IF(OR($D422="",$G422="",$G422=0,$I422=""),"",IF($E422="LONG",($I422-$G422)/$G422,($G422-$I422)/$G422)*10000)</f>
        <v/>
      </c>
      <c r="AD422" s="45"/>
      <c r="AE422" s="40" t="str">
        <f aca="false">IF(OR($D422="",$N422&lt;&gt;"",$AD422=""),"",IF($E422="LONG",($AD422-$I422)*$J422,($I422-$AD422)*$J422))</f>
        <v/>
      </c>
      <c r="AF422" s="40" t="str">
        <f aca="false">IF(OR($D422="",$E422&lt;&gt;"LONG",$Z422=""),"",$Z422+SUMIFS($Z$4:$Z$503,$B$4:$B$503,$B422,$E$4:$E$503,"SHORT"))</f>
        <v/>
      </c>
      <c r="AG422" s="42" t="str">
        <f aca="false">IF(OR($AF422="",$K422=0),"",$AF422/$K422)</f>
        <v/>
      </c>
      <c r="AH422" s="46"/>
      <c r="AI422" s="43" t="str">
        <f aca="false">IF(OR($D422="",$AH422="",$Z422=""),"",$Z422-$AH422)</f>
        <v/>
      </c>
      <c r="AJ422" s="49"/>
      <c r="AK422" s="47" t="str">
        <f aca="false">IF($D422="","",IFERROR(MATCH($F422,Config!$A$13:$A$15,0),1))</f>
        <v/>
      </c>
      <c r="AL422" s="47" t="str">
        <f aca="false">IF(OR($D422="",$N422=""),"",IF($E422="LONG",$K422,$O422))</f>
        <v/>
      </c>
      <c r="AM422" s="47" t="str">
        <f aca="false">IF(OR($D422="",$N422=""),"",IF($E422="LONG",$O422,$K422))</f>
        <v/>
      </c>
    </row>
    <row r="423" customFormat="false" ht="15" hidden="false" customHeight="false" outlineLevel="0" collapsed="false">
      <c r="A423" s="49"/>
      <c r="B423" s="5" t="str">
        <f aca="false">IF($D423="","",IF(OR(RIGHT($A423,2)="-L",RIGHT($A423,2)="-S"),LEFT($A423,LEN($A423)-2),$A423))</f>
        <v/>
      </c>
      <c r="C423" s="50"/>
      <c r="D423" s="49"/>
      <c r="E423" s="49"/>
      <c r="F423" s="49"/>
      <c r="G423" s="45"/>
      <c r="H423" s="50"/>
      <c r="I423" s="45"/>
      <c r="J423" s="51"/>
      <c r="K423" s="40" t="str">
        <f aca="false">IF($D423="","",$I423*$J423)</f>
        <v/>
      </c>
      <c r="L423" s="50"/>
      <c r="M423" s="49"/>
      <c r="N423" s="45"/>
      <c r="O423" s="40" t="str">
        <f aca="false">IF(OR($D423="",$N423=""),"",$N423*$J423)</f>
        <v/>
      </c>
      <c r="P423" s="41" t="str">
        <f aca="false">IF(OR($D423="",$L423=""),"",MAX($L423-$H423,0))</f>
        <v/>
      </c>
      <c r="Q423" s="40" t="str">
        <f aca="false">IF(OR($D423="",$N423=""),"",IF($E423="LONG",($N423-$I423)*$J423,($I423-$N423)*$J423))</f>
        <v/>
      </c>
      <c r="R423" s="42" t="str">
        <f aca="false">IF(OR($D423="",$Q423="",$K423=0),"",$Q423/$K423)</f>
        <v/>
      </c>
      <c r="S423" s="43" t="str">
        <f aca="false">IF(OR($D423="",$N423=""),"",MIN(INDEX(Config!$C$13:$C$15,$AK423),INDEX(Config!$B$13:$B$15,$AK423)*$K423)+MIN(INDEX(Config!$C$13:$C$15,$AK423),INDEX(Config!$B$13:$B$15,$AK423)*$O423))</f>
        <v/>
      </c>
      <c r="T423" s="43" t="str">
        <f aca="false">IF(OR($D423="",$N423=""),"",INDEX(Config!$D$13:$D$15,$AK423)*$AL423+INDEX(Config!$E$13:$E$15,$AK423)*$AM423)</f>
        <v/>
      </c>
      <c r="U423" s="43" t="str">
        <f aca="false">IF(OR($D423="",$N423=""),"",INDEX(Config!$F$13:$F$15,$AK423)*($K423+$O423))</f>
        <v/>
      </c>
      <c r="V423" s="43" t="str">
        <f aca="false">IF(OR($D423="",$N423=""),"",INDEX(Config!$G$13:$G$15,$AK423)*($K423+$O423)+INDEX(Config!$H$13:$H$15,$AK423)*$AL423+INDEX(Config!$J$13:$J$15,$AK423))</f>
        <v/>
      </c>
      <c r="W423" s="43" t="str">
        <f aca="false">IF(OR($D423="",$N423=""),"",INDEX(Config!$I$13:$I$15,$AK423)*($S423+$U423+INDEX(Config!$G$13:$G$15,$AK423)*($K423+$O423)))</f>
        <v/>
      </c>
      <c r="X423" s="43" t="str">
        <f aca="false">IF(OR($D423="",$N423=""),"",INDEX(Config!$K$13:$K$15,$AK423)/365*$P423*$K423*Config!$B$8)</f>
        <v/>
      </c>
      <c r="Y423" s="43" t="str">
        <f aca="false">IF(OR($D423="",$N423=""),"",SUM($S423:$X423))</f>
        <v/>
      </c>
      <c r="Z423" s="40" t="str">
        <f aca="false">IF(OR($D423="",$Q423=""),"",$Q423-$Y423)</f>
        <v/>
      </c>
      <c r="AA423" s="42" t="str">
        <f aca="false">IF(OR($D423="",$Z423="",$K423=0),"",$Z423/$K423)</f>
        <v/>
      </c>
      <c r="AB423" s="44" t="str">
        <f aca="false">IF(OR($D423="",$Y423="",$K423=0),"",$Y423/$K423*10000)</f>
        <v/>
      </c>
      <c r="AC423" s="44" t="str">
        <f aca="false">IF(OR($D423="",$G423="",$G423=0,$I423=""),"",IF($E423="LONG",($I423-$G423)/$G423,($G423-$I423)/$G423)*10000)</f>
        <v/>
      </c>
      <c r="AD423" s="45"/>
      <c r="AE423" s="40" t="str">
        <f aca="false">IF(OR($D423="",$N423&lt;&gt;"",$AD423=""),"",IF($E423="LONG",($AD423-$I423)*$J423,($I423-$AD423)*$J423))</f>
        <v/>
      </c>
      <c r="AF423" s="40" t="str">
        <f aca="false">IF(OR($D423="",$E423&lt;&gt;"LONG",$Z423=""),"",$Z423+SUMIFS($Z$4:$Z$503,$B$4:$B$503,$B423,$E$4:$E$503,"SHORT"))</f>
        <v/>
      </c>
      <c r="AG423" s="42" t="str">
        <f aca="false">IF(OR($AF423="",$K423=0),"",$AF423/$K423)</f>
        <v/>
      </c>
      <c r="AH423" s="46"/>
      <c r="AI423" s="43" t="str">
        <f aca="false">IF(OR($D423="",$AH423="",$Z423=""),"",$Z423-$AH423)</f>
        <v/>
      </c>
      <c r="AJ423" s="49"/>
      <c r="AK423" s="47" t="str">
        <f aca="false">IF($D423="","",IFERROR(MATCH($F423,Config!$A$13:$A$15,0),1))</f>
        <v/>
      </c>
      <c r="AL423" s="47" t="str">
        <f aca="false">IF(OR($D423="",$N423=""),"",IF($E423="LONG",$K423,$O423))</f>
        <v/>
      </c>
      <c r="AM423" s="47" t="str">
        <f aca="false">IF(OR($D423="",$N423=""),"",IF($E423="LONG",$O423,$K423))</f>
        <v/>
      </c>
    </row>
    <row r="424" customFormat="false" ht="15" hidden="false" customHeight="false" outlineLevel="0" collapsed="false">
      <c r="A424" s="49"/>
      <c r="B424" s="5" t="str">
        <f aca="false">IF($D424="","",IF(OR(RIGHT($A424,2)="-L",RIGHT($A424,2)="-S"),LEFT($A424,LEN($A424)-2),$A424))</f>
        <v/>
      </c>
      <c r="C424" s="50"/>
      <c r="D424" s="49"/>
      <c r="E424" s="49"/>
      <c r="F424" s="49"/>
      <c r="G424" s="45"/>
      <c r="H424" s="50"/>
      <c r="I424" s="45"/>
      <c r="J424" s="51"/>
      <c r="K424" s="40" t="str">
        <f aca="false">IF($D424="","",$I424*$J424)</f>
        <v/>
      </c>
      <c r="L424" s="50"/>
      <c r="M424" s="49"/>
      <c r="N424" s="45"/>
      <c r="O424" s="40" t="str">
        <f aca="false">IF(OR($D424="",$N424=""),"",$N424*$J424)</f>
        <v/>
      </c>
      <c r="P424" s="41" t="str">
        <f aca="false">IF(OR($D424="",$L424=""),"",MAX($L424-$H424,0))</f>
        <v/>
      </c>
      <c r="Q424" s="40" t="str">
        <f aca="false">IF(OR($D424="",$N424=""),"",IF($E424="LONG",($N424-$I424)*$J424,($I424-$N424)*$J424))</f>
        <v/>
      </c>
      <c r="R424" s="42" t="str">
        <f aca="false">IF(OR($D424="",$Q424="",$K424=0),"",$Q424/$K424)</f>
        <v/>
      </c>
      <c r="S424" s="43" t="str">
        <f aca="false">IF(OR($D424="",$N424=""),"",MIN(INDEX(Config!$C$13:$C$15,$AK424),INDEX(Config!$B$13:$B$15,$AK424)*$K424)+MIN(INDEX(Config!$C$13:$C$15,$AK424),INDEX(Config!$B$13:$B$15,$AK424)*$O424))</f>
        <v/>
      </c>
      <c r="T424" s="43" t="str">
        <f aca="false">IF(OR($D424="",$N424=""),"",INDEX(Config!$D$13:$D$15,$AK424)*$AL424+INDEX(Config!$E$13:$E$15,$AK424)*$AM424)</f>
        <v/>
      </c>
      <c r="U424" s="43" t="str">
        <f aca="false">IF(OR($D424="",$N424=""),"",INDEX(Config!$F$13:$F$15,$AK424)*($K424+$O424))</f>
        <v/>
      </c>
      <c r="V424" s="43" t="str">
        <f aca="false">IF(OR($D424="",$N424=""),"",INDEX(Config!$G$13:$G$15,$AK424)*($K424+$O424)+INDEX(Config!$H$13:$H$15,$AK424)*$AL424+INDEX(Config!$J$13:$J$15,$AK424))</f>
        <v/>
      </c>
      <c r="W424" s="43" t="str">
        <f aca="false">IF(OR($D424="",$N424=""),"",INDEX(Config!$I$13:$I$15,$AK424)*($S424+$U424+INDEX(Config!$G$13:$G$15,$AK424)*($K424+$O424)))</f>
        <v/>
      </c>
      <c r="X424" s="43" t="str">
        <f aca="false">IF(OR($D424="",$N424=""),"",INDEX(Config!$K$13:$K$15,$AK424)/365*$P424*$K424*Config!$B$8)</f>
        <v/>
      </c>
      <c r="Y424" s="43" t="str">
        <f aca="false">IF(OR($D424="",$N424=""),"",SUM($S424:$X424))</f>
        <v/>
      </c>
      <c r="Z424" s="40" t="str">
        <f aca="false">IF(OR($D424="",$Q424=""),"",$Q424-$Y424)</f>
        <v/>
      </c>
      <c r="AA424" s="42" t="str">
        <f aca="false">IF(OR($D424="",$Z424="",$K424=0),"",$Z424/$K424)</f>
        <v/>
      </c>
      <c r="AB424" s="44" t="str">
        <f aca="false">IF(OR($D424="",$Y424="",$K424=0),"",$Y424/$K424*10000)</f>
        <v/>
      </c>
      <c r="AC424" s="44" t="str">
        <f aca="false">IF(OR($D424="",$G424="",$G424=0,$I424=""),"",IF($E424="LONG",($I424-$G424)/$G424,($G424-$I424)/$G424)*10000)</f>
        <v/>
      </c>
      <c r="AD424" s="45"/>
      <c r="AE424" s="40" t="str">
        <f aca="false">IF(OR($D424="",$N424&lt;&gt;"",$AD424=""),"",IF($E424="LONG",($AD424-$I424)*$J424,($I424-$AD424)*$J424))</f>
        <v/>
      </c>
      <c r="AF424" s="40" t="str">
        <f aca="false">IF(OR($D424="",$E424&lt;&gt;"LONG",$Z424=""),"",$Z424+SUMIFS($Z$4:$Z$503,$B$4:$B$503,$B424,$E$4:$E$503,"SHORT"))</f>
        <v/>
      </c>
      <c r="AG424" s="42" t="str">
        <f aca="false">IF(OR($AF424="",$K424=0),"",$AF424/$K424)</f>
        <v/>
      </c>
      <c r="AH424" s="46"/>
      <c r="AI424" s="43" t="str">
        <f aca="false">IF(OR($D424="",$AH424="",$Z424=""),"",$Z424-$AH424)</f>
        <v/>
      </c>
      <c r="AJ424" s="49"/>
      <c r="AK424" s="47" t="str">
        <f aca="false">IF($D424="","",IFERROR(MATCH($F424,Config!$A$13:$A$15,0),1))</f>
        <v/>
      </c>
      <c r="AL424" s="47" t="str">
        <f aca="false">IF(OR($D424="",$N424=""),"",IF($E424="LONG",$K424,$O424))</f>
        <v/>
      </c>
      <c r="AM424" s="47" t="str">
        <f aca="false">IF(OR($D424="",$N424=""),"",IF($E424="LONG",$O424,$K424))</f>
        <v/>
      </c>
    </row>
    <row r="425" customFormat="false" ht="15" hidden="false" customHeight="false" outlineLevel="0" collapsed="false">
      <c r="A425" s="49"/>
      <c r="B425" s="5" t="str">
        <f aca="false">IF($D425="","",IF(OR(RIGHT($A425,2)="-L",RIGHT($A425,2)="-S"),LEFT($A425,LEN($A425)-2),$A425))</f>
        <v/>
      </c>
      <c r="C425" s="50"/>
      <c r="D425" s="49"/>
      <c r="E425" s="49"/>
      <c r="F425" s="49"/>
      <c r="G425" s="45"/>
      <c r="H425" s="50"/>
      <c r="I425" s="45"/>
      <c r="J425" s="51"/>
      <c r="K425" s="40" t="str">
        <f aca="false">IF($D425="","",$I425*$J425)</f>
        <v/>
      </c>
      <c r="L425" s="50"/>
      <c r="M425" s="49"/>
      <c r="N425" s="45"/>
      <c r="O425" s="40" t="str">
        <f aca="false">IF(OR($D425="",$N425=""),"",$N425*$J425)</f>
        <v/>
      </c>
      <c r="P425" s="41" t="str">
        <f aca="false">IF(OR($D425="",$L425=""),"",MAX($L425-$H425,0))</f>
        <v/>
      </c>
      <c r="Q425" s="40" t="str">
        <f aca="false">IF(OR($D425="",$N425=""),"",IF($E425="LONG",($N425-$I425)*$J425,($I425-$N425)*$J425))</f>
        <v/>
      </c>
      <c r="R425" s="42" t="str">
        <f aca="false">IF(OR($D425="",$Q425="",$K425=0),"",$Q425/$K425)</f>
        <v/>
      </c>
      <c r="S425" s="43" t="str">
        <f aca="false">IF(OR($D425="",$N425=""),"",MIN(INDEX(Config!$C$13:$C$15,$AK425),INDEX(Config!$B$13:$B$15,$AK425)*$K425)+MIN(INDEX(Config!$C$13:$C$15,$AK425),INDEX(Config!$B$13:$B$15,$AK425)*$O425))</f>
        <v/>
      </c>
      <c r="T425" s="43" t="str">
        <f aca="false">IF(OR($D425="",$N425=""),"",INDEX(Config!$D$13:$D$15,$AK425)*$AL425+INDEX(Config!$E$13:$E$15,$AK425)*$AM425)</f>
        <v/>
      </c>
      <c r="U425" s="43" t="str">
        <f aca="false">IF(OR($D425="",$N425=""),"",INDEX(Config!$F$13:$F$15,$AK425)*($K425+$O425))</f>
        <v/>
      </c>
      <c r="V425" s="43" t="str">
        <f aca="false">IF(OR($D425="",$N425=""),"",INDEX(Config!$G$13:$G$15,$AK425)*($K425+$O425)+INDEX(Config!$H$13:$H$15,$AK425)*$AL425+INDEX(Config!$J$13:$J$15,$AK425))</f>
        <v/>
      </c>
      <c r="W425" s="43" t="str">
        <f aca="false">IF(OR($D425="",$N425=""),"",INDEX(Config!$I$13:$I$15,$AK425)*($S425+$U425+INDEX(Config!$G$13:$G$15,$AK425)*($K425+$O425)))</f>
        <v/>
      </c>
      <c r="X425" s="43" t="str">
        <f aca="false">IF(OR($D425="",$N425=""),"",INDEX(Config!$K$13:$K$15,$AK425)/365*$P425*$K425*Config!$B$8)</f>
        <v/>
      </c>
      <c r="Y425" s="43" t="str">
        <f aca="false">IF(OR($D425="",$N425=""),"",SUM($S425:$X425))</f>
        <v/>
      </c>
      <c r="Z425" s="40" t="str">
        <f aca="false">IF(OR($D425="",$Q425=""),"",$Q425-$Y425)</f>
        <v/>
      </c>
      <c r="AA425" s="42" t="str">
        <f aca="false">IF(OR($D425="",$Z425="",$K425=0),"",$Z425/$K425)</f>
        <v/>
      </c>
      <c r="AB425" s="44" t="str">
        <f aca="false">IF(OR($D425="",$Y425="",$K425=0),"",$Y425/$K425*10000)</f>
        <v/>
      </c>
      <c r="AC425" s="44" t="str">
        <f aca="false">IF(OR($D425="",$G425="",$G425=0,$I425=""),"",IF($E425="LONG",($I425-$G425)/$G425,($G425-$I425)/$G425)*10000)</f>
        <v/>
      </c>
      <c r="AD425" s="45"/>
      <c r="AE425" s="40" t="str">
        <f aca="false">IF(OR($D425="",$N425&lt;&gt;"",$AD425=""),"",IF($E425="LONG",($AD425-$I425)*$J425,($I425-$AD425)*$J425))</f>
        <v/>
      </c>
      <c r="AF425" s="40" t="str">
        <f aca="false">IF(OR($D425="",$E425&lt;&gt;"LONG",$Z425=""),"",$Z425+SUMIFS($Z$4:$Z$503,$B$4:$B$503,$B425,$E$4:$E$503,"SHORT"))</f>
        <v/>
      </c>
      <c r="AG425" s="42" t="str">
        <f aca="false">IF(OR($AF425="",$K425=0),"",$AF425/$K425)</f>
        <v/>
      </c>
      <c r="AH425" s="46"/>
      <c r="AI425" s="43" t="str">
        <f aca="false">IF(OR($D425="",$AH425="",$Z425=""),"",$Z425-$AH425)</f>
        <v/>
      </c>
      <c r="AJ425" s="49"/>
      <c r="AK425" s="47" t="str">
        <f aca="false">IF($D425="","",IFERROR(MATCH($F425,Config!$A$13:$A$15,0),1))</f>
        <v/>
      </c>
      <c r="AL425" s="47" t="str">
        <f aca="false">IF(OR($D425="",$N425=""),"",IF($E425="LONG",$K425,$O425))</f>
        <v/>
      </c>
      <c r="AM425" s="47" t="str">
        <f aca="false">IF(OR($D425="",$N425=""),"",IF($E425="LONG",$O425,$K425))</f>
        <v/>
      </c>
    </row>
    <row r="426" customFormat="false" ht="15" hidden="false" customHeight="false" outlineLevel="0" collapsed="false">
      <c r="A426" s="49"/>
      <c r="B426" s="5" t="str">
        <f aca="false">IF($D426="","",IF(OR(RIGHT($A426,2)="-L",RIGHT($A426,2)="-S"),LEFT($A426,LEN($A426)-2),$A426))</f>
        <v/>
      </c>
      <c r="C426" s="50"/>
      <c r="D426" s="49"/>
      <c r="E426" s="49"/>
      <c r="F426" s="49"/>
      <c r="G426" s="45"/>
      <c r="H426" s="50"/>
      <c r="I426" s="45"/>
      <c r="J426" s="51"/>
      <c r="K426" s="40" t="str">
        <f aca="false">IF($D426="","",$I426*$J426)</f>
        <v/>
      </c>
      <c r="L426" s="50"/>
      <c r="M426" s="49"/>
      <c r="N426" s="45"/>
      <c r="O426" s="40" t="str">
        <f aca="false">IF(OR($D426="",$N426=""),"",$N426*$J426)</f>
        <v/>
      </c>
      <c r="P426" s="41" t="str">
        <f aca="false">IF(OR($D426="",$L426=""),"",MAX($L426-$H426,0))</f>
        <v/>
      </c>
      <c r="Q426" s="40" t="str">
        <f aca="false">IF(OR($D426="",$N426=""),"",IF($E426="LONG",($N426-$I426)*$J426,($I426-$N426)*$J426))</f>
        <v/>
      </c>
      <c r="R426" s="42" t="str">
        <f aca="false">IF(OR($D426="",$Q426="",$K426=0),"",$Q426/$K426)</f>
        <v/>
      </c>
      <c r="S426" s="43" t="str">
        <f aca="false">IF(OR($D426="",$N426=""),"",MIN(INDEX(Config!$C$13:$C$15,$AK426),INDEX(Config!$B$13:$B$15,$AK426)*$K426)+MIN(INDEX(Config!$C$13:$C$15,$AK426),INDEX(Config!$B$13:$B$15,$AK426)*$O426))</f>
        <v/>
      </c>
      <c r="T426" s="43" t="str">
        <f aca="false">IF(OR($D426="",$N426=""),"",INDEX(Config!$D$13:$D$15,$AK426)*$AL426+INDEX(Config!$E$13:$E$15,$AK426)*$AM426)</f>
        <v/>
      </c>
      <c r="U426" s="43" t="str">
        <f aca="false">IF(OR($D426="",$N426=""),"",INDEX(Config!$F$13:$F$15,$AK426)*($K426+$O426))</f>
        <v/>
      </c>
      <c r="V426" s="43" t="str">
        <f aca="false">IF(OR($D426="",$N426=""),"",INDEX(Config!$G$13:$G$15,$AK426)*($K426+$O426)+INDEX(Config!$H$13:$H$15,$AK426)*$AL426+INDEX(Config!$J$13:$J$15,$AK426))</f>
        <v/>
      </c>
      <c r="W426" s="43" t="str">
        <f aca="false">IF(OR($D426="",$N426=""),"",INDEX(Config!$I$13:$I$15,$AK426)*($S426+$U426+INDEX(Config!$G$13:$G$15,$AK426)*($K426+$O426)))</f>
        <v/>
      </c>
      <c r="X426" s="43" t="str">
        <f aca="false">IF(OR($D426="",$N426=""),"",INDEX(Config!$K$13:$K$15,$AK426)/365*$P426*$K426*Config!$B$8)</f>
        <v/>
      </c>
      <c r="Y426" s="43" t="str">
        <f aca="false">IF(OR($D426="",$N426=""),"",SUM($S426:$X426))</f>
        <v/>
      </c>
      <c r="Z426" s="40" t="str">
        <f aca="false">IF(OR($D426="",$Q426=""),"",$Q426-$Y426)</f>
        <v/>
      </c>
      <c r="AA426" s="42" t="str">
        <f aca="false">IF(OR($D426="",$Z426="",$K426=0),"",$Z426/$K426)</f>
        <v/>
      </c>
      <c r="AB426" s="44" t="str">
        <f aca="false">IF(OR($D426="",$Y426="",$K426=0),"",$Y426/$K426*10000)</f>
        <v/>
      </c>
      <c r="AC426" s="44" t="str">
        <f aca="false">IF(OR($D426="",$G426="",$G426=0,$I426=""),"",IF($E426="LONG",($I426-$G426)/$G426,($G426-$I426)/$G426)*10000)</f>
        <v/>
      </c>
      <c r="AD426" s="45"/>
      <c r="AE426" s="40" t="str">
        <f aca="false">IF(OR($D426="",$N426&lt;&gt;"",$AD426=""),"",IF($E426="LONG",($AD426-$I426)*$J426,($I426-$AD426)*$J426))</f>
        <v/>
      </c>
      <c r="AF426" s="40" t="str">
        <f aca="false">IF(OR($D426="",$E426&lt;&gt;"LONG",$Z426=""),"",$Z426+SUMIFS($Z$4:$Z$503,$B$4:$B$503,$B426,$E$4:$E$503,"SHORT"))</f>
        <v/>
      </c>
      <c r="AG426" s="42" t="str">
        <f aca="false">IF(OR($AF426="",$K426=0),"",$AF426/$K426)</f>
        <v/>
      </c>
      <c r="AH426" s="46"/>
      <c r="AI426" s="43" t="str">
        <f aca="false">IF(OR($D426="",$AH426="",$Z426=""),"",$Z426-$AH426)</f>
        <v/>
      </c>
      <c r="AJ426" s="49"/>
      <c r="AK426" s="47" t="str">
        <f aca="false">IF($D426="","",IFERROR(MATCH($F426,Config!$A$13:$A$15,0),1))</f>
        <v/>
      </c>
      <c r="AL426" s="47" t="str">
        <f aca="false">IF(OR($D426="",$N426=""),"",IF($E426="LONG",$K426,$O426))</f>
        <v/>
      </c>
      <c r="AM426" s="47" t="str">
        <f aca="false">IF(OR($D426="",$N426=""),"",IF($E426="LONG",$O426,$K426))</f>
        <v/>
      </c>
    </row>
    <row r="427" customFormat="false" ht="15" hidden="false" customHeight="false" outlineLevel="0" collapsed="false">
      <c r="A427" s="49"/>
      <c r="B427" s="5" t="str">
        <f aca="false">IF($D427="","",IF(OR(RIGHT($A427,2)="-L",RIGHT($A427,2)="-S"),LEFT($A427,LEN($A427)-2),$A427))</f>
        <v/>
      </c>
      <c r="C427" s="50"/>
      <c r="D427" s="49"/>
      <c r="E427" s="49"/>
      <c r="F427" s="49"/>
      <c r="G427" s="45"/>
      <c r="H427" s="50"/>
      <c r="I427" s="45"/>
      <c r="J427" s="51"/>
      <c r="K427" s="40" t="str">
        <f aca="false">IF($D427="","",$I427*$J427)</f>
        <v/>
      </c>
      <c r="L427" s="50"/>
      <c r="M427" s="49"/>
      <c r="N427" s="45"/>
      <c r="O427" s="40" t="str">
        <f aca="false">IF(OR($D427="",$N427=""),"",$N427*$J427)</f>
        <v/>
      </c>
      <c r="P427" s="41" t="str">
        <f aca="false">IF(OR($D427="",$L427=""),"",MAX($L427-$H427,0))</f>
        <v/>
      </c>
      <c r="Q427" s="40" t="str">
        <f aca="false">IF(OR($D427="",$N427=""),"",IF($E427="LONG",($N427-$I427)*$J427,($I427-$N427)*$J427))</f>
        <v/>
      </c>
      <c r="R427" s="42" t="str">
        <f aca="false">IF(OR($D427="",$Q427="",$K427=0),"",$Q427/$K427)</f>
        <v/>
      </c>
      <c r="S427" s="43" t="str">
        <f aca="false">IF(OR($D427="",$N427=""),"",MIN(INDEX(Config!$C$13:$C$15,$AK427),INDEX(Config!$B$13:$B$15,$AK427)*$K427)+MIN(INDEX(Config!$C$13:$C$15,$AK427),INDEX(Config!$B$13:$B$15,$AK427)*$O427))</f>
        <v/>
      </c>
      <c r="T427" s="43" t="str">
        <f aca="false">IF(OR($D427="",$N427=""),"",INDEX(Config!$D$13:$D$15,$AK427)*$AL427+INDEX(Config!$E$13:$E$15,$AK427)*$AM427)</f>
        <v/>
      </c>
      <c r="U427" s="43" t="str">
        <f aca="false">IF(OR($D427="",$N427=""),"",INDEX(Config!$F$13:$F$15,$AK427)*($K427+$O427))</f>
        <v/>
      </c>
      <c r="V427" s="43" t="str">
        <f aca="false">IF(OR($D427="",$N427=""),"",INDEX(Config!$G$13:$G$15,$AK427)*($K427+$O427)+INDEX(Config!$H$13:$H$15,$AK427)*$AL427+INDEX(Config!$J$13:$J$15,$AK427))</f>
        <v/>
      </c>
      <c r="W427" s="43" t="str">
        <f aca="false">IF(OR($D427="",$N427=""),"",INDEX(Config!$I$13:$I$15,$AK427)*($S427+$U427+INDEX(Config!$G$13:$G$15,$AK427)*($K427+$O427)))</f>
        <v/>
      </c>
      <c r="X427" s="43" t="str">
        <f aca="false">IF(OR($D427="",$N427=""),"",INDEX(Config!$K$13:$K$15,$AK427)/365*$P427*$K427*Config!$B$8)</f>
        <v/>
      </c>
      <c r="Y427" s="43" t="str">
        <f aca="false">IF(OR($D427="",$N427=""),"",SUM($S427:$X427))</f>
        <v/>
      </c>
      <c r="Z427" s="40" t="str">
        <f aca="false">IF(OR($D427="",$Q427=""),"",$Q427-$Y427)</f>
        <v/>
      </c>
      <c r="AA427" s="42" t="str">
        <f aca="false">IF(OR($D427="",$Z427="",$K427=0),"",$Z427/$K427)</f>
        <v/>
      </c>
      <c r="AB427" s="44" t="str">
        <f aca="false">IF(OR($D427="",$Y427="",$K427=0),"",$Y427/$K427*10000)</f>
        <v/>
      </c>
      <c r="AC427" s="44" t="str">
        <f aca="false">IF(OR($D427="",$G427="",$G427=0,$I427=""),"",IF($E427="LONG",($I427-$G427)/$G427,($G427-$I427)/$G427)*10000)</f>
        <v/>
      </c>
      <c r="AD427" s="45"/>
      <c r="AE427" s="40" t="str">
        <f aca="false">IF(OR($D427="",$N427&lt;&gt;"",$AD427=""),"",IF($E427="LONG",($AD427-$I427)*$J427,($I427-$AD427)*$J427))</f>
        <v/>
      </c>
      <c r="AF427" s="40" t="str">
        <f aca="false">IF(OR($D427="",$E427&lt;&gt;"LONG",$Z427=""),"",$Z427+SUMIFS($Z$4:$Z$503,$B$4:$B$503,$B427,$E$4:$E$503,"SHORT"))</f>
        <v/>
      </c>
      <c r="AG427" s="42" t="str">
        <f aca="false">IF(OR($AF427="",$K427=0),"",$AF427/$K427)</f>
        <v/>
      </c>
      <c r="AH427" s="46"/>
      <c r="AI427" s="43" t="str">
        <f aca="false">IF(OR($D427="",$AH427="",$Z427=""),"",$Z427-$AH427)</f>
        <v/>
      </c>
      <c r="AJ427" s="49"/>
      <c r="AK427" s="47" t="str">
        <f aca="false">IF($D427="","",IFERROR(MATCH($F427,Config!$A$13:$A$15,0),1))</f>
        <v/>
      </c>
      <c r="AL427" s="47" t="str">
        <f aca="false">IF(OR($D427="",$N427=""),"",IF($E427="LONG",$K427,$O427))</f>
        <v/>
      </c>
      <c r="AM427" s="47" t="str">
        <f aca="false">IF(OR($D427="",$N427=""),"",IF($E427="LONG",$O427,$K427))</f>
        <v/>
      </c>
    </row>
    <row r="428" customFormat="false" ht="15" hidden="false" customHeight="false" outlineLevel="0" collapsed="false">
      <c r="A428" s="49"/>
      <c r="B428" s="5" t="str">
        <f aca="false">IF($D428="","",IF(OR(RIGHT($A428,2)="-L",RIGHT($A428,2)="-S"),LEFT($A428,LEN($A428)-2),$A428))</f>
        <v/>
      </c>
      <c r="C428" s="50"/>
      <c r="D428" s="49"/>
      <c r="E428" s="49"/>
      <c r="F428" s="49"/>
      <c r="G428" s="45"/>
      <c r="H428" s="50"/>
      <c r="I428" s="45"/>
      <c r="J428" s="51"/>
      <c r="K428" s="40" t="str">
        <f aca="false">IF($D428="","",$I428*$J428)</f>
        <v/>
      </c>
      <c r="L428" s="50"/>
      <c r="M428" s="49"/>
      <c r="N428" s="45"/>
      <c r="O428" s="40" t="str">
        <f aca="false">IF(OR($D428="",$N428=""),"",$N428*$J428)</f>
        <v/>
      </c>
      <c r="P428" s="41" t="str">
        <f aca="false">IF(OR($D428="",$L428=""),"",MAX($L428-$H428,0))</f>
        <v/>
      </c>
      <c r="Q428" s="40" t="str">
        <f aca="false">IF(OR($D428="",$N428=""),"",IF($E428="LONG",($N428-$I428)*$J428,($I428-$N428)*$J428))</f>
        <v/>
      </c>
      <c r="R428" s="42" t="str">
        <f aca="false">IF(OR($D428="",$Q428="",$K428=0),"",$Q428/$K428)</f>
        <v/>
      </c>
      <c r="S428" s="43" t="str">
        <f aca="false">IF(OR($D428="",$N428=""),"",MIN(INDEX(Config!$C$13:$C$15,$AK428),INDEX(Config!$B$13:$B$15,$AK428)*$K428)+MIN(INDEX(Config!$C$13:$C$15,$AK428),INDEX(Config!$B$13:$B$15,$AK428)*$O428))</f>
        <v/>
      </c>
      <c r="T428" s="43" t="str">
        <f aca="false">IF(OR($D428="",$N428=""),"",INDEX(Config!$D$13:$D$15,$AK428)*$AL428+INDEX(Config!$E$13:$E$15,$AK428)*$AM428)</f>
        <v/>
      </c>
      <c r="U428" s="43" t="str">
        <f aca="false">IF(OR($D428="",$N428=""),"",INDEX(Config!$F$13:$F$15,$AK428)*($K428+$O428))</f>
        <v/>
      </c>
      <c r="V428" s="43" t="str">
        <f aca="false">IF(OR($D428="",$N428=""),"",INDEX(Config!$G$13:$G$15,$AK428)*($K428+$O428)+INDEX(Config!$H$13:$H$15,$AK428)*$AL428+INDEX(Config!$J$13:$J$15,$AK428))</f>
        <v/>
      </c>
      <c r="W428" s="43" t="str">
        <f aca="false">IF(OR($D428="",$N428=""),"",INDEX(Config!$I$13:$I$15,$AK428)*($S428+$U428+INDEX(Config!$G$13:$G$15,$AK428)*($K428+$O428)))</f>
        <v/>
      </c>
      <c r="X428" s="43" t="str">
        <f aca="false">IF(OR($D428="",$N428=""),"",INDEX(Config!$K$13:$K$15,$AK428)/365*$P428*$K428*Config!$B$8)</f>
        <v/>
      </c>
      <c r="Y428" s="43" t="str">
        <f aca="false">IF(OR($D428="",$N428=""),"",SUM($S428:$X428))</f>
        <v/>
      </c>
      <c r="Z428" s="40" t="str">
        <f aca="false">IF(OR($D428="",$Q428=""),"",$Q428-$Y428)</f>
        <v/>
      </c>
      <c r="AA428" s="42" t="str">
        <f aca="false">IF(OR($D428="",$Z428="",$K428=0),"",$Z428/$K428)</f>
        <v/>
      </c>
      <c r="AB428" s="44" t="str">
        <f aca="false">IF(OR($D428="",$Y428="",$K428=0),"",$Y428/$K428*10000)</f>
        <v/>
      </c>
      <c r="AC428" s="44" t="str">
        <f aca="false">IF(OR($D428="",$G428="",$G428=0,$I428=""),"",IF($E428="LONG",($I428-$G428)/$G428,($G428-$I428)/$G428)*10000)</f>
        <v/>
      </c>
      <c r="AD428" s="45"/>
      <c r="AE428" s="40" t="str">
        <f aca="false">IF(OR($D428="",$N428&lt;&gt;"",$AD428=""),"",IF($E428="LONG",($AD428-$I428)*$J428,($I428-$AD428)*$J428))</f>
        <v/>
      </c>
      <c r="AF428" s="40" t="str">
        <f aca="false">IF(OR($D428="",$E428&lt;&gt;"LONG",$Z428=""),"",$Z428+SUMIFS($Z$4:$Z$503,$B$4:$B$503,$B428,$E$4:$E$503,"SHORT"))</f>
        <v/>
      </c>
      <c r="AG428" s="42" t="str">
        <f aca="false">IF(OR($AF428="",$K428=0),"",$AF428/$K428)</f>
        <v/>
      </c>
      <c r="AH428" s="46"/>
      <c r="AI428" s="43" t="str">
        <f aca="false">IF(OR($D428="",$AH428="",$Z428=""),"",$Z428-$AH428)</f>
        <v/>
      </c>
      <c r="AJ428" s="49"/>
      <c r="AK428" s="47" t="str">
        <f aca="false">IF($D428="","",IFERROR(MATCH($F428,Config!$A$13:$A$15,0),1))</f>
        <v/>
      </c>
      <c r="AL428" s="47" t="str">
        <f aca="false">IF(OR($D428="",$N428=""),"",IF($E428="LONG",$K428,$O428))</f>
        <v/>
      </c>
      <c r="AM428" s="47" t="str">
        <f aca="false">IF(OR($D428="",$N428=""),"",IF($E428="LONG",$O428,$K428))</f>
        <v/>
      </c>
    </row>
    <row r="429" customFormat="false" ht="15" hidden="false" customHeight="false" outlineLevel="0" collapsed="false">
      <c r="A429" s="49"/>
      <c r="B429" s="5" t="str">
        <f aca="false">IF($D429="","",IF(OR(RIGHT($A429,2)="-L",RIGHT($A429,2)="-S"),LEFT($A429,LEN($A429)-2),$A429))</f>
        <v/>
      </c>
      <c r="C429" s="50"/>
      <c r="D429" s="49"/>
      <c r="E429" s="49"/>
      <c r="F429" s="49"/>
      <c r="G429" s="45"/>
      <c r="H429" s="50"/>
      <c r="I429" s="45"/>
      <c r="J429" s="51"/>
      <c r="K429" s="40" t="str">
        <f aca="false">IF($D429="","",$I429*$J429)</f>
        <v/>
      </c>
      <c r="L429" s="50"/>
      <c r="M429" s="49"/>
      <c r="N429" s="45"/>
      <c r="O429" s="40" t="str">
        <f aca="false">IF(OR($D429="",$N429=""),"",$N429*$J429)</f>
        <v/>
      </c>
      <c r="P429" s="41" t="str">
        <f aca="false">IF(OR($D429="",$L429=""),"",MAX($L429-$H429,0))</f>
        <v/>
      </c>
      <c r="Q429" s="40" t="str">
        <f aca="false">IF(OR($D429="",$N429=""),"",IF($E429="LONG",($N429-$I429)*$J429,($I429-$N429)*$J429))</f>
        <v/>
      </c>
      <c r="R429" s="42" t="str">
        <f aca="false">IF(OR($D429="",$Q429="",$K429=0),"",$Q429/$K429)</f>
        <v/>
      </c>
      <c r="S429" s="43" t="str">
        <f aca="false">IF(OR($D429="",$N429=""),"",MIN(INDEX(Config!$C$13:$C$15,$AK429),INDEX(Config!$B$13:$B$15,$AK429)*$K429)+MIN(INDEX(Config!$C$13:$C$15,$AK429),INDEX(Config!$B$13:$B$15,$AK429)*$O429))</f>
        <v/>
      </c>
      <c r="T429" s="43" t="str">
        <f aca="false">IF(OR($D429="",$N429=""),"",INDEX(Config!$D$13:$D$15,$AK429)*$AL429+INDEX(Config!$E$13:$E$15,$AK429)*$AM429)</f>
        <v/>
      </c>
      <c r="U429" s="43" t="str">
        <f aca="false">IF(OR($D429="",$N429=""),"",INDEX(Config!$F$13:$F$15,$AK429)*($K429+$O429))</f>
        <v/>
      </c>
      <c r="V429" s="43" t="str">
        <f aca="false">IF(OR($D429="",$N429=""),"",INDEX(Config!$G$13:$G$15,$AK429)*($K429+$O429)+INDEX(Config!$H$13:$H$15,$AK429)*$AL429+INDEX(Config!$J$13:$J$15,$AK429))</f>
        <v/>
      </c>
      <c r="W429" s="43" t="str">
        <f aca="false">IF(OR($D429="",$N429=""),"",INDEX(Config!$I$13:$I$15,$AK429)*($S429+$U429+INDEX(Config!$G$13:$G$15,$AK429)*($K429+$O429)))</f>
        <v/>
      </c>
      <c r="X429" s="43" t="str">
        <f aca="false">IF(OR($D429="",$N429=""),"",INDEX(Config!$K$13:$K$15,$AK429)/365*$P429*$K429*Config!$B$8)</f>
        <v/>
      </c>
      <c r="Y429" s="43" t="str">
        <f aca="false">IF(OR($D429="",$N429=""),"",SUM($S429:$X429))</f>
        <v/>
      </c>
      <c r="Z429" s="40" t="str">
        <f aca="false">IF(OR($D429="",$Q429=""),"",$Q429-$Y429)</f>
        <v/>
      </c>
      <c r="AA429" s="42" t="str">
        <f aca="false">IF(OR($D429="",$Z429="",$K429=0),"",$Z429/$K429)</f>
        <v/>
      </c>
      <c r="AB429" s="44" t="str">
        <f aca="false">IF(OR($D429="",$Y429="",$K429=0),"",$Y429/$K429*10000)</f>
        <v/>
      </c>
      <c r="AC429" s="44" t="str">
        <f aca="false">IF(OR($D429="",$G429="",$G429=0,$I429=""),"",IF($E429="LONG",($I429-$G429)/$G429,($G429-$I429)/$G429)*10000)</f>
        <v/>
      </c>
      <c r="AD429" s="45"/>
      <c r="AE429" s="40" t="str">
        <f aca="false">IF(OR($D429="",$N429&lt;&gt;"",$AD429=""),"",IF($E429="LONG",($AD429-$I429)*$J429,($I429-$AD429)*$J429))</f>
        <v/>
      </c>
      <c r="AF429" s="40" t="str">
        <f aca="false">IF(OR($D429="",$E429&lt;&gt;"LONG",$Z429=""),"",$Z429+SUMIFS($Z$4:$Z$503,$B$4:$B$503,$B429,$E$4:$E$503,"SHORT"))</f>
        <v/>
      </c>
      <c r="AG429" s="42" t="str">
        <f aca="false">IF(OR($AF429="",$K429=0),"",$AF429/$K429)</f>
        <v/>
      </c>
      <c r="AH429" s="46"/>
      <c r="AI429" s="43" t="str">
        <f aca="false">IF(OR($D429="",$AH429="",$Z429=""),"",$Z429-$AH429)</f>
        <v/>
      </c>
      <c r="AJ429" s="49"/>
      <c r="AK429" s="47" t="str">
        <f aca="false">IF($D429="","",IFERROR(MATCH($F429,Config!$A$13:$A$15,0),1))</f>
        <v/>
      </c>
      <c r="AL429" s="47" t="str">
        <f aca="false">IF(OR($D429="",$N429=""),"",IF($E429="LONG",$K429,$O429))</f>
        <v/>
      </c>
      <c r="AM429" s="47" t="str">
        <f aca="false">IF(OR($D429="",$N429=""),"",IF($E429="LONG",$O429,$K429))</f>
        <v/>
      </c>
    </row>
    <row r="430" customFormat="false" ht="15" hidden="false" customHeight="false" outlineLevel="0" collapsed="false">
      <c r="A430" s="49"/>
      <c r="B430" s="5" t="str">
        <f aca="false">IF($D430="","",IF(OR(RIGHT($A430,2)="-L",RIGHT($A430,2)="-S"),LEFT($A430,LEN($A430)-2),$A430))</f>
        <v/>
      </c>
      <c r="C430" s="50"/>
      <c r="D430" s="49"/>
      <c r="E430" s="49"/>
      <c r="F430" s="49"/>
      <c r="G430" s="45"/>
      <c r="H430" s="50"/>
      <c r="I430" s="45"/>
      <c r="J430" s="51"/>
      <c r="K430" s="40" t="str">
        <f aca="false">IF($D430="","",$I430*$J430)</f>
        <v/>
      </c>
      <c r="L430" s="50"/>
      <c r="M430" s="49"/>
      <c r="N430" s="45"/>
      <c r="O430" s="40" t="str">
        <f aca="false">IF(OR($D430="",$N430=""),"",$N430*$J430)</f>
        <v/>
      </c>
      <c r="P430" s="41" t="str">
        <f aca="false">IF(OR($D430="",$L430=""),"",MAX($L430-$H430,0))</f>
        <v/>
      </c>
      <c r="Q430" s="40" t="str">
        <f aca="false">IF(OR($D430="",$N430=""),"",IF($E430="LONG",($N430-$I430)*$J430,($I430-$N430)*$J430))</f>
        <v/>
      </c>
      <c r="R430" s="42" t="str">
        <f aca="false">IF(OR($D430="",$Q430="",$K430=0),"",$Q430/$K430)</f>
        <v/>
      </c>
      <c r="S430" s="43" t="str">
        <f aca="false">IF(OR($D430="",$N430=""),"",MIN(INDEX(Config!$C$13:$C$15,$AK430),INDEX(Config!$B$13:$B$15,$AK430)*$K430)+MIN(INDEX(Config!$C$13:$C$15,$AK430),INDEX(Config!$B$13:$B$15,$AK430)*$O430))</f>
        <v/>
      </c>
      <c r="T430" s="43" t="str">
        <f aca="false">IF(OR($D430="",$N430=""),"",INDEX(Config!$D$13:$D$15,$AK430)*$AL430+INDEX(Config!$E$13:$E$15,$AK430)*$AM430)</f>
        <v/>
      </c>
      <c r="U430" s="43" t="str">
        <f aca="false">IF(OR($D430="",$N430=""),"",INDEX(Config!$F$13:$F$15,$AK430)*($K430+$O430))</f>
        <v/>
      </c>
      <c r="V430" s="43" t="str">
        <f aca="false">IF(OR($D430="",$N430=""),"",INDEX(Config!$G$13:$G$15,$AK430)*($K430+$O430)+INDEX(Config!$H$13:$H$15,$AK430)*$AL430+INDEX(Config!$J$13:$J$15,$AK430))</f>
        <v/>
      </c>
      <c r="W430" s="43" t="str">
        <f aca="false">IF(OR($D430="",$N430=""),"",INDEX(Config!$I$13:$I$15,$AK430)*($S430+$U430+INDEX(Config!$G$13:$G$15,$AK430)*($K430+$O430)))</f>
        <v/>
      </c>
      <c r="X430" s="43" t="str">
        <f aca="false">IF(OR($D430="",$N430=""),"",INDEX(Config!$K$13:$K$15,$AK430)/365*$P430*$K430*Config!$B$8)</f>
        <v/>
      </c>
      <c r="Y430" s="43" t="str">
        <f aca="false">IF(OR($D430="",$N430=""),"",SUM($S430:$X430))</f>
        <v/>
      </c>
      <c r="Z430" s="40" t="str">
        <f aca="false">IF(OR($D430="",$Q430=""),"",$Q430-$Y430)</f>
        <v/>
      </c>
      <c r="AA430" s="42" t="str">
        <f aca="false">IF(OR($D430="",$Z430="",$K430=0),"",$Z430/$K430)</f>
        <v/>
      </c>
      <c r="AB430" s="44" t="str">
        <f aca="false">IF(OR($D430="",$Y430="",$K430=0),"",$Y430/$K430*10000)</f>
        <v/>
      </c>
      <c r="AC430" s="44" t="str">
        <f aca="false">IF(OR($D430="",$G430="",$G430=0,$I430=""),"",IF($E430="LONG",($I430-$G430)/$G430,($G430-$I430)/$G430)*10000)</f>
        <v/>
      </c>
      <c r="AD430" s="45"/>
      <c r="AE430" s="40" t="str">
        <f aca="false">IF(OR($D430="",$N430&lt;&gt;"",$AD430=""),"",IF($E430="LONG",($AD430-$I430)*$J430,($I430-$AD430)*$J430))</f>
        <v/>
      </c>
      <c r="AF430" s="40" t="str">
        <f aca="false">IF(OR($D430="",$E430&lt;&gt;"LONG",$Z430=""),"",$Z430+SUMIFS($Z$4:$Z$503,$B$4:$B$503,$B430,$E$4:$E$503,"SHORT"))</f>
        <v/>
      </c>
      <c r="AG430" s="42" t="str">
        <f aca="false">IF(OR($AF430="",$K430=0),"",$AF430/$K430)</f>
        <v/>
      </c>
      <c r="AH430" s="46"/>
      <c r="AI430" s="43" t="str">
        <f aca="false">IF(OR($D430="",$AH430="",$Z430=""),"",$Z430-$AH430)</f>
        <v/>
      </c>
      <c r="AJ430" s="49"/>
      <c r="AK430" s="47" t="str">
        <f aca="false">IF($D430="","",IFERROR(MATCH($F430,Config!$A$13:$A$15,0),1))</f>
        <v/>
      </c>
      <c r="AL430" s="47" t="str">
        <f aca="false">IF(OR($D430="",$N430=""),"",IF($E430="LONG",$K430,$O430))</f>
        <v/>
      </c>
      <c r="AM430" s="47" t="str">
        <f aca="false">IF(OR($D430="",$N430=""),"",IF($E430="LONG",$O430,$K430))</f>
        <v/>
      </c>
    </row>
    <row r="431" customFormat="false" ht="15" hidden="false" customHeight="false" outlineLevel="0" collapsed="false">
      <c r="A431" s="49"/>
      <c r="B431" s="5" t="str">
        <f aca="false">IF($D431="","",IF(OR(RIGHT($A431,2)="-L",RIGHT($A431,2)="-S"),LEFT($A431,LEN($A431)-2),$A431))</f>
        <v/>
      </c>
      <c r="C431" s="50"/>
      <c r="D431" s="49"/>
      <c r="E431" s="49"/>
      <c r="F431" s="49"/>
      <c r="G431" s="45"/>
      <c r="H431" s="50"/>
      <c r="I431" s="45"/>
      <c r="J431" s="51"/>
      <c r="K431" s="40" t="str">
        <f aca="false">IF($D431="","",$I431*$J431)</f>
        <v/>
      </c>
      <c r="L431" s="50"/>
      <c r="M431" s="49"/>
      <c r="N431" s="45"/>
      <c r="O431" s="40" t="str">
        <f aca="false">IF(OR($D431="",$N431=""),"",$N431*$J431)</f>
        <v/>
      </c>
      <c r="P431" s="41" t="str">
        <f aca="false">IF(OR($D431="",$L431=""),"",MAX($L431-$H431,0))</f>
        <v/>
      </c>
      <c r="Q431" s="40" t="str">
        <f aca="false">IF(OR($D431="",$N431=""),"",IF($E431="LONG",($N431-$I431)*$J431,($I431-$N431)*$J431))</f>
        <v/>
      </c>
      <c r="R431" s="42" t="str">
        <f aca="false">IF(OR($D431="",$Q431="",$K431=0),"",$Q431/$K431)</f>
        <v/>
      </c>
      <c r="S431" s="43" t="str">
        <f aca="false">IF(OR($D431="",$N431=""),"",MIN(INDEX(Config!$C$13:$C$15,$AK431),INDEX(Config!$B$13:$B$15,$AK431)*$K431)+MIN(INDEX(Config!$C$13:$C$15,$AK431),INDEX(Config!$B$13:$B$15,$AK431)*$O431))</f>
        <v/>
      </c>
      <c r="T431" s="43" t="str">
        <f aca="false">IF(OR($D431="",$N431=""),"",INDEX(Config!$D$13:$D$15,$AK431)*$AL431+INDEX(Config!$E$13:$E$15,$AK431)*$AM431)</f>
        <v/>
      </c>
      <c r="U431" s="43" t="str">
        <f aca="false">IF(OR($D431="",$N431=""),"",INDEX(Config!$F$13:$F$15,$AK431)*($K431+$O431))</f>
        <v/>
      </c>
      <c r="V431" s="43" t="str">
        <f aca="false">IF(OR($D431="",$N431=""),"",INDEX(Config!$G$13:$G$15,$AK431)*($K431+$O431)+INDEX(Config!$H$13:$H$15,$AK431)*$AL431+INDEX(Config!$J$13:$J$15,$AK431))</f>
        <v/>
      </c>
      <c r="W431" s="43" t="str">
        <f aca="false">IF(OR($D431="",$N431=""),"",INDEX(Config!$I$13:$I$15,$AK431)*($S431+$U431+INDEX(Config!$G$13:$G$15,$AK431)*($K431+$O431)))</f>
        <v/>
      </c>
      <c r="X431" s="43" t="str">
        <f aca="false">IF(OR($D431="",$N431=""),"",INDEX(Config!$K$13:$K$15,$AK431)/365*$P431*$K431*Config!$B$8)</f>
        <v/>
      </c>
      <c r="Y431" s="43" t="str">
        <f aca="false">IF(OR($D431="",$N431=""),"",SUM($S431:$X431))</f>
        <v/>
      </c>
      <c r="Z431" s="40" t="str">
        <f aca="false">IF(OR($D431="",$Q431=""),"",$Q431-$Y431)</f>
        <v/>
      </c>
      <c r="AA431" s="42" t="str">
        <f aca="false">IF(OR($D431="",$Z431="",$K431=0),"",$Z431/$K431)</f>
        <v/>
      </c>
      <c r="AB431" s="44" t="str">
        <f aca="false">IF(OR($D431="",$Y431="",$K431=0),"",$Y431/$K431*10000)</f>
        <v/>
      </c>
      <c r="AC431" s="44" t="str">
        <f aca="false">IF(OR($D431="",$G431="",$G431=0,$I431=""),"",IF($E431="LONG",($I431-$G431)/$G431,($G431-$I431)/$G431)*10000)</f>
        <v/>
      </c>
      <c r="AD431" s="45"/>
      <c r="AE431" s="40" t="str">
        <f aca="false">IF(OR($D431="",$N431&lt;&gt;"",$AD431=""),"",IF($E431="LONG",($AD431-$I431)*$J431,($I431-$AD431)*$J431))</f>
        <v/>
      </c>
      <c r="AF431" s="40" t="str">
        <f aca="false">IF(OR($D431="",$E431&lt;&gt;"LONG",$Z431=""),"",$Z431+SUMIFS($Z$4:$Z$503,$B$4:$B$503,$B431,$E$4:$E$503,"SHORT"))</f>
        <v/>
      </c>
      <c r="AG431" s="42" t="str">
        <f aca="false">IF(OR($AF431="",$K431=0),"",$AF431/$K431)</f>
        <v/>
      </c>
      <c r="AH431" s="46"/>
      <c r="AI431" s="43" t="str">
        <f aca="false">IF(OR($D431="",$AH431="",$Z431=""),"",$Z431-$AH431)</f>
        <v/>
      </c>
      <c r="AJ431" s="49"/>
      <c r="AK431" s="47" t="str">
        <f aca="false">IF($D431="","",IFERROR(MATCH($F431,Config!$A$13:$A$15,0),1))</f>
        <v/>
      </c>
      <c r="AL431" s="47" t="str">
        <f aca="false">IF(OR($D431="",$N431=""),"",IF($E431="LONG",$K431,$O431))</f>
        <v/>
      </c>
      <c r="AM431" s="47" t="str">
        <f aca="false">IF(OR($D431="",$N431=""),"",IF($E431="LONG",$O431,$K431))</f>
        <v/>
      </c>
    </row>
    <row r="432" customFormat="false" ht="15" hidden="false" customHeight="false" outlineLevel="0" collapsed="false">
      <c r="A432" s="49"/>
      <c r="B432" s="5" t="str">
        <f aca="false">IF($D432="","",IF(OR(RIGHT($A432,2)="-L",RIGHT($A432,2)="-S"),LEFT($A432,LEN($A432)-2),$A432))</f>
        <v/>
      </c>
      <c r="C432" s="50"/>
      <c r="D432" s="49"/>
      <c r="E432" s="49"/>
      <c r="F432" s="49"/>
      <c r="G432" s="45"/>
      <c r="H432" s="50"/>
      <c r="I432" s="45"/>
      <c r="J432" s="51"/>
      <c r="K432" s="40" t="str">
        <f aca="false">IF($D432="","",$I432*$J432)</f>
        <v/>
      </c>
      <c r="L432" s="50"/>
      <c r="M432" s="49"/>
      <c r="N432" s="45"/>
      <c r="O432" s="40" t="str">
        <f aca="false">IF(OR($D432="",$N432=""),"",$N432*$J432)</f>
        <v/>
      </c>
      <c r="P432" s="41" t="str">
        <f aca="false">IF(OR($D432="",$L432=""),"",MAX($L432-$H432,0))</f>
        <v/>
      </c>
      <c r="Q432" s="40" t="str">
        <f aca="false">IF(OR($D432="",$N432=""),"",IF($E432="LONG",($N432-$I432)*$J432,($I432-$N432)*$J432))</f>
        <v/>
      </c>
      <c r="R432" s="42" t="str">
        <f aca="false">IF(OR($D432="",$Q432="",$K432=0),"",$Q432/$K432)</f>
        <v/>
      </c>
      <c r="S432" s="43" t="str">
        <f aca="false">IF(OR($D432="",$N432=""),"",MIN(INDEX(Config!$C$13:$C$15,$AK432),INDEX(Config!$B$13:$B$15,$AK432)*$K432)+MIN(INDEX(Config!$C$13:$C$15,$AK432),INDEX(Config!$B$13:$B$15,$AK432)*$O432))</f>
        <v/>
      </c>
      <c r="T432" s="43" t="str">
        <f aca="false">IF(OR($D432="",$N432=""),"",INDEX(Config!$D$13:$D$15,$AK432)*$AL432+INDEX(Config!$E$13:$E$15,$AK432)*$AM432)</f>
        <v/>
      </c>
      <c r="U432" s="43" t="str">
        <f aca="false">IF(OR($D432="",$N432=""),"",INDEX(Config!$F$13:$F$15,$AK432)*($K432+$O432))</f>
        <v/>
      </c>
      <c r="V432" s="43" t="str">
        <f aca="false">IF(OR($D432="",$N432=""),"",INDEX(Config!$G$13:$G$15,$AK432)*($K432+$O432)+INDEX(Config!$H$13:$H$15,$AK432)*$AL432+INDEX(Config!$J$13:$J$15,$AK432))</f>
        <v/>
      </c>
      <c r="W432" s="43" t="str">
        <f aca="false">IF(OR($D432="",$N432=""),"",INDEX(Config!$I$13:$I$15,$AK432)*($S432+$U432+INDEX(Config!$G$13:$G$15,$AK432)*($K432+$O432)))</f>
        <v/>
      </c>
      <c r="X432" s="43" t="str">
        <f aca="false">IF(OR($D432="",$N432=""),"",INDEX(Config!$K$13:$K$15,$AK432)/365*$P432*$K432*Config!$B$8)</f>
        <v/>
      </c>
      <c r="Y432" s="43" t="str">
        <f aca="false">IF(OR($D432="",$N432=""),"",SUM($S432:$X432))</f>
        <v/>
      </c>
      <c r="Z432" s="40" t="str">
        <f aca="false">IF(OR($D432="",$Q432=""),"",$Q432-$Y432)</f>
        <v/>
      </c>
      <c r="AA432" s="42" t="str">
        <f aca="false">IF(OR($D432="",$Z432="",$K432=0),"",$Z432/$K432)</f>
        <v/>
      </c>
      <c r="AB432" s="44" t="str">
        <f aca="false">IF(OR($D432="",$Y432="",$K432=0),"",$Y432/$K432*10000)</f>
        <v/>
      </c>
      <c r="AC432" s="44" t="str">
        <f aca="false">IF(OR($D432="",$G432="",$G432=0,$I432=""),"",IF($E432="LONG",($I432-$G432)/$G432,($G432-$I432)/$G432)*10000)</f>
        <v/>
      </c>
      <c r="AD432" s="45"/>
      <c r="AE432" s="40" t="str">
        <f aca="false">IF(OR($D432="",$N432&lt;&gt;"",$AD432=""),"",IF($E432="LONG",($AD432-$I432)*$J432,($I432-$AD432)*$J432))</f>
        <v/>
      </c>
      <c r="AF432" s="40" t="str">
        <f aca="false">IF(OR($D432="",$E432&lt;&gt;"LONG",$Z432=""),"",$Z432+SUMIFS($Z$4:$Z$503,$B$4:$B$503,$B432,$E$4:$E$503,"SHORT"))</f>
        <v/>
      </c>
      <c r="AG432" s="42" t="str">
        <f aca="false">IF(OR($AF432="",$K432=0),"",$AF432/$K432)</f>
        <v/>
      </c>
      <c r="AH432" s="46"/>
      <c r="AI432" s="43" t="str">
        <f aca="false">IF(OR($D432="",$AH432="",$Z432=""),"",$Z432-$AH432)</f>
        <v/>
      </c>
      <c r="AJ432" s="49"/>
      <c r="AK432" s="47" t="str">
        <f aca="false">IF($D432="","",IFERROR(MATCH($F432,Config!$A$13:$A$15,0),1))</f>
        <v/>
      </c>
      <c r="AL432" s="47" t="str">
        <f aca="false">IF(OR($D432="",$N432=""),"",IF($E432="LONG",$K432,$O432))</f>
        <v/>
      </c>
      <c r="AM432" s="47" t="str">
        <f aca="false">IF(OR($D432="",$N432=""),"",IF($E432="LONG",$O432,$K432))</f>
        <v/>
      </c>
    </row>
    <row r="433" customFormat="false" ht="15" hidden="false" customHeight="false" outlineLevel="0" collapsed="false">
      <c r="A433" s="49"/>
      <c r="B433" s="5" t="str">
        <f aca="false">IF($D433="","",IF(OR(RIGHT($A433,2)="-L",RIGHT($A433,2)="-S"),LEFT($A433,LEN($A433)-2),$A433))</f>
        <v/>
      </c>
      <c r="C433" s="50"/>
      <c r="D433" s="49"/>
      <c r="E433" s="49"/>
      <c r="F433" s="49"/>
      <c r="G433" s="45"/>
      <c r="H433" s="50"/>
      <c r="I433" s="45"/>
      <c r="J433" s="51"/>
      <c r="K433" s="40" t="str">
        <f aca="false">IF($D433="","",$I433*$J433)</f>
        <v/>
      </c>
      <c r="L433" s="50"/>
      <c r="M433" s="49"/>
      <c r="N433" s="45"/>
      <c r="O433" s="40" t="str">
        <f aca="false">IF(OR($D433="",$N433=""),"",$N433*$J433)</f>
        <v/>
      </c>
      <c r="P433" s="41" t="str">
        <f aca="false">IF(OR($D433="",$L433=""),"",MAX($L433-$H433,0))</f>
        <v/>
      </c>
      <c r="Q433" s="40" t="str">
        <f aca="false">IF(OR($D433="",$N433=""),"",IF($E433="LONG",($N433-$I433)*$J433,($I433-$N433)*$J433))</f>
        <v/>
      </c>
      <c r="R433" s="42" t="str">
        <f aca="false">IF(OR($D433="",$Q433="",$K433=0),"",$Q433/$K433)</f>
        <v/>
      </c>
      <c r="S433" s="43" t="str">
        <f aca="false">IF(OR($D433="",$N433=""),"",MIN(INDEX(Config!$C$13:$C$15,$AK433),INDEX(Config!$B$13:$B$15,$AK433)*$K433)+MIN(INDEX(Config!$C$13:$C$15,$AK433),INDEX(Config!$B$13:$B$15,$AK433)*$O433))</f>
        <v/>
      </c>
      <c r="T433" s="43" t="str">
        <f aca="false">IF(OR($D433="",$N433=""),"",INDEX(Config!$D$13:$D$15,$AK433)*$AL433+INDEX(Config!$E$13:$E$15,$AK433)*$AM433)</f>
        <v/>
      </c>
      <c r="U433" s="43" t="str">
        <f aca="false">IF(OR($D433="",$N433=""),"",INDEX(Config!$F$13:$F$15,$AK433)*($K433+$O433))</f>
        <v/>
      </c>
      <c r="V433" s="43" t="str">
        <f aca="false">IF(OR($D433="",$N433=""),"",INDEX(Config!$G$13:$G$15,$AK433)*($K433+$O433)+INDEX(Config!$H$13:$H$15,$AK433)*$AL433+INDEX(Config!$J$13:$J$15,$AK433))</f>
        <v/>
      </c>
      <c r="W433" s="43" t="str">
        <f aca="false">IF(OR($D433="",$N433=""),"",INDEX(Config!$I$13:$I$15,$AK433)*($S433+$U433+INDEX(Config!$G$13:$G$15,$AK433)*($K433+$O433)))</f>
        <v/>
      </c>
      <c r="X433" s="43" t="str">
        <f aca="false">IF(OR($D433="",$N433=""),"",INDEX(Config!$K$13:$K$15,$AK433)/365*$P433*$K433*Config!$B$8)</f>
        <v/>
      </c>
      <c r="Y433" s="43" t="str">
        <f aca="false">IF(OR($D433="",$N433=""),"",SUM($S433:$X433))</f>
        <v/>
      </c>
      <c r="Z433" s="40" t="str">
        <f aca="false">IF(OR($D433="",$Q433=""),"",$Q433-$Y433)</f>
        <v/>
      </c>
      <c r="AA433" s="42" t="str">
        <f aca="false">IF(OR($D433="",$Z433="",$K433=0),"",$Z433/$K433)</f>
        <v/>
      </c>
      <c r="AB433" s="44" t="str">
        <f aca="false">IF(OR($D433="",$Y433="",$K433=0),"",$Y433/$K433*10000)</f>
        <v/>
      </c>
      <c r="AC433" s="44" t="str">
        <f aca="false">IF(OR($D433="",$G433="",$G433=0,$I433=""),"",IF($E433="LONG",($I433-$G433)/$G433,($G433-$I433)/$G433)*10000)</f>
        <v/>
      </c>
      <c r="AD433" s="45"/>
      <c r="AE433" s="40" t="str">
        <f aca="false">IF(OR($D433="",$N433&lt;&gt;"",$AD433=""),"",IF($E433="LONG",($AD433-$I433)*$J433,($I433-$AD433)*$J433))</f>
        <v/>
      </c>
      <c r="AF433" s="40" t="str">
        <f aca="false">IF(OR($D433="",$E433&lt;&gt;"LONG",$Z433=""),"",$Z433+SUMIFS($Z$4:$Z$503,$B$4:$B$503,$B433,$E$4:$E$503,"SHORT"))</f>
        <v/>
      </c>
      <c r="AG433" s="42" t="str">
        <f aca="false">IF(OR($AF433="",$K433=0),"",$AF433/$K433)</f>
        <v/>
      </c>
      <c r="AH433" s="46"/>
      <c r="AI433" s="43" t="str">
        <f aca="false">IF(OR($D433="",$AH433="",$Z433=""),"",$Z433-$AH433)</f>
        <v/>
      </c>
      <c r="AJ433" s="49"/>
      <c r="AK433" s="47" t="str">
        <f aca="false">IF($D433="","",IFERROR(MATCH($F433,Config!$A$13:$A$15,0),1))</f>
        <v/>
      </c>
      <c r="AL433" s="47" t="str">
        <f aca="false">IF(OR($D433="",$N433=""),"",IF($E433="LONG",$K433,$O433))</f>
        <v/>
      </c>
      <c r="AM433" s="47" t="str">
        <f aca="false">IF(OR($D433="",$N433=""),"",IF($E433="LONG",$O433,$K433))</f>
        <v/>
      </c>
    </row>
    <row r="434" customFormat="false" ht="15" hidden="false" customHeight="false" outlineLevel="0" collapsed="false">
      <c r="A434" s="49"/>
      <c r="B434" s="5" t="str">
        <f aca="false">IF($D434="","",IF(OR(RIGHT($A434,2)="-L",RIGHT($A434,2)="-S"),LEFT($A434,LEN($A434)-2),$A434))</f>
        <v/>
      </c>
      <c r="C434" s="50"/>
      <c r="D434" s="49"/>
      <c r="E434" s="49"/>
      <c r="F434" s="49"/>
      <c r="G434" s="45"/>
      <c r="H434" s="50"/>
      <c r="I434" s="45"/>
      <c r="J434" s="51"/>
      <c r="K434" s="40" t="str">
        <f aca="false">IF($D434="","",$I434*$J434)</f>
        <v/>
      </c>
      <c r="L434" s="50"/>
      <c r="M434" s="49"/>
      <c r="N434" s="45"/>
      <c r="O434" s="40" t="str">
        <f aca="false">IF(OR($D434="",$N434=""),"",$N434*$J434)</f>
        <v/>
      </c>
      <c r="P434" s="41" t="str">
        <f aca="false">IF(OR($D434="",$L434=""),"",MAX($L434-$H434,0))</f>
        <v/>
      </c>
      <c r="Q434" s="40" t="str">
        <f aca="false">IF(OR($D434="",$N434=""),"",IF($E434="LONG",($N434-$I434)*$J434,($I434-$N434)*$J434))</f>
        <v/>
      </c>
      <c r="R434" s="42" t="str">
        <f aca="false">IF(OR($D434="",$Q434="",$K434=0),"",$Q434/$K434)</f>
        <v/>
      </c>
      <c r="S434" s="43" t="str">
        <f aca="false">IF(OR($D434="",$N434=""),"",MIN(INDEX(Config!$C$13:$C$15,$AK434),INDEX(Config!$B$13:$B$15,$AK434)*$K434)+MIN(INDEX(Config!$C$13:$C$15,$AK434),INDEX(Config!$B$13:$B$15,$AK434)*$O434))</f>
        <v/>
      </c>
      <c r="T434" s="43" t="str">
        <f aca="false">IF(OR($D434="",$N434=""),"",INDEX(Config!$D$13:$D$15,$AK434)*$AL434+INDEX(Config!$E$13:$E$15,$AK434)*$AM434)</f>
        <v/>
      </c>
      <c r="U434" s="43" t="str">
        <f aca="false">IF(OR($D434="",$N434=""),"",INDEX(Config!$F$13:$F$15,$AK434)*($K434+$O434))</f>
        <v/>
      </c>
      <c r="V434" s="43" t="str">
        <f aca="false">IF(OR($D434="",$N434=""),"",INDEX(Config!$G$13:$G$15,$AK434)*($K434+$O434)+INDEX(Config!$H$13:$H$15,$AK434)*$AL434+INDEX(Config!$J$13:$J$15,$AK434))</f>
        <v/>
      </c>
      <c r="W434" s="43" t="str">
        <f aca="false">IF(OR($D434="",$N434=""),"",INDEX(Config!$I$13:$I$15,$AK434)*($S434+$U434+INDEX(Config!$G$13:$G$15,$AK434)*($K434+$O434)))</f>
        <v/>
      </c>
      <c r="X434" s="43" t="str">
        <f aca="false">IF(OR($D434="",$N434=""),"",INDEX(Config!$K$13:$K$15,$AK434)/365*$P434*$K434*Config!$B$8)</f>
        <v/>
      </c>
      <c r="Y434" s="43" t="str">
        <f aca="false">IF(OR($D434="",$N434=""),"",SUM($S434:$X434))</f>
        <v/>
      </c>
      <c r="Z434" s="40" t="str">
        <f aca="false">IF(OR($D434="",$Q434=""),"",$Q434-$Y434)</f>
        <v/>
      </c>
      <c r="AA434" s="42" t="str">
        <f aca="false">IF(OR($D434="",$Z434="",$K434=0),"",$Z434/$K434)</f>
        <v/>
      </c>
      <c r="AB434" s="44" t="str">
        <f aca="false">IF(OR($D434="",$Y434="",$K434=0),"",$Y434/$K434*10000)</f>
        <v/>
      </c>
      <c r="AC434" s="44" t="str">
        <f aca="false">IF(OR($D434="",$G434="",$G434=0,$I434=""),"",IF($E434="LONG",($I434-$G434)/$G434,($G434-$I434)/$G434)*10000)</f>
        <v/>
      </c>
      <c r="AD434" s="45"/>
      <c r="AE434" s="40" t="str">
        <f aca="false">IF(OR($D434="",$N434&lt;&gt;"",$AD434=""),"",IF($E434="LONG",($AD434-$I434)*$J434,($I434-$AD434)*$J434))</f>
        <v/>
      </c>
      <c r="AF434" s="40" t="str">
        <f aca="false">IF(OR($D434="",$E434&lt;&gt;"LONG",$Z434=""),"",$Z434+SUMIFS($Z$4:$Z$503,$B$4:$B$503,$B434,$E$4:$E$503,"SHORT"))</f>
        <v/>
      </c>
      <c r="AG434" s="42" t="str">
        <f aca="false">IF(OR($AF434="",$K434=0),"",$AF434/$K434)</f>
        <v/>
      </c>
      <c r="AH434" s="46"/>
      <c r="AI434" s="43" t="str">
        <f aca="false">IF(OR($D434="",$AH434="",$Z434=""),"",$Z434-$AH434)</f>
        <v/>
      </c>
      <c r="AJ434" s="49"/>
      <c r="AK434" s="47" t="str">
        <f aca="false">IF($D434="","",IFERROR(MATCH($F434,Config!$A$13:$A$15,0),1))</f>
        <v/>
      </c>
      <c r="AL434" s="47" t="str">
        <f aca="false">IF(OR($D434="",$N434=""),"",IF($E434="LONG",$K434,$O434))</f>
        <v/>
      </c>
      <c r="AM434" s="47" t="str">
        <f aca="false">IF(OR($D434="",$N434=""),"",IF($E434="LONG",$O434,$K434))</f>
        <v/>
      </c>
    </row>
    <row r="435" customFormat="false" ht="15" hidden="false" customHeight="false" outlineLevel="0" collapsed="false">
      <c r="A435" s="49"/>
      <c r="B435" s="5" t="str">
        <f aca="false">IF($D435="","",IF(OR(RIGHT($A435,2)="-L",RIGHT($A435,2)="-S"),LEFT($A435,LEN($A435)-2),$A435))</f>
        <v/>
      </c>
      <c r="C435" s="50"/>
      <c r="D435" s="49"/>
      <c r="E435" s="49"/>
      <c r="F435" s="49"/>
      <c r="G435" s="45"/>
      <c r="H435" s="50"/>
      <c r="I435" s="45"/>
      <c r="J435" s="51"/>
      <c r="K435" s="40" t="str">
        <f aca="false">IF($D435="","",$I435*$J435)</f>
        <v/>
      </c>
      <c r="L435" s="50"/>
      <c r="M435" s="49"/>
      <c r="N435" s="45"/>
      <c r="O435" s="40" t="str">
        <f aca="false">IF(OR($D435="",$N435=""),"",$N435*$J435)</f>
        <v/>
      </c>
      <c r="P435" s="41" t="str">
        <f aca="false">IF(OR($D435="",$L435=""),"",MAX($L435-$H435,0))</f>
        <v/>
      </c>
      <c r="Q435" s="40" t="str">
        <f aca="false">IF(OR($D435="",$N435=""),"",IF($E435="LONG",($N435-$I435)*$J435,($I435-$N435)*$J435))</f>
        <v/>
      </c>
      <c r="R435" s="42" t="str">
        <f aca="false">IF(OR($D435="",$Q435="",$K435=0),"",$Q435/$K435)</f>
        <v/>
      </c>
      <c r="S435" s="43" t="str">
        <f aca="false">IF(OR($D435="",$N435=""),"",MIN(INDEX(Config!$C$13:$C$15,$AK435),INDEX(Config!$B$13:$B$15,$AK435)*$K435)+MIN(INDEX(Config!$C$13:$C$15,$AK435),INDEX(Config!$B$13:$B$15,$AK435)*$O435))</f>
        <v/>
      </c>
      <c r="T435" s="43" t="str">
        <f aca="false">IF(OR($D435="",$N435=""),"",INDEX(Config!$D$13:$D$15,$AK435)*$AL435+INDEX(Config!$E$13:$E$15,$AK435)*$AM435)</f>
        <v/>
      </c>
      <c r="U435" s="43" t="str">
        <f aca="false">IF(OR($D435="",$N435=""),"",INDEX(Config!$F$13:$F$15,$AK435)*($K435+$O435))</f>
        <v/>
      </c>
      <c r="V435" s="43" t="str">
        <f aca="false">IF(OR($D435="",$N435=""),"",INDEX(Config!$G$13:$G$15,$AK435)*($K435+$O435)+INDEX(Config!$H$13:$H$15,$AK435)*$AL435+INDEX(Config!$J$13:$J$15,$AK435))</f>
        <v/>
      </c>
      <c r="W435" s="43" t="str">
        <f aca="false">IF(OR($D435="",$N435=""),"",INDEX(Config!$I$13:$I$15,$AK435)*($S435+$U435+INDEX(Config!$G$13:$G$15,$AK435)*($K435+$O435)))</f>
        <v/>
      </c>
      <c r="X435" s="43" t="str">
        <f aca="false">IF(OR($D435="",$N435=""),"",INDEX(Config!$K$13:$K$15,$AK435)/365*$P435*$K435*Config!$B$8)</f>
        <v/>
      </c>
      <c r="Y435" s="43" t="str">
        <f aca="false">IF(OR($D435="",$N435=""),"",SUM($S435:$X435))</f>
        <v/>
      </c>
      <c r="Z435" s="40" t="str">
        <f aca="false">IF(OR($D435="",$Q435=""),"",$Q435-$Y435)</f>
        <v/>
      </c>
      <c r="AA435" s="42" t="str">
        <f aca="false">IF(OR($D435="",$Z435="",$K435=0),"",$Z435/$K435)</f>
        <v/>
      </c>
      <c r="AB435" s="44" t="str">
        <f aca="false">IF(OR($D435="",$Y435="",$K435=0),"",$Y435/$K435*10000)</f>
        <v/>
      </c>
      <c r="AC435" s="44" t="str">
        <f aca="false">IF(OR($D435="",$G435="",$G435=0,$I435=""),"",IF($E435="LONG",($I435-$G435)/$G435,($G435-$I435)/$G435)*10000)</f>
        <v/>
      </c>
      <c r="AD435" s="45"/>
      <c r="AE435" s="40" t="str">
        <f aca="false">IF(OR($D435="",$N435&lt;&gt;"",$AD435=""),"",IF($E435="LONG",($AD435-$I435)*$J435,($I435-$AD435)*$J435))</f>
        <v/>
      </c>
      <c r="AF435" s="40" t="str">
        <f aca="false">IF(OR($D435="",$E435&lt;&gt;"LONG",$Z435=""),"",$Z435+SUMIFS($Z$4:$Z$503,$B$4:$B$503,$B435,$E$4:$E$503,"SHORT"))</f>
        <v/>
      </c>
      <c r="AG435" s="42" t="str">
        <f aca="false">IF(OR($AF435="",$K435=0),"",$AF435/$K435)</f>
        <v/>
      </c>
      <c r="AH435" s="46"/>
      <c r="AI435" s="43" t="str">
        <f aca="false">IF(OR($D435="",$AH435="",$Z435=""),"",$Z435-$AH435)</f>
        <v/>
      </c>
      <c r="AJ435" s="49"/>
      <c r="AK435" s="47" t="str">
        <f aca="false">IF($D435="","",IFERROR(MATCH($F435,Config!$A$13:$A$15,0),1))</f>
        <v/>
      </c>
      <c r="AL435" s="47" t="str">
        <f aca="false">IF(OR($D435="",$N435=""),"",IF($E435="LONG",$K435,$O435))</f>
        <v/>
      </c>
      <c r="AM435" s="47" t="str">
        <f aca="false">IF(OR($D435="",$N435=""),"",IF($E435="LONG",$O435,$K435))</f>
        <v/>
      </c>
    </row>
    <row r="436" customFormat="false" ht="15" hidden="false" customHeight="false" outlineLevel="0" collapsed="false">
      <c r="A436" s="49"/>
      <c r="B436" s="5" t="str">
        <f aca="false">IF($D436="","",IF(OR(RIGHT($A436,2)="-L",RIGHT($A436,2)="-S"),LEFT($A436,LEN($A436)-2),$A436))</f>
        <v/>
      </c>
      <c r="C436" s="50"/>
      <c r="D436" s="49"/>
      <c r="E436" s="49"/>
      <c r="F436" s="49"/>
      <c r="G436" s="45"/>
      <c r="H436" s="50"/>
      <c r="I436" s="45"/>
      <c r="J436" s="51"/>
      <c r="K436" s="40" t="str">
        <f aca="false">IF($D436="","",$I436*$J436)</f>
        <v/>
      </c>
      <c r="L436" s="50"/>
      <c r="M436" s="49"/>
      <c r="N436" s="45"/>
      <c r="O436" s="40" t="str">
        <f aca="false">IF(OR($D436="",$N436=""),"",$N436*$J436)</f>
        <v/>
      </c>
      <c r="P436" s="41" t="str">
        <f aca="false">IF(OR($D436="",$L436=""),"",MAX($L436-$H436,0))</f>
        <v/>
      </c>
      <c r="Q436" s="40" t="str">
        <f aca="false">IF(OR($D436="",$N436=""),"",IF($E436="LONG",($N436-$I436)*$J436,($I436-$N436)*$J436))</f>
        <v/>
      </c>
      <c r="R436" s="42" t="str">
        <f aca="false">IF(OR($D436="",$Q436="",$K436=0),"",$Q436/$K436)</f>
        <v/>
      </c>
      <c r="S436" s="43" t="str">
        <f aca="false">IF(OR($D436="",$N436=""),"",MIN(INDEX(Config!$C$13:$C$15,$AK436),INDEX(Config!$B$13:$B$15,$AK436)*$K436)+MIN(INDEX(Config!$C$13:$C$15,$AK436),INDEX(Config!$B$13:$B$15,$AK436)*$O436))</f>
        <v/>
      </c>
      <c r="T436" s="43" t="str">
        <f aca="false">IF(OR($D436="",$N436=""),"",INDEX(Config!$D$13:$D$15,$AK436)*$AL436+INDEX(Config!$E$13:$E$15,$AK436)*$AM436)</f>
        <v/>
      </c>
      <c r="U436" s="43" t="str">
        <f aca="false">IF(OR($D436="",$N436=""),"",INDEX(Config!$F$13:$F$15,$AK436)*($K436+$O436))</f>
        <v/>
      </c>
      <c r="V436" s="43" t="str">
        <f aca="false">IF(OR($D436="",$N436=""),"",INDEX(Config!$G$13:$G$15,$AK436)*($K436+$O436)+INDEX(Config!$H$13:$H$15,$AK436)*$AL436+INDEX(Config!$J$13:$J$15,$AK436))</f>
        <v/>
      </c>
      <c r="W436" s="43" t="str">
        <f aca="false">IF(OR($D436="",$N436=""),"",INDEX(Config!$I$13:$I$15,$AK436)*($S436+$U436+INDEX(Config!$G$13:$G$15,$AK436)*($K436+$O436)))</f>
        <v/>
      </c>
      <c r="X436" s="43" t="str">
        <f aca="false">IF(OR($D436="",$N436=""),"",INDEX(Config!$K$13:$K$15,$AK436)/365*$P436*$K436*Config!$B$8)</f>
        <v/>
      </c>
      <c r="Y436" s="43" t="str">
        <f aca="false">IF(OR($D436="",$N436=""),"",SUM($S436:$X436))</f>
        <v/>
      </c>
      <c r="Z436" s="40" t="str">
        <f aca="false">IF(OR($D436="",$Q436=""),"",$Q436-$Y436)</f>
        <v/>
      </c>
      <c r="AA436" s="42" t="str">
        <f aca="false">IF(OR($D436="",$Z436="",$K436=0),"",$Z436/$K436)</f>
        <v/>
      </c>
      <c r="AB436" s="44" t="str">
        <f aca="false">IF(OR($D436="",$Y436="",$K436=0),"",$Y436/$K436*10000)</f>
        <v/>
      </c>
      <c r="AC436" s="44" t="str">
        <f aca="false">IF(OR($D436="",$G436="",$G436=0,$I436=""),"",IF($E436="LONG",($I436-$G436)/$G436,($G436-$I436)/$G436)*10000)</f>
        <v/>
      </c>
      <c r="AD436" s="45"/>
      <c r="AE436" s="40" t="str">
        <f aca="false">IF(OR($D436="",$N436&lt;&gt;"",$AD436=""),"",IF($E436="LONG",($AD436-$I436)*$J436,($I436-$AD436)*$J436))</f>
        <v/>
      </c>
      <c r="AF436" s="40" t="str">
        <f aca="false">IF(OR($D436="",$E436&lt;&gt;"LONG",$Z436=""),"",$Z436+SUMIFS($Z$4:$Z$503,$B$4:$B$503,$B436,$E$4:$E$503,"SHORT"))</f>
        <v/>
      </c>
      <c r="AG436" s="42" t="str">
        <f aca="false">IF(OR($AF436="",$K436=0),"",$AF436/$K436)</f>
        <v/>
      </c>
      <c r="AH436" s="46"/>
      <c r="AI436" s="43" t="str">
        <f aca="false">IF(OR($D436="",$AH436="",$Z436=""),"",$Z436-$AH436)</f>
        <v/>
      </c>
      <c r="AJ436" s="49"/>
      <c r="AK436" s="47" t="str">
        <f aca="false">IF($D436="","",IFERROR(MATCH($F436,Config!$A$13:$A$15,0),1))</f>
        <v/>
      </c>
      <c r="AL436" s="47" t="str">
        <f aca="false">IF(OR($D436="",$N436=""),"",IF($E436="LONG",$K436,$O436))</f>
        <v/>
      </c>
      <c r="AM436" s="47" t="str">
        <f aca="false">IF(OR($D436="",$N436=""),"",IF($E436="LONG",$O436,$K436))</f>
        <v/>
      </c>
    </row>
    <row r="437" customFormat="false" ht="15" hidden="false" customHeight="false" outlineLevel="0" collapsed="false">
      <c r="A437" s="49"/>
      <c r="B437" s="5" t="str">
        <f aca="false">IF($D437="","",IF(OR(RIGHT($A437,2)="-L",RIGHT($A437,2)="-S"),LEFT($A437,LEN($A437)-2),$A437))</f>
        <v/>
      </c>
      <c r="C437" s="50"/>
      <c r="D437" s="49"/>
      <c r="E437" s="49"/>
      <c r="F437" s="49"/>
      <c r="G437" s="45"/>
      <c r="H437" s="50"/>
      <c r="I437" s="45"/>
      <c r="J437" s="51"/>
      <c r="K437" s="40" t="str">
        <f aca="false">IF($D437="","",$I437*$J437)</f>
        <v/>
      </c>
      <c r="L437" s="50"/>
      <c r="M437" s="49"/>
      <c r="N437" s="45"/>
      <c r="O437" s="40" t="str">
        <f aca="false">IF(OR($D437="",$N437=""),"",$N437*$J437)</f>
        <v/>
      </c>
      <c r="P437" s="41" t="str">
        <f aca="false">IF(OR($D437="",$L437=""),"",MAX($L437-$H437,0))</f>
        <v/>
      </c>
      <c r="Q437" s="40" t="str">
        <f aca="false">IF(OR($D437="",$N437=""),"",IF($E437="LONG",($N437-$I437)*$J437,($I437-$N437)*$J437))</f>
        <v/>
      </c>
      <c r="R437" s="42" t="str">
        <f aca="false">IF(OR($D437="",$Q437="",$K437=0),"",$Q437/$K437)</f>
        <v/>
      </c>
      <c r="S437" s="43" t="str">
        <f aca="false">IF(OR($D437="",$N437=""),"",MIN(INDEX(Config!$C$13:$C$15,$AK437),INDEX(Config!$B$13:$B$15,$AK437)*$K437)+MIN(INDEX(Config!$C$13:$C$15,$AK437),INDEX(Config!$B$13:$B$15,$AK437)*$O437))</f>
        <v/>
      </c>
      <c r="T437" s="43" t="str">
        <f aca="false">IF(OR($D437="",$N437=""),"",INDEX(Config!$D$13:$D$15,$AK437)*$AL437+INDEX(Config!$E$13:$E$15,$AK437)*$AM437)</f>
        <v/>
      </c>
      <c r="U437" s="43" t="str">
        <f aca="false">IF(OR($D437="",$N437=""),"",INDEX(Config!$F$13:$F$15,$AK437)*($K437+$O437))</f>
        <v/>
      </c>
      <c r="V437" s="43" t="str">
        <f aca="false">IF(OR($D437="",$N437=""),"",INDEX(Config!$G$13:$G$15,$AK437)*($K437+$O437)+INDEX(Config!$H$13:$H$15,$AK437)*$AL437+INDEX(Config!$J$13:$J$15,$AK437))</f>
        <v/>
      </c>
      <c r="W437" s="43" t="str">
        <f aca="false">IF(OR($D437="",$N437=""),"",INDEX(Config!$I$13:$I$15,$AK437)*($S437+$U437+INDEX(Config!$G$13:$G$15,$AK437)*($K437+$O437)))</f>
        <v/>
      </c>
      <c r="X437" s="43" t="str">
        <f aca="false">IF(OR($D437="",$N437=""),"",INDEX(Config!$K$13:$K$15,$AK437)/365*$P437*$K437*Config!$B$8)</f>
        <v/>
      </c>
      <c r="Y437" s="43" t="str">
        <f aca="false">IF(OR($D437="",$N437=""),"",SUM($S437:$X437))</f>
        <v/>
      </c>
      <c r="Z437" s="40" t="str">
        <f aca="false">IF(OR($D437="",$Q437=""),"",$Q437-$Y437)</f>
        <v/>
      </c>
      <c r="AA437" s="42" t="str">
        <f aca="false">IF(OR($D437="",$Z437="",$K437=0),"",$Z437/$K437)</f>
        <v/>
      </c>
      <c r="AB437" s="44" t="str">
        <f aca="false">IF(OR($D437="",$Y437="",$K437=0),"",$Y437/$K437*10000)</f>
        <v/>
      </c>
      <c r="AC437" s="44" t="str">
        <f aca="false">IF(OR($D437="",$G437="",$G437=0,$I437=""),"",IF($E437="LONG",($I437-$G437)/$G437,($G437-$I437)/$G437)*10000)</f>
        <v/>
      </c>
      <c r="AD437" s="45"/>
      <c r="AE437" s="40" t="str">
        <f aca="false">IF(OR($D437="",$N437&lt;&gt;"",$AD437=""),"",IF($E437="LONG",($AD437-$I437)*$J437,($I437-$AD437)*$J437))</f>
        <v/>
      </c>
      <c r="AF437" s="40" t="str">
        <f aca="false">IF(OR($D437="",$E437&lt;&gt;"LONG",$Z437=""),"",$Z437+SUMIFS($Z$4:$Z$503,$B$4:$B$503,$B437,$E$4:$E$503,"SHORT"))</f>
        <v/>
      </c>
      <c r="AG437" s="42" t="str">
        <f aca="false">IF(OR($AF437="",$K437=0),"",$AF437/$K437)</f>
        <v/>
      </c>
      <c r="AH437" s="46"/>
      <c r="AI437" s="43" t="str">
        <f aca="false">IF(OR($D437="",$AH437="",$Z437=""),"",$Z437-$AH437)</f>
        <v/>
      </c>
      <c r="AJ437" s="49"/>
      <c r="AK437" s="47" t="str">
        <f aca="false">IF($D437="","",IFERROR(MATCH($F437,Config!$A$13:$A$15,0),1))</f>
        <v/>
      </c>
      <c r="AL437" s="47" t="str">
        <f aca="false">IF(OR($D437="",$N437=""),"",IF($E437="LONG",$K437,$O437))</f>
        <v/>
      </c>
      <c r="AM437" s="47" t="str">
        <f aca="false">IF(OR($D437="",$N437=""),"",IF($E437="LONG",$O437,$K437))</f>
        <v/>
      </c>
    </row>
    <row r="438" customFormat="false" ht="15" hidden="false" customHeight="false" outlineLevel="0" collapsed="false">
      <c r="A438" s="49"/>
      <c r="B438" s="5" t="str">
        <f aca="false">IF($D438="","",IF(OR(RIGHT($A438,2)="-L",RIGHT($A438,2)="-S"),LEFT($A438,LEN($A438)-2),$A438))</f>
        <v/>
      </c>
      <c r="C438" s="50"/>
      <c r="D438" s="49"/>
      <c r="E438" s="49"/>
      <c r="F438" s="49"/>
      <c r="G438" s="45"/>
      <c r="H438" s="50"/>
      <c r="I438" s="45"/>
      <c r="J438" s="51"/>
      <c r="K438" s="40" t="str">
        <f aca="false">IF($D438="","",$I438*$J438)</f>
        <v/>
      </c>
      <c r="L438" s="50"/>
      <c r="M438" s="49"/>
      <c r="N438" s="45"/>
      <c r="O438" s="40" t="str">
        <f aca="false">IF(OR($D438="",$N438=""),"",$N438*$J438)</f>
        <v/>
      </c>
      <c r="P438" s="41" t="str">
        <f aca="false">IF(OR($D438="",$L438=""),"",MAX($L438-$H438,0))</f>
        <v/>
      </c>
      <c r="Q438" s="40" t="str">
        <f aca="false">IF(OR($D438="",$N438=""),"",IF($E438="LONG",($N438-$I438)*$J438,($I438-$N438)*$J438))</f>
        <v/>
      </c>
      <c r="R438" s="42" t="str">
        <f aca="false">IF(OR($D438="",$Q438="",$K438=0),"",$Q438/$K438)</f>
        <v/>
      </c>
      <c r="S438" s="43" t="str">
        <f aca="false">IF(OR($D438="",$N438=""),"",MIN(INDEX(Config!$C$13:$C$15,$AK438),INDEX(Config!$B$13:$B$15,$AK438)*$K438)+MIN(INDEX(Config!$C$13:$C$15,$AK438),INDEX(Config!$B$13:$B$15,$AK438)*$O438))</f>
        <v/>
      </c>
      <c r="T438" s="43" t="str">
        <f aca="false">IF(OR($D438="",$N438=""),"",INDEX(Config!$D$13:$D$15,$AK438)*$AL438+INDEX(Config!$E$13:$E$15,$AK438)*$AM438)</f>
        <v/>
      </c>
      <c r="U438" s="43" t="str">
        <f aca="false">IF(OR($D438="",$N438=""),"",INDEX(Config!$F$13:$F$15,$AK438)*($K438+$O438))</f>
        <v/>
      </c>
      <c r="V438" s="43" t="str">
        <f aca="false">IF(OR($D438="",$N438=""),"",INDEX(Config!$G$13:$G$15,$AK438)*($K438+$O438)+INDEX(Config!$H$13:$H$15,$AK438)*$AL438+INDEX(Config!$J$13:$J$15,$AK438))</f>
        <v/>
      </c>
      <c r="W438" s="43" t="str">
        <f aca="false">IF(OR($D438="",$N438=""),"",INDEX(Config!$I$13:$I$15,$AK438)*($S438+$U438+INDEX(Config!$G$13:$G$15,$AK438)*($K438+$O438)))</f>
        <v/>
      </c>
      <c r="X438" s="43" t="str">
        <f aca="false">IF(OR($D438="",$N438=""),"",INDEX(Config!$K$13:$K$15,$AK438)/365*$P438*$K438*Config!$B$8)</f>
        <v/>
      </c>
      <c r="Y438" s="43" t="str">
        <f aca="false">IF(OR($D438="",$N438=""),"",SUM($S438:$X438))</f>
        <v/>
      </c>
      <c r="Z438" s="40" t="str">
        <f aca="false">IF(OR($D438="",$Q438=""),"",$Q438-$Y438)</f>
        <v/>
      </c>
      <c r="AA438" s="42" t="str">
        <f aca="false">IF(OR($D438="",$Z438="",$K438=0),"",$Z438/$K438)</f>
        <v/>
      </c>
      <c r="AB438" s="44" t="str">
        <f aca="false">IF(OR($D438="",$Y438="",$K438=0),"",$Y438/$K438*10000)</f>
        <v/>
      </c>
      <c r="AC438" s="44" t="str">
        <f aca="false">IF(OR($D438="",$G438="",$G438=0,$I438=""),"",IF($E438="LONG",($I438-$G438)/$G438,($G438-$I438)/$G438)*10000)</f>
        <v/>
      </c>
      <c r="AD438" s="45"/>
      <c r="AE438" s="40" t="str">
        <f aca="false">IF(OR($D438="",$N438&lt;&gt;"",$AD438=""),"",IF($E438="LONG",($AD438-$I438)*$J438,($I438-$AD438)*$J438))</f>
        <v/>
      </c>
      <c r="AF438" s="40" t="str">
        <f aca="false">IF(OR($D438="",$E438&lt;&gt;"LONG",$Z438=""),"",$Z438+SUMIFS($Z$4:$Z$503,$B$4:$B$503,$B438,$E$4:$E$503,"SHORT"))</f>
        <v/>
      </c>
      <c r="AG438" s="42" t="str">
        <f aca="false">IF(OR($AF438="",$K438=0),"",$AF438/$K438)</f>
        <v/>
      </c>
      <c r="AH438" s="46"/>
      <c r="AI438" s="43" t="str">
        <f aca="false">IF(OR($D438="",$AH438="",$Z438=""),"",$Z438-$AH438)</f>
        <v/>
      </c>
      <c r="AJ438" s="49"/>
      <c r="AK438" s="47" t="str">
        <f aca="false">IF($D438="","",IFERROR(MATCH($F438,Config!$A$13:$A$15,0),1))</f>
        <v/>
      </c>
      <c r="AL438" s="47" t="str">
        <f aca="false">IF(OR($D438="",$N438=""),"",IF($E438="LONG",$K438,$O438))</f>
        <v/>
      </c>
      <c r="AM438" s="47" t="str">
        <f aca="false">IF(OR($D438="",$N438=""),"",IF($E438="LONG",$O438,$K438))</f>
        <v/>
      </c>
    </row>
    <row r="439" customFormat="false" ht="15" hidden="false" customHeight="false" outlineLevel="0" collapsed="false">
      <c r="A439" s="49"/>
      <c r="B439" s="5" t="str">
        <f aca="false">IF($D439="","",IF(OR(RIGHT($A439,2)="-L",RIGHT($A439,2)="-S"),LEFT($A439,LEN($A439)-2),$A439))</f>
        <v/>
      </c>
      <c r="C439" s="50"/>
      <c r="D439" s="49"/>
      <c r="E439" s="49"/>
      <c r="F439" s="49"/>
      <c r="G439" s="45"/>
      <c r="H439" s="50"/>
      <c r="I439" s="45"/>
      <c r="J439" s="51"/>
      <c r="K439" s="40" t="str">
        <f aca="false">IF($D439="","",$I439*$J439)</f>
        <v/>
      </c>
      <c r="L439" s="50"/>
      <c r="M439" s="49"/>
      <c r="N439" s="45"/>
      <c r="O439" s="40" t="str">
        <f aca="false">IF(OR($D439="",$N439=""),"",$N439*$J439)</f>
        <v/>
      </c>
      <c r="P439" s="41" t="str">
        <f aca="false">IF(OR($D439="",$L439=""),"",MAX($L439-$H439,0))</f>
        <v/>
      </c>
      <c r="Q439" s="40" t="str">
        <f aca="false">IF(OR($D439="",$N439=""),"",IF($E439="LONG",($N439-$I439)*$J439,($I439-$N439)*$J439))</f>
        <v/>
      </c>
      <c r="R439" s="42" t="str">
        <f aca="false">IF(OR($D439="",$Q439="",$K439=0),"",$Q439/$K439)</f>
        <v/>
      </c>
      <c r="S439" s="43" t="str">
        <f aca="false">IF(OR($D439="",$N439=""),"",MIN(INDEX(Config!$C$13:$C$15,$AK439),INDEX(Config!$B$13:$B$15,$AK439)*$K439)+MIN(INDEX(Config!$C$13:$C$15,$AK439),INDEX(Config!$B$13:$B$15,$AK439)*$O439))</f>
        <v/>
      </c>
      <c r="T439" s="43" t="str">
        <f aca="false">IF(OR($D439="",$N439=""),"",INDEX(Config!$D$13:$D$15,$AK439)*$AL439+INDEX(Config!$E$13:$E$15,$AK439)*$AM439)</f>
        <v/>
      </c>
      <c r="U439" s="43" t="str">
        <f aca="false">IF(OR($D439="",$N439=""),"",INDEX(Config!$F$13:$F$15,$AK439)*($K439+$O439))</f>
        <v/>
      </c>
      <c r="V439" s="43" t="str">
        <f aca="false">IF(OR($D439="",$N439=""),"",INDEX(Config!$G$13:$G$15,$AK439)*($K439+$O439)+INDEX(Config!$H$13:$H$15,$AK439)*$AL439+INDEX(Config!$J$13:$J$15,$AK439))</f>
        <v/>
      </c>
      <c r="W439" s="43" t="str">
        <f aca="false">IF(OR($D439="",$N439=""),"",INDEX(Config!$I$13:$I$15,$AK439)*($S439+$U439+INDEX(Config!$G$13:$G$15,$AK439)*($K439+$O439)))</f>
        <v/>
      </c>
      <c r="X439" s="43" t="str">
        <f aca="false">IF(OR($D439="",$N439=""),"",INDEX(Config!$K$13:$K$15,$AK439)/365*$P439*$K439*Config!$B$8)</f>
        <v/>
      </c>
      <c r="Y439" s="43" t="str">
        <f aca="false">IF(OR($D439="",$N439=""),"",SUM($S439:$X439))</f>
        <v/>
      </c>
      <c r="Z439" s="40" t="str">
        <f aca="false">IF(OR($D439="",$Q439=""),"",$Q439-$Y439)</f>
        <v/>
      </c>
      <c r="AA439" s="42" t="str">
        <f aca="false">IF(OR($D439="",$Z439="",$K439=0),"",$Z439/$K439)</f>
        <v/>
      </c>
      <c r="AB439" s="44" t="str">
        <f aca="false">IF(OR($D439="",$Y439="",$K439=0),"",$Y439/$K439*10000)</f>
        <v/>
      </c>
      <c r="AC439" s="44" t="str">
        <f aca="false">IF(OR($D439="",$G439="",$G439=0,$I439=""),"",IF($E439="LONG",($I439-$G439)/$G439,($G439-$I439)/$G439)*10000)</f>
        <v/>
      </c>
      <c r="AD439" s="45"/>
      <c r="AE439" s="40" t="str">
        <f aca="false">IF(OR($D439="",$N439&lt;&gt;"",$AD439=""),"",IF($E439="LONG",($AD439-$I439)*$J439,($I439-$AD439)*$J439))</f>
        <v/>
      </c>
      <c r="AF439" s="40" t="str">
        <f aca="false">IF(OR($D439="",$E439&lt;&gt;"LONG",$Z439=""),"",$Z439+SUMIFS($Z$4:$Z$503,$B$4:$B$503,$B439,$E$4:$E$503,"SHORT"))</f>
        <v/>
      </c>
      <c r="AG439" s="42" t="str">
        <f aca="false">IF(OR($AF439="",$K439=0),"",$AF439/$K439)</f>
        <v/>
      </c>
      <c r="AH439" s="46"/>
      <c r="AI439" s="43" t="str">
        <f aca="false">IF(OR($D439="",$AH439="",$Z439=""),"",$Z439-$AH439)</f>
        <v/>
      </c>
      <c r="AJ439" s="49"/>
      <c r="AK439" s="47" t="str">
        <f aca="false">IF($D439="","",IFERROR(MATCH($F439,Config!$A$13:$A$15,0),1))</f>
        <v/>
      </c>
      <c r="AL439" s="47" t="str">
        <f aca="false">IF(OR($D439="",$N439=""),"",IF($E439="LONG",$K439,$O439))</f>
        <v/>
      </c>
      <c r="AM439" s="47" t="str">
        <f aca="false">IF(OR($D439="",$N439=""),"",IF($E439="LONG",$O439,$K439))</f>
        <v/>
      </c>
    </row>
    <row r="440" customFormat="false" ht="15" hidden="false" customHeight="false" outlineLevel="0" collapsed="false">
      <c r="A440" s="49"/>
      <c r="B440" s="5" t="str">
        <f aca="false">IF($D440="","",IF(OR(RIGHT($A440,2)="-L",RIGHT($A440,2)="-S"),LEFT($A440,LEN($A440)-2),$A440))</f>
        <v/>
      </c>
      <c r="C440" s="50"/>
      <c r="D440" s="49"/>
      <c r="E440" s="49"/>
      <c r="F440" s="49"/>
      <c r="G440" s="45"/>
      <c r="H440" s="50"/>
      <c r="I440" s="45"/>
      <c r="J440" s="51"/>
      <c r="K440" s="40" t="str">
        <f aca="false">IF($D440="","",$I440*$J440)</f>
        <v/>
      </c>
      <c r="L440" s="50"/>
      <c r="M440" s="49"/>
      <c r="N440" s="45"/>
      <c r="O440" s="40" t="str">
        <f aca="false">IF(OR($D440="",$N440=""),"",$N440*$J440)</f>
        <v/>
      </c>
      <c r="P440" s="41" t="str">
        <f aca="false">IF(OR($D440="",$L440=""),"",MAX($L440-$H440,0))</f>
        <v/>
      </c>
      <c r="Q440" s="40" t="str">
        <f aca="false">IF(OR($D440="",$N440=""),"",IF($E440="LONG",($N440-$I440)*$J440,($I440-$N440)*$J440))</f>
        <v/>
      </c>
      <c r="R440" s="42" t="str">
        <f aca="false">IF(OR($D440="",$Q440="",$K440=0),"",$Q440/$K440)</f>
        <v/>
      </c>
      <c r="S440" s="43" t="str">
        <f aca="false">IF(OR($D440="",$N440=""),"",MIN(INDEX(Config!$C$13:$C$15,$AK440),INDEX(Config!$B$13:$B$15,$AK440)*$K440)+MIN(INDEX(Config!$C$13:$C$15,$AK440),INDEX(Config!$B$13:$B$15,$AK440)*$O440))</f>
        <v/>
      </c>
      <c r="T440" s="43" t="str">
        <f aca="false">IF(OR($D440="",$N440=""),"",INDEX(Config!$D$13:$D$15,$AK440)*$AL440+INDEX(Config!$E$13:$E$15,$AK440)*$AM440)</f>
        <v/>
      </c>
      <c r="U440" s="43" t="str">
        <f aca="false">IF(OR($D440="",$N440=""),"",INDEX(Config!$F$13:$F$15,$AK440)*($K440+$O440))</f>
        <v/>
      </c>
      <c r="V440" s="43" t="str">
        <f aca="false">IF(OR($D440="",$N440=""),"",INDEX(Config!$G$13:$G$15,$AK440)*($K440+$O440)+INDEX(Config!$H$13:$H$15,$AK440)*$AL440+INDEX(Config!$J$13:$J$15,$AK440))</f>
        <v/>
      </c>
      <c r="W440" s="43" t="str">
        <f aca="false">IF(OR($D440="",$N440=""),"",INDEX(Config!$I$13:$I$15,$AK440)*($S440+$U440+INDEX(Config!$G$13:$G$15,$AK440)*($K440+$O440)))</f>
        <v/>
      </c>
      <c r="X440" s="43" t="str">
        <f aca="false">IF(OR($D440="",$N440=""),"",INDEX(Config!$K$13:$K$15,$AK440)/365*$P440*$K440*Config!$B$8)</f>
        <v/>
      </c>
      <c r="Y440" s="43" t="str">
        <f aca="false">IF(OR($D440="",$N440=""),"",SUM($S440:$X440))</f>
        <v/>
      </c>
      <c r="Z440" s="40" t="str">
        <f aca="false">IF(OR($D440="",$Q440=""),"",$Q440-$Y440)</f>
        <v/>
      </c>
      <c r="AA440" s="42" t="str">
        <f aca="false">IF(OR($D440="",$Z440="",$K440=0),"",$Z440/$K440)</f>
        <v/>
      </c>
      <c r="AB440" s="44" t="str">
        <f aca="false">IF(OR($D440="",$Y440="",$K440=0),"",$Y440/$K440*10000)</f>
        <v/>
      </c>
      <c r="AC440" s="44" t="str">
        <f aca="false">IF(OR($D440="",$G440="",$G440=0,$I440=""),"",IF($E440="LONG",($I440-$G440)/$G440,($G440-$I440)/$G440)*10000)</f>
        <v/>
      </c>
      <c r="AD440" s="45"/>
      <c r="AE440" s="40" t="str">
        <f aca="false">IF(OR($D440="",$N440&lt;&gt;"",$AD440=""),"",IF($E440="LONG",($AD440-$I440)*$J440,($I440-$AD440)*$J440))</f>
        <v/>
      </c>
      <c r="AF440" s="40" t="str">
        <f aca="false">IF(OR($D440="",$E440&lt;&gt;"LONG",$Z440=""),"",$Z440+SUMIFS($Z$4:$Z$503,$B$4:$B$503,$B440,$E$4:$E$503,"SHORT"))</f>
        <v/>
      </c>
      <c r="AG440" s="42" t="str">
        <f aca="false">IF(OR($AF440="",$K440=0),"",$AF440/$K440)</f>
        <v/>
      </c>
      <c r="AH440" s="46"/>
      <c r="AI440" s="43" t="str">
        <f aca="false">IF(OR($D440="",$AH440="",$Z440=""),"",$Z440-$AH440)</f>
        <v/>
      </c>
      <c r="AJ440" s="49"/>
      <c r="AK440" s="47" t="str">
        <f aca="false">IF($D440="","",IFERROR(MATCH($F440,Config!$A$13:$A$15,0),1))</f>
        <v/>
      </c>
      <c r="AL440" s="47" t="str">
        <f aca="false">IF(OR($D440="",$N440=""),"",IF($E440="LONG",$K440,$O440))</f>
        <v/>
      </c>
      <c r="AM440" s="47" t="str">
        <f aca="false">IF(OR($D440="",$N440=""),"",IF($E440="LONG",$O440,$K440))</f>
        <v/>
      </c>
    </row>
    <row r="441" customFormat="false" ht="15" hidden="false" customHeight="false" outlineLevel="0" collapsed="false">
      <c r="A441" s="49"/>
      <c r="B441" s="5" t="str">
        <f aca="false">IF($D441="","",IF(OR(RIGHT($A441,2)="-L",RIGHT($A441,2)="-S"),LEFT($A441,LEN($A441)-2),$A441))</f>
        <v/>
      </c>
      <c r="C441" s="50"/>
      <c r="D441" s="49"/>
      <c r="E441" s="49"/>
      <c r="F441" s="49"/>
      <c r="G441" s="45"/>
      <c r="H441" s="50"/>
      <c r="I441" s="45"/>
      <c r="J441" s="51"/>
      <c r="K441" s="40" t="str">
        <f aca="false">IF($D441="","",$I441*$J441)</f>
        <v/>
      </c>
      <c r="L441" s="50"/>
      <c r="M441" s="49"/>
      <c r="N441" s="45"/>
      <c r="O441" s="40" t="str">
        <f aca="false">IF(OR($D441="",$N441=""),"",$N441*$J441)</f>
        <v/>
      </c>
      <c r="P441" s="41" t="str">
        <f aca="false">IF(OR($D441="",$L441=""),"",MAX($L441-$H441,0))</f>
        <v/>
      </c>
      <c r="Q441" s="40" t="str">
        <f aca="false">IF(OR($D441="",$N441=""),"",IF($E441="LONG",($N441-$I441)*$J441,($I441-$N441)*$J441))</f>
        <v/>
      </c>
      <c r="R441" s="42" t="str">
        <f aca="false">IF(OR($D441="",$Q441="",$K441=0),"",$Q441/$K441)</f>
        <v/>
      </c>
      <c r="S441" s="43" t="str">
        <f aca="false">IF(OR($D441="",$N441=""),"",MIN(INDEX(Config!$C$13:$C$15,$AK441),INDEX(Config!$B$13:$B$15,$AK441)*$K441)+MIN(INDEX(Config!$C$13:$C$15,$AK441),INDEX(Config!$B$13:$B$15,$AK441)*$O441))</f>
        <v/>
      </c>
      <c r="T441" s="43" t="str">
        <f aca="false">IF(OR($D441="",$N441=""),"",INDEX(Config!$D$13:$D$15,$AK441)*$AL441+INDEX(Config!$E$13:$E$15,$AK441)*$AM441)</f>
        <v/>
      </c>
      <c r="U441" s="43" t="str">
        <f aca="false">IF(OR($D441="",$N441=""),"",INDEX(Config!$F$13:$F$15,$AK441)*($K441+$O441))</f>
        <v/>
      </c>
      <c r="V441" s="43" t="str">
        <f aca="false">IF(OR($D441="",$N441=""),"",INDEX(Config!$G$13:$G$15,$AK441)*($K441+$O441)+INDEX(Config!$H$13:$H$15,$AK441)*$AL441+INDEX(Config!$J$13:$J$15,$AK441))</f>
        <v/>
      </c>
      <c r="W441" s="43" t="str">
        <f aca="false">IF(OR($D441="",$N441=""),"",INDEX(Config!$I$13:$I$15,$AK441)*($S441+$U441+INDEX(Config!$G$13:$G$15,$AK441)*($K441+$O441)))</f>
        <v/>
      </c>
      <c r="X441" s="43" t="str">
        <f aca="false">IF(OR($D441="",$N441=""),"",INDEX(Config!$K$13:$K$15,$AK441)/365*$P441*$K441*Config!$B$8)</f>
        <v/>
      </c>
      <c r="Y441" s="43" t="str">
        <f aca="false">IF(OR($D441="",$N441=""),"",SUM($S441:$X441))</f>
        <v/>
      </c>
      <c r="Z441" s="40" t="str">
        <f aca="false">IF(OR($D441="",$Q441=""),"",$Q441-$Y441)</f>
        <v/>
      </c>
      <c r="AA441" s="42" t="str">
        <f aca="false">IF(OR($D441="",$Z441="",$K441=0),"",$Z441/$K441)</f>
        <v/>
      </c>
      <c r="AB441" s="44" t="str">
        <f aca="false">IF(OR($D441="",$Y441="",$K441=0),"",$Y441/$K441*10000)</f>
        <v/>
      </c>
      <c r="AC441" s="44" t="str">
        <f aca="false">IF(OR($D441="",$G441="",$G441=0,$I441=""),"",IF($E441="LONG",($I441-$G441)/$G441,($G441-$I441)/$G441)*10000)</f>
        <v/>
      </c>
      <c r="AD441" s="45"/>
      <c r="AE441" s="40" t="str">
        <f aca="false">IF(OR($D441="",$N441&lt;&gt;"",$AD441=""),"",IF($E441="LONG",($AD441-$I441)*$J441,($I441-$AD441)*$J441))</f>
        <v/>
      </c>
      <c r="AF441" s="40" t="str">
        <f aca="false">IF(OR($D441="",$E441&lt;&gt;"LONG",$Z441=""),"",$Z441+SUMIFS($Z$4:$Z$503,$B$4:$B$503,$B441,$E$4:$E$503,"SHORT"))</f>
        <v/>
      </c>
      <c r="AG441" s="42" t="str">
        <f aca="false">IF(OR($AF441="",$K441=0),"",$AF441/$K441)</f>
        <v/>
      </c>
      <c r="AH441" s="46"/>
      <c r="AI441" s="43" t="str">
        <f aca="false">IF(OR($D441="",$AH441="",$Z441=""),"",$Z441-$AH441)</f>
        <v/>
      </c>
      <c r="AJ441" s="49"/>
      <c r="AK441" s="47" t="str">
        <f aca="false">IF($D441="","",IFERROR(MATCH($F441,Config!$A$13:$A$15,0),1))</f>
        <v/>
      </c>
      <c r="AL441" s="47" t="str">
        <f aca="false">IF(OR($D441="",$N441=""),"",IF($E441="LONG",$K441,$O441))</f>
        <v/>
      </c>
      <c r="AM441" s="47" t="str">
        <f aca="false">IF(OR($D441="",$N441=""),"",IF($E441="LONG",$O441,$K441))</f>
        <v/>
      </c>
    </row>
    <row r="442" customFormat="false" ht="15" hidden="false" customHeight="false" outlineLevel="0" collapsed="false">
      <c r="A442" s="49"/>
      <c r="B442" s="5" t="str">
        <f aca="false">IF($D442="","",IF(OR(RIGHT($A442,2)="-L",RIGHT($A442,2)="-S"),LEFT($A442,LEN($A442)-2),$A442))</f>
        <v/>
      </c>
      <c r="C442" s="50"/>
      <c r="D442" s="49"/>
      <c r="E442" s="49"/>
      <c r="F442" s="49"/>
      <c r="G442" s="45"/>
      <c r="H442" s="50"/>
      <c r="I442" s="45"/>
      <c r="J442" s="51"/>
      <c r="K442" s="40" t="str">
        <f aca="false">IF($D442="","",$I442*$J442)</f>
        <v/>
      </c>
      <c r="L442" s="50"/>
      <c r="M442" s="49"/>
      <c r="N442" s="45"/>
      <c r="O442" s="40" t="str">
        <f aca="false">IF(OR($D442="",$N442=""),"",$N442*$J442)</f>
        <v/>
      </c>
      <c r="P442" s="41" t="str">
        <f aca="false">IF(OR($D442="",$L442=""),"",MAX($L442-$H442,0))</f>
        <v/>
      </c>
      <c r="Q442" s="40" t="str">
        <f aca="false">IF(OR($D442="",$N442=""),"",IF($E442="LONG",($N442-$I442)*$J442,($I442-$N442)*$J442))</f>
        <v/>
      </c>
      <c r="R442" s="42" t="str">
        <f aca="false">IF(OR($D442="",$Q442="",$K442=0),"",$Q442/$K442)</f>
        <v/>
      </c>
      <c r="S442" s="43" t="str">
        <f aca="false">IF(OR($D442="",$N442=""),"",MIN(INDEX(Config!$C$13:$C$15,$AK442),INDEX(Config!$B$13:$B$15,$AK442)*$K442)+MIN(INDEX(Config!$C$13:$C$15,$AK442),INDEX(Config!$B$13:$B$15,$AK442)*$O442))</f>
        <v/>
      </c>
      <c r="T442" s="43" t="str">
        <f aca="false">IF(OR($D442="",$N442=""),"",INDEX(Config!$D$13:$D$15,$AK442)*$AL442+INDEX(Config!$E$13:$E$15,$AK442)*$AM442)</f>
        <v/>
      </c>
      <c r="U442" s="43" t="str">
        <f aca="false">IF(OR($D442="",$N442=""),"",INDEX(Config!$F$13:$F$15,$AK442)*($K442+$O442))</f>
        <v/>
      </c>
      <c r="V442" s="43" t="str">
        <f aca="false">IF(OR($D442="",$N442=""),"",INDEX(Config!$G$13:$G$15,$AK442)*($K442+$O442)+INDEX(Config!$H$13:$H$15,$AK442)*$AL442+INDEX(Config!$J$13:$J$15,$AK442))</f>
        <v/>
      </c>
      <c r="W442" s="43" t="str">
        <f aca="false">IF(OR($D442="",$N442=""),"",INDEX(Config!$I$13:$I$15,$AK442)*($S442+$U442+INDEX(Config!$G$13:$G$15,$AK442)*($K442+$O442)))</f>
        <v/>
      </c>
      <c r="X442" s="43" t="str">
        <f aca="false">IF(OR($D442="",$N442=""),"",INDEX(Config!$K$13:$K$15,$AK442)/365*$P442*$K442*Config!$B$8)</f>
        <v/>
      </c>
      <c r="Y442" s="43" t="str">
        <f aca="false">IF(OR($D442="",$N442=""),"",SUM($S442:$X442))</f>
        <v/>
      </c>
      <c r="Z442" s="40" t="str">
        <f aca="false">IF(OR($D442="",$Q442=""),"",$Q442-$Y442)</f>
        <v/>
      </c>
      <c r="AA442" s="42" t="str">
        <f aca="false">IF(OR($D442="",$Z442="",$K442=0),"",$Z442/$K442)</f>
        <v/>
      </c>
      <c r="AB442" s="44" t="str">
        <f aca="false">IF(OR($D442="",$Y442="",$K442=0),"",$Y442/$K442*10000)</f>
        <v/>
      </c>
      <c r="AC442" s="44" t="str">
        <f aca="false">IF(OR($D442="",$G442="",$G442=0,$I442=""),"",IF($E442="LONG",($I442-$G442)/$G442,($G442-$I442)/$G442)*10000)</f>
        <v/>
      </c>
      <c r="AD442" s="45"/>
      <c r="AE442" s="40" t="str">
        <f aca="false">IF(OR($D442="",$N442&lt;&gt;"",$AD442=""),"",IF($E442="LONG",($AD442-$I442)*$J442,($I442-$AD442)*$J442))</f>
        <v/>
      </c>
      <c r="AF442" s="40" t="str">
        <f aca="false">IF(OR($D442="",$E442&lt;&gt;"LONG",$Z442=""),"",$Z442+SUMIFS($Z$4:$Z$503,$B$4:$B$503,$B442,$E$4:$E$503,"SHORT"))</f>
        <v/>
      </c>
      <c r="AG442" s="42" t="str">
        <f aca="false">IF(OR($AF442="",$K442=0),"",$AF442/$K442)</f>
        <v/>
      </c>
      <c r="AH442" s="46"/>
      <c r="AI442" s="43" t="str">
        <f aca="false">IF(OR($D442="",$AH442="",$Z442=""),"",$Z442-$AH442)</f>
        <v/>
      </c>
      <c r="AJ442" s="49"/>
      <c r="AK442" s="47" t="str">
        <f aca="false">IF($D442="","",IFERROR(MATCH($F442,Config!$A$13:$A$15,0),1))</f>
        <v/>
      </c>
      <c r="AL442" s="47" t="str">
        <f aca="false">IF(OR($D442="",$N442=""),"",IF($E442="LONG",$K442,$O442))</f>
        <v/>
      </c>
      <c r="AM442" s="47" t="str">
        <f aca="false">IF(OR($D442="",$N442=""),"",IF($E442="LONG",$O442,$K442))</f>
        <v/>
      </c>
    </row>
    <row r="443" customFormat="false" ht="15" hidden="false" customHeight="false" outlineLevel="0" collapsed="false">
      <c r="A443" s="49"/>
      <c r="B443" s="5" t="str">
        <f aca="false">IF($D443="","",IF(OR(RIGHT($A443,2)="-L",RIGHT($A443,2)="-S"),LEFT($A443,LEN($A443)-2),$A443))</f>
        <v/>
      </c>
      <c r="C443" s="50"/>
      <c r="D443" s="49"/>
      <c r="E443" s="49"/>
      <c r="F443" s="49"/>
      <c r="G443" s="45"/>
      <c r="H443" s="50"/>
      <c r="I443" s="45"/>
      <c r="J443" s="51"/>
      <c r="K443" s="40" t="str">
        <f aca="false">IF($D443="","",$I443*$J443)</f>
        <v/>
      </c>
      <c r="L443" s="50"/>
      <c r="M443" s="49"/>
      <c r="N443" s="45"/>
      <c r="O443" s="40" t="str">
        <f aca="false">IF(OR($D443="",$N443=""),"",$N443*$J443)</f>
        <v/>
      </c>
      <c r="P443" s="41" t="str">
        <f aca="false">IF(OR($D443="",$L443=""),"",MAX($L443-$H443,0))</f>
        <v/>
      </c>
      <c r="Q443" s="40" t="str">
        <f aca="false">IF(OR($D443="",$N443=""),"",IF($E443="LONG",($N443-$I443)*$J443,($I443-$N443)*$J443))</f>
        <v/>
      </c>
      <c r="R443" s="42" t="str">
        <f aca="false">IF(OR($D443="",$Q443="",$K443=0),"",$Q443/$K443)</f>
        <v/>
      </c>
      <c r="S443" s="43" t="str">
        <f aca="false">IF(OR($D443="",$N443=""),"",MIN(INDEX(Config!$C$13:$C$15,$AK443),INDEX(Config!$B$13:$B$15,$AK443)*$K443)+MIN(INDEX(Config!$C$13:$C$15,$AK443),INDEX(Config!$B$13:$B$15,$AK443)*$O443))</f>
        <v/>
      </c>
      <c r="T443" s="43" t="str">
        <f aca="false">IF(OR($D443="",$N443=""),"",INDEX(Config!$D$13:$D$15,$AK443)*$AL443+INDEX(Config!$E$13:$E$15,$AK443)*$AM443)</f>
        <v/>
      </c>
      <c r="U443" s="43" t="str">
        <f aca="false">IF(OR($D443="",$N443=""),"",INDEX(Config!$F$13:$F$15,$AK443)*($K443+$O443))</f>
        <v/>
      </c>
      <c r="V443" s="43" t="str">
        <f aca="false">IF(OR($D443="",$N443=""),"",INDEX(Config!$G$13:$G$15,$AK443)*($K443+$O443)+INDEX(Config!$H$13:$H$15,$AK443)*$AL443+INDEX(Config!$J$13:$J$15,$AK443))</f>
        <v/>
      </c>
      <c r="W443" s="43" t="str">
        <f aca="false">IF(OR($D443="",$N443=""),"",INDEX(Config!$I$13:$I$15,$AK443)*($S443+$U443+INDEX(Config!$G$13:$G$15,$AK443)*($K443+$O443)))</f>
        <v/>
      </c>
      <c r="X443" s="43" t="str">
        <f aca="false">IF(OR($D443="",$N443=""),"",INDEX(Config!$K$13:$K$15,$AK443)/365*$P443*$K443*Config!$B$8)</f>
        <v/>
      </c>
      <c r="Y443" s="43" t="str">
        <f aca="false">IF(OR($D443="",$N443=""),"",SUM($S443:$X443))</f>
        <v/>
      </c>
      <c r="Z443" s="40" t="str">
        <f aca="false">IF(OR($D443="",$Q443=""),"",$Q443-$Y443)</f>
        <v/>
      </c>
      <c r="AA443" s="42" t="str">
        <f aca="false">IF(OR($D443="",$Z443="",$K443=0),"",$Z443/$K443)</f>
        <v/>
      </c>
      <c r="AB443" s="44" t="str">
        <f aca="false">IF(OR($D443="",$Y443="",$K443=0),"",$Y443/$K443*10000)</f>
        <v/>
      </c>
      <c r="AC443" s="44" t="str">
        <f aca="false">IF(OR($D443="",$G443="",$G443=0,$I443=""),"",IF($E443="LONG",($I443-$G443)/$G443,($G443-$I443)/$G443)*10000)</f>
        <v/>
      </c>
      <c r="AD443" s="45"/>
      <c r="AE443" s="40" t="str">
        <f aca="false">IF(OR($D443="",$N443&lt;&gt;"",$AD443=""),"",IF($E443="LONG",($AD443-$I443)*$J443,($I443-$AD443)*$J443))</f>
        <v/>
      </c>
      <c r="AF443" s="40" t="str">
        <f aca="false">IF(OR($D443="",$E443&lt;&gt;"LONG",$Z443=""),"",$Z443+SUMIFS($Z$4:$Z$503,$B$4:$B$503,$B443,$E$4:$E$503,"SHORT"))</f>
        <v/>
      </c>
      <c r="AG443" s="42" t="str">
        <f aca="false">IF(OR($AF443="",$K443=0),"",$AF443/$K443)</f>
        <v/>
      </c>
      <c r="AH443" s="46"/>
      <c r="AI443" s="43" t="str">
        <f aca="false">IF(OR($D443="",$AH443="",$Z443=""),"",$Z443-$AH443)</f>
        <v/>
      </c>
      <c r="AJ443" s="49"/>
      <c r="AK443" s="47" t="str">
        <f aca="false">IF($D443="","",IFERROR(MATCH($F443,Config!$A$13:$A$15,0),1))</f>
        <v/>
      </c>
      <c r="AL443" s="47" t="str">
        <f aca="false">IF(OR($D443="",$N443=""),"",IF($E443="LONG",$K443,$O443))</f>
        <v/>
      </c>
      <c r="AM443" s="47" t="str">
        <f aca="false">IF(OR($D443="",$N443=""),"",IF($E443="LONG",$O443,$K443))</f>
        <v/>
      </c>
    </row>
    <row r="444" customFormat="false" ht="15" hidden="false" customHeight="false" outlineLevel="0" collapsed="false">
      <c r="A444" s="49"/>
      <c r="B444" s="5" t="str">
        <f aca="false">IF($D444="","",IF(OR(RIGHT($A444,2)="-L",RIGHT($A444,2)="-S"),LEFT($A444,LEN($A444)-2),$A444))</f>
        <v/>
      </c>
      <c r="C444" s="50"/>
      <c r="D444" s="49"/>
      <c r="E444" s="49"/>
      <c r="F444" s="49"/>
      <c r="G444" s="45"/>
      <c r="H444" s="50"/>
      <c r="I444" s="45"/>
      <c r="J444" s="51"/>
      <c r="K444" s="40" t="str">
        <f aca="false">IF($D444="","",$I444*$J444)</f>
        <v/>
      </c>
      <c r="L444" s="50"/>
      <c r="M444" s="49"/>
      <c r="N444" s="45"/>
      <c r="O444" s="40" t="str">
        <f aca="false">IF(OR($D444="",$N444=""),"",$N444*$J444)</f>
        <v/>
      </c>
      <c r="P444" s="41" t="str">
        <f aca="false">IF(OR($D444="",$L444=""),"",MAX($L444-$H444,0))</f>
        <v/>
      </c>
      <c r="Q444" s="40" t="str">
        <f aca="false">IF(OR($D444="",$N444=""),"",IF($E444="LONG",($N444-$I444)*$J444,($I444-$N444)*$J444))</f>
        <v/>
      </c>
      <c r="R444" s="42" t="str">
        <f aca="false">IF(OR($D444="",$Q444="",$K444=0),"",$Q444/$K444)</f>
        <v/>
      </c>
      <c r="S444" s="43" t="str">
        <f aca="false">IF(OR($D444="",$N444=""),"",MIN(INDEX(Config!$C$13:$C$15,$AK444),INDEX(Config!$B$13:$B$15,$AK444)*$K444)+MIN(INDEX(Config!$C$13:$C$15,$AK444),INDEX(Config!$B$13:$B$15,$AK444)*$O444))</f>
        <v/>
      </c>
      <c r="T444" s="43" t="str">
        <f aca="false">IF(OR($D444="",$N444=""),"",INDEX(Config!$D$13:$D$15,$AK444)*$AL444+INDEX(Config!$E$13:$E$15,$AK444)*$AM444)</f>
        <v/>
      </c>
      <c r="U444" s="43" t="str">
        <f aca="false">IF(OR($D444="",$N444=""),"",INDEX(Config!$F$13:$F$15,$AK444)*($K444+$O444))</f>
        <v/>
      </c>
      <c r="V444" s="43" t="str">
        <f aca="false">IF(OR($D444="",$N444=""),"",INDEX(Config!$G$13:$G$15,$AK444)*($K444+$O444)+INDEX(Config!$H$13:$H$15,$AK444)*$AL444+INDEX(Config!$J$13:$J$15,$AK444))</f>
        <v/>
      </c>
      <c r="W444" s="43" t="str">
        <f aca="false">IF(OR($D444="",$N444=""),"",INDEX(Config!$I$13:$I$15,$AK444)*($S444+$U444+INDEX(Config!$G$13:$G$15,$AK444)*($K444+$O444)))</f>
        <v/>
      </c>
      <c r="X444" s="43" t="str">
        <f aca="false">IF(OR($D444="",$N444=""),"",INDEX(Config!$K$13:$K$15,$AK444)/365*$P444*$K444*Config!$B$8)</f>
        <v/>
      </c>
      <c r="Y444" s="43" t="str">
        <f aca="false">IF(OR($D444="",$N444=""),"",SUM($S444:$X444))</f>
        <v/>
      </c>
      <c r="Z444" s="40" t="str">
        <f aca="false">IF(OR($D444="",$Q444=""),"",$Q444-$Y444)</f>
        <v/>
      </c>
      <c r="AA444" s="42" t="str">
        <f aca="false">IF(OR($D444="",$Z444="",$K444=0),"",$Z444/$K444)</f>
        <v/>
      </c>
      <c r="AB444" s="44" t="str">
        <f aca="false">IF(OR($D444="",$Y444="",$K444=0),"",$Y444/$K444*10000)</f>
        <v/>
      </c>
      <c r="AC444" s="44" t="str">
        <f aca="false">IF(OR($D444="",$G444="",$G444=0,$I444=""),"",IF($E444="LONG",($I444-$G444)/$G444,($G444-$I444)/$G444)*10000)</f>
        <v/>
      </c>
      <c r="AD444" s="45"/>
      <c r="AE444" s="40" t="str">
        <f aca="false">IF(OR($D444="",$N444&lt;&gt;"",$AD444=""),"",IF($E444="LONG",($AD444-$I444)*$J444,($I444-$AD444)*$J444))</f>
        <v/>
      </c>
      <c r="AF444" s="40" t="str">
        <f aca="false">IF(OR($D444="",$E444&lt;&gt;"LONG",$Z444=""),"",$Z444+SUMIFS($Z$4:$Z$503,$B$4:$B$503,$B444,$E$4:$E$503,"SHORT"))</f>
        <v/>
      </c>
      <c r="AG444" s="42" t="str">
        <f aca="false">IF(OR($AF444="",$K444=0),"",$AF444/$K444)</f>
        <v/>
      </c>
      <c r="AH444" s="46"/>
      <c r="AI444" s="43" t="str">
        <f aca="false">IF(OR($D444="",$AH444="",$Z444=""),"",$Z444-$AH444)</f>
        <v/>
      </c>
      <c r="AJ444" s="49"/>
      <c r="AK444" s="47" t="str">
        <f aca="false">IF($D444="","",IFERROR(MATCH($F444,Config!$A$13:$A$15,0),1))</f>
        <v/>
      </c>
      <c r="AL444" s="47" t="str">
        <f aca="false">IF(OR($D444="",$N444=""),"",IF($E444="LONG",$K444,$O444))</f>
        <v/>
      </c>
      <c r="AM444" s="47" t="str">
        <f aca="false">IF(OR($D444="",$N444=""),"",IF($E444="LONG",$O444,$K444))</f>
        <v/>
      </c>
    </row>
    <row r="445" customFormat="false" ht="15" hidden="false" customHeight="false" outlineLevel="0" collapsed="false">
      <c r="A445" s="49"/>
      <c r="B445" s="5" t="str">
        <f aca="false">IF($D445="","",IF(OR(RIGHT($A445,2)="-L",RIGHT($A445,2)="-S"),LEFT($A445,LEN($A445)-2),$A445))</f>
        <v/>
      </c>
      <c r="C445" s="50"/>
      <c r="D445" s="49"/>
      <c r="E445" s="49"/>
      <c r="F445" s="49"/>
      <c r="G445" s="45"/>
      <c r="H445" s="50"/>
      <c r="I445" s="45"/>
      <c r="J445" s="51"/>
      <c r="K445" s="40" t="str">
        <f aca="false">IF($D445="","",$I445*$J445)</f>
        <v/>
      </c>
      <c r="L445" s="50"/>
      <c r="M445" s="49"/>
      <c r="N445" s="45"/>
      <c r="O445" s="40" t="str">
        <f aca="false">IF(OR($D445="",$N445=""),"",$N445*$J445)</f>
        <v/>
      </c>
      <c r="P445" s="41" t="str">
        <f aca="false">IF(OR($D445="",$L445=""),"",MAX($L445-$H445,0))</f>
        <v/>
      </c>
      <c r="Q445" s="40" t="str">
        <f aca="false">IF(OR($D445="",$N445=""),"",IF($E445="LONG",($N445-$I445)*$J445,($I445-$N445)*$J445))</f>
        <v/>
      </c>
      <c r="R445" s="42" t="str">
        <f aca="false">IF(OR($D445="",$Q445="",$K445=0),"",$Q445/$K445)</f>
        <v/>
      </c>
      <c r="S445" s="43" t="str">
        <f aca="false">IF(OR($D445="",$N445=""),"",MIN(INDEX(Config!$C$13:$C$15,$AK445),INDEX(Config!$B$13:$B$15,$AK445)*$K445)+MIN(INDEX(Config!$C$13:$C$15,$AK445),INDEX(Config!$B$13:$B$15,$AK445)*$O445))</f>
        <v/>
      </c>
      <c r="T445" s="43" t="str">
        <f aca="false">IF(OR($D445="",$N445=""),"",INDEX(Config!$D$13:$D$15,$AK445)*$AL445+INDEX(Config!$E$13:$E$15,$AK445)*$AM445)</f>
        <v/>
      </c>
      <c r="U445" s="43" t="str">
        <f aca="false">IF(OR($D445="",$N445=""),"",INDEX(Config!$F$13:$F$15,$AK445)*($K445+$O445))</f>
        <v/>
      </c>
      <c r="V445" s="43" t="str">
        <f aca="false">IF(OR($D445="",$N445=""),"",INDEX(Config!$G$13:$G$15,$AK445)*($K445+$O445)+INDEX(Config!$H$13:$H$15,$AK445)*$AL445+INDEX(Config!$J$13:$J$15,$AK445))</f>
        <v/>
      </c>
      <c r="W445" s="43" t="str">
        <f aca="false">IF(OR($D445="",$N445=""),"",INDEX(Config!$I$13:$I$15,$AK445)*($S445+$U445+INDEX(Config!$G$13:$G$15,$AK445)*($K445+$O445)))</f>
        <v/>
      </c>
      <c r="X445" s="43" t="str">
        <f aca="false">IF(OR($D445="",$N445=""),"",INDEX(Config!$K$13:$K$15,$AK445)/365*$P445*$K445*Config!$B$8)</f>
        <v/>
      </c>
      <c r="Y445" s="43" t="str">
        <f aca="false">IF(OR($D445="",$N445=""),"",SUM($S445:$X445))</f>
        <v/>
      </c>
      <c r="Z445" s="40" t="str">
        <f aca="false">IF(OR($D445="",$Q445=""),"",$Q445-$Y445)</f>
        <v/>
      </c>
      <c r="AA445" s="42" t="str">
        <f aca="false">IF(OR($D445="",$Z445="",$K445=0),"",$Z445/$K445)</f>
        <v/>
      </c>
      <c r="AB445" s="44" t="str">
        <f aca="false">IF(OR($D445="",$Y445="",$K445=0),"",$Y445/$K445*10000)</f>
        <v/>
      </c>
      <c r="AC445" s="44" t="str">
        <f aca="false">IF(OR($D445="",$G445="",$G445=0,$I445=""),"",IF($E445="LONG",($I445-$G445)/$G445,($G445-$I445)/$G445)*10000)</f>
        <v/>
      </c>
      <c r="AD445" s="45"/>
      <c r="AE445" s="40" t="str">
        <f aca="false">IF(OR($D445="",$N445&lt;&gt;"",$AD445=""),"",IF($E445="LONG",($AD445-$I445)*$J445,($I445-$AD445)*$J445))</f>
        <v/>
      </c>
      <c r="AF445" s="40" t="str">
        <f aca="false">IF(OR($D445="",$E445&lt;&gt;"LONG",$Z445=""),"",$Z445+SUMIFS($Z$4:$Z$503,$B$4:$B$503,$B445,$E$4:$E$503,"SHORT"))</f>
        <v/>
      </c>
      <c r="AG445" s="42" t="str">
        <f aca="false">IF(OR($AF445="",$K445=0),"",$AF445/$K445)</f>
        <v/>
      </c>
      <c r="AH445" s="46"/>
      <c r="AI445" s="43" t="str">
        <f aca="false">IF(OR($D445="",$AH445="",$Z445=""),"",$Z445-$AH445)</f>
        <v/>
      </c>
      <c r="AJ445" s="49"/>
      <c r="AK445" s="47" t="str">
        <f aca="false">IF($D445="","",IFERROR(MATCH($F445,Config!$A$13:$A$15,0),1))</f>
        <v/>
      </c>
      <c r="AL445" s="47" t="str">
        <f aca="false">IF(OR($D445="",$N445=""),"",IF($E445="LONG",$K445,$O445))</f>
        <v/>
      </c>
      <c r="AM445" s="47" t="str">
        <f aca="false">IF(OR($D445="",$N445=""),"",IF($E445="LONG",$O445,$K445))</f>
        <v/>
      </c>
    </row>
    <row r="446" customFormat="false" ht="15" hidden="false" customHeight="false" outlineLevel="0" collapsed="false">
      <c r="A446" s="49"/>
      <c r="B446" s="5" t="str">
        <f aca="false">IF($D446="","",IF(OR(RIGHT($A446,2)="-L",RIGHT($A446,2)="-S"),LEFT($A446,LEN($A446)-2),$A446))</f>
        <v/>
      </c>
      <c r="C446" s="50"/>
      <c r="D446" s="49"/>
      <c r="E446" s="49"/>
      <c r="F446" s="49"/>
      <c r="G446" s="45"/>
      <c r="H446" s="50"/>
      <c r="I446" s="45"/>
      <c r="J446" s="51"/>
      <c r="K446" s="40" t="str">
        <f aca="false">IF($D446="","",$I446*$J446)</f>
        <v/>
      </c>
      <c r="L446" s="50"/>
      <c r="M446" s="49"/>
      <c r="N446" s="45"/>
      <c r="O446" s="40" t="str">
        <f aca="false">IF(OR($D446="",$N446=""),"",$N446*$J446)</f>
        <v/>
      </c>
      <c r="P446" s="41" t="str">
        <f aca="false">IF(OR($D446="",$L446=""),"",MAX($L446-$H446,0))</f>
        <v/>
      </c>
      <c r="Q446" s="40" t="str">
        <f aca="false">IF(OR($D446="",$N446=""),"",IF($E446="LONG",($N446-$I446)*$J446,($I446-$N446)*$J446))</f>
        <v/>
      </c>
      <c r="R446" s="42" t="str">
        <f aca="false">IF(OR($D446="",$Q446="",$K446=0),"",$Q446/$K446)</f>
        <v/>
      </c>
      <c r="S446" s="43" t="str">
        <f aca="false">IF(OR($D446="",$N446=""),"",MIN(INDEX(Config!$C$13:$C$15,$AK446),INDEX(Config!$B$13:$B$15,$AK446)*$K446)+MIN(INDEX(Config!$C$13:$C$15,$AK446),INDEX(Config!$B$13:$B$15,$AK446)*$O446))</f>
        <v/>
      </c>
      <c r="T446" s="43" t="str">
        <f aca="false">IF(OR($D446="",$N446=""),"",INDEX(Config!$D$13:$D$15,$AK446)*$AL446+INDEX(Config!$E$13:$E$15,$AK446)*$AM446)</f>
        <v/>
      </c>
      <c r="U446" s="43" t="str">
        <f aca="false">IF(OR($D446="",$N446=""),"",INDEX(Config!$F$13:$F$15,$AK446)*($K446+$O446))</f>
        <v/>
      </c>
      <c r="V446" s="43" t="str">
        <f aca="false">IF(OR($D446="",$N446=""),"",INDEX(Config!$G$13:$G$15,$AK446)*($K446+$O446)+INDEX(Config!$H$13:$H$15,$AK446)*$AL446+INDEX(Config!$J$13:$J$15,$AK446))</f>
        <v/>
      </c>
      <c r="W446" s="43" t="str">
        <f aca="false">IF(OR($D446="",$N446=""),"",INDEX(Config!$I$13:$I$15,$AK446)*($S446+$U446+INDEX(Config!$G$13:$G$15,$AK446)*($K446+$O446)))</f>
        <v/>
      </c>
      <c r="X446" s="43" t="str">
        <f aca="false">IF(OR($D446="",$N446=""),"",INDEX(Config!$K$13:$K$15,$AK446)/365*$P446*$K446*Config!$B$8)</f>
        <v/>
      </c>
      <c r="Y446" s="43" t="str">
        <f aca="false">IF(OR($D446="",$N446=""),"",SUM($S446:$X446))</f>
        <v/>
      </c>
      <c r="Z446" s="40" t="str">
        <f aca="false">IF(OR($D446="",$Q446=""),"",$Q446-$Y446)</f>
        <v/>
      </c>
      <c r="AA446" s="42" t="str">
        <f aca="false">IF(OR($D446="",$Z446="",$K446=0),"",$Z446/$K446)</f>
        <v/>
      </c>
      <c r="AB446" s="44" t="str">
        <f aca="false">IF(OR($D446="",$Y446="",$K446=0),"",$Y446/$K446*10000)</f>
        <v/>
      </c>
      <c r="AC446" s="44" t="str">
        <f aca="false">IF(OR($D446="",$G446="",$G446=0,$I446=""),"",IF($E446="LONG",($I446-$G446)/$G446,($G446-$I446)/$G446)*10000)</f>
        <v/>
      </c>
      <c r="AD446" s="45"/>
      <c r="AE446" s="40" t="str">
        <f aca="false">IF(OR($D446="",$N446&lt;&gt;"",$AD446=""),"",IF($E446="LONG",($AD446-$I446)*$J446,($I446-$AD446)*$J446))</f>
        <v/>
      </c>
      <c r="AF446" s="40" t="str">
        <f aca="false">IF(OR($D446="",$E446&lt;&gt;"LONG",$Z446=""),"",$Z446+SUMIFS($Z$4:$Z$503,$B$4:$B$503,$B446,$E$4:$E$503,"SHORT"))</f>
        <v/>
      </c>
      <c r="AG446" s="42" t="str">
        <f aca="false">IF(OR($AF446="",$K446=0),"",$AF446/$K446)</f>
        <v/>
      </c>
      <c r="AH446" s="46"/>
      <c r="AI446" s="43" t="str">
        <f aca="false">IF(OR($D446="",$AH446="",$Z446=""),"",$Z446-$AH446)</f>
        <v/>
      </c>
      <c r="AJ446" s="49"/>
      <c r="AK446" s="47" t="str">
        <f aca="false">IF($D446="","",IFERROR(MATCH($F446,Config!$A$13:$A$15,0),1))</f>
        <v/>
      </c>
      <c r="AL446" s="47" t="str">
        <f aca="false">IF(OR($D446="",$N446=""),"",IF($E446="LONG",$K446,$O446))</f>
        <v/>
      </c>
      <c r="AM446" s="47" t="str">
        <f aca="false">IF(OR($D446="",$N446=""),"",IF($E446="LONG",$O446,$K446))</f>
        <v/>
      </c>
    </row>
    <row r="447" customFormat="false" ht="15" hidden="false" customHeight="false" outlineLevel="0" collapsed="false">
      <c r="A447" s="49"/>
      <c r="B447" s="5" t="str">
        <f aca="false">IF($D447="","",IF(OR(RIGHT($A447,2)="-L",RIGHT($A447,2)="-S"),LEFT($A447,LEN($A447)-2),$A447))</f>
        <v/>
      </c>
      <c r="C447" s="50"/>
      <c r="D447" s="49"/>
      <c r="E447" s="49"/>
      <c r="F447" s="49"/>
      <c r="G447" s="45"/>
      <c r="H447" s="50"/>
      <c r="I447" s="45"/>
      <c r="J447" s="51"/>
      <c r="K447" s="40" t="str">
        <f aca="false">IF($D447="","",$I447*$J447)</f>
        <v/>
      </c>
      <c r="L447" s="50"/>
      <c r="M447" s="49"/>
      <c r="N447" s="45"/>
      <c r="O447" s="40" t="str">
        <f aca="false">IF(OR($D447="",$N447=""),"",$N447*$J447)</f>
        <v/>
      </c>
      <c r="P447" s="41" t="str">
        <f aca="false">IF(OR($D447="",$L447=""),"",MAX($L447-$H447,0))</f>
        <v/>
      </c>
      <c r="Q447" s="40" t="str">
        <f aca="false">IF(OR($D447="",$N447=""),"",IF($E447="LONG",($N447-$I447)*$J447,($I447-$N447)*$J447))</f>
        <v/>
      </c>
      <c r="R447" s="42" t="str">
        <f aca="false">IF(OR($D447="",$Q447="",$K447=0),"",$Q447/$K447)</f>
        <v/>
      </c>
      <c r="S447" s="43" t="str">
        <f aca="false">IF(OR($D447="",$N447=""),"",MIN(INDEX(Config!$C$13:$C$15,$AK447),INDEX(Config!$B$13:$B$15,$AK447)*$K447)+MIN(INDEX(Config!$C$13:$C$15,$AK447),INDEX(Config!$B$13:$B$15,$AK447)*$O447))</f>
        <v/>
      </c>
      <c r="T447" s="43" t="str">
        <f aca="false">IF(OR($D447="",$N447=""),"",INDEX(Config!$D$13:$D$15,$AK447)*$AL447+INDEX(Config!$E$13:$E$15,$AK447)*$AM447)</f>
        <v/>
      </c>
      <c r="U447" s="43" t="str">
        <f aca="false">IF(OR($D447="",$N447=""),"",INDEX(Config!$F$13:$F$15,$AK447)*($K447+$O447))</f>
        <v/>
      </c>
      <c r="V447" s="43" t="str">
        <f aca="false">IF(OR($D447="",$N447=""),"",INDEX(Config!$G$13:$G$15,$AK447)*($K447+$O447)+INDEX(Config!$H$13:$H$15,$AK447)*$AL447+INDEX(Config!$J$13:$J$15,$AK447))</f>
        <v/>
      </c>
      <c r="W447" s="43" t="str">
        <f aca="false">IF(OR($D447="",$N447=""),"",INDEX(Config!$I$13:$I$15,$AK447)*($S447+$U447+INDEX(Config!$G$13:$G$15,$AK447)*($K447+$O447)))</f>
        <v/>
      </c>
      <c r="X447" s="43" t="str">
        <f aca="false">IF(OR($D447="",$N447=""),"",INDEX(Config!$K$13:$K$15,$AK447)/365*$P447*$K447*Config!$B$8)</f>
        <v/>
      </c>
      <c r="Y447" s="43" t="str">
        <f aca="false">IF(OR($D447="",$N447=""),"",SUM($S447:$X447))</f>
        <v/>
      </c>
      <c r="Z447" s="40" t="str">
        <f aca="false">IF(OR($D447="",$Q447=""),"",$Q447-$Y447)</f>
        <v/>
      </c>
      <c r="AA447" s="42" t="str">
        <f aca="false">IF(OR($D447="",$Z447="",$K447=0),"",$Z447/$K447)</f>
        <v/>
      </c>
      <c r="AB447" s="44" t="str">
        <f aca="false">IF(OR($D447="",$Y447="",$K447=0),"",$Y447/$K447*10000)</f>
        <v/>
      </c>
      <c r="AC447" s="44" t="str">
        <f aca="false">IF(OR($D447="",$G447="",$G447=0,$I447=""),"",IF($E447="LONG",($I447-$G447)/$G447,($G447-$I447)/$G447)*10000)</f>
        <v/>
      </c>
      <c r="AD447" s="45"/>
      <c r="AE447" s="40" t="str">
        <f aca="false">IF(OR($D447="",$N447&lt;&gt;"",$AD447=""),"",IF($E447="LONG",($AD447-$I447)*$J447,($I447-$AD447)*$J447))</f>
        <v/>
      </c>
      <c r="AF447" s="40" t="str">
        <f aca="false">IF(OR($D447="",$E447&lt;&gt;"LONG",$Z447=""),"",$Z447+SUMIFS($Z$4:$Z$503,$B$4:$B$503,$B447,$E$4:$E$503,"SHORT"))</f>
        <v/>
      </c>
      <c r="AG447" s="42" t="str">
        <f aca="false">IF(OR($AF447="",$K447=0),"",$AF447/$K447)</f>
        <v/>
      </c>
      <c r="AH447" s="46"/>
      <c r="AI447" s="43" t="str">
        <f aca="false">IF(OR($D447="",$AH447="",$Z447=""),"",$Z447-$AH447)</f>
        <v/>
      </c>
      <c r="AJ447" s="49"/>
      <c r="AK447" s="47" t="str">
        <f aca="false">IF($D447="","",IFERROR(MATCH($F447,Config!$A$13:$A$15,0),1))</f>
        <v/>
      </c>
      <c r="AL447" s="47" t="str">
        <f aca="false">IF(OR($D447="",$N447=""),"",IF($E447="LONG",$K447,$O447))</f>
        <v/>
      </c>
      <c r="AM447" s="47" t="str">
        <f aca="false">IF(OR($D447="",$N447=""),"",IF($E447="LONG",$O447,$K447))</f>
        <v/>
      </c>
    </row>
    <row r="448" customFormat="false" ht="15" hidden="false" customHeight="false" outlineLevel="0" collapsed="false">
      <c r="A448" s="49"/>
      <c r="B448" s="5" t="str">
        <f aca="false">IF($D448="","",IF(OR(RIGHT($A448,2)="-L",RIGHT($A448,2)="-S"),LEFT($A448,LEN($A448)-2),$A448))</f>
        <v/>
      </c>
      <c r="C448" s="50"/>
      <c r="D448" s="49"/>
      <c r="E448" s="49"/>
      <c r="F448" s="49"/>
      <c r="G448" s="45"/>
      <c r="H448" s="50"/>
      <c r="I448" s="45"/>
      <c r="J448" s="51"/>
      <c r="K448" s="40" t="str">
        <f aca="false">IF($D448="","",$I448*$J448)</f>
        <v/>
      </c>
      <c r="L448" s="50"/>
      <c r="M448" s="49"/>
      <c r="N448" s="45"/>
      <c r="O448" s="40" t="str">
        <f aca="false">IF(OR($D448="",$N448=""),"",$N448*$J448)</f>
        <v/>
      </c>
      <c r="P448" s="41" t="str">
        <f aca="false">IF(OR($D448="",$L448=""),"",MAX($L448-$H448,0))</f>
        <v/>
      </c>
      <c r="Q448" s="40" t="str">
        <f aca="false">IF(OR($D448="",$N448=""),"",IF($E448="LONG",($N448-$I448)*$J448,($I448-$N448)*$J448))</f>
        <v/>
      </c>
      <c r="R448" s="42" t="str">
        <f aca="false">IF(OR($D448="",$Q448="",$K448=0),"",$Q448/$K448)</f>
        <v/>
      </c>
      <c r="S448" s="43" t="str">
        <f aca="false">IF(OR($D448="",$N448=""),"",MIN(INDEX(Config!$C$13:$C$15,$AK448),INDEX(Config!$B$13:$B$15,$AK448)*$K448)+MIN(INDEX(Config!$C$13:$C$15,$AK448),INDEX(Config!$B$13:$B$15,$AK448)*$O448))</f>
        <v/>
      </c>
      <c r="T448" s="43" t="str">
        <f aca="false">IF(OR($D448="",$N448=""),"",INDEX(Config!$D$13:$D$15,$AK448)*$AL448+INDEX(Config!$E$13:$E$15,$AK448)*$AM448)</f>
        <v/>
      </c>
      <c r="U448" s="43" t="str">
        <f aca="false">IF(OR($D448="",$N448=""),"",INDEX(Config!$F$13:$F$15,$AK448)*($K448+$O448))</f>
        <v/>
      </c>
      <c r="V448" s="43" t="str">
        <f aca="false">IF(OR($D448="",$N448=""),"",INDEX(Config!$G$13:$G$15,$AK448)*($K448+$O448)+INDEX(Config!$H$13:$H$15,$AK448)*$AL448+INDEX(Config!$J$13:$J$15,$AK448))</f>
        <v/>
      </c>
      <c r="W448" s="43" t="str">
        <f aca="false">IF(OR($D448="",$N448=""),"",INDEX(Config!$I$13:$I$15,$AK448)*($S448+$U448+INDEX(Config!$G$13:$G$15,$AK448)*($K448+$O448)))</f>
        <v/>
      </c>
      <c r="X448" s="43" t="str">
        <f aca="false">IF(OR($D448="",$N448=""),"",INDEX(Config!$K$13:$K$15,$AK448)/365*$P448*$K448*Config!$B$8)</f>
        <v/>
      </c>
      <c r="Y448" s="43" t="str">
        <f aca="false">IF(OR($D448="",$N448=""),"",SUM($S448:$X448))</f>
        <v/>
      </c>
      <c r="Z448" s="40" t="str">
        <f aca="false">IF(OR($D448="",$Q448=""),"",$Q448-$Y448)</f>
        <v/>
      </c>
      <c r="AA448" s="42" t="str">
        <f aca="false">IF(OR($D448="",$Z448="",$K448=0),"",$Z448/$K448)</f>
        <v/>
      </c>
      <c r="AB448" s="44" t="str">
        <f aca="false">IF(OR($D448="",$Y448="",$K448=0),"",$Y448/$K448*10000)</f>
        <v/>
      </c>
      <c r="AC448" s="44" t="str">
        <f aca="false">IF(OR($D448="",$G448="",$G448=0,$I448=""),"",IF($E448="LONG",($I448-$G448)/$G448,($G448-$I448)/$G448)*10000)</f>
        <v/>
      </c>
      <c r="AD448" s="45"/>
      <c r="AE448" s="40" t="str">
        <f aca="false">IF(OR($D448="",$N448&lt;&gt;"",$AD448=""),"",IF($E448="LONG",($AD448-$I448)*$J448,($I448-$AD448)*$J448))</f>
        <v/>
      </c>
      <c r="AF448" s="40" t="str">
        <f aca="false">IF(OR($D448="",$E448&lt;&gt;"LONG",$Z448=""),"",$Z448+SUMIFS($Z$4:$Z$503,$B$4:$B$503,$B448,$E$4:$E$503,"SHORT"))</f>
        <v/>
      </c>
      <c r="AG448" s="42" t="str">
        <f aca="false">IF(OR($AF448="",$K448=0),"",$AF448/$K448)</f>
        <v/>
      </c>
      <c r="AH448" s="46"/>
      <c r="AI448" s="43" t="str">
        <f aca="false">IF(OR($D448="",$AH448="",$Z448=""),"",$Z448-$AH448)</f>
        <v/>
      </c>
      <c r="AJ448" s="49"/>
      <c r="AK448" s="47" t="str">
        <f aca="false">IF($D448="","",IFERROR(MATCH($F448,Config!$A$13:$A$15,0),1))</f>
        <v/>
      </c>
      <c r="AL448" s="47" t="str">
        <f aca="false">IF(OR($D448="",$N448=""),"",IF($E448="LONG",$K448,$O448))</f>
        <v/>
      </c>
      <c r="AM448" s="47" t="str">
        <f aca="false">IF(OR($D448="",$N448=""),"",IF($E448="LONG",$O448,$K448))</f>
        <v/>
      </c>
    </row>
    <row r="449" customFormat="false" ht="15" hidden="false" customHeight="false" outlineLevel="0" collapsed="false">
      <c r="A449" s="49"/>
      <c r="B449" s="5" t="str">
        <f aca="false">IF($D449="","",IF(OR(RIGHT($A449,2)="-L",RIGHT($A449,2)="-S"),LEFT($A449,LEN($A449)-2),$A449))</f>
        <v/>
      </c>
      <c r="C449" s="50"/>
      <c r="D449" s="49"/>
      <c r="E449" s="49"/>
      <c r="F449" s="49"/>
      <c r="G449" s="45"/>
      <c r="H449" s="50"/>
      <c r="I449" s="45"/>
      <c r="J449" s="51"/>
      <c r="K449" s="40" t="str">
        <f aca="false">IF($D449="","",$I449*$J449)</f>
        <v/>
      </c>
      <c r="L449" s="50"/>
      <c r="M449" s="49"/>
      <c r="N449" s="45"/>
      <c r="O449" s="40" t="str">
        <f aca="false">IF(OR($D449="",$N449=""),"",$N449*$J449)</f>
        <v/>
      </c>
      <c r="P449" s="41" t="str">
        <f aca="false">IF(OR($D449="",$L449=""),"",MAX($L449-$H449,0))</f>
        <v/>
      </c>
      <c r="Q449" s="40" t="str">
        <f aca="false">IF(OR($D449="",$N449=""),"",IF($E449="LONG",($N449-$I449)*$J449,($I449-$N449)*$J449))</f>
        <v/>
      </c>
      <c r="R449" s="42" t="str">
        <f aca="false">IF(OR($D449="",$Q449="",$K449=0),"",$Q449/$K449)</f>
        <v/>
      </c>
      <c r="S449" s="43" t="str">
        <f aca="false">IF(OR($D449="",$N449=""),"",MIN(INDEX(Config!$C$13:$C$15,$AK449),INDEX(Config!$B$13:$B$15,$AK449)*$K449)+MIN(INDEX(Config!$C$13:$C$15,$AK449),INDEX(Config!$B$13:$B$15,$AK449)*$O449))</f>
        <v/>
      </c>
      <c r="T449" s="43" t="str">
        <f aca="false">IF(OR($D449="",$N449=""),"",INDEX(Config!$D$13:$D$15,$AK449)*$AL449+INDEX(Config!$E$13:$E$15,$AK449)*$AM449)</f>
        <v/>
      </c>
      <c r="U449" s="43" t="str">
        <f aca="false">IF(OR($D449="",$N449=""),"",INDEX(Config!$F$13:$F$15,$AK449)*($K449+$O449))</f>
        <v/>
      </c>
      <c r="V449" s="43" t="str">
        <f aca="false">IF(OR($D449="",$N449=""),"",INDEX(Config!$G$13:$G$15,$AK449)*($K449+$O449)+INDEX(Config!$H$13:$H$15,$AK449)*$AL449+INDEX(Config!$J$13:$J$15,$AK449))</f>
        <v/>
      </c>
      <c r="W449" s="43" t="str">
        <f aca="false">IF(OR($D449="",$N449=""),"",INDEX(Config!$I$13:$I$15,$AK449)*($S449+$U449+INDEX(Config!$G$13:$G$15,$AK449)*($K449+$O449)))</f>
        <v/>
      </c>
      <c r="X449" s="43" t="str">
        <f aca="false">IF(OR($D449="",$N449=""),"",INDEX(Config!$K$13:$K$15,$AK449)/365*$P449*$K449*Config!$B$8)</f>
        <v/>
      </c>
      <c r="Y449" s="43" t="str">
        <f aca="false">IF(OR($D449="",$N449=""),"",SUM($S449:$X449))</f>
        <v/>
      </c>
      <c r="Z449" s="40" t="str">
        <f aca="false">IF(OR($D449="",$Q449=""),"",$Q449-$Y449)</f>
        <v/>
      </c>
      <c r="AA449" s="42" t="str">
        <f aca="false">IF(OR($D449="",$Z449="",$K449=0),"",$Z449/$K449)</f>
        <v/>
      </c>
      <c r="AB449" s="44" t="str">
        <f aca="false">IF(OR($D449="",$Y449="",$K449=0),"",$Y449/$K449*10000)</f>
        <v/>
      </c>
      <c r="AC449" s="44" t="str">
        <f aca="false">IF(OR($D449="",$G449="",$G449=0,$I449=""),"",IF($E449="LONG",($I449-$G449)/$G449,($G449-$I449)/$G449)*10000)</f>
        <v/>
      </c>
      <c r="AD449" s="45"/>
      <c r="AE449" s="40" t="str">
        <f aca="false">IF(OR($D449="",$N449&lt;&gt;"",$AD449=""),"",IF($E449="LONG",($AD449-$I449)*$J449,($I449-$AD449)*$J449))</f>
        <v/>
      </c>
      <c r="AF449" s="40" t="str">
        <f aca="false">IF(OR($D449="",$E449&lt;&gt;"LONG",$Z449=""),"",$Z449+SUMIFS($Z$4:$Z$503,$B$4:$B$503,$B449,$E$4:$E$503,"SHORT"))</f>
        <v/>
      </c>
      <c r="AG449" s="42" t="str">
        <f aca="false">IF(OR($AF449="",$K449=0),"",$AF449/$K449)</f>
        <v/>
      </c>
      <c r="AH449" s="46"/>
      <c r="AI449" s="43" t="str">
        <f aca="false">IF(OR($D449="",$AH449="",$Z449=""),"",$Z449-$AH449)</f>
        <v/>
      </c>
      <c r="AJ449" s="49"/>
      <c r="AK449" s="47" t="str">
        <f aca="false">IF($D449="","",IFERROR(MATCH($F449,Config!$A$13:$A$15,0),1))</f>
        <v/>
      </c>
      <c r="AL449" s="47" t="str">
        <f aca="false">IF(OR($D449="",$N449=""),"",IF($E449="LONG",$K449,$O449))</f>
        <v/>
      </c>
      <c r="AM449" s="47" t="str">
        <f aca="false">IF(OR($D449="",$N449=""),"",IF($E449="LONG",$O449,$K449))</f>
        <v/>
      </c>
    </row>
    <row r="450" customFormat="false" ht="15" hidden="false" customHeight="false" outlineLevel="0" collapsed="false">
      <c r="A450" s="49"/>
      <c r="B450" s="5" t="str">
        <f aca="false">IF($D450="","",IF(OR(RIGHT($A450,2)="-L",RIGHT($A450,2)="-S"),LEFT($A450,LEN($A450)-2),$A450))</f>
        <v/>
      </c>
      <c r="C450" s="50"/>
      <c r="D450" s="49"/>
      <c r="E450" s="49"/>
      <c r="F450" s="49"/>
      <c r="G450" s="45"/>
      <c r="H450" s="50"/>
      <c r="I450" s="45"/>
      <c r="J450" s="51"/>
      <c r="K450" s="40" t="str">
        <f aca="false">IF($D450="","",$I450*$J450)</f>
        <v/>
      </c>
      <c r="L450" s="50"/>
      <c r="M450" s="49"/>
      <c r="N450" s="45"/>
      <c r="O450" s="40" t="str">
        <f aca="false">IF(OR($D450="",$N450=""),"",$N450*$J450)</f>
        <v/>
      </c>
      <c r="P450" s="41" t="str">
        <f aca="false">IF(OR($D450="",$L450=""),"",MAX($L450-$H450,0))</f>
        <v/>
      </c>
      <c r="Q450" s="40" t="str">
        <f aca="false">IF(OR($D450="",$N450=""),"",IF($E450="LONG",($N450-$I450)*$J450,($I450-$N450)*$J450))</f>
        <v/>
      </c>
      <c r="R450" s="42" t="str">
        <f aca="false">IF(OR($D450="",$Q450="",$K450=0),"",$Q450/$K450)</f>
        <v/>
      </c>
      <c r="S450" s="43" t="str">
        <f aca="false">IF(OR($D450="",$N450=""),"",MIN(INDEX(Config!$C$13:$C$15,$AK450),INDEX(Config!$B$13:$B$15,$AK450)*$K450)+MIN(INDEX(Config!$C$13:$C$15,$AK450),INDEX(Config!$B$13:$B$15,$AK450)*$O450))</f>
        <v/>
      </c>
      <c r="T450" s="43" t="str">
        <f aca="false">IF(OR($D450="",$N450=""),"",INDEX(Config!$D$13:$D$15,$AK450)*$AL450+INDEX(Config!$E$13:$E$15,$AK450)*$AM450)</f>
        <v/>
      </c>
      <c r="U450" s="43" t="str">
        <f aca="false">IF(OR($D450="",$N450=""),"",INDEX(Config!$F$13:$F$15,$AK450)*($K450+$O450))</f>
        <v/>
      </c>
      <c r="V450" s="43" t="str">
        <f aca="false">IF(OR($D450="",$N450=""),"",INDEX(Config!$G$13:$G$15,$AK450)*($K450+$O450)+INDEX(Config!$H$13:$H$15,$AK450)*$AL450+INDEX(Config!$J$13:$J$15,$AK450))</f>
        <v/>
      </c>
      <c r="W450" s="43" t="str">
        <f aca="false">IF(OR($D450="",$N450=""),"",INDEX(Config!$I$13:$I$15,$AK450)*($S450+$U450+INDEX(Config!$G$13:$G$15,$AK450)*($K450+$O450)))</f>
        <v/>
      </c>
      <c r="X450" s="43" t="str">
        <f aca="false">IF(OR($D450="",$N450=""),"",INDEX(Config!$K$13:$K$15,$AK450)/365*$P450*$K450*Config!$B$8)</f>
        <v/>
      </c>
      <c r="Y450" s="43" t="str">
        <f aca="false">IF(OR($D450="",$N450=""),"",SUM($S450:$X450))</f>
        <v/>
      </c>
      <c r="Z450" s="40" t="str">
        <f aca="false">IF(OR($D450="",$Q450=""),"",$Q450-$Y450)</f>
        <v/>
      </c>
      <c r="AA450" s="42" t="str">
        <f aca="false">IF(OR($D450="",$Z450="",$K450=0),"",$Z450/$K450)</f>
        <v/>
      </c>
      <c r="AB450" s="44" t="str">
        <f aca="false">IF(OR($D450="",$Y450="",$K450=0),"",$Y450/$K450*10000)</f>
        <v/>
      </c>
      <c r="AC450" s="44" t="str">
        <f aca="false">IF(OR($D450="",$G450="",$G450=0,$I450=""),"",IF($E450="LONG",($I450-$G450)/$G450,($G450-$I450)/$G450)*10000)</f>
        <v/>
      </c>
      <c r="AD450" s="45"/>
      <c r="AE450" s="40" t="str">
        <f aca="false">IF(OR($D450="",$N450&lt;&gt;"",$AD450=""),"",IF($E450="LONG",($AD450-$I450)*$J450,($I450-$AD450)*$J450))</f>
        <v/>
      </c>
      <c r="AF450" s="40" t="str">
        <f aca="false">IF(OR($D450="",$E450&lt;&gt;"LONG",$Z450=""),"",$Z450+SUMIFS($Z$4:$Z$503,$B$4:$B$503,$B450,$E$4:$E$503,"SHORT"))</f>
        <v/>
      </c>
      <c r="AG450" s="42" t="str">
        <f aca="false">IF(OR($AF450="",$K450=0),"",$AF450/$K450)</f>
        <v/>
      </c>
      <c r="AH450" s="46"/>
      <c r="AI450" s="43" t="str">
        <f aca="false">IF(OR($D450="",$AH450="",$Z450=""),"",$Z450-$AH450)</f>
        <v/>
      </c>
      <c r="AJ450" s="49"/>
      <c r="AK450" s="47" t="str">
        <f aca="false">IF($D450="","",IFERROR(MATCH($F450,Config!$A$13:$A$15,0),1))</f>
        <v/>
      </c>
      <c r="AL450" s="47" t="str">
        <f aca="false">IF(OR($D450="",$N450=""),"",IF($E450="LONG",$K450,$O450))</f>
        <v/>
      </c>
      <c r="AM450" s="47" t="str">
        <f aca="false">IF(OR($D450="",$N450=""),"",IF($E450="LONG",$O450,$K450))</f>
        <v/>
      </c>
    </row>
    <row r="451" customFormat="false" ht="15" hidden="false" customHeight="false" outlineLevel="0" collapsed="false">
      <c r="A451" s="49"/>
      <c r="B451" s="5" t="str">
        <f aca="false">IF($D451="","",IF(OR(RIGHT($A451,2)="-L",RIGHT($A451,2)="-S"),LEFT($A451,LEN($A451)-2),$A451))</f>
        <v/>
      </c>
      <c r="C451" s="50"/>
      <c r="D451" s="49"/>
      <c r="E451" s="49"/>
      <c r="F451" s="49"/>
      <c r="G451" s="45"/>
      <c r="H451" s="50"/>
      <c r="I451" s="45"/>
      <c r="J451" s="51"/>
      <c r="K451" s="40" t="str">
        <f aca="false">IF($D451="","",$I451*$J451)</f>
        <v/>
      </c>
      <c r="L451" s="50"/>
      <c r="M451" s="49"/>
      <c r="N451" s="45"/>
      <c r="O451" s="40" t="str">
        <f aca="false">IF(OR($D451="",$N451=""),"",$N451*$J451)</f>
        <v/>
      </c>
      <c r="P451" s="41" t="str">
        <f aca="false">IF(OR($D451="",$L451=""),"",MAX($L451-$H451,0))</f>
        <v/>
      </c>
      <c r="Q451" s="40" t="str">
        <f aca="false">IF(OR($D451="",$N451=""),"",IF($E451="LONG",($N451-$I451)*$J451,($I451-$N451)*$J451))</f>
        <v/>
      </c>
      <c r="R451" s="42" t="str">
        <f aca="false">IF(OR($D451="",$Q451="",$K451=0),"",$Q451/$K451)</f>
        <v/>
      </c>
      <c r="S451" s="43" t="str">
        <f aca="false">IF(OR($D451="",$N451=""),"",MIN(INDEX(Config!$C$13:$C$15,$AK451),INDEX(Config!$B$13:$B$15,$AK451)*$K451)+MIN(INDEX(Config!$C$13:$C$15,$AK451),INDEX(Config!$B$13:$B$15,$AK451)*$O451))</f>
        <v/>
      </c>
      <c r="T451" s="43" t="str">
        <f aca="false">IF(OR($D451="",$N451=""),"",INDEX(Config!$D$13:$D$15,$AK451)*$AL451+INDEX(Config!$E$13:$E$15,$AK451)*$AM451)</f>
        <v/>
      </c>
      <c r="U451" s="43" t="str">
        <f aca="false">IF(OR($D451="",$N451=""),"",INDEX(Config!$F$13:$F$15,$AK451)*($K451+$O451))</f>
        <v/>
      </c>
      <c r="V451" s="43" t="str">
        <f aca="false">IF(OR($D451="",$N451=""),"",INDEX(Config!$G$13:$G$15,$AK451)*($K451+$O451)+INDEX(Config!$H$13:$H$15,$AK451)*$AL451+INDEX(Config!$J$13:$J$15,$AK451))</f>
        <v/>
      </c>
      <c r="W451" s="43" t="str">
        <f aca="false">IF(OR($D451="",$N451=""),"",INDEX(Config!$I$13:$I$15,$AK451)*($S451+$U451+INDEX(Config!$G$13:$G$15,$AK451)*($K451+$O451)))</f>
        <v/>
      </c>
      <c r="X451" s="43" t="str">
        <f aca="false">IF(OR($D451="",$N451=""),"",INDEX(Config!$K$13:$K$15,$AK451)/365*$P451*$K451*Config!$B$8)</f>
        <v/>
      </c>
      <c r="Y451" s="43" t="str">
        <f aca="false">IF(OR($D451="",$N451=""),"",SUM($S451:$X451))</f>
        <v/>
      </c>
      <c r="Z451" s="40" t="str">
        <f aca="false">IF(OR($D451="",$Q451=""),"",$Q451-$Y451)</f>
        <v/>
      </c>
      <c r="AA451" s="42" t="str">
        <f aca="false">IF(OR($D451="",$Z451="",$K451=0),"",$Z451/$K451)</f>
        <v/>
      </c>
      <c r="AB451" s="44" t="str">
        <f aca="false">IF(OR($D451="",$Y451="",$K451=0),"",$Y451/$K451*10000)</f>
        <v/>
      </c>
      <c r="AC451" s="44" t="str">
        <f aca="false">IF(OR($D451="",$G451="",$G451=0,$I451=""),"",IF($E451="LONG",($I451-$G451)/$G451,($G451-$I451)/$G451)*10000)</f>
        <v/>
      </c>
      <c r="AD451" s="45"/>
      <c r="AE451" s="40" t="str">
        <f aca="false">IF(OR($D451="",$N451&lt;&gt;"",$AD451=""),"",IF($E451="LONG",($AD451-$I451)*$J451,($I451-$AD451)*$J451))</f>
        <v/>
      </c>
      <c r="AF451" s="40" t="str">
        <f aca="false">IF(OR($D451="",$E451&lt;&gt;"LONG",$Z451=""),"",$Z451+SUMIFS($Z$4:$Z$503,$B$4:$B$503,$B451,$E$4:$E$503,"SHORT"))</f>
        <v/>
      </c>
      <c r="AG451" s="42" t="str">
        <f aca="false">IF(OR($AF451="",$K451=0),"",$AF451/$K451)</f>
        <v/>
      </c>
      <c r="AH451" s="46"/>
      <c r="AI451" s="43" t="str">
        <f aca="false">IF(OR($D451="",$AH451="",$Z451=""),"",$Z451-$AH451)</f>
        <v/>
      </c>
      <c r="AJ451" s="49"/>
      <c r="AK451" s="47" t="str">
        <f aca="false">IF($D451="","",IFERROR(MATCH($F451,Config!$A$13:$A$15,0),1))</f>
        <v/>
      </c>
      <c r="AL451" s="47" t="str">
        <f aca="false">IF(OR($D451="",$N451=""),"",IF($E451="LONG",$K451,$O451))</f>
        <v/>
      </c>
      <c r="AM451" s="47" t="str">
        <f aca="false">IF(OR($D451="",$N451=""),"",IF($E451="LONG",$O451,$K451))</f>
        <v/>
      </c>
    </row>
    <row r="452" customFormat="false" ht="15" hidden="false" customHeight="false" outlineLevel="0" collapsed="false">
      <c r="A452" s="49"/>
      <c r="B452" s="5" t="str">
        <f aca="false">IF($D452="","",IF(OR(RIGHT($A452,2)="-L",RIGHT($A452,2)="-S"),LEFT($A452,LEN($A452)-2),$A452))</f>
        <v/>
      </c>
      <c r="C452" s="50"/>
      <c r="D452" s="49"/>
      <c r="E452" s="49"/>
      <c r="F452" s="49"/>
      <c r="G452" s="45"/>
      <c r="H452" s="50"/>
      <c r="I452" s="45"/>
      <c r="J452" s="51"/>
      <c r="K452" s="40" t="str">
        <f aca="false">IF($D452="","",$I452*$J452)</f>
        <v/>
      </c>
      <c r="L452" s="50"/>
      <c r="M452" s="49"/>
      <c r="N452" s="45"/>
      <c r="O452" s="40" t="str">
        <f aca="false">IF(OR($D452="",$N452=""),"",$N452*$J452)</f>
        <v/>
      </c>
      <c r="P452" s="41" t="str">
        <f aca="false">IF(OR($D452="",$L452=""),"",MAX($L452-$H452,0))</f>
        <v/>
      </c>
      <c r="Q452" s="40" t="str">
        <f aca="false">IF(OR($D452="",$N452=""),"",IF($E452="LONG",($N452-$I452)*$J452,($I452-$N452)*$J452))</f>
        <v/>
      </c>
      <c r="R452" s="42" t="str">
        <f aca="false">IF(OR($D452="",$Q452="",$K452=0),"",$Q452/$K452)</f>
        <v/>
      </c>
      <c r="S452" s="43" t="str">
        <f aca="false">IF(OR($D452="",$N452=""),"",MIN(INDEX(Config!$C$13:$C$15,$AK452),INDEX(Config!$B$13:$B$15,$AK452)*$K452)+MIN(INDEX(Config!$C$13:$C$15,$AK452),INDEX(Config!$B$13:$B$15,$AK452)*$O452))</f>
        <v/>
      </c>
      <c r="T452" s="43" t="str">
        <f aca="false">IF(OR($D452="",$N452=""),"",INDEX(Config!$D$13:$D$15,$AK452)*$AL452+INDEX(Config!$E$13:$E$15,$AK452)*$AM452)</f>
        <v/>
      </c>
      <c r="U452" s="43" t="str">
        <f aca="false">IF(OR($D452="",$N452=""),"",INDEX(Config!$F$13:$F$15,$AK452)*($K452+$O452))</f>
        <v/>
      </c>
      <c r="V452" s="43" t="str">
        <f aca="false">IF(OR($D452="",$N452=""),"",INDEX(Config!$G$13:$G$15,$AK452)*($K452+$O452)+INDEX(Config!$H$13:$H$15,$AK452)*$AL452+INDEX(Config!$J$13:$J$15,$AK452))</f>
        <v/>
      </c>
      <c r="W452" s="43" t="str">
        <f aca="false">IF(OR($D452="",$N452=""),"",INDEX(Config!$I$13:$I$15,$AK452)*($S452+$U452+INDEX(Config!$G$13:$G$15,$AK452)*($K452+$O452)))</f>
        <v/>
      </c>
      <c r="X452" s="43" t="str">
        <f aca="false">IF(OR($D452="",$N452=""),"",INDEX(Config!$K$13:$K$15,$AK452)/365*$P452*$K452*Config!$B$8)</f>
        <v/>
      </c>
      <c r="Y452" s="43" t="str">
        <f aca="false">IF(OR($D452="",$N452=""),"",SUM($S452:$X452))</f>
        <v/>
      </c>
      <c r="Z452" s="40" t="str">
        <f aca="false">IF(OR($D452="",$Q452=""),"",$Q452-$Y452)</f>
        <v/>
      </c>
      <c r="AA452" s="42" t="str">
        <f aca="false">IF(OR($D452="",$Z452="",$K452=0),"",$Z452/$K452)</f>
        <v/>
      </c>
      <c r="AB452" s="44" t="str">
        <f aca="false">IF(OR($D452="",$Y452="",$K452=0),"",$Y452/$K452*10000)</f>
        <v/>
      </c>
      <c r="AC452" s="44" t="str">
        <f aca="false">IF(OR($D452="",$G452="",$G452=0,$I452=""),"",IF($E452="LONG",($I452-$G452)/$G452,($G452-$I452)/$G452)*10000)</f>
        <v/>
      </c>
      <c r="AD452" s="45"/>
      <c r="AE452" s="40" t="str">
        <f aca="false">IF(OR($D452="",$N452&lt;&gt;"",$AD452=""),"",IF($E452="LONG",($AD452-$I452)*$J452,($I452-$AD452)*$J452))</f>
        <v/>
      </c>
      <c r="AF452" s="40" t="str">
        <f aca="false">IF(OR($D452="",$E452&lt;&gt;"LONG",$Z452=""),"",$Z452+SUMIFS($Z$4:$Z$503,$B$4:$B$503,$B452,$E$4:$E$503,"SHORT"))</f>
        <v/>
      </c>
      <c r="AG452" s="42" t="str">
        <f aca="false">IF(OR($AF452="",$K452=0),"",$AF452/$K452)</f>
        <v/>
      </c>
      <c r="AH452" s="46"/>
      <c r="AI452" s="43" t="str">
        <f aca="false">IF(OR($D452="",$AH452="",$Z452=""),"",$Z452-$AH452)</f>
        <v/>
      </c>
      <c r="AJ452" s="49"/>
      <c r="AK452" s="47" t="str">
        <f aca="false">IF($D452="","",IFERROR(MATCH($F452,Config!$A$13:$A$15,0),1))</f>
        <v/>
      </c>
      <c r="AL452" s="47" t="str">
        <f aca="false">IF(OR($D452="",$N452=""),"",IF($E452="LONG",$K452,$O452))</f>
        <v/>
      </c>
      <c r="AM452" s="47" t="str">
        <f aca="false">IF(OR($D452="",$N452=""),"",IF($E452="LONG",$O452,$K452))</f>
        <v/>
      </c>
    </row>
    <row r="453" customFormat="false" ht="15" hidden="false" customHeight="false" outlineLevel="0" collapsed="false">
      <c r="A453" s="49"/>
      <c r="B453" s="5" t="str">
        <f aca="false">IF($D453="","",IF(OR(RIGHT($A453,2)="-L",RIGHT($A453,2)="-S"),LEFT($A453,LEN($A453)-2),$A453))</f>
        <v/>
      </c>
      <c r="C453" s="50"/>
      <c r="D453" s="49"/>
      <c r="E453" s="49"/>
      <c r="F453" s="49"/>
      <c r="G453" s="45"/>
      <c r="H453" s="50"/>
      <c r="I453" s="45"/>
      <c r="J453" s="51"/>
      <c r="K453" s="40" t="str">
        <f aca="false">IF($D453="","",$I453*$J453)</f>
        <v/>
      </c>
      <c r="L453" s="50"/>
      <c r="M453" s="49"/>
      <c r="N453" s="45"/>
      <c r="O453" s="40" t="str">
        <f aca="false">IF(OR($D453="",$N453=""),"",$N453*$J453)</f>
        <v/>
      </c>
      <c r="P453" s="41" t="str">
        <f aca="false">IF(OR($D453="",$L453=""),"",MAX($L453-$H453,0))</f>
        <v/>
      </c>
      <c r="Q453" s="40" t="str">
        <f aca="false">IF(OR($D453="",$N453=""),"",IF($E453="LONG",($N453-$I453)*$J453,($I453-$N453)*$J453))</f>
        <v/>
      </c>
      <c r="R453" s="42" t="str">
        <f aca="false">IF(OR($D453="",$Q453="",$K453=0),"",$Q453/$K453)</f>
        <v/>
      </c>
      <c r="S453" s="43" t="str">
        <f aca="false">IF(OR($D453="",$N453=""),"",MIN(INDEX(Config!$C$13:$C$15,$AK453),INDEX(Config!$B$13:$B$15,$AK453)*$K453)+MIN(INDEX(Config!$C$13:$C$15,$AK453),INDEX(Config!$B$13:$B$15,$AK453)*$O453))</f>
        <v/>
      </c>
      <c r="T453" s="43" t="str">
        <f aca="false">IF(OR($D453="",$N453=""),"",INDEX(Config!$D$13:$D$15,$AK453)*$AL453+INDEX(Config!$E$13:$E$15,$AK453)*$AM453)</f>
        <v/>
      </c>
      <c r="U453" s="43" t="str">
        <f aca="false">IF(OR($D453="",$N453=""),"",INDEX(Config!$F$13:$F$15,$AK453)*($K453+$O453))</f>
        <v/>
      </c>
      <c r="V453" s="43" t="str">
        <f aca="false">IF(OR($D453="",$N453=""),"",INDEX(Config!$G$13:$G$15,$AK453)*($K453+$O453)+INDEX(Config!$H$13:$H$15,$AK453)*$AL453+INDEX(Config!$J$13:$J$15,$AK453))</f>
        <v/>
      </c>
      <c r="W453" s="43" t="str">
        <f aca="false">IF(OR($D453="",$N453=""),"",INDEX(Config!$I$13:$I$15,$AK453)*($S453+$U453+INDEX(Config!$G$13:$G$15,$AK453)*($K453+$O453)))</f>
        <v/>
      </c>
      <c r="X453" s="43" t="str">
        <f aca="false">IF(OR($D453="",$N453=""),"",INDEX(Config!$K$13:$K$15,$AK453)/365*$P453*$K453*Config!$B$8)</f>
        <v/>
      </c>
      <c r="Y453" s="43" t="str">
        <f aca="false">IF(OR($D453="",$N453=""),"",SUM($S453:$X453))</f>
        <v/>
      </c>
      <c r="Z453" s="40" t="str">
        <f aca="false">IF(OR($D453="",$Q453=""),"",$Q453-$Y453)</f>
        <v/>
      </c>
      <c r="AA453" s="42" t="str">
        <f aca="false">IF(OR($D453="",$Z453="",$K453=0),"",$Z453/$K453)</f>
        <v/>
      </c>
      <c r="AB453" s="44" t="str">
        <f aca="false">IF(OR($D453="",$Y453="",$K453=0),"",$Y453/$K453*10000)</f>
        <v/>
      </c>
      <c r="AC453" s="44" t="str">
        <f aca="false">IF(OR($D453="",$G453="",$G453=0,$I453=""),"",IF($E453="LONG",($I453-$G453)/$G453,($G453-$I453)/$G453)*10000)</f>
        <v/>
      </c>
      <c r="AD453" s="45"/>
      <c r="AE453" s="40" t="str">
        <f aca="false">IF(OR($D453="",$N453&lt;&gt;"",$AD453=""),"",IF($E453="LONG",($AD453-$I453)*$J453,($I453-$AD453)*$J453))</f>
        <v/>
      </c>
      <c r="AF453" s="40" t="str">
        <f aca="false">IF(OR($D453="",$E453&lt;&gt;"LONG",$Z453=""),"",$Z453+SUMIFS($Z$4:$Z$503,$B$4:$B$503,$B453,$E$4:$E$503,"SHORT"))</f>
        <v/>
      </c>
      <c r="AG453" s="42" t="str">
        <f aca="false">IF(OR($AF453="",$K453=0),"",$AF453/$K453)</f>
        <v/>
      </c>
      <c r="AH453" s="46"/>
      <c r="AI453" s="43" t="str">
        <f aca="false">IF(OR($D453="",$AH453="",$Z453=""),"",$Z453-$AH453)</f>
        <v/>
      </c>
      <c r="AJ453" s="49"/>
      <c r="AK453" s="47" t="str">
        <f aca="false">IF($D453="","",IFERROR(MATCH($F453,Config!$A$13:$A$15,0),1))</f>
        <v/>
      </c>
      <c r="AL453" s="47" t="str">
        <f aca="false">IF(OR($D453="",$N453=""),"",IF($E453="LONG",$K453,$O453))</f>
        <v/>
      </c>
      <c r="AM453" s="47" t="str">
        <f aca="false">IF(OR($D453="",$N453=""),"",IF($E453="LONG",$O453,$K453))</f>
        <v/>
      </c>
    </row>
    <row r="454" customFormat="false" ht="15" hidden="false" customHeight="false" outlineLevel="0" collapsed="false">
      <c r="A454" s="49"/>
      <c r="B454" s="5" t="str">
        <f aca="false">IF($D454="","",IF(OR(RIGHT($A454,2)="-L",RIGHT($A454,2)="-S"),LEFT($A454,LEN($A454)-2),$A454))</f>
        <v/>
      </c>
      <c r="C454" s="50"/>
      <c r="D454" s="49"/>
      <c r="E454" s="49"/>
      <c r="F454" s="49"/>
      <c r="G454" s="45"/>
      <c r="H454" s="50"/>
      <c r="I454" s="45"/>
      <c r="J454" s="51"/>
      <c r="K454" s="40" t="str">
        <f aca="false">IF($D454="","",$I454*$J454)</f>
        <v/>
      </c>
      <c r="L454" s="50"/>
      <c r="M454" s="49"/>
      <c r="N454" s="45"/>
      <c r="O454" s="40" t="str">
        <f aca="false">IF(OR($D454="",$N454=""),"",$N454*$J454)</f>
        <v/>
      </c>
      <c r="P454" s="41" t="str">
        <f aca="false">IF(OR($D454="",$L454=""),"",MAX($L454-$H454,0))</f>
        <v/>
      </c>
      <c r="Q454" s="40" t="str">
        <f aca="false">IF(OR($D454="",$N454=""),"",IF($E454="LONG",($N454-$I454)*$J454,($I454-$N454)*$J454))</f>
        <v/>
      </c>
      <c r="R454" s="42" t="str">
        <f aca="false">IF(OR($D454="",$Q454="",$K454=0),"",$Q454/$K454)</f>
        <v/>
      </c>
      <c r="S454" s="43" t="str">
        <f aca="false">IF(OR($D454="",$N454=""),"",MIN(INDEX(Config!$C$13:$C$15,$AK454),INDEX(Config!$B$13:$B$15,$AK454)*$K454)+MIN(INDEX(Config!$C$13:$C$15,$AK454),INDEX(Config!$B$13:$B$15,$AK454)*$O454))</f>
        <v/>
      </c>
      <c r="T454" s="43" t="str">
        <f aca="false">IF(OR($D454="",$N454=""),"",INDEX(Config!$D$13:$D$15,$AK454)*$AL454+INDEX(Config!$E$13:$E$15,$AK454)*$AM454)</f>
        <v/>
      </c>
      <c r="U454" s="43" t="str">
        <f aca="false">IF(OR($D454="",$N454=""),"",INDEX(Config!$F$13:$F$15,$AK454)*($K454+$O454))</f>
        <v/>
      </c>
      <c r="V454" s="43" t="str">
        <f aca="false">IF(OR($D454="",$N454=""),"",INDEX(Config!$G$13:$G$15,$AK454)*($K454+$O454)+INDEX(Config!$H$13:$H$15,$AK454)*$AL454+INDEX(Config!$J$13:$J$15,$AK454))</f>
        <v/>
      </c>
      <c r="W454" s="43" t="str">
        <f aca="false">IF(OR($D454="",$N454=""),"",INDEX(Config!$I$13:$I$15,$AK454)*($S454+$U454+INDEX(Config!$G$13:$G$15,$AK454)*($K454+$O454)))</f>
        <v/>
      </c>
      <c r="X454" s="43" t="str">
        <f aca="false">IF(OR($D454="",$N454=""),"",INDEX(Config!$K$13:$K$15,$AK454)/365*$P454*$K454*Config!$B$8)</f>
        <v/>
      </c>
      <c r="Y454" s="43" t="str">
        <f aca="false">IF(OR($D454="",$N454=""),"",SUM($S454:$X454))</f>
        <v/>
      </c>
      <c r="Z454" s="40" t="str">
        <f aca="false">IF(OR($D454="",$Q454=""),"",$Q454-$Y454)</f>
        <v/>
      </c>
      <c r="AA454" s="42" t="str">
        <f aca="false">IF(OR($D454="",$Z454="",$K454=0),"",$Z454/$K454)</f>
        <v/>
      </c>
      <c r="AB454" s="44" t="str">
        <f aca="false">IF(OR($D454="",$Y454="",$K454=0),"",$Y454/$K454*10000)</f>
        <v/>
      </c>
      <c r="AC454" s="44" t="str">
        <f aca="false">IF(OR($D454="",$G454="",$G454=0,$I454=""),"",IF($E454="LONG",($I454-$G454)/$G454,($G454-$I454)/$G454)*10000)</f>
        <v/>
      </c>
      <c r="AD454" s="45"/>
      <c r="AE454" s="40" t="str">
        <f aca="false">IF(OR($D454="",$N454&lt;&gt;"",$AD454=""),"",IF($E454="LONG",($AD454-$I454)*$J454,($I454-$AD454)*$J454))</f>
        <v/>
      </c>
      <c r="AF454" s="40" t="str">
        <f aca="false">IF(OR($D454="",$E454&lt;&gt;"LONG",$Z454=""),"",$Z454+SUMIFS($Z$4:$Z$503,$B$4:$B$503,$B454,$E$4:$E$503,"SHORT"))</f>
        <v/>
      </c>
      <c r="AG454" s="42" t="str">
        <f aca="false">IF(OR($AF454="",$K454=0),"",$AF454/$K454)</f>
        <v/>
      </c>
      <c r="AH454" s="46"/>
      <c r="AI454" s="43" t="str">
        <f aca="false">IF(OR($D454="",$AH454="",$Z454=""),"",$Z454-$AH454)</f>
        <v/>
      </c>
      <c r="AJ454" s="49"/>
      <c r="AK454" s="47" t="str">
        <f aca="false">IF($D454="","",IFERROR(MATCH($F454,Config!$A$13:$A$15,0),1))</f>
        <v/>
      </c>
      <c r="AL454" s="47" t="str">
        <f aca="false">IF(OR($D454="",$N454=""),"",IF($E454="LONG",$K454,$O454))</f>
        <v/>
      </c>
      <c r="AM454" s="47" t="str">
        <f aca="false">IF(OR($D454="",$N454=""),"",IF($E454="LONG",$O454,$K454))</f>
        <v/>
      </c>
    </row>
    <row r="455" customFormat="false" ht="15" hidden="false" customHeight="false" outlineLevel="0" collapsed="false">
      <c r="A455" s="49"/>
      <c r="B455" s="5" t="str">
        <f aca="false">IF($D455="","",IF(OR(RIGHT($A455,2)="-L",RIGHT($A455,2)="-S"),LEFT($A455,LEN($A455)-2),$A455))</f>
        <v/>
      </c>
      <c r="C455" s="50"/>
      <c r="D455" s="49"/>
      <c r="E455" s="49"/>
      <c r="F455" s="49"/>
      <c r="G455" s="45"/>
      <c r="H455" s="50"/>
      <c r="I455" s="45"/>
      <c r="J455" s="51"/>
      <c r="K455" s="40" t="str">
        <f aca="false">IF($D455="","",$I455*$J455)</f>
        <v/>
      </c>
      <c r="L455" s="50"/>
      <c r="M455" s="49"/>
      <c r="N455" s="45"/>
      <c r="O455" s="40" t="str">
        <f aca="false">IF(OR($D455="",$N455=""),"",$N455*$J455)</f>
        <v/>
      </c>
      <c r="P455" s="41" t="str">
        <f aca="false">IF(OR($D455="",$L455=""),"",MAX($L455-$H455,0))</f>
        <v/>
      </c>
      <c r="Q455" s="40" t="str">
        <f aca="false">IF(OR($D455="",$N455=""),"",IF($E455="LONG",($N455-$I455)*$J455,($I455-$N455)*$J455))</f>
        <v/>
      </c>
      <c r="R455" s="42" t="str">
        <f aca="false">IF(OR($D455="",$Q455="",$K455=0),"",$Q455/$K455)</f>
        <v/>
      </c>
      <c r="S455" s="43" t="str">
        <f aca="false">IF(OR($D455="",$N455=""),"",MIN(INDEX(Config!$C$13:$C$15,$AK455),INDEX(Config!$B$13:$B$15,$AK455)*$K455)+MIN(INDEX(Config!$C$13:$C$15,$AK455),INDEX(Config!$B$13:$B$15,$AK455)*$O455))</f>
        <v/>
      </c>
      <c r="T455" s="43" t="str">
        <f aca="false">IF(OR($D455="",$N455=""),"",INDEX(Config!$D$13:$D$15,$AK455)*$AL455+INDEX(Config!$E$13:$E$15,$AK455)*$AM455)</f>
        <v/>
      </c>
      <c r="U455" s="43" t="str">
        <f aca="false">IF(OR($D455="",$N455=""),"",INDEX(Config!$F$13:$F$15,$AK455)*($K455+$O455))</f>
        <v/>
      </c>
      <c r="V455" s="43" t="str">
        <f aca="false">IF(OR($D455="",$N455=""),"",INDEX(Config!$G$13:$G$15,$AK455)*($K455+$O455)+INDEX(Config!$H$13:$H$15,$AK455)*$AL455+INDEX(Config!$J$13:$J$15,$AK455))</f>
        <v/>
      </c>
      <c r="W455" s="43" t="str">
        <f aca="false">IF(OR($D455="",$N455=""),"",INDEX(Config!$I$13:$I$15,$AK455)*($S455+$U455+INDEX(Config!$G$13:$G$15,$AK455)*($K455+$O455)))</f>
        <v/>
      </c>
      <c r="X455" s="43" t="str">
        <f aca="false">IF(OR($D455="",$N455=""),"",INDEX(Config!$K$13:$K$15,$AK455)/365*$P455*$K455*Config!$B$8)</f>
        <v/>
      </c>
      <c r="Y455" s="43" t="str">
        <f aca="false">IF(OR($D455="",$N455=""),"",SUM($S455:$X455))</f>
        <v/>
      </c>
      <c r="Z455" s="40" t="str">
        <f aca="false">IF(OR($D455="",$Q455=""),"",$Q455-$Y455)</f>
        <v/>
      </c>
      <c r="AA455" s="42" t="str">
        <f aca="false">IF(OR($D455="",$Z455="",$K455=0),"",$Z455/$K455)</f>
        <v/>
      </c>
      <c r="AB455" s="44" t="str">
        <f aca="false">IF(OR($D455="",$Y455="",$K455=0),"",$Y455/$K455*10000)</f>
        <v/>
      </c>
      <c r="AC455" s="44" t="str">
        <f aca="false">IF(OR($D455="",$G455="",$G455=0,$I455=""),"",IF($E455="LONG",($I455-$G455)/$G455,($G455-$I455)/$G455)*10000)</f>
        <v/>
      </c>
      <c r="AD455" s="45"/>
      <c r="AE455" s="40" t="str">
        <f aca="false">IF(OR($D455="",$N455&lt;&gt;"",$AD455=""),"",IF($E455="LONG",($AD455-$I455)*$J455,($I455-$AD455)*$J455))</f>
        <v/>
      </c>
      <c r="AF455" s="40" t="str">
        <f aca="false">IF(OR($D455="",$E455&lt;&gt;"LONG",$Z455=""),"",$Z455+SUMIFS($Z$4:$Z$503,$B$4:$B$503,$B455,$E$4:$E$503,"SHORT"))</f>
        <v/>
      </c>
      <c r="AG455" s="42" t="str">
        <f aca="false">IF(OR($AF455="",$K455=0),"",$AF455/$K455)</f>
        <v/>
      </c>
      <c r="AH455" s="46"/>
      <c r="AI455" s="43" t="str">
        <f aca="false">IF(OR($D455="",$AH455="",$Z455=""),"",$Z455-$AH455)</f>
        <v/>
      </c>
      <c r="AJ455" s="49"/>
      <c r="AK455" s="47" t="str">
        <f aca="false">IF($D455="","",IFERROR(MATCH($F455,Config!$A$13:$A$15,0),1))</f>
        <v/>
      </c>
      <c r="AL455" s="47" t="str">
        <f aca="false">IF(OR($D455="",$N455=""),"",IF($E455="LONG",$K455,$O455))</f>
        <v/>
      </c>
      <c r="AM455" s="47" t="str">
        <f aca="false">IF(OR($D455="",$N455=""),"",IF($E455="LONG",$O455,$K455))</f>
        <v/>
      </c>
    </row>
    <row r="456" customFormat="false" ht="15" hidden="false" customHeight="false" outlineLevel="0" collapsed="false">
      <c r="A456" s="49"/>
      <c r="B456" s="5" t="str">
        <f aca="false">IF($D456="","",IF(OR(RIGHT($A456,2)="-L",RIGHT($A456,2)="-S"),LEFT($A456,LEN($A456)-2),$A456))</f>
        <v/>
      </c>
      <c r="C456" s="50"/>
      <c r="D456" s="49"/>
      <c r="E456" s="49"/>
      <c r="F456" s="49"/>
      <c r="G456" s="45"/>
      <c r="H456" s="50"/>
      <c r="I456" s="45"/>
      <c r="J456" s="51"/>
      <c r="K456" s="40" t="str">
        <f aca="false">IF($D456="","",$I456*$J456)</f>
        <v/>
      </c>
      <c r="L456" s="50"/>
      <c r="M456" s="49"/>
      <c r="N456" s="45"/>
      <c r="O456" s="40" t="str">
        <f aca="false">IF(OR($D456="",$N456=""),"",$N456*$J456)</f>
        <v/>
      </c>
      <c r="P456" s="41" t="str">
        <f aca="false">IF(OR($D456="",$L456=""),"",MAX($L456-$H456,0))</f>
        <v/>
      </c>
      <c r="Q456" s="40" t="str">
        <f aca="false">IF(OR($D456="",$N456=""),"",IF($E456="LONG",($N456-$I456)*$J456,($I456-$N456)*$J456))</f>
        <v/>
      </c>
      <c r="R456" s="42" t="str">
        <f aca="false">IF(OR($D456="",$Q456="",$K456=0),"",$Q456/$K456)</f>
        <v/>
      </c>
      <c r="S456" s="43" t="str">
        <f aca="false">IF(OR($D456="",$N456=""),"",MIN(INDEX(Config!$C$13:$C$15,$AK456),INDEX(Config!$B$13:$B$15,$AK456)*$K456)+MIN(INDEX(Config!$C$13:$C$15,$AK456),INDEX(Config!$B$13:$B$15,$AK456)*$O456))</f>
        <v/>
      </c>
      <c r="T456" s="43" t="str">
        <f aca="false">IF(OR($D456="",$N456=""),"",INDEX(Config!$D$13:$D$15,$AK456)*$AL456+INDEX(Config!$E$13:$E$15,$AK456)*$AM456)</f>
        <v/>
      </c>
      <c r="U456" s="43" t="str">
        <f aca="false">IF(OR($D456="",$N456=""),"",INDEX(Config!$F$13:$F$15,$AK456)*($K456+$O456))</f>
        <v/>
      </c>
      <c r="V456" s="43" t="str">
        <f aca="false">IF(OR($D456="",$N456=""),"",INDEX(Config!$G$13:$G$15,$AK456)*($K456+$O456)+INDEX(Config!$H$13:$H$15,$AK456)*$AL456+INDEX(Config!$J$13:$J$15,$AK456))</f>
        <v/>
      </c>
      <c r="W456" s="43" t="str">
        <f aca="false">IF(OR($D456="",$N456=""),"",INDEX(Config!$I$13:$I$15,$AK456)*($S456+$U456+INDEX(Config!$G$13:$G$15,$AK456)*($K456+$O456)))</f>
        <v/>
      </c>
      <c r="X456" s="43" t="str">
        <f aca="false">IF(OR($D456="",$N456=""),"",INDEX(Config!$K$13:$K$15,$AK456)/365*$P456*$K456*Config!$B$8)</f>
        <v/>
      </c>
      <c r="Y456" s="43" t="str">
        <f aca="false">IF(OR($D456="",$N456=""),"",SUM($S456:$X456))</f>
        <v/>
      </c>
      <c r="Z456" s="40" t="str">
        <f aca="false">IF(OR($D456="",$Q456=""),"",$Q456-$Y456)</f>
        <v/>
      </c>
      <c r="AA456" s="42" t="str">
        <f aca="false">IF(OR($D456="",$Z456="",$K456=0),"",$Z456/$K456)</f>
        <v/>
      </c>
      <c r="AB456" s="44" t="str">
        <f aca="false">IF(OR($D456="",$Y456="",$K456=0),"",$Y456/$K456*10000)</f>
        <v/>
      </c>
      <c r="AC456" s="44" t="str">
        <f aca="false">IF(OR($D456="",$G456="",$G456=0,$I456=""),"",IF($E456="LONG",($I456-$G456)/$G456,($G456-$I456)/$G456)*10000)</f>
        <v/>
      </c>
      <c r="AD456" s="45"/>
      <c r="AE456" s="40" t="str">
        <f aca="false">IF(OR($D456="",$N456&lt;&gt;"",$AD456=""),"",IF($E456="LONG",($AD456-$I456)*$J456,($I456-$AD456)*$J456))</f>
        <v/>
      </c>
      <c r="AF456" s="40" t="str">
        <f aca="false">IF(OR($D456="",$E456&lt;&gt;"LONG",$Z456=""),"",$Z456+SUMIFS($Z$4:$Z$503,$B$4:$B$503,$B456,$E$4:$E$503,"SHORT"))</f>
        <v/>
      </c>
      <c r="AG456" s="42" t="str">
        <f aca="false">IF(OR($AF456="",$K456=0),"",$AF456/$K456)</f>
        <v/>
      </c>
      <c r="AH456" s="46"/>
      <c r="AI456" s="43" t="str">
        <f aca="false">IF(OR($D456="",$AH456="",$Z456=""),"",$Z456-$AH456)</f>
        <v/>
      </c>
      <c r="AJ456" s="49"/>
      <c r="AK456" s="47" t="str">
        <f aca="false">IF($D456="","",IFERROR(MATCH($F456,Config!$A$13:$A$15,0),1))</f>
        <v/>
      </c>
      <c r="AL456" s="47" t="str">
        <f aca="false">IF(OR($D456="",$N456=""),"",IF($E456="LONG",$K456,$O456))</f>
        <v/>
      </c>
      <c r="AM456" s="47" t="str">
        <f aca="false">IF(OR($D456="",$N456=""),"",IF($E456="LONG",$O456,$K456))</f>
        <v/>
      </c>
    </row>
    <row r="457" customFormat="false" ht="15" hidden="false" customHeight="false" outlineLevel="0" collapsed="false">
      <c r="A457" s="49"/>
      <c r="B457" s="5" t="str">
        <f aca="false">IF($D457="","",IF(OR(RIGHT($A457,2)="-L",RIGHT($A457,2)="-S"),LEFT($A457,LEN($A457)-2),$A457))</f>
        <v/>
      </c>
      <c r="C457" s="50"/>
      <c r="D457" s="49"/>
      <c r="E457" s="49"/>
      <c r="F457" s="49"/>
      <c r="G457" s="45"/>
      <c r="H457" s="50"/>
      <c r="I457" s="45"/>
      <c r="J457" s="51"/>
      <c r="K457" s="40" t="str">
        <f aca="false">IF($D457="","",$I457*$J457)</f>
        <v/>
      </c>
      <c r="L457" s="50"/>
      <c r="M457" s="49"/>
      <c r="N457" s="45"/>
      <c r="O457" s="40" t="str">
        <f aca="false">IF(OR($D457="",$N457=""),"",$N457*$J457)</f>
        <v/>
      </c>
      <c r="P457" s="41" t="str">
        <f aca="false">IF(OR($D457="",$L457=""),"",MAX($L457-$H457,0))</f>
        <v/>
      </c>
      <c r="Q457" s="40" t="str">
        <f aca="false">IF(OR($D457="",$N457=""),"",IF($E457="LONG",($N457-$I457)*$J457,($I457-$N457)*$J457))</f>
        <v/>
      </c>
      <c r="R457" s="42" t="str">
        <f aca="false">IF(OR($D457="",$Q457="",$K457=0),"",$Q457/$K457)</f>
        <v/>
      </c>
      <c r="S457" s="43" t="str">
        <f aca="false">IF(OR($D457="",$N457=""),"",MIN(INDEX(Config!$C$13:$C$15,$AK457),INDEX(Config!$B$13:$B$15,$AK457)*$K457)+MIN(INDEX(Config!$C$13:$C$15,$AK457),INDEX(Config!$B$13:$B$15,$AK457)*$O457))</f>
        <v/>
      </c>
      <c r="T457" s="43" t="str">
        <f aca="false">IF(OR($D457="",$N457=""),"",INDEX(Config!$D$13:$D$15,$AK457)*$AL457+INDEX(Config!$E$13:$E$15,$AK457)*$AM457)</f>
        <v/>
      </c>
      <c r="U457" s="43" t="str">
        <f aca="false">IF(OR($D457="",$N457=""),"",INDEX(Config!$F$13:$F$15,$AK457)*($K457+$O457))</f>
        <v/>
      </c>
      <c r="V457" s="43" t="str">
        <f aca="false">IF(OR($D457="",$N457=""),"",INDEX(Config!$G$13:$G$15,$AK457)*($K457+$O457)+INDEX(Config!$H$13:$H$15,$AK457)*$AL457+INDEX(Config!$J$13:$J$15,$AK457))</f>
        <v/>
      </c>
      <c r="W457" s="43" t="str">
        <f aca="false">IF(OR($D457="",$N457=""),"",INDEX(Config!$I$13:$I$15,$AK457)*($S457+$U457+INDEX(Config!$G$13:$G$15,$AK457)*($K457+$O457)))</f>
        <v/>
      </c>
      <c r="X457" s="43" t="str">
        <f aca="false">IF(OR($D457="",$N457=""),"",INDEX(Config!$K$13:$K$15,$AK457)/365*$P457*$K457*Config!$B$8)</f>
        <v/>
      </c>
      <c r="Y457" s="43" t="str">
        <f aca="false">IF(OR($D457="",$N457=""),"",SUM($S457:$X457))</f>
        <v/>
      </c>
      <c r="Z457" s="40" t="str">
        <f aca="false">IF(OR($D457="",$Q457=""),"",$Q457-$Y457)</f>
        <v/>
      </c>
      <c r="AA457" s="42" t="str">
        <f aca="false">IF(OR($D457="",$Z457="",$K457=0),"",$Z457/$K457)</f>
        <v/>
      </c>
      <c r="AB457" s="44" t="str">
        <f aca="false">IF(OR($D457="",$Y457="",$K457=0),"",$Y457/$K457*10000)</f>
        <v/>
      </c>
      <c r="AC457" s="44" t="str">
        <f aca="false">IF(OR($D457="",$G457="",$G457=0,$I457=""),"",IF($E457="LONG",($I457-$G457)/$G457,($G457-$I457)/$G457)*10000)</f>
        <v/>
      </c>
      <c r="AD457" s="45"/>
      <c r="AE457" s="40" t="str">
        <f aca="false">IF(OR($D457="",$N457&lt;&gt;"",$AD457=""),"",IF($E457="LONG",($AD457-$I457)*$J457,($I457-$AD457)*$J457))</f>
        <v/>
      </c>
      <c r="AF457" s="40" t="str">
        <f aca="false">IF(OR($D457="",$E457&lt;&gt;"LONG",$Z457=""),"",$Z457+SUMIFS($Z$4:$Z$503,$B$4:$B$503,$B457,$E$4:$E$503,"SHORT"))</f>
        <v/>
      </c>
      <c r="AG457" s="42" t="str">
        <f aca="false">IF(OR($AF457="",$K457=0),"",$AF457/$K457)</f>
        <v/>
      </c>
      <c r="AH457" s="46"/>
      <c r="AI457" s="43" t="str">
        <f aca="false">IF(OR($D457="",$AH457="",$Z457=""),"",$Z457-$AH457)</f>
        <v/>
      </c>
      <c r="AJ457" s="49"/>
      <c r="AK457" s="47" t="str">
        <f aca="false">IF($D457="","",IFERROR(MATCH($F457,Config!$A$13:$A$15,0),1))</f>
        <v/>
      </c>
      <c r="AL457" s="47" t="str">
        <f aca="false">IF(OR($D457="",$N457=""),"",IF($E457="LONG",$K457,$O457))</f>
        <v/>
      </c>
      <c r="AM457" s="47" t="str">
        <f aca="false">IF(OR($D457="",$N457=""),"",IF($E457="LONG",$O457,$K457))</f>
        <v/>
      </c>
    </row>
    <row r="458" customFormat="false" ht="15" hidden="false" customHeight="false" outlineLevel="0" collapsed="false">
      <c r="A458" s="49"/>
      <c r="B458" s="5" t="str">
        <f aca="false">IF($D458="","",IF(OR(RIGHT($A458,2)="-L",RIGHT($A458,2)="-S"),LEFT($A458,LEN($A458)-2),$A458))</f>
        <v/>
      </c>
      <c r="C458" s="50"/>
      <c r="D458" s="49"/>
      <c r="E458" s="49"/>
      <c r="F458" s="49"/>
      <c r="G458" s="45"/>
      <c r="H458" s="50"/>
      <c r="I458" s="45"/>
      <c r="J458" s="51"/>
      <c r="K458" s="40" t="str">
        <f aca="false">IF($D458="","",$I458*$J458)</f>
        <v/>
      </c>
      <c r="L458" s="50"/>
      <c r="M458" s="49"/>
      <c r="N458" s="45"/>
      <c r="O458" s="40" t="str">
        <f aca="false">IF(OR($D458="",$N458=""),"",$N458*$J458)</f>
        <v/>
      </c>
      <c r="P458" s="41" t="str">
        <f aca="false">IF(OR($D458="",$L458=""),"",MAX($L458-$H458,0))</f>
        <v/>
      </c>
      <c r="Q458" s="40" t="str">
        <f aca="false">IF(OR($D458="",$N458=""),"",IF($E458="LONG",($N458-$I458)*$J458,($I458-$N458)*$J458))</f>
        <v/>
      </c>
      <c r="R458" s="42" t="str">
        <f aca="false">IF(OR($D458="",$Q458="",$K458=0),"",$Q458/$K458)</f>
        <v/>
      </c>
      <c r="S458" s="43" t="str">
        <f aca="false">IF(OR($D458="",$N458=""),"",MIN(INDEX(Config!$C$13:$C$15,$AK458),INDEX(Config!$B$13:$B$15,$AK458)*$K458)+MIN(INDEX(Config!$C$13:$C$15,$AK458),INDEX(Config!$B$13:$B$15,$AK458)*$O458))</f>
        <v/>
      </c>
      <c r="T458" s="43" t="str">
        <f aca="false">IF(OR($D458="",$N458=""),"",INDEX(Config!$D$13:$D$15,$AK458)*$AL458+INDEX(Config!$E$13:$E$15,$AK458)*$AM458)</f>
        <v/>
      </c>
      <c r="U458" s="43" t="str">
        <f aca="false">IF(OR($D458="",$N458=""),"",INDEX(Config!$F$13:$F$15,$AK458)*($K458+$O458))</f>
        <v/>
      </c>
      <c r="V458" s="43" t="str">
        <f aca="false">IF(OR($D458="",$N458=""),"",INDEX(Config!$G$13:$G$15,$AK458)*($K458+$O458)+INDEX(Config!$H$13:$H$15,$AK458)*$AL458+INDEX(Config!$J$13:$J$15,$AK458))</f>
        <v/>
      </c>
      <c r="W458" s="43" t="str">
        <f aca="false">IF(OR($D458="",$N458=""),"",INDEX(Config!$I$13:$I$15,$AK458)*($S458+$U458+INDEX(Config!$G$13:$G$15,$AK458)*($K458+$O458)))</f>
        <v/>
      </c>
      <c r="X458" s="43" t="str">
        <f aca="false">IF(OR($D458="",$N458=""),"",INDEX(Config!$K$13:$K$15,$AK458)/365*$P458*$K458*Config!$B$8)</f>
        <v/>
      </c>
      <c r="Y458" s="43" t="str">
        <f aca="false">IF(OR($D458="",$N458=""),"",SUM($S458:$X458))</f>
        <v/>
      </c>
      <c r="Z458" s="40" t="str">
        <f aca="false">IF(OR($D458="",$Q458=""),"",$Q458-$Y458)</f>
        <v/>
      </c>
      <c r="AA458" s="42" t="str">
        <f aca="false">IF(OR($D458="",$Z458="",$K458=0),"",$Z458/$K458)</f>
        <v/>
      </c>
      <c r="AB458" s="44" t="str">
        <f aca="false">IF(OR($D458="",$Y458="",$K458=0),"",$Y458/$K458*10000)</f>
        <v/>
      </c>
      <c r="AC458" s="44" t="str">
        <f aca="false">IF(OR($D458="",$G458="",$G458=0,$I458=""),"",IF($E458="LONG",($I458-$G458)/$G458,($G458-$I458)/$G458)*10000)</f>
        <v/>
      </c>
      <c r="AD458" s="45"/>
      <c r="AE458" s="40" t="str">
        <f aca="false">IF(OR($D458="",$N458&lt;&gt;"",$AD458=""),"",IF($E458="LONG",($AD458-$I458)*$J458,($I458-$AD458)*$J458))</f>
        <v/>
      </c>
      <c r="AF458" s="40" t="str">
        <f aca="false">IF(OR($D458="",$E458&lt;&gt;"LONG",$Z458=""),"",$Z458+SUMIFS($Z$4:$Z$503,$B$4:$B$503,$B458,$E$4:$E$503,"SHORT"))</f>
        <v/>
      </c>
      <c r="AG458" s="42" t="str">
        <f aca="false">IF(OR($AF458="",$K458=0),"",$AF458/$K458)</f>
        <v/>
      </c>
      <c r="AH458" s="46"/>
      <c r="AI458" s="43" t="str">
        <f aca="false">IF(OR($D458="",$AH458="",$Z458=""),"",$Z458-$AH458)</f>
        <v/>
      </c>
      <c r="AJ458" s="49"/>
      <c r="AK458" s="47" t="str">
        <f aca="false">IF($D458="","",IFERROR(MATCH($F458,Config!$A$13:$A$15,0),1))</f>
        <v/>
      </c>
      <c r="AL458" s="47" t="str">
        <f aca="false">IF(OR($D458="",$N458=""),"",IF($E458="LONG",$K458,$O458))</f>
        <v/>
      </c>
      <c r="AM458" s="47" t="str">
        <f aca="false">IF(OR($D458="",$N458=""),"",IF($E458="LONG",$O458,$K458))</f>
        <v/>
      </c>
    </row>
    <row r="459" customFormat="false" ht="15" hidden="false" customHeight="false" outlineLevel="0" collapsed="false">
      <c r="A459" s="49"/>
      <c r="B459" s="5" t="str">
        <f aca="false">IF($D459="","",IF(OR(RIGHT($A459,2)="-L",RIGHT($A459,2)="-S"),LEFT($A459,LEN($A459)-2),$A459))</f>
        <v/>
      </c>
      <c r="C459" s="50"/>
      <c r="D459" s="49"/>
      <c r="E459" s="49"/>
      <c r="F459" s="49"/>
      <c r="G459" s="45"/>
      <c r="H459" s="50"/>
      <c r="I459" s="45"/>
      <c r="J459" s="51"/>
      <c r="K459" s="40" t="str">
        <f aca="false">IF($D459="","",$I459*$J459)</f>
        <v/>
      </c>
      <c r="L459" s="50"/>
      <c r="M459" s="49"/>
      <c r="N459" s="45"/>
      <c r="O459" s="40" t="str">
        <f aca="false">IF(OR($D459="",$N459=""),"",$N459*$J459)</f>
        <v/>
      </c>
      <c r="P459" s="41" t="str">
        <f aca="false">IF(OR($D459="",$L459=""),"",MAX($L459-$H459,0))</f>
        <v/>
      </c>
      <c r="Q459" s="40" t="str">
        <f aca="false">IF(OR($D459="",$N459=""),"",IF($E459="LONG",($N459-$I459)*$J459,($I459-$N459)*$J459))</f>
        <v/>
      </c>
      <c r="R459" s="42" t="str">
        <f aca="false">IF(OR($D459="",$Q459="",$K459=0),"",$Q459/$K459)</f>
        <v/>
      </c>
      <c r="S459" s="43" t="str">
        <f aca="false">IF(OR($D459="",$N459=""),"",MIN(INDEX(Config!$C$13:$C$15,$AK459),INDEX(Config!$B$13:$B$15,$AK459)*$K459)+MIN(INDEX(Config!$C$13:$C$15,$AK459),INDEX(Config!$B$13:$B$15,$AK459)*$O459))</f>
        <v/>
      </c>
      <c r="T459" s="43" t="str">
        <f aca="false">IF(OR($D459="",$N459=""),"",INDEX(Config!$D$13:$D$15,$AK459)*$AL459+INDEX(Config!$E$13:$E$15,$AK459)*$AM459)</f>
        <v/>
      </c>
      <c r="U459" s="43" t="str">
        <f aca="false">IF(OR($D459="",$N459=""),"",INDEX(Config!$F$13:$F$15,$AK459)*($K459+$O459))</f>
        <v/>
      </c>
      <c r="V459" s="43" t="str">
        <f aca="false">IF(OR($D459="",$N459=""),"",INDEX(Config!$G$13:$G$15,$AK459)*($K459+$O459)+INDEX(Config!$H$13:$H$15,$AK459)*$AL459+INDEX(Config!$J$13:$J$15,$AK459))</f>
        <v/>
      </c>
      <c r="W459" s="43" t="str">
        <f aca="false">IF(OR($D459="",$N459=""),"",INDEX(Config!$I$13:$I$15,$AK459)*($S459+$U459+INDEX(Config!$G$13:$G$15,$AK459)*($K459+$O459)))</f>
        <v/>
      </c>
      <c r="X459" s="43" t="str">
        <f aca="false">IF(OR($D459="",$N459=""),"",INDEX(Config!$K$13:$K$15,$AK459)/365*$P459*$K459*Config!$B$8)</f>
        <v/>
      </c>
      <c r="Y459" s="43" t="str">
        <f aca="false">IF(OR($D459="",$N459=""),"",SUM($S459:$X459))</f>
        <v/>
      </c>
      <c r="Z459" s="40" t="str">
        <f aca="false">IF(OR($D459="",$Q459=""),"",$Q459-$Y459)</f>
        <v/>
      </c>
      <c r="AA459" s="42" t="str">
        <f aca="false">IF(OR($D459="",$Z459="",$K459=0),"",$Z459/$K459)</f>
        <v/>
      </c>
      <c r="AB459" s="44" t="str">
        <f aca="false">IF(OR($D459="",$Y459="",$K459=0),"",$Y459/$K459*10000)</f>
        <v/>
      </c>
      <c r="AC459" s="44" t="str">
        <f aca="false">IF(OR($D459="",$G459="",$G459=0,$I459=""),"",IF($E459="LONG",($I459-$G459)/$G459,($G459-$I459)/$G459)*10000)</f>
        <v/>
      </c>
      <c r="AD459" s="45"/>
      <c r="AE459" s="40" t="str">
        <f aca="false">IF(OR($D459="",$N459&lt;&gt;"",$AD459=""),"",IF($E459="LONG",($AD459-$I459)*$J459,($I459-$AD459)*$J459))</f>
        <v/>
      </c>
      <c r="AF459" s="40" t="str">
        <f aca="false">IF(OR($D459="",$E459&lt;&gt;"LONG",$Z459=""),"",$Z459+SUMIFS($Z$4:$Z$503,$B$4:$B$503,$B459,$E$4:$E$503,"SHORT"))</f>
        <v/>
      </c>
      <c r="AG459" s="42" t="str">
        <f aca="false">IF(OR($AF459="",$K459=0),"",$AF459/$K459)</f>
        <v/>
      </c>
      <c r="AH459" s="46"/>
      <c r="AI459" s="43" t="str">
        <f aca="false">IF(OR($D459="",$AH459="",$Z459=""),"",$Z459-$AH459)</f>
        <v/>
      </c>
      <c r="AJ459" s="49"/>
      <c r="AK459" s="47" t="str">
        <f aca="false">IF($D459="","",IFERROR(MATCH($F459,Config!$A$13:$A$15,0),1))</f>
        <v/>
      </c>
      <c r="AL459" s="47" t="str">
        <f aca="false">IF(OR($D459="",$N459=""),"",IF($E459="LONG",$K459,$O459))</f>
        <v/>
      </c>
      <c r="AM459" s="47" t="str">
        <f aca="false">IF(OR($D459="",$N459=""),"",IF($E459="LONG",$O459,$K459))</f>
        <v/>
      </c>
    </row>
    <row r="460" customFormat="false" ht="15" hidden="false" customHeight="false" outlineLevel="0" collapsed="false">
      <c r="A460" s="49"/>
      <c r="B460" s="5" t="str">
        <f aca="false">IF($D460="","",IF(OR(RIGHT($A460,2)="-L",RIGHT($A460,2)="-S"),LEFT($A460,LEN($A460)-2),$A460))</f>
        <v/>
      </c>
      <c r="C460" s="50"/>
      <c r="D460" s="49"/>
      <c r="E460" s="49"/>
      <c r="F460" s="49"/>
      <c r="G460" s="45"/>
      <c r="H460" s="50"/>
      <c r="I460" s="45"/>
      <c r="J460" s="51"/>
      <c r="K460" s="40" t="str">
        <f aca="false">IF($D460="","",$I460*$J460)</f>
        <v/>
      </c>
      <c r="L460" s="50"/>
      <c r="M460" s="49"/>
      <c r="N460" s="45"/>
      <c r="O460" s="40" t="str">
        <f aca="false">IF(OR($D460="",$N460=""),"",$N460*$J460)</f>
        <v/>
      </c>
      <c r="P460" s="41" t="str">
        <f aca="false">IF(OR($D460="",$L460=""),"",MAX($L460-$H460,0))</f>
        <v/>
      </c>
      <c r="Q460" s="40" t="str">
        <f aca="false">IF(OR($D460="",$N460=""),"",IF($E460="LONG",($N460-$I460)*$J460,($I460-$N460)*$J460))</f>
        <v/>
      </c>
      <c r="R460" s="42" t="str">
        <f aca="false">IF(OR($D460="",$Q460="",$K460=0),"",$Q460/$K460)</f>
        <v/>
      </c>
      <c r="S460" s="43" t="str">
        <f aca="false">IF(OR($D460="",$N460=""),"",MIN(INDEX(Config!$C$13:$C$15,$AK460),INDEX(Config!$B$13:$B$15,$AK460)*$K460)+MIN(INDEX(Config!$C$13:$C$15,$AK460),INDEX(Config!$B$13:$B$15,$AK460)*$O460))</f>
        <v/>
      </c>
      <c r="T460" s="43" t="str">
        <f aca="false">IF(OR($D460="",$N460=""),"",INDEX(Config!$D$13:$D$15,$AK460)*$AL460+INDEX(Config!$E$13:$E$15,$AK460)*$AM460)</f>
        <v/>
      </c>
      <c r="U460" s="43" t="str">
        <f aca="false">IF(OR($D460="",$N460=""),"",INDEX(Config!$F$13:$F$15,$AK460)*($K460+$O460))</f>
        <v/>
      </c>
      <c r="V460" s="43" t="str">
        <f aca="false">IF(OR($D460="",$N460=""),"",INDEX(Config!$G$13:$G$15,$AK460)*($K460+$O460)+INDEX(Config!$H$13:$H$15,$AK460)*$AL460+INDEX(Config!$J$13:$J$15,$AK460))</f>
        <v/>
      </c>
      <c r="W460" s="43" t="str">
        <f aca="false">IF(OR($D460="",$N460=""),"",INDEX(Config!$I$13:$I$15,$AK460)*($S460+$U460+INDEX(Config!$G$13:$G$15,$AK460)*($K460+$O460)))</f>
        <v/>
      </c>
      <c r="X460" s="43" t="str">
        <f aca="false">IF(OR($D460="",$N460=""),"",INDEX(Config!$K$13:$K$15,$AK460)/365*$P460*$K460*Config!$B$8)</f>
        <v/>
      </c>
      <c r="Y460" s="43" t="str">
        <f aca="false">IF(OR($D460="",$N460=""),"",SUM($S460:$X460))</f>
        <v/>
      </c>
      <c r="Z460" s="40" t="str">
        <f aca="false">IF(OR($D460="",$Q460=""),"",$Q460-$Y460)</f>
        <v/>
      </c>
      <c r="AA460" s="42" t="str">
        <f aca="false">IF(OR($D460="",$Z460="",$K460=0),"",$Z460/$K460)</f>
        <v/>
      </c>
      <c r="AB460" s="44" t="str">
        <f aca="false">IF(OR($D460="",$Y460="",$K460=0),"",$Y460/$K460*10000)</f>
        <v/>
      </c>
      <c r="AC460" s="44" t="str">
        <f aca="false">IF(OR($D460="",$G460="",$G460=0,$I460=""),"",IF($E460="LONG",($I460-$G460)/$G460,($G460-$I460)/$G460)*10000)</f>
        <v/>
      </c>
      <c r="AD460" s="45"/>
      <c r="AE460" s="40" t="str">
        <f aca="false">IF(OR($D460="",$N460&lt;&gt;"",$AD460=""),"",IF($E460="LONG",($AD460-$I460)*$J460,($I460-$AD460)*$J460))</f>
        <v/>
      </c>
      <c r="AF460" s="40" t="str">
        <f aca="false">IF(OR($D460="",$E460&lt;&gt;"LONG",$Z460=""),"",$Z460+SUMIFS($Z$4:$Z$503,$B$4:$B$503,$B460,$E$4:$E$503,"SHORT"))</f>
        <v/>
      </c>
      <c r="AG460" s="42" t="str">
        <f aca="false">IF(OR($AF460="",$K460=0),"",$AF460/$K460)</f>
        <v/>
      </c>
      <c r="AH460" s="46"/>
      <c r="AI460" s="43" t="str">
        <f aca="false">IF(OR($D460="",$AH460="",$Z460=""),"",$Z460-$AH460)</f>
        <v/>
      </c>
      <c r="AJ460" s="49"/>
      <c r="AK460" s="47" t="str">
        <f aca="false">IF($D460="","",IFERROR(MATCH($F460,Config!$A$13:$A$15,0),1))</f>
        <v/>
      </c>
      <c r="AL460" s="47" t="str">
        <f aca="false">IF(OR($D460="",$N460=""),"",IF($E460="LONG",$K460,$O460))</f>
        <v/>
      </c>
      <c r="AM460" s="47" t="str">
        <f aca="false">IF(OR($D460="",$N460=""),"",IF($E460="LONG",$O460,$K460))</f>
        <v/>
      </c>
    </row>
    <row r="461" customFormat="false" ht="15" hidden="false" customHeight="false" outlineLevel="0" collapsed="false">
      <c r="A461" s="49"/>
      <c r="B461" s="5" t="str">
        <f aca="false">IF($D461="","",IF(OR(RIGHT($A461,2)="-L",RIGHT($A461,2)="-S"),LEFT($A461,LEN($A461)-2),$A461))</f>
        <v/>
      </c>
      <c r="C461" s="50"/>
      <c r="D461" s="49"/>
      <c r="E461" s="49"/>
      <c r="F461" s="49"/>
      <c r="G461" s="45"/>
      <c r="H461" s="50"/>
      <c r="I461" s="45"/>
      <c r="J461" s="51"/>
      <c r="K461" s="40" t="str">
        <f aca="false">IF($D461="","",$I461*$J461)</f>
        <v/>
      </c>
      <c r="L461" s="50"/>
      <c r="M461" s="49"/>
      <c r="N461" s="45"/>
      <c r="O461" s="40" t="str">
        <f aca="false">IF(OR($D461="",$N461=""),"",$N461*$J461)</f>
        <v/>
      </c>
      <c r="P461" s="41" t="str">
        <f aca="false">IF(OR($D461="",$L461=""),"",MAX($L461-$H461,0))</f>
        <v/>
      </c>
      <c r="Q461" s="40" t="str">
        <f aca="false">IF(OR($D461="",$N461=""),"",IF($E461="LONG",($N461-$I461)*$J461,($I461-$N461)*$J461))</f>
        <v/>
      </c>
      <c r="R461" s="42" t="str">
        <f aca="false">IF(OR($D461="",$Q461="",$K461=0),"",$Q461/$K461)</f>
        <v/>
      </c>
      <c r="S461" s="43" t="str">
        <f aca="false">IF(OR($D461="",$N461=""),"",MIN(INDEX(Config!$C$13:$C$15,$AK461),INDEX(Config!$B$13:$B$15,$AK461)*$K461)+MIN(INDEX(Config!$C$13:$C$15,$AK461),INDEX(Config!$B$13:$B$15,$AK461)*$O461))</f>
        <v/>
      </c>
      <c r="T461" s="43" t="str">
        <f aca="false">IF(OR($D461="",$N461=""),"",INDEX(Config!$D$13:$D$15,$AK461)*$AL461+INDEX(Config!$E$13:$E$15,$AK461)*$AM461)</f>
        <v/>
      </c>
      <c r="U461" s="43" t="str">
        <f aca="false">IF(OR($D461="",$N461=""),"",INDEX(Config!$F$13:$F$15,$AK461)*($K461+$O461))</f>
        <v/>
      </c>
      <c r="V461" s="43" t="str">
        <f aca="false">IF(OR($D461="",$N461=""),"",INDEX(Config!$G$13:$G$15,$AK461)*($K461+$O461)+INDEX(Config!$H$13:$H$15,$AK461)*$AL461+INDEX(Config!$J$13:$J$15,$AK461))</f>
        <v/>
      </c>
      <c r="W461" s="43" t="str">
        <f aca="false">IF(OR($D461="",$N461=""),"",INDEX(Config!$I$13:$I$15,$AK461)*($S461+$U461+INDEX(Config!$G$13:$G$15,$AK461)*($K461+$O461)))</f>
        <v/>
      </c>
      <c r="X461" s="43" t="str">
        <f aca="false">IF(OR($D461="",$N461=""),"",INDEX(Config!$K$13:$K$15,$AK461)/365*$P461*$K461*Config!$B$8)</f>
        <v/>
      </c>
      <c r="Y461" s="43" t="str">
        <f aca="false">IF(OR($D461="",$N461=""),"",SUM($S461:$X461))</f>
        <v/>
      </c>
      <c r="Z461" s="40" t="str">
        <f aca="false">IF(OR($D461="",$Q461=""),"",$Q461-$Y461)</f>
        <v/>
      </c>
      <c r="AA461" s="42" t="str">
        <f aca="false">IF(OR($D461="",$Z461="",$K461=0),"",$Z461/$K461)</f>
        <v/>
      </c>
      <c r="AB461" s="44" t="str">
        <f aca="false">IF(OR($D461="",$Y461="",$K461=0),"",$Y461/$K461*10000)</f>
        <v/>
      </c>
      <c r="AC461" s="44" t="str">
        <f aca="false">IF(OR($D461="",$G461="",$G461=0,$I461=""),"",IF($E461="LONG",($I461-$G461)/$G461,($G461-$I461)/$G461)*10000)</f>
        <v/>
      </c>
      <c r="AD461" s="45"/>
      <c r="AE461" s="40" t="str">
        <f aca="false">IF(OR($D461="",$N461&lt;&gt;"",$AD461=""),"",IF($E461="LONG",($AD461-$I461)*$J461,($I461-$AD461)*$J461))</f>
        <v/>
      </c>
      <c r="AF461" s="40" t="str">
        <f aca="false">IF(OR($D461="",$E461&lt;&gt;"LONG",$Z461=""),"",$Z461+SUMIFS($Z$4:$Z$503,$B$4:$B$503,$B461,$E$4:$E$503,"SHORT"))</f>
        <v/>
      </c>
      <c r="AG461" s="42" t="str">
        <f aca="false">IF(OR($AF461="",$K461=0),"",$AF461/$K461)</f>
        <v/>
      </c>
      <c r="AH461" s="46"/>
      <c r="AI461" s="43" t="str">
        <f aca="false">IF(OR($D461="",$AH461="",$Z461=""),"",$Z461-$AH461)</f>
        <v/>
      </c>
      <c r="AJ461" s="49"/>
      <c r="AK461" s="47" t="str">
        <f aca="false">IF($D461="","",IFERROR(MATCH($F461,Config!$A$13:$A$15,0),1))</f>
        <v/>
      </c>
      <c r="AL461" s="47" t="str">
        <f aca="false">IF(OR($D461="",$N461=""),"",IF($E461="LONG",$K461,$O461))</f>
        <v/>
      </c>
      <c r="AM461" s="47" t="str">
        <f aca="false">IF(OR($D461="",$N461=""),"",IF($E461="LONG",$O461,$K461))</f>
        <v/>
      </c>
    </row>
    <row r="462" customFormat="false" ht="15" hidden="false" customHeight="false" outlineLevel="0" collapsed="false">
      <c r="A462" s="49"/>
      <c r="B462" s="5" t="str">
        <f aca="false">IF($D462="","",IF(OR(RIGHT($A462,2)="-L",RIGHT($A462,2)="-S"),LEFT($A462,LEN($A462)-2),$A462))</f>
        <v/>
      </c>
      <c r="C462" s="50"/>
      <c r="D462" s="49"/>
      <c r="E462" s="49"/>
      <c r="F462" s="49"/>
      <c r="G462" s="45"/>
      <c r="H462" s="50"/>
      <c r="I462" s="45"/>
      <c r="J462" s="51"/>
      <c r="K462" s="40" t="str">
        <f aca="false">IF($D462="","",$I462*$J462)</f>
        <v/>
      </c>
      <c r="L462" s="50"/>
      <c r="M462" s="49"/>
      <c r="N462" s="45"/>
      <c r="O462" s="40" t="str">
        <f aca="false">IF(OR($D462="",$N462=""),"",$N462*$J462)</f>
        <v/>
      </c>
      <c r="P462" s="41" t="str">
        <f aca="false">IF(OR($D462="",$L462=""),"",MAX($L462-$H462,0))</f>
        <v/>
      </c>
      <c r="Q462" s="40" t="str">
        <f aca="false">IF(OR($D462="",$N462=""),"",IF($E462="LONG",($N462-$I462)*$J462,($I462-$N462)*$J462))</f>
        <v/>
      </c>
      <c r="R462" s="42" t="str">
        <f aca="false">IF(OR($D462="",$Q462="",$K462=0),"",$Q462/$K462)</f>
        <v/>
      </c>
      <c r="S462" s="43" t="str">
        <f aca="false">IF(OR($D462="",$N462=""),"",MIN(INDEX(Config!$C$13:$C$15,$AK462),INDEX(Config!$B$13:$B$15,$AK462)*$K462)+MIN(INDEX(Config!$C$13:$C$15,$AK462),INDEX(Config!$B$13:$B$15,$AK462)*$O462))</f>
        <v/>
      </c>
      <c r="T462" s="43" t="str">
        <f aca="false">IF(OR($D462="",$N462=""),"",INDEX(Config!$D$13:$D$15,$AK462)*$AL462+INDEX(Config!$E$13:$E$15,$AK462)*$AM462)</f>
        <v/>
      </c>
      <c r="U462" s="43" t="str">
        <f aca="false">IF(OR($D462="",$N462=""),"",INDEX(Config!$F$13:$F$15,$AK462)*($K462+$O462))</f>
        <v/>
      </c>
      <c r="V462" s="43" t="str">
        <f aca="false">IF(OR($D462="",$N462=""),"",INDEX(Config!$G$13:$G$15,$AK462)*($K462+$O462)+INDEX(Config!$H$13:$H$15,$AK462)*$AL462+INDEX(Config!$J$13:$J$15,$AK462))</f>
        <v/>
      </c>
      <c r="W462" s="43" t="str">
        <f aca="false">IF(OR($D462="",$N462=""),"",INDEX(Config!$I$13:$I$15,$AK462)*($S462+$U462+INDEX(Config!$G$13:$G$15,$AK462)*($K462+$O462)))</f>
        <v/>
      </c>
      <c r="X462" s="43" t="str">
        <f aca="false">IF(OR($D462="",$N462=""),"",INDEX(Config!$K$13:$K$15,$AK462)/365*$P462*$K462*Config!$B$8)</f>
        <v/>
      </c>
      <c r="Y462" s="43" t="str">
        <f aca="false">IF(OR($D462="",$N462=""),"",SUM($S462:$X462))</f>
        <v/>
      </c>
      <c r="Z462" s="40" t="str">
        <f aca="false">IF(OR($D462="",$Q462=""),"",$Q462-$Y462)</f>
        <v/>
      </c>
      <c r="AA462" s="42" t="str">
        <f aca="false">IF(OR($D462="",$Z462="",$K462=0),"",$Z462/$K462)</f>
        <v/>
      </c>
      <c r="AB462" s="44" t="str">
        <f aca="false">IF(OR($D462="",$Y462="",$K462=0),"",$Y462/$K462*10000)</f>
        <v/>
      </c>
      <c r="AC462" s="44" t="str">
        <f aca="false">IF(OR($D462="",$G462="",$G462=0,$I462=""),"",IF($E462="LONG",($I462-$G462)/$G462,($G462-$I462)/$G462)*10000)</f>
        <v/>
      </c>
      <c r="AD462" s="45"/>
      <c r="AE462" s="40" t="str">
        <f aca="false">IF(OR($D462="",$N462&lt;&gt;"",$AD462=""),"",IF($E462="LONG",($AD462-$I462)*$J462,($I462-$AD462)*$J462))</f>
        <v/>
      </c>
      <c r="AF462" s="40" t="str">
        <f aca="false">IF(OR($D462="",$E462&lt;&gt;"LONG",$Z462=""),"",$Z462+SUMIFS($Z$4:$Z$503,$B$4:$B$503,$B462,$E$4:$E$503,"SHORT"))</f>
        <v/>
      </c>
      <c r="AG462" s="42" t="str">
        <f aca="false">IF(OR($AF462="",$K462=0),"",$AF462/$K462)</f>
        <v/>
      </c>
      <c r="AH462" s="46"/>
      <c r="AI462" s="43" t="str">
        <f aca="false">IF(OR($D462="",$AH462="",$Z462=""),"",$Z462-$AH462)</f>
        <v/>
      </c>
      <c r="AJ462" s="49"/>
      <c r="AK462" s="47" t="str">
        <f aca="false">IF($D462="","",IFERROR(MATCH($F462,Config!$A$13:$A$15,0),1))</f>
        <v/>
      </c>
      <c r="AL462" s="47" t="str">
        <f aca="false">IF(OR($D462="",$N462=""),"",IF($E462="LONG",$K462,$O462))</f>
        <v/>
      </c>
      <c r="AM462" s="47" t="str">
        <f aca="false">IF(OR($D462="",$N462=""),"",IF($E462="LONG",$O462,$K462))</f>
        <v/>
      </c>
    </row>
    <row r="463" customFormat="false" ht="15" hidden="false" customHeight="false" outlineLevel="0" collapsed="false">
      <c r="A463" s="49"/>
      <c r="B463" s="5" t="str">
        <f aca="false">IF($D463="","",IF(OR(RIGHT($A463,2)="-L",RIGHT($A463,2)="-S"),LEFT($A463,LEN($A463)-2),$A463))</f>
        <v/>
      </c>
      <c r="C463" s="50"/>
      <c r="D463" s="49"/>
      <c r="E463" s="49"/>
      <c r="F463" s="49"/>
      <c r="G463" s="45"/>
      <c r="H463" s="50"/>
      <c r="I463" s="45"/>
      <c r="J463" s="51"/>
      <c r="K463" s="40" t="str">
        <f aca="false">IF($D463="","",$I463*$J463)</f>
        <v/>
      </c>
      <c r="L463" s="50"/>
      <c r="M463" s="49"/>
      <c r="N463" s="45"/>
      <c r="O463" s="40" t="str">
        <f aca="false">IF(OR($D463="",$N463=""),"",$N463*$J463)</f>
        <v/>
      </c>
      <c r="P463" s="41" t="str">
        <f aca="false">IF(OR($D463="",$L463=""),"",MAX($L463-$H463,0))</f>
        <v/>
      </c>
      <c r="Q463" s="40" t="str">
        <f aca="false">IF(OR($D463="",$N463=""),"",IF($E463="LONG",($N463-$I463)*$J463,($I463-$N463)*$J463))</f>
        <v/>
      </c>
      <c r="R463" s="42" t="str">
        <f aca="false">IF(OR($D463="",$Q463="",$K463=0),"",$Q463/$K463)</f>
        <v/>
      </c>
      <c r="S463" s="43" t="str">
        <f aca="false">IF(OR($D463="",$N463=""),"",MIN(INDEX(Config!$C$13:$C$15,$AK463),INDEX(Config!$B$13:$B$15,$AK463)*$K463)+MIN(INDEX(Config!$C$13:$C$15,$AK463),INDEX(Config!$B$13:$B$15,$AK463)*$O463))</f>
        <v/>
      </c>
      <c r="T463" s="43" t="str">
        <f aca="false">IF(OR($D463="",$N463=""),"",INDEX(Config!$D$13:$D$15,$AK463)*$AL463+INDEX(Config!$E$13:$E$15,$AK463)*$AM463)</f>
        <v/>
      </c>
      <c r="U463" s="43" t="str">
        <f aca="false">IF(OR($D463="",$N463=""),"",INDEX(Config!$F$13:$F$15,$AK463)*($K463+$O463))</f>
        <v/>
      </c>
      <c r="V463" s="43" t="str">
        <f aca="false">IF(OR($D463="",$N463=""),"",INDEX(Config!$G$13:$G$15,$AK463)*($K463+$O463)+INDEX(Config!$H$13:$H$15,$AK463)*$AL463+INDEX(Config!$J$13:$J$15,$AK463))</f>
        <v/>
      </c>
      <c r="W463" s="43" t="str">
        <f aca="false">IF(OR($D463="",$N463=""),"",INDEX(Config!$I$13:$I$15,$AK463)*($S463+$U463+INDEX(Config!$G$13:$G$15,$AK463)*($K463+$O463)))</f>
        <v/>
      </c>
      <c r="X463" s="43" t="str">
        <f aca="false">IF(OR($D463="",$N463=""),"",INDEX(Config!$K$13:$K$15,$AK463)/365*$P463*$K463*Config!$B$8)</f>
        <v/>
      </c>
      <c r="Y463" s="43" t="str">
        <f aca="false">IF(OR($D463="",$N463=""),"",SUM($S463:$X463))</f>
        <v/>
      </c>
      <c r="Z463" s="40" t="str">
        <f aca="false">IF(OR($D463="",$Q463=""),"",$Q463-$Y463)</f>
        <v/>
      </c>
      <c r="AA463" s="42" t="str">
        <f aca="false">IF(OR($D463="",$Z463="",$K463=0),"",$Z463/$K463)</f>
        <v/>
      </c>
      <c r="AB463" s="44" t="str">
        <f aca="false">IF(OR($D463="",$Y463="",$K463=0),"",$Y463/$K463*10000)</f>
        <v/>
      </c>
      <c r="AC463" s="44" t="str">
        <f aca="false">IF(OR($D463="",$G463="",$G463=0,$I463=""),"",IF($E463="LONG",($I463-$G463)/$G463,($G463-$I463)/$G463)*10000)</f>
        <v/>
      </c>
      <c r="AD463" s="45"/>
      <c r="AE463" s="40" t="str">
        <f aca="false">IF(OR($D463="",$N463&lt;&gt;"",$AD463=""),"",IF($E463="LONG",($AD463-$I463)*$J463,($I463-$AD463)*$J463))</f>
        <v/>
      </c>
      <c r="AF463" s="40" t="str">
        <f aca="false">IF(OR($D463="",$E463&lt;&gt;"LONG",$Z463=""),"",$Z463+SUMIFS($Z$4:$Z$503,$B$4:$B$503,$B463,$E$4:$E$503,"SHORT"))</f>
        <v/>
      </c>
      <c r="AG463" s="42" t="str">
        <f aca="false">IF(OR($AF463="",$K463=0),"",$AF463/$K463)</f>
        <v/>
      </c>
      <c r="AH463" s="46"/>
      <c r="AI463" s="43" t="str">
        <f aca="false">IF(OR($D463="",$AH463="",$Z463=""),"",$Z463-$AH463)</f>
        <v/>
      </c>
      <c r="AJ463" s="49"/>
      <c r="AK463" s="47" t="str">
        <f aca="false">IF($D463="","",IFERROR(MATCH($F463,Config!$A$13:$A$15,0),1))</f>
        <v/>
      </c>
      <c r="AL463" s="47" t="str">
        <f aca="false">IF(OR($D463="",$N463=""),"",IF($E463="LONG",$K463,$O463))</f>
        <v/>
      </c>
      <c r="AM463" s="47" t="str">
        <f aca="false">IF(OR($D463="",$N463=""),"",IF($E463="LONG",$O463,$K463))</f>
        <v/>
      </c>
    </row>
    <row r="464" customFormat="false" ht="15" hidden="false" customHeight="false" outlineLevel="0" collapsed="false">
      <c r="A464" s="49"/>
      <c r="B464" s="5" t="str">
        <f aca="false">IF($D464="","",IF(OR(RIGHT($A464,2)="-L",RIGHT($A464,2)="-S"),LEFT($A464,LEN($A464)-2),$A464))</f>
        <v/>
      </c>
      <c r="C464" s="50"/>
      <c r="D464" s="49"/>
      <c r="E464" s="49"/>
      <c r="F464" s="49"/>
      <c r="G464" s="45"/>
      <c r="H464" s="50"/>
      <c r="I464" s="45"/>
      <c r="J464" s="51"/>
      <c r="K464" s="40" t="str">
        <f aca="false">IF($D464="","",$I464*$J464)</f>
        <v/>
      </c>
      <c r="L464" s="50"/>
      <c r="M464" s="49"/>
      <c r="N464" s="45"/>
      <c r="O464" s="40" t="str">
        <f aca="false">IF(OR($D464="",$N464=""),"",$N464*$J464)</f>
        <v/>
      </c>
      <c r="P464" s="41" t="str">
        <f aca="false">IF(OR($D464="",$L464=""),"",MAX($L464-$H464,0))</f>
        <v/>
      </c>
      <c r="Q464" s="40" t="str">
        <f aca="false">IF(OR($D464="",$N464=""),"",IF($E464="LONG",($N464-$I464)*$J464,($I464-$N464)*$J464))</f>
        <v/>
      </c>
      <c r="R464" s="42" t="str">
        <f aca="false">IF(OR($D464="",$Q464="",$K464=0),"",$Q464/$K464)</f>
        <v/>
      </c>
      <c r="S464" s="43" t="str">
        <f aca="false">IF(OR($D464="",$N464=""),"",MIN(INDEX(Config!$C$13:$C$15,$AK464),INDEX(Config!$B$13:$B$15,$AK464)*$K464)+MIN(INDEX(Config!$C$13:$C$15,$AK464),INDEX(Config!$B$13:$B$15,$AK464)*$O464))</f>
        <v/>
      </c>
      <c r="T464" s="43" t="str">
        <f aca="false">IF(OR($D464="",$N464=""),"",INDEX(Config!$D$13:$D$15,$AK464)*$AL464+INDEX(Config!$E$13:$E$15,$AK464)*$AM464)</f>
        <v/>
      </c>
      <c r="U464" s="43" t="str">
        <f aca="false">IF(OR($D464="",$N464=""),"",INDEX(Config!$F$13:$F$15,$AK464)*($K464+$O464))</f>
        <v/>
      </c>
      <c r="V464" s="43" t="str">
        <f aca="false">IF(OR($D464="",$N464=""),"",INDEX(Config!$G$13:$G$15,$AK464)*($K464+$O464)+INDEX(Config!$H$13:$H$15,$AK464)*$AL464+INDEX(Config!$J$13:$J$15,$AK464))</f>
        <v/>
      </c>
      <c r="W464" s="43" t="str">
        <f aca="false">IF(OR($D464="",$N464=""),"",INDEX(Config!$I$13:$I$15,$AK464)*($S464+$U464+INDEX(Config!$G$13:$G$15,$AK464)*($K464+$O464)))</f>
        <v/>
      </c>
      <c r="X464" s="43" t="str">
        <f aca="false">IF(OR($D464="",$N464=""),"",INDEX(Config!$K$13:$K$15,$AK464)/365*$P464*$K464*Config!$B$8)</f>
        <v/>
      </c>
      <c r="Y464" s="43" t="str">
        <f aca="false">IF(OR($D464="",$N464=""),"",SUM($S464:$X464))</f>
        <v/>
      </c>
      <c r="Z464" s="40" t="str">
        <f aca="false">IF(OR($D464="",$Q464=""),"",$Q464-$Y464)</f>
        <v/>
      </c>
      <c r="AA464" s="42" t="str">
        <f aca="false">IF(OR($D464="",$Z464="",$K464=0),"",$Z464/$K464)</f>
        <v/>
      </c>
      <c r="AB464" s="44" t="str">
        <f aca="false">IF(OR($D464="",$Y464="",$K464=0),"",$Y464/$K464*10000)</f>
        <v/>
      </c>
      <c r="AC464" s="44" t="str">
        <f aca="false">IF(OR($D464="",$G464="",$G464=0,$I464=""),"",IF($E464="LONG",($I464-$G464)/$G464,($G464-$I464)/$G464)*10000)</f>
        <v/>
      </c>
      <c r="AD464" s="45"/>
      <c r="AE464" s="40" t="str">
        <f aca="false">IF(OR($D464="",$N464&lt;&gt;"",$AD464=""),"",IF($E464="LONG",($AD464-$I464)*$J464,($I464-$AD464)*$J464))</f>
        <v/>
      </c>
      <c r="AF464" s="40" t="str">
        <f aca="false">IF(OR($D464="",$E464&lt;&gt;"LONG",$Z464=""),"",$Z464+SUMIFS($Z$4:$Z$503,$B$4:$B$503,$B464,$E$4:$E$503,"SHORT"))</f>
        <v/>
      </c>
      <c r="AG464" s="42" t="str">
        <f aca="false">IF(OR($AF464="",$K464=0),"",$AF464/$K464)</f>
        <v/>
      </c>
      <c r="AH464" s="46"/>
      <c r="AI464" s="43" t="str">
        <f aca="false">IF(OR($D464="",$AH464="",$Z464=""),"",$Z464-$AH464)</f>
        <v/>
      </c>
      <c r="AJ464" s="49"/>
      <c r="AK464" s="47" t="str">
        <f aca="false">IF($D464="","",IFERROR(MATCH($F464,Config!$A$13:$A$15,0),1))</f>
        <v/>
      </c>
      <c r="AL464" s="47" t="str">
        <f aca="false">IF(OR($D464="",$N464=""),"",IF($E464="LONG",$K464,$O464))</f>
        <v/>
      </c>
      <c r="AM464" s="47" t="str">
        <f aca="false">IF(OR($D464="",$N464=""),"",IF($E464="LONG",$O464,$K464))</f>
        <v/>
      </c>
    </row>
    <row r="465" customFormat="false" ht="15" hidden="false" customHeight="false" outlineLevel="0" collapsed="false">
      <c r="A465" s="49"/>
      <c r="B465" s="5" t="str">
        <f aca="false">IF($D465="","",IF(OR(RIGHT($A465,2)="-L",RIGHT($A465,2)="-S"),LEFT($A465,LEN($A465)-2),$A465))</f>
        <v/>
      </c>
      <c r="C465" s="50"/>
      <c r="D465" s="49"/>
      <c r="E465" s="49"/>
      <c r="F465" s="49"/>
      <c r="G465" s="45"/>
      <c r="H465" s="50"/>
      <c r="I465" s="45"/>
      <c r="J465" s="51"/>
      <c r="K465" s="40" t="str">
        <f aca="false">IF($D465="","",$I465*$J465)</f>
        <v/>
      </c>
      <c r="L465" s="50"/>
      <c r="M465" s="49"/>
      <c r="N465" s="45"/>
      <c r="O465" s="40" t="str">
        <f aca="false">IF(OR($D465="",$N465=""),"",$N465*$J465)</f>
        <v/>
      </c>
      <c r="P465" s="41" t="str">
        <f aca="false">IF(OR($D465="",$L465=""),"",MAX($L465-$H465,0))</f>
        <v/>
      </c>
      <c r="Q465" s="40" t="str">
        <f aca="false">IF(OR($D465="",$N465=""),"",IF($E465="LONG",($N465-$I465)*$J465,($I465-$N465)*$J465))</f>
        <v/>
      </c>
      <c r="R465" s="42" t="str">
        <f aca="false">IF(OR($D465="",$Q465="",$K465=0),"",$Q465/$K465)</f>
        <v/>
      </c>
      <c r="S465" s="43" t="str">
        <f aca="false">IF(OR($D465="",$N465=""),"",MIN(INDEX(Config!$C$13:$C$15,$AK465),INDEX(Config!$B$13:$B$15,$AK465)*$K465)+MIN(INDEX(Config!$C$13:$C$15,$AK465),INDEX(Config!$B$13:$B$15,$AK465)*$O465))</f>
        <v/>
      </c>
      <c r="T465" s="43" t="str">
        <f aca="false">IF(OR($D465="",$N465=""),"",INDEX(Config!$D$13:$D$15,$AK465)*$AL465+INDEX(Config!$E$13:$E$15,$AK465)*$AM465)</f>
        <v/>
      </c>
      <c r="U465" s="43" t="str">
        <f aca="false">IF(OR($D465="",$N465=""),"",INDEX(Config!$F$13:$F$15,$AK465)*($K465+$O465))</f>
        <v/>
      </c>
      <c r="V465" s="43" t="str">
        <f aca="false">IF(OR($D465="",$N465=""),"",INDEX(Config!$G$13:$G$15,$AK465)*($K465+$O465)+INDEX(Config!$H$13:$H$15,$AK465)*$AL465+INDEX(Config!$J$13:$J$15,$AK465))</f>
        <v/>
      </c>
      <c r="W465" s="43" t="str">
        <f aca="false">IF(OR($D465="",$N465=""),"",INDEX(Config!$I$13:$I$15,$AK465)*($S465+$U465+INDEX(Config!$G$13:$G$15,$AK465)*($K465+$O465)))</f>
        <v/>
      </c>
      <c r="X465" s="43" t="str">
        <f aca="false">IF(OR($D465="",$N465=""),"",INDEX(Config!$K$13:$K$15,$AK465)/365*$P465*$K465*Config!$B$8)</f>
        <v/>
      </c>
      <c r="Y465" s="43" t="str">
        <f aca="false">IF(OR($D465="",$N465=""),"",SUM($S465:$X465))</f>
        <v/>
      </c>
      <c r="Z465" s="40" t="str">
        <f aca="false">IF(OR($D465="",$Q465=""),"",$Q465-$Y465)</f>
        <v/>
      </c>
      <c r="AA465" s="42" t="str">
        <f aca="false">IF(OR($D465="",$Z465="",$K465=0),"",$Z465/$K465)</f>
        <v/>
      </c>
      <c r="AB465" s="44" t="str">
        <f aca="false">IF(OR($D465="",$Y465="",$K465=0),"",$Y465/$K465*10000)</f>
        <v/>
      </c>
      <c r="AC465" s="44" t="str">
        <f aca="false">IF(OR($D465="",$G465="",$G465=0,$I465=""),"",IF($E465="LONG",($I465-$G465)/$G465,($G465-$I465)/$G465)*10000)</f>
        <v/>
      </c>
      <c r="AD465" s="45"/>
      <c r="AE465" s="40" t="str">
        <f aca="false">IF(OR($D465="",$N465&lt;&gt;"",$AD465=""),"",IF($E465="LONG",($AD465-$I465)*$J465,($I465-$AD465)*$J465))</f>
        <v/>
      </c>
      <c r="AF465" s="40" t="str">
        <f aca="false">IF(OR($D465="",$E465&lt;&gt;"LONG",$Z465=""),"",$Z465+SUMIFS($Z$4:$Z$503,$B$4:$B$503,$B465,$E$4:$E$503,"SHORT"))</f>
        <v/>
      </c>
      <c r="AG465" s="42" t="str">
        <f aca="false">IF(OR($AF465="",$K465=0),"",$AF465/$K465)</f>
        <v/>
      </c>
      <c r="AH465" s="46"/>
      <c r="AI465" s="43" t="str">
        <f aca="false">IF(OR($D465="",$AH465="",$Z465=""),"",$Z465-$AH465)</f>
        <v/>
      </c>
      <c r="AJ465" s="49"/>
      <c r="AK465" s="47" t="str">
        <f aca="false">IF($D465="","",IFERROR(MATCH($F465,Config!$A$13:$A$15,0),1))</f>
        <v/>
      </c>
      <c r="AL465" s="47" t="str">
        <f aca="false">IF(OR($D465="",$N465=""),"",IF($E465="LONG",$K465,$O465))</f>
        <v/>
      </c>
      <c r="AM465" s="47" t="str">
        <f aca="false">IF(OR($D465="",$N465=""),"",IF($E465="LONG",$O465,$K465))</f>
        <v/>
      </c>
    </row>
    <row r="466" customFormat="false" ht="15" hidden="false" customHeight="false" outlineLevel="0" collapsed="false">
      <c r="A466" s="49"/>
      <c r="B466" s="5" t="str">
        <f aca="false">IF($D466="","",IF(OR(RIGHT($A466,2)="-L",RIGHT($A466,2)="-S"),LEFT($A466,LEN($A466)-2),$A466))</f>
        <v/>
      </c>
      <c r="C466" s="50"/>
      <c r="D466" s="49"/>
      <c r="E466" s="49"/>
      <c r="F466" s="49"/>
      <c r="G466" s="45"/>
      <c r="H466" s="50"/>
      <c r="I466" s="45"/>
      <c r="J466" s="51"/>
      <c r="K466" s="40" t="str">
        <f aca="false">IF($D466="","",$I466*$J466)</f>
        <v/>
      </c>
      <c r="L466" s="50"/>
      <c r="M466" s="49"/>
      <c r="N466" s="45"/>
      <c r="O466" s="40" t="str">
        <f aca="false">IF(OR($D466="",$N466=""),"",$N466*$J466)</f>
        <v/>
      </c>
      <c r="P466" s="41" t="str">
        <f aca="false">IF(OR($D466="",$L466=""),"",MAX($L466-$H466,0))</f>
        <v/>
      </c>
      <c r="Q466" s="40" t="str">
        <f aca="false">IF(OR($D466="",$N466=""),"",IF($E466="LONG",($N466-$I466)*$J466,($I466-$N466)*$J466))</f>
        <v/>
      </c>
      <c r="R466" s="42" t="str">
        <f aca="false">IF(OR($D466="",$Q466="",$K466=0),"",$Q466/$K466)</f>
        <v/>
      </c>
      <c r="S466" s="43" t="str">
        <f aca="false">IF(OR($D466="",$N466=""),"",MIN(INDEX(Config!$C$13:$C$15,$AK466),INDEX(Config!$B$13:$B$15,$AK466)*$K466)+MIN(INDEX(Config!$C$13:$C$15,$AK466),INDEX(Config!$B$13:$B$15,$AK466)*$O466))</f>
        <v/>
      </c>
      <c r="T466" s="43" t="str">
        <f aca="false">IF(OR($D466="",$N466=""),"",INDEX(Config!$D$13:$D$15,$AK466)*$AL466+INDEX(Config!$E$13:$E$15,$AK466)*$AM466)</f>
        <v/>
      </c>
      <c r="U466" s="43" t="str">
        <f aca="false">IF(OR($D466="",$N466=""),"",INDEX(Config!$F$13:$F$15,$AK466)*($K466+$O466))</f>
        <v/>
      </c>
      <c r="V466" s="43" t="str">
        <f aca="false">IF(OR($D466="",$N466=""),"",INDEX(Config!$G$13:$G$15,$AK466)*($K466+$O466)+INDEX(Config!$H$13:$H$15,$AK466)*$AL466+INDEX(Config!$J$13:$J$15,$AK466))</f>
        <v/>
      </c>
      <c r="W466" s="43" t="str">
        <f aca="false">IF(OR($D466="",$N466=""),"",INDEX(Config!$I$13:$I$15,$AK466)*($S466+$U466+INDEX(Config!$G$13:$G$15,$AK466)*($K466+$O466)))</f>
        <v/>
      </c>
      <c r="X466" s="43" t="str">
        <f aca="false">IF(OR($D466="",$N466=""),"",INDEX(Config!$K$13:$K$15,$AK466)/365*$P466*$K466*Config!$B$8)</f>
        <v/>
      </c>
      <c r="Y466" s="43" t="str">
        <f aca="false">IF(OR($D466="",$N466=""),"",SUM($S466:$X466))</f>
        <v/>
      </c>
      <c r="Z466" s="40" t="str">
        <f aca="false">IF(OR($D466="",$Q466=""),"",$Q466-$Y466)</f>
        <v/>
      </c>
      <c r="AA466" s="42" t="str">
        <f aca="false">IF(OR($D466="",$Z466="",$K466=0),"",$Z466/$K466)</f>
        <v/>
      </c>
      <c r="AB466" s="44" t="str">
        <f aca="false">IF(OR($D466="",$Y466="",$K466=0),"",$Y466/$K466*10000)</f>
        <v/>
      </c>
      <c r="AC466" s="44" t="str">
        <f aca="false">IF(OR($D466="",$G466="",$G466=0,$I466=""),"",IF($E466="LONG",($I466-$G466)/$G466,($G466-$I466)/$G466)*10000)</f>
        <v/>
      </c>
      <c r="AD466" s="45"/>
      <c r="AE466" s="40" t="str">
        <f aca="false">IF(OR($D466="",$N466&lt;&gt;"",$AD466=""),"",IF($E466="LONG",($AD466-$I466)*$J466,($I466-$AD466)*$J466))</f>
        <v/>
      </c>
      <c r="AF466" s="40" t="str">
        <f aca="false">IF(OR($D466="",$E466&lt;&gt;"LONG",$Z466=""),"",$Z466+SUMIFS($Z$4:$Z$503,$B$4:$B$503,$B466,$E$4:$E$503,"SHORT"))</f>
        <v/>
      </c>
      <c r="AG466" s="42" t="str">
        <f aca="false">IF(OR($AF466="",$K466=0),"",$AF466/$K466)</f>
        <v/>
      </c>
      <c r="AH466" s="46"/>
      <c r="AI466" s="43" t="str">
        <f aca="false">IF(OR($D466="",$AH466="",$Z466=""),"",$Z466-$AH466)</f>
        <v/>
      </c>
      <c r="AJ466" s="49"/>
      <c r="AK466" s="47" t="str">
        <f aca="false">IF($D466="","",IFERROR(MATCH($F466,Config!$A$13:$A$15,0),1))</f>
        <v/>
      </c>
      <c r="AL466" s="47" t="str">
        <f aca="false">IF(OR($D466="",$N466=""),"",IF($E466="LONG",$K466,$O466))</f>
        <v/>
      </c>
      <c r="AM466" s="47" t="str">
        <f aca="false">IF(OR($D466="",$N466=""),"",IF($E466="LONG",$O466,$K466))</f>
        <v/>
      </c>
    </row>
    <row r="467" customFormat="false" ht="15" hidden="false" customHeight="false" outlineLevel="0" collapsed="false">
      <c r="A467" s="49"/>
      <c r="B467" s="5" t="str">
        <f aca="false">IF($D467="","",IF(OR(RIGHT($A467,2)="-L",RIGHT($A467,2)="-S"),LEFT($A467,LEN($A467)-2),$A467))</f>
        <v/>
      </c>
      <c r="C467" s="50"/>
      <c r="D467" s="49"/>
      <c r="E467" s="49"/>
      <c r="F467" s="49"/>
      <c r="G467" s="45"/>
      <c r="H467" s="50"/>
      <c r="I467" s="45"/>
      <c r="J467" s="51"/>
      <c r="K467" s="40" t="str">
        <f aca="false">IF($D467="","",$I467*$J467)</f>
        <v/>
      </c>
      <c r="L467" s="50"/>
      <c r="M467" s="49"/>
      <c r="N467" s="45"/>
      <c r="O467" s="40" t="str">
        <f aca="false">IF(OR($D467="",$N467=""),"",$N467*$J467)</f>
        <v/>
      </c>
      <c r="P467" s="41" t="str">
        <f aca="false">IF(OR($D467="",$L467=""),"",MAX($L467-$H467,0))</f>
        <v/>
      </c>
      <c r="Q467" s="40" t="str">
        <f aca="false">IF(OR($D467="",$N467=""),"",IF($E467="LONG",($N467-$I467)*$J467,($I467-$N467)*$J467))</f>
        <v/>
      </c>
      <c r="R467" s="42" t="str">
        <f aca="false">IF(OR($D467="",$Q467="",$K467=0),"",$Q467/$K467)</f>
        <v/>
      </c>
      <c r="S467" s="43" t="str">
        <f aca="false">IF(OR($D467="",$N467=""),"",MIN(INDEX(Config!$C$13:$C$15,$AK467),INDEX(Config!$B$13:$B$15,$AK467)*$K467)+MIN(INDEX(Config!$C$13:$C$15,$AK467),INDEX(Config!$B$13:$B$15,$AK467)*$O467))</f>
        <v/>
      </c>
      <c r="T467" s="43" t="str">
        <f aca="false">IF(OR($D467="",$N467=""),"",INDEX(Config!$D$13:$D$15,$AK467)*$AL467+INDEX(Config!$E$13:$E$15,$AK467)*$AM467)</f>
        <v/>
      </c>
      <c r="U467" s="43" t="str">
        <f aca="false">IF(OR($D467="",$N467=""),"",INDEX(Config!$F$13:$F$15,$AK467)*($K467+$O467))</f>
        <v/>
      </c>
      <c r="V467" s="43" t="str">
        <f aca="false">IF(OR($D467="",$N467=""),"",INDEX(Config!$G$13:$G$15,$AK467)*($K467+$O467)+INDEX(Config!$H$13:$H$15,$AK467)*$AL467+INDEX(Config!$J$13:$J$15,$AK467))</f>
        <v/>
      </c>
      <c r="W467" s="43" t="str">
        <f aca="false">IF(OR($D467="",$N467=""),"",INDEX(Config!$I$13:$I$15,$AK467)*($S467+$U467+INDEX(Config!$G$13:$G$15,$AK467)*($K467+$O467)))</f>
        <v/>
      </c>
      <c r="X467" s="43" t="str">
        <f aca="false">IF(OR($D467="",$N467=""),"",INDEX(Config!$K$13:$K$15,$AK467)/365*$P467*$K467*Config!$B$8)</f>
        <v/>
      </c>
      <c r="Y467" s="43" t="str">
        <f aca="false">IF(OR($D467="",$N467=""),"",SUM($S467:$X467))</f>
        <v/>
      </c>
      <c r="Z467" s="40" t="str">
        <f aca="false">IF(OR($D467="",$Q467=""),"",$Q467-$Y467)</f>
        <v/>
      </c>
      <c r="AA467" s="42" t="str">
        <f aca="false">IF(OR($D467="",$Z467="",$K467=0),"",$Z467/$K467)</f>
        <v/>
      </c>
      <c r="AB467" s="44" t="str">
        <f aca="false">IF(OR($D467="",$Y467="",$K467=0),"",$Y467/$K467*10000)</f>
        <v/>
      </c>
      <c r="AC467" s="44" t="str">
        <f aca="false">IF(OR($D467="",$G467="",$G467=0,$I467=""),"",IF($E467="LONG",($I467-$G467)/$G467,($G467-$I467)/$G467)*10000)</f>
        <v/>
      </c>
      <c r="AD467" s="45"/>
      <c r="AE467" s="40" t="str">
        <f aca="false">IF(OR($D467="",$N467&lt;&gt;"",$AD467=""),"",IF($E467="LONG",($AD467-$I467)*$J467,($I467-$AD467)*$J467))</f>
        <v/>
      </c>
      <c r="AF467" s="40" t="str">
        <f aca="false">IF(OR($D467="",$E467&lt;&gt;"LONG",$Z467=""),"",$Z467+SUMIFS($Z$4:$Z$503,$B$4:$B$503,$B467,$E$4:$E$503,"SHORT"))</f>
        <v/>
      </c>
      <c r="AG467" s="42" t="str">
        <f aca="false">IF(OR($AF467="",$K467=0),"",$AF467/$K467)</f>
        <v/>
      </c>
      <c r="AH467" s="46"/>
      <c r="AI467" s="43" t="str">
        <f aca="false">IF(OR($D467="",$AH467="",$Z467=""),"",$Z467-$AH467)</f>
        <v/>
      </c>
      <c r="AJ467" s="49"/>
      <c r="AK467" s="47" t="str">
        <f aca="false">IF($D467="","",IFERROR(MATCH($F467,Config!$A$13:$A$15,0),1))</f>
        <v/>
      </c>
      <c r="AL467" s="47" t="str">
        <f aca="false">IF(OR($D467="",$N467=""),"",IF($E467="LONG",$K467,$O467))</f>
        <v/>
      </c>
      <c r="AM467" s="47" t="str">
        <f aca="false">IF(OR($D467="",$N467=""),"",IF($E467="LONG",$O467,$K467))</f>
        <v/>
      </c>
    </row>
    <row r="468" customFormat="false" ht="15" hidden="false" customHeight="false" outlineLevel="0" collapsed="false">
      <c r="A468" s="49"/>
      <c r="B468" s="5" t="str">
        <f aca="false">IF($D468="","",IF(OR(RIGHT($A468,2)="-L",RIGHT($A468,2)="-S"),LEFT($A468,LEN($A468)-2),$A468))</f>
        <v/>
      </c>
      <c r="C468" s="50"/>
      <c r="D468" s="49"/>
      <c r="E468" s="49"/>
      <c r="F468" s="49"/>
      <c r="G468" s="45"/>
      <c r="H468" s="50"/>
      <c r="I468" s="45"/>
      <c r="J468" s="51"/>
      <c r="K468" s="40" t="str">
        <f aca="false">IF($D468="","",$I468*$J468)</f>
        <v/>
      </c>
      <c r="L468" s="50"/>
      <c r="M468" s="49"/>
      <c r="N468" s="45"/>
      <c r="O468" s="40" t="str">
        <f aca="false">IF(OR($D468="",$N468=""),"",$N468*$J468)</f>
        <v/>
      </c>
      <c r="P468" s="41" t="str">
        <f aca="false">IF(OR($D468="",$L468=""),"",MAX($L468-$H468,0))</f>
        <v/>
      </c>
      <c r="Q468" s="40" t="str">
        <f aca="false">IF(OR($D468="",$N468=""),"",IF($E468="LONG",($N468-$I468)*$J468,($I468-$N468)*$J468))</f>
        <v/>
      </c>
      <c r="R468" s="42" t="str">
        <f aca="false">IF(OR($D468="",$Q468="",$K468=0),"",$Q468/$K468)</f>
        <v/>
      </c>
      <c r="S468" s="43" t="str">
        <f aca="false">IF(OR($D468="",$N468=""),"",MIN(INDEX(Config!$C$13:$C$15,$AK468),INDEX(Config!$B$13:$B$15,$AK468)*$K468)+MIN(INDEX(Config!$C$13:$C$15,$AK468),INDEX(Config!$B$13:$B$15,$AK468)*$O468))</f>
        <v/>
      </c>
      <c r="T468" s="43" t="str">
        <f aca="false">IF(OR($D468="",$N468=""),"",INDEX(Config!$D$13:$D$15,$AK468)*$AL468+INDEX(Config!$E$13:$E$15,$AK468)*$AM468)</f>
        <v/>
      </c>
      <c r="U468" s="43" t="str">
        <f aca="false">IF(OR($D468="",$N468=""),"",INDEX(Config!$F$13:$F$15,$AK468)*($K468+$O468))</f>
        <v/>
      </c>
      <c r="V468" s="43" t="str">
        <f aca="false">IF(OR($D468="",$N468=""),"",INDEX(Config!$G$13:$G$15,$AK468)*($K468+$O468)+INDEX(Config!$H$13:$H$15,$AK468)*$AL468+INDEX(Config!$J$13:$J$15,$AK468))</f>
        <v/>
      </c>
      <c r="W468" s="43" t="str">
        <f aca="false">IF(OR($D468="",$N468=""),"",INDEX(Config!$I$13:$I$15,$AK468)*($S468+$U468+INDEX(Config!$G$13:$G$15,$AK468)*($K468+$O468)))</f>
        <v/>
      </c>
      <c r="X468" s="43" t="str">
        <f aca="false">IF(OR($D468="",$N468=""),"",INDEX(Config!$K$13:$K$15,$AK468)/365*$P468*$K468*Config!$B$8)</f>
        <v/>
      </c>
      <c r="Y468" s="43" t="str">
        <f aca="false">IF(OR($D468="",$N468=""),"",SUM($S468:$X468))</f>
        <v/>
      </c>
      <c r="Z468" s="40" t="str">
        <f aca="false">IF(OR($D468="",$Q468=""),"",$Q468-$Y468)</f>
        <v/>
      </c>
      <c r="AA468" s="42" t="str">
        <f aca="false">IF(OR($D468="",$Z468="",$K468=0),"",$Z468/$K468)</f>
        <v/>
      </c>
      <c r="AB468" s="44" t="str">
        <f aca="false">IF(OR($D468="",$Y468="",$K468=0),"",$Y468/$K468*10000)</f>
        <v/>
      </c>
      <c r="AC468" s="44" t="str">
        <f aca="false">IF(OR($D468="",$G468="",$G468=0,$I468=""),"",IF($E468="LONG",($I468-$G468)/$G468,($G468-$I468)/$G468)*10000)</f>
        <v/>
      </c>
      <c r="AD468" s="45"/>
      <c r="AE468" s="40" t="str">
        <f aca="false">IF(OR($D468="",$N468&lt;&gt;"",$AD468=""),"",IF($E468="LONG",($AD468-$I468)*$J468,($I468-$AD468)*$J468))</f>
        <v/>
      </c>
      <c r="AF468" s="40" t="str">
        <f aca="false">IF(OR($D468="",$E468&lt;&gt;"LONG",$Z468=""),"",$Z468+SUMIFS($Z$4:$Z$503,$B$4:$B$503,$B468,$E$4:$E$503,"SHORT"))</f>
        <v/>
      </c>
      <c r="AG468" s="42" t="str">
        <f aca="false">IF(OR($AF468="",$K468=0),"",$AF468/$K468)</f>
        <v/>
      </c>
      <c r="AH468" s="46"/>
      <c r="AI468" s="43" t="str">
        <f aca="false">IF(OR($D468="",$AH468="",$Z468=""),"",$Z468-$AH468)</f>
        <v/>
      </c>
      <c r="AJ468" s="49"/>
      <c r="AK468" s="47" t="str">
        <f aca="false">IF($D468="","",IFERROR(MATCH($F468,Config!$A$13:$A$15,0),1))</f>
        <v/>
      </c>
      <c r="AL468" s="47" t="str">
        <f aca="false">IF(OR($D468="",$N468=""),"",IF($E468="LONG",$K468,$O468))</f>
        <v/>
      </c>
      <c r="AM468" s="47" t="str">
        <f aca="false">IF(OR($D468="",$N468=""),"",IF($E468="LONG",$O468,$K468))</f>
        <v/>
      </c>
    </row>
    <row r="469" customFormat="false" ht="15" hidden="false" customHeight="false" outlineLevel="0" collapsed="false">
      <c r="A469" s="49"/>
      <c r="B469" s="5" t="str">
        <f aca="false">IF($D469="","",IF(OR(RIGHT($A469,2)="-L",RIGHT($A469,2)="-S"),LEFT($A469,LEN($A469)-2),$A469))</f>
        <v/>
      </c>
      <c r="C469" s="50"/>
      <c r="D469" s="49"/>
      <c r="E469" s="49"/>
      <c r="F469" s="49"/>
      <c r="G469" s="45"/>
      <c r="H469" s="50"/>
      <c r="I469" s="45"/>
      <c r="J469" s="51"/>
      <c r="K469" s="40" t="str">
        <f aca="false">IF($D469="","",$I469*$J469)</f>
        <v/>
      </c>
      <c r="L469" s="50"/>
      <c r="M469" s="49"/>
      <c r="N469" s="45"/>
      <c r="O469" s="40" t="str">
        <f aca="false">IF(OR($D469="",$N469=""),"",$N469*$J469)</f>
        <v/>
      </c>
      <c r="P469" s="41" t="str">
        <f aca="false">IF(OR($D469="",$L469=""),"",MAX($L469-$H469,0))</f>
        <v/>
      </c>
      <c r="Q469" s="40" t="str">
        <f aca="false">IF(OR($D469="",$N469=""),"",IF($E469="LONG",($N469-$I469)*$J469,($I469-$N469)*$J469))</f>
        <v/>
      </c>
      <c r="R469" s="42" t="str">
        <f aca="false">IF(OR($D469="",$Q469="",$K469=0),"",$Q469/$K469)</f>
        <v/>
      </c>
      <c r="S469" s="43" t="str">
        <f aca="false">IF(OR($D469="",$N469=""),"",MIN(INDEX(Config!$C$13:$C$15,$AK469),INDEX(Config!$B$13:$B$15,$AK469)*$K469)+MIN(INDEX(Config!$C$13:$C$15,$AK469),INDEX(Config!$B$13:$B$15,$AK469)*$O469))</f>
        <v/>
      </c>
      <c r="T469" s="43" t="str">
        <f aca="false">IF(OR($D469="",$N469=""),"",INDEX(Config!$D$13:$D$15,$AK469)*$AL469+INDEX(Config!$E$13:$E$15,$AK469)*$AM469)</f>
        <v/>
      </c>
      <c r="U469" s="43" t="str">
        <f aca="false">IF(OR($D469="",$N469=""),"",INDEX(Config!$F$13:$F$15,$AK469)*($K469+$O469))</f>
        <v/>
      </c>
      <c r="V469" s="43" t="str">
        <f aca="false">IF(OR($D469="",$N469=""),"",INDEX(Config!$G$13:$G$15,$AK469)*($K469+$O469)+INDEX(Config!$H$13:$H$15,$AK469)*$AL469+INDEX(Config!$J$13:$J$15,$AK469))</f>
        <v/>
      </c>
      <c r="W469" s="43" t="str">
        <f aca="false">IF(OR($D469="",$N469=""),"",INDEX(Config!$I$13:$I$15,$AK469)*($S469+$U469+INDEX(Config!$G$13:$G$15,$AK469)*($K469+$O469)))</f>
        <v/>
      </c>
      <c r="X469" s="43" t="str">
        <f aca="false">IF(OR($D469="",$N469=""),"",INDEX(Config!$K$13:$K$15,$AK469)/365*$P469*$K469*Config!$B$8)</f>
        <v/>
      </c>
      <c r="Y469" s="43" t="str">
        <f aca="false">IF(OR($D469="",$N469=""),"",SUM($S469:$X469))</f>
        <v/>
      </c>
      <c r="Z469" s="40" t="str">
        <f aca="false">IF(OR($D469="",$Q469=""),"",$Q469-$Y469)</f>
        <v/>
      </c>
      <c r="AA469" s="42" t="str">
        <f aca="false">IF(OR($D469="",$Z469="",$K469=0),"",$Z469/$K469)</f>
        <v/>
      </c>
      <c r="AB469" s="44" t="str">
        <f aca="false">IF(OR($D469="",$Y469="",$K469=0),"",$Y469/$K469*10000)</f>
        <v/>
      </c>
      <c r="AC469" s="44" t="str">
        <f aca="false">IF(OR($D469="",$G469="",$G469=0,$I469=""),"",IF($E469="LONG",($I469-$G469)/$G469,($G469-$I469)/$G469)*10000)</f>
        <v/>
      </c>
      <c r="AD469" s="45"/>
      <c r="AE469" s="40" t="str">
        <f aca="false">IF(OR($D469="",$N469&lt;&gt;"",$AD469=""),"",IF($E469="LONG",($AD469-$I469)*$J469,($I469-$AD469)*$J469))</f>
        <v/>
      </c>
      <c r="AF469" s="40" t="str">
        <f aca="false">IF(OR($D469="",$E469&lt;&gt;"LONG",$Z469=""),"",$Z469+SUMIFS($Z$4:$Z$503,$B$4:$B$503,$B469,$E$4:$E$503,"SHORT"))</f>
        <v/>
      </c>
      <c r="AG469" s="42" t="str">
        <f aca="false">IF(OR($AF469="",$K469=0),"",$AF469/$K469)</f>
        <v/>
      </c>
      <c r="AH469" s="46"/>
      <c r="AI469" s="43" t="str">
        <f aca="false">IF(OR($D469="",$AH469="",$Z469=""),"",$Z469-$AH469)</f>
        <v/>
      </c>
      <c r="AJ469" s="49"/>
      <c r="AK469" s="47" t="str">
        <f aca="false">IF($D469="","",IFERROR(MATCH($F469,Config!$A$13:$A$15,0),1))</f>
        <v/>
      </c>
      <c r="AL469" s="47" t="str">
        <f aca="false">IF(OR($D469="",$N469=""),"",IF($E469="LONG",$K469,$O469))</f>
        <v/>
      </c>
      <c r="AM469" s="47" t="str">
        <f aca="false">IF(OR($D469="",$N469=""),"",IF($E469="LONG",$O469,$K469))</f>
        <v/>
      </c>
    </row>
    <row r="470" customFormat="false" ht="15" hidden="false" customHeight="false" outlineLevel="0" collapsed="false">
      <c r="A470" s="49"/>
      <c r="B470" s="5" t="str">
        <f aca="false">IF($D470="","",IF(OR(RIGHT($A470,2)="-L",RIGHT($A470,2)="-S"),LEFT($A470,LEN($A470)-2),$A470))</f>
        <v/>
      </c>
      <c r="C470" s="50"/>
      <c r="D470" s="49"/>
      <c r="E470" s="49"/>
      <c r="F470" s="49"/>
      <c r="G470" s="45"/>
      <c r="H470" s="50"/>
      <c r="I470" s="45"/>
      <c r="J470" s="51"/>
      <c r="K470" s="40" t="str">
        <f aca="false">IF($D470="","",$I470*$J470)</f>
        <v/>
      </c>
      <c r="L470" s="50"/>
      <c r="M470" s="49"/>
      <c r="N470" s="45"/>
      <c r="O470" s="40" t="str">
        <f aca="false">IF(OR($D470="",$N470=""),"",$N470*$J470)</f>
        <v/>
      </c>
      <c r="P470" s="41" t="str">
        <f aca="false">IF(OR($D470="",$L470=""),"",MAX($L470-$H470,0))</f>
        <v/>
      </c>
      <c r="Q470" s="40" t="str">
        <f aca="false">IF(OR($D470="",$N470=""),"",IF($E470="LONG",($N470-$I470)*$J470,($I470-$N470)*$J470))</f>
        <v/>
      </c>
      <c r="R470" s="42" t="str">
        <f aca="false">IF(OR($D470="",$Q470="",$K470=0),"",$Q470/$K470)</f>
        <v/>
      </c>
      <c r="S470" s="43" t="str">
        <f aca="false">IF(OR($D470="",$N470=""),"",MIN(INDEX(Config!$C$13:$C$15,$AK470),INDEX(Config!$B$13:$B$15,$AK470)*$K470)+MIN(INDEX(Config!$C$13:$C$15,$AK470),INDEX(Config!$B$13:$B$15,$AK470)*$O470))</f>
        <v/>
      </c>
      <c r="T470" s="43" t="str">
        <f aca="false">IF(OR($D470="",$N470=""),"",INDEX(Config!$D$13:$D$15,$AK470)*$AL470+INDEX(Config!$E$13:$E$15,$AK470)*$AM470)</f>
        <v/>
      </c>
      <c r="U470" s="43" t="str">
        <f aca="false">IF(OR($D470="",$N470=""),"",INDEX(Config!$F$13:$F$15,$AK470)*($K470+$O470))</f>
        <v/>
      </c>
      <c r="V470" s="43" t="str">
        <f aca="false">IF(OR($D470="",$N470=""),"",INDEX(Config!$G$13:$G$15,$AK470)*($K470+$O470)+INDEX(Config!$H$13:$H$15,$AK470)*$AL470+INDEX(Config!$J$13:$J$15,$AK470))</f>
        <v/>
      </c>
      <c r="W470" s="43" t="str">
        <f aca="false">IF(OR($D470="",$N470=""),"",INDEX(Config!$I$13:$I$15,$AK470)*($S470+$U470+INDEX(Config!$G$13:$G$15,$AK470)*($K470+$O470)))</f>
        <v/>
      </c>
      <c r="X470" s="43" t="str">
        <f aca="false">IF(OR($D470="",$N470=""),"",INDEX(Config!$K$13:$K$15,$AK470)/365*$P470*$K470*Config!$B$8)</f>
        <v/>
      </c>
      <c r="Y470" s="43" t="str">
        <f aca="false">IF(OR($D470="",$N470=""),"",SUM($S470:$X470))</f>
        <v/>
      </c>
      <c r="Z470" s="40" t="str">
        <f aca="false">IF(OR($D470="",$Q470=""),"",$Q470-$Y470)</f>
        <v/>
      </c>
      <c r="AA470" s="42" t="str">
        <f aca="false">IF(OR($D470="",$Z470="",$K470=0),"",$Z470/$K470)</f>
        <v/>
      </c>
      <c r="AB470" s="44" t="str">
        <f aca="false">IF(OR($D470="",$Y470="",$K470=0),"",$Y470/$K470*10000)</f>
        <v/>
      </c>
      <c r="AC470" s="44" t="str">
        <f aca="false">IF(OR($D470="",$G470="",$G470=0,$I470=""),"",IF($E470="LONG",($I470-$G470)/$G470,($G470-$I470)/$G470)*10000)</f>
        <v/>
      </c>
      <c r="AD470" s="45"/>
      <c r="AE470" s="40" t="str">
        <f aca="false">IF(OR($D470="",$N470&lt;&gt;"",$AD470=""),"",IF($E470="LONG",($AD470-$I470)*$J470,($I470-$AD470)*$J470))</f>
        <v/>
      </c>
      <c r="AF470" s="40" t="str">
        <f aca="false">IF(OR($D470="",$E470&lt;&gt;"LONG",$Z470=""),"",$Z470+SUMIFS($Z$4:$Z$503,$B$4:$B$503,$B470,$E$4:$E$503,"SHORT"))</f>
        <v/>
      </c>
      <c r="AG470" s="42" t="str">
        <f aca="false">IF(OR($AF470="",$K470=0),"",$AF470/$K470)</f>
        <v/>
      </c>
      <c r="AH470" s="46"/>
      <c r="AI470" s="43" t="str">
        <f aca="false">IF(OR($D470="",$AH470="",$Z470=""),"",$Z470-$AH470)</f>
        <v/>
      </c>
      <c r="AJ470" s="49"/>
      <c r="AK470" s="47" t="str">
        <f aca="false">IF($D470="","",IFERROR(MATCH($F470,Config!$A$13:$A$15,0),1))</f>
        <v/>
      </c>
      <c r="AL470" s="47" t="str">
        <f aca="false">IF(OR($D470="",$N470=""),"",IF($E470="LONG",$K470,$O470))</f>
        <v/>
      </c>
      <c r="AM470" s="47" t="str">
        <f aca="false">IF(OR($D470="",$N470=""),"",IF($E470="LONG",$O470,$K470))</f>
        <v/>
      </c>
    </row>
    <row r="471" customFormat="false" ht="15" hidden="false" customHeight="false" outlineLevel="0" collapsed="false">
      <c r="A471" s="49"/>
      <c r="B471" s="5" t="str">
        <f aca="false">IF($D471="","",IF(OR(RIGHT($A471,2)="-L",RIGHT($A471,2)="-S"),LEFT($A471,LEN($A471)-2),$A471))</f>
        <v/>
      </c>
      <c r="C471" s="50"/>
      <c r="D471" s="49"/>
      <c r="E471" s="49"/>
      <c r="F471" s="49"/>
      <c r="G471" s="45"/>
      <c r="H471" s="50"/>
      <c r="I471" s="45"/>
      <c r="J471" s="51"/>
      <c r="K471" s="40" t="str">
        <f aca="false">IF($D471="","",$I471*$J471)</f>
        <v/>
      </c>
      <c r="L471" s="50"/>
      <c r="M471" s="49"/>
      <c r="N471" s="45"/>
      <c r="O471" s="40" t="str">
        <f aca="false">IF(OR($D471="",$N471=""),"",$N471*$J471)</f>
        <v/>
      </c>
      <c r="P471" s="41" t="str">
        <f aca="false">IF(OR($D471="",$L471=""),"",MAX($L471-$H471,0))</f>
        <v/>
      </c>
      <c r="Q471" s="40" t="str">
        <f aca="false">IF(OR($D471="",$N471=""),"",IF($E471="LONG",($N471-$I471)*$J471,($I471-$N471)*$J471))</f>
        <v/>
      </c>
      <c r="R471" s="42" t="str">
        <f aca="false">IF(OR($D471="",$Q471="",$K471=0),"",$Q471/$K471)</f>
        <v/>
      </c>
      <c r="S471" s="43" t="str">
        <f aca="false">IF(OR($D471="",$N471=""),"",MIN(INDEX(Config!$C$13:$C$15,$AK471),INDEX(Config!$B$13:$B$15,$AK471)*$K471)+MIN(INDEX(Config!$C$13:$C$15,$AK471),INDEX(Config!$B$13:$B$15,$AK471)*$O471))</f>
        <v/>
      </c>
      <c r="T471" s="43" t="str">
        <f aca="false">IF(OR($D471="",$N471=""),"",INDEX(Config!$D$13:$D$15,$AK471)*$AL471+INDEX(Config!$E$13:$E$15,$AK471)*$AM471)</f>
        <v/>
      </c>
      <c r="U471" s="43" t="str">
        <f aca="false">IF(OR($D471="",$N471=""),"",INDEX(Config!$F$13:$F$15,$AK471)*($K471+$O471))</f>
        <v/>
      </c>
      <c r="V471" s="43" t="str">
        <f aca="false">IF(OR($D471="",$N471=""),"",INDEX(Config!$G$13:$G$15,$AK471)*($K471+$O471)+INDEX(Config!$H$13:$H$15,$AK471)*$AL471+INDEX(Config!$J$13:$J$15,$AK471))</f>
        <v/>
      </c>
      <c r="W471" s="43" t="str">
        <f aca="false">IF(OR($D471="",$N471=""),"",INDEX(Config!$I$13:$I$15,$AK471)*($S471+$U471+INDEX(Config!$G$13:$G$15,$AK471)*($K471+$O471)))</f>
        <v/>
      </c>
      <c r="X471" s="43" t="str">
        <f aca="false">IF(OR($D471="",$N471=""),"",INDEX(Config!$K$13:$K$15,$AK471)/365*$P471*$K471*Config!$B$8)</f>
        <v/>
      </c>
      <c r="Y471" s="43" t="str">
        <f aca="false">IF(OR($D471="",$N471=""),"",SUM($S471:$X471))</f>
        <v/>
      </c>
      <c r="Z471" s="40" t="str">
        <f aca="false">IF(OR($D471="",$Q471=""),"",$Q471-$Y471)</f>
        <v/>
      </c>
      <c r="AA471" s="42" t="str">
        <f aca="false">IF(OR($D471="",$Z471="",$K471=0),"",$Z471/$K471)</f>
        <v/>
      </c>
      <c r="AB471" s="44" t="str">
        <f aca="false">IF(OR($D471="",$Y471="",$K471=0),"",$Y471/$K471*10000)</f>
        <v/>
      </c>
      <c r="AC471" s="44" t="str">
        <f aca="false">IF(OR($D471="",$G471="",$G471=0,$I471=""),"",IF($E471="LONG",($I471-$G471)/$G471,($G471-$I471)/$G471)*10000)</f>
        <v/>
      </c>
      <c r="AD471" s="45"/>
      <c r="AE471" s="40" t="str">
        <f aca="false">IF(OR($D471="",$N471&lt;&gt;"",$AD471=""),"",IF($E471="LONG",($AD471-$I471)*$J471,($I471-$AD471)*$J471))</f>
        <v/>
      </c>
      <c r="AF471" s="40" t="str">
        <f aca="false">IF(OR($D471="",$E471&lt;&gt;"LONG",$Z471=""),"",$Z471+SUMIFS($Z$4:$Z$503,$B$4:$B$503,$B471,$E$4:$E$503,"SHORT"))</f>
        <v/>
      </c>
      <c r="AG471" s="42" t="str">
        <f aca="false">IF(OR($AF471="",$K471=0),"",$AF471/$K471)</f>
        <v/>
      </c>
      <c r="AH471" s="46"/>
      <c r="AI471" s="43" t="str">
        <f aca="false">IF(OR($D471="",$AH471="",$Z471=""),"",$Z471-$AH471)</f>
        <v/>
      </c>
      <c r="AJ471" s="49"/>
      <c r="AK471" s="47" t="str">
        <f aca="false">IF($D471="","",IFERROR(MATCH($F471,Config!$A$13:$A$15,0),1))</f>
        <v/>
      </c>
      <c r="AL471" s="47" t="str">
        <f aca="false">IF(OR($D471="",$N471=""),"",IF($E471="LONG",$K471,$O471))</f>
        <v/>
      </c>
      <c r="AM471" s="47" t="str">
        <f aca="false">IF(OR($D471="",$N471=""),"",IF($E471="LONG",$O471,$K471))</f>
        <v/>
      </c>
    </row>
    <row r="472" customFormat="false" ht="15" hidden="false" customHeight="false" outlineLevel="0" collapsed="false">
      <c r="A472" s="49"/>
      <c r="B472" s="5" t="str">
        <f aca="false">IF($D472="","",IF(OR(RIGHT($A472,2)="-L",RIGHT($A472,2)="-S"),LEFT($A472,LEN($A472)-2),$A472))</f>
        <v/>
      </c>
      <c r="C472" s="50"/>
      <c r="D472" s="49"/>
      <c r="E472" s="49"/>
      <c r="F472" s="49"/>
      <c r="G472" s="45"/>
      <c r="H472" s="50"/>
      <c r="I472" s="45"/>
      <c r="J472" s="51"/>
      <c r="K472" s="40" t="str">
        <f aca="false">IF($D472="","",$I472*$J472)</f>
        <v/>
      </c>
      <c r="L472" s="50"/>
      <c r="M472" s="49"/>
      <c r="N472" s="45"/>
      <c r="O472" s="40" t="str">
        <f aca="false">IF(OR($D472="",$N472=""),"",$N472*$J472)</f>
        <v/>
      </c>
      <c r="P472" s="41" t="str">
        <f aca="false">IF(OR($D472="",$L472=""),"",MAX($L472-$H472,0))</f>
        <v/>
      </c>
      <c r="Q472" s="40" t="str">
        <f aca="false">IF(OR($D472="",$N472=""),"",IF($E472="LONG",($N472-$I472)*$J472,($I472-$N472)*$J472))</f>
        <v/>
      </c>
      <c r="R472" s="42" t="str">
        <f aca="false">IF(OR($D472="",$Q472="",$K472=0),"",$Q472/$K472)</f>
        <v/>
      </c>
      <c r="S472" s="43" t="str">
        <f aca="false">IF(OR($D472="",$N472=""),"",MIN(INDEX(Config!$C$13:$C$15,$AK472),INDEX(Config!$B$13:$B$15,$AK472)*$K472)+MIN(INDEX(Config!$C$13:$C$15,$AK472),INDEX(Config!$B$13:$B$15,$AK472)*$O472))</f>
        <v/>
      </c>
      <c r="T472" s="43" t="str">
        <f aca="false">IF(OR($D472="",$N472=""),"",INDEX(Config!$D$13:$D$15,$AK472)*$AL472+INDEX(Config!$E$13:$E$15,$AK472)*$AM472)</f>
        <v/>
      </c>
      <c r="U472" s="43" t="str">
        <f aca="false">IF(OR($D472="",$N472=""),"",INDEX(Config!$F$13:$F$15,$AK472)*($K472+$O472))</f>
        <v/>
      </c>
      <c r="V472" s="43" t="str">
        <f aca="false">IF(OR($D472="",$N472=""),"",INDEX(Config!$G$13:$G$15,$AK472)*($K472+$O472)+INDEX(Config!$H$13:$H$15,$AK472)*$AL472+INDEX(Config!$J$13:$J$15,$AK472))</f>
        <v/>
      </c>
      <c r="W472" s="43" t="str">
        <f aca="false">IF(OR($D472="",$N472=""),"",INDEX(Config!$I$13:$I$15,$AK472)*($S472+$U472+INDEX(Config!$G$13:$G$15,$AK472)*($K472+$O472)))</f>
        <v/>
      </c>
      <c r="X472" s="43" t="str">
        <f aca="false">IF(OR($D472="",$N472=""),"",INDEX(Config!$K$13:$K$15,$AK472)/365*$P472*$K472*Config!$B$8)</f>
        <v/>
      </c>
      <c r="Y472" s="43" t="str">
        <f aca="false">IF(OR($D472="",$N472=""),"",SUM($S472:$X472))</f>
        <v/>
      </c>
      <c r="Z472" s="40" t="str">
        <f aca="false">IF(OR($D472="",$Q472=""),"",$Q472-$Y472)</f>
        <v/>
      </c>
      <c r="AA472" s="42" t="str">
        <f aca="false">IF(OR($D472="",$Z472="",$K472=0),"",$Z472/$K472)</f>
        <v/>
      </c>
      <c r="AB472" s="44" t="str">
        <f aca="false">IF(OR($D472="",$Y472="",$K472=0),"",$Y472/$K472*10000)</f>
        <v/>
      </c>
      <c r="AC472" s="44" t="str">
        <f aca="false">IF(OR($D472="",$G472="",$G472=0,$I472=""),"",IF($E472="LONG",($I472-$G472)/$G472,($G472-$I472)/$G472)*10000)</f>
        <v/>
      </c>
      <c r="AD472" s="45"/>
      <c r="AE472" s="40" t="str">
        <f aca="false">IF(OR($D472="",$N472&lt;&gt;"",$AD472=""),"",IF($E472="LONG",($AD472-$I472)*$J472,($I472-$AD472)*$J472))</f>
        <v/>
      </c>
      <c r="AF472" s="40" t="str">
        <f aca="false">IF(OR($D472="",$E472&lt;&gt;"LONG",$Z472=""),"",$Z472+SUMIFS($Z$4:$Z$503,$B$4:$B$503,$B472,$E$4:$E$503,"SHORT"))</f>
        <v/>
      </c>
      <c r="AG472" s="42" t="str">
        <f aca="false">IF(OR($AF472="",$K472=0),"",$AF472/$K472)</f>
        <v/>
      </c>
      <c r="AH472" s="46"/>
      <c r="AI472" s="43" t="str">
        <f aca="false">IF(OR($D472="",$AH472="",$Z472=""),"",$Z472-$AH472)</f>
        <v/>
      </c>
      <c r="AJ472" s="49"/>
      <c r="AK472" s="47" t="str">
        <f aca="false">IF($D472="","",IFERROR(MATCH($F472,Config!$A$13:$A$15,0),1))</f>
        <v/>
      </c>
      <c r="AL472" s="47" t="str">
        <f aca="false">IF(OR($D472="",$N472=""),"",IF($E472="LONG",$K472,$O472))</f>
        <v/>
      </c>
      <c r="AM472" s="47" t="str">
        <f aca="false">IF(OR($D472="",$N472=""),"",IF($E472="LONG",$O472,$K472))</f>
        <v/>
      </c>
    </row>
    <row r="473" customFormat="false" ht="15" hidden="false" customHeight="false" outlineLevel="0" collapsed="false">
      <c r="A473" s="49"/>
      <c r="B473" s="5" t="str">
        <f aca="false">IF($D473="","",IF(OR(RIGHT($A473,2)="-L",RIGHT($A473,2)="-S"),LEFT($A473,LEN($A473)-2),$A473))</f>
        <v/>
      </c>
      <c r="C473" s="50"/>
      <c r="D473" s="49"/>
      <c r="E473" s="49"/>
      <c r="F473" s="49"/>
      <c r="G473" s="45"/>
      <c r="H473" s="50"/>
      <c r="I473" s="45"/>
      <c r="J473" s="51"/>
      <c r="K473" s="40" t="str">
        <f aca="false">IF($D473="","",$I473*$J473)</f>
        <v/>
      </c>
      <c r="L473" s="50"/>
      <c r="M473" s="49"/>
      <c r="N473" s="45"/>
      <c r="O473" s="40" t="str">
        <f aca="false">IF(OR($D473="",$N473=""),"",$N473*$J473)</f>
        <v/>
      </c>
      <c r="P473" s="41" t="str">
        <f aca="false">IF(OR($D473="",$L473=""),"",MAX($L473-$H473,0))</f>
        <v/>
      </c>
      <c r="Q473" s="40" t="str">
        <f aca="false">IF(OR($D473="",$N473=""),"",IF($E473="LONG",($N473-$I473)*$J473,($I473-$N473)*$J473))</f>
        <v/>
      </c>
      <c r="R473" s="42" t="str">
        <f aca="false">IF(OR($D473="",$Q473="",$K473=0),"",$Q473/$K473)</f>
        <v/>
      </c>
      <c r="S473" s="43" t="str">
        <f aca="false">IF(OR($D473="",$N473=""),"",MIN(INDEX(Config!$C$13:$C$15,$AK473),INDEX(Config!$B$13:$B$15,$AK473)*$K473)+MIN(INDEX(Config!$C$13:$C$15,$AK473),INDEX(Config!$B$13:$B$15,$AK473)*$O473))</f>
        <v/>
      </c>
      <c r="T473" s="43" t="str">
        <f aca="false">IF(OR($D473="",$N473=""),"",INDEX(Config!$D$13:$D$15,$AK473)*$AL473+INDEX(Config!$E$13:$E$15,$AK473)*$AM473)</f>
        <v/>
      </c>
      <c r="U473" s="43" t="str">
        <f aca="false">IF(OR($D473="",$N473=""),"",INDEX(Config!$F$13:$F$15,$AK473)*($K473+$O473))</f>
        <v/>
      </c>
      <c r="V473" s="43" t="str">
        <f aca="false">IF(OR($D473="",$N473=""),"",INDEX(Config!$G$13:$G$15,$AK473)*($K473+$O473)+INDEX(Config!$H$13:$H$15,$AK473)*$AL473+INDEX(Config!$J$13:$J$15,$AK473))</f>
        <v/>
      </c>
      <c r="W473" s="43" t="str">
        <f aca="false">IF(OR($D473="",$N473=""),"",INDEX(Config!$I$13:$I$15,$AK473)*($S473+$U473+INDEX(Config!$G$13:$G$15,$AK473)*($K473+$O473)))</f>
        <v/>
      </c>
      <c r="X473" s="43" t="str">
        <f aca="false">IF(OR($D473="",$N473=""),"",INDEX(Config!$K$13:$K$15,$AK473)/365*$P473*$K473*Config!$B$8)</f>
        <v/>
      </c>
      <c r="Y473" s="43" t="str">
        <f aca="false">IF(OR($D473="",$N473=""),"",SUM($S473:$X473))</f>
        <v/>
      </c>
      <c r="Z473" s="40" t="str">
        <f aca="false">IF(OR($D473="",$Q473=""),"",$Q473-$Y473)</f>
        <v/>
      </c>
      <c r="AA473" s="42" t="str">
        <f aca="false">IF(OR($D473="",$Z473="",$K473=0),"",$Z473/$K473)</f>
        <v/>
      </c>
      <c r="AB473" s="44" t="str">
        <f aca="false">IF(OR($D473="",$Y473="",$K473=0),"",$Y473/$K473*10000)</f>
        <v/>
      </c>
      <c r="AC473" s="44" t="str">
        <f aca="false">IF(OR($D473="",$G473="",$G473=0,$I473=""),"",IF($E473="LONG",($I473-$G473)/$G473,($G473-$I473)/$G473)*10000)</f>
        <v/>
      </c>
      <c r="AD473" s="45"/>
      <c r="AE473" s="40" t="str">
        <f aca="false">IF(OR($D473="",$N473&lt;&gt;"",$AD473=""),"",IF($E473="LONG",($AD473-$I473)*$J473,($I473-$AD473)*$J473))</f>
        <v/>
      </c>
      <c r="AF473" s="40" t="str">
        <f aca="false">IF(OR($D473="",$E473&lt;&gt;"LONG",$Z473=""),"",$Z473+SUMIFS($Z$4:$Z$503,$B$4:$B$503,$B473,$E$4:$E$503,"SHORT"))</f>
        <v/>
      </c>
      <c r="AG473" s="42" t="str">
        <f aca="false">IF(OR($AF473="",$K473=0),"",$AF473/$K473)</f>
        <v/>
      </c>
      <c r="AH473" s="46"/>
      <c r="AI473" s="43" t="str">
        <f aca="false">IF(OR($D473="",$AH473="",$Z473=""),"",$Z473-$AH473)</f>
        <v/>
      </c>
      <c r="AJ473" s="49"/>
      <c r="AK473" s="47" t="str">
        <f aca="false">IF($D473="","",IFERROR(MATCH($F473,Config!$A$13:$A$15,0),1))</f>
        <v/>
      </c>
      <c r="AL473" s="47" t="str">
        <f aca="false">IF(OR($D473="",$N473=""),"",IF($E473="LONG",$K473,$O473))</f>
        <v/>
      </c>
      <c r="AM473" s="47" t="str">
        <f aca="false">IF(OR($D473="",$N473=""),"",IF($E473="LONG",$O473,$K473))</f>
        <v/>
      </c>
    </row>
    <row r="474" customFormat="false" ht="15" hidden="false" customHeight="false" outlineLevel="0" collapsed="false">
      <c r="A474" s="49"/>
      <c r="B474" s="5" t="str">
        <f aca="false">IF($D474="","",IF(OR(RIGHT($A474,2)="-L",RIGHT($A474,2)="-S"),LEFT($A474,LEN($A474)-2),$A474))</f>
        <v/>
      </c>
      <c r="C474" s="50"/>
      <c r="D474" s="49"/>
      <c r="E474" s="49"/>
      <c r="F474" s="49"/>
      <c r="G474" s="45"/>
      <c r="H474" s="50"/>
      <c r="I474" s="45"/>
      <c r="J474" s="51"/>
      <c r="K474" s="40" t="str">
        <f aca="false">IF($D474="","",$I474*$J474)</f>
        <v/>
      </c>
      <c r="L474" s="50"/>
      <c r="M474" s="49"/>
      <c r="N474" s="45"/>
      <c r="O474" s="40" t="str">
        <f aca="false">IF(OR($D474="",$N474=""),"",$N474*$J474)</f>
        <v/>
      </c>
      <c r="P474" s="41" t="str">
        <f aca="false">IF(OR($D474="",$L474=""),"",MAX($L474-$H474,0))</f>
        <v/>
      </c>
      <c r="Q474" s="40" t="str">
        <f aca="false">IF(OR($D474="",$N474=""),"",IF($E474="LONG",($N474-$I474)*$J474,($I474-$N474)*$J474))</f>
        <v/>
      </c>
      <c r="R474" s="42" t="str">
        <f aca="false">IF(OR($D474="",$Q474="",$K474=0),"",$Q474/$K474)</f>
        <v/>
      </c>
      <c r="S474" s="43" t="str">
        <f aca="false">IF(OR($D474="",$N474=""),"",MIN(INDEX(Config!$C$13:$C$15,$AK474),INDEX(Config!$B$13:$B$15,$AK474)*$K474)+MIN(INDEX(Config!$C$13:$C$15,$AK474),INDEX(Config!$B$13:$B$15,$AK474)*$O474))</f>
        <v/>
      </c>
      <c r="T474" s="43" t="str">
        <f aca="false">IF(OR($D474="",$N474=""),"",INDEX(Config!$D$13:$D$15,$AK474)*$AL474+INDEX(Config!$E$13:$E$15,$AK474)*$AM474)</f>
        <v/>
      </c>
      <c r="U474" s="43" t="str">
        <f aca="false">IF(OR($D474="",$N474=""),"",INDEX(Config!$F$13:$F$15,$AK474)*($K474+$O474))</f>
        <v/>
      </c>
      <c r="V474" s="43" t="str">
        <f aca="false">IF(OR($D474="",$N474=""),"",INDEX(Config!$G$13:$G$15,$AK474)*($K474+$O474)+INDEX(Config!$H$13:$H$15,$AK474)*$AL474+INDEX(Config!$J$13:$J$15,$AK474))</f>
        <v/>
      </c>
      <c r="W474" s="43" t="str">
        <f aca="false">IF(OR($D474="",$N474=""),"",INDEX(Config!$I$13:$I$15,$AK474)*($S474+$U474+INDEX(Config!$G$13:$G$15,$AK474)*($K474+$O474)))</f>
        <v/>
      </c>
      <c r="X474" s="43" t="str">
        <f aca="false">IF(OR($D474="",$N474=""),"",INDEX(Config!$K$13:$K$15,$AK474)/365*$P474*$K474*Config!$B$8)</f>
        <v/>
      </c>
      <c r="Y474" s="43" t="str">
        <f aca="false">IF(OR($D474="",$N474=""),"",SUM($S474:$X474))</f>
        <v/>
      </c>
      <c r="Z474" s="40" t="str">
        <f aca="false">IF(OR($D474="",$Q474=""),"",$Q474-$Y474)</f>
        <v/>
      </c>
      <c r="AA474" s="42" t="str">
        <f aca="false">IF(OR($D474="",$Z474="",$K474=0),"",$Z474/$K474)</f>
        <v/>
      </c>
      <c r="AB474" s="44" t="str">
        <f aca="false">IF(OR($D474="",$Y474="",$K474=0),"",$Y474/$K474*10000)</f>
        <v/>
      </c>
      <c r="AC474" s="44" t="str">
        <f aca="false">IF(OR($D474="",$G474="",$G474=0,$I474=""),"",IF($E474="LONG",($I474-$G474)/$G474,($G474-$I474)/$G474)*10000)</f>
        <v/>
      </c>
      <c r="AD474" s="45"/>
      <c r="AE474" s="40" t="str">
        <f aca="false">IF(OR($D474="",$N474&lt;&gt;"",$AD474=""),"",IF($E474="LONG",($AD474-$I474)*$J474,($I474-$AD474)*$J474))</f>
        <v/>
      </c>
      <c r="AF474" s="40" t="str">
        <f aca="false">IF(OR($D474="",$E474&lt;&gt;"LONG",$Z474=""),"",$Z474+SUMIFS($Z$4:$Z$503,$B$4:$B$503,$B474,$E$4:$E$503,"SHORT"))</f>
        <v/>
      </c>
      <c r="AG474" s="42" t="str">
        <f aca="false">IF(OR($AF474="",$K474=0),"",$AF474/$K474)</f>
        <v/>
      </c>
      <c r="AH474" s="46"/>
      <c r="AI474" s="43" t="str">
        <f aca="false">IF(OR($D474="",$AH474="",$Z474=""),"",$Z474-$AH474)</f>
        <v/>
      </c>
      <c r="AJ474" s="49"/>
      <c r="AK474" s="47" t="str">
        <f aca="false">IF($D474="","",IFERROR(MATCH($F474,Config!$A$13:$A$15,0),1))</f>
        <v/>
      </c>
      <c r="AL474" s="47" t="str">
        <f aca="false">IF(OR($D474="",$N474=""),"",IF($E474="LONG",$K474,$O474))</f>
        <v/>
      </c>
      <c r="AM474" s="47" t="str">
        <f aca="false">IF(OR($D474="",$N474=""),"",IF($E474="LONG",$O474,$K474))</f>
        <v/>
      </c>
    </row>
    <row r="475" customFormat="false" ht="15" hidden="false" customHeight="false" outlineLevel="0" collapsed="false">
      <c r="A475" s="49"/>
      <c r="B475" s="5" t="str">
        <f aca="false">IF($D475="","",IF(OR(RIGHT($A475,2)="-L",RIGHT($A475,2)="-S"),LEFT($A475,LEN($A475)-2),$A475))</f>
        <v/>
      </c>
      <c r="C475" s="50"/>
      <c r="D475" s="49"/>
      <c r="E475" s="49"/>
      <c r="F475" s="49"/>
      <c r="G475" s="45"/>
      <c r="H475" s="50"/>
      <c r="I475" s="45"/>
      <c r="J475" s="51"/>
      <c r="K475" s="40" t="str">
        <f aca="false">IF($D475="","",$I475*$J475)</f>
        <v/>
      </c>
      <c r="L475" s="50"/>
      <c r="M475" s="49"/>
      <c r="N475" s="45"/>
      <c r="O475" s="40" t="str">
        <f aca="false">IF(OR($D475="",$N475=""),"",$N475*$J475)</f>
        <v/>
      </c>
      <c r="P475" s="41" t="str">
        <f aca="false">IF(OR($D475="",$L475=""),"",MAX($L475-$H475,0))</f>
        <v/>
      </c>
      <c r="Q475" s="40" t="str">
        <f aca="false">IF(OR($D475="",$N475=""),"",IF($E475="LONG",($N475-$I475)*$J475,($I475-$N475)*$J475))</f>
        <v/>
      </c>
      <c r="R475" s="42" t="str">
        <f aca="false">IF(OR($D475="",$Q475="",$K475=0),"",$Q475/$K475)</f>
        <v/>
      </c>
      <c r="S475" s="43" t="str">
        <f aca="false">IF(OR($D475="",$N475=""),"",MIN(INDEX(Config!$C$13:$C$15,$AK475),INDEX(Config!$B$13:$B$15,$AK475)*$K475)+MIN(INDEX(Config!$C$13:$C$15,$AK475),INDEX(Config!$B$13:$B$15,$AK475)*$O475))</f>
        <v/>
      </c>
      <c r="T475" s="43" t="str">
        <f aca="false">IF(OR($D475="",$N475=""),"",INDEX(Config!$D$13:$D$15,$AK475)*$AL475+INDEX(Config!$E$13:$E$15,$AK475)*$AM475)</f>
        <v/>
      </c>
      <c r="U475" s="43" t="str">
        <f aca="false">IF(OR($D475="",$N475=""),"",INDEX(Config!$F$13:$F$15,$AK475)*($K475+$O475))</f>
        <v/>
      </c>
      <c r="V475" s="43" t="str">
        <f aca="false">IF(OR($D475="",$N475=""),"",INDEX(Config!$G$13:$G$15,$AK475)*($K475+$O475)+INDEX(Config!$H$13:$H$15,$AK475)*$AL475+INDEX(Config!$J$13:$J$15,$AK475))</f>
        <v/>
      </c>
      <c r="W475" s="43" t="str">
        <f aca="false">IF(OR($D475="",$N475=""),"",INDEX(Config!$I$13:$I$15,$AK475)*($S475+$U475+INDEX(Config!$G$13:$G$15,$AK475)*($K475+$O475)))</f>
        <v/>
      </c>
      <c r="X475" s="43" t="str">
        <f aca="false">IF(OR($D475="",$N475=""),"",INDEX(Config!$K$13:$K$15,$AK475)/365*$P475*$K475*Config!$B$8)</f>
        <v/>
      </c>
      <c r="Y475" s="43" t="str">
        <f aca="false">IF(OR($D475="",$N475=""),"",SUM($S475:$X475))</f>
        <v/>
      </c>
      <c r="Z475" s="40" t="str">
        <f aca="false">IF(OR($D475="",$Q475=""),"",$Q475-$Y475)</f>
        <v/>
      </c>
      <c r="AA475" s="42" t="str">
        <f aca="false">IF(OR($D475="",$Z475="",$K475=0),"",$Z475/$K475)</f>
        <v/>
      </c>
      <c r="AB475" s="44" t="str">
        <f aca="false">IF(OR($D475="",$Y475="",$K475=0),"",$Y475/$K475*10000)</f>
        <v/>
      </c>
      <c r="AC475" s="44" t="str">
        <f aca="false">IF(OR($D475="",$G475="",$G475=0,$I475=""),"",IF($E475="LONG",($I475-$G475)/$G475,($G475-$I475)/$G475)*10000)</f>
        <v/>
      </c>
      <c r="AD475" s="45"/>
      <c r="AE475" s="40" t="str">
        <f aca="false">IF(OR($D475="",$N475&lt;&gt;"",$AD475=""),"",IF($E475="LONG",($AD475-$I475)*$J475,($I475-$AD475)*$J475))</f>
        <v/>
      </c>
      <c r="AF475" s="40" t="str">
        <f aca="false">IF(OR($D475="",$E475&lt;&gt;"LONG",$Z475=""),"",$Z475+SUMIFS($Z$4:$Z$503,$B$4:$B$503,$B475,$E$4:$E$503,"SHORT"))</f>
        <v/>
      </c>
      <c r="AG475" s="42" t="str">
        <f aca="false">IF(OR($AF475="",$K475=0),"",$AF475/$K475)</f>
        <v/>
      </c>
      <c r="AH475" s="46"/>
      <c r="AI475" s="43" t="str">
        <f aca="false">IF(OR($D475="",$AH475="",$Z475=""),"",$Z475-$AH475)</f>
        <v/>
      </c>
      <c r="AJ475" s="49"/>
      <c r="AK475" s="47" t="str">
        <f aca="false">IF($D475="","",IFERROR(MATCH($F475,Config!$A$13:$A$15,0),1))</f>
        <v/>
      </c>
      <c r="AL475" s="47" t="str">
        <f aca="false">IF(OR($D475="",$N475=""),"",IF($E475="LONG",$K475,$O475))</f>
        <v/>
      </c>
      <c r="AM475" s="47" t="str">
        <f aca="false">IF(OR($D475="",$N475=""),"",IF($E475="LONG",$O475,$K475))</f>
        <v/>
      </c>
    </row>
    <row r="476" customFormat="false" ht="15" hidden="false" customHeight="false" outlineLevel="0" collapsed="false">
      <c r="A476" s="49"/>
      <c r="B476" s="5" t="str">
        <f aca="false">IF($D476="","",IF(OR(RIGHT($A476,2)="-L",RIGHT($A476,2)="-S"),LEFT($A476,LEN($A476)-2),$A476))</f>
        <v/>
      </c>
      <c r="C476" s="50"/>
      <c r="D476" s="49"/>
      <c r="E476" s="49"/>
      <c r="F476" s="49"/>
      <c r="G476" s="45"/>
      <c r="H476" s="50"/>
      <c r="I476" s="45"/>
      <c r="J476" s="51"/>
      <c r="K476" s="40" t="str">
        <f aca="false">IF($D476="","",$I476*$J476)</f>
        <v/>
      </c>
      <c r="L476" s="50"/>
      <c r="M476" s="49"/>
      <c r="N476" s="45"/>
      <c r="O476" s="40" t="str">
        <f aca="false">IF(OR($D476="",$N476=""),"",$N476*$J476)</f>
        <v/>
      </c>
      <c r="P476" s="41" t="str">
        <f aca="false">IF(OR($D476="",$L476=""),"",MAX($L476-$H476,0))</f>
        <v/>
      </c>
      <c r="Q476" s="40" t="str">
        <f aca="false">IF(OR($D476="",$N476=""),"",IF($E476="LONG",($N476-$I476)*$J476,($I476-$N476)*$J476))</f>
        <v/>
      </c>
      <c r="R476" s="42" t="str">
        <f aca="false">IF(OR($D476="",$Q476="",$K476=0),"",$Q476/$K476)</f>
        <v/>
      </c>
      <c r="S476" s="43" t="str">
        <f aca="false">IF(OR($D476="",$N476=""),"",MIN(INDEX(Config!$C$13:$C$15,$AK476),INDEX(Config!$B$13:$B$15,$AK476)*$K476)+MIN(INDEX(Config!$C$13:$C$15,$AK476),INDEX(Config!$B$13:$B$15,$AK476)*$O476))</f>
        <v/>
      </c>
      <c r="T476" s="43" t="str">
        <f aca="false">IF(OR($D476="",$N476=""),"",INDEX(Config!$D$13:$D$15,$AK476)*$AL476+INDEX(Config!$E$13:$E$15,$AK476)*$AM476)</f>
        <v/>
      </c>
      <c r="U476" s="43" t="str">
        <f aca="false">IF(OR($D476="",$N476=""),"",INDEX(Config!$F$13:$F$15,$AK476)*($K476+$O476))</f>
        <v/>
      </c>
      <c r="V476" s="43" t="str">
        <f aca="false">IF(OR($D476="",$N476=""),"",INDEX(Config!$G$13:$G$15,$AK476)*($K476+$O476)+INDEX(Config!$H$13:$H$15,$AK476)*$AL476+INDEX(Config!$J$13:$J$15,$AK476))</f>
        <v/>
      </c>
      <c r="W476" s="43" t="str">
        <f aca="false">IF(OR($D476="",$N476=""),"",INDEX(Config!$I$13:$I$15,$AK476)*($S476+$U476+INDEX(Config!$G$13:$G$15,$AK476)*($K476+$O476)))</f>
        <v/>
      </c>
      <c r="X476" s="43" t="str">
        <f aca="false">IF(OR($D476="",$N476=""),"",INDEX(Config!$K$13:$K$15,$AK476)/365*$P476*$K476*Config!$B$8)</f>
        <v/>
      </c>
      <c r="Y476" s="43" t="str">
        <f aca="false">IF(OR($D476="",$N476=""),"",SUM($S476:$X476))</f>
        <v/>
      </c>
      <c r="Z476" s="40" t="str">
        <f aca="false">IF(OR($D476="",$Q476=""),"",$Q476-$Y476)</f>
        <v/>
      </c>
      <c r="AA476" s="42" t="str">
        <f aca="false">IF(OR($D476="",$Z476="",$K476=0),"",$Z476/$K476)</f>
        <v/>
      </c>
      <c r="AB476" s="44" t="str">
        <f aca="false">IF(OR($D476="",$Y476="",$K476=0),"",$Y476/$K476*10000)</f>
        <v/>
      </c>
      <c r="AC476" s="44" t="str">
        <f aca="false">IF(OR($D476="",$G476="",$G476=0,$I476=""),"",IF($E476="LONG",($I476-$G476)/$G476,($G476-$I476)/$G476)*10000)</f>
        <v/>
      </c>
      <c r="AD476" s="45"/>
      <c r="AE476" s="40" t="str">
        <f aca="false">IF(OR($D476="",$N476&lt;&gt;"",$AD476=""),"",IF($E476="LONG",($AD476-$I476)*$J476,($I476-$AD476)*$J476))</f>
        <v/>
      </c>
      <c r="AF476" s="40" t="str">
        <f aca="false">IF(OR($D476="",$E476&lt;&gt;"LONG",$Z476=""),"",$Z476+SUMIFS($Z$4:$Z$503,$B$4:$B$503,$B476,$E$4:$E$503,"SHORT"))</f>
        <v/>
      </c>
      <c r="AG476" s="42" t="str">
        <f aca="false">IF(OR($AF476="",$K476=0),"",$AF476/$K476)</f>
        <v/>
      </c>
      <c r="AH476" s="46"/>
      <c r="AI476" s="43" t="str">
        <f aca="false">IF(OR($D476="",$AH476="",$Z476=""),"",$Z476-$AH476)</f>
        <v/>
      </c>
      <c r="AJ476" s="49"/>
      <c r="AK476" s="47" t="str">
        <f aca="false">IF($D476="","",IFERROR(MATCH($F476,Config!$A$13:$A$15,0),1))</f>
        <v/>
      </c>
      <c r="AL476" s="47" t="str">
        <f aca="false">IF(OR($D476="",$N476=""),"",IF($E476="LONG",$K476,$O476))</f>
        <v/>
      </c>
      <c r="AM476" s="47" t="str">
        <f aca="false">IF(OR($D476="",$N476=""),"",IF($E476="LONG",$O476,$K476))</f>
        <v/>
      </c>
    </row>
    <row r="477" customFormat="false" ht="15" hidden="false" customHeight="false" outlineLevel="0" collapsed="false">
      <c r="A477" s="49"/>
      <c r="B477" s="5" t="str">
        <f aca="false">IF($D477="","",IF(OR(RIGHT($A477,2)="-L",RIGHT($A477,2)="-S"),LEFT($A477,LEN($A477)-2),$A477))</f>
        <v/>
      </c>
      <c r="C477" s="50"/>
      <c r="D477" s="49"/>
      <c r="E477" s="49"/>
      <c r="F477" s="49"/>
      <c r="G477" s="45"/>
      <c r="H477" s="50"/>
      <c r="I477" s="45"/>
      <c r="J477" s="51"/>
      <c r="K477" s="40" t="str">
        <f aca="false">IF($D477="","",$I477*$J477)</f>
        <v/>
      </c>
      <c r="L477" s="50"/>
      <c r="M477" s="49"/>
      <c r="N477" s="45"/>
      <c r="O477" s="40" t="str">
        <f aca="false">IF(OR($D477="",$N477=""),"",$N477*$J477)</f>
        <v/>
      </c>
      <c r="P477" s="41" t="str">
        <f aca="false">IF(OR($D477="",$L477=""),"",MAX($L477-$H477,0))</f>
        <v/>
      </c>
      <c r="Q477" s="40" t="str">
        <f aca="false">IF(OR($D477="",$N477=""),"",IF($E477="LONG",($N477-$I477)*$J477,($I477-$N477)*$J477))</f>
        <v/>
      </c>
      <c r="R477" s="42" t="str">
        <f aca="false">IF(OR($D477="",$Q477="",$K477=0),"",$Q477/$K477)</f>
        <v/>
      </c>
      <c r="S477" s="43" t="str">
        <f aca="false">IF(OR($D477="",$N477=""),"",MIN(INDEX(Config!$C$13:$C$15,$AK477),INDEX(Config!$B$13:$B$15,$AK477)*$K477)+MIN(INDEX(Config!$C$13:$C$15,$AK477),INDEX(Config!$B$13:$B$15,$AK477)*$O477))</f>
        <v/>
      </c>
      <c r="T477" s="43" t="str">
        <f aca="false">IF(OR($D477="",$N477=""),"",INDEX(Config!$D$13:$D$15,$AK477)*$AL477+INDEX(Config!$E$13:$E$15,$AK477)*$AM477)</f>
        <v/>
      </c>
      <c r="U477" s="43" t="str">
        <f aca="false">IF(OR($D477="",$N477=""),"",INDEX(Config!$F$13:$F$15,$AK477)*($K477+$O477))</f>
        <v/>
      </c>
      <c r="V477" s="43" t="str">
        <f aca="false">IF(OR($D477="",$N477=""),"",INDEX(Config!$G$13:$G$15,$AK477)*($K477+$O477)+INDEX(Config!$H$13:$H$15,$AK477)*$AL477+INDEX(Config!$J$13:$J$15,$AK477))</f>
        <v/>
      </c>
      <c r="W477" s="43" t="str">
        <f aca="false">IF(OR($D477="",$N477=""),"",INDEX(Config!$I$13:$I$15,$AK477)*($S477+$U477+INDEX(Config!$G$13:$G$15,$AK477)*($K477+$O477)))</f>
        <v/>
      </c>
      <c r="X477" s="43" t="str">
        <f aca="false">IF(OR($D477="",$N477=""),"",INDEX(Config!$K$13:$K$15,$AK477)/365*$P477*$K477*Config!$B$8)</f>
        <v/>
      </c>
      <c r="Y477" s="43" t="str">
        <f aca="false">IF(OR($D477="",$N477=""),"",SUM($S477:$X477))</f>
        <v/>
      </c>
      <c r="Z477" s="40" t="str">
        <f aca="false">IF(OR($D477="",$Q477=""),"",$Q477-$Y477)</f>
        <v/>
      </c>
      <c r="AA477" s="42" t="str">
        <f aca="false">IF(OR($D477="",$Z477="",$K477=0),"",$Z477/$K477)</f>
        <v/>
      </c>
      <c r="AB477" s="44" t="str">
        <f aca="false">IF(OR($D477="",$Y477="",$K477=0),"",$Y477/$K477*10000)</f>
        <v/>
      </c>
      <c r="AC477" s="44" t="str">
        <f aca="false">IF(OR($D477="",$G477="",$G477=0,$I477=""),"",IF($E477="LONG",($I477-$G477)/$G477,($G477-$I477)/$G477)*10000)</f>
        <v/>
      </c>
      <c r="AD477" s="45"/>
      <c r="AE477" s="40" t="str">
        <f aca="false">IF(OR($D477="",$N477&lt;&gt;"",$AD477=""),"",IF($E477="LONG",($AD477-$I477)*$J477,($I477-$AD477)*$J477))</f>
        <v/>
      </c>
      <c r="AF477" s="40" t="str">
        <f aca="false">IF(OR($D477="",$E477&lt;&gt;"LONG",$Z477=""),"",$Z477+SUMIFS($Z$4:$Z$503,$B$4:$B$503,$B477,$E$4:$E$503,"SHORT"))</f>
        <v/>
      </c>
      <c r="AG477" s="42" t="str">
        <f aca="false">IF(OR($AF477="",$K477=0),"",$AF477/$K477)</f>
        <v/>
      </c>
      <c r="AH477" s="46"/>
      <c r="AI477" s="43" t="str">
        <f aca="false">IF(OR($D477="",$AH477="",$Z477=""),"",$Z477-$AH477)</f>
        <v/>
      </c>
      <c r="AJ477" s="49"/>
      <c r="AK477" s="47" t="str">
        <f aca="false">IF($D477="","",IFERROR(MATCH($F477,Config!$A$13:$A$15,0),1))</f>
        <v/>
      </c>
      <c r="AL477" s="47" t="str">
        <f aca="false">IF(OR($D477="",$N477=""),"",IF($E477="LONG",$K477,$O477))</f>
        <v/>
      </c>
      <c r="AM477" s="47" t="str">
        <f aca="false">IF(OR($D477="",$N477=""),"",IF($E477="LONG",$O477,$K477))</f>
        <v/>
      </c>
    </row>
    <row r="478" customFormat="false" ht="15" hidden="false" customHeight="false" outlineLevel="0" collapsed="false">
      <c r="A478" s="49"/>
      <c r="B478" s="5" t="str">
        <f aca="false">IF($D478="","",IF(OR(RIGHT($A478,2)="-L",RIGHT($A478,2)="-S"),LEFT($A478,LEN($A478)-2),$A478))</f>
        <v/>
      </c>
      <c r="C478" s="50"/>
      <c r="D478" s="49"/>
      <c r="E478" s="49"/>
      <c r="F478" s="49"/>
      <c r="G478" s="45"/>
      <c r="H478" s="50"/>
      <c r="I478" s="45"/>
      <c r="J478" s="51"/>
      <c r="K478" s="40" t="str">
        <f aca="false">IF($D478="","",$I478*$J478)</f>
        <v/>
      </c>
      <c r="L478" s="50"/>
      <c r="M478" s="49"/>
      <c r="N478" s="45"/>
      <c r="O478" s="40" t="str">
        <f aca="false">IF(OR($D478="",$N478=""),"",$N478*$J478)</f>
        <v/>
      </c>
      <c r="P478" s="41" t="str">
        <f aca="false">IF(OR($D478="",$L478=""),"",MAX($L478-$H478,0))</f>
        <v/>
      </c>
      <c r="Q478" s="40" t="str">
        <f aca="false">IF(OR($D478="",$N478=""),"",IF($E478="LONG",($N478-$I478)*$J478,($I478-$N478)*$J478))</f>
        <v/>
      </c>
      <c r="R478" s="42" t="str">
        <f aca="false">IF(OR($D478="",$Q478="",$K478=0),"",$Q478/$K478)</f>
        <v/>
      </c>
      <c r="S478" s="43" t="str">
        <f aca="false">IF(OR($D478="",$N478=""),"",MIN(INDEX(Config!$C$13:$C$15,$AK478),INDEX(Config!$B$13:$B$15,$AK478)*$K478)+MIN(INDEX(Config!$C$13:$C$15,$AK478),INDEX(Config!$B$13:$B$15,$AK478)*$O478))</f>
        <v/>
      </c>
      <c r="T478" s="43" t="str">
        <f aca="false">IF(OR($D478="",$N478=""),"",INDEX(Config!$D$13:$D$15,$AK478)*$AL478+INDEX(Config!$E$13:$E$15,$AK478)*$AM478)</f>
        <v/>
      </c>
      <c r="U478" s="43" t="str">
        <f aca="false">IF(OR($D478="",$N478=""),"",INDEX(Config!$F$13:$F$15,$AK478)*($K478+$O478))</f>
        <v/>
      </c>
      <c r="V478" s="43" t="str">
        <f aca="false">IF(OR($D478="",$N478=""),"",INDEX(Config!$G$13:$G$15,$AK478)*($K478+$O478)+INDEX(Config!$H$13:$H$15,$AK478)*$AL478+INDEX(Config!$J$13:$J$15,$AK478))</f>
        <v/>
      </c>
      <c r="W478" s="43" t="str">
        <f aca="false">IF(OR($D478="",$N478=""),"",INDEX(Config!$I$13:$I$15,$AK478)*($S478+$U478+INDEX(Config!$G$13:$G$15,$AK478)*($K478+$O478)))</f>
        <v/>
      </c>
      <c r="X478" s="43" t="str">
        <f aca="false">IF(OR($D478="",$N478=""),"",INDEX(Config!$K$13:$K$15,$AK478)/365*$P478*$K478*Config!$B$8)</f>
        <v/>
      </c>
      <c r="Y478" s="43" t="str">
        <f aca="false">IF(OR($D478="",$N478=""),"",SUM($S478:$X478))</f>
        <v/>
      </c>
      <c r="Z478" s="40" t="str">
        <f aca="false">IF(OR($D478="",$Q478=""),"",$Q478-$Y478)</f>
        <v/>
      </c>
      <c r="AA478" s="42" t="str">
        <f aca="false">IF(OR($D478="",$Z478="",$K478=0),"",$Z478/$K478)</f>
        <v/>
      </c>
      <c r="AB478" s="44" t="str">
        <f aca="false">IF(OR($D478="",$Y478="",$K478=0),"",$Y478/$K478*10000)</f>
        <v/>
      </c>
      <c r="AC478" s="44" t="str">
        <f aca="false">IF(OR($D478="",$G478="",$G478=0,$I478=""),"",IF($E478="LONG",($I478-$G478)/$G478,($G478-$I478)/$G478)*10000)</f>
        <v/>
      </c>
      <c r="AD478" s="45"/>
      <c r="AE478" s="40" t="str">
        <f aca="false">IF(OR($D478="",$N478&lt;&gt;"",$AD478=""),"",IF($E478="LONG",($AD478-$I478)*$J478,($I478-$AD478)*$J478))</f>
        <v/>
      </c>
      <c r="AF478" s="40" t="str">
        <f aca="false">IF(OR($D478="",$E478&lt;&gt;"LONG",$Z478=""),"",$Z478+SUMIFS($Z$4:$Z$503,$B$4:$B$503,$B478,$E$4:$E$503,"SHORT"))</f>
        <v/>
      </c>
      <c r="AG478" s="42" t="str">
        <f aca="false">IF(OR($AF478="",$K478=0),"",$AF478/$K478)</f>
        <v/>
      </c>
      <c r="AH478" s="46"/>
      <c r="AI478" s="43" t="str">
        <f aca="false">IF(OR($D478="",$AH478="",$Z478=""),"",$Z478-$AH478)</f>
        <v/>
      </c>
      <c r="AJ478" s="49"/>
      <c r="AK478" s="47" t="str">
        <f aca="false">IF($D478="","",IFERROR(MATCH($F478,Config!$A$13:$A$15,0),1))</f>
        <v/>
      </c>
      <c r="AL478" s="47" t="str">
        <f aca="false">IF(OR($D478="",$N478=""),"",IF($E478="LONG",$K478,$O478))</f>
        <v/>
      </c>
      <c r="AM478" s="47" t="str">
        <f aca="false">IF(OR($D478="",$N478=""),"",IF($E478="LONG",$O478,$K478))</f>
        <v/>
      </c>
    </row>
    <row r="479" customFormat="false" ht="15" hidden="false" customHeight="false" outlineLevel="0" collapsed="false">
      <c r="A479" s="49"/>
      <c r="B479" s="5" t="str">
        <f aca="false">IF($D479="","",IF(OR(RIGHT($A479,2)="-L",RIGHT($A479,2)="-S"),LEFT($A479,LEN($A479)-2),$A479))</f>
        <v/>
      </c>
      <c r="C479" s="50"/>
      <c r="D479" s="49"/>
      <c r="E479" s="49"/>
      <c r="F479" s="49"/>
      <c r="G479" s="45"/>
      <c r="H479" s="50"/>
      <c r="I479" s="45"/>
      <c r="J479" s="51"/>
      <c r="K479" s="40" t="str">
        <f aca="false">IF($D479="","",$I479*$J479)</f>
        <v/>
      </c>
      <c r="L479" s="50"/>
      <c r="M479" s="49"/>
      <c r="N479" s="45"/>
      <c r="O479" s="40" t="str">
        <f aca="false">IF(OR($D479="",$N479=""),"",$N479*$J479)</f>
        <v/>
      </c>
      <c r="P479" s="41" t="str">
        <f aca="false">IF(OR($D479="",$L479=""),"",MAX($L479-$H479,0))</f>
        <v/>
      </c>
      <c r="Q479" s="40" t="str">
        <f aca="false">IF(OR($D479="",$N479=""),"",IF($E479="LONG",($N479-$I479)*$J479,($I479-$N479)*$J479))</f>
        <v/>
      </c>
      <c r="R479" s="42" t="str">
        <f aca="false">IF(OR($D479="",$Q479="",$K479=0),"",$Q479/$K479)</f>
        <v/>
      </c>
      <c r="S479" s="43" t="str">
        <f aca="false">IF(OR($D479="",$N479=""),"",MIN(INDEX(Config!$C$13:$C$15,$AK479),INDEX(Config!$B$13:$B$15,$AK479)*$K479)+MIN(INDEX(Config!$C$13:$C$15,$AK479),INDEX(Config!$B$13:$B$15,$AK479)*$O479))</f>
        <v/>
      </c>
      <c r="T479" s="43" t="str">
        <f aca="false">IF(OR($D479="",$N479=""),"",INDEX(Config!$D$13:$D$15,$AK479)*$AL479+INDEX(Config!$E$13:$E$15,$AK479)*$AM479)</f>
        <v/>
      </c>
      <c r="U479" s="43" t="str">
        <f aca="false">IF(OR($D479="",$N479=""),"",INDEX(Config!$F$13:$F$15,$AK479)*($K479+$O479))</f>
        <v/>
      </c>
      <c r="V479" s="43" t="str">
        <f aca="false">IF(OR($D479="",$N479=""),"",INDEX(Config!$G$13:$G$15,$AK479)*($K479+$O479)+INDEX(Config!$H$13:$H$15,$AK479)*$AL479+INDEX(Config!$J$13:$J$15,$AK479))</f>
        <v/>
      </c>
      <c r="W479" s="43" t="str">
        <f aca="false">IF(OR($D479="",$N479=""),"",INDEX(Config!$I$13:$I$15,$AK479)*($S479+$U479+INDEX(Config!$G$13:$G$15,$AK479)*($K479+$O479)))</f>
        <v/>
      </c>
      <c r="X479" s="43" t="str">
        <f aca="false">IF(OR($D479="",$N479=""),"",INDEX(Config!$K$13:$K$15,$AK479)/365*$P479*$K479*Config!$B$8)</f>
        <v/>
      </c>
      <c r="Y479" s="43" t="str">
        <f aca="false">IF(OR($D479="",$N479=""),"",SUM($S479:$X479))</f>
        <v/>
      </c>
      <c r="Z479" s="40" t="str">
        <f aca="false">IF(OR($D479="",$Q479=""),"",$Q479-$Y479)</f>
        <v/>
      </c>
      <c r="AA479" s="42" t="str">
        <f aca="false">IF(OR($D479="",$Z479="",$K479=0),"",$Z479/$K479)</f>
        <v/>
      </c>
      <c r="AB479" s="44" t="str">
        <f aca="false">IF(OR($D479="",$Y479="",$K479=0),"",$Y479/$K479*10000)</f>
        <v/>
      </c>
      <c r="AC479" s="44" t="str">
        <f aca="false">IF(OR($D479="",$G479="",$G479=0,$I479=""),"",IF($E479="LONG",($I479-$G479)/$G479,($G479-$I479)/$G479)*10000)</f>
        <v/>
      </c>
      <c r="AD479" s="45"/>
      <c r="AE479" s="40" t="str">
        <f aca="false">IF(OR($D479="",$N479&lt;&gt;"",$AD479=""),"",IF($E479="LONG",($AD479-$I479)*$J479,($I479-$AD479)*$J479))</f>
        <v/>
      </c>
      <c r="AF479" s="40" t="str">
        <f aca="false">IF(OR($D479="",$E479&lt;&gt;"LONG",$Z479=""),"",$Z479+SUMIFS($Z$4:$Z$503,$B$4:$B$503,$B479,$E$4:$E$503,"SHORT"))</f>
        <v/>
      </c>
      <c r="AG479" s="42" t="str">
        <f aca="false">IF(OR($AF479="",$K479=0),"",$AF479/$K479)</f>
        <v/>
      </c>
      <c r="AH479" s="46"/>
      <c r="AI479" s="43" t="str">
        <f aca="false">IF(OR($D479="",$AH479="",$Z479=""),"",$Z479-$AH479)</f>
        <v/>
      </c>
      <c r="AJ479" s="49"/>
      <c r="AK479" s="47" t="str">
        <f aca="false">IF($D479="","",IFERROR(MATCH($F479,Config!$A$13:$A$15,0),1))</f>
        <v/>
      </c>
      <c r="AL479" s="47" t="str">
        <f aca="false">IF(OR($D479="",$N479=""),"",IF($E479="LONG",$K479,$O479))</f>
        <v/>
      </c>
      <c r="AM479" s="47" t="str">
        <f aca="false">IF(OR($D479="",$N479=""),"",IF($E479="LONG",$O479,$K479))</f>
        <v/>
      </c>
    </row>
    <row r="480" customFormat="false" ht="15" hidden="false" customHeight="false" outlineLevel="0" collapsed="false">
      <c r="A480" s="49"/>
      <c r="B480" s="5" t="str">
        <f aca="false">IF($D480="","",IF(OR(RIGHT($A480,2)="-L",RIGHT($A480,2)="-S"),LEFT($A480,LEN($A480)-2),$A480))</f>
        <v/>
      </c>
      <c r="C480" s="50"/>
      <c r="D480" s="49"/>
      <c r="E480" s="49"/>
      <c r="F480" s="49"/>
      <c r="G480" s="45"/>
      <c r="H480" s="50"/>
      <c r="I480" s="45"/>
      <c r="J480" s="51"/>
      <c r="K480" s="40" t="str">
        <f aca="false">IF($D480="","",$I480*$J480)</f>
        <v/>
      </c>
      <c r="L480" s="50"/>
      <c r="M480" s="49"/>
      <c r="N480" s="45"/>
      <c r="O480" s="40" t="str">
        <f aca="false">IF(OR($D480="",$N480=""),"",$N480*$J480)</f>
        <v/>
      </c>
      <c r="P480" s="41" t="str">
        <f aca="false">IF(OR($D480="",$L480=""),"",MAX($L480-$H480,0))</f>
        <v/>
      </c>
      <c r="Q480" s="40" t="str">
        <f aca="false">IF(OR($D480="",$N480=""),"",IF($E480="LONG",($N480-$I480)*$J480,($I480-$N480)*$J480))</f>
        <v/>
      </c>
      <c r="R480" s="42" t="str">
        <f aca="false">IF(OR($D480="",$Q480="",$K480=0),"",$Q480/$K480)</f>
        <v/>
      </c>
      <c r="S480" s="43" t="str">
        <f aca="false">IF(OR($D480="",$N480=""),"",MIN(INDEX(Config!$C$13:$C$15,$AK480),INDEX(Config!$B$13:$B$15,$AK480)*$K480)+MIN(INDEX(Config!$C$13:$C$15,$AK480),INDEX(Config!$B$13:$B$15,$AK480)*$O480))</f>
        <v/>
      </c>
      <c r="T480" s="43" t="str">
        <f aca="false">IF(OR($D480="",$N480=""),"",INDEX(Config!$D$13:$D$15,$AK480)*$AL480+INDEX(Config!$E$13:$E$15,$AK480)*$AM480)</f>
        <v/>
      </c>
      <c r="U480" s="43" t="str">
        <f aca="false">IF(OR($D480="",$N480=""),"",INDEX(Config!$F$13:$F$15,$AK480)*($K480+$O480))</f>
        <v/>
      </c>
      <c r="V480" s="43" t="str">
        <f aca="false">IF(OR($D480="",$N480=""),"",INDEX(Config!$G$13:$G$15,$AK480)*($K480+$O480)+INDEX(Config!$H$13:$H$15,$AK480)*$AL480+INDEX(Config!$J$13:$J$15,$AK480))</f>
        <v/>
      </c>
      <c r="W480" s="43" t="str">
        <f aca="false">IF(OR($D480="",$N480=""),"",INDEX(Config!$I$13:$I$15,$AK480)*($S480+$U480+INDEX(Config!$G$13:$G$15,$AK480)*($K480+$O480)))</f>
        <v/>
      </c>
      <c r="X480" s="43" t="str">
        <f aca="false">IF(OR($D480="",$N480=""),"",INDEX(Config!$K$13:$K$15,$AK480)/365*$P480*$K480*Config!$B$8)</f>
        <v/>
      </c>
      <c r="Y480" s="43" t="str">
        <f aca="false">IF(OR($D480="",$N480=""),"",SUM($S480:$X480))</f>
        <v/>
      </c>
      <c r="Z480" s="40" t="str">
        <f aca="false">IF(OR($D480="",$Q480=""),"",$Q480-$Y480)</f>
        <v/>
      </c>
      <c r="AA480" s="42" t="str">
        <f aca="false">IF(OR($D480="",$Z480="",$K480=0),"",$Z480/$K480)</f>
        <v/>
      </c>
      <c r="AB480" s="44" t="str">
        <f aca="false">IF(OR($D480="",$Y480="",$K480=0),"",$Y480/$K480*10000)</f>
        <v/>
      </c>
      <c r="AC480" s="44" t="str">
        <f aca="false">IF(OR($D480="",$G480="",$G480=0,$I480=""),"",IF($E480="LONG",($I480-$G480)/$G480,($G480-$I480)/$G480)*10000)</f>
        <v/>
      </c>
      <c r="AD480" s="45"/>
      <c r="AE480" s="40" t="str">
        <f aca="false">IF(OR($D480="",$N480&lt;&gt;"",$AD480=""),"",IF($E480="LONG",($AD480-$I480)*$J480,($I480-$AD480)*$J480))</f>
        <v/>
      </c>
      <c r="AF480" s="40" t="str">
        <f aca="false">IF(OR($D480="",$E480&lt;&gt;"LONG",$Z480=""),"",$Z480+SUMIFS($Z$4:$Z$503,$B$4:$B$503,$B480,$E$4:$E$503,"SHORT"))</f>
        <v/>
      </c>
      <c r="AG480" s="42" t="str">
        <f aca="false">IF(OR($AF480="",$K480=0),"",$AF480/$K480)</f>
        <v/>
      </c>
      <c r="AH480" s="46"/>
      <c r="AI480" s="43" t="str">
        <f aca="false">IF(OR($D480="",$AH480="",$Z480=""),"",$Z480-$AH480)</f>
        <v/>
      </c>
      <c r="AJ480" s="49"/>
      <c r="AK480" s="47" t="str">
        <f aca="false">IF($D480="","",IFERROR(MATCH($F480,Config!$A$13:$A$15,0),1))</f>
        <v/>
      </c>
      <c r="AL480" s="47" t="str">
        <f aca="false">IF(OR($D480="",$N480=""),"",IF($E480="LONG",$K480,$O480))</f>
        <v/>
      </c>
      <c r="AM480" s="47" t="str">
        <f aca="false">IF(OR($D480="",$N480=""),"",IF($E480="LONG",$O480,$K480))</f>
        <v/>
      </c>
    </row>
    <row r="481" customFormat="false" ht="15" hidden="false" customHeight="false" outlineLevel="0" collapsed="false">
      <c r="A481" s="49"/>
      <c r="B481" s="5" t="str">
        <f aca="false">IF($D481="","",IF(OR(RIGHT($A481,2)="-L",RIGHT($A481,2)="-S"),LEFT($A481,LEN($A481)-2),$A481))</f>
        <v/>
      </c>
      <c r="C481" s="50"/>
      <c r="D481" s="49"/>
      <c r="E481" s="49"/>
      <c r="F481" s="49"/>
      <c r="G481" s="45"/>
      <c r="H481" s="50"/>
      <c r="I481" s="45"/>
      <c r="J481" s="51"/>
      <c r="K481" s="40" t="str">
        <f aca="false">IF($D481="","",$I481*$J481)</f>
        <v/>
      </c>
      <c r="L481" s="50"/>
      <c r="M481" s="49"/>
      <c r="N481" s="45"/>
      <c r="O481" s="40" t="str">
        <f aca="false">IF(OR($D481="",$N481=""),"",$N481*$J481)</f>
        <v/>
      </c>
      <c r="P481" s="41" t="str">
        <f aca="false">IF(OR($D481="",$L481=""),"",MAX($L481-$H481,0))</f>
        <v/>
      </c>
      <c r="Q481" s="40" t="str">
        <f aca="false">IF(OR($D481="",$N481=""),"",IF($E481="LONG",($N481-$I481)*$J481,($I481-$N481)*$J481))</f>
        <v/>
      </c>
      <c r="R481" s="42" t="str">
        <f aca="false">IF(OR($D481="",$Q481="",$K481=0),"",$Q481/$K481)</f>
        <v/>
      </c>
      <c r="S481" s="43" t="str">
        <f aca="false">IF(OR($D481="",$N481=""),"",MIN(INDEX(Config!$C$13:$C$15,$AK481),INDEX(Config!$B$13:$B$15,$AK481)*$K481)+MIN(INDEX(Config!$C$13:$C$15,$AK481),INDEX(Config!$B$13:$B$15,$AK481)*$O481))</f>
        <v/>
      </c>
      <c r="T481" s="43" t="str">
        <f aca="false">IF(OR($D481="",$N481=""),"",INDEX(Config!$D$13:$D$15,$AK481)*$AL481+INDEX(Config!$E$13:$E$15,$AK481)*$AM481)</f>
        <v/>
      </c>
      <c r="U481" s="43" t="str">
        <f aca="false">IF(OR($D481="",$N481=""),"",INDEX(Config!$F$13:$F$15,$AK481)*($K481+$O481))</f>
        <v/>
      </c>
      <c r="V481" s="43" t="str">
        <f aca="false">IF(OR($D481="",$N481=""),"",INDEX(Config!$G$13:$G$15,$AK481)*($K481+$O481)+INDEX(Config!$H$13:$H$15,$AK481)*$AL481+INDEX(Config!$J$13:$J$15,$AK481))</f>
        <v/>
      </c>
      <c r="W481" s="43" t="str">
        <f aca="false">IF(OR($D481="",$N481=""),"",INDEX(Config!$I$13:$I$15,$AK481)*($S481+$U481+INDEX(Config!$G$13:$G$15,$AK481)*($K481+$O481)))</f>
        <v/>
      </c>
      <c r="X481" s="43" t="str">
        <f aca="false">IF(OR($D481="",$N481=""),"",INDEX(Config!$K$13:$K$15,$AK481)/365*$P481*$K481*Config!$B$8)</f>
        <v/>
      </c>
      <c r="Y481" s="43" t="str">
        <f aca="false">IF(OR($D481="",$N481=""),"",SUM($S481:$X481))</f>
        <v/>
      </c>
      <c r="Z481" s="40" t="str">
        <f aca="false">IF(OR($D481="",$Q481=""),"",$Q481-$Y481)</f>
        <v/>
      </c>
      <c r="AA481" s="42" t="str">
        <f aca="false">IF(OR($D481="",$Z481="",$K481=0),"",$Z481/$K481)</f>
        <v/>
      </c>
      <c r="AB481" s="44" t="str">
        <f aca="false">IF(OR($D481="",$Y481="",$K481=0),"",$Y481/$K481*10000)</f>
        <v/>
      </c>
      <c r="AC481" s="44" t="str">
        <f aca="false">IF(OR($D481="",$G481="",$G481=0,$I481=""),"",IF($E481="LONG",($I481-$G481)/$G481,($G481-$I481)/$G481)*10000)</f>
        <v/>
      </c>
      <c r="AD481" s="45"/>
      <c r="AE481" s="40" t="str">
        <f aca="false">IF(OR($D481="",$N481&lt;&gt;"",$AD481=""),"",IF($E481="LONG",($AD481-$I481)*$J481,($I481-$AD481)*$J481))</f>
        <v/>
      </c>
      <c r="AF481" s="40" t="str">
        <f aca="false">IF(OR($D481="",$E481&lt;&gt;"LONG",$Z481=""),"",$Z481+SUMIFS($Z$4:$Z$503,$B$4:$B$503,$B481,$E$4:$E$503,"SHORT"))</f>
        <v/>
      </c>
      <c r="AG481" s="42" t="str">
        <f aca="false">IF(OR($AF481="",$K481=0),"",$AF481/$K481)</f>
        <v/>
      </c>
      <c r="AH481" s="46"/>
      <c r="AI481" s="43" t="str">
        <f aca="false">IF(OR($D481="",$AH481="",$Z481=""),"",$Z481-$AH481)</f>
        <v/>
      </c>
      <c r="AJ481" s="49"/>
      <c r="AK481" s="47" t="str">
        <f aca="false">IF($D481="","",IFERROR(MATCH($F481,Config!$A$13:$A$15,0),1))</f>
        <v/>
      </c>
      <c r="AL481" s="47" t="str">
        <f aca="false">IF(OR($D481="",$N481=""),"",IF($E481="LONG",$K481,$O481))</f>
        <v/>
      </c>
      <c r="AM481" s="47" t="str">
        <f aca="false">IF(OR($D481="",$N481=""),"",IF($E481="LONG",$O481,$K481))</f>
        <v/>
      </c>
    </row>
    <row r="482" customFormat="false" ht="15" hidden="false" customHeight="false" outlineLevel="0" collapsed="false">
      <c r="A482" s="49"/>
      <c r="B482" s="5" t="str">
        <f aca="false">IF($D482="","",IF(OR(RIGHT($A482,2)="-L",RIGHT($A482,2)="-S"),LEFT($A482,LEN($A482)-2),$A482))</f>
        <v/>
      </c>
      <c r="C482" s="50"/>
      <c r="D482" s="49"/>
      <c r="E482" s="49"/>
      <c r="F482" s="49"/>
      <c r="G482" s="45"/>
      <c r="H482" s="50"/>
      <c r="I482" s="45"/>
      <c r="J482" s="51"/>
      <c r="K482" s="40" t="str">
        <f aca="false">IF($D482="","",$I482*$J482)</f>
        <v/>
      </c>
      <c r="L482" s="50"/>
      <c r="M482" s="49"/>
      <c r="N482" s="45"/>
      <c r="O482" s="40" t="str">
        <f aca="false">IF(OR($D482="",$N482=""),"",$N482*$J482)</f>
        <v/>
      </c>
      <c r="P482" s="41" t="str">
        <f aca="false">IF(OR($D482="",$L482=""),"",MAX($L482-$H482,0))</f>
        <v/>
      </c>
      <c r="Q482" s="40" t="str">
        <f aca="false">IF(OR($D482="",$N482=""),"",IF($E482="LONG",($N482-$I482)*$J482,($I482-$N482)*$J482))</f>
        <v/>
      </c>
      <c r="R482" s="42" t="str">
        <f aca="false">IF(OR($D482="",$Q482="",$K482=0),"",$Q482/$K482)</f>
        <v/>
      </c>
      <c r="S482" s="43" t="str">
        <f aca="false">IF(OR($D482="",$N482=""),"",MIN(INDEX(Config!$C$13:$C$15,$AK482),INDEX(Config!$B$13:$B$15,$AK482)*$K482)+MIN(INDEX(Config!$C$13:$C$15,$AK482),INDEX(Config!$B$13:$B$15,$AK482)*$O482))</f>
        <v/>
      </c>
      <c r="T482" s="43" t="str">
        <f aca="false">IF(OR($D482="",$N482=""),"",INDEX(Config!$D$13:$D$15,$AK482)*$AL482+INDEX(Config!$E$13:$E$15,$AK482)*$AM482)</f>
        <v/>
      </c>
      <c r="U482" s="43" t="str">
        <f aca="false">IF(OR($D482="",$N482=""),"",INDEX(Config!$F$13:$F$15,$AK482)*($K482+$O482))</f>
        <v/>
      </c>
      <c r="V482" s="43" t="str">
        <f aca="false">IF(OR($D482="",$N482=""),"",INDEX(Config!$G$13:$G$15,$AK482)*($K482+$O482)+INDEX(Config!$H$13:$H$15,$AK482)*$AL482+INDEX(Config!$J$13:$J$15,$AK482))</f>
        <v/>
      </c>
      <c r="W482" s="43" t="str">
        <f aca="false">IF(OR($D482="",$N482=""),"",INDEX(Config!$I$13:$I$15,$AK482)*($S482+$U482+INDEX(Config!$G$13:$G$15,$AK482)*($K482+$O482)))</f>
        <v/>
      </c>
      <c r="X482" s="43" t="str">
        <f aca="false">IF(OR($D482="",$N482=""),"",INDEX(Config!$K$13:$K$15,$AK482)/365*$P482*$K482*Config!$B$8)</f>
        <v/>
      </c>
      <c r="Y482" s="43" t="str">
        <f aca="false">IF(OR($D482="",$N482=""),"",SUM($S482:$X482))</f>
        <v/>
      </c>
      <c r="Z482" s="40" t="str">
        <f aca="false">IF(OR($D482="",$Q482=""),"",$Q482-$Y482)</f>
        <v/>
      </c>
      <c r="AA482" s="42" t="str">
        <f aca="false">IF(OR($D482="",$Z482="",$K482=0),"",$Z482/$K482)</f>
        <v/>
      </c>
      <c r="AB482" s="44" t="str">
        <f aca="false">IF(OR($D482="",$Y482="",$K482=0),"",$Y482/$K482*10000)</f>
        <v/>
      </c>
      <c r="AC482" s="44" t="str">
        <f aca="false">IF(OR($D482="",$G482="",$G482=0,$I482=""),"",IF($E482="LONG",($I482-$G482)/$G482,($G482-$I482)/$G482)*10000)</f>
        <v/>
      </c>
      <c r="AD482" s="45"/>
      <c r="AE482" s="40" t="str">
        <f aca="false">IF(OR($D482="",$N482&lt;&gt;"",$AD482=""),"",IF($E482="LONG",($AD482-$I482)*$J482,($I482-$AD482)*$J482))</f>
        <v/>
      </c>
      <c r="AF482" s="40" t="str">
        <f aca="false">IF(OR($D482="",$E482&lt;&gt;"LONG",$Z482=""),"",$Z482+SUMIFS($Z$4:$Z$503,$B$4:$B$503,$B482,$E$4:$E$503,"SHORT"))</f>
        <v/>
      </c>
      <c r="AG482" s="42" t="str">
        <f aca="false">IF(OR($AF482="",$K482=0),"",$AF482/$K482)</f>
        <v/>
      </c>
      <c r="AH482" s="46"/>
      <c r="AI482" s="43" t="str">
        <f aca="false">IF(OR($D482="",$AH482="",$Z482=""),"",$Z482-$AH482)</f>
        <v/>
      </c>
      <c r="AJ482" s="49"/>
      <c r="AK482" s="47" t="str">
        <f aca="false">IF($D482="","",IFERROR(MATCH($F482,Config!$A$13:$A$15,0),1))</f>
        <v/>
      </c>
      <c r="AL482" s="47" t="str">
        <f aca="false">IF(OR($D482="",$N482=""),"",IF($E482="LONG",$K482,$O482))</f>
        <v/>
      </c>
      <c r="AM482" s="47" t="str">
        <f aca="false">IF(OR($D482="",$N482=""),"",IF($E482="LONG",$O482,$K482))</f>
        <v/>
      </c>
    </row>
    <row r="483" customFormat="false" ht="15" hidden="false" customHeight="false" outlineLevel="0" collapsed="false">
      <c r="A483" s="49"/>
      <c r="B483" s="5" t="str">
        <f aca="false">IF($D483="","",IF(OR(RIGHT($A483,2)="-L",RIGHT($A483,2)="-S"),LEFT($A483,LEN($A483)-2),$A483))</f>
        <v/>
      </c>
      <c r="C483" s="50"/>
      <c r="D483" s="49"/>
      <c r="E483" s="49"/>
      <c r="F483" s="49"/>
      <c r="G483" s="45"/>
      <c r="H483" s="50"/>
      <c r="I483" s="45"/>
      <c r="J483" s="51"/>
      <c r="K483" s="40" t="str">
        <f aca="false">IF($D483="","",$I483*$J483)</f>
        <v/>
      </c>
      <c r="L483" s="50"/>
      <c r="M483" s="49"/>
      <c r="N483" s="45"/>
      <c r="O483" s="40" t="str">
        <f aca="false">IF(OR($D483="",$N483=""),"",$N483*$J483)</f>
        <v/>
      </c>
      <c r="P483" s="41" t="str">
        <f aca="false">IF(OR($D483="",$L483=""),"",MAX($L483-$H483,0))</f>
        <v/>
      </c>
      <c r="Q483" s="40" t="str">
        <f aca="false">IF(OR($D483="",$N483=""),"",IF($E483="LONG",($N483-$I483)*$J483,($I483-$N483)*$J483))</f>
        <v/>
      </c>
      <c r="R483" s="42" t="str">
        <f aca="false">IF(OR($D483="",$Q483="",$K483=0),"",$Q483/$K483)</f>
        <v/>
      </c>
      <c r="S483" s="43" t="str">
        <f aca="false">IF(OR($D483="",$N483=""),"",MIN(INDEX(Config!$C$13:$C$15,$AK483),INDEX(Config!$B$13:$B$15,$AK483)*$K483)+MIN(INDEX(Config!$C$13:$C$15,$AK483),INDEX(Config!$B$13:$B$15,$AK483)*$O483))</f>
        <v/>
      </c>
      <c r="T483" s="43" t="str">
        <f aca="false">IF(OR($D483="",$N483=""),"",INDEX(Config!$D$13:$D$15,$AK483)*$AL483+INDEX(Config!$E$13:$E$15,$AK483)*$AM483)</f>
        <v/>
      </c>
      <c r="U483" s="43" t="str">
        <f aca="false">IF(OR($D483="",$N483=""),"",INDEX(Config!$F$13:$F$15,$AK483)*($K483+$O483))</f>
        <v/>
      </c>
      <c r="V483" s="43" t="str">
        <f aca="false">IF(OR($D483="",$N483=""),"",INDEX(Config!$G$13:$G$15,$AK483)*($K483+$O483)+INDEX(Config!$H$13:$H$15,$AK483)*$AL483+INDEX(Config!$J$13:$J$15,$AK483))</f>
        <v/>
      </c>
      <c r="W483" s="43" t="str">
        <f aca="false">IF(OR($D483="",$N483=""),"",INDEX(Config!$I$13:$I$15,$AK483)*($S483+$U483+INDEX(Config!$G$13:$G$15,$AK483)*($K483+$O483)))</f>
        <v/>
      </c>
      <c r="X483" s="43" t="str">
        <f aca="false">IF(OR($D483="",$N483=""),"",INDEX(Config!$K$13:$K$15,$AK483)/365*$P483*$K483*Config!$B$8)</f>
        <v/>
      </c>
      <c r="Y483" s="43" t="str">
        <f aca="false">IF(OR($D483="",$N483=""),"",SUM($S483:$X483))</f>
        <v/>
      </c>
      <c r="Z483" s="40" t="str">
        <f aca="false">IF(OR($D483="",$Q483=""),"",$Q483-$Y483)</f>
        <v/>
      </c>
      <c r="AA483" s="42" t="str">
        <f aca="false">IF(OR($D483="",$Z483="",$K483=0),"",$Z483/$K483)</f>
        <v/>
      </c>
      <c r="AB483" s="44" t="str">
        <f aca="false">IF(OR($D483="",$Y483="",$K483=0),"",$Y483/$K483*10000)</f>
        <v/>
      </c>
      <c r="AC483" s="44" t="str">
        <f aca="false">IF(OR($D483="",$G483="",$G483=0,$I483=""),"",IF($E483="LONG",($I483-$G483)/$G483,($G483-$I483)/$G483)*10000)</f>
        <v/>
      </c>
      <c r="AD483" s="45"/>
      <c r="AE483" s="40" t="str">
        <f aca="false">IF(OR($D483="",$N483&lt;&gt;"",$AD483=""),"",IF($E483="LONG",($AD483-$I483)*$J483,($I483-$AD483)*$J483))</f>
        <v/>
      </c>
      <c r="AF483" s="40" t="str">
        <f aca="false">IF(OR($D483="",$E483&lt;&gt;"LONG",$Z483=""),"",$Z483+SUMIFS($Z$4:$Z$503,$B$4:$B$503,$B483,$E$4:$E$503,"SHORT"))</f>
        <v/>
      </c>
      <c r="AG483" s="42" t="str">
        <f aca="false">IF(OR($AF483="",$K483=0),"",$AF483/$K483)</f>
        <v/>
      </c>
      <c r="AH483" s="46"/>
      <c r="AI483" s="43" t="str">
        <f aca="false">IF(OR($D483="",$AH483="",$Z483=""),"",$Z483-$AH483)</f>
        <v/>
      </c>
      <c r="AJ483" s="49"/>
      <c r="AK483" s="47" t="str">
        <f aca="false">IF($D483="","",IFERROR(MATCH($F483,Config!$A$13:$A$15,0),1))</f>
        <v/>
      </c>
      <c r="AL483" s="47" t="str">
        <f aca="false">IF(OR($D483="",$N483=""),"",IF($E483="LONG",$K483,$O483))</f>
        <v/>
      </c>
      <c r="AM483" s="47" t="str">
        <f aca="false">IF(OR($D483="",$N483=""),"",IF($E483="LONG",$O483,$K483))</f>
        <v/>
      </c>
    </row>
    <row r="484" customFormat="false" ht="15" hidden="false" customHeight="false" outlineLevel="0" collapsed="false">
      <c r="A484" s="49"/>
      <c r="B484" s="5" t="str">
        <f aca="false">IF($D484="","",IF(OR(RIGHT($A484,2)="-L",RIGHT($A484,2)="-S"),LEFT($A484,LEN($A484)-2),$A484))</f>
        <v/>
      </c>
      <c r="C484" s="50"/>
      <c r="D484" s="49"/>
      <c r="E484" s="49"/>
      <c r="F484" s="49"/>
      <c r="G484" s="45"/>
      <c r="H484" s="50"/>
      <c r="I484" s="45"/>
      <c r="J484" s="51"/>
      <c r="K484" s="40" t="str">
        <f aca="false">IF($D484="","",$I484*$J484)</f>
        <v/>
      </c>
      <c r="L484" s="50"/>
      <c r="M484" s="49"/>
      <c r="N484" s="45"/>
      <c r="O484" s="40" t="str">
        <f aca="false">IF(OR($D484="",$N484=""),"",$N484*$J484)</f>
        <v/>
      </c>
      <c r="P484" s="41" t="str">
        <f aca="false">IF(OR($D484="",$L484=""),"",MAX($L484-$H484,0))</f>
        <v/>
      </c>
      <c r="Q484" s="40" t="str">
        <f aca="false">IF(OR($D484="",$N484=""),"",IF($E484="LONG",($N484-$I484)*$J484,($I484-$N484)*$J484))</f>
        <v/>
      </c>
      <c r="R484" s="42" t="str">
        <f aca="false">IF(OR($D484="",$Q484="",$K484=0),"",$Q484/$K484)</f>
        <v/>
      </c>
      <c r="S484" s="43" t="str">
        <f aca="false">IF(OR($D484="",$N484=""),"",MIN(INDEX(Config!$C$13:$C$15,$AK484),INDEX(Config!$B$13:$B$15,$AK484)*$K484)+MIN(INDEX(Config!$C$13:$C$15,$AK484),INDEX(Config!$B$13:$B$15,$AK484)*$O484))</f>
        <v/>
      </c>
      <c r="T484" s="43" t="str">
        <f aca="false">IF(OR($D484="",$N484=""),"",INDEX(Config!$D$13:$D$15,$AK484)*$AL484+INDEX(Config!$E$13:$E$15,$AK484)*$AM484)</f>
        <v/>
      </c>
      <c r="U484" s="43" t="str">
        <f aca="false">IF(OR($D484="",$N484=""),"",INDEX(Config!$F$13:$F$15,$AK484)*($K484+$O484))</f>
        <v/>
      </c>
      <c r="V484" s="43" t="str">
        <f aca="false">IF(OR($D484="",$N484=""),"",INDEX(Config!$G$13:$G$15,$AK484)*($K484+$O484)+INDEX(Config!$H$13:$H$15,$AK484)*$AL484+INDEX(Config!$J$13:$J$15,$AK484))</f>
        <v/>
      </c>
      <c r="W484" s="43" t="str">
        <f aca="false">IF(OR($D484="",$N484=""),"",INDEX(Config!$I$13:$I$15,$AK484)*($S484+$U484+INDEX(Config!$G$13:$G$15,$AK484)*($K484+$O484)))</f>
        <v/>
      </c>
      <c r="X484" s="43" t="str">
        <f aca="false">IF(OR($D484="",$N484=""),"",INDEX(Config!$K$13:$K$15,$AK484)/365*$P484*$K484*Config!$B$8)</f>
        <v/>
      </c>
      <c r="Y484" s="43" t="str">
        <f aca="false">IF(OR($D484="",$N484=""),"",SUM($S484:$X484))</f>
        <v/>
      </c>
      <c r="Z484" s="40" t="str">
        <f aca="false">IF(OR($D484="",$Q484=""),"",$Q484-$Y484)</f>
        <v/>
      </c>
      <c r="AA484" s="42" t="str">
        <f aca="false">IF(OR($D484="",$Z484="",$K484=0),"",$Z484/$K484)</f>
        <v/>
      </c>
      <c r="AB484" s="44" t="str">
        <f aca="false">IF(OR($D484="",$Y484="",$K484=0),"",$Y484/$K484*10000)</f>
        <v/>
      </c>
      <c r="AC484" s="44" t="str">
        <f aca="false">IF(OR($D484="",$G484="",$G484=0,$I484=""),"",IF($E484="LONG",($I484-$G484)/$G484,($G484-$I484)/$G484)*10000)</f>
        <v/>
      </c>
      <c r="AD484" s="45"/>
      <c r="AE484" s="40" t="str">
        <f aca="false">IF(OR($D484="",$N484&lt;&gt;"",$AD484=""),"",IF($E484="LONG",($AD484-$I484)*$J484,($I484-$AD484)*$J484))</f>
        <v/>
      </c>
      <c r="AF484" s="40" t="str">
        <f aca="false">IF(OR($D484="",$E484&lt;&gt;"LONG",$Z484=""),"",$Z484+SUMIFS($Z$4:$Z$503,$B$4:$B$503,$B484,$E$4:$E$503,"SHORT"))</f>
        <v/>
      </c>
      <c r="AG484" s="42" t="str">
        <f aca="false">IF(OR($AF484="",$K484=0),"",$AF484/$K484)</f>
        <v/>
      </c>
      <c r="AH484" s="46"/>
      <c r="AI484" s="43" t="str">
        <f aca="false">IF(OR($D484="",$AH484="",$Z484=""),"",$Z484-$AH484)</f>
        <v/>
      </c>
      <c r="AJ484" s="49"/>
      <c r="AK484" s="47" t="str">
        <f aca="false">IF($D484="","",IFERROR(MATCH($F484,Config!$A$13:$A$15,0),1))</f>
        <v/>
      </c>
      <c r="AL484" s="47" t="str">
        <f aca="false">IF(OR($D484="",$N484=""),"",IF($E484="LONG",$K484,$O484))</f>
        <v/>
      </c>
      <c r="AM484" s="47" t="str">
        <f aca="false">IF(OR($D484="",$N484=""),"",IF($E484="LONG",$O484,$K484))</f>
        <v/>
      </c>
    </row>
    <row r="485" customFormat="false" ht="15" hidden="false" customHeight="false" outlineLevel="0" collapsed="false">
      <c r="A485" s="49"/>
      <c r="B485" s="5" t="str">
        <f aca="false">IF($D485="","",IF(OR(RIGHT($A485,2)="-L",RIGHT($A485,2)="-S"),LEFT($A485,LEN($A485)-2),$A485))</f>
        <v/>
      </c>
      <c r="C485" s="50"/>
      <c r="D485" s="49"/>
      <c r="E485" s="49"/>
      <c r="F485" s="49"/>
      <c r="G485" s="45"/>
      <c r="H485" s="50"/>
      <c r="I485" s="45"/>
      <c r="J485" s="51"/>
      <c r="K485" s="40" t="str">
        <f aca="false">IF($D485="","",$I485*$J485)</f>
        <v/>
      </c>
      <c r="L485" s="50"/>
      <c r="M485" s="49"/>
      <c r="N485" s="45"/>
      <c r="O485" s="40" t="str">
        <f aca="false">IF(OR($D485="",$N485=""),"",$N485*$J485)</f>
        <v/>
      </c>
      <c r="P485" s="41" t="str">
        <f aca="false">IF(OR($D485="",$L485=""),"",MAX($L485-$H485,0))</f>
        <v/>
      </c>
      <c r="Q485" s="40" t="str">
        <f aca="false">IF(OR($D485="",$N485=""),"",IF($E485="LONG",($N485-$I485)*$J485,($I485-$N485)*$J485))</f>
        <v/>
      </c>
      <c r="R485" s="42" t="str">
        <f aca="false">IF(OR($D485="",$Q485="",$K485=0),"",$Q485/$K485)</f>
        <v/>
      </c>
      <c r="S485" s="43" t="str">
        <f aca="false">IF(OR($D485="",$N485=""),"",MIN(INDEX(Config!$C$13:$C$15,$AK485),INDEX(Config!$B$13:$B$15,$AK485)*$K485)+MIN(INDEX(Config!$C$13:$C$15,$AK485),INDEX(Config!$B$13:$B$15,$AK485)*$O485))</f>
        <v/>
      </c>
      <c r="T485" s="43" t="str">
        <f aca="false">IF(OR($D485="",$N485=""),"",INDEX(Config!$D$13:$D$15,$AK485)*$AL485+INDEX(Config!$E$13:$E$15,$AK485)*$AM485)</f>
        <v/>
      </c>
      <c r="U485" s="43" t="str">
        <f aca="false">IF(OR($D485="",$N485=""),"",INDEX(Config!$F$13:$F$15,$AK485)*($K485+$O485))</f>
        <v/>
      </c>
      <c r="V485" s="43" t="str">
        <f aca="false">IF(OR($D485="",$N485=""),"",INDEX(Config!$G$13:$G$15,$AK485)*($K485+$O485)+INDEX(Config!$H$13:$H$15,$AK485)*$AL485+INDEX(Config!$J$13:$J$15,$AK485))</f>
        <v/>
      </c>
      <c r="W485" s="43" t="str">
        <f aca="false">IF(OR($D485="",$N485=""),"",INDEX(Config!$I$13:$I$15,$AK485)*($S485+$U485+INDEX(Config!$G$13:$G$15,$AK485)*($K485+$O485)))</f>
        <v/>
      </c>
      <c r="X485" s="43" t="str">
        <f aca="false">IF(OR($D485="",$N485=""),"",INDEX(Config!$K$13:$K$15,$AK485)/365*$P485*$K485*Config!$B$8)</f>
        <v/>
      </c>
      <c r="Y485" s="43" t="str">
        <f aca="false">IF(OR($D485="",$N485=""),"",SUM($S485:$X485))</f>
        <v/>
      </c>
      <c r="Z485" s="40" t="str">
        <f aca="false">IF(OR($D485="",$Q485=""),"",$Q485-$Y485)</f>
        <v/>
      </c>
      <c r="AA485" s="42" t="str">
        <f aca="false">IF(OR($D485="",$Z485="",$K485=0),"",$Z485/$K485)</f>
        <v/>
      </c>
      <c r="AB485" s="44" t="str">
        <f aca="false">IF(OR($D485="",$Y485="",$K485=0),"",$Y485/$K485*10000)</f>
        <v/>
      </c>
      <c r="AC485" s="44" t="str">
        <f aca="false">IF(OR($D485="",$G485="",$G485=0,$I485=""),"",IF($E485="LONG",($I485-$G485)/$G485,($G485-$I485)/$G485)*10000)</f>
        <v/>
      </c>
      <c r="AD485" s="45"/>
      <c r="AE485" s="40" t="str">
        <f aca="false">IF(OR($D485="",$N485&lt;&gt;"",$AD485=""),"",IF($E485="LONG",($AD485-$I485)*$J485,($I485-$AD485)*$J485))</f>
        <v/>
      </c>
      <c r="AF485" s="40" t="str">
        <f aca="false">IF(OR($D485="",$E485&lt;&gt;"LONG",$Z485=""),"",$Z485+SUMIFS($Z$4:$Z$503,$B$4:$B$503,$B485,$E$4:$E$503,"SHORT"))</f>
        <v/>
      </c>
      <c r="AG485" s="42" t="str">
        <f aca="false">IF(OR($AF485="",$K485=0),"",$AF485/$K485)</f>
        <v/>
      </c>
      <c r="AH485" s="46"/>
      <c r="AI485" s="43" t="str">
        <f aca="false">IF(OR($D485="",$AH485="",$Z485=""),"",$Z485-$AH485)</f>
        <v/>
      </c>
      <c r="AJ485" s="49"/>
      <c r="AK485" s="47" t="str">
        <f aca="false">IF($D485="","",IFERROR(MATCH($F485,Config!$A$13:$A$15,0),1))</f>
        <v/>
      </c>
      <c r="AL485" s="47" t="str">
        <f aca="false">IF(OR($D485="",$N485=""),"",IF($E485="LONG",$K485,$O485))</f>
        <v/>
      </c>
      <c r="AM485" s="47" t="str">
        <f aca="false">IF(OR($D485="",$N485=""),"",IF($E485="LONG",$O485,$K485))</f>
        <v/>
      </c>
    </row>
    <row r="486" customFormat="false" ht="15" hidden="false" customHeight="false" outlineLevel="0" collapsed="false">
      <c r="A486" s="49"/>
      <c r="B486" s="5" t="str">
        <f aca="false">IF($D486="","",IF(OR(RIGHT($A486,2)="-L",RIGHT($A486,2)="-S"),LEFT($A486,LEN($A486)-2),$A486))</f>
        <v/>
      </c>
      <c r="C486" s="50"/>
      <c r="D486" s="49"/>
      <c r="E486" s="49"/>
      <c r="F486" s="49"/>
      <c r="G486" s="45"/>
      <c r="H486" s="50"/>
      <c r="I486" s="45"/>
      <c r="J486" s="51"/>
      <c r="K486" s="40" t="str">
        <f aca="false">IF($D486="","",$I486*$J486)</f>
        <v/>
      </c>
      <c r="L486" s="50"/>
      <c r="M486" s="49"/>
      <c r="N486" s="45"/>
      <c r="O486" s="40" t="str">
        <f aca="false">IF(OR($D486="",$N486=""),"",$N486*$J486)</f>
        <v/>
      </c>
      <c r="P486" s="41" t="str">
        <f aca="false">IF(OR($D486="",$L486=""),"",MAX($L486-$H486,0))</f>
        <v/>
      </c>
      <c r="Q486" s="40" t="str">
        <f aca="false">IF(OR($D486="",$N486=""),"",IF($E486="LONG",($N486-$I486)*$J486,($I486-$N486)*$J486))</f>
        <v/>
      </c>
      <c r="R486" s="42" t="str">
        <f aca="false">IF(OR($D486="",$Q486="",$K486=0),"",$Q486/$K486)</f>
        <v/>
      </c>
      <c r="S486" s="43" t="str">
        <f aca="false">IF(OR($D486="",$N486=""),"",MIN(INDEX(Config!$C$13:$C$15,$AK486),INDEX(Config!$B$13:$B$15,$AK486)*$K486)+MIN(INDEX(Config!$C$13:$C$15,$AK486),INDEX(Config!$B$13:$B$15,$AK486)*$O486))</f>
        <v/>
      </c>
      <c r="T486" s="43" t="str">
        <f aca="false">IF(OR($D486="",$N486=""),"",INDEX(Config!$D$13:$D$15,$AK486)*$AL486+INDEX(Config!$E$13:$E$15,$AK486)*$AM486)</f>
        <v/>
      </c>
      <c r="U486" s="43" t="str">
        <f aca="false">IF(OR($D486="",$N486=""),"",INDEX(Config!$F$13:$F$15,$AK486)*($K486+$O486))</f>
        <v/>
      </c>
      <c r="V486" s="43" t="str">
        <f aca="false">IF(OR($D486="",$N486=""),"",INDEX(Config!$G$13:$G$15,$AK486)*($K486+$O486)+INDEX(Config!$H$13:$H$15,$AK486)*$AL486+INDEX(Config!$J$13:$J$15,$AK486))</f>
        <v/>
      </c>
      <c r="W486" s="43" t="str">
        <f aca="false">IF(OR($D486="",$N486=""),"",INDEX(Config!$I$13:$I$15,$AK486)*($S486+$U486+INDEX(Config!$G$13:$G$15,$AK486)*($K486+$O486)))</f>
        <v/>
      </c>
      <c r="X486" s="43" t="str">
        <f aca="false">IF(OR($D486="",$N486=""),"",INDEX(Config!$K$13:$K$15,$AK486)/365*$P486*$K486*Config!$B$8)</f>
        <v/>
      </c>
      <c r="Y486" s="43" t="str">
        <f aca="false">IF(OR($D486="",$N486=""),"",SUM($S486:$X486))</f>
        <v/>
      </c>
      <c r="Z486" s="40" t="str">
        <f aca="false">IF(OR($D486="",$Q486=""),"",$Q486-$Y486)</f>
        <v/>
      </c>
      <c r="AA486" s="42" t="str">
        <f aca="false">IF(OR($D486="",$Z486="",$K486=0),"",$Z486/$K486)</f>
        <v/>
      </c>
      <c r="AB486" s="44" t="str">
        <f aca="false">IF(OR($D486="",$Y486="",$K486=0),"",$Y486/$K486*10000)</f>
        <v/>
      </c>
      <c r="AC486" s="44" t="str">
        <f aca="false">IF(OR($D486="",$G486="",$G486=0,$I486=""),"",IF($E486="LONG",($I486-$G486)/$G486,($G486-$I486)/$G486)*10000)</f>
        <v/>
      </c>
      <c r="AD486" s="45"/>
      <c r="AE486" s="40" t="str">
        <f aca="false">IF(OR($D486="",$N486&lt;&gt;"",$AD486=""),"",IF($E486="LONG",($AD486-$I486)*$J486,($I486-$AD486)*$J486))</f>
        <v/>
      </c>
      <c r="AF486" s="40" t="str">
        <f aca="false">IF(OR($D486="",$E486&lt;&gt;"LONG",$Z486=""),"",$Z486+SUMIFS($Z$4:$Z$503,$B$4:$B$503,$B486,$E$4:$E$503,"SHORT"))</f>
        <v/>
      </c>
      <c r="AG486" s="42" t="str">
        <f aca="false">IF(OR($AF486="",$K486=0),"",$AF486/$K486)</f>
        <v/>
      </c>
      <c r="AH486" s="46"/>
      <c r="AI486" s="43" t="str">
        <f aca="false">IF(OR($D486="",$AH486="",$Z486=""),"",$Z486-$AH486)</f>
        <v/>
      </c>
      <c r="AJ486" s="49"/>
      <c r="AK486" s="47" t="str">
        <f aca="false">IF($D486="","",IFERROR(MATCH($F486,Config!$A$13:$A$15,0),1))</f>
        <v/>
      </c>
      <c r="AL486" s="47" t="str">
        <f aca="false">IF(OR($D486="",$N486=""),"",IF($E486="LONG",$K486,$O486))</f>
        <v/>
      </c>
      <c r="AM486" s="47" t="str">
        <f aca="false">IF(OR($D486="",$N486=""),"",IF($E486="LONG",$O486,$K486))</f>
        <v/>
      </c>
    </row>
    <row r="487" customFormat="false" ht="15" hidden="false" customHeight="false" outlineLevel="0" collapsed="false">
      <c r="A487" s="49"/>
      <c r="B487" s="5" t="str">
        <f aca="false">IF($D487="","",IF(OR(RIGHT($A487,2)="-L",RIGHT($A487,2)="-S"),LEFT($A487,LEN($A487)-2),$A487))</f>
        <v/>
      </c>
      <c r="C487" s="50"/>
      <c r="D487" s="49"/>
      <c r="E487" s="49"/>
      <c r="F487" s="49"/>
      <c r="G487" s="45"/>
      <c r="H487" s="50"/>
      <c r="I487" s="45"/>
      <c r="J487" s="51"/>
      <c r="K487" s="40" t="str">
        <f aca="false">IF($D487="","",$I487*$J487)</f>
        <v/>
      </c>
      <c r="L487" s="50"/>
      <c r="M487" s="49"/>
      <c r="N487" s="45"/>
      <c r="O487" s="40" t="str">
        <f aca="false">IF(OR($D487="",$N487=""),"",$N487*$J487)</f>
        <v/>
      </c>
      <c r="P487" s="41" t="str">
        <f aca="false">IF(OR($D487="",$L487=""),"",MAX($L487-$H487,0))</f>
        <v/>
      </c>
      <c r="Q487" s="40" t="str">
        <f aca="false">IF(OR($D487="",$N487=""),"",IF($E487="LONG",($N487-$I487)*$J487,($I487-$N487)*$J487))</f>
        <v/>
      </c>
      <c r="R487" s="42" t="str">
        <f aca="false">IF(OR($D487="",$Q487="",$K487=0),"",$Q487/$K487)</f>
        <v/>
      </c>
      <c r="S487" s="43" t="str">
        <f aca="false">IF(OR($D487="",$N487=""),"",MIN(INDEX(Config!$C$13:$C$15,$AK487),INDEX(Config!$B$13:$B$15,$AK487)*$K487)+MIN(INDEX(Config!$C$13:$C$15,$AK487),INDEX(Config!$B$13:$B$15,$AK487)*$O487))</f>
        <v/>
      </c>
      <c r="T487" s="43" t="str">
        <f aca="false">IF(OR($D487="",$N487=""),"",INDEX(Config!$D$13:$D$15,$AK487)*$AL487+INDEX(Config!$E$13:$E$15,$AK487)*$AM487)</f>
        <v/>
      </c>
      <c r="U487" s="43" t="str">
        <f aca="false">IF(OR($D487="",$N487=""),"",INDEX(Config!$F$13:$F$15,$AK487)*($K487+$O487))</f>
        <v/>
      </c>
      <c r="V487" s="43" t="str">
        <f aca="false">IF(OR($D487="",$N487=""),"",INDEX(Config!$G$13:$G$15,$AK487)*($K487+$O487)+INDEX(Config!$H$13:$H$15,$AK487)*$AL487+INDEX(Config!$J$13:$J$15,$AK487))</f>
        <v/>
      </c>
      <c r="W487" s="43" t="str">
        <f aca="false">IF(OR($D487="",$N487=""),"",INDEX(Config!$I$13:$I$15,$AK487)*($S487+$U487+INDEX(Config!$G$13:$G$15,$AK487)*($K487+$O487)))</f>
        <v/>
      </c>
      <c r="X487" s="43" t="str">
        <f aca="false">IF(OR($D487="",$N487=""),"",INDEX(Config!$K$13:$K$15,$AK487)/365*$P487*$K487*Config!$B$8)</f>
        <v/>
      </c>
      <c r="Y487" s="43" t="str">
        <f aca="false">IF(OR($D487="",$N487=""),"",SUM($S487:$X487))</f>
        <v/>
      </c>
      <c r="Z487" s="40" t="str">
        <f aca="false">IF(OR($D487="",$Q487=""),"",$Q487-$Y487)</f>
        <v/>
      </c>
      <c r="AA487" s="42" t="str">
        <f aca="false">IF(OR($D487="",$Z487="",$K487=0),"",$Z487/$K487)</f>
        <v/>
      </c>
      <c r="AB487" s="44" t="str">
        <f aca="false">IF(OR($D487="",$Y487="",$K487=0),"",$Y487/$K487*10000)</f>
        <v/>
      </c>
      <c r="AC487" s="44" t="str">
        <f aca="false">IF(OR($D487="",$G487="",$G487=0,$I487=""),"",IF($E487="LONG",($I487-$G487)/$G487,($G487-$I487)/$G487)*10000)</f>
        <v/>
      </c>
      <c r="AD487" s="45"/>
      <c r="AE487" s="40" t="str">
        <f aca="false">IF(OR($D487="",$N487&lt;&gt;"",$AD487=""),"",IF($E487="LONG",($AD487-$I487)*$J487,($I487-$AD487)*$J487))</f>
        <v/>
      </c>
      <c r="AF487" s="40" t="str">
        <f aca="false">IF(OR($D487="",$E487&lt;&gt;"LONG",$Z487=""),"",$Z487+SUMIFS($Z$4:$Z$503,$B$4:$B$503,$B487,$E$4:$E$503,"SHORT"))</f>
        <v/>
      </c>
      <c r="AG487" s="42" t="str">
        <f aca="false">IF(OR($AF487="",$K487=0),"",$AF487/$K487)</f>
        <v/>
      </c>
      <c r="AH487" s="46"/>
      <c r="AI487" s="43" t="str">
        <f aca="false">IF(OR($D487="",$AH487="",$Z487=""),"",$Z487-$AH487)</f>
        <v/>
      </c>
      <c r="AJ487" s="49"/>
      <c r="AK487" s="47" t="str">
        <f aca="false">IF($D487="","",IFERROR(MATCH($F487,Config!$A$13:$A$15,0),1))</f>
        <v/>
      </c>
      <c r="AL487" s="47" t="str">
        <f aca="false">IF(OR($D487="",$N487=""),"",IF($E487="LONG",$K487,$O487))</f>
        <v/>
      </c>
      <c r="AM487" s="47" t="str">
        <f aca="false">IF(OR($D487="",$N487=""),"",IF($E487="LONG",$O487,$K487))</f>
        <v/>
      </c>
    </row>
    <row r="488" customFormat="false" ht="15" hidden="false" customHeight="false" outlineLevel="0" collapsed="false">
      <c r="A488" s="49"/>
      <c r="B488" s="5" t="str">
        <f aca="false">IF($D488="","",IF(OR(RIGHT($A488,2)="-L",RIGHT($A488,2)="-S"),LEFT($A488,LEN($A488)-2),$A488))</f>
        <v/>
      </c>
      <c r="C488" s="50"/>
      <c r="D488" s="49"/>
      <c r="E488" s="49"/>
      <c r="F488" s="49"/>
      <c r="G488" s="45"/>
      <c r="H488" s="50"/>
      <c r="I488" s="45"/>
      <c r="J488" s="51"/>
      <c r="K488" s="40" t="str">
        <f aca="false">IF($D488="","",$I488*$J488)</f>
        <v/>
      </c>
      <c r="L488" s="50"/>
      <c r="M488" s="49"/>
      <c r="N488" s="45"/>
      <c r="O488" s="40" t="str">
        <f aca="false">IF(OR($D488="",$N488=""),"",$N488*$J488)</f>
        <v/>
      </c>
      <c r="P488" s="41" t="str">
        <f aca="false">IF(OR($D488="",$L488=""),"",MAX($L488-$H488,0))</f>
        <v/>
      </c>
      <c r="Q488" s="40" t="str">
        <f aca="false">IF(OR($D488="",$N488=""),"",IF($E488="LONG",($N488-$I488)*$J488,($I488-$N488)*$J488))</f>
        <v/>
      </c>
      <c r="R488" s="42" t="str">
        <f aca="false">IF(OR($D488="",$Q488="",$K488=0),"",$Q488/$K488)</f>
        <v/>
      </c>
      <c r="S488" s="43" t="str">
        <f aca="false">IF(OR($D488="",$N488=""),"",MIN(INDEX(Config!$C$13:$C$15,$AK488),INDEX(Config!$B$13:$B$15,$AK488)*$K488)+MIN(INDEX(Config!$C$13:$C$15,$AK488),INDEX(Config!$B$13:$B$15,$AK488)*$O488))</f>
        <v/>
      </c>
      <c r="T488" s="43" t="str">
        <f aca="false">IF(OR($D488="",$N488=""),"",INDEX(Config!$D$13:$D$15,$AK488)*$AL488+INDEX(Config!$E$13:$E$15,$AK488)*$AM488)</f>
        <v/>
      </c>
      <c r="U488" s="43" t="str">
        <f aca="false">IF(OR($D488="",$N488=""),"",INDEX(Config!$F$13:$F$15,$AK488)*($K488+$O488))</f>
        <v/>
      </c>
      <c r="V488" s="43" t="str">
        <f aca="false">IF(OR($D488="",$N488=""),"",INDEX(Config!$G$13:$G$15,$AK488)*($K488+$O488)+INDEX(Config!$H$13:$H$15,$AK488)*$AL488+INDEX(Config!$J$13:$J$15,$AK488))</f>
        <v/>
      </c>
      <c r="W488" s="43" t="str">
        <f aca="false">IF(OR($D488="",$N488=""),"",INDEX(Config!$I$13:$I$15,$AK488)*($S488+$U488+INDEX(Config!$G$13:$G$15,$AK488)*($K488+$O488)))</f>
        <v/>
      </c>
      <c r="X488" s="43" t="str">
        <f aca="false">IF(OR($D488="",$N488=""),"",INDEX(Config!$K$13:$K$15,$AK488)/365*$P488*$K488*Config!$B$8)</f>
        <v/>
      </c>
      <c r="Y488" s="43" t="str">
        <f aca="false">IF(OR($D488="",$N488=""),"",SUM($S488:$X488))</f>
        <v/>
      </c>
      <c r="Z488" s="40" t="str">
        <f aca="false">IF(OR($D488="",$Q488=""),"",$Q488-$Y488)</f>
        <v/>
      </c>
      <c r="AA488" s="42" t="str">
        <f aca="false">IF(OR($D488="",$Z488="",$K488=0),"",$Z488/$K488)</f>
        <v/>
      </c>
      <c r="AB488" s="44" t="str">
        <f aca="false">IF(OR($D488="",$Y488="",$K488=0),"",$Y488/$K488*10000)</f>
        <v/>
      </c>
      <c r="AC488" s="44" t="str">
        <f aca="false">IF(OR($D488="",$G488="",$G488=0,$I488=""),"",IF($E488="LONG",($I488-$G488)/$G488,($G488-$I488)/$G488)*10000)</f>
        <v/>
      </c>
      <c r="AD488" s="45"/>
      <c r="AE488" s="40" t="str">
        <f aca="false">IF(OR($D488="",$N488&lt;&gt;"",$AD488=""),"",IF($E488="LONG",($AD488-$I488)*$J488,($I488-$AD488)*$J488))</f>
        <v/>
      </c>
      <c r="AF488" s="40" t="str">
        <f aca="false">IF(OR($D488="",$E488&lt;&gt;"LONG",$Z488=""),"",$Z488+SUMIFS($Z$4:$Z$503,$B$4:$B$503,$B488,$E$4:$E$503,"SHORT"))</f>
        <v/>
      </c>
      <c r="AG488" s="42" t="str">
        <f aca="false">IF(OR($AF488="",$K488=0),"",$AF488/$K488)</f>
        <v/>
      </c>
      <c r="AH488" s="46"/>
      <c r="AI488" s="43" t="str">
        <f aca="false">IF(OR($D488="",$AH488="",$Z488=""),"",$Z488-$AH488)</f>
        <v/>
      </c>
      <c r="AJ488" s="49"/>
      <c r="AK488" s="47" t="str">
        <f aca="false">IF($D488="","",IFERROR(MATCH($F488,Config!$A$13:$A$15,0),1))</f>
        <v/>
      </c>
      <c r="AL488" s="47" t="str">
        <f aca="false">IF(OR($D488="",$N488=""),"",IF($E488="LONG",$K488,$O488))</f>
        <v/>
      </c>
      <c r="AM488" s="47" t="str">
        <f aca="false">IF(OR($D488="",$N488=""),"",IF($E488="LONG",$O488,$K488))</f>
        <v/>
      </c>
    </row>
    <row r="489" customFormat="false" ht="15" hidden="false" customHeight="false" outlineLevel="0" collapsed="false">
      <c r="A489" s="49"/>
      <c r="B489" s="5" t="str">
        <f aca="false">IF($D489="","",IF(OR(RIGHT($A489,2)="-L",RIGHT($A489,2)="-S"),LEFT($A489,LEN($A489)-2),$A489))</f>
        <v/>
      </c>
      <c r="C489" s="50"/>
      <c r="D489" s="49"/>
      <c r="E489" s="49"/>
      <c r="F489" s="49"/>
      <c r="G489" s="45"/>
      <c r="H489" s="50"/>
      <c r="I489" s="45"/>
      <c r="J489" s="51"/>
      <c r="K489" s="40" t="str">
        <f aca="false">IF($D489="","",$I489*$J489)</f>
        <v/>
      </c>
      <c r="L489" s="50"/>
      <c r="M489" s="49"/>
      <c r="N489" s="45"/>
      <c r="O489" s="40" t="str">
        <f aca="false">IF(OR($D489="",$N489=""),"",$N489*$J489)</f>
        <v/>
      </c>
      <c r="P489" s="41" t="str">
        <f aca="false">IF(OR($D489="",$L489=""),"",MAX($L489-$H489,0))</f>
        <v/>
      </c>
      <c r="Q489" s="40" t="str">
        <f aca="false">IF(OR($D489="",$N489=""),"",IF($E489="LONG",($N489-$I489)*$J489,($I489-$N489)*$J489))</f>
        <v/>
      </c>
      <c r="R489" s="42" t="str">
        <f aca="false">IF(OR($D489="",$Q489="",$K489=0),"",$Q489/$K489)</f>
        <v/>
      </c>
      <c r="S489" s="43" t="str">
        <f aca="false">IF(OR($D489="",$N489=""),"",MIN(INDEX(Config!$C$13:$C$15,$AK489),INDEX(Config!$B$13:$B$15,$AK489)*$K489)+MIN(INDEX(Config!$C$13:$C$15,$AK489),INDEX(Config!$B$13:$B$15,$AK489)*$O489))</f>
        <v/>
      </c>
      <c r="T489" s="43" t="str">
        <f aca="false">IF(OR($D489="",$N489=""),"",INDEX(Config!$D$13:$D$15,$AK489)*$AL489+INDEX(Config!$E$13:$E$15,$AK489)*$AM489)</f>
        <v/>
      </c>
      <c r="U489" s="43" t="str">
        <f aca="false">IF(OR($D489="",$N489=""),"",INDEX(Config!$F$13:$F$15,$AK489)*($K489+$O489))</f>
        <v/>
      </c>
      <c r="V489" s="43" t="str">
        <f aca="false">IF(OR($D489="",$N489=""),"",INDEX(Config!$G$13:$G$15,$AK489)*($K489+$O489)+INDEX(Config!$H$13:$H$15,$AK489)*$AL489+INDEX(Config!$J$13:$J$15,$AK489))</f>
        <v/>
      </c>
      <c r="W489" s="43" t="str">
        <f aca="false">IF(OR($D489="",$N489=""),"",INDEX(Config!$I$13:$I$15,$AK489)*($S489+$U489+INDEX(Config!$G$13:$G$15,$AK489)*($K489+$O489)))</f>
        <v/>
      </c>
      <c r="X489" s="43" t="str">
        <f aca="false">IF(OR($D489="",$N489=""),"",INDEX(Config!$K$13:$K$15,$AK489)/365*$P489*$K489*Config!$B$8)</f>
        <v/>
      </c>
      <c r="Y489" s="43" t="str">
        <f aca="false">IF(OR($D489="",$N489=""),"",SUM($S489:$X489))</f>
        <v/>
      </c>
      <c r="Z489" s="40" t="str">
        <f aca="false">IF(OR($D489="",$Q489=""),"",$Q489-$Y489)</f>
        <v/>
      </c>
      <c r="AA489" s="42" t="str">
        <f aca="false">IF(OR($D489="",$Z489="",$K489=0),"",$Z489/$K489)</f>
        <v/>
      </c>
      <c r="AB489" s="44" t="str">
        <f aca="false">IF(OR($D489="",$Y489="",$K489=0),"",$Y489/$K489*10000)</f>
        <v/>
      </c>
      <c r="AC489" s="44" t="str">
        <f aca="false">IF(OR($D489="",$G489="",$G489=0,$I489=""),"",IF($E489="LONG",($I489-$G489)/$G489,($G489-$I489)/$G489)*10000)</f>
        <v/>
      </c>
      <c r="AD489" s="45"/>
      <c r="AE489" s="40" t="str">
        <f aca="false">IF(OR($D489="",$N489&lt;&gt;"",$AD489=""),"",IF($E489="LONG",($AD489-$I489)*$J489,($I489-$AD489)*$J489))</f>
        <v/>
      </c>
      <c r="AF489" s="40" t="str">
        <f aca="false">IF(OR($D489="",$E489&lt;&gt;"LONG",$Z489=""),"",$Z489+SUMIFS($Z$4:$Z$503,$B$4:$B$503,$B489,$E$4:$E$503,"SHORT"))</f>
        <v/>
      </c>
      <c r="AG489" s="42" t="str">
        <f aca="false">IF(OR($AF489="",$K489=0),"",$AF489/$K489)</f>
        <v/>
      </c>
      <c r="AH489" s="46"/>
      <c r="AI489" s="43" t="str">
        <f aca="false">IF(OR($D489="",$AH489="",$Z489=""),"",$Z489-$AH489)</f>
        <v/>
      </c>
      <c r="AJ489" s="49"/>
      <c r="AK489" s="47" t="str">
        <f aca="false">IF($D489="","",IFERROR(MATCH($F489,Config!$A$13:$A$15,0),1))</f>
        <v/>
      </c>
      <c r="AL489" s="47" t="str">
        <f aca="false">IF(OR($D489="",$N489=""),"",IF($E489="LONG",$K489,$O489))</f>
        <v/>
      </c>
      <c r="AM489" s="47" t="str">
        <f aca="false">IF(OR($D489="",$N489=""),"",IF($E489="LONG",$O489,$K489))</f>
        <v/>
      </c>
    </row>
    <row r="490" customFormat="false" ht="15" hidden="false" customHeight="false" outlineLevel="0" collapsed="false">
      <c r="A490" s="49"/>
      <c r="B490" s="5" t="str">
        <f aca="false">IF($D490="","",IF(OR(RIGHT($A490,2)="-L",RIGHT($A490,2)="-S"),LEFT($A490,LEN($A490)-2),$A490))</f>
        <v/>
      </c>
      <c r="C490" s="50"/>
      <c r="D490" s="49"/>
      <c r="E490" s="49"/>
      <c r="F490" s="49"/>
      <c r="G490" s="45"/>
      <c r="H490" s="50"/>
      <c r="I490" s="45"/>
      <c r="J490" s="51"/>
      <c r="K490" s="40" t="str">
        <f aca="false">IF($D490="","",$I490*$J490)</f>
        <v/>
      </c>
      <c r="L490" s="50"/>
      <c r="M490" s="49"/>
      <c r="N490" s="45"/>
      <c r="O490" s="40" t="str">
        <f aca="false">IF(OR($D490="",$N490=""),"",$N490*$J490)</f>
        <v/>
      </c>
      <c r="P490" s="41" t="str">
        <f aca="false">IF(OR($D490="",$L490=""),"",MAX($L490-$H490,0))</f>
        <v/>
      </c>
      <c r="Q490" s="40" t="str">
        <f aca="false">IF(OR($D490="",$N490=""),"",IF($E490="LONG",($N490-$I490)*$J490,($I490-$N490)*$J490))</f>
        <v/>
      </c>
      <c r="R490" s="42" t="str">
        <f aca="false">IF(OR($D490="",$Q490="",$K490=0),"",$Q490/$K490)</f>
        <v/>
      </c>
      <c r="S490" s="43" t="str">
        <f aca="false">IF(OR($D490="",$N490=""),"",MIN(INDEX(Config!$C$13:$C$15,$AK490),INDEX(Config!$B$13:$B$15,$AK490)*$K490)+MIN(INDEX(Config!$C$13:$C$15,$AK490),INDEX(Config!$B$13:$B$15,$AK490)*$O490))</f>
        <v/>
      </c>
      <c r="T490" s="43" t="str">
        <f aca="false">IF(OR($D490="",$N490=""),"",INDEX(Config!$D$13:$D$15,$AK490)*$AL490+INDEX(Config!$E$13:$E$15,$AK490)*$AM490)</f>
        <v/>
      </c>
      <c r="U490" s="43" t="str">
        <f aca="false">IF(OR($D490="",$N490=""),"",INDEX(Config!$F$13:$F$15,$AK490)*($K490+$O490))</f>
        <v/>
      </c>
      <c r="V490" s="43" t="str">
        <f aca="false">IF(OR($D490="",$N490=""),"",INDEX(Config!$G$13:$G$15,$AK490)*($K490+$O490)+INDEX(Config!$H$13:$H$15,$AK490)*$AL490+INDEX(Config!$J$13:$J$15,$AK490))</f>
        <v/>
      </c>
      <c r="W490" s="43" t="str">
        <f aca="false">IF(OR($D490="",$N490=""),"",INDEX(Config!$I$13:$I$15,$AK490)*($S490+$U490+INDEX(Config!$G$13:$G$15,$AK490)*($K490+$O490)))</f>
        <v/>
      </c>
      <c r="X490" s="43" t="str">
        <f aca="false">IF(OR($D490="",$N490=""),"",INDEX(Config!$K$13:$K$15,$AK490)/365*$P490*$K490*Config!$B$8)</f>
        <v/>
      </c>
      <c r="Y490" s="43" t="str">
        <f aca="false">IF(OR($D490="",$N490=""),"",SUM($S490:$X490))</f>
        <v/>
      </c>
      <c r="Z490" s="40" t="str">
        <f aca="false">IF(OR($D490="",$Q490=""),"",$Q490-$Y490)</f>
        <v/>
      </c>
      <c r="AA490" s="42" t="str">
        <f aca="false">IF(OR($D490="",$Z490="",$K490=0),"",$Z490/$K490)</f>
        <v/>
      </c>
      <c r="AB490" s="44" t="str">
        <f aca="false">IF(OR($D490="",$Y490="",$K490=0),"",$Y490/$K490*10000)</f>
        <v/>
      </c>
      <c r="AC490" s="44" t="str">
        <f aca="false">IF(OR($D490="",$G490="",$G490=0,$I490=""),"",IF($E490="LONG",($I490-$G490)/$G490,($G490-$I490)/$G490)*10000)</f>
        <v/>
      </c>
      <c r="AD490" s="45"/>
      <c r="AE490" s="40" t="str">
        <f aca="false">IF(OR($D490="",$N490&lt;&gt;"",$AD490=""),"",IF($E490="LONG",($AD490-$I490)*$J490,($I490-$AD490)*$J490))</f>
        <v/>
      </c>
      <c r="AF490" s="40" t="str">
        <f aca="false">IF(OR($D490="",$E490&lt;&gt;"LONG",$Z490=""),"",$Z490+SUMIFS($Z$4:$Z$503,$B$4:$B$503,$B490,$E$4:$E$503,"SHORT"))</f>
        <v/>
      </c>
      <c r="AG490" s="42" t="str">
        <f aca="false">IF(OR($AF490="",$K490=0),"",$AF490/$K490)</f>
        <v/>
      </c>
      <c r="AH490" s="46"/>
      <c r="AI490" s="43" t="str">
        <f aca="false">IF(OR($D490="",$AH490="",$Z490=""),"",$Z490-$AH490)</f>
        <v/>
      </c>
      <c r="AJ490" s="49"/>
      <c r="AK490" s="47" t="str">
        <f aca="false">IF($D490="","",IFERROR(MATCH($F490,Config!$A$13:$A$15,0),1))</f>
        <v/>
      </c>
      <c r="AL490" s="47" t="str">
        <f aca="false">IF(OR($D490="",$N490=""),"",IF($E490="LONG",$K490,$O490))</f>
        <v/>
      </c>
      <c r="AM490" s="47" t="str">
        <f aca="false">IF(OR($D490="",$N490=""),"",IF($E490="LONG",$O490,$K490))</f>
        <v/>
      </c>
    </row>
    <row r="491" customFormat="false" ht="15" hidden="false" customHeight="false" outlineLevel="0" collapsed="false">
      <c r="A491" s="49"/>
      <c r="B491" s="5" t="str">
        <f aca="false">IF($D491="","",IF(OR(RIGHT($A491,2)="-L",RIGHT($A491,2)="-S"),LEFT($A491,LEN($A491)-2),$A491))</f>
        <v/>
      </c>
      <c r="C491" s="50"/>
      <c r="D491" s="49"/>
      <c r="E491" s="49"/>
      <c r="F491" s="49"/>
      <c r="G491" s="45"/>
      <c r="H491" s="50"/>
      <c r="I491" s="45"/>
      <c r="J491" s="51"/>
      <c r="K491" s="40" t="str">
        <f aca="false">IF($D491="","",$I491*$J491)</f>
        <v/>
      </c>
      <c r="L491" s="50"/>
      <c r="M491" s="49"/>
      <c r="N491" s="45"/>
      <c r="O491" s="40" t="str">
        <f aca="false">IF(OR($D491="",$N491=""),"",$N491*$J491)</f>
        <v/>
      </c>
      <c r="P491" s="41" t="str">
        <f aca="false">IF(OR($D491="",$L491=""),"",MAX($L491-$H491,0))</f>
        <v/>
      </c>
      <c r="Q491" s="40" t="str">
        <f aca="false">IF(OR($D491="",$N491=""),"",IF($E491="LONG",($N491-$I491)*$J491,($I491-$N491)*$J491))</f>
        <v/>
      </c>
      <c r="R491" s="42" t="str">
        <f aca="false">IF(OR($D491="",$Q491="",$K491=0),"",$Q491/$K491)</f>
        <v/>
      </c>
      <c r="S491" s="43" t="str">
        <f aca="false">IF(OR($D491="",$N491=""),"",MIN(INDEX(Config!$C$13:$C$15,$AK491),INDEX(Config!$B$13:$B$15,$AK491)*$K491)+MIN(INDEX(Config!$C$13:$C$15,$AK491),INDEX(Config!$B$13:$B$15,$AK491)*$O491))</f>
        <v/>
      </c>
      <c r="T491" s="43" t="str">
        <f aca="false">IF(OR($D491="",$N491=""),"",INDEX(Config!$D$13:$D$15,$AK491)*$AL491+INDEX(Config!$E$13:$E$15,$AK491)*$AM491)</f>
        <v/>
      </c>
      <c r="U491" s="43" t="str">
        <f aca="false">IF(OR($D491="",$N491=""),"",INDEX(Config!$F$13:$F$15,$AK491)*($K491+$O491))</f>
        <v/>
      </c>
      <c r="V491" s="43" t="str">
        <f aca="false">IF(OR($D491="",$N491=""),"",INDEX(Config!$G$13:$G$15,$AK491)*($K491+$O491)+INDEX(Config!$H$13:$H$15,$AK491)*$AL491+INDEX(Config!$J$13:$J$15,$AK491))</f>
        <v/>
      </c>
      <c r="W491" s="43" t="str">
        <f aca="false">IF(OR($D491="",$N491=""),"",INDEX(Config!$I$13:$I$15,$AK491)*($S491+$U491+INDEX(Config!$G$13:$G$15,$AK491)*($K491+$O491)))</f>
        <v/>
      </c>
      <c r="X491" s="43" t="str">
        <f aca="false">IF(OR($D491="",$N491=""),"",INDEX(Config!$K$13:$K$15,$AK491)/365*$P491*$K491*Config!$B$8)</f>
        <v/>
      </c>
      <c r="Y491" s="43" t="str">
        <f aca="false">IF(OR($D491="",$N491=""),"",SUM($S491:$X491))</f>
        <v/>
      </c>
      <c r="Z491" s="40" t="str">
        <f aca="false">IF(OR($D491="",$Q491=""),"",$Q491-$Y491)</f>
        <v/>
      </c>
      <c r="AA491" s="42" t="str">
        <f aca="false">IF(OR($D491="",$Z491="",$K491=0),"",$Z491/$K491)</f>
        <v/>
      </c>
      <c r="AB491" s="44" t="str">
        <f aca="false">IF(OR($D491="",$Y491="",$K491=0),"",$Y491/$K491*10000)</f>
        <v/>
      </c>
      <c r="AC491" s="44" t="str">
        <f aca="false">IF(OR($D491="",$G491="",$G491=0,$I491=""),"",IF($E491="LONG",($I491-$G491)/$G491,($G491-$I491)/$G491)*10000)</f>
        <v/>
      </c>
      <c r="AD491" s="45"/>
      <c r="AE491" s="40" t="str">
        <f aca="false">IF(OR($D491="",$N491&lt;&gt;"",$AD491=""),"",IF($E491="LONG",($AD491-$I491)*$J491,($I491-$AD491)*$J491))</f>
        <v/>
      </c>
      <c r="AF491" s="40" t="str">
        <f aca="false">IF(OR($D491="",$E491&lt;&gt;"LONG",$Z491=""),"",$Z491+SUMIFS($Z$4:$Z$503,$B$4:$B$503,$B491,$E$4:$E$503,"SHORT"))</f>
        <v/>
      </c>
      <c r="AG491" s="42" t="str">
        <f aca="false">IF(OR($AF491="",$K491=0),"",$AF491/$K491)</f>
        <v/>
      </c>
      <c r="AH491" s="46"/>
      <c r="AI491" s="43" t="str">
        <f aca="false">IF(OR($D491="",$AH491="",$Z491=""),"",$Z491-$AH491)</f>
        <v/>
      </c>
      <c r="AJ491" s="49"/>
      <c r="AK491" s="47" t="str">
        <f aca="false">IF($D491="","",IFERROR(MATCH($F491,Config!$A$13:$A$15,0),1))</f>
        <v/>
      </c>
      <c r="AL491" s="47" t="str">
        <f aca="false">IF(OR($D491="",$N491=""),"",IF($E491="LONG",$K491,$O491))</f>
        <v/>
      </c>
      <c r="AM491" s="47" t="str">
        <f aca="false">IF(OR($D491="",$N491=""),"",IF($E491="LONG",$O491,$K491))</f>
        <v/>
      </c>
    </row>
    <row r="492" customFormat="false" ht="15" hidden="false" customHeight="false" outlineLevel="0" collapsed="false">
      <c r="A492" s="49"/>
      <c r="B492" s="5" t="str">
        <f aca="false">IF($D492="","",IF(OR(RIGHT($A492,2)="-L",RIGHT($A492,2)="-S"),LEFT($A492,LEN($A492)-2),$A492))</f>
        <v/>
      </c>
      <c r="C492" s="50"/>
      <c r="D492" s="49"/>
      <c r="E492" s="49"/>
      <c r="F492" s="49"/>
      <c r="G492" s="45"/>
      <c r="H492" s="50"/>
      <c r="I492" s="45"/>
      <c r="J492" s="51"/>
      <c r="K492" s="40" t="str">
        <f aca="false">IF($D492="","",$I492*$J492)</f>
        <v/>
      </c>
      <c r="L492" s="50"/>
      <c r="M492" s="49"/>
      <c r="N492" s="45"/>
      <c r="O492" s="40" t="str">
        <f aca="false">IF(OR($D492="",$N492=""),"",$N492*$J492)</f>
        <v/>
      </c>
      <c r="P492" s="41" t="str">
        <f aca="false">IF(OR($D492="",$L492=""),"",MAX($L492-$H492,0))</f>
        <v/>
      </c>
      <c r="Q492" s="40" t="str">
        <f aca="false">IF(OR($D492="",$N492=""),"",IF($E492="LONG",($N492-$I492)*$J492,($I492-$N492)*$J492))</f>
        <v/>
      </c>
      <c r="R492" s="42" t="str">
        <f aca="false">IF(OR($D492="",$Q492="",$K492=0),"",$Q492/$K492)</f>
        <v/>
      </c>
      <c r="S492" s="43" t="str">
        <f aca="false">IF(OR($D492="",$N492=""),"",MIN(INDEX(Config!$C$13:$C$15,$AK492),INDEX(Config!$B$13:$B$15,$AK492)*$K492)+MIN(INDEX(Config!$C$13:$C$15,$AK492),INDEX(Config!$B$13:$B$15,$AK492)*$O492))</f>
        <v/>
      </c>
      <c r="T492" s="43" t="str">
        <f aca="false">IF(OR($D492="",$N492=""),"",INDEX(Config!$D$13:$D$15,$AK492)*$AL492+INDEX(Config!$E$13:$E$15,$AK492)*$AM492)</f>
        <v/>
      </c>
      <c r="U492" s="43" t="str">
        <f aca="false">IF(OR($D492="",$N492=""),"",INDEX(Config!$F$13:$F$15,$AK492)*($K492+$O492))</f>
        <v/>
      </c>
      <c r="V492" s="43" t="str">
        <f aca="false">IF(OR($D492="",$N492=""),"",INDEX(Config!$G$13:$G$15,$AK492)*($K492+$O492)+INDEX(Config!$H$13:$H$15,$AK492)*$AL492+INDEX(Config!$J$13:$J$15,$AK492))</f>
        <v/>
      </c>
      <c r="W492" s="43" t="str">
        <f aca="false">IF(OR($D492="",$N492=""),"",INDEX(Config!$I$13:$I$15,$AK492)*($S492+$U492+INDEX(Config!$G$13:$G$15,$AK492)*($K492+$O492)))</f>
        <v/>
      </c>
      <c r="X492" s="43" t="str">
        <f aca="false">IF(OR($D492="",$N492=""),"",INDEX(Config!$K$13:$K$15,$AK492)/365*$P492*$K492*Config!$B$8)</f>
        <v/>
      </c>
      <c r="Y492" s="43" t="str">
        <f aca="false">IF(OR($D492="",$N492=""),"",SUM($S492:$X492))</f>
        <v/>
      </c>
      <c r="Z492" s="40" t="str">
        <f aca="false">IF(OR($D492="",$Q492=""),"",$Q492-$Y492)</f>
        <v/>
      </c>
      <c r="AA492" s="42" t="str">
        <f aca="false">IF(OR($D492="",$Z492="",$K492=0),"",$Z492/$K492)</f>
        <v/>
      </c>
      <c r="AB492" s="44" t="str">
        <f aca="false">IF(OR($D492="",$Y492="",$K492=0),"",$Y492/$K492*10000)</f>
        <v/>
      </c>
      <c r="AC492" s="44" t="str">
        <f aca="false">IF(OR($D492="",$G492="",$G492=0,$I492=""),"",IF($E492="LONG",($I492-$G492)/$G492,($G492-$I492)/$G492)*10000)</f>
        <v/>
      </c>
      <c r="AD492" s="45"/>
      <c r="AE492" s="40" t="str">
        <f aca="false">IF(OR($D492="",$N492&lt;&gt;"",$AD492=""),"",IF($E492="LONG",($AD492-$I492)*$J492,($I492-$AD492)*$J492))</f>
        <v/>
      </c>
      <c r="AF492" s="40" t="str">
        <f aca="false">IF(OR($D492="",$E492&lt;&gt;"LONG",$Z492=""),"",$Z492+SUMIFS($Z$4:$Z$503,$B$4:$B$503,$B492,$E$4:$E$503,"SHORT"))</f>
        <v/>
      </c>
      <c r="AG492" s="42" t="str">
        <f aca="false">IF(OR($AF492="",$K492=0),"",$AF492/$K492)</f>
        <v/>
      </c>
      <c r="AH492" s="46"/>
      <c r="AI492" s="43" t="str">
        <f aca="false">IF(OR($D492="",$AH492="",$Z492=""),"",$Z492-$AH492)</f>
        <v/>
      </c>
      <c r="AJ492" s="49"/>
      <c r="AK492" s="47" t="str">
        <f aca="false">IF($D492="","",IFERROR(MATCH($F492,Config!$A$13:$A$15,0),1))</f>
        <v/>
      </c>
      <c r="AL492" s="47" t="str">
        <f aca="false">IF(OR($D492="",$N492=""),"",IF($E492="LONG",$K492,$O492))</f>
        <v/>
      </c>
      <c r="AM492" s="47" t="str">
        <f aca="false">IF(OR($D492="",$N492=""),"",IF($E492="LONG",$O492,$K492))</f>
        <v/>
      </c>
    </row>
    <row r="493" customFormat="false" ht="15" hidden="false" customHeight="false" outlineLevel="0" collapsed="false">
      <c r="A493" s="49"/>
      <c r="B493" s="5" t="str">
        <f aca="false">IF($D493="","",IF(OR(RIGHT($A493,2)="-L",RIGHT($A493,2)="-S"),LEFT($A493,LEN($A493)-2),$A493))</f>
        <v/>
      </c>
      <c r="C493" s="50"/>
      <c r="D493" s="49"/>
      <c r="E493" s="49"/>
      <c r="F493" s="49"/>
      <c r="G493" s="45"/>
      <c r="H493" s="50"/>
      <c r="I493" s="45"/>
      <c r="J493" s="51"/>
      <c r="K493" s="40" t="str">
        <f aca="false">IF($D493="","",$I493*$J493)</f>
        <v/>
      </c>
      <c r="L493" s="50"/>
      <c r="M493" s="49"/>
      <c r="N493" s="45"/>
      <c r="O493" s="40" t="str">
        <f aca="false">IF(OR($D493="",$N493=""),"",$N493*$J493)</f>
        <v/>
      </c>
      <c r="P493" s="41" t="str">
        <f aca="false">IF(OR($D493="",$L493=""),"",MAX($L493-$H493,0))</f>
        <v/>
      </c>
      <c r="Q493" s="40" t="str">
        <f aca="false">IF(OR($D493="",$N493=""),"",IF($E493="LONG",($N493-$I493)*$J493,($I493-$N493)*$J493))</f>
        <v/>
      </c>
      <c r="R493" s="42" t="str">
        <f aca="false">IF(OR($D493="",$Q493="",$K493=0),"",$Q493/$K493)</f>
        <v/>
      </c>
      <c r="S493" s="43" t="str">
        <f aca="false">IF(OR($D493="",$N493=""),"",MIN(INDEX(Config!$C$13:$C$15,$AK493),INDEX(Config!$B$13:$B$15,$AK493)*$K493)+MIN(INDEX(Config!$C$13:$C$15,$AK493),INDEX(Config!$B$13:$B$15,$AK493)*$O493))</f>
        <v/>
      </c>
      <c r="T493" s="43" t="str">
        <f aca="false">IF(OR($D493="",$N493=""),"",INDEX(Config!$D$13:$D$15,$AK493)*$AL493+INDEX(Config!$E$13:$E$15,$AK493)*$AM493)</f>
        <v/>
      </c>
      <c r="U493" s="43" t="str">
        <f aca="false">IF(OR($D493="",$N493=""),"",INDEX(Config!$F$13:$F$15,$AK493)*($K493+$O493))</f>
        <v/>
      </c>
      <c r="V493" s="43" t="str">
        <f aca="false">IF(OR($D493="",$N493=""),"",INDEX(Config!$G$13:$G$15,$AK493)*($K493+$O493)+INDEX(Config!$H$13:$H$15,$AK493)*$AL493+INDEX(Config!$J$13:$J$15,$AK493))</f>
        <v/>
      </c>
      <c r="W493" s="43" t="str">
        <f aca="false">IF(OR($D493="",$N493=""),"",INDEX(Config!$I$13:$I$15,$AK493)*($S493+$U493+INDEX(Config!$G$13:$G$15,$AK493)*($K493+$O493)))</f>
        <v/>
      </c>
      <c r="X493" s="43" t="str">
        <f aca="false">IF(OR($D493="",$N493=""),"",INDEX(Config!$K$13:$K$15,$AK493)/365*$P493*$K493*Config!$B$8)</f>
        <v/>
      </c>
      <c r="Y493" s="43" t="str">
        <f aca="false">IF(OR($D493="",$N493=""),"",SUM($S493:$X493))</f>
        <v/>
      </c>
      <c r="Z493" s="40" t="str">
        <f aca="false">IF(OR($D493="",$Q493=""),"",$Q493-$Y493)</f>
        <v/>
      </c>
      <c r="AA493" s="42" t="str">
        <f aca="false">IF(OR($D493="",$Z493="",$K493=0),"",$Z493/$K493)</f>
        <v/>
      </c>
      <c r="AB493" s="44" t="str">
        <f aca="false">IF(OR($D493="",$Y493="",$K493=0),"",$Y493/$K493*10000)</f>
        <v/>
      </c>
      <c r="AC493" s="44" t="str">
        <f aca="false">IF(OR($D493="",$G493="",$G493=0,$I493=""),"",IF($E493="LONG",($I493-$G493)/$G493,($G493-$I493)/$G493)*10000)</f>
        <v/>
      </c>
      <c r="AD493" s="45"/>
      <c r="AE493" s="40" t="str">
        <f aca="false">IF(OR($D493="",$N493&lt;&gt;"",$AD493=""),"",IF($E493="LONG",($AD493-$I493)*$J493,($I493-$AD493)*$J493))</f>
        <v/>
      </c>
      <c r="AF493" s="40" t="str">
        <f aca="false">IF(OR($D493="",$E493&lt;&gt;"LONG",$Z493=""),"",$Z493+SUMIFS($Z$4:$Z$503,$B$4:$B$503,$B493,$E$4:$E$503,"SHORT"))</f>
        <v/>
      </c>
      <c r="AG493" s="42" t="str">
        <f aca="false">IF(OR($AF493="",$K493=0),"",$AF493/$K493)</f>
        <v/>
      </c>
      <c r="AH493" s="46"/>
      <c r="AI493" s="43" t="str">
        <f aca="false">IF(OR($D493="",$AH493="",$Z493=""),"",$Z493-$AH493)</f>
        <v/>
      </c>
      <c r="AJ493" s="49"/>
      <c r="AK493" s="47" t="str">
        <f aca="false">IF($D493="","",IFERROR(MATCH($F493,Config!$A$13:$A$15,0),1))</f>
        <v/>
      </c>
      <c r="AL493" s="47" t="str">
        <f aca="false">IF(OR($D493="",$N493=""),"",IF($E493="LONG",$K493,$O493))</f>
        <v/>
      </c>
      <c r="AM493" s="47" t="str">
        <f aca="false">IF(OR($D493="",$N493=""),"",IF($E493="LONG",$O493,$K493))</f>
        <v/>
      </c>
    </row>
    <row r="494" customFormat="false" ht="15" hidden="false" customHeight="false" outlineLevel="0" collapsed="false">
      <c r="A494" s="49"/>
      <c r="B494" s="5" t="str">
        <f aca="false">IF($D494="","",IF(OR(RIGHT($A494,2)="-L",RIGHT($A494,2)="-S"),LEFT($A494,LEN($A494)-2),$A494))</f>
        <v/>
      </c>
      <c r="C494" s="50"/>
      <c r="D494" s="49"/>
      <c r="E494" s="49"/>
      <c r="F494" s="49"/>
      <c r="G494" s="45"/>
      <c r="H494" s="50"/>
      <c r="I494" s="45"/>
      <c r="J494" s="51"/>
      <c r="K494" s="40" t="str">
        <f aca="false">IF($D494="","",$I494*$J494)</f>
        <v/>
      </c>
      <c r="L494" s="50"/>
      <c r="M494" s="49"/>
      <c r="N494" s="45"/>
      <c r="O494" s="40" t="str">
        <f aca="false">IF(OR($D494="",$N494=""),"",$N494*$J494)</f>
        <v/>
      </c>
      <c r="P494" s="41" t="str">
        <f aca="false">IF(OR($D494="",$L494=""),"",MAX($L494-$H494,0))</f>
        <v/>
      </c>
      <c r="Q494" s="40" t="str">
        <f aca="false">IF(OR($D494="",$N494=""),"",IF($E494="LONG",($N494-$I494)*$J494,($I494-$N494)*$J494))</f>
        <v/>
      </c>
      <c r="R494" s="42" t="str">
        <f aca="false">IF(OR($D494="",$Q494="",$K494=0),"",$Q494/$K494)</f>
        <v/>
      </c>
      <c r="S494" s="43" t="str">
        <f aca="false">IF(OR($D494="",$N494=""),"",MIN(INDEX(Config!$C$13:$C$15,$AK494),INDEX(Config!$B$13:$B$15,$AK494)*$K494)+MIN(INDEX(Config!$C$13:$C$15,$AK494),INDEX(Config!$B$13:$B$15,$AK494)*$O494))</f>
        <v/>
      </c>
      <c r="T494" s="43" t="str">
        <f aca="false">IF(OR($D494="",$N494=""),"",INDEX(Config!$D$13:$D$15,$AK494)*$AL494+INDEX(Config!$E$13:$E$15,$AK494)*$AM494)</f>
        <v/>
      </c>
      <c r="U494" s="43" t="str">
        <f aca="false">IF(OR($D494="",$N494=""),"",INDEX(Config!$F$13:$F$15,$AK494)*($K494+$O494))</f>
        <v/>
      </c>
      <c r="V494" s="43" t="str">
        <f aca="false">IF(OR($D494="",$N494=""),"",INDEX(Config!$G$13:$G$15,$AK494)*($K494+$O494)+INDEX(Config!$H$13:$H$15,$AK494)*$AL494+INDEX(Config!$J$13:$J$15,$AK494))</f>
        <v/>
      </c>
      <c r="W494" s="43" t="str">
        <f aca="false">IF(OR($D494="",$N494=""),"",INDEX(Config!$I$13:$I$15,$AK494)*($S494+$U494+INDEX(Config!$G$13:$G$15,$AK494)*($K494+$O494)))</f>
        <v/>
      </c>
      <c r="X494" s="43" t="str">
        <f aca="false">IF(OR($D494="",$N494=""),"",INDEX(Config!$K$13:$K$15,$AK494)/365*$P494*$K494*Config!$B$8)</f>
        <v/>
      </c>
      <c r="Y494" s="43" t="str">
        <f aca="false">IF(OR($D494="",$N494=""),"",SUM($S494:$X494))</f>
        <v/>
      </c>
      <c r="Z494" s="40" t="str">
        <f aca="false">IF(OR($D494="",$Q494=""),"",$Q494-$Y494)</f>
        <v/>
      </c>
      <c r="AA494" s="42" t="str">
        <f aca="false">IF(OR($D494="",$Z494="",$K494=0),"",$Z494/$K494)</f>
        <v/>
      </c>
      <c r="AB494" s="44" t="str">
        <f aca="false">IF(OR($D494="",$Y494="",$K494=0),"",$Y494/$K494*10000)</f>
        <v/>
      </c>
      <c r="AC494" s="44" t="str">
        <f aca="false">IF(OR($D494="",$G494="",$G494=0,$I494=""),"",IF($E494="LONG",($I494-$G494)/$G494,($G494-$I494)/$G494)*10000)</f>
        <v/>
      </c>
      <c r="AD494" s="45"/>
      <c r="AE494" s="40" t="str">
        <f aca="false">IF(OR($D494="",$N494&lt;&gt;"",$AD494=""),"",IF($E494="LONG",($AD494-$I494)*$J494,($I494-$AD494)*$J494))</f>
        <v/>
      </c>
      <c r="AF494" s="40" t="str">
        <f aca="false">IF(OR($D494="",$E494&lt;&gt;"LONG",$Z494=""),"",$Z494+SUMIFS($Z$4:$Z$503,$B$4:$B$503,$B494,$E$4:$E$503,"SHORT"))</f>
        <v/>
      </c>
      <c r="AG494" s="42" t="str">
        <f aca="false">IF(OR($AF494="",$K494=0),"",$AF494/$K494)</f>
        <v/>
      </c>
      <c r="AH494" s="46"/>
      <c r="AI494" s="43" t="str">
        <f aca="false">IF(OR($D494="",$AH494="",$Z494=""),"",$Z494-$AH494)</f>
        <v/>
      </c>
      <c r="AJ494" s="49"/>
      <c r="AK494" s="47" t="str">
        <f aca="false">IF($D494="","",IFERROR(MATCH($F494,Config!$A$13:$A$15,0),1))</f>
        <v/>
      </c>
      <c r="AL494" s="47" t="str">
        <f aca="false">IF(OR($D494="",$N494=""),"",IF($E494="LONG",$K494,$O494))</f>
        <v/>
      </c>
      <c r="AM494" s="47" t="str">
        <f aca="false">IF(OR($D494="",$N494=""),"",IF($E494="LONG",$O494,$K494))</f>
        <v/>
      </c>
    </row>
    <row r="495" customFormat="false" ht="15" hidden="false" customHeight="false" outlineLevel="0" collapsed="false">
      <c r="A495" s="49"/>
      <c r="B495" s="5" t="str">
        <f aca="false">IF($D495="","",IF(OR(RIGHT($A495,2)="-L",RIGHT($A495,2)="-S"),LEFT($A495,LEN($A495)-2),$A495))</f>
        <v/>
      </c>
      <c r="C495" s="50"/>
      <c r="D495" s="49"/>
      <c r="E495" s="49"/>
      <c r="F495" s="49"/>
      <c r="G495" s="45"/>
      <c r="H495" s="50"/>
      <c r="I495" s="45"/>
      <c r="J495" s="51"/>
      <c r="K495" s="40" t="str">
        <f aca="false">IF($D495="","",$I495*$J495)</f>
        <v/>
      </c>
      <c r="L495" s="50"/>
      <c r="M495" s="49"/>
      <c r="N495" s="45"/>
      <c r="O495" s="40" t="str">
        <f aca="false">IF(OR($D495="",$N495=""),"",$N495*$J495)</f>
        <v/>
      </c>
      <c r="P495" s="41" t="str">
        <f aca="false">IF(OR($D495="",$L495=""),"",MAX($L495-$H495,0))</f>
        <v/>
      </c>
      <c r="Q495" s="40" t="str">
        <f aca="false">IF(OR($D495="",$N495=""),"",IF($E495="LONG",($N495-$I495)*$J495,($I495-$N495)*$J495))</f>
        <v/>
      </c>
      <c r="R495" s="42" t="str">
        <f aca="false">IF(OR($D495="",$Q495="",$K495=0),"",$Q495/$K495)</f>
        <v/>
      </c>
      <c r="S495" s="43" t="str">
        <f aca="false">IF(OR($D495="",$N495=""),"",MIN(INDEX(Config!$C$13:$C$15,$AK495),INDEX(Config!$B$13:$B$15,$AK495)*$K495)+MIN(INDEX(Config!$C$13:$C$15,$AK495),INDEX(Config!$B$13:$B$15,$AK495)*$O495))</f>
        <v/>
      </c>
      <c r="T495" s="43" t="str">
        <f aca="false">IF(OR($D495="",$N495=""),"",INDEX(Config!$D$13:$D$15,$AK495)*$AL495+INDEX(Config!$E$13:$E$15,$AK495)*$AM495)</f>
        <v/>
      </c>
      <c r="U495" s="43" t="str">
        <f aca="false">IF(OR($D495="",$N495=""),"",INDEX(Config!$F$13:$F$15,$AK495)*($K495+$O495))</f>
        <v/>
      </c>
      <c r="V495" s="43" t="str">
        <f aca="false">IF(OR($D495="",$N495=""),"",INDEX(Config!$G$13:$G$15,$AK495)*($K495+$O495)+INDEX(Config!$H$13:$H$15,$AK495)*$AL495+INDEX(Config!$J$13:$J$15,$AK495))</f>
        <v/>
      </c>
      <c r="W495" s="43" t="str">
        <f aca="false">IF(OR($D495="",$N495=""),"",INDEX(Config!$I$13:$I$15,$AK495)*($S495+$U495+INDEX(Config!$G$13:$G$15,$AK495)*($K495+$O495)))</f>
        <v/>
      </c>
      <c r="X495" s="43" t="str">
        <f aca="false">IF(OR($D495="",$N495=""),"",INDEX(Config!$K$13:$K$15,$AK495)/365*$P495*$K495*Config!$B$8)</f>
        <v/>
      </c>
      <c r="Y495" s="43" t="str">
        <f aca="false">IF(OR($D495="",$N495=""),"",SUM($S495:$X495))</f>
        <v/>
      </c>
      <c r="Z495" s="40" t="str">
        <f aca="false">IF(OR($D495="",$Q495=""),"",$Q495-$Y495)</f>
        <v/>
      </c>
      <c r="AA495" s="42" t="str">
        <f aca="false">IF(OR($D495="",$Z495="",$K495=0),"",$Z495/$K495)</f>
        <v/>
      </c>
      <c r="AB495" s="44" t="str">
        <f aca="false">IF(OR($D495="",$Y495="",$K495=0),"",$Y495/$K495*10000)</f>
        <v/>
      </c>
      <c r="AC495" s="44" t="str">
        <f aca="false">IF(OR($D495="",$G495="",$G495=0,$I495=""),"",IF($E495="LONG",($I495-$G495)/$G495,($G495-$I495)/$G495)*10000)</f>
        <v/>
      </c>
      <c r="AD495" s="45"/>
      <c r="AE495" s="40" t="str">
        <f aca="false">IF(OR($D495="",$N495&lt;&gt;"",$AD495=""),"",IF($E495="LONG",($AD495-$I495)*$J495,($I495-$AD495)*$J495))</f>
        <v/>
      </c>
      <c r="AF495" s="40" t="str">
        <f aca="false">IF(OR($D495="",$E495&lt;&gt;"LONG",$Z495=""),"",$Z495+SUMIFS($Z$4:$Z$503,$B$4:$B$503,$B495,$E$4:$E$503,"SHORT"))</f>
        <v/>
      </c>
      <c r="AG495" s="42" t="str">
        <f aca="false">IF(OR($AF495="",$K495=0),"",$AF495/$K495)</f>
        <v/>
      </c>
      <c r="AH495" s="46"/>
      <c r="AI495" s="43" t="str">
        <f aca="false">IF(OR($D495="",$AH495="",$Z495=""),"",$Z495-$AH495)</f>
        <v/>
      </c>
      <c r="AJ495" s="49"/>
      <c r="AK495" s="47" t="str">
        <f aca="false">IF($D495="","",IFERROR(MATCH($F495,Config!$A$13:$A$15,0),1))</f>
        <v/>
      </c>
      <c r="AL495" s="47" t="str">
        <f aca="false">IF(OR($D495="",$N495=""),"",IF($E495="LONG",$K495,$O495))</f>
        <v/>
      </c>
      <c r="AM495" s="47" t="str">
        <f aca="false">IF(OR($D495="",$N495=""),"",IF($E495="LONG",$O495,$K495))</f>
        <v/>
      </c>
    </row>
    <row r="496" customFormat="false" ht="15" hidden="false" customHeight="false" outlineLevel="0" collapsed="false">
      <c r="A496" s="49"/>
      <c r="B496" s="5" t="str">
        <f aca="false">IF($D496="","",IF(OR(RIGHT($A496,2)="-L",RIGHT($A496,2)="-S"),LEFT($A496,LEN($A496)-2),$A496))</f>
        <v/>
      </c>
      <c r="C496" s="50"/>
      <c r="D496" s="49"/>
      <c r="E496" s="49"/>
      <c r="F496" s="49"/>
      <c r="G496" s="45"/>
      <c r="H496" s="50"/>
      <c r="I496" s="45"/>
      <c r="J496" s="51"/>
      <c r="K496" s="40" t="str">
        <f aca="false">IF($D496="","",$I496*$J496)</f>
        <v/>
      </c>
      <c r="L496" s="50"/>
      <c r="M496" s="49"/>
      <c r="N496" s="45"/>
      <c r="O496" s="40" t="str">
        <f aca="false">IF(OR($D496="",$N496=""),"",$N496*$J496)</f>
        <v/>
      </c>
      <c r="P496" s="41" t="str">
        <f aca="false">IF(OR($D496="",$L496=""),"",MAX($L496-$H496,0))</f>
        <v/>
      </c>
      <c r="Q496" s="40" t="str">
        <f aca="false">IF(OR($D496="",$N496=""),"",IF($E496="LONG",($N496-$I496)*$J496,($I496-$N496)*$J496))</f>
        <v/>
      </c>
      <c r="R496" s="42" t="str">
        <f aca="false">IF(OR($D496="",$Q496="",$K496=0),"",$Q496/$K496)</f>
        <v/>
      </c>
      <c r="S496" s="43" t="str">
        <f aca="false">IF(OR($D496="",$N496=""),"",MIN(INDEX(Config!$C$13:$C$15,$AK496),INDEX(Config!$B$13:$B$15,$AK496)*$K496)+MIN(INDEX(Config!$C$13:$C$15,$AK496),INDEX(Config!$B$13:$B$15,$AK496)*$O496))</f>
        <v/>
      </c>
      <c r="T496" s="43" t="str">
        <f aca="false">IF(OR($D496="",$N496=""),"",INDEX(Config!$D$13:$D$15,$AK496)*$AL496+INDEX(Config!$E$13:$E$15,$AK496)*$AM496)</f>
        <v/>
      </c>
      <c r="U496" s="43" t="str">
        <f aca="false">IF(OR($D496="",$N496=""),"",INDEX(Config!$F$13:$F$15,$AK496)*($K496+$O496))</f>
        <v/>
      </c>
      <c r="V496" s="43" t="str">
        <f aca="false">IF(OR($D496="",$N496=""),"",INDEX(Config!$G$13:$G$15,$AK496)*($K496+$O496)+INDEX(Config!$H$13:$H$15,$AK496)*$AL496+INDEX(Config!$J$13:$J$15,$AK496))</f>
        <v/>
      </c>
      <c r="W496" s="43" t="str">
        <f aca="false">IF(OR($D496="",$N496=""),"",INDEX(Config!$I$13:$I$15,$AK496)*($S496+$U496+INDEX(Config!$G$13:$G$15,$AK496)*($K496+$O496)))</f>
        <v/>
      </c>
      <c r="X496" s="43" t="str">
        <f aca="false">IF(OR($D496="",$N496=""),"",INDEX(Config!$K$13:$K$15,$AK496)/365*$P496*$K496*Config!$B$8)</f>
        <v/>
      </c>
      <c r="Y496" s="43" t="str">
        <f aca="false">IF(OR($D496="",$N496=""),"",SUM($S496:$X496))</f>
        <v/>
      </c>
      <c r="Z496" s="40" t="str">
        <f aca="false">IF(OR($D496="",$Q496=""),"",$Q496-$Y496)</f>
        <v/>
      </c>
      <c r="AA496" s="42" t="str">
        <f aca="false">IF(OR($D496="",$Z496="",$K496=0),"",$Z496/$K496)</f>
        <v/>
      </c>
      <c r="AB496" s="44" t="str">
        <f aca="false">IF(OR($D496="",$Y496="",$K496=0),"",$Y496/$K496*10000)</f>
        <v/>
      </c>
      <c r="AC496" s="44" t="str">
        <f aca="false">IF(OR($D496="",$G496="",$G496=0,$I496=""),"",IF($E496="LONG",($I496-$G496)/$G496,($G496-$I496)/$G496)*10000)</f>
        <v/>
      </c>
      <c r="AD496" s="45"/>
      <c r="AE496" s="40" t="str">
        <f aca="false">IF(OR($D496="",$N496&lt;&gt;"",$AD496=""),"",IF($E496="LONG",($AD496-$I496)*$J496,($I496-$AD496)*$J496))</f>
        <v/>
      </c>
      <c r="AF496" s="40" t="str">
        <f aca="false">IF(OR($D496="",$E496&lt;&gt;"LONG",$Z496=""),"",$Z496+SUMIFS($Z$4:$Z$503,$B$4:$B$503,$B496,$E$4:$E$503,"SHORT"))</f>
        <v/>
      </c>
      <c r="AG496" s="42" t="str">
        <f aca="false">IF(OR($AF496="",$K496=0),"",$AF496/$K496)</f>
        <v/>
      </c>
      <c r="AH496" s="46"/>
      <c r="AI496" s="43" t="str">
        <f aca="false">IF(OR($D496="",$AH496="",$Z496=""),"",$Z496-$AH496)</f>
        <v/>
      </c>
      <c r="AJ496" s="49"/>
      <c r="AK496" s="47" t="str">
        <f aca="false">IF($D496="","",IFERROR(MATCH($F496,Config!$A$13:$A$15,0),1))</f>
        <v/>
      </c>
      <c r="AL496" s="47" t="str">
        <f aca="false">IF(OR($D496="",$N496=""),"",IF($E496="LONG",$K496,$O496))</f>
        <v/>
      </c>
      <c r="AM496" s="47" t="str">
        <f aca="false">IF(OR($D496="",$N496=""),"",IF($E496="LONG",$O496,$K496))</f>
        <v/>
      </c>
    </row>
    <row r="497" customFormat="false" ht="15" hidden="false" customHeight="false" outlineLevel="0" collapsed="false">
      <c r="A497" s="49"/>
      <c r="B497" s="5" t="str">
        <f aca="false">IF($D497="","",IF(OR(RIGHT($A497,2)="-L",RIGHT($A497,2)="-S"),LEFT($A497,LEN($A497)-2),$A497))</f>
        <v/>
      </c>
      <c r="C497" s="50"/>
      <c r="D497" s="49"/>
      <c r="E497" s="49"/>
      <c r="F497" s="49"/>
      <c r="G497" s="45"/>
      <c r="H497" s="50"/>
      <c r="I497" s="45"/>
      <c r="J497" s="51"/>
      <c r="K497" s="40" t="str">
        <f aca="false">IF($D497="","",$I497*$J497)</f>
        <v/>
      </c>
      <c r="L497" s="50"/>
      <c r="M497" s="49"/>
      <c r="N497" s="45"/>
      <c r="O497" s="40" t="str">
        <f aca="false">IF(OR($D497="",$N497=""),"",$N497*$J497)</f>
        <v/>
      </c>
      <c r="P497" s="41" t="str">
        <f aca="false">IF(OR($D497="",$L497=""),"",MAX($L497-$H497,0))</f>
        <v/>
      </c>
      <c r="Q497" s="40" t="str">
        <f aca="false">IF(OR($D497="",$N497=""),"",IF($E497="LONG",($N497-$I497)*$J497,($I497-$N497)*$J497))</f>
        <v/>
      </c>
      <c r="R497" s="42" t="str">
        <f aca="false">IF(OR($D497="",$Q497="",$K497=0),"",$Q497/$K497)</f>
        <v/>
      </c>
      <c r="S497" s="43" t="str">
        <f aca="false">IF(OR($D497="",$N497=""),"",MIN(INDEX(Config!$C$13:$C$15,$AK497),INDEX(Config!$B$13:$B$15,$AK497)*$K497)+MIN(INDEX(Config!$C$13:$C$15,$AK497),INDEX(Config!$B$13:$B$15,$AK497)*$O497))</f>
        <v/>
      </c>
      <c r="T497" s="43" t="str">
        <f aca="false">IF(OR($D497="",$N497=""),"",INDEX(Config!$D$13:$D$15,$AK497)*$AL497+INDEX(Config!$E$13:$E$15,$AK497)*$AM497)</f>
        <v/>
      </c>
      <c r="U497" s="43" t="str">
        <f aca="false">IF(OR($D497="",$N497=""),"",INDEX(Config!$F$13:$F$15,$AK497)*($K497+$O497))</f>
        <v/>
      </c>
      <c r="V497" s="43" t="str">
        <f aca="false">IF(OR($D497="",$N497=""),"",INDEX(Config!$G$13:$G$15,$AK497)*($K497+$O497)+INDEX(Config!$H$13:$H$15,$AK497)*$AL497+INDEX(Config!$J$13:$J$15,$AK497))</f>
        <v/>
      </c>
      <c r="W497" s="43" t="str">
        <f aca="false">IF(OR($D497="",$N497=""),"",INDEX(Config!$I$13:$I$15,$AK497)*($S497+$U497+INDEX(Config!$G$13:$G$15,$AK497)*($K497+$O497)))</f>
        <v/>
      </c>
      <c r="X497" s="43" t="str">
        <f aca="false">IF(OR($D497="",$N497=""),"",INDEX(Config!$K$13:$K$15,$AK497)/365*$P497*$K497*Config!$B$8)</f>
        <v/>
      </c>
      <c r="Y497" s="43" t="str">
        <f aca="false">IF(OR($D497="",$N497=""),"",SUM($S497:$X497))</f>
        <v/>
      </c>
      <c r="Z497" s="40" t="str">
        <f aca="false">IF(OR($D497="",$Q497=""),"",$Q497-$Y497)</f>
        <v/>
      </c>
      <c r="AA497" s="42" t="str">
        <f aca="false">IF(OR($D497="",$Z497="",$K497=0),"",$Z497/$K497)</f>
        <v/>
      </c>
      <c r="AB497" s="44" t="str">
        <f aca="false">IF(OR($D497="",$Y497="",$K497=0),"",$Y497/$K497*10000)</f>
        <v/>
      </c>
      <c r="AC497" s="44" t="str">
        <f aca="false">IF(OR($D497="",$G497="",$G497=0,$I497=""),"",IF($E497="LONG",($I497-$G497)/$G497,($G497-$I497)/$G497)*10000)</f>
        <v/>
      </c>
      <c r="AD497" s="45"/>
      <c r="AE497" s="40" t="str">
        <f aca="false">IF(OR($D497="",$N497&lt;&gt;"",$AD497=""),"",IF($E497="LONG",($AD497-$I497)*$J497,($I497-$AD497)*$J497))</f>
        <v/>
      </c>
      <c r="AF497" s="40" t="str">
        <f aca="false">IF(OR($D497="",$E497&lt;&gt;"LONG",$Z497=""),"",$Z497+SUMIFS($Z$4:$Z$503,$B$4:$B$503,$B497,$E$4:$E$503,"SHORT"))</f>
        <v/>
      </c>
      <c r="AG497" s="42" t="str">
        <f aca="false">IF(OR($AF497="",$K497=0),"",$AF497/$K497)</f>
        <v/>
      </c>
      <c r="AH497" s="46"/>
      <c r="AI497" s="43" t="str">
        <f aca="false">IF(OR($D497="",$AH497="",$Z497=""),"",$Z497-$AH497)</f>
        <v/>
      </c>
      <c r="AJ497" s="49"/>
      <c r="AK497" s="47" t="str">
        <f aca="false">IF($D497="","",IFERROR(MATCH($F497,Config!$A$13:$A$15,0),1))</f>
        <v/>
      </c>
      <c r="AL497" s="47" t="str">
        <f aca="false">IF(OR($D497="",$N497=""),"",IF($E497="LONG",$K497,$O497))</f>
        <v/>
      </c>
      <c r="AM497" s="47" t="str">
        <f aca="false">IF(OR($D497="",$N497=""),"",IF($E497="LONG",$O497,$K497))</f>
        <v/>
      </c>
    </row>
    <row r="498" customFormat="false" ht="15" hidden="false" customHeight="false" outlineLevel="0" collapsed="false">
      <c r="A498" s="49"/>
      <c r="B498" s="5" t="str">
        <f aca="false">IF($D498="","",IF(OR(RIGHT($A498,2)="-L",RIGHT($A498,2)="-S"),LEFT($A498,LEN($A498)-2),$A498))</f>
        <v/>
      </c>
      <c r="C498" s="50"/>
      <c r="D498" s="49"/>
      <c r="E498" s="49"/>
      <c r="F498" s="49"/>
      <c r="G498" s="45"/>
      <c r="H498" s="50"/>
      <c r="I498" s="45"/>
      <c r="J498" s="51"/>
      <c r="K498" s="40" t="str">
        <f aca="false">IF($D498="","",$I498*$J498)</f>
        <v/>
      </c>
      <c r="L498" s="50"/>
      <c r="M498" s="49"/>
      <c r="N498" s="45"/>
      <c r="O498" s="40" t="str">
        <f aca="false">IF(OR($D498="",$N498=""),"",$N498*$J498)</f>
        <v/>
      </c>
      <c r="P498" s="41" t="str">
        <f aca="false">IF(OR($D498="",$L498=""),"",MAX($L498-$H498,0))</f>
        <v/>
      </c>
      <c r="Q498" s="40" t="str">
        <f aca="false">IF(OR($D498="",$N498=""),"",IF($E498="LONG",($N498-$I498)*$J498,($I498-$N498)*$J498))</f>
        <v/>
      </c>
      <c r="R498" s="42" t="str">
        <f aca="false">IF(OR($D498="",$Q498="",$K498=0),"",$Q498/$K498)</f>
        <v/>
      </c>
      <c r="S498" s="43" t="str">
        <f aca="false">IF(OR($D498="",$N498=""),"",MIN(INDEX(Config!$C$13:$C$15,$AK498),INDEX(Config!$B$13:$B$15,$AK498)*$K498)+MIN(INDEX(Config!$C$13:$C$15,$AK498),INDEX(Config!$B$13:$B$15,$AK498)*$O498))</f>
        <v/>
      </c>
      <c r="T498" s="43" t="str">
        <f aca="false">IF(OR($D498="",$N498=""),"",INDEX(Config!$D$13:$D$15,$AK498)*$AL498+INDEX(Config!$E$13:$E$15,$AK498)*$AM498)</f>
        <v/>
      </c>
      <c r="U498" s="43" t="str">
        <f aca="false">IF(OR($D498="",$N498=""),"",INDEX(Config!$F$13:$F$15,$AK498)*($K498+$O498))</f>
        <v/>
      </c>
      <c r="V498" s="43" t="str">
        <f aca="false">IF(OR($D498="",$N498=""),"",INDEX(Config!$G$13:$G$15,$AK498)*($K498+$O498)+INDEX(Config!$H$13:$H$15,$AK498)*$AL498+INDEX(Config!$J$13:$J$15,$AK498))</f>
        <v/>
      </c>
      <c r="W498" s="43" t="str">
        <f aca="false">IF(OR($D498="",$N498=""),"",INDEX(Config!$I$13:$I$15,$AK498)*($S498+$U498+INDEX(Config!$G$13:$G$15,$AK498)*($K498+$O498)))</f>
        <v/>
      </c>
      <c r="X498" s="43" t="str">
        <f aca="false">IF(OR($D498="",$N498=""),"",INDEX(Config!$K$13:$K$15,$AK498)/365*$P498*$K498*Config!$B$8)</f>
        <v/>
      </c>
      <c r="Y498" s="43" t="str">
        <f aca="false">IF(OR($D498="",$N498=""),"",SUM($S498:$X498))</f>
        <v/>
      </c>
      <c r="Z498" s="40" t="str">
        <f aca="false">IF(OR($D498="",$Q498=""),"",$Q498-$Y498)</f>
        <v/>
      </c>
      <c r="AA498" s="42" t="str">
        <f aca="false">IF(OR($D498="",$Z498="",$K498=0),"",$Z498/$K498)</f>
        <v/>
      </c>
      <c r="AB498" s="44" t="str">
        <f aca="false">IF(OR($D498="",$Y498="",$K498=0),"",$Y498/$K498*10000)</f>
        <v/>
      </c>
      <c r="AC498" s="44" t="str">
        <f aca="false">IF(OR($D498="",$G498="",$G498=0,$I498=""),"",IF($E498="LONG",($I498-$G498)/$G498,($G498-$I498)/$G498)*10000)</f>
        <v/>
      </c>
      <c r="AD498" s="45"/>
      <c r="AE498" s="40" t="str">
        <f aca="false">IF(OR($D498="",$N498&lt;&gt;"",$AD498=""),"",IF($E498="LONG",($AD498-$I498)*$J498,($I498-$AD498)*$J498))</f>
        <v/>
      </c>
      <c r="AF498" s="40" t="str">
        <f aca="false">IF(OR($D498="",$E498&lt;&gt;"LONG",$Z498=""),"",$Z498+SUMIFS($Z$4:$Z$503,$B$4:$B$503,$B498,$E$4:$E$503,"SHORT"))</f>
        <v/>
      </c>
      <c r="AG498" s="42" t="str">
        <f aca="false">IF(OR($AF498="",$K498=0),"",$AF498/$K498)</f>
        <v/>
      </c>
      <c r="AH498" s="46"/>
      <c r="AI498" s="43" t="str">
        <f aca="false">IF(OR($D498="",$AH498="",$Z498=""),"",$Z498-$AH498)</f>
        <v/>
      </c>
      <c r="AJ498" s="49"/>
      <c r="AK498" s="47" t="str">
        <f aca="false">IF($D498="","",IFERROR(MATCH($F498,Config!$A$13:$A$15,0),1))</f>
        <v/>
      </c>
      <c r="AL498" s="47" t="str">
        <f aca="false">IF(OR($D498="",$N498=""),"",IF($E498="LONG",$K498,$O498))</f>
        <v/>
      </c>
      <c r="AM498" s="47" t="str">
        <f aca="false">IF(OR($D498="",$N498=""),"",IF($E498="LONG",$O498,$K498))</f>
        <v/>
      </c>
    </row>
    <row r="499" customFormat="false" ht="15" hidden="false" customHeight="false" outlineLevel="0" collapsed="false">
      <c r="A499" s="49"/>
      <c r="B499" s="5" t="str">
        <f aca="false">IF($D499="","",IF(OR(RIGHT($A499,2)="-L",RIGHT($A499,2)="-S"),LEFT($A499,LEN($A499)-2),$A499))</f>
        <v/>
      </c>
      <c r="C499" s="50"/>
      <c r="D499" s="49"/>
      <c r="E499" s="49"/>
      <c r="F499" s="49"/>
      <c r="G499" s="45"/>
      <c r="H499" s="50"/>
      <c r="I499" s="45"/>
      <c r="J499" s="51"/>
      <c r="K499" s="40" t="str">
        <f aca="false">IF($D499="","",$I499*$J499)</f>
        <v/>
      </c>
      <c r="L499" s="50"/>
      <c r="M499" s="49"/>
      <c r="N499" s="45"/>
      <c r="O499" s="40" t="str">
        <f aca="false">IF(OR($D499="",$N499=""),"",$N499*$J499)</f>
        <v/>
      </c>
      <c r="P499" s="41" t="str">
        <f aca="false">IF(OR($D499="",$L499=""),"",MAX($L499-$H499,0))</f>
        <v/>
      </c>
      <c r="Q499" s="40" t="str">
        <f aca="false">IF(OR($D499="",$N499=""),"",IF($E499="LONG",($N499-$I499)*$J499,($I499-$N499)*$J499))</f>
        <v/>
      </c>
      <c r="R499" s="42" t="str">
        <f aca="false">IF(OR($D499="",$Q499="",$K499=0),"",$Q499/$K499)</f>
        <v/>
      </c>
      <c r="S499" s="43" t="str">
        <f aca="false">IF(OR($D499="",$N499=""),"",MIN(INDEX(Config!$C$13:$C$15,$AK499),INDEX(Config!$B$13:$B$15,$AK499)*$K499)+MIN(INDEX(Config!$C$13:$C$15,$AK499),INDEX(Config!$B$13:$B$15,$AK499)*$O499))</f>
        <v/>
      </c>
      <c r="T499" s="43" t="str">
        <f aca="false">IF(OR($D499="",$N499=""),"",INDEX(Config!$D$13:$D$15,$AK499)*$AL499+INDEX(Config!$E$13:$E$15,$AK499)*$AM499)</f>
        <v/>
      </c>
      <c r="U499" s="43" t="str">
        <f aca="false">IF(OR($D499="",$N499=""),"",INDEX(Config!$F$13:$F$15,$AK499)*($K499+$O499))</f>
        <v/>
      </c>
      <c r="V499" s="43" t="str">
        <f aca="false">IF(OR($D499="",$N499=""),"",INDEX(Config!$G$13:$G$15,$AK499)*($K499+$O499)+INDEX(Config!$H$13:$H$15,$AK499)*$AL499+INDEX(Config!$J$13:$J$15,$AK499))</f>
        <v/>
      </c>
      <c r="W499" s="43" t="str">
        <f aca="false">IF(OR($D499="",$N499=""),"",INDEX(Config!$I$13:$I$15,$AK499)*($S499+$U499+INDEX(Config!$G$13:$G$15,$AK499)*($K499+$O499)))</f>
        <v/>
      </c>
      <c r="X499" s="43" t="str">
        <f aca="false">IF(OR($D499="",$N499=""),"",INDEX(Config!$K$13:$K$15,$AK499)/365*$P499*$K499*Config!$B$8)</f>
        <v/>
      </c>
      <c r="Y499" s="43" t="str">
        <f aca="false">IF(OR($D499="",$N499=""),"",SUM($S499:$X499))</f>
        <v/>
      </c>
      <c r="Z499" s="40" t="str">
        <f aca="false">IF(OR($D499="",$Q499=""),"",$Q499-$Y499)</f>
        <v/>
      </c>
      <c r="AA499" s="42" t="str">
        <f aca="false">IF(OR($D499="",$Z499="",$K499=0),"",$Z499/$K499)</f>
        <v/>
      </c>
      <c r="AB499" s="44" t="str">
        <f aca="false">IF(OR($D499="",$Y499="",$K499=0),"",$Y499/$K499*10000)</f>
        <v/>
      </c>
      <c r="AC499" s="44" t="str">
        <f aca="false">IF(OR($D499="",$G499="",$G499=0,$I499=""),"",IF($E499="LONG",($I499-$G499)/$G499,($G499-$I499)/$G499)*10000)</f>
        <v/>
      </c>
      <c r="AD499" s="45"/>
      <c r="AE499" s="40" t="str">
        <f aca="false">IF(OR($D499="",$N499&lt;&gt;"",$AD499=""),"",IF($E499="LONG",($AD499-$I499)*$J499,($I499-$AD499)*$J499))</f>
        <v/>
      </c>
      <c r="AF499" s="40" t="str">
        <f aca="false">IF(OR($D499="",$E499&lt;&gt;"LONG",$Z499=""),"",$Z499+SUMIFS($Z$4:$Z$503,$B$4:$B$503,$B499,$E$4:$E$503,"SHORT"))</f>
        <v/>
      </c>
      <c r="AG499" s="42" t="str">
        <f aca="false">IF(OR($AF499="",$K499=0),"",$AF499/$K499)</f>
        <v/>
      </c>
      <c r="AH499" s="46"/>
      <c r="AI499" s="43" t="str">
        <f aca="false">IF(OR($D499="",$AH499="",$Z499=""),"",$Z499-$AH499)</f>
        <v/>
      </c>
      <c r="AJ499" s="49"/>
      <c r="AK499" s="47" t="str">
        <f aca="false">IF($D499="","",IFERROR(MATCH($F499,Config!$A$13:$A$15,0),1))</f>
        <v/>
      </c>
      <c r="AL499" s="47" t="str">
        <f aca="false">IF(OR($D499="",$N499=""),"",IF($E499="LONG",$K499,$O499))</f>
        <v/>
      </c>
      <c r="AM499" s="47" t="str">
        <f aca="false">IF(OR($D499="",$N499=""),"",IF($E499="LONG",$O499,$K499))</f>
        <v/>
      </c>
    </row>
    <row r="500" customFormat="false" ht="15" hidden="false" customHeight="false" outlineLevel="0" collapsed="false">
      <c r="A500" s="49"/>
      <c r="B500" s="5" t="str">
        <f aca="false">IF($D500="","",IF(OR(RIGHT($A500,2)="-L",RIGHT($A500,2)="-S"),LEFT($A500,LEN($A500)-2),$A500))</f>
        <v/>
      </c>
      <c r="C500" s="50"/>
      <c r="D500" s="49"/>
      <c r="E500" s="49"/>
      <c r="F500" s="49"/>
      <c r="G500" s="45"/>
      <c r="H500" s="50"/>
      <c r="I500" s="45"/>
      <c r="J500" s="51"/>
      <c r="K500" s="40" t="str">
        <f aca="false">IF($D500="","",$I500*$J500)</f>
        <v/>
      </c>
      <c r="L500" s="50"/>
      <c r="M500" s="49"/>
      <c r="N500" s="45"/>
      <c r="O500" s="40" t="str">
        <f aca="false">IF(OR($D500="",$N500=""),"",$N500*$J500)</f>
        <v/>
      </c>
      <c r="P500" s="41" t="str">
        <f aca="false">IF(OR($D500="",$L500=""),"",MAX($L500-$H500,0))</f>
        <v/>
      </c>
      <c r="Q500" s="40" t="str">
        <f aca="false">IF(OR($D500="",$N500=""),"",IF($E500="LONG",($N500-$I500)*$J500,($I500-$N500)*$J500))</f>
        <v/>
      </c>
      <c r="R500" s="42" t="str">
        <f aca="false">IF(OR($D500="",$Q500="",$K500=0),"",$Q500/$K500)</f>
        <v/>
      </c>
      <c r="S500" s="43" t="str">
        <f aca="false">IF(OR($D500="",$N500=""),"",MIN(INDEX(Config!$C$13:$C$15,$AK500),INDEX(Config!$B$13:$B$15,$AK500)*$K500)+MIN(INDEX(Config!$C$13:$C$15,$AK500),INDEX(Config!$B$13:$B$15,$AK500)*$O500))</f>
        <v/>
      </c>
      <c r="T500" s="43" t="str">
        <f aca="false">IF(OR($D500="",$N500=""),"",INDEX(Config!$D$13:$D$15,$AK500)*$AL500+INDEX(Config!$E$13:$E$15,$AK500)*$AM500)</f>
        <v/>
      </c>
      <c r="U500" s="43" t="str">
        <f aca="false">IF(OR($D500="",$N500=""),"",INDEX(Config!$F$13:$F$15,$AK500)*($K500+$O500))</f>
        <v/>
      </c>
      <c r="V500" s="43" t="str">
        <f aca="false">IF(OR($D500="",$N500=""),"",INDEX(Config!$G$13:$G$15,$AK500)*($K500+$O500)+INDEX(Config!$H$13:$H$15,$AK500)*$AL500+INDEX(Config!$J$13:$J$15,$AK500))</f>
        <v/>
      </c>
      <c r="W500" s="43" t="str">
        <f aca="false">IF(OR($D500="",$N500=""),"",INDEX(Config!$I$13:$I$15,$AK500)*($S500+$U500+INDEX(Config!$G$13:$G$15,$AK500)*($K500+$O500)))</f>
        <v/>
      </c>
      <c r="X500" s="43" t="str">
        <f aca="false">IF(OR($D500="",$N500=""),"",INDEX(Config!$K$13:$K$15,$AK500)/365*$P500*$K500*Config!$B$8)</f>
        <v/>
      </c>
      <c r="Y500" s="43" t="str">
        <f aca="false">IF(OR($D500="",$N500=""),"",SUM($S500:$X500))</f>
        <v/>
      </c>
      <c r="Z500" s="40" t="str">
        <f aca="false">IF(OR($D500="",$Q500=""),"",$Q500-$Y500)</f>
        <v/>
      </c>
      <c r="AA500" s="42" t="str">
        <f aca="false">IF(OR($D500="",$Z500="",$K500=0),"",$Z500/$K500)</f>
        <v/>
      </c>
      <c r="AB500" s="44" t="str">
        <f aca="false">IF(OR($D500="",$Y500="",$K500=0),"",$Y500/$K500*10000)</f>
        <v/>
      </c>
      <c r="AC500" s="44" t="str">
        <f aca="false">IF(OR($D500="",$G500="",$G500=0,$I500=""),"",IF($E500="LONG",($I500-$G500)/$G500,($G500-$I500)/$G500)*10000)</f>
        <v/>
      </c>
      <c r="AD500" s="45"/>
      <c r="AE500" s="40" t="str">
        <f aca="false">IF(OR($D500="",$N500&lt;&gt;"",$AD500=""),"",IF($E500="LONG",($AD500-$I500)*$J500,($I500-$AD500)*$J500))</f>
        <v/>
      </c>
      <c r="AF500" s="40" t="str">
        <f aca="false">IF(OR($D500="",$E500&lt;&gt;"LONG",$Z500=""),"",$Z500+SUMIFS($Z$4:$Z$503,$B$4:$B$503,$B500,$E$4:$E$503,"SHORT"))</f>
        <v/>
      </c>
      <c r="AG500" s="42" t="str">
        <f aca="false">IF(OR($AF500="",$K500=0),"",$AF500/$K500)</f>
        <v/>
      </c>
      <c r="AH500" s="46"/>
      <c r="AI500" s="43" t="str">
        <f aca="false">IF(OR($D500="",$AH500="",$Z500=""),"",$Z500-$AH500)</f>
        <v/>
      </c>
      <c r="AJ500" s="49"/>
      <c r="AK500" s="47" t="str">
        <f aca="false">IF($D500="","",IFERROR(MATCH($F500,Config!$A$13:$A$15,0),1))</f>
        <v/>
      </c>
      <c r="AL500" s="47" t="str">
        <f aca="false">IF(OR($D500="",$N500=""),"",IF($E500="LONG",$K500,$O500))</f>
        <v/>
      </c>
      <c r="AM500" s="47" t="str">
        <f aca="false">IF(OR($D500="",$N500=""),"",IF($E500="LONG",$O500,$K500))</f>
        <v/>
      </c>
    </row>
    <row r="501" customFormat="false" ht="15" hidden="false" customHeight="false" outlineLevel="0" collapsed="false">
      <c r="A501" s="49"/>
      <c r="B501" s="5" t="str">
        <f aca="false">IF($D501="","",IF(OR(RIGHT($A501,2)="-L",RIGHT($A501,2)="-S"),LEFT($A501,LEN($A501)-2),$A501))</f>
        <v/>
      </c>
      <c r="C501" s="50"/>
      <c r="D501" s="49"/>
      <c r="E501" s="49"/>
      <c r="F501" s="49"/>
      <c r="G501" s="45"/>
      <c r="H501" s="50"/>
      <c r="I501" s="45"/>
      <c r="J501" s="51"/>
      <c r="K501" s="40" t="str">
        <f aca="false">IF($D501="","",$I501*$J501)</f>
        <v/>
      </c>
      <c r="L501" s="50"/>
      <c r="M501" s="49"/>
      <c r="N501" s="45"/>
      <c r="O501" s="40" t="str">
        <f aca="false">IF(OR($D501="",$N501=""),"",$N501*$J501)</f>
        <v/>
      </c>
      <c r="P501" s="41" t="str">
        <f aca="false">IF(OR($D501="",$L501=""),"",MAX($L501-$H501,0))</f>
        <v/>
      </c>
      <c r="Q501" s="40" t="str">
        <f aca="false">IF(OR($D501="",$N501=""),"",IF($E501="LONG",($N501-$I501)*$J501,($I501-$N501)*$J501))</f>
        <v/>
      </c>
      <c r="R501" s="42" t="str">
        <f aca="false">IF(OR($D501="",$Q501="",$K501=0),"",$Q501/$K501)</f>
        <v/>
      </c>
      <c r="S501" s="43" t="str">
        <f aca="false">IF(OR($D501="",$N501=""),"",MIN(INDEX(Config!$C$13:$C$15,$AK501),INDEX(Config!$B$13:$B$15,$AK501)*$K501)+MIN(INDEX(Config!$C$13:$C$15,$AK501),INDEX(Config!$B$13:$B$15,$AK501)*$O501))</f>
        <v/>
      </c>
      <c r="T501" s="43" t="str">
        <f aca="false">IF(OR($D501="",$N501=""),"",INDEX(Config!$D$13:$D$15,$AK501)*$AL501+INDEX(Config!$E$13:$E$15,$AK501)*$AM501)</f>
        <v/>
      </c>
      <c r="U501" s="43" t="str">
        <f aca="false">IF(OR($D501="",$N501=""),"",INDEX(Config!$F$13:$F$15,$AK501)*($K501+$O501))</f>
        <v/>
      </c>
      <c r="V501" s="43" t="str">
        <f aca="false">IF(OR($D501="",$N501=""),"",INDEX(Config!$G$13:$G$15,$AK501)*($K501+$O501)+INDEX(Config!$H$13:$H$15,$AK501)*$AL501+INDEX(Config!$J$13:$J$15,$AK501))</f>
        <v/>
      </c>
      <c r="W501" s="43" t="str">
        <f aca="false">IF(OR($D501="",$N501=""),"",INDEX(Config!$I$13:$I$15,$AK501)*($S501+$U501+INDEX(Config!$G$13:$G$15,$AK501)*($K501+$O501)))</f>
        <v/>
      </c>
      <c r="X501" s="43" t="str">
        <f aca="false">IF(OR($D501="",$N501=""),"",INDEX(Config!$K$13:$K$15,$AK501)/365*$P501*$K501*Config!$B$8)</f>
        <v/>
      </c>
      <c r="Y501" s="43" t="str">
        <f aca="false">IF(OR($D501="",$N501=""),"",SUM($S501:$X501))</f>
        <v/>
      </c>
      <c r="Z501" s="40" t="str">
        <f aca="false">IF(OR($D501="",$Q501=""),"",$Q501-$Y501)</f>
        <v/>
      </c>
      <c r="AA501" s="42" t="str">
        <f aca="false">IF(OR($D501="",$Z501="",$K501=0),"",$Z501/$K501)</f>
        <v/>
      </c>
      <c r="AB501" s="44" t="str">
        <f aca="false">IF(OR($D501="",$Y501="",$K501=0),"",$Y501/$K501*10000)</f>
        <v/>
      </c>
      <c r="AC501" s="44" t="str">
        <f aca="false">IF(OR($D501="",$G501="",$G501=0,$I501=""),"",IF($E501="LONG",($I501-$G501)/$G501,($G501-$I501)/$G501)*10000)</f>
        <v/>
      </c>
      <c r="AD501" s="45"/>
      <c r="AE501" s="40" t="str">
        <f aca="false">IF(OR($D501="",$N501&lt;&gt;"",$AD501=""),"",IF($E501="LONG",($AD501-$I501)*$J501,($I501-$AD501)*$J501))</f>
        <v/>
      </c>
      <c r="AF501" s="40" t="str">
        <f aca="false">IF(OR($D501="",$E501&lt;&gt;"LONG",$Z501=""),"",$Z501+SUMIFS($Z$4:$Z$503,$B$4:$B$503,$B501,$E$4:$E$503,"SHORT"))</f>
        <v/>
      </c>
      <c r="AG501" s="42" t="str">
        <f aca="false">IF(OR($AF501="",$K501=0),"",$AF501/$K501)</f>
        <v/>
      </c>
      <c r="AH501" s="46"/>
      <c r="AI501" s="43" t="str">
        <f aca="false">IF(OR($D501="",$AH501="",$Z501=""),"",$Z501-$AH501)</f>
        <v/>
      </c>
      <c r="AJ501" s="49"/>
      <c r="AK501" s="47" t="str">
        <f aca="false">IF($D501="","",IFERROR(MATCH($F501,Config!$A$13:$A$15,0),1))</f>
        <v/>
      </c>
      <c r="AL501" s="47" t="str">
        <f aca="false">IF(OR($D501="",$N501=""),"",IF($E501="LONG",$K501,$O501))</f>
        <v/>
      </c>
      <c r="AM501" s="47" t="str">
        <f aca="false">IF(OR($D501="",$N501=""),"",IF($E501="LONG",$O501,$K501))</f>
        <v/>
      </c>
    </row>
    <row r="502" customFormat="false" ht="15" hidden="false" customHeight="false" outlineLevel="0" collapsed="false">
      <c r="A502" s="49"/>
      <c r="B502" s="5" t="str">
        <f aca="false">IF($D502="","",IF(OR(RIGHT($A502,2)="-L",RIGHT($A502,2)="-S"),LEFT($A502,LEN($A502)-2),$A502))</f>
        <v/>
      </c>
      <c r="C502" s="50"/>
      <c r="D502" s="49"/>
      <c r="E502" s="49"/>
      <c r="F502" s="49"/>
      <c r="G502" s="45"/>
      <c r="H502" s="50"/>
      <c r="I502" s="45"/>
      <c r="J502" s="51"/>
      <c r="K502" s="40" t="str">
        <f aca="false">IF($D502="","",$I502*$J502)</f>
        <v/>
      </c>
      <c r="L502" s="50"/>
      <c r="M502" s="49"/>
      <c r="N502" s="45"/>
      <c r="O502" s="40" t="str">
        <f aca="false">IF(OR($D502="",$N502=""),"",$N502*$J502)</f>
        <v/>
      </c>
      <c r="P502" s="41" t="str">
        <f aca="false">IF(OR($D502="",$L502=""),"",MAX($L502-$H502,0))</f>
        <v/>
      </c>
      <c r="Q502" s="40" t="str">
        <f aca="false">IF(OR($D502="",$N502=""),"",IF($E502="LONG",($N502-$I502)*$J502,($I502-$N502)*$J502))</f>
        <v/>
      </c>
      <c r="R502" s="42" t="str">
        <f aca="false">IF(OR($D502="",$Q502="",$K502=0),"",$Q502/$K502)</f>
        <v/>
      </c>
      <c r="S502" s="43" t="str">
        <f aca="false">IF(OR($D502="",$N502=""),"",MIN(INDEX(Config!$C$13:$C$15,$AK502),INDEX(Config!$B$13:$B$15,$AK502)*$K502)+MIN(INDEX(Config!$C$13:$C$15,$AK502),INDEX(Config!$B$13:$B$15,$AK502)*$O502))</f>
        <v/>
      </c>
      <c r="T502" s="43" t="str">
        <f aca="false">IF(OR($D502="",$N502=""),"",INDEX(Config!$D$13:$D$15,$AK502)*$AL502+INDEX(Config!$E$13:$E$15,$AK502)*$AM502)</f>
        <v/>
      </c>
      <c r="U502" s="43" t="str">
        <f aca="false">IF(OR($D502="",$N502=""),"",INDEX(Config!$F$13:$F$15,$AK502)*($K502+$O502))</f>
        <v/>
      </c>
      <c r="V502" s="43" t="str">
        <f aca="false">IF(OR($D502="",$N502=""),"",INDEX(Config!$G$13:$G$15,$AK502)*($K502+$O502)+INDEX(Config!$H$13:$H$15,$AK502)*$AL502+INDEX(Config!$J$13:$J$15,$AK502))</f>
        <v/>
      </c>
      <c r="W502" s="43" t="str">
        <f aca="false">IF(OR($D502="",$N502=""),"",INDEX(Config!$I$13:$I$15,$AK502)*($S502+$U502+INDEX(Config!$G$13:$G$15,$AK502)*($K502+$O502)))</f>
        <v/>
      </c>
      <c r="X502" s="43" t="str">
        <f aca="false">IF(OR($D502="",$N502=""),"",INDEX(Config!$K$13:$K$15,$AK502)/365*$P502*$K502*Config!$B$8)</f>
        <v/>
      </c>
      <c r="Y502" s="43" t="str">
        <f aca="false">IF(OR($D502="",$N502=""),"",SUM($S502:$X502))</f>
        <v/>
      </c>
      <c r="Z502" s="40" t="str">
        <f aca="false">IF(OR($D502="",$Q502=""),"",$Q502-$Y502)</f>
        <v/>
      </c>
      <c r="AA502" s="42" t="str">
        <f aca="false">IF(OR($D502="",$Z502="",$K502=0),"",$Z502/$K502)</f>
        <v/>
      </c>
      <c r="AB502" s="44" t="str">
        <f aca="false">IF(OR($D502="",$Y502="",$K502=0),"",$Y502/$K502*10000)</f>
        <v/>
      </c>
      <c r="AC502" s="44" t="str">
        <f aca="false">IF(OR($D502="",$G502="",$G502=0,$I502=""),"",IF($E502="LONG",($I502-$G502)/$G502,($G502-$I502)/$G502)*10000)</f>
        <v/>
      </c>
      <c r="AD502" s="45"/>
      <c r="AE502" s="40" t="str">
        <f aca="false">IF(OR($D502="",$N502&lt;&gt;"",$AD502=""),"",IF($E502="LONG",($AD502-$I502)*$J502,($I502-$AD502)*$J502))</f>
        <v/>
      </c>
      <c r="AF502" s="40" t="str">
        <f aca="false">IF(OR($D502="",$E502&lt;&gt;"LONG",$Z502=""),"",$Z502+SUMIFS($Z$4:$Z$503,$B$4:$B$503,$B502,$E$4:$E$503,"SHORT"))</f>
        <v/>
      </c>
      <c r="AG502" s="42" t="str">
        <f aca="false">IF(OR($AF502="",$K502=0),"",$AF502/$K502)</f>
        <v/>
      </c>
      <c r="AH502" s="46"/>
      <c r="AI502" s="43" t="str">
        <f aca="false">IF(OR($D502="",$AH502="",$Z502=""),"",$Z502-$AH502)</f>
        <v/>
      </c>
      <c r="AJ502" s="49"/>
      <c r="AK502" s="47" t="str">
        <f aca="false">IF($D502="","",IFERROR(MATCH($F502,Config!$A$13:$A$15,0),1))</f>
        <v/>
      </c>
      <c r="AL502" s="47" t="str">
        <f aca="false">IF(OR($D502="",$N502=""),"",IF($E502="LONG",$K502,$O502))</f>
        <v/>
      </c>
      <c r="AM502" s="47" t="str">
        <f aca="false">IF(OR($D502="",$N502=""),"",IF($E502="LONG",$O502,$K502))</f>
        <v/>
      </c>
    </row>
    <row r="503" customFormat="false" ht="15" hidden="false" customHeight="false" outlineLevel="0" collapsed="false">
      <c r="A503" s="49"/>
      <c r="B503" s="5" t="str">
        <f aca="false">IF($D503="","",IF(OR(RIGHT($A503,2)="-L",RIGHT($A503,2)="-S"),LEFT($A503,LEN($A503)-2),$A503))</f>
        <v/>
      </c>
      <c r="C503" s="50"/>
      <c r="D503" s="49"/>
      <c r="E503" s="49"/>
      <c r="F503" s="49"/>
      <c r="G503" s="45"/>
      <c r="H503" s="50"/>
      <c r="I503" s="45"/>
      <c r="J503" s="51"/>
      <c r="K503" s="40" t="str">
        <f aca="false">IF($D503="","",$I503*$J503)</f>
        <v/>
      </c>
      <c r="L503" s="50"/>
      <c r="M503" s="49"/>
      <c r="N503" s="45"/>
      <c r="O503" s="40" t="str">
        <f aca="false">IF(OR($D503="",$N503=""),"",$N503*$J503)</f>
        <v/>
      </c>
      <c r="P503" s="41" t="str">
        <f aca="false">IF(OR($D503="",$L503=""),"",MAX($L503-$H503,0))</f>
        <v/>
      </c>
      <c r="Q503" s="40" t="str">
        <f aca="false">IF(OR($D503="",$N503=""),"",IF($E503="LONG",($N503-$I503)*$J503,($I503-$N503)*$J503))</f>
        <v/>
      </c>
      <c r="R503" s="42" t="str">
        <f aca="false">IF(OR($D503="",$Q503="",$K503=0),"",$Q503/$K503)</f>
        <v/>
      </c>
      <c r="S503" s="43" t="str">
        <f aca="false">IF(OR($D503="",$N503=""),"",MIN(INDEX(Config!$C$13:$C$15,$AK503),INDEX(Config!$B$13:$B$15,$AK503)*$K503)+MIN(INDEX(Config!$C$13:$C$15,$AK503),INDEX(Config!$B$13:$B$15,$AK503)*$O503))</f>
        <v/>
      </c>
      <c r="T503" s="43" t="str">
        <f aca="false">IF(OR($D503="",$N503=""),"",INDEX(Config!$D$13:$D$15,$AK503)*$AL503+INDEX(Config!$E$13:$E$15,$AK503)*$AM503)</f>
        <v/>
      </c>
      <c r="U503" s="43" t="str">
        <f aca="false">IF(OR($D503="",$N503=""),"",INDEX(Config!$F$13:$F$15,$AK503)*($K503+$O503))</f>
        <v/>
      </c>
      <c r="V503" s="43" t="str">
        <f aca="false">IF(OR($D503="",$N503=""),"",INDEX(Config!$G$13:$G$15,$AK503)*($K503+$O503)+INDEX(Config!$H$13:$H$15,$AK503)*$AL503+INDEX(Config!$J$13:$J$15,$AK503))</f>
        <v/>
      </c>
      <c r="W503" s="43" t="str">
        <f aca="false">IF(OR($D503="",$N503=""),"",INDEX(Config!$I$13:$I$15,$AK503)*($S503+$U503+INDEX(Config!$G$13:$G$15,$AK503)*($K503+$O503)))</f>
        <v/>
      </c>
      <c r="X503" s="43" t="str">
        <f aca="false">IF(OR($D503="",$N503=""),"",INDEX(Config!$K$13:$K$15,$AK503)/365*$P503*$K503*Config!$B$8)</f>
        <v/>
      </c>
      <c r="Y503" s="43" t="str">
        <f aca="false">IF(OR($D503="",$N503=""),"",SUM($S503:$X503))</f>
        <v/>
      </c>
      <c r="Z503" s="40" t="str">
        <f aca="false">IF(OR($D503="",$Q503=""),"",$Q503-$Y503)</f>
        <v/>
      </c>
      <c r="AA503" s="42" t="str">
        <f aca="false">IF(OR($D503="",$Z503="",$K503=0),"",$Z503/$K503)</f>
        <v/>
      </c>
      <c r="AB503" s="44" t="str">
        <f aca="false">IF(OR($D503="",$Y503="",$K503=0),"",$Y503/$K503*10000)</f>
        <v/>
      </c>
      <c r="AC503" s="44" t="str">
        <f aca="false">IF(OR($D503="",$G503="",$G503=0,$I503=""),"",IF($E503="LONG",($I503-$G503)/$G503,($G503-$I503)/$G503)*10000)</f>
        <v/>
      </c>
      <c r="AD503" s="45"/>
      <c r="AE503" s="40" t="str">
        <f aca="false">IF(OR($D503="",$N503&lt;&gt;"",$AD503=""),"",IF($E503="LONG",($AD503-$I503)*$J503,($I503-$AD503)*$J503))</f>
        <v/>
      </c>
      <c r="AF503" s="40" t="str">
        <f aca="false">IF(OR($D503="",$E503&lt;&gt;"LONG",$Z503=""),"",$Z503+SUMIFS($Z$4:$Z$503,$B$4:$B$503,$B503,$E$4:$E$503,"SHORT"))</f>
        <v/>
      </c>
      <c r="AG503" s="42" t="str">
        <f aca="false">IF(OR($AF503="",$K503=0),"",$AF503/$K503)</f>
        <v/>
      </c>
      <c r="AH503" s="46"/>
      <c r="AI503" s="43" t="str">
        <f aca="false">IF(OR($D503="",$AH503="",$Z503=""),"",$Z503-$AH503)</f>
        <v/>
      </c>
      <c r="AJ503" s="49"/>
      <c r="AK503" s="47" t="str">
        <f aca="false">IF($D503="","",IFERROR(MATCH($F503,Config!$A$13:$A$15,0),1))</f>
        <v/>
      </c>
      <c r="AL503" s="47" t="str">
        <f aca="false">IF(OR($D503="",$N503=""),"",IF($E503="LONG",$K503,$O503))</f>
        <v/>
      </c>
      <c r="AM503" s="47" t="str">
        <f aca="false">IF(OR($D503="",$N503=""),"",IF($E503="LONG",$O503,$K503))</f>
        <v/>
      </c>
    </row>
  </sheetData>
  <autoFilter ref="A3:AJ503"/>
  <conditionalFormatting sqref="Z4:Z503">
    <cfRule type="cellIs" priority="2" operator="lessThan" aboveAverage="0" equalAverage="0" bottom="0" percent="0" rank="0" text="" dxfId="1">
      <formula>0</formula>
    </cfRule>
  </conditionalFormatting>
  <conditionalFormatting sqref="AC4:AC503">
    <cfRule type="cellIs" priority="3" operator="greaterThan" aboveAverage="0" equalAverage="0" bottom="0" percent="0" rank="0" text="" dxfId="8">
      <formula>50</formula>
    </cfRule>
  </conditionalFormatting>
  <dataValidations count="3">
    <dataValidation allowBlank="true" errorStyle="stop" operator="between" showDropDown="false" showErrorMessage="false" showInputMessage="false" sqref="E4:E503" type="list">
      <formula1>"LONG,SHORT"</formula1>
      <formula2>0</formula2>
    </dataValidation>
    <dataValidation allowBlank="true" errorStyle="stop" operator="between" showDropDown="false" showErrorMessage="false" showInputMessage="false" sqref="F4:F503" type="list">
      <formula1>"MTF,CNC,INTRADAY"</formula1>
      <formula2>0</formula2>
    </dataValidation>
    <dataValidation allowBlank="true" errorStyle="stop" operator="between" showDropDown="false" showErrorMessage="false" showInputMessage="false" sqref="M4:M503" type="list">
      <formula1>"TARGET_17,EXIT_925,PARTIAL_925_NODATA,FORCE_1159,COVER_TARGET_5,UC_STOP,SQUAREOFF_239,MANUAL"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4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8" min="16" style="0" width="13"/>
    <col collapsed="false" customWidth="true" hidden="false" outlineLevel="0" max="20" min="19" style="0" width="9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3" customFormat="false" ht="33.75" hidden="false" customHeight="true" outlineLevel="0" collapsed="false">
      <c r="A3" s="10" t="s">
        <v>219</v>
      </c>
      <c r="B3" s="10" t="s">
        <v>220</v>
      </c>
      <c r="C3" s="10" t="s">
        <v>221</v>
      </c>
      <c r="D3" s="10" t="s">
        <v>222</v>
      </c>
      <c r="E3" s="10" t="s">
        <v>223</v>
      </c>
      <c r="F3" s="10" t="s">
        <v>224</v>
      </c>
      <c r="G3" s="10" t="s">
        <v>69</v>
      </c>
      <c r="H3" s="10" t="s">
        <v>57</v>
      </c>
      <c r="I3" s="10" t="s">
        <v>225</v>
      </c>
      <c r="J3" s="10" t="s">
        <v>226</v>
      </c>
      <c r="K3" s="10" t="s">
        <v>227</v>
      </c>
      <c r="L3" s="10" t="s">
        <v>228</v>
      </c>
      <c r="M3" s="10" t="s">
        <v>229</v>
      </c>
      <c r="N3" s="10" t="s">
        <v>230</v>
      </c>
      <c r="O3" s="10" t="s">
        <v>231</v>
      </c>
      <c r="P3" s="10" t="s">
        <v>232</v>
      </c>
      <c r="Q3" s="10" t="s">
        <v>233</v>
      </c>
      <c r="R3" s="10" t="s">
        <v>234</v>
      </c>
      <c r="S3" s="35" t="s">
        <v>235</v>
      </c>
      <c r="T3" s="35" t="s">
        <v>236</v>
      </c>
    </row>
    <row r="4" customFormat="false" ht="15" hidden="false" customHeight="false" outlineLevel="0" collapsed="false">
      <c r="A4" s="52" t="n">
        <f aca="false">Config!$B$5</f>
        <v>46235</v>
      </c>
      <c r="B4" s="5" t="str">
        <f aca="false">IF($A4="","",TEXT($A4,"ddd"))</f>
        <v>Sat</v>
      </c>
      <c r="C4" s="41" t="n">
        <f aca="false">IF($A4="","",COUNTIFS('Trade Log'!$L$4:$L$503,$A4))</f>
        <v>0</v>
      </c>
      <c r="D4" s="40" t="n">
        <f aca="false">IF($A4="","",SUMIFS('Trade Log'!$Q$4:$Q$503,'Trade Log'!$L$4:$L$503,$A4,'Trade Log'!$E$4:$E$503,"LONG"))</f>
        <v>0</v>
      </c>
      <c r="E4" s="40" t="n">
        <f aca="false">IF($A4="","",SUMIFS('Trade Log'!$Q$4:$Q$503,'Trade Log'!$L$4:$L$503,$A4,'Trade Log'!$E$4:$E$503,"SHORT"))</f>
        <v>0</v>
      </c>
      <c r="F4" s="40" t="n">
        <f aca="false">IF($A4="","",$D4+$E4)</f>
        <v>0</v>
      </c>
      <c r="G4" s="40" t="n">
        <f aca="false">IF($A4="","",SUMIFS('Trade Log'!$Y$4:$Y$503,'Trade Log'!$L$4:$L$503,$A4))</f>
        <v>0</v>
      </c>
      <c r="H4" s="40" t="str">
        <f aca="false">IF($A4="","",IF($C4=0,"",$F4-$G4))</f>
        <v/>
      </c>
      <c r="I4" s="40" t="n">
        <f aca="false">IF($A4="","",0+IF($H4="",0,$H4))</f>
        <v>0</v>
      </c>
      <c r="J4" s="40" t="n">
        <f aca="false">IF($A4="","",Config!$B$4+$I4)</f>
        <v>1000000</v>
      </c>
      <c r="K4" s="40" t="n">
        <f aca="false">IF($A4="","",MAX($J$4:$J4))</f>
        <v>1000000</v>
      </c>
      <c r="L4" s="40" t="n">
        <f aca="false">IF($A4="","",$J4-$K4)</f>
        <v>0</v>
      </c>
      <c r="M4" s="42" t="n">
        <f aca="false">IF(OR($A4="",$K4=0),"",$L4/$K4)</f>
        <v>0</v>
      </c>
      <c r="N4" s="40" t="n">
        <f aca="false">IF($A4="","",SUMIFS('Trade Log'!$K$4:$K$503,'Trade Log'!$H$4:$H$503,$A4))</f>
        <v>0</v>
      </c>
      <c r="O4" s="42" t="str">
        <f aca="false">IF(OR($A4="",$H4="",Config!$B$4=0),"",$H4/Config!$B$4)</f>
        <v/>
      </c>
      <c r="P4" s="40" t="n">
        <f aca="false">IF($A4="","",SUM($H$4:$H4))</f>
        <v>0</v>
      </c>
      <c r="Q4" s="53" t="str">
        <f aca="false">IF($A4="","",IFERROR((AVERAGE($O$4:$O4)-Config!$B$7/Config!$B$6)/STDEV($O$4:$O4)*SQRT(Config!$B$6),""))</f>
        <v/>
      </c>
      <c r="R4" s="53" t="str">
        <f aca="false">IF($A4="","",IFERROR((AVERAGE($O$4:$O4)-Config!$B$7/Config!$B$6)/STDEV($O$4:$O4)*SQRT(Config!$B$6),""))</f>
        <v/>
      </c>
      <c r="S4" s="47" t="n">
        <f aca="false">IF($H4="",0,IF($H4&gt;0,1,0))</f>
        <v>0</v>
      </c>
      <c r="T4" s="47" t="n">
        <f aca="false">IF($H4="",0,IF($H4&lt;0,1,0))</f>
        <v>0</v>
      </c>
    </row>
    <row r="5" customFormat="false" ht="15" hidden="false" customHeight="false" outlineLevel="0" collapsed="false">
      <c r="A5" s="54" t="n">
        <f aca="false">IF($A4="","",$A4+1)</f>
        <v>46236</v>
      </c>
      <c r="B5" s="5" t="str">
        <f aca="false">IF($A5="","",TEXT($A5,"ddd"))</f>
        <v>Sun</v>
      </c>
      <c r="C5" s="41" t="n">
        <f aca="false">IF($A5="","",COUNTIFS('Trade Log'!$L$4:$L$503,$A5))</f>
        <v>0</v>
      </c>
      <c r="D5" s="40" t="n">
        <f aca="false">IF($A5="","",SUMIFS('Trade Log'!$Q$4:$Q$503,'Trade Log'!$L$4:$L$503,$A5,'Trade Log'!$E$4:$E$503,"LONG"))</f>
        <v>0</v>
      </c>
      <c r="E5" s="40" t="n">
        <f aca="false">IF($A5="","",SUMIFS('Trade Log'!$Q$4:$Q$503,'Trade Log'!$L$4:$L$503,$A5,'Trade Log'!$E$4:$E$503,"SHORT"))</f>
        <v>0</v>
      </c>
      <c r="F5" s="40" t="n">
        <f aca="false">IF($A5="","",$D5+$E5)</f>
        <v>0</v>
      </c>
      <c r="G5" s="40" t="n">
        <f aca="false">IF($A5="","",SUMIFS('Trade Log'!$Y$4:$Y$503,'Trade Log'!$L$4:$L$503,$A5))</f>
        <v>0</v>
      </c>
      <c r="H5" s="40" t="str">
        <f aca="false">IF($A5="","",IF($C5=0,"",$F5-$G5))</f>
        <v/>
      </c>
      <c r="I5" s="40" t="n">
        <f aca="false">IF($A5="","",$I4+IF($H5="",0,$H5))</f>
        <v>0</v>
      </c>
      <c r="J5" s="40" t="n">
        <f aca="false">IF($A5="","",Config!$B$4+$I5)</f>
        <v>1000000</v>
      </c>
      <c r="K5" s="40" t="n">
        <f aca="false">IF($A5="","",MAX($J$4:$J5))</f>
        <v>1000000</v>
      </c>
      <c r="L5" s="40" t="n">
        <f aca="false">IF($A5="","",$J5-$K5)</f>
        <v>0</v>
      </c>
      <c r="M5" s="42" t="n">
        <f aca="false">IF(OR($A5="",$K5=0),"",$L5/$K5)</f>
        <v>0</v>
      </c>
      <c r="N5" s="40" t="n">
        <f aca="false">IF($A5="","",SUMIFS('Trade Log'!$K$4:$K$503,'Trade Log'!$H$4:$H$503,$A5))</f>
        <v>0</v>
      </c>
      <c r="O5" s="42" t="str">
        <f aca="false">IF(OR($A5="",$H5="",Config!$B$4=0),"",$H5/Config!$B$4)</f>
        <v/>
      </c>
      <c r="P5" s="40" t="n">
        <f aca="false">IF($A5="","",SUM($H$4:$H5))</f>
        <v>0</v>
      </c>
      <c r="Q5" s="53" t="str">
        <f aca="false">IF($A5="","",IFERROR((AVERAGE($O$4:$O5)-Config!$B$7/Config!$B$6)/STDEV($O$4:$O5)*SQRT(Config!$B$6),""))</f>
        <v/>
      </c>
      <c r="R5" s="53" t="str">
        <f aca="false">IF($A5="","",IFERROR((AVERAGE($O$4:$O5)-Config!$B$7/Config!$B$6)/STDEV($O$4:$O5)*SQRT(Config!$B$6),""))</f>
        <v/>
      </c>
      <c r="S5" s="47" t="n">
        <f aca="false">IF($H5="",$S4,IF($H5&gt;0,$S4+1,0))</f>
        <v>0</v>
      </c>
      <c r="T5" s="47" t="n">
        <f aca="false">IF($H5="",$T4,IF($H5&lt;0,$T4+1,0))</f>
        <v>0</v>
      </c>
    </row>
    <row r="6" customFormat="false" ht="15" hidden="false" customHeight="false" outlineLevel="0" collapsed="false">
      <c r="A6" s="54" t="n">
        <f aca="false">IF($A5="","",$A5+1)</f>
        <v>46237</v>
      </c>
      <c r="B6" s="5" t="str">
        <f aca="false">IF($A6="","",TEXT($A6,"ddd"))</f>
        <v>Mon</v>
      </c>
      <c r="C6" s="41" t="n">
        <f aca="false">IF($A6="","",COUNTIFS('Trade Log'!$L$4:$L$503,$A6))</f>
        <v>0</v>
      </c>
      <c r="D6" s="40" t="n">
        <f aca="false">IF($A6="","",SUMIFS('Trade Log'!$Q$4:$Q$503,'Trade Log'!$L$4:$L$503,$A6,'Trade Log'!$E$4:$E$503,"LONG"))</f>
        <v>0</v>
      </c>
      <c r="E6" s="40" t="n">
        <f aca="false">IF($A6="","",SUMIFS('Trade Log'!$Q$4:$Q$503,'Trade Log'!$L$4:$L$503,$A6,'Trade Log'!$E$4:$E$503,"SHORT"))</f>
        <v>0</v>
      </c>
      <c r="F6" s="40" t="n">
        <f aca="false">IF($A6="","",$D6+$E6)</f>
        <v>0</v>
      </c>
      <c r="G6" s="40" t="n">
        <f aca="false">IF($A6="","",SUMIFS('Trade Log'!$Y$4:$Y$503,'Trade Log'!$L$4:$L$503,$A6))</f>
        <v>0</v>
      </c>
      <c r="H6" s="40" t="str">
        <f aca="false">IF($A6="","",IF($C6=0,"",$F6-$G6))</f>
        <v/>
      </c>
      <c r="I6" s="40" t="n">
        <f aca="false">IF($A6="","",$I5+IF($H6="",0,$H6))</f>
        <v>0</v>
      </c>
      <c r="J6" s="40" t="n">
        <f aca="false">IF($A6="","",Config!$B$4+$I6)</f>
        <v>1000000</v>
      </c>
      <c r="K6" s="40" t="n">
        <f aca="false">IF($A6="","",MAX($J$4:$J6))</f>
        <v>1000000</v>
      </c>
      <c r="L6" s="40" t="n">
        <f aca="false">IF($A6="","",$J6-$K6)</f>
        <v>0</v>
      </c>
      <c r="M6" s="42" t="n">
        <f aca="false">IF(OR($A6="",$K6=0),"",$L6/$K6)</f>
        <v>0</v>
      </c>
      <c r="N6" s="40" t="n">
        <f aca="false">IF($A6="","",SUMIFS('Trade Log'!$K$4:$K$503,'Trade Log'!$H$4:$H$503,$A6))</f>
        <v>0</v>
      </c>
      <c r="O6" s="42" t="str">
        <f aca="false">IF(OR($A6="",$H6="",Config!$B$4=0),"",$H6/Config!$B$4)</f>
        <v/>
      </c>
      <c r="P6" s="40" t="n">
        <f aca="false">IF($A6="","",SUM($H$4:$H6))</f>
        <v>0</v>
      </c>
      <c r="Q6" s="53" t="str">
        <f aca="false">IF($A6="","",IFERROR((AVERAGE($O$4:$O6)-Config!$B$7/Config!$B$6)/STDEV($O$4:$O6)*SQRT(Config!$B$6),""))</f>
        <v/>
      </c>
      <c r="R6" s="53" t="str">
        <f aca="false">IF($A6="","",IFERROR((AVERAGE($O$4:$O6)-Config!$B$7/Config!$B$6)/STDEV($O$4:$O6)*SQRT(Config!$B$6),""))</f>
        <v/>
      </c>
      <c r="S6" s="47" t="n">
        <f aca="false">IF($H6="",$S5,IF($H6&gt;0,$S5+1,0))</f>
        <v>0</v>
      </c>
      <c r="T6" s="47" t="n">
        <f aca="false">IF($H6="",$T5,IF($H6&lt;0,$T5+1,0))</f>
        <v>0</v>
      </c>
    </row>
    <row r="7" customFormat="false" ht="15" hidden="false" customHeight="false" outlineLevel="0" collapsed="false">
      <c r="A7" s="54" t="n">
        <f aca="false">IF($A6="","",$A6+1)</f>
        <v>46238</v>
      </c>
      <c r="B7" s="5" t="str">
        <f aca="false">IF($A7="","",TEXT($A7,"ddd"))</f>
        <v>Tue</v>
      </c>
      <c r="C7" s="41" t="n">
        <f aca="false">IF($A7="","",COUNTIFS('Trade Log'!$L$4:$L$503,$A7))</f>
        <v>0</v>
      </c>
      <c r="D7" s="40" t="n">
        <f aca="false">IF($A7="","",SUMIFS('Trade Log'!$Q$4:$Q$503,'Trade Log'!$L$4:$L$503,$A7,'Trade Log'!$E$4:$E$503,"LONG"))</f>
        <v>0</v>
      </c>
      <c r="E7" s="40" t="n">
        <f aca="false">IF($A7="","",SUMIFS('Trade Log'!$Q$4:$Q$503,'Trade Log'!$L$4:$L$503,$A7,'Trade Log'!$E$4:$E$503,"SHORT"))</f>
        <v>0</v>
      </c>
      <c r="F7" s="40" t="n">
        <f aca="false">IF($A7="","",$D7+$E7)</f>
        <v>0</v>
      </c>
      <c r="G7" s="40" t="n">
        <f aca="false">IF($A7="","",SUMIFS('Trade Log'!$Y$4:$Y$503,'Trade Log'!$L$4:$L$503,$A7))</f>
        <v>0</v>
      </c>
      <c r="H7" s="40" t="str">
        <f aca="false">IF($A7="","",IF($C7=0,"",$F7-$G7))</f>
        <v/>
      </c>
      <c r="I7" s="40" t="n">
        <f aca="false">IF($A7="","",$I6+IF($H7="",0,$H7))</f>
        <v>0</v>
      </c>
      <c r="J7" s="40" t="n">
        <f aca="false">IF($A7="","",Config!$B$4+$I7)</f>
        <v>1000000</v>
      </c>
      <c r="K7" s="40" t="n">
        <f aca="false">IF($A7="","",MAX($J$4:$J7))</f>
        <v>1000000</v>
      </c>
      <c r="L7" s="40" t="n">
        <f aca="false">IF($A7="","",$J7-$K7)</f>
        <v>0</v>
      </c>
      <c r="M7" s="42" t="n">
        <f aca="false">IF(OR($A7="",$K7=0),"",$L7/$K7)</f>
        <v>0</v>
      </c>
      <c r="N7" s="40" t="n">
        <f aca="false">IF($A7="","",SUMIFS('Trade Log'!$K$4:$K$503,'Trade Log'!$H$4:$H$503,$A7))</f>
        <v>0</v>
      </c>
      <c r="O7" s="42" t="str">
        <f aca="false">IF(OR($A7="",$H7="",Config!$B$4=0),"",$H7/Config!$B$4)</f>
        <v/>
      </c>
      <c r="P7" s="40" t="n">
        <f aca="false">IF($A7="","",SUM($H$4:$H7))</f>
        <v>0</v>
      </c>
      <c r="Q7" s="53" t="str">
        <f aca="false">IF($A7="","",IFERROR((AVERAGE($O$4:$O7)-Config!$B$7/Config!$B$6)/STDEV($O$4:$O7)*SQRT(Config!$B$6),""))</f>
        <v/>
      </c>
      <c r="R7" s="53" t="str">
        <f aca="false">IF($A7="","",IFERROR((AVERAGE($O$4:$O7)-Config!$B$7/Config!$B$6)/STDEV($O$4:$O7)*SQRT(Config!$B$6),""))</f>
        <v/>
      </c>
      <c r="S7" s="47" t="n">
        <f aca="false">IF($H7="",$S6,IF($H7&gt;0,$S6+1,0))</f>
        <v>0</v>
      </c>
      <c r="T7" s="47" t="n">
        <f aca="false">IF($H7="",$T6,IF($H7&lt;0,$T6+1,0))</f>
        <v>0</v>
      </c>
    </row>
    <row r="8" customFormat="false" ht="15" hidden="false" customHeight="false" outlineLevel="0" collapsed="false">
      <c r="A8" s="54" t="n">
        <f aca="false">IF($A7="","",$A7+1)</f>
        <v>46239</v>
      </c>
      <c r="B8" s="5" t="str">
        <f aca="false">IF($A8="","",TEXT($A8,"ddd"))</f>
        <v>Wed</v>
      </c>
      <c r="C8" s="41" t="n">
        <f aca="false">IF($A8="","",COUNTIFS('Trade Log'!$L$4:$L$503,$A8))</f>
        <v>0</v>
      </c>
      <c r="D8" s="40" t="n">
        <f aca="false">IF($A8="","",SUMIFS('Trade Log'!$Q$4:$Q$503,'Trade Log'!$L$4:$L$503,$A8,'Trade Log'!$E$4:$E$503,"LONG"))</f>
        <v>0</v>
      </c>
      <c r="E8" s="40" t="n">
        <f aca="false">IF($A8="","",SUMIFS('Trade Log'!$Q$4:$Q$503,'Trade Log'!$L$4:$L$503,$A8,'Trade Log'!$E$4:$E$503,"SHORT"))</f>
        <v>0</v>
      </c>
      <c r="F8" s="40" t="n">
        <f aca="false">IF($A8="","",$D8+$E8)</f>
        <v>0</v>
      </c>
      <c r="G8" s="40" t="n">
        <f aca="false">IF($A8="","",SUMIFS('Trade Log'!$Y$4:$Y$503,'Trade Log'!$L$4:$L$503,$A8))</f>
        <v>0</v>
      </c>
      <c r="H8" s="40" t="str">
        <f aca="false">IF($A8="","",IF($C8=0,"",$F8-$G8))</f>
        <v/>
      </c>
      <c r="I8" s="40" t="n">
        <f aca="false">IF($A8="","",$I7+IF($H8="",0,$H8))</f>
        <v>0</v>
      </c>
      <c r="J8" s="40" t="n">
        <f aca="false">IF($A8="","",Config!$B$4+$I8)</f>
        <v>1000000</v>
      </c>
      <c r="K8" s="40" t="n">
        <f aca="false">IF($A8="","",MAX($J$4:$J8))</f>
        <v>1000000</v>
      </c>
      <c r="L8" s="40" t="n">
        <f aca="false">IF($A8="","",$J8-$K8)</f>
        <v>0</v>
      </c>
      <c r="M8" s="42" t="n">
        <f aca="false">IF(OR($A8="",$K8=0),"",$L8/$K8)</f>
        <v>0</v>
      </c>
      <c r="N8" s="40" t="n">
        <f aca="false">IF($A8="","",SUMIFS('Trade Log'!$K$4:$K$503,'Trade Log'!$H$4:$H$503,$A8))</f>
        <v>0</v>
      </c>
      <c r="O8" s="42" t="str">
        <f aca="false">IF(OR($A8="",$H8="",Config!$B$4=0),"",$H8/Config!$B$4)</f>
        <v/>
      </c>
      <c r="P8" s="40" t="n">
        <f aca="false">IF($A8="","",SUM($H$4:$H8))</f>
        <v>0</v>
      </c>
      <c r="Q8" s="53" t="str">
        <f aca="false">IF($A8="","",IFERROR((AVERAGE($O$4:$O8)-Config!$B$7/Config!$B$6)/STDEV($O$4:$O8)*SQRT(Config!$B$6),""))</f>
        <v/>
      </c>
      <c r="R8" s="53" t="str">
        <f aca="false">IF($A8="","",IFERROR((AVERAGE($O$4:$O8)-Config!$B$7/Config!$B$6)/STDEV($O$4:$O8)*SQRT(Config!$B$6),""))</f>
        <v/>
      </c>
      <c r="S8" s="47" t="n">
        <f aca="false">IF($H8="",$S7,IF($H8&gt;0,$S7+1,0))</f>
        <v>0</v>
      </c>
      <c r="T8" s="47" t="n">
        <f aca="false">IF($H8="",$T7,IF($H8&lt;0,$T7+1,0))</f>
        <v>0</v>
      </c>
    </row>
    <row r="9" customFormat="false" ht="15" hidden="false" customHeight="false" outlineLevel="0" collapsed="false">
      <c r="A9" s="54" t="n">
        <f aca="false">IF($A8="","",$A8+1)</f>
        <v>46240</v>
      </c>
      <c r="B9" s="5" t="str">
        <f aca="false">IF($A9="","",TEXT($A9,"ddd"))</f>
        <v>Thu</v>
      </c>
      <c r="C9" s="41" t="n">
        <f aca="false">IF($A9="","",COUNTIFS('Trade Log'!$L$4:$L$503,$A9))</f>
        <v>0</v>
      </c>
      <c r="D9" s="40" t="n">
        <f aca="false">IF($A9="","",SUMIFS('Trade Log'!$Q$4:$Q$503,'Trade Log'!$L$4:$L$503,$A9,'Trade Log'!$E$4:$E$503,"LONG"))</f>
        <v>0</v>
      </c>
      <c r="E9" s="40" t="n">
        <f aca="false">IF($A9="","",SUMIFS('Trade Log'!$Q$4:$Q$503,'Trade Log'!$L$4:$L$503,$A9,'Trade Log'!$E$4:$E$503,"SHORT"))</f>
        <v>0</v>
      </c>
      <c r="F9" s="40" t="n">
        <f aca="false">IF($A9="","",$D9+$E9)</f>
        <v>0</v>
      </c>
      <c r="G9" s="40" t="n">
        <f aca="false">IF($A9="","",SUMIFS('Trade Log'!$Y$4:$Y$503,'Trade Log'!$L$4:$L$503,$A9))</f>
        <v>0</v>
      </c>
      <c r="H9" s="40" t="str">
        <f aca="false">IF($A9="","",IF($C9=0,"",$F9-$G9))</f>
        <v/>
      </c>
      <c r="I9" s="40" t="n">
        <f aca="false">IF($A9="","",$I8+IF($H9="",0,$H9))</f>
        <v>0</v>
      </c>
      <c r="J9" s="40" t="n">
        <f aca="false">IF($A9="","",Config!$B$4+$I9)</f>
        <v>1000000</v>
      </c>
      <c r="K9" s="40" t="n">
        <f aca="false">IF($A9="","",MAX($J$4:$J9))</f>
        <v>1000000</v>
      </c>
      <c r="L9" s="40" t="n">
        <f aca="false">IF($A9="","",$J9-$K9)</f>
        <v>0</v>
      </c>
      <c r="M9" s="42" t="n">
        <f aca="false">IF(OR($A9="",$K9=0),"",$L9/$K9)</f>
        <v>0</v>
      </c>
      <c r="N9" s="40" t="n">
        <f aca="false">IF($A9="","",SUMIFS('Trade Log'!$K$4:$K$503,'Trade Log'!$H$4:$H$503,$A9))</f>
        <v>0</v>
      </c>
      <c r="O9" s="42" t="str">
        <f aca="false">IF(OR($A9="",$H9="",Config!$B$4=0),"",$H9/Config!$B$4)</f>
        <v/>
      </c>
      <c r="P9" s="40" t="n">
        <f aca="false">IF($A9="","",SUM($H$4:$H9))</f>
        <v>0</v>
      </c>
      <c r="Q9" s="53" t="str">
        <f aca="false">IF($A9="","",IFERROR((AVERAGE($O$4:$O9)-Config!$B$7/Config!$B$6)/STDEV($O$4:$O9)*SQRT(Config!$B$6),""))</f>
        <v/>
      </c>
      <c r="R9" s="53" t="str">
        <f aca="false">IF($A9="","",IFERROR((AVERAGE($O$4:$O9)-Config!$B$7/Config!$B$6)/STDEV($O$4:$O9)*SQRT(Config!$B$6),""))</f>
        <v/>
      </c>
      <c r="S9" s="47" t="n">
        <f aca="false">IF($H9="",$S8,IF($H9&gt;0,$S8+1,0))</f>
        <v>0</v>
      </c>
      <c r="T9" s="47" t="n">
        <f aca="false">IF($H9="",$T8,IF($H9&lt;0,$T8+1,0))</f>
        <v>0</v>
      </c>
    </row>
    <row r="10" customFormat="false" ht="15" hidden="false" customHeight="false" outlineLevel="0" collapsed="false">
      <c r="A10" s="54" t="n">
        <f aca="false">IF($A9="","",$A9+1)</f>
        <v>46241</v>
      </c>
      <c r="B10" s="5" t="str">
        <f aca="false">IF($A10="","",TEXT($A10,"ddd"))</f>
        <v>Fri</v>
      </c>
      <c r="C10" s="41" t="n">
        <f aca="false">IF($A10="","",COUNTIFS('Trade Log'!$L$4:$L$503,$A10))</f>
        <v>0</v>
      </c>
      <c r="D10" s="40" t="n">
        <f aca="false">IF($A10="","",SUMIFS('Trade Log'!$Q$4:$Q$503,'Trade Log'!$L$4:$L$503,$A10,'Trade Log'!$E$4:$E$503,"LONG"))</f>
        <v>0</v>
      </c>
      <c r="E10" s="40" t="n">
        <f aca="false">IF($A10="","",SUMIFS('Trade Log'!$Q$4:$Q$503,'Trade Log'!$L$4:$L$503,$A10,'Trade Log'!$E$4:$E$503,"SHORT"))</f>
        <v>0</v>
      </c>
      <c r="F10" s="40" t="n">
        <f aca="false">IF($A10="","",$D10+$E10)</f>
        <v>0</v>
      </c>
      <c r="G10" s="40" t="n">
        <f aca="false">IF($A10="","",SUMIFS('Trade Log'!$Y$4:$Y$503,'Trade Log'!$L$4:$L$503,$A10))</f>
        <v>0</v>
      </c>
      <c r="H10" s="40" t="str">
        <f aca="false">IF($A10="","",IF($C10=0,"",$F10-$G10))</f>
        <v/>
      </c>
      <c r="I10" s="40" t="n">
        <f aca="false">IF($A10="","",$I9+IF($H10="",0,$H10))</f>
        <v>0</v>
      </c>
      <c r="J10" s="40" t="n">
        <f aca="false">IF($A10="","",Config!$B$4+$I10)</f>
        <v>1000000</v>
      </c>
      <c r="K10" s="40" t="n">
        <f aca="false">IF($A10="","",MAX($J$4:$J10))</f>
        <v>1000000</v>
      </c>
      <c r="L10" s="40" t="n">
        <f aca="false">IF($A10="","",$J10-$K10)</f>
        <v>0</v>
      </c>
      <c r="M10" s="42" t="n">
        <f aca="false">IF(OR($A10="",$K10=0),"",$L10/$K10)</f>
        <v>0</v>
      </c>
      <c r="N10" s="40" t="n">
        <f aca="false">IF($A10="","",SUMIFS('Trade Log'!$K$4:$K$503,'Trade Log'!$H$4:$H$503,$A10))</f>
        <v>0</v>
      </c>
      <c r="O10" s="42" t="str">
        <f aca="false">IF(OR($A10="",$H10="",Config!$B$4=0),"",$H10/Config!$B$4)</f>
        <v/>
      </c>
      <c r="P10" s="40" t="n">
        <f aca="false">IF($A10="","",SUM($H$4:$H10))</f>
        <v>0</v>
      </c>
      <c r="Q10" s="53" t="str">
        <f aca="false">IF($A10="","",IFERROR((AVERAGE($O$4:$O10)-Config!$B$7/Config!$B$6)/STDEV($O$4:$O10)*SQRT(Config!$B$6),""))</f>
        <v/>
      </c>
      <c r="R10" s="53" t="str">
        <f aca="false">IF($A10="","",IFERROR((AVERAGE($O$4:$O10)-Config!$B$7/Config!$B$6)/STDEV($O$4:$O10)*SQRT(Config!$B$6),""))</f>
        <v/>
      </c>
      <c r="S10" s="47" t="n">
        <f aca="false">IF($H10="",$S9,IF($H10&gt;0,$S9+1,0))</f>
        <v>0</v>
      </c>
      <c r="T10" s="47" t="n">
        <f aca="false">IF($H10="",$T9,IF($H10&lt;0,$T9+1,0))</f>
        <v>0</v>
      </c>
    </row>
    <row r="11" customFormat="false" ht="15" hidden="false" customHeight="false" outlineLevel="0" collapsed="false">
      <c r="A11" s="54" t="n">
        <f aca="false">IF($A10="","",$A10+1)</f>
        <v>46242</v>
      </c>
      <c r="B11" s="5" t="str">
        <f aca="false">IF($A11="","",TEXT($A11,"ddd"))</f>
        <v>Sat</v>
      </c>
      <c r="C11" s="41" t="n">
        <f aca="false">IF($A11="","",COUNTIFS('Trade Log'!$L$4:$L$503,$A11))</f>
        <v>0</v>
      </c>
      <c r="D11" s="40" t="n">
        <f aca="false">IF($A11="","",SUMIFS('Trade Log'!$Q$4:$Q$503,'Trade Log'!$L$4:$L$503,$A11,'Trade Log'!$E$4:$E$503,"LONG"))</f>
        <v>0</v>
      </c>
      <c r="E11" s="40" t="n">
        <f aca="false">IF($A11="","",SUMIFS('Trade Log'!$Q$4:$Q$503,'Trade Log'!$L$4:$L$503,$A11,'Trade Log'!$E$4:$E$503,"SHORT"))</f>
        <v>0</v>
      </c>
      <c r="F11" s="40" t="n">
        <f aca="false">IF($A11="","",$D11+$E11)</f>
        <v>0</v>
      </c>
      <c r="G11" s="40" t="n">
        <f aca="false">IF($A11="","",SUMIFS('Trade Log'!$Y$4:$Y$503,'Trade Log'!$L$4:$L$503,$A11))</f>
        <v>0</v>
      </c>
      <c r="H11" s="40" t="str">
        <f aca="false">IF($A11="","",IF($C11=0,"",$F11-$G11))</f>
        <v/>
      </c>
      <c r="I11" s="40" t="n">
        <f aca="false">IF($A11="","",$I10+IF($H11="",0,$H11))</f>
        <v>0</v>
      </c>
      <c r="J11" s="40" t="n">
        <f aca="false">IF($A11="","",Config!$B$4+$I11)</f>
        <v>1000000</v>
      </c>
      <c r="K11" s="40" t="n">
        <f aca="false">IF($A11="","",MAX($J$4:$J11))</f>
        <v>1000000</v>
      </c>
      <c r="L11" s="40" t="n">
        <f aca="false">IF($A11="","",$J11-$K11)</f>
        <v>0</v>
      </c>
      <c r="M11" s="42" t="n">
        <f aca="false">IF(OR($A11="",$K11=0),"",$L11/$K11)</f>
        <v>0</v>
      </c>
      <c r="N11" s="40" t="n">
        <f aca="false">IF($A11="","",SUMIFS('Trade Log'!$K$4:$K$503,'Trade Log'!$H$4:$H$503,$A11))</f>
        <v>0</v>
      </c>
      <c r="O11" s="42" t="str">
        <f aca="false">IF(OR($A11="",$H11="",Config!$B$4=0),"",$H11/Config!$B$4)</f>
        <v/>
      </c>
      <c r="P11" s="40" t="n">
        <f aca="false">IF($A11="","",SUM($H$4:$H11))</f>
        <v>0</v>
      </c>
      <c r="Q11" s="53" t="str">
        <f aca="false">IF($A11="","",IFERROR((AVERAGE($O$4:$O11)-Config!$B$7/Config!$B$6)/STDEV($O$4:$O11)*SQRT(Config!$B$6),""))</f>
        <v/>
      </c>
      <c r="R11" s="53" t="str">
        <f aca="false">IF($A11="","",IFERROR((AVERAGE($O$4:$O11)-Config!$B$7/Config!$B$6)/STDEV($O$4:$O11)*SQRT(Config!$B$6),""))</f>
        <v/>
      </c>
      <c r="S11" s="47" t="n">
        <f aca="false">IF($H11="",$S10,IF($H11&gt;0,$S10+1,0))</f>
        <v>0</v>
      </c>
      <c r="T11" s="47" t="n">
        <f aca="false">IF($H11="",$T10,IF($H11&lt;0,$T10+1,0))</f>
        <v>0</v>
      </c>
    </row>
    <row r="12" customFormat="false" ht="15" hidden="false" customHeight="false" outlineLevel="0" collapsed="false">
      <c r="A12" s="54" t="n">
        <f aca="false">IF($A11="","",$A11+1)</f>
        <v>46243</v>
      </c>
      <c r="B12" s="5" t="str">
        <f aca="false">IF($A12="","",TEXT($A12,"ddd"))</f>
        <v>Sun</v>
      </c>
      <c r="C12" s="41" t="n">
        <f aca="false">IF($A12="","",COUNTIFS('Trade Log'!$L$4:$L$503,$A12))</f>
        <v>0</v>
      </c>
      <c r="D12" s="40" t="n">
        <f aca="false">IF($A12="","",SUMIFS('Trade Log'!$Q$4:$Q$503,'Trade Log'!$L$4:$L$503,$A12,'Trade Log'!$E$4:$E$503,"LONG"))</f>
        <v>0</v>
      </c>
      <c r="E12" s="40" t="n">
        <f aca="false">IF($A12="","",SUMIFS('Trade Log'!$Q$4:$Q$503,'Trade Log'!$L$4:$L$503,$A12,'Trade Log'!$E$4:$E$503,"SHORT"))</f>
        <v>0</v>
      </c>
      <c r="F12" s="40" t="n">
        <f aca="false">IF($A12="","",$D12+$E12)</f>
        <v>0</v>
      </c>
      <c r="G12" s="40" t="n">
        <f aca="false">IF($A12="","",SUMIFS('Trade Log'!$Y$4:$Y$503,'Trade Log'!$L$4:$L$503,$A12))</f>
        <v>0</v>
      </c>
      <c r="H12" s="40" t="str">
        <f aca="false">IF($A12="","",IF($C12=0,"",$F12-$G12))</f>
        <v/>
      </c>
      <c r="I12" s="40" t="n">
        <f aca="false">IF($A12="","",$I11+IF($H12="",0,$H12))</f>
        <v>0</v>
      </c>
      <c r="J12" s="40" t="n">
        <f aca="false">IF($A12="","",Config!$B$4+$I12)</f>
        <v>1000000</v>
      </c>
      <c r="K12" s="40" t="n">
        <f aca="false">IF($A12="","",MAX($J$4:$J12))</f>
        <v>1000000</v>
      </c>
      <c r="L12" s="40" t="n">
        <f aca="false">IF($A12="","",$J12-$K12)</f>
        <v>0</v>
      </c>
      <c r="M12" s="42" t="n">
        <f aca="false">IF(OR($A12="",$K12=0),"",$L12/$K12)</f>
        <v>0</v>
      </c>
      <c r="N12" s="40" t="n">
        <f aca="false">IF($A12="","",SUMIFS('Trade Log'!$K$4:$K$503,'Trade Log'!$H$4:$H$503,$A12))</f>
        <v>0</v>
      </c>
      <c r="O12" s="42" t="str">
        <f aca="false">IF(OR($A12="",$H12="",Config!$B$4=0),"",$H12/Config!$B$4)</f>
        <v/>
      </c>
      <c r="P12" s="40" t="n">
        <f aca="false">IF($A12="","",SUM($H$4:$H12))</f>
        <v>0</v>
      </c>
      <c r="Q12" s="53" t="str">
        <f aca="false">IF($A12="","",IFERROR((AVERAGE($O$4:$O12)-Config!$B$7/Config!$B$6)/STDEV($O$4:$O12)*SQRT(Config!$B$6),""))</f>
        <v/>
      </c>
      <c r="R12" s="53" t="str">
        <f aca="false">IF($A12="","",IFERROR((AVERAGE($O$4:$O12)-Config!$B$7/Config!$B$6)/STDEV($O$4:$O12)*SQRT(Config!$B$6),""))</f>
        <v/>
      </c>
      <c r="S12" s="47" t="n">
        <f aca="false">IF($H12="",$S11,IF($H12&gt;0,$S11+1,0))</f>
        <v>0</v>
      </c>
      <c r="T12" s="47" t="n">
        <f aca="false">IF($H12="",$T11,IF($H12&lt;0,$T11+1,0))</f>
        <v>0</v>
      </c>
    </row>
    <row r="13" customFormat="false" ht="15" hidden="false" customHeight="false" outlineLevel="0" collapsed="false">
      <c r="A13" s="54" t="n">
        <f aca="false">IF($A12="","",$A12+1)</f>
        <v>46244</v>
      </c>
      <c r="B13" s="5" t="str">
        <f aca="false">IF($A13="","",TEXT($A13,"ddd"))</f>
        <v>Mon</v>
      </c>
      <c r="C13" s="41" t="n">
        <f aca="false">IF($A13="","",COUNTIFS('Trade Log'!$L$4:$L$503,$A13))</f>
        <v>0</v>
      </c>
      <c r="D13" s="40" t="n">
        <f aca="false">IF($A13="","",SUMIFS('Trade Log'!$Q$4:$Q$503,'Trade Log'!$L$4:$L$503,$A13,'Trade Log'!$E$4:$E$503,"LONG"))</f>
        <v>0</v>
      </c>
      <c r="E13" s="40" t="n">
        <f aca="false">IF($A13="","",SUMIFS('Trade Log'!$Q$4:$Q$503,'Trade Log'!$L$4:$L$503,$A13,'Trade Log'!$E$4:$E$503,"SHORT"))</f>
        <v>0</v>
      </c>
      <c r="F13" s="40" t="n">
        <f aca="false">IF($A13="","",$D13+$E13)</f>
        <v>0</v>
      </c>
      <c r="G13" s="40" t="n">
        <f aca="false">IF($A13="","",SUMIFS('Trade Log'!$Y$4:$Y$503,'Trade Log'!$L$4:$L$503,$A13))</f>
        <v>0</v>
      </c>
      <c r="H13" s="40" t="str">
        <f aca="false">IF($A13="","",IF($C13=0,"",$F13-$G13))</f>
        <v/>
      </c>
      <c r="I13" s="40" t="n">
        <f aca="false">IF($A13="","",$I12+IF($H13="",0,$H13))</f>
        <v>0</v>
      </c>
      <c r="J13" s="40" t="n">
        <f aca="false">IF($A13="","",Config!$B$4+$I13)</f>
        <v>1000000</v>
      </c>
      <c r="K13" s="40" t="n">
        <f aca="false">IF($A13="","",MAX($J$4:$J13))</f>
        <v>1000000</v>
      </c>
      <c r="L13" s="40" t="n">
        <f aca="false">IF($A13="","",$J13-$K13)</f>
        <v>0</v>
      </c>
      <c r="M13" s="42" t="n">
        <f aca="false">IF(OR($A13="",$K13=0),"",$L13/$K13)</f>
        <v>0</v>
      </c>
      <c r="N13" s="40" t="n">
        <f aca="false">IF($A13="","",SUMIFS('Trade Log'!$K$4:$K$503,'Trade Log'!$H$4:$H$503,$A13))</f>
        <v>0</v>
      </c>
      <c r="O13" s="42" t="str">
        <f aca="false">IF(OR($A13="",$H13="",Config!$B$4=0),"",$H13/Config!$B$4)</f>
        <v/>
      </c>
      <c r="P13" s="40" t="n">
        <f aca="false">IF($A13="","",SUM($H$4:$H13))</f>
        <v>0</v>
      </c>
      <c r="Q13" s="53" t="str">
        <f aca="false">IF($A13="","",IFERROR((AVERAGE($O$4:$O13)-Config!$B$7/Config!$B$6)/STDEV($O$4:$O13)*SQRT(Config!$B$6),""))</f>
        <v/>
      </c>
      <c r="R13" s="53" t="str">
        <f aca="false">IF($A13="","",IFERROR((AVERAGE($O$4:$O13)-Config!$B$7/Config!$B$6)/STDEV($O$4:$O13)*SQRT(Config!$B$6),""))</f>
        <v/>
      </c>
      <c r="S13" s="47" t="n">
        <f aca="false">IF($H13="",$S12,IF($H13&gt;0,$S12+1,0))</f>
        <v>0</v>
      </c>
      <c r="T13" s="47" t="n">
        <f aca="false">IF($H13="",$T12,IF($H13&lt;0,$T12+1,0))</f>
        <v>0</v>
      </c>
    </row>
    <row r="14" customFormat="false" ht="15" hidden="false" customHeight="false" outlineLevel="0" collapsed="false">
      <c r="A14" s="54" t="n">
        <f aca="false">IF($A13="","",$A13+1)</f>
        <v>46245</v>
      </c>
      <c r="B14" s="5" t="str">
        <f aca="false">IF($A14="","",TEXT($A14,"ddd"))</f>
        <v>Tue</v>
      </c>
      <c r="C14" s="41" t="n">
        <f aca="false">IF($A14="","",COUNTIFS('Trade Log'!$L$4:$L$503,$A14))</f>
        <v>0</v>
      </c>
      <c r="D14" s="40" t="n">
        <f aca="false">IF($A14="","",SUMIFS('Trade Log'!$Q$4:$Q$503,'Trade Log'!$L$4:$L$503,$A14,'Trade Log'!$E$4:$E$503,"LONG"))</f>
        <v>0</v>
      </c>
      <c r="E14" s="40" t="n">
        <f aca="false">IF($A14="","",SUMIFS('Trade Log'!$Q$4:$Q$503,'Trade Log'!$L$4:$L$503,$A14,'Trade Log'!$E$4:$E$503,"SHORT"))</f>
        <v>0</v>
      </c>
      <c r="F14" s="40" t="n">
        <f aca="false">IF($A14="","",$D14+$E14)</f>
        <v>0</v>
      </c>
      <c r="G14" s="40" t="n">
        <f aca="false">IF($A14="","",SUMIFS('Trade Log'!$Y$4:$Y$503,'Trade Log'!$L$4:$L$503,$A14))</f>
        <v>0</v>
      </c>
      <c r="H14" s="40" t="str">
        <f aca="false">IF($A14="","",IF($C14=0,"",$F14-$G14))</f>
        <v/>
      </c>
      <c r="I14" s="40" t="n">
        <f aca="false">IF($A14="","",$I13+IF($H14="",0,$H14))</f>
        <v>0</v>
      </c>
      <c r="J14" s="40" t="n">
        <f aca="false">IF($A14="","",Config!$B$4+$I14)</f>
        <v>1000000</v>
      </c>
      <c r="K14" s="40" t="n">
        <f aca="false">IF($A14="","",MAX($J$4:$J14))</f>
        <v>1000000</v>
      </c>
      <c r="L14" s="40" t="n">
        <f aca="false">IF($A14="","",$J14-$K14)</f>
        <v>0</v>
      </c>
      <c r="M14" s="42" t="n">
        <f aca="false">IF(OR($A14="",$K14=0),"",$L14/$K14)</f>
        <v>0</v>
      </c>
      <c r="N14" s="40" t="n">
        <f aca="false">IF($A14="","",SUMIFS('Trade Log'!$K$4:$K$503,'Trade Log'!$H$4:$H$503,$A14))</f>
        <v>0</v>
      </c>
      <c r="O14" s="42" t="str">
        <f aca="false">IF(OR($A14="",$H14="",Config!$B$4=0),"",$H14/Config!$B$4)</f>
        <v/>
      </c>
      <c r="P14" s="40" t="n">
        <f aca="false">IF($A14="","",SUM($H$4:$H14))</f>
        <v>0</v>
      </c>
      <c r="Q14" s="53" t="str">
        <f aca="false">IF($A14="","",IFERROR((AVERAGE($O$4:$O14)-Config!$B$7/Config!$B$6)/STDEV($O$4:$O14)*SQRT(Config!$B$6),""))</f>
        <v/>
      </c>
      <c r="R14" s="53" t="str">
        <f aca="false">IF($A14="","",IFERROR((AVERAGE($O$4:$O14)-Config!$B$7/Config!$B$6)/STDEV($O$4:$O14)*SQRT(Config!$B$6),""))</f>
        <v/>
      </c>
      <c r="S14" s="47" t="n">
        <f aca="false">IF($H14="",$S13,IF($H14&gt;0,$S13+1,0))</f>
        <v>0</v>
      </c>
      <c r="T14" s="47" t="n">
        <f aca="false">IF($H14="",$T13,IF($H14&lt;0,$T13+1,0))</f>
        <v>0</v>
      </c>
    </row>
    <row r="15" customFormat="false" ht="15" hidden="false" customHeight="false" outlineLevel="0" collapsed="false">
      <c r="A15" s="54" t="n">
        <f aca="false">IF($A14="","",$A14+1)</f>
        <v>46246</v>
      </c>
      <c r="B15" s="5" t="str">
        <f aca="false">IF($A15="","",TEXT($A15,"ddd"))</f>
        <v>Wed</v>
      </c>
      <c r="C15" s="41" t="n">
        <f aca="false">IF($A15="","",COUNTIFS('Trade Log'!$L$4:$L$503,$A15))</f>
        <v>0</v>
      </c>
      <c r="D15" s="40" t="n">
        <f aca="false">IF($A15="","",SUMIFS('Trade Log'!$Q$4:$Q$503,'Trade Log'!$L$4:$L$503,$A15,'Trade Log'!$E$4:$E$503,"LONG"))</f>
        <v>0</v>
      </c>
      <c r="E15" s="40" t="n">
        <f aca="false">IF($A15="","",SUMIFS('Trade Log'!$Q$4:$Q$503,'Trade Log'!$L$4:$L$503,$A15,'Trade Log'!$E$4:$E$503,"SHORT"))</f>
        <v>0</v>
      </c>
      <c r="F15" s="40" t="n">
        <f aca="false">IF($A15="","",$D15+$E15)</f>
        <v>0</v>
      </c>
      <c r="G15" s="40" t="n">
        <f aca="false">IF($A15="","",SUMIFS('Trade Log'!$Y$4:$Y$503,'Trade Log'!$L$4:$L$503,$A15))</f>
        <v>0</v>
      </c>
      <c r="H15" s="40" t="str">
        <f aca="false">IF($A15="","",IF($C15=0,"",$F15-$G15))</f>
        <v/>
      </c>
      <c r="I15" s="40" t="n">
        <f aca="false">IF($A15="","",$I14+IF($H15="",0,$H15))</f>
        <v>0</v>
      </c>
      <c r="J15" s="40" t="n">
        <f aca="false">IF($A15="","",Config!$B$4+$I15)</f>
        <v>1000000</v>
      </c>
      <c r="K15" s="40" t="n">
        <f aca="false">IF($A15="","",MAX($J$4:$J15))</f>
        <v>1000000</v>
      </c>
      <c r="L15" s="40" t="n">
        <f aca="false">IF($A15="","",$J15-$K15)</f>
        <v>0</v>
      </c>
      <c r="M15" s="42" t="n">
        <f aca="false">IF(OR($A15="",$K15=0),"",$L15/$K15)</f>
        <v>0</v>
      </c>
      <c r="N15" s="40" t="n">
        <f aca="false">IF($A15="","",SUMIFS('Trade Log'!$K$4:$K$503,'Trade Log'!$H$4:$H$503,$A15))</f>
        <v>0</v>
      </c>
      <c r="O15" s="42" t="str">
        <f aca="false">IF(OR($A15="",$H15="",Config!$B$4=0),"",$H15/Config!$B$4)</f>
        <v/>
      </c>
      <c r="P15" s="40" t="n">
        <f aca="false">IF($A15="","",SUM($H$4:$H15))</f>
        <v>0</v>
      </c>
      <c r="Q15" s="53" t="str">
        <f aca="false">IF($A15="","",IFERROR((AVERAGE($O$4:$O15)-Config!$B$7/Config!$B$6)/STDEV($O$4:$O15)*SQRT(Config!$B$6),""))</f>
        <v/>
      </c>
      <c r="R15" s="53" t="str">
        <f aca="false">IF($A15="","",IFERROR((AVERAGE($O$4:$O15)-Config!$B$7/Config!$B$6)/STDEV($O$4:$O15)*SQRT(Config!$B$6),""))</f>
        <v/>
      </c>
      <c r="S15" s="47" t="n">
        <f aca="false">IF($H15="",$S14,IF($H15&gt;0,$S14+1,0))</f>
        <v>0</v>
      </c>
      <c r="T15" s="47" t="n">
        <f aca="false">IF($H15="",$T14,IF($H15&lt;0,$T14+1,0))</f>
        <v>0</v>
      </c>
    </row>
    <row r="16" customFormat="false" ht="15" hidden="false" customHeight="false" outlineLevel="0" collapsed="false">
      <c r="A16" s="54" t="n">
        <f aca="false">IF($A15="","",$A15+1)</f>
        <v>46247</v>
      </c>
      <c r="B16" s="5" t="str">
        <f aca="false">IF($A16="","",TEXT($A16,"ddd"))</f>
        <v>Thu</v>
      </c>
      <c r="C16" s="41" t="n">
        <f aca="false">IF($A16="","",COUNTIFS('Trade Log'!$L$4:$L$503,$A16))</f>
        <v>0</v>
      </c>
      <c r="D16" s="40" t="n">
        <f aca="false">IF($A16="","",SUMIFS('Trade Log'!$Q$4:$Q$503,'Trade Log'!$L$4:$L$503,$A16,'Trade Log'!$E$4:$E$503,"LONG"))</f>
        <v>0</v>
      </c>
      <c r="E16" s="40" t="n">
        <f aca="false">IF($A16="","",SUMIFS('Trade Log'!$Q$4:$Q$503,'Trade Log'!$L$4:$L$503,$A16,'Trade Log'!$E$4:$E$503,"SHORT"))</f>
        <v>0</v>
      </c>
      <c r="F16" s="40" t="n">
        <f aca="false">IF($A16="","",$D16+$E16)</f>
        <v>0</v>
      </c>
      <c r="G16" s="40" t="n">
        <f aca="false">IF($A16="","",SUMIFS('Trade Log'!$Y$4:$Y$503,'Trade Log'!$L$4:$L$503,$A16))</f>
        <v>0</v>
      </c>
      <c r="H16" s="40" t="str">
        <f aca="false">IF($A16="","",IF($C16=0,"",$F16-$G16))</f>
        <v/>
      </c>
      <c r="I16" s="40" t="n">
        <f aca="false">IF($A16="","",$I15+IF($H16="",0,$H16))</f>
        <v>0</v>
      </c>
      <c r="J16" s="40" t="n">
        <f aca="false">IF($A16="","",Config!$B$4+$I16)</f>
        <v>1000000</v>
      </c>
      <c r="K16" s="40" t="n">
        <f aca="false">IF($A16="","",MAX($J$4:$J16))</f>
        <v>1000000</v>
      </c>
      <c r="L16" s="40" t="n">
        <f aca="false">IF($A16="","",$J16-$K16)</f>
        <v>0</v>
      </c>
      <c r="M16" s="42" t="n">
        <f aca="false">IF(OR($A16="",$K16=0),"",$L16/$K16)</f>
        <v>0</v>
      </c>
      <c r="N16" s="40" t="n">
        <f aca="false">IF($A16="","",SUMIFS('Trade Log'!$K$4:$K$503,'Trade Log'!$H$4:$H$503,$A16))</f>
        <v>0</v>
      </c>
      <c r="O16" s="42" t="str">
        <f aca="false">IF(OR($A16="",$H16="",Config!$B$4=0),"",$H16/Config!$B$4)</f>
        <v/>
      </c>
      <c r="P16" s="40" t="n">
        <f aca="false">IF($A16="","",SUM($H$4:$H16))</f>
        <v>0</v>
      </c>
      <c r="Q16" s="53" t="str">
        <f aca="false">IF($A16="","",IFERROR((AVERAGE($O$4:$O16)-Config!$B$7/Config!$B$6)/STDEV($O$4:$O16)*SQRT(Config!$B$6),""))</f>
        <v/>
      </c>
      <c r="R16" s="53" t="str">
        <f aca="false">IF($A16="","",IFERROR((AVERAGE($O$4:$O16)-Config!$B$7/Config!$B$6)/STDEV($O$4:$O16)*SQRT(Config!$B$6),""))</f>
        <v/>
      </c>
      <c r="S16" s="47" t="n">
        <f aca="false">IF($H16="",$S15,IF($H16&gt;0,$S15+1,0))</f>
        <v>0</v>
      </c>
      <c r="T16" s="47" t="n">
        <f aca="false">IF($H16="",$T15,IF($H16&lt;0,$T15+1,0))</f>
        <v>0</v>
      </c>
    </row>
    <row r="17" customFormat="false" ht="15" hidden="false" customHeight="false" outlineLevel="0" collapsed="false">
      <c r="A17" s="54" t="n">
        <f aca="false">IF($A16="","",$A16+1)</f>
        <v>46248</v>
      </c>
      <c r="B17" s="5" t="str">
        <f aca="false">IF($A17="","",TEXT($A17,"ddd"))</f>
        <v>Fri</v>
      </c>
      <c r="C17" s="41" t="n">
        <f aca="false">IF($A17="","",COUNTIFS('Trade Log'!$L$4:$L$503,$A17))</f>
        <v>0</v>
      </c>
      <c r="D17" s="40" t="n">
        <f aca="false">IF($A17="","",SUMIFS('Trade Log'!$Q$4:$Q$503,'Trade Log'!$L$4:$L$503,$A17,'Trade Log'!$E$4:$E$503,"LONG"))</f>
        <v>0</v>
      </c>
      <c r="E17" s="40" t="n">
        <f aca="false">IF($A17="","",SUMIFS('Trade Log'!$Q$4:$Q$503,'Trade Log'!$L$4:$L$503,$A17,'Trade Log'!$E$4:$E$503,"SHORT"))</f>
        <v>0</v>
      </c>
      <c r="F17" s="40" t="n">
        <f aca="false">IF($A17="","",$D17+$E17)</f>
        <v>0</v>
      </c>
      <c r="G17" s="40" t="n">
        <f aca="false">IF($A17="","",SUMIFS('Trade Log'!$Y$4:$Y$503,'Trade Log'!$L$4:$L$503,$A17))</f>
        <v>0</v>
      </c>
      <c r="H17" s="40" t="str">
        <f aca="false">IF($A17="","",IF($C17=0,"",$F17-$G17))</f>
        <v/>
      </c>
      <c r="I17" s="40" t="n">
        <f aca="false">IF($A17="","",$I16+IF($H17="",0,$H17))</f>
        <v>0</v>
      </c>
      <c r="J17" s="40" t="n">
        <f aca="false">IF($A17="","",Config!$B$4+$I17)</f>
        <v>1000000</v>
      </c>
      <c r="K17" s="40" t="n">
        <f aca="false">IF($A17="","",MAX($J$4:$J17))</f>
        <v>1000000</v>
      </c>
      <c r="L17" s="40" t="n">
        <f aca="false">IF($A17="","",$J17-$K17)</f>
        <v>0</v>
      </c>
      <c r="M17" s="42" t="n">
        <f aca="false">IF(OR($A17="",$K17=0),"",$L17/$K17)</f>
        <v>0</v>
      </c>
      <c r="N17" s="40" t="n">
        <f aca="false">IF($A17="","",SUMIFS('Trade Log'!$K$4:$K$503,'Trade Log'!$H$4:$H$503,$A17))</f>
        <v>0</v>
      </c>
      <c r="O17" s="42" t="str">
        <f aca="false">IF(OR($A17="",$H17="",Config!$B$4=0),"",$H17/Config!$B$4)</f>
        <v/>
      </c>
      <c r="P17" s="40" t="n">
        <f aca="false">IF($A17="","",SUM($H$4:$H17))</f>
        <v>0</v>
      </c>
      <c r="Q17" s="53" t="str">
        <f aca="false">IF($A17="","",IFERROR((AVERAGE($O$4:$O17)-Config!$B$7/Config!$B$6)/STDEV($O$4:$O17)*SQRT(Config!$B$6),""))</f>
        <v/>
      </c>
      <c r="R17" s="53" t="str">
        <f aca="false">IF($A17="","",IFERROR((AVERAGE($O$4:$O17)-Config!$B$7/Config!$B$6)/STDEV($O$4:$O17)*SQRT(Config!$B$6),""))</f>
        <v/>
      </c>
      <c r="S17" s="47" t="n">
        <f aca="false">IF($H17="",$S16,IF($H17&gt;0,$S16+1,0))</f>
        <v>0</v>
      </c>
      <c r="T17" s="47" t="n">
        <f aca="false">IF($H17="",$T16,IF($H17&lt;0,$T16+1,0))</f>
        <v>0</v>
      </c>
    </row>
    <row r="18" customFormat="false" ht="15" hidden="false" customHeight="false" outlineLevel="0" collapsed="false">
      <c r="A18" s="54" t="n">
        <f aca="false">IF($A17="","",$A17+1)</f>
        <v>46249</v>
      </c>
      <c r="B18" s="5" t="str">
        <f aca="false">IF($A18="","",TEXT($A18,"ddd"))</f>
        <v>Sat</v>
      </c>
      <c r="C18" s="41" t="n">
        <f aca="false">IF($A18="","",COUNTIFS('Trade Log'!$L$4:$L$503,$A18))</f>
        <v>0</v>
      </c>
      <c r="D18" s="40" t="n">
        <f aca="false">IF($A18="","",SUMIFS('Trade Log'!$Q$4:$Q$503,'Trade Log'!$L$4:$L$503,$A18,'Trade Log'!$E$4:$E$503,"LONG"))</f>
        <v>0</v>
      </c>
      <c r="E18" s="40" t="n">
        <f aca="false">IF($A18="","",SUMIFS('Trade Log'!$Q$4:$Q$503,'Trade Log'!$L$4:$L$503,$A18,'Trade Log'!$E$4:$E$503,"SHORT"))</f>
        <v>0</v>
      </c>
      <c r="F18" s="40" t="n">
        <f aca="false">IF($A18="","",$D18+$E18)</f>
        <v>0</v>
      </c>
      <c r="G18" s="40" t="n">
        <f aca="false">IF($A18="","",SUMIFS('Trade Log'!$Y$4:$Y$503,'Trade Log'!$L$4:$L$503,$A18))</f>
        <v>0</v>
      </c>
      <c r="H18" s="40" t="str">
        <f aca="false">IF($A18="","",IF($C18=0,"",$F18-$G18))</f>
        <v/>
      </c>
      <c r="I18" s="40" t="n">
        <f aca="false">IF($A18="","",$I17+IF($H18="",0,$H18))</f>
        <v>0</v>
      </c>
      <c r="J18" s="40" t="n">
        <f aca="false">IF($A18="","",Config!$B$4+$I18)</f>
        <v>1000000</v>
      </c>
      <c r="K18" s="40" t="n">
        <f aca="false">IF($A18="","",MAX($J$4:$J18))</f>
        <v>1000000</v>
      </c>
      <c r="L18" s="40" t="n">
        <f aca="false">IF($A18="","",$J18-$K18)</f>
        <v>0</v>
      </c>
      <c r="M18" s="42" t="n">
        <f aca="false">IF(OR($A18="",$K18=0),"",$L18/$K18)</f>
        <v>0</v>
      </c>
      <c r="N18" s="40" t="n">
        <f aca="false">IF($A18="","",SUMIFS('Trade Log'!$K$4:$K$503,'Trade Log'!$H$4:$H$503,$A18))</f>
        <v>0</v>
      </c>
      <c r="O18" s="42" t="str">
        <f aca="false">IF(OR($A18="",$H18="",Config!$B$4=0),"",$H18/Config!$B$4)</f>
        <v/>
      </c>
      <c r="P18" s="40" t="n">
        <f aca="false">IF($A18="","",SUM($H$4:$H18))</f>
        <v>0</v>
      </c>
      <c r="Q18" s="53" t="str">
        <f aca="false">IF($A18="","",IFERROR((AVERAGE($O$4:$O18)-Config!$B$7/Config!$B$6)/STDEV($O$4:$O18)*SQRT(Config!$B$6),""))</f>
        <v/>
      </c>
      <c r="R18" s="53" t="str">
        <f aca="false">IF($A18="","",IFERROR((AVERAGE($O$4:$O18)-Config!$B$7/Config!$B$6)/STDEV($O$4:$O18)*SQRT(Config!$B$6),""))</f>
        <v/>
      </c>
      <c r="S18" s="47" t="n">
        <f aca="false">IF($H18="",$S17,IF($H18&gt;0,$S17+1,0))</f>
        <v>0</v>
      </c>
      <c r="T18" s="47" t="n">
        <f aca="false">IF($H18="",$T17,IF($H18&lt;0,$T17+1,0))</f>
        <v>0</v>
      </c>
    </row>
    <row r="19" customFormat="false" ht="15" hidden="false" customHeight="false" outlineLevel="0" collapsed="false">
      <c r="A19" s="54" t="n">
        <f aca="false">IF($A18="","",$A18+1)</f>
        <v>46250</v>
      </c>
      <c r="B19" s="5" t="str">
        <f aca="false">IF($A19="","",TEXT($A19,"ddd"))</f>
        <v>Sun</v>
      </c>
      <c r="C19" s="41" t="n">
        <f aca="false">IF($A19="","",COUNTIFS('Trade Log'!$L$4:$L$503,$A19))</f>
        <v>0</v>
      </c>
      <c r="D19" s="40" t="n">
        <f aca="false">IF($A19="","",SUMIFS('Trade Log'!$Q$4:$Q$503,'Trade Log'!$L$4:$L$503,$A19,'Trade Log'!$E$4:$E$503,"LONG"))</f>
        <v>0</v>
      </c>
      <c r="E19" s="40" t="n">
        <f aca="false">IF($A19="","",SUMIFS('Trade Log'!$Q$4:$Q$503,'Trade Log'!$L$4:$L$503,$A19,'Trade Log'!$E$4:$E$503,"SHORT"))</f>
        <v>0</v>
      </c>
      <c r="F19" s="40" t="n">
        <f aca="false">IF($A19="","",$D19+$E19)</f>
        <v>0</v>
      </c>
      <c r="G19" s="40" t="n">
        <f aca="false">IF($A19="","",SUMIFS('Trade Log'!$Y$4:$Y$503,'Trade Log'!$L$4:$L$503,$A19))</f>
        <v>0</v>
      </c>
      <c r="H19" s="40" t="str">
        <f aca="false">IF($A19="","",IF($C19=0,"",$F19-$G19))</f>
        <v/>
      </c>
      <c r="I19" s="40" t="n">
        <f aca="false">IF($A19="","",$I18+IF($H19="",0,$H19))</f>
        <v>0</v>
      </c>
      <c r="J19" s="40" t="n">
        <f aca="false">IF($A19="","",Config!$B$4+$I19)</f>
        <v>1000000</v>
      </c>
      <c r="K19" s="40" t="n">
        <f aca="false">IF($A19="","",MAX($J$4:$J19))</f>
        <v>1000000</v>
      </c>
      <c r="L19" s="40" t="n">
        <f aca="false">IF($A19="","",$J19-$K19)</f>
        <v>0</v>
      </c>
      <c r="M19" s="42" t="n">
        <f aca="false">IF(OR($A19="",$K19=0),"",$L19/$K19)</f>
        <v>0</v>
      </c>
      <c r="N19" s="40" t="n">
        <f aca="false">IF($A19="","",SUMIFS('Trade Log'!$K$4:$K$503,'Trade Log'!$H$4:$H$503,$A19))</f>
        <v>0</v>
      </c>
      <c r="O19" s="42" t="str">
        <f aca="false">IF(OR($A19="",$H19="",Config!$B$4=0),"",$H19/Config!$B$4)</f>
        <v/>
      </c>
      <c r="P19" s="40" t="n">
        <f aca="false">IF($A19="","",SUM($H$4:$H19))</f>
        <v>0</v>
      </c>
      <c r="Q19" s="53" t="str">
        <f aca="false">IF($A19="","",IFERROR((AVERAGE($O$4:$O19)-Config!$B$7/Config!$B$6)/STDEV($O$4:$O19)*SQRT(Config!$B$6),""))</f>
        <v/>
      </c>
      <c r="R19" s="53" t="str">
        <f aca="false">IF($A19="","",IFERROR((AVERAGE($O$4:$O19)-Config!$B$7/Config!$B$6)/STDEV($O$4:$O19)*SQRT(Config!$B$6),""))</f>
        <v/>
      </c>
      <c r="S19" s="47" t="n">
        <f aca="false">IF($H19="",$S18,IF($H19&gt;0,$S18+1,0))</f>
        <v>0</v>
      </c>
      <c r="T19" s="47" t="n">
        <f aca="false">IF($H19="",$T18,IF($H19&lt;0,$T18+1,0))</f>
        <v>0</v>
      </c>
    </row>
    <row r="20" customFormat="false" ht="15" hidden="false" customHeight="false" outlineLevel="0" collapsed="false">
      <c r="A20" s="54" t="n">
        <f aca="false">IF($A19="","",$A19+1)</f>
        <v>46251</v>
      </c>
      <c r="B20" s="5" t="str">
        <f aca="false">IF($A20="","",TEXT($A20,"ddd"))</f>
        <v>Mon</v>
      </c>
      <c r="C20" s="41" t="n">
        <f aca="false">IF($A20="","",COUNTIFS('Trade Log'!$L$4:$L$503,$A20))</f>
        <v>0</v>
      </c>
      <c r="D20" s="40" t="n">
        <f aca="false">IF($A20="","",SUMIFS('Trade Log'!$Q$4:$Q$503,'Trade Log'!$L$4:$L$503,$A20,'Trade Log'!$E$4:$E$503,"LONG"))</f>
        <v>0</v>
      </c>
      <c r="E20" s="40" t="n">
        <f aca="false">IF($A20="","",SUMIFS('Trade Log'!$Q$4:$Q$503,'Trade Log'!$L$4:$L$503,$A20,'Trade Log'!$E$4:$E$503,"SHORT"))</f>
        <v>0</v>
      </c>
      <c r="F20" s="40" t="n">
        <f aca="false">IF($A20="","",$D20+$E20)</f>
        <v>0</v>
      </c>
      <c r="G20" s="40" t="n">
        <f aca="false">IF($A20="","",SUMIFS('Trade Log'!$Y$4:$Y$503,'Trade Log'!$L$4:$L$503,$A20))</f>
        <v>0</v>
      </c>
      <c r="H20" s="40" t="str">
        <f aca="false">IF($A20="","",IF($C20=0,"",$F20-$G20))</f>
        <v/>
      </c>
      <c r="I20" s="40" t="n">
        <f aca="false">IF($A20="","",$I19+IF($H20="",0,$H20))</f>
        <v>0</v>
      </c>
      <c r="J20" s="40" t="n">
        <f aca="false">IF($A20="","",Config!$B$4+$I20)</f>
        <v>1000000</v>
      </c>
      <c r="K20" s="40" t="n">
        <f aca="false">IF($A20="","",MAX($J$4:$J20))</f>
        <v>1000000</v>
      </c>
      <c r="L20" s="40" t="n">
        <f aca="false">IF($A20="","",$J20-$K20)</f>
        <v>0</v>
      </c>
      <c r="M20" s="42" t="n">
        <f aca="false">IF(OR($A20="",$K20=0),"",$L20/$K20)</f>
        <v>0</v>
      </c>
      <c r="N20" s="40" t="n">
        <f aca="false">IF($A20="","",SUMIFS('Trade Log'!$K$4:$K$503,'Trade Log'!$H$4:$H$503,$A20))</f>
        <v>249871.5</v>
      </c>
      <c r="O20" s="42" t="str">
        <f aca="false">IF(OR($A20="",$H20="",Config!$B$4=0),"",$H20/Config!$B$4)</f>
        <v/>
      </c>
      <c r="P20" s="40" t="n">
        <f aca="false">IF($A20="","",SUM($H$4:$H20))</f>
        <v>0</v>
      </c>
      <c r="Q20" s="53" t="str">
        <f aca="false">IF($A20="","",IFERROR((AVERAGE($O$4:$O20)-Config!$B$7/Config!$B$6)/STDEV($O$4:$O20)*SQRT(Config!$B$6),""))</f>
        <v/>
      </c>
      <c r="R20" s="53" t="str">
        <f aca="false">IF($A20="","",IFERROR((AVERAGE($O$4:$O20)-Config!$B$7/Config!$B$6)/STDEV($O$4:$O20)*SQRT(Config!$B$6),""))</f>
        <v/>
      </c>
      <c r="S20" s="47" t="n">
        <f aca="false">IF($H20="",$S19,IF($H20&gt;0,$S19+1,0))</f>
        <v>0</v>
      </c>
      <c r="T20" s="47" t="n">
        <f aca="false">IF($H20="",$T19,IF($H20&lt;0,$T19+1,0))</f>
        <v>0</v>
      </c>
    </row>
    <row r="21" customFormat="false" ht="15" hidden="false" customHeight="false" outlineLevel="0" collapsed="false">
      <c r="A21" s="54" t="n">
        <f aca="false">IF($A20="","",$A20+1)</f>
        <v>46252</v>
      </c>
      <c r="B21" s="5" t="str">
        <f aca="false">IF($A21="","",TEXT($A21,"ddd"))</f>
        <v>Tue</v>
      </c>
      <c r="C21" s="41" t="n">
        <f aca="false">IF($A21="","",COUNTIFS('Trade Log'!$L$4:$L$503,$A21))</f>
        <v>2</v>
      </c>
      <c r="D21" s="40" t="n">
        <f aca="false">IF($A21="","",SUMIFS('Trade Log'!$Q$4:$Q$503,'Trade Log'!$L$4:$L$503,$A21,'Trade Log'!$E$4:$E$503,"LONG"))</f>
        <v>19546.5</v>
      </c>
      <c r="E21" s="40" t="n">
        <f aca="false">IF($A21="","",SUMIFS('Trade Log'!$Q$4:$Q$503,'Trade Log'!$L$4:$L$503,$A21,'Trade Log'!$E$4:$E$503,"SHORT"))</f>
        <v>5229.00000000002</v>
      </c>
      <c r="F21" s="40" t="n">
        <f aca="false">IF($A21="","",$D21+$E21)</f>
        <v>24775.5</v>
      </c>
      <c r="G21" s="40" t="n">
        <f aca="false">IF($A21="","",SUMIFS('Trade Log'!$Y$4:$Y$503,'Trade Log'!$L$4:$L$503,$A21))</f>
        <v>856.947811965164</v>
      </c>
      <c r="H21" s="40" t="n">
        <f aca="false">IF($A21="","",IF($C21=0,"",$F21-$G21))</f>
        <v>23918.5521880349</v>
      </c>
      <c r="I21" s="40" t="n">
        <f aca="false">IF($A21="","",$I20+IF($H21="",0,$H21))</f>
        <v>23918.5521880349</v>
      </c>
      <c r="J21" s="40" t="n">
        <f aca="false">IF($A21="","",Config!$B$4+$I21)</f>
        <v>1023918.55218803</v>
      </c>
      <c r="K21" s="40" t="n">
        <f aca="false">IF($A21="","",MAX($J$4:$J21))</f>
        <v>1023918.55218803</v>
      </c>
      <c r="L21" s="40" t="n">
        <f aca="false">IF($A21="","",$J21-$K21)</f>
        <v>0</v>
      </c>
      <c r="M21" s="42" t="n">
        <f aca="false">IF(OR($A21="",$K21=0),"",$L21/$K21)</f>
        <v>0</v>
      </c>
      <c r="N21" s="40" t="n">
        <f aca="false">IF($A21="","",SUMIFS('Trade Log'!$K$4:$K$503,'Trade Log'!$H$4:$H$503,$A21))</f>
        <v>269418</v>
      </c>
      <c r="O21" s="42" t="n">
        <f aca="false">IF(OR($A21="",$H21="",Config!$B$4=0),"",$H21/Config!$B$4)</f>
        <v>0.0239185521880349</v>
      </c>
      <c r="P21" s="40" t="n">
        <f aca="false">IF($A21="","",SUM($H$4:$H21))</f>
        <v>23918.5521880349</v>
      </c>
      <c r="Q21" s="53" t="str">
        <f aca="false">IF($A21="","",IFERROR((AVERAGE($O$4:$O21)-Config!$B$7/Config!$B$6)/STDEV($O$4:$O21)*SQRT(Config!$B$6),""))</f>
        <v/>
      </c>
      <c r="R21" s="53" t="str">
        <f aca="false">IF($A21="","",IFERROR((AVERAGE($O$4:$O21)-Config!$B$7/Config!$B$6)/STDEV($O$4:$O21)*SQRT(Config!$B$6),""))</f>
        <v/>
      </c>
      <c r="S21" s="47" t="n">
        <f aca="false">IF($H21="",$S20,IF($H21&gt;0,$S20+1,0))</f>
        <v>1</v>
      </c>
      <c r="T21" s="47" t="n">
        <f aca="false">IF($H21="",$T20,IF($H21&lt;0,$T20+1,0))</f>
        <v>0</v>
      </c>
    </row>
    <row r="22" customFormat="false" ht="15" hidden="false" customHeight="false" outlineLevel="0" collapsed="false">
      <c r="A22" s="54" t="n">
        <f aca="false">IF($A21="","",$A21+1)</f>
        <v>46253</v>
      </c>
      <c r="B22" s="5" t="str">
        <f aca="false">IF($A22="","",TEXT($A22,"ddd"))</f>
        <v>Wed</v>
      </c>
      <c r="C22" s="41" t="n">
        <f aca="false">IF($A22="","",COUNTIFS('Trade Log'!$L$4:$L$503,$A22))</f>
        <v>0</v>
      </c>
      <c r="D22" s="40" t="n">
        <f aca="false">IF($A22="","",SUMIFS('Trade Log'!$Q$4:$Q$503,'Trade Log'!$L$4:$L$503,$A22,'Trade Log'!$E$4:$E$503,"LONG"))</f>
        <v>0</v>
      </c>
      <c r="E22" s="40" t="n">
        <f aca="false">IF($A22="","",SUMIFS('Trade Log'!$Q$4:$Q$503,'Trade Log'!$L$4:$L$503,$A22,'Trade Log'!$E$4:$E$503,"SHORT"))</f>
        <v>0</v>
      </c>
      <c r="F22" s="40" t="n">
        <f aca="false">IF($A22="","",$D22+$E22)</f>
        <v>0</v>
      </c>
      <c r="G22" s="40" t="n">
        <f aca="false">IF($A22="","",SUMIFS('Trade Log'!$Y$4:$Y$503,'Trade Log'!$L$4:$L$503,$A22))</f>
        <v>0</v>
      </c>
      <c r="H22" s="40" t="str">
        <f aca="false">IF($A22="","",IF($C22=0,"",$F22-$G22))</f>
        <v/>
      </c>
      <c r="I22" s="40" t="n">
        <f aca="false">IF($A22="","",$I21+IF($H22="",0,$H22))</f>
        <v>23918.5521880349</v>
      </c>
      <c r="J22" s="40" t="n">
        <f aca="false">IF($A22="","",Config!$B$4+$I22)</f>
        <v>1023918.55218803</v>
      </c>
      <c r="K22" s="40" t="n">
        <f aca="false">IF($A22="","",MAX($J$4:$J22))</f>
        <v>1023918.55218803</v>
      </c>
      <c r="L22" s="40" t="n">
        <f aca="false">IF($A22="","",$J22-$K22)</f>
        <v>0</v>
      </c>
      <c r="M22" s="42" t="n">
        <f aca="false">IF(OR($A22="",$K22=0),"",$L22/$K22)</f>
        <v>0</v>
      </c>
      <c r="N22" s="40" t="n">
        <f aca="false">IF($A22="","",SUMIFS('Trade Log'!$K$4:$K$503,'Trade Log'!$H$4:$H$503,$A22))</f>
        <v>0</v>
      </c>
      <c r="O22" s="42" t="str">
        <f aca="false">IF(OR($A22="",$H22="",Config!$B$4=0),"",$H22/Config!$B$4)</f>
        <v/>
      </c>
      <c r="P22" s="40" t="n">
        <f aca="false">IF($A22="","",SUM($H$4:$H22))</f>
        <v>23918.5521880349</v>
      </c>
      <c r="Q22" s="53" t="str">
        <f aca="false">IF($A22="","",IFERROR((AVERAGE($O$4:$O22)-Config!$B$7/Config!$B$6)/STDEV($O$4:$O22)*SQRT(Config!$B$6),""))</f>
        <v/>
      </c>
      <c r="R22" s="53" t="str">
        <f aca="false">IF($A22="","",IFERROR((AVERAGE($O$4:$O22)-Config!$B$7/Config!$B$6)/STDEV($O$4:$O22)*SQRT(Config!$B$6),""))</f>
        <v/>
      </c>
      <c r="S22" s="47" t="n">
        <f aca="false">IF($H22="",$S21,IF($H22&gt;0,$S21+1,0))</f>
        <v>1</v>
      </c>
      <c r="T22" s="47" t="n">
        <f aca="false">IF($H22="",$T21,IF($H22&lt;0,$T21+1,0))</f>
        <v>0</v>
      </c>
    </row>
    <row r="23" customFormat="false" ht="15" hidden="false" customHeight="false" outlineLevel="0" collapsed="false">
      <c r="A23" s="54" t="n">
        <f aca="false">IF($A22="","",$A22+1)</f>
        <v>46254</v>
      </c>
      <c r="B23" s="5" t="str">
        <f aca="false">IF($A23="","",TEXT($A23,"ddd"))</f>
        <v>Thu</v>
      </c>
      <c r="C23" s="41" t="n">
        <f aca="false">IF($A23="","",COUNTIFS('Trade Log'!$L$4:$L$503,$A23))</f>
        <v>0</v>
      </c>
      <c r="D23" s="40" t="n">
        <f aca="false">IF($A23="","",SUMIFS('Trade Log'!$Q$4:$Q$503,'Trade Log'!$L$4:$L$503,$A23,'Trade Log'!$E$4:$E$503,"LONG"))</f>
        <v>0</v>
      </c>
      <c r="E23" s="40" t="n">
        <f aca="false">IF($A23="","",SUMIFS('Trade Log'!$Q$4:$Q$503,'Trade Log'!$L$4:$L$503,$A23,'Trade Log'!$E$4:$E$503,"SHORT"))</f>
        <v>0</v>
      </c>
      <c r="F23" s="40" t="n">
        <f aca="false">IF($A23="","",$D23+$E23)</f>
        <v>0</v>
      </c>
      <c r="G23" s="40" t="n">
        <f aca="false">IF($A23="","",SUMIFS('Trade Log'!$Y$4:$Y$503,'Trade Log'!$L$4:$L$503,$A23))</f>
        <v>0</v>
      </c>
      <c r="H23" s="40" t="str">
        <f aca="false">IF($A23="","",IF($C23=0,"",$F23-$G23))</f>
        <v/>
      </c>
      <c r="I23" s="40" t="n">
        <f aca="false">IF($A23="","",$I22+IF($H23="",0,$H23))</f>
        <v>23918.5521880349</v>
      </c>
      <c r="J23" s="40" t="n">
        <f aca="false">IF($A23="","",Config!$B$4+$I23)</f>
        <v>1023918.55218803</v>
      </c>
      <c r="K23" s="40" t="n">
        <f aca="false">IF($A23="","",MAX($J$4:$J23))</f>
        <v>1023918.55218803</v>
      </c>
      <c r="L23" s="40" t="n">
        <f aca="false">IF($A23="","",$J23-$K23)</f>
        <v>0</v>
      </c>
      <c r="M23" s="42" t="n">
        <f aca="false">IF(OR($A23="",$K23=0),"",$L23/$K23)</f>
        <v>0</v>
      </c>
      <c r="N23" s="40" t="n">
        <f aca="false">IF($A23="","",SUMIFS('Trade Log'!$K$4:$K$503,'Trade Log'!$H$4:$H$503,$A23))</f>
        <v>0</v>
      </c>
      <c r="O23" s="42" t="str">
        <f aca="false">IF(OR($A23="",$H23="",Config!$B$4=0),"",$H23/Config!$B$4)</f>
        <v/>
      </c>
      <c r="P23" s="40" t="n">
        <f aca="false">IF($A23="","",SUM($H$4:$H23))</f>
        <v>23918.5521880349</v>
      </c>
      <c r="Q23" s="53" t="str">
        <f aca="false">IF($A23="","",IFERROR((AVERAGE($O$4:$O23)-Config!$B$7/Config!$B$6)/STDEV($O$4:$O23)*SQRT(Config!$B$6),""))</f>
        <v/>
      </c>
      <c r="R23" s="53" t="str">
        <f aca="false">IF($A23="","",IFERROR((AVERAGE($O$4:$O23)-Config!$B$7/Config!$B$6)/STDEV($O$4:$O23)*SQRT(Config!$B$6),""))</f>
        <v/>
      </c>
      <c r="S23" s="47" t="n">
        <f aca="false">IF($H23="",$S22,IF($H23&gt;0,$S22+1,0))</f>
        <v>1</v>
      </c>
      <c r="T23" s="47" t="n">
        <f aca="false">IF($H23="",$T22,IF($H23&lt;0,$T22+1,0))</f>
        <v>0</v>
      </c>
    </row>
    <row r="24" customFormat="false" ht="15" hidden="false" customHeight="false" outlineLevel="0" collapsed="false">
      <c r="A24" s="54" t="n">
        <f aca="false">IF($A23="","",$A23+1)</f>
        <v>46255</v>
      </c>
      <c r="B24" s="5" t="str">
        <f aca="false">IF($A24="","",TEXT($A24,"ddd"))</f>
        <v>Fri</v>
      </c>
      <c r="C24" s="41" t="n">
        <f aca="false">IF($A24="","",COUNTIFS('Trade Log'!$L$4:$L$503,$A24))</f>
        <v>0</v>
      </c>
      <c r="D24" s="40" t="n">
        <f aca="false">IF($A24="","",SUMIFS('Trade Log'!$Q$4:$Q$503,'Trade Log'!$L$4:$L$503,$A24,'Trade Log'!$E$4:$E$503,"LONG"))</f>
        <v>0</v>
      </c>
      <c r="E24" s="40" t="n">
        <f aca="false">IF($A24="","",SUMIFS('Trade Log'!$Q$4:$Q$503,'Trade Log'!$L$4:$L$503,$A24,'Trade Log'!$E$4:$E$503,"SHORT"))</f>
        <v>0</v>
      </c>
      <c r="F24" s="40" t="n">
        <f aca="false">IF($A24="","",$D24+$E24)</f>
        <v>0</v>
      </c>
      <c r="G24" s="40" t="n">
        <f aca="false">IF($A24="","",SUMIFS('Trade Log'!$Y$4:$Y$503,'Trade Log'!$L$4:$L$503,$A24))</f>
        <v>0</v>
      </c>
      <c r="H24" s="40" t="str">
        <f aca="false">IF($A24="","",IF($C24=0,"",$F24-$G24))</f>
        <v/>
      </c>
      <c r="I24" s="40" t="n">
        <f aca="false">IF($A24="","",$I23+IF($H24="",0,$H24))</f>
        <v>23918.5521880349</v>
      </c>
      <c r="J24" s="40" t="n">
        <f aca="false">IF($A24="","",Config!$B$4+$I24)</f>
        <v>1023918.55218803</v>
      </c>
      <c r="K24" s="40" t="n">
        <f aca="false">IF($A24="","",MAX($J$4:$J24))</f>
        <v>1023918.55218803</v>
      </c>
      <c r="L24" s="40" t="n">
        <f aca="false">IF($A24="","",$J24-$K24)</f>
        <v>0</v>
      </c>
      <c r="M24" s="42" t="n">
        <f aca="false">IF(OR($A24="",$K24=0),"",$L24/$K24)</f>
        <v>0</v>
      </c>
      <c r="N24" s="40" t="n">
        <f aca="false">IF($A24="","",SUMIFS('Trade Log'!$K$4:$K$503,'Trade Log'!$H$4:$H$503,$A24))</f>
        <v>0</v>
      </c>
      <c r="O24" s="42" t="str">
        <f aca="false">IF(OR($A24="",$H24="",Config!$B$4=0),"",$H24/Config!$B$4)</f>
        <v/>
      </c>
      <c r="P24" s="40" t="n">
        <f aca="false">IF($A24="","",SUM($H$5:$H24))</f>
        <v>23918.5521880349</v>
      </c>
      <c r="Q24" s="53" t="str">
        <f aca="false">IF($A24="","",IFERROR((AVERAGE($O$5:$O24)-Config!$B$7/Config!$B$6)/STDEV($O$5:$O24)*SQRT(Config!$B$6),""))</f>
        <v/>
      </c>
      <c r="R24" s="53" t="str">
        <f aca="false">IF($A24="","",IFERROR((AVERAGE($O$4:$O24)-Config!$B$7/Config!$B$6)/STDEV($O$4:$O24)*SQRT(Config!$B$6),""))</f>
        <v/>
      </c>
      <c r="S24" s="47" t="n">
        <f aca="false">IF($H24="",$S23,IF($H24&gt;0,$S23+1,0))</f>
        <v>1</v>
      </c>
      <c r="T24" s="47" t="n">
        <f aca="false">IF($H24="",$T23,IF($H24&lt;0,$T23+1,0))</f>
        <v>0</v>
      </c>
    </row>
    <row r="25" customFormat="false" ht="15" hidden="false" customHeight="false" outlineLevel="0" collapsed="false">
      <c r="A25" s="54" t="n">
        <f aca="false">IF($A24="","",$A24+1)</f>
        <v>46256</v>
      </c>
      <c r="B25" s="5" t="str">
        <f aca="false">IF($A25="","",TEXT($A25,"ddd"))</f>
        <v>Sat</v>
      </c>
      <c r="C25" s="41" t="n">
        <f aca="false">IF($A25="","",COUNTIFS('Trade Log'!$L$4:$L$503,$A25))</f>
        <v>0</v>
      </c>
      <c r="D25" s="40" t="n">
        <f aca="false">IF($A25="","",SUMIFS('Trade Log'!$Q$4:$Q$503,'Trade Log'!$L$4:$L$503,$A25,'Trade Log'!$E$4:$E$503,"LONG"))</f>
        <v>0</v>
      </c>
      <c r="E25" s="40" t="n">
        <f aca="false">IF($A25="","",SUMIFS('Trade Log'!$Q$4:$Q$503,'Trade Log'!$L$4:$L$503,$A25,'Trade Log'!$E$4:$E$503,"SHORT"))</f>
        <v>0</v>
      </c>
      <c r="F25" s="40" t="n">
        <f aca="false">IF($A25="","",$D25+$E25)</f>
        <v>0</v>
      </c>
      <c r="G25" s="40" t="n">
        <f aca="false">IF($A25="","",SUMIFS('Trade Log'!$Y$4:$Y$503,'Trade Log'!$L$4:$L$503,$A25))</f>
        <v>0</v>
      </c>
      <c r="H25" s="40" t="str">
        <f aca="false">IF($A25="","",IF($C25=0,"",$F25-$G25))</f>
        <v/>
      </c>
      <c r="I25" s="40" t="n">
        <f aca="false">IF($A25="","",$I24+IF($H25="",0,$H25))</f>
        <v>23918.5521880349</v>
      </c>
      <c r="J25" s="40" t="n">
        <f aca="false">IF($A25="","",Config!$B$4+$I25)</f>
        <v>1023918.55218803</v>
      </c>
      <c r="K25" s="40" t="n">
        <f aca="false">IF($A25="","",MAX($J$4:$J25))</f>
        <v>1023918.55218803</v>
      </c>
      <c r="L25" s="40" t="n">
        <f aca="false">IF($A25="","",$J25-$K25)</f>
        <v>0</v>
      </c>
      <c r="M25" s="42" t="n">
        <f aca="false">IF(OR($A25="",$K25=0),"",$L25/$K25)</f>
        <v>0</v>
      </c>
      <c r="N25" s="40" t="n">
        <f aca="false">IF($A25="","",SUMIFS('Trade Log'!$K$4:$K$503,'Trade Log'!$H$4:$H$503,$A25))</f>
        <v>0</v>
      </c>
      <c r="O25" s="42" t="str">
        <f aca="false">IF(OR($A25="",$H25="",Config!$B$4=0),"",$H25/Config!$B$4)</f>
        <v/>
      </c>
      <c r="P25" s="40" t="n">
        <f aca="false">IF($A25="","",SUM($H$6:$H25))</f>
        <v>23918.5521880349</v>
      </c>
      <c r="Q25" s="53" t="str">
        <f aca="false">IF($A25="","",IFERROR((AVERAGE($O$6:$O25)-Config!$B$7/Config!$B$6)/STDEV($O$6:$O25)*SQRT(Config!$B$6),""))</f>
        <v/>
      </c>
      <c r="R25" s="53" t="str">
        <f aca="false">IF($A25="","",IFERROR((AVERAGE($O$4:$O25)-Config!$B$7/Config!$B$6)/STDEV($O$4:$O25)*SQRT(Config!$B$6),""))</f>
        <v/>
      </c>
      <c r="S25" s="47" t="n">
        <f aca="false">IF($H25="",$S24,IF($H25&gt;0,$S24+1,0))</f>
        <v>1</v>
      </c>
      <c r="T25" s="47" t="n">
        <f aca="false">IF($H25="",$T24,IF($H25&lt;0,$T24+1,0))</f>
        <v>0</v>
      </c>
    </row>
    <row r="26" customFormat="false" ht="15" hidden="false" customHeight="false" outlineLevel="0" collapsed="false">
      <c r="A26" s="54" t="n">
        <f aca="false">IF($A25="","",$A25+1)</f>
        <v>46257</v>
      </c>
      <c r="B26" s="5" t="str">
        <f aca="false">IF($A26="","",TEXT($A26,"ddd"))</f>
        <v>Sun</v>
      </c>
      <c r="C26" s="41" t="n">
        <f aca="false">IF($A26="","",COUNTIFS('Trade Log'!$L$4:$L$503,$A26))</f>
        <v>0</v>
      </c>
      <c r="D26" s="40" t="n">
        <f aca="false">IF($A26="","",SUMIFS('Trade Log'!$Q$4:$Q$503,'Trade Log'!$L$4:$L$503,$A26,'Trade Log'!$E$4:$E$503,"LONG"))</f>
        <v>0</v>
      </c>
      <c r="E26" s="40" t="n">
        <f aca="false">IF($A26="","",SUMIFS('Trade Log'!$Q$4:$Q$503,'Trade Log'!$L$4:$L$503,$A26,'Trade Log'!$E$4:$E$503,"SHORT"))</f>
        <v>0</v>
      </c>
      <c r="F26" s="40" t="n">
        <f aca="false">IF($A26="","",$D26+$E26)</f>
        <v>0</v>
      </c>
      <c r="G26" s="40" t="n">
        <f aca="false">IF($A26="","",SUMIFS('Trade Log'!$Y$4:$Y$503,'Trade Log'!$L$4:$L$503,$A26))</f>
        <v>0</v>
      </c>
      <c r="H26" s="40" t="str">
        <f aca="false">IF($A26="","",IF($C26=0,"",$F26-$G26))</f>
        <v/>
      </c>
      <c r="I26" s="40" t="n">
        <f aca="false">IF($A26="","",$I25+IF($H26="",0,$H26))</f>
        <v>23918.5521880349</v>
      </c>
      <c r="J26" s="40" t="n">
        <f aca="false">IF($A26="","",Config!$B$4+$I26)</f>
        <v>1023918.55218803</v>
      </c>
      <c r="K26" s="40" t="n">
        <f aca="false">IF($A26="","",MAX($J$4:$J26))</f>
        <v>1023918.55218803</v>
      </c>
      <c r="L26" s="40" t="n">
        <f aca="false">IF($A26="","",$J26-$K26)</f>
        <v>0</v>
      </c>
      <c r="M26" s="42" t="n">
        <f aca="false">IF(OR($A26="",$K26=0),"",$L26/$K26)</f>
        <v>0</v>
      </c>
      <c r="N26" s="40" t="n">
        <f aca="false">IF($A26="","",SUMIFS('Trade Log'!$K$4:$K$503,'Trade Log'!$H$4:$H$503,$A26))</f>
        <v>0</v>
      </c>
      <c r="O26" s="42" t="str">
        <f aca="false">IF(OR($A26="",$H26="",Config!$B$4=0),"",$H26/Config!$B$4)</f>
        <v/>
      </c>
      <c r="P26" s="40" t="n">
        <f aca="false">IF($A26="","",SUM($H$7:$H26))</f>
        <v>23918.5521880349</v>
      </c>
      <c r="Q26" s="53" t="str">
        <f aca="false">IF($A26="","",IFERROR((AVERAGE($O$7:$O26)-Config!$B$7/Config!$B$6)/STDEV($O$7:$O26)*SQRT(Config!$B$6),""))</f>
        <v/>
      </c>
      <c r="R26" s="53" t="str">
        <f aca="false">IF($A26="","",IFERROR((AVERAGE($O$4:$O26)-Config!$B$7/Config!$B$6)/STDEV($O$4:$O26)*SQRT(Config!$B$6),""))</f>
        <v/>
      </c>
      <c r="S26" s="47" t="n">
        <f aca="false">IF($H26="",$S25,IF($H26&gt;0,$S25+1,0))</f>
        <v>1</v>
      </c>
      <c r="T26" s="47" t="n">
        <f aca="false">IF($H26="",$T25,IF($H26&lt;0,$T25+1,0))</f>
        <v>0</v>
      </c>
    </row>
    <row r="27" customFormat="false" ht="15" hidden="false" customHeight="false" outlineLevel="0" collapsed="false">
      <c r="A27" s="54" t="n">
        <f aca="false">IF($A26="","",$A26+1)</f>
        <v>46258</v>
      </c>
      <c r="B27" s="5" t="str">
        <f aca="false">IF($A27="","",TEXT($A27,"ddd"))</f>
        <v>Mon</v>
      </c>
      <c r="C27" s="41" t="n">
        <f aca="false">IF($A27="","",COUNTIFS('Trade Log'!$L$4:$L$503,$A27))</f>
        <v>0</v>
      </c>
      <c r="D27" s="40" t="n">
        <f aca="false">IF($A27="","",SUMIFS('Trade Log'!$Q$4:$Q$503,'Trade Log'!$L$4:$L$503,$A27,'Trade Log'!$E$4:$E$503,"LONG"))</f>
        <v>0</v>
      </c>
      <c r="E27" s="40" t="n">
        <f aca="false">IF($A27="","",SUMIFS('Trade Log'!$Q$4:$Q$503,'Trade Log'!$L$4:$L$503,$A27,'Trade Log'!$E$4:$E$503,"SHORT"))</f>
        <v>0</v>
      </c>
      <c r="F27" s="40" t="n">
        <f aca="false">IF($A27="","",$D27+$E27)</f>
        <v>0</v>
      </c>
      <c r="G27" s="40" t="n">
        <f aca="false">IF($A27="","",SUMIFS('Trade Log'!$Y$4:$Y$503,'Trade Log'!$L$4:$L$503,$A27))</f>
        <v>0</v>
      </c>
      <c r="H27" s="40" t="str">
        <f aca="false">IF($A27="","",IF($C27=0,"",$F27-$G27))</f>
        <v/>
      </c>
      <c r="I27" s="40" t="n">
        <f aca="false">IF($A27="","",$I26+IF($H27="",0,$H27))</f>
        <v>23918.5521880349</v>
      </c>
      <c r="J27" s="40" t="n">
        <f aca="false">IF($A27="","",Config!$B$4+$I27)</f>
        <v>1023918.55218803</v>
      </c>
      <c r="K27" s="40" t="n">
        <f aca="false">IF($A27="","",MAX($J$4:$J27))</f>
        <v>1023918.55218803</v>
      </c>
      <c r="L27" s="40" t="n">
        <f aca="false">IF($A27="","",$J27-$K27)</f>
        <v>0</v>
      </c>
      <c r="M27" s="42" t="n">
        <f aca="false">IF(OR($A27="",$K27=0),"",$L27/$K27)</f>
        <v>0</v>
      </c>
      <c r="N27" s="40" t="n">
        <f aca="false">IF($A27="","",SUMIFS('Trade Log'!$K$4:$K$503,'Trade Log'!$H$4:$H$503,$A27))</f>
        <v>0</v>
      </c>
      <c r="O27" s="42" t="str">
        <f aca="false">IF(OR($A27="",$H27="",Config!$B$4=0),"",$H27/Config!$B$4)</f>
        <v/>
      </c>
      <c r="P27" s="40" t="n">
        <f aca="false">IF($A27="","",SUM($H$8:$H27))</f>
        <v>23918.5521880349</v>
      </c>
      <c r="Q27" s="53" t="str">
        <f aca="false">IF($A27="","",IFERROR((AVERAGE($O$8:$O27)-Config!$B$7/Config!$B$6)/STDEV($O$8:$O27)*SQRT(Config!$B$6),""))</f>
        <v/>
      </c>
      <c r="R27" s="53" t="str">
        <f aca="false">IF($A27="","",IFERROR((AVERAGE($O$4:$O27)-Config!$B$7/Config!$B$6)/STDEV($O$4:$O27)*SQRT(Config!$B$6),""))</f>
        <v/>
      </c>
      <c r="S27" s="47" t="n">
        <f aca="false">IF($H27="",$S26,IF($H27&gt;0,$S26+1,0))</f>
        <v>1</v>
      </c>
      <c r="T27" s="47" t="n">
        <f aca="false">IF($H27="",$T26,IF($H27&lt;0,$T26+1,0))</f>
        <v>0</v>
      </c>
    </row>
    <row r="28" customFormat="false" ht="15" hidden="false" customHeight="false" outlineLevel="0" collapsed="false">
      <c r="A28" s="54" t="n">
        <f aca="false">IF($A27="","",$A27+1)</f>
        <v>46259</v>
      </c>
      <c r="B28" s="5" t="str">
        <f aca="false">IF($A28="","",TEXT($A28,"ddd"))</f>
        <v>Tue</v>
      </c>
      <c r="C28" s="41" t="n">
        <f aca="false">IF($A28="","",COUNTIFS('Trade Log'!$L$4:$L$503,$A28))</f>
        <v>0</v>
      </c>
      <c r="D28" s="40" t="n">
        <f aca="false">IF($A28="","",SUMIFS('Trade Log'!$Q$4:$Q$503,'Trade Log'!$L$4:$L$503,$A28,'Trade Log'!$E$4:$E$503,"LONG"))</f>
        <v>0</v>
      </c>
      <c r="E28" s="40" t="n">
        <f aca="false">IF($A28="","",SUMIFS('Trade Log'!$Q$4:$Q$503,'Trade Log'!$L$4:$L$503,$A28,'Trade Log'!$E$4:$E$503,"SHORT"))</f>
        <v>0</v>
      </c>
      <c r="F28" s="40" t="n">
        <f aca="false">IF($A28="","",$D28+$E28)</f>
        <v>0</v>
      </c>
      <c r="G28" s="40" t="n">
        <f aca="false">IF($A28="","",SUMIFS('Trade Log'!$Y$4:$Y$503,'Trade Log'!$L$4:$L$503,$A28))</f>
        <v>0</v>
      </c>
      <c r="H28" s="40" t="str">
        <f aca="false">IF($A28="","",IF($C28=0,"",$F28-$G28))</f>
        <v/>
      </c>
      <c r="I28" s="40" t="n">
        <f aca="false">IF($A28="","",$I27+IF($H28="",0,$H28))</f>
        <v>23918.5521880349</v>
      </c>
      <c r="J28" s="40" t="n">
        <f aca="false">IF($A28="","",Config!$B$4+$I28)</f>
        <v>1023918.55218803</v>
      </c>
      <c r="K28" s="40" t="n">
        <f aca="false">IF($A28="","",MAX($J$4:$J28))</f>
        <v>1023918.55218803</v>
      </c>
      <c r="L28" s="40" t="n">
        <f aca="false">IF($A28="","",$J28-$K28)</f>
        <v>0</v>
      </c>
      <c r="M28" s="42" t="n">
        <f aca="false">IF(OR($A28="",$K28=0),"",$L28/$K28)</f>
        <v>0</v>
      </c>
      <c r="N28" s="40" t="n">
        <f aca="false">IF($A28="","",SUMIFS('Trade Log'!$K$4:$K$503,'Trade Log'!$H$4:$H$503,$A28))</f>
        <v>0</v>
      </c>
      <c r="O28" s="42" t="str">
        <f aca="false">IF(OR($A28="",$H28="",Config!$B$4=0),"",$H28/Config!$B$4)</f>
        <v/>
      </c>
      <c r="P28" s="40" t="n">
        <f aca="false">IF($A28="","",SUM($H$9:$H28))</f>
        <v>23918.5521880349</v>
      </c>
      <c r="Q28" s="53" t="str">
        <f aca="false">IF($A28="","",IFERROR((AVERAGE($O$9:$O28)-Config!$B$7/Config!$B$6)/STDEV($O$9:$O28)*SQRT(Config!$B$6),""))</f>
        <v/>
      </c>
      <c r="R28" s="53" t="str">
        <f aca="false">IF($A28="","",IFERROR((AVERAGE($O$4:$O28)-Config!$B$7/Config!$B$6)/STDEV($O$4:$O28)*SQRT(Config!$B$6),""))</f>
        <v/>
      </c>
      <c r="S28" s="47" t="n">
        <f aca="false">IF($H28="",$S27,IF($H28&gt;0,$S27+1,0))</f>
        <v>1</v>
      </c>
      <c r="T28" s="47" t="n">
        <f aca="false">IF($H28="",$T27,IF($H28&lt;0,$T27+1,0))</f>
        <v>0</v>
      </c>
    </row>
    <row r="29" customFormat="false" ht="15" hidden="false" customHeight="false" outlineLevel="0" collapsed="false">
      <c r="A29" s="54" t="n">
        <f aca="false">IF($A28="","",$A28+1)</f>
        <v>46260</v>
      </c>
      <c r="B29" s="5" t="str">
        <f aca="false">IF($A29="","",TEXT($A29,"ddd"))</f>
        <v>Wed</v>
      </c>
      <c r="C29" s="41" t="n">
        <f aca="false">IF($A29="","",COUNTIFS('Trade Log'!$L$4:$L$503,$A29))</f>
        <v>0</v>
      </c>
      <c r="D29" s="40" t="n">
        <f aca="false">IF($A29="","",SUMIFS('Trade Log'!$Q$4:$Q$503,'Trade Log'!$L$4:$L$503,$A29,'Trade Log'!$E$4:$E$503,"LONG"))</f>
        <v>0</v>
      </c>
      <c r="E29" s="40" t="n">
        <f aca="false">IF($A29="","",SUMIFS('Trade Log'!$Q$4:$Q$503,'Trade Log'!$L$4:$L$503,$A29,'Trade Log'!$E$4:$E$503,"SHORT"))</f>
        <v>0</v>
      </c>
      <c r="F29" s="40" t="n">
        <f aca="false">IF($A29="","",$D29+$E29)</f>
        <v>0</v>
      </c>
      <c r="G29" s="40" t="n">
        <f aca="false">IF($A29="","",SUMIFS('Trade Log'!$Y$4:$Y$503,'Trade Log'!$L$4:$L$503,$A29))</f>
        <v>0</v>
      </c>
      <c r="H29" s="40" t="str">
        <f aca="false">IF($A29="","",IF($C29=0,"",$F29-$G29))</f>
        <v/>
      </c>
      <c r="I29" s="40" t="n">
        <f aca="false">IF($A29="","",$I28+IF($H29="",0,$H29))</f>
        <v>23918.5521880349</v>
      </c>
      <c r="J29" s="40" t="n">
        <f aca="false">IF($A29="","",Config!$B$4+$I29)</f>
        <v>1023918.55218803</v>
      </c>
      <c r="K29" s="40" t="n">
        <f aca="false">IF($A29="","",MAX($J$4:$J29))</f>
        <v>1023918.55218803</v>
      </c>
      <c r="L29" s="40" t="n">
        <f aca="false">IF($A29="","",$J29-$K29)</f>
        <v>0</v>
      </c>
      <c r="M29" s="42" t="n">
        <f aca="false">IF(OR($A29="",$K29=0),"",$L29/$K29)</f>
        <v>0</v>
      </c>
      <c r="N29" s="40" t="n">
        <f aca="false">IF($A29="","",SUMIFS('Trade Log'!$K$4:$K$503,'Trade Log'!$H$4:$H$503,$A29))</f>
        <v>0</v>
      </c>
      <c r="O29" s="42" t="str">
        <f aca="false">IF(OR($A29="",$H29="",Config!$B$4=0),"",$H29/Config!$B$4)</f>
        <v/>
      </c>
      <c r="P29" s="40" t="n">
        <f aca="false">IF($A29="","",SUM($H$10:$H29))</f>
        <v>23918.5521880349</v>
      </c>
      <c r="Q29" s="53" t="str">
        <f aca="false">IF($A29="","",IFERROR((AVERAGE($O$10:$O29)-Config!$B$7/Config!$B$6)/STDEV($O$10:$O29)*SQRT(Config!$B$6),""))</f>
        <v/>
      </c>
      <c r="R29" s="53" t="str">
        <f aca="false">IF($A29="","",IFERROR((AVERAGE($O$4:$O29)-Config!$B$7/Config!$B$6)/STDEV($O$4:$O29)*SQRT(Config!$B$6),""))</f>
        <v/>
      </c>
      <c r="S29" s="47" t="n">
        <f aca="false">IF($H29="",$S28,IF($H29&gt;0,$S28+1,0))</f>
        <v>1</v>
      </c>
      <c r="T29" s="47" t="n">
        <f aca="false">IF($H29="",$T28,IF($H29&lt;0,$T28+1,0))</f>
        <v>0</v>
      </c>
    </row>
    <row r="30" customFormat="false" ht="15" hidden="false" customHeight="false" outlineLevel="0" collapsed="false">
      <c r="A30" s="54" t="n">
        <f aca="false">IF($A29="","",$A29+1)</f>
        <v>46261</v>
      </c>
      <c r="B30" s="5" t="str">
        <f aca="false">IF($A30="","",TEXT($A30,"ddd"))</f>
        <v>Thu</v>
      </c>
      <c r="C30" s="41" t="n">
        <f aca="false">IF($A30="","",COUNTIFS('Trade Log'!$L$4:$L$503,$A30))</f>
        <v>0</v>
      </c>
      <c r="D30" s="40" t="n">
        <f aca="false">IF($A30="","",SUMIFS('Trade Log'!$Q$4:$Q$503,'Trade Log'!$L$4:$L$503,$A30,'Trade Log'!$E$4:$E$503,"LONG"))</f>
        <v>0</v>
      </c>
      <c r="E30" s="40" t="n">
        <f aca="false">IF($A30="","",SUMIFS('Trade Log'!$Q$4:$Q$503,'Trade Log'!$L$4:$L$503,$A30,'Trade Log'!$E$4:$E$503,"SHORT"))</f>
        <v>0</v>
      </c>
      <c r="F30" s="40" t="n">
        <f aca="false">IF($A30="","",$D30+$E30)</f>
        <v>0</v>
      </c>
      <c r="G30" s="40" t="n">
        <f aca="false">IF($A30="","",SUMIFS('Trade Log'!$Y$4:$Y$503,'Trade Log'!$L$4:$L$503,$A30))</f>
        <v>0</v>
      </c>
      <c r="H30" s="40" t="str">
        <f aca="false">IF($A30="","",IF($C30=0,"",$F30-$G30))</f>
        <v/>
      </c>
      <c r="I30" s="40" t="n">
        <f aca="false">IF($A30="","",$I29+IF($H30="",0,$H30))</f>
        <v>23918.5521880349</v>
      </c>
      <c r="J30" s="40" t="n">
        <f aca="false">IF($A30="","",Config!$B$4+$I30)</f>
        <v>1023918.55218803</v>
      </c>
      <c r="K30" s="40" t="n">
        <f aca="false">IF($A30="","",MAX($J$4:$J30))</f>
        <v>1023918.55218803</v>
      </c>
      <c r="L30" s="40" t="n">
        <f aca="false">IF($A30="","",$J30-$K30)</f>
        <v>0</v>
      </c>
      <c r="M30" s="42" t="n">
        <f aca="false">IF(OR($A30="",$K30=0),"",$L30/$K30)</f>
        <v>0</v>
      </c>
      <c r="N30" s="40" t="n">
        <f aca="false">IF($A30="","",SUMIFS('Trade Log'!$K$4:$K$503,'Trade Log'!$H$4:$H$503,$A30))</f>
        <v>0</v>
      </c>
      <c r="O30" s="42" t="str">
        <f aca="false">IF(OR($A30="",$H30="",Config!$B$4=0),"",$H30/Config!$B$4)</f>
        <v/>
      </c>
      <c r="P30" s="40" t="n">
        <f aca="false">IF($A30="","",SUM($H$11:$H30))</f>
        <v>23918.5521880349</v>
      </c>
      <c r="Q30" s="53" t="str">
        <f aca="false">IF($A30="","",IFERROR((AVERAGE($O$11:$O30)-Config!$B$7/Config!$B$6)/STDEV($O$11:$O30)*SQRT(Config!$B$6),""))</f>
        <v/>
      </c>
      <c r="R30" s="53" t="str">
        <f aca="false">IF($A30="","",IFERROR((AVERAGE($O$4:$O30)-Config!$B$7/Config!$B$6)/STDEV($O$4:$O30)*SQRT(Config!$B$6),""))</f>
        <v/>
      </c>
      <c r="S30" s="47" t="n">
        <f aca="false">IF($H30="",$S29,IF($H30&gt;0,$S29+1,0))</f>
        <v>1</v>
      </c>
      <c r="T30" s="47" t="n">
        <f aca="false">IF($H30="",$T29,IF($H30&lt;0,$T29+1,0))</f>
        <v>0</v>
      </c>
    </row>
    <row r="31" customFormat="false" ht="15" hidden="false" customHeight="false" outlineLevel="0" collapsed="false">
      <c r="A31" s="54" t="n">
        <f aca="false">IF($A30="","",$A30+1)</f>
        <v>46262</v>
      </c>
      <c r="B31" s="5" t="str">
        <f aca="false">IF($A31="","",TEXT($A31,"ddd"))</f>
        <v>Fri</v>
      </c>
      <c r="C31" s="41" t="n">
        <f aca="false">IF($A31="","",COUNTIFS('Trade Log'!$L$4:$L$503,$A31))</f>
        <v>0</v>
      </c>
      <c r="D31" s="40" t="n">
        <f aca="false">IF($A31="","",SUMIFS('Trade Log'!$Q$4:$Q$503,'Trade Log'!$L$4:$L$503,$A31,'Trade Log'!$E$4:$E$503,"LONG"))</f>
        <v>0</v>
      </c>
      <c r="E31" s="40" t="n">
        <f aca="false">IF($A31="","",SUMIFS('Trade Log'!$Q$4:$Q$503,'Trade Log'!$L$4:$L$503,$A31,'Trade Log'!$E$4:$E$503,"SHORT"))</f>
        <v>0</v>
      </c>
      <c r="F31" s="40" t="n">
        <f aca="false">IF($A31="","",$D31+$E31)</f>
        <v>0</v>
      </c>
      <c r="G31" s="40" t="n">
        <f aca="false">IF($A31="","",SUMIFS('Trade Log'!$Y$4:$Y$503,'Trade Log'!$L$4:$L$503,$A31))</f>
        <v>0</v>
      </c>
      <c r="H31" s="40" t="str">
        <f aca="false">IF($A31="","",IF($C31=0,"",$F31-$G31))</f>
        <v/>
      </c>
      <c r="I31" s="40" t="n">
        <f aca="false">IF($A31="","",$I30+IF($H31="",0,$H31))</f>
        <v>23918.5521880349</v>
      </c>
      <c r="J31" s="40" t="n">
        <f aca="false">IF($A31="","",Config!$B$4+$I31)</f>
        <v>1023918.55218803</v>
      </c>
      <c r="K31" s="40" t="n">
        <f aca="false">IF($A31="","",MAX($J$4:$J31))</f>
        <v>1023918.55218803</v>
      </c>
      <c r="L31" s="40" t="n">
        <f aca="false">IF($A31="","",$J31-$K31)</f>
        <v>0</v>
      </c>
      <c r="M31" s="42" t="n">
        <f aca="false">IF(OR($A31="",$K31=0),"",$L31/$K31)</f>
        <v>0</v>
      </c>
      <c r="N31" s="40" t="n">
        <f aca="false">IF($A31="","",SUMIFS('Trade Log'!$K$4:$K$503,'Trade Log'!$H$4:$H$503,$A31))</f>
        <v>0</v>
      </c>
      <c r="O31" s="42" t="str">
        <f aca="false">IF(OR($A31="",$H31="",Config!$B$4=0),"",$H31/Config!$B$4)</f>
        <v/>
      </c>
      <c r="P31" s="40" t="n">
        <f aca="false">IF($A31="","",SUM($H$12:$H31))</f>
        <v>23918.5521880349</v>
      </c>
      <c r="Q31" s="53" t="str">
        <f aca="false">IF($A31="","",IFERROR((AVERAGE($O$12:$O31)-Config!$B$7/Config!$B$6)/STDEV($O$12:$O31)*SQRT(Config!$B$6),""))</f>
        <v/>
      </c>
      <c r="R31" s="53" t="str">
        <f aca="false">IF($A31="","",IFERROR((AVERAGE($O$4:$O31)-Config!$B$7/Config!$B$6)/STDEV($O$4:$O31)*SQRT(Config!$B$6),""))</f>
        <v/>
      </c>
      <c r="S31" s="47" t="n">
        <f aca="false">IF($H31="",$S30,IF($H31&gt;0,$S30+1,0))</f>
        <v>1</v>
      </c>
      <c r="T31" s="47" t="n">
        <f aca="false">IF($H31="",$T30,IF($H31&lt;0,$T30+1,0))</f>
        <v>0</v>
      </c>
    </row>
    <row r="32" customFormat="false" ht="15" hidden="false" customHeight="false" outlineLevel="0" collapsed="false">
      <c r="A32" s="54" t="n">
        <f aca="false">IF($A31="","",$A31+1)</f>
        <v>46263</v>
      </c>
      <c r="B32" s="5" t="str">
        <f aca="false">IF($A32="","",TEXT($A32,"ddd"))</f>
        <v>Sat</v>
      </c>
      <c r="C32" s="41" t="n">
        <f aca="false">IF($A32="","",COUNTIFS('Trade Log'!$L$4:$L$503,$A32))</f>
        <v>0</v>
      </c>
      <c r="D32" s="40" t="n">
        <f aca="false">IF($A32="","",SUMIFS('Trade Log'!$Q$4:$Q$503,'Trade Log'!$L$4:$L$503,$A32,'Trade Log'!$E$4:$E$503,"LONG"))</f>
        <v>0</v>
      </c>
      <c r="E32" s="40" t="n">
        <f aca="false">IF($A32="","",SUMIFS('Trade Log'!$Q$4:$Q$503,'Trade Log'!$L$4:$L$503,$A32,'Trade Log'!$E$4:$E$503,"SHORT"))</f>
        <v>0</v>
      </c>
      <c r="F32" s="40" t="n">
        <f aca="false">IF($A32="","",$D32+$E32)</f>
        <v>0</v>
      </c>
      <c r="G32" s="40" t="n">
        <f aca="false">IF($A32="","",SUMIFS('Trade Log'!$Y$4:$Y$503,'Trade Log'!$L$4:$L$503,$A32))</f>
        <v>0</v>
      </c>
      <c r="H32" s="40" t="str">
        <f aca="false">IF($A32="","",IF($C32=0,"",$F32-$G32))</f>
        <v/>
      </c>
      <c r="I32" s="40" t="n">
        <f aca="false">IF($A32="","",$I31+IF($H32="",0,$H32))</f>
        <v>23918.5521880349</v>
      </c>
      <c r="J32" s="40" t="n">
        <f aca="false">IF($A32="","",Config!$B$4+$I32)</f>
        <v>1023918.55218803</v>
      </c>
      <c r="K32" s="40" t="n">
        <f aca="false">IF($A32="","",MAX($J$4:$J32))</f>
        <v>1023918.55218803</v>
      </c>
      <c r="L32" s="40" t="n">
        <f aca="false">IF($A32="","",$J32-$K32)</f>
        <v>0</v>
      </c>
      <c r="M32" s="42" t="n">
        <f aca="false">IF(OR($A32="",$K32=0),"",$L32/$K32)</f>
        <v>0</v>
      </c>
      <c r="N32" s="40" t="n">
        <f aca="false">IF($A32="","",SUMIFS('Trade Log'!$K$4:$K$503,'Trade Log'!$H$4:$H$503,$A32))</f>
        <v>0</v>
      </c>
      <c r="O32" s="42" t="str">
        <f aca="false">IF(OR($A32="",$H32="",Config!$B$4=0),"",$H32/Config!$B$4)</f>
        <v/>
      </c>
      <c r="P32" s="40" t="n">
        <f aca="false">IF($A32="","",SUM($H$13:$H32))</f>
        <v>23918.5521880349</v>
      </c>
      <c r="Q32" s="53" t="str">
        <f aca="false">IF($A32="","",IFERROR((AVERAGE($O$13:$O32)-Config!$B$7/Config!$B$6)/STDEV($O$13:$O32)*SQRT(Config!$B$6),""))</f>
        <v/>
      </c>
      <c r="R32" s="53" t="str">
        <f aca="false">IF($A32="","",IFERROR((AVERAGE($O$4:$O32)-Config!$B$7/Config!$B$6)/STDEV($O$4:$O32)*SQRT(Config!$B$6),""))</f>
        <v/>
      </c>
      <c r="S32" s="47" t="n">
        <f aca="false">IF($H32="",$S31,IF($H32&gt;0,$S31+1,0))</f>
        <v>1</v>
      </c>
      <c r="T32" s="47" t="n">
        <f aca="false">IF($H32="",$T31,IF($H32&lt;0,$T31+1,0))</f>
        <v>0</v>
      </c>
    </row>
    <row r="33" customFormat="false" ht="15" hidden="false" customHeight="false" outlineLevel="0" collapsed="false">
      <c r="A33" s="54" t="n">
        <f aca="false">IF($A32="","",$A32+1)</f>
        <v>46264</v>
      </c>
      <c r="B33" s="5" t="str">
        <f aca="false">IF($A33="","",TEXT($A33,"ddd"))</f>
        <v>Sun</v>
      </c>
      <c r="C33" s="41" t="n">
        <f aca="false">IF($A33="","",COUNTIFS('Trade Log'!$L$4:$L$503,$A33))</f>
        <v>0</v>
      </c>
      <c r="D33" s="40" t="n">
        <f aca="false">IF($A33="","",SUMIFS('Trade Log'!$Q$4:$Q$503,'Trade Log'!$L$4:$L$503,$A33,'Trade Log'!$E$4:$E$503,"LONG"))</f>
        <v>0</v>
      </c>
      <c r="E33" s="40" t="n">
        <f aca="false">IF($A33="","",SUMIFS('Trade Log'!$Q$4:$Q$503,'Trade Log'!$L$4:$L$503,$A33,'Trade Log'!$E$4:$E$503,"SHORT"))</f>
        <v>0</v>
      </c>
      <c r="F33" s="40" t="n">
        <f aca="false">IF($A33="","",$D33+$E33)</f>
        <v>0</v>
      </c>
      <c r="G33" s="40" t="n">
        <f aca="false">IF($A33="","",SUMIFS('Trade Log'!$Y$4:$Y$503,'Trade Log'!$L$4:$L$503,$A33))</f>
        <v>0</v>
      </c>
      <c r="H33" s="40" t="str">
        <f aca="false">IF($A33="","",IF($C33=0,"",$F33-$G33))</f>
        <v/>
      </c>
      <c r="I33" s="40" t="n">
        <f aca="false">IF($A33="","",$I32+IF($H33="",0,$H33))</f>
        <v>23918.5521880349</v>
      </c>
      <c r="J33" s="40" t="n">
        <f aca="false">IF($A33="","",Config!$B$4+$I33)</f>
        <v>1023918.55218803</v>
      </c>
      <c r="K33" s="40" t="n">
        <f aca="false">IF($A33="","",MAX($J$4:$J33))</f>
        <v>1023918.55218803</v>
      </c>
      <c r="L33" s="40" t="n">
        <f aca="false">IF($A33="","",$J33-$K33)</f>
        <v>0</v>
      </c>
      <c r="M33" s="42" t="n">
        <f aca="false">IF(OR($A33="",$K33=0),"",$L33/$K33)</f>
        <v>0</v>
      </c>
      <c r="N33" s="40" t="n">
        <f aca="false">IF($A33="","",SUMIFS('Trade Log'!$K$4:$K$503,'Trade Log'!$H$4:$H$503,$A33))</f>
        <v>0</v>
      </c>
      <c r="O33" s="42" t="str">
        <f aca="false">IF(OR($A33="",$H33="",Config!$B$4=0),"",$H33/Config!$B$4)</f>
        <v/>
      </c>
      <c r="P33" s="40" t="n">
        <f aca="false">IF($A33="","",SUM($H$14:$H33))</f>
        <v>23918.5521880349</v>
      </c>
      <c r="Q33" s="53" t="str">
        <f aca="false">IF($A33="","",IFERROR((AVERAGE($O$14:$O33)-Config!$B$7/Config!$B$6)/STDEV($O$14:$O33)*SQRT(Config!$B$6),""))</f>
        <v/>
      </c>
      <c r="R33" s="53" t="str">
        <f aca="false">IF($A33="","",IFERROR((AVERAGE($O$4:$O33)-Config!$B$7/Config!$B$6)/STDEV($O$4:$O33)*SQRT(Config!$B$6),""))</f>
        <v/>
      </c>
      <c r="S33" s="47" t="n">
        <f aca="false">IF($H33="",$S32,IF($H33&gt;0,$S32+1,0))</f>
        <v>1</v>
      </c>
      <c r="T33" s="47" t="n">
        <f aca="false">IF($H33="",$T32,IF($H33&lt;0,$T32+1,0))</f>
        <v>0</v>
      </c>
    </row>
    <row r="34" customFormat="false" ht="15" hidden="false" customHeight="false" outlineLevel="0" collapsed="false">
      <c r="A34" s="54" t="n">
        <f aca="false">IF($A33="","",$A33+1)</f>
        <v>46265</v>
      </c>
      <c r="B34" s="5" t="str">
        <f aca="false">IF($A34="","",TEXT($A34,"ddd"))</f>
        <v>Mon</v>
      </c>
      <c r="C34" s="41" t="n">
        <f aca="false">IF($A34="","",COUNTIFS('Trade Log'!$L$4:$L$503,$A34))</f>
        <v>0</v>
      </c>
      <c r="D34" s="40" t="n">
        <f aca="false">IF($A34="","",SUMIFS('Trade Log'!$Q$4:$Q$503,'Trade Log'!$L$4:$L$503,$A34,'Trade Log'!$E$4:$E$503,"LONG"))</f>
        <v>0</v>
      </c>
      <c r="E34" s="40" t="n">
        <f aca="false">IF($A34="","",SUMIFS('Trade Log'!$Q$4:$Q$503,'Trade Log'!$L$4:$L$503,$A34,'Trade Log'!$E$4:$E$503,"SHORT"))</f>
        <v>0</v>
      </c>
      <c r="F34" s="40" t="n">
        <f aca="false">IF($A34="","",$D34+$E34)</f>
        <v>0</v>
      </c>
      <c r="G34" s="40" t="n">
        <f aca="false">IF($A34="","",SUMIFS('Trade Log'!$Y$4:$Y$503,'Trade Log'!$L$4:$L$503,$A34))</f>
        <v>0</v>
      </c>
      <c r="H34" s="40" t="str">
        <f aca="false">IF($A34="","",IF($C34=0,"",$F34-$G34))</f>
        <v/>
      </c>
      <c r="I34" s="40" t="n">
        <f aca="false">IF($A34="","",$I33+IF($H34="",0,$H34))</f>
        <v>23918.5521880349</v>
      </c>
      <c r="J34" s="40" t="n">
        <f aca="false">IF($A34="","",Config!$B$4+$I34)</f>
        <v>1023918.55218803</v>
      </c>
      <c r="K34" s="40" t="n">
        <f aca="false">IF($A34="","",MAX($J$4:$J34))</f>
        <v>1023918.55218803</v>
      </c>
      <c r="L34" s="40" t="n">
        <f aca="false">IF($A34="","",$J34-$K34)</f>
        <v>0</v>
      </c>
      <c r="M34" s="42" t="n">
        <f aca="false">IF(OR($A34="",$K34=0),"",$L34/$K34)</f>
        <v>0</v>
      </c>
      <c r="N34" s="40" t="n">
        <f aca="false">IF($A34="","",SUMIFS('Trade Log'!$K$4:$K$503,'Trade Log'!$H$4:$H$503,$A34))</f>
        <v>0</v>
      </c>
      <c r="O34" s="42" t="str">
        <f aca="false">IF(OR($A34="",$H34="",Config!$B$4=0),"",$H34/Config!$B$4)</f>
        <v/>
      </c>
      <c r="P34" s="40" t="n">
        <f aca="false">IF($A34="","",SUM($H$15:$H34))</f>
        <v>23918.5521880349</v>
      </c>
      <c r="Q34" s="53" t="str">
        <f aca="false">IF($A34="","",IFERROR((AVERAGE($O$15:$O34)-Config!$B$7/Config!$B$6)/STDEV($O$15:$O34)*SQRT(Config!$B$6),""))</f>
        <v/>
      </c>
      <c r="R34" s="53" t="str">
        <f aca="false">IF($A34="","",IFERROR((AVERAGE($O$4:$O34)-Config!$B$7/Config!$B$6)/STDEV($O$4:$O34)*SQRT(Config!$B$6),""))</f>
        <v/>
      </c>
      <c r="S34" s="47" t="n">
        <f aca="false">IF($H34="",$S33,IF($H34&gt;0,$S33+1,0))</f>
        <v>1</v>
      </c>
      <c r="T34" s="47" t="n">
        <f aca="false">IF($H34="",$T33,IF($H34&lt;0,$T33+1,0))</f>
        <v>0</v>
      </c>
    </row>
    <row r="35" customFormat="false" ht="15" hidden="false" customHeight="false" outlineLevel="0" collapsed="false">
      <c r="A35" s="54" t="n">
        <f aca="false">IF($A34="","",$A34+1)</f>
        <v>46266</v>
      </c>
      <c r="B35" s="5" t="str">
        <f aca="false">IF($A35="","",TEXT($A35,"ddd"))</f>
        <v>Tue</v>
      </c>
      <c r="C35" s="41" t="n">
        <f aca="false">IF($A35="","",COUNTIFS('Trade Log'!$L$4:$L$503,$A35))</f>
        <v>0</v>
      </c>
      <c r="D35" s="40" t="n">
        <f aca="false">IF($A35="","",SUMIFS('Trade Log'!$Q$4:$Q$503,'Trade Log'!$L$4:$L$503,$A35,'Trade Log'!$E$4:$E$503,"LONG"))</f>
        <v>0</v>
      </c>
      <c r="E35" s="40" t="n">
        <f aca="false">IF($A35="","",SUMIFS('Trade Log'!$Q$4:$Q$503,'Trade Log'!$L$4:$L$503,$A35,'Trade Log'!$E$4:$E$503,"SHORT"))</f>
        <v>0</v>
      </c>
      <c r="F35" s="40" t="n">
        <f aca="false">IF($A35="","",$D35+$E35)</f>
        <v>0</v>
      </c>
      <c r="G35" s="40" t="n">
        <f aca="false">IF($A35="","",SUMIFS('Trade Log'!$Y$4:$Y$503,'Trade Log'!$L$4:$L$503,$A35))</f>
        <v>0</v>
      </c>
      <c r="H35" s="40" t="str">
        <f aca="false">IF($A35="","",IF($C35=0,"",$F35-$G35))</f>
        <v/>
      </c>
      <c r="I35" s="40" t="n">
        <f aca="false">IF($A35="","",$I34+IF($H35="",0,$H35))</f>
        <v>23918.5521880349</v>
      </c>
      <c r="J35" s="40" t="n">
        <f aca="false">IF($A35="","",Config!$B$4+$I35)</f>
        <v>1023918.55218803</v>
      </c>
      <c r="K35" s="40" t="n">
        <f aca="false">IF($A35="","",MAX($J$4:$J35))</f>
        <v>1023918.55218803</v>
      </c>
      <c r="L35" s="40" t="n">
        <f aca="false">IF($A35="","",$J35-$K35)</f>
        <v>0</v>
      </c>
      <c r="M35" s="42" t="n">
        <f aca="false">IF(OR($A35="",$K35=0),"",$L35/$K35)</f>
        <v>0</v>
      </c>
      <c r="N35" s="40" t="n">
        <f aca="false">IF($A35="","",SUMIFS('Trade Log'!$K$4:$K$503,'Trade Log'!$H$4:$H$503,$A35))</f>
        <v>0</v>
      </c>
      <c r="O35" s="42" t="str">
        <f aca="false">IF(OR($A35="",$H35="",Config!$B$4=0),"",$H35/Config!$B$4)</f>
        <v/>
      </c>
      <c r="P35" s="40" t="n">
        <f aca="false">IF($A35="","",SUM($H$16:$H35))</f>
        <v>23918.5521880349</v>
      </c>
      <c r="Q35" s="53" t="str">
        <f aca="false">IF($A35="","",IFERROR((AVERAGE($O$16:$O35)-Config!$B$7/Config!$B$6)/STDEV($O$16:$O35)*SQRT(Config!$B$6),""))</f>
        <v/>
      </c>
      <c r="R35" s="53" t="str">
        <f aca="false">IF($A35="","",IFERROR((AVERAGE($O$4:$O35)-Config!$B$7/Config!$B$6)/STDEV($O$4:$O35)*SQRT(Config!$B$6),""))</f>
        <v/>
      </c>
      <c r="S35" s="47" t="n">
        <f aca="false">IF($H35="",$S34,IF($H35&gt;0,$S34+1,0))</f>
        <v>1</v>
      </c>
      <c r="T35" s="47" t="n">
        <f aca="false">IF($H35="",$T34,IF($H35&lt;0,$T34+1,0))</f>
        <v>0</v>
      </c>
    </row>
    <row r="36" customFormat="false" ht="15" hidden="false" customHeight="false" outlineLevel="0" collapsed="false">
      <c r="A36" s="54" t="n">
        <f aca="false">IF($A35="","",$A35+1)</f>
        <v>46267</v>
      </c>
      <c r="B36" s="5" t="str">
        <f aca="false">IF($A36="","",TEXT($A36,"ddd"))</f>
        <v>Wed</v>
      </c>
      <c r="C36" s="41" t="n">
        <f aca="false">IF($A36="","",COUNTIFS('Trade Log'!$L$4:$L$503,$A36))</f>
        <v>0</v>
      </c>
      <c r="D36" s="40" t="n">
        <f aca="false">IF($A36="","",SUMIFS('Trade Log'!$Q$4:$Q$503,'Trade Log'!$L$4:$L$503,$A36,'Trade Log'!$E$4:$E$503,"LONG"))</f>
        <v>0</v>
      </c>
      <c r="E36" s="40" t="n">
        <f aca="false">IF($A36="","",SUMIFS('Trade Log'!$Q$4:$Q$503,'Trade Log'!$L$4:$L$503,$A36,'Trade Log'!$E$4:$E$503,"SHORT"))</f>
        <v>0</v>
      </c>
      <c r="F36" s="40" t="n">
        <f aca="false">IF($A36="","",$D36+$E36)</f>
        <v>0</v>
      </c>
      <c r="G36" s="40" t="n">
        <f aca="false">IF($A36="","",SUMIFS('Trade Log'!$Y$4:$Y$503,'Trade Log'!$L$4:$L$503,$A36))</f>
        <v>0</v>
      </c>
      <c r="H36" s="40" t="str">
        <f aca="false">IF($A36="","",IF($C36=0,"",$F36-$G36))</f>
        <v/>
      </c>
      <c r="I36" s="40" t="n">
        <f aca="false">IF($A36="","",$I35+IF($H36="",0,$H36))</f>
        <v>23918.5521880349</v>
      </c>
      <c r="J36" s="40" t="n">
        <f aca="false">IF($A36="","",Config!$B$4+$I36)</f>
        <v>1023918.55218803</v>
      </c>
      <c r="K36" s="40" t="n">
        <f aca="false">IF($A36="","",MAX($J$4:$J36))</f>
        <v>1023918.55218803</v>
      </c>
      <c r="L36" s="40" t="n">
        <f aca="false">IF($A36="","",$J36-$K36)</f>
        <v>0</v>
      </c>
      <c r="M36" s="42" t="n">
        <f aca="false">IF(OR($A36="",$K36=0),"",$L36/$K36)</f>
        <v>0</v>
      </c>
      <c r="N36" s="40" t="n">
        <f aca="false">IF($A36="","",SUMIFS('Trade Log'!$K$4:$K$503,'Trade Log'!$H$4:$H$503,$A36))</f>
        <v>0</v>
      </c>
      <c r="O36" s="42" t="str">
        <f aca="false">IF(OR($A36="",$H36="",Config!$B$4=0),"",$H36/Config!$B$4)</f>
        <v/>
      </c>
      <c r="P36" s="40" t="n">
        <f aca="false">IF($A36="","",SUM($H$17:$H36))</f>
        <v>23918.5521880349</v>
      </c>
      <c r="Q36" s="53" t="str">
        <f aca="false">IF($A36="","",IFERROR((AVERAGE($O$17:$O36)-Config!$B$7/Config!$B$6)/STDEV($O$17:$O36)*SQRT(Config!$B$6),""))</f>
        <v/>
      </c>
      <c r="R36" s="53" t="str">
        <f aca="false">IF($A36="","",IFERROR((AVERAGE($O$4:$O36)-Config!$B$7/Config!$B$6)/STDEV($O$4:$O36)*SQRT(Config!$B$6),""))</f>
        <v/>
      </c>
      <c r="S36" s="47" t="n">
        <f aca="false">IF($H36="",$S35,IF($H36&gt;0,$S35+1,0))</f>
        <v>1</v>
      </c>
      <c r="T36" s="47" t="n">
        <f aca="false">IF($H36="",$T35,IF($H36&lt;0,$T35+1,0))</f>
        <v>0</v>
      </c>
    </row>
    <row r="37" customFormat="false" ht="15" hidden="false" customHeight="false" outlineLevel="0" collapsed="false">
      <c r="A37" s="54" t="n">
        <f aca="false">IF($A36="","",$A36+1)</f>
        <v>46268</v>
      </c>
      <c r="B37" s="5" t="str">
        <f aca="false">IF($A37="","",TEXT($A37,"ddd"))</f>
        <v>Thu</v>
      </c>
      <c r="C37" s="41" t="n">
        <f aca="false">IF($A37="","",COUNTIFS('Trade Log'!$L$4:$L$503,$A37))</f>
        <v>0</v>
      </c>
      <c r="D37" s="40" t="n">
        <f aca="false">IF($A37="","",SUMIFS('Trade Log'!$Q$4:$Q$503,'Trade Log'!$L$4:$L$503,$A37,'Trade Log'!$E$4:$E$503,"LONG"))</f>
        <v>0</v>
      </c>
      <c r="E37" s="40" t="n">
        <f aca="false">IF($A37="","",SUMIFS('Trade Log'!$Q$4:$Q$503,'Trade Log'!$L$4:$L$503,$A37,'Trade Log'!$E$4:$E$503,"SHORT"))</f>
        <v>0</v>
      </c>
      <c r="F37" s="40" t="n">
        <f aca="false">IF($A37="","",$D37+$E37)</f>
        <v>0</v>
      </c>
      <c r="G37" s="40" t="n">
        <f aca="false">IF($A37="","",SUMIFS('Trade Log'!$Y$4:$Y$503,'Trade Log'!$L$4:$L$503,$A37))</f>
        <v>0</v>
      </c>
      <c r="H37" s="40" t="str">
        <f aca="false">IF($A37="","",IF($C37=0,"",$F37-$G37))</f>
        <v/>
      </c>
      <c r="I37" s="40" t="n">
        <f aca="false">IF($A37="","",$I36+IF($H37="",0,$H37))</f>
        <v>23918.5521880349</v>
      </c>
      <c r="J37" s="40" t="n">
        <f aca="false">IF($A37="","",Config!$B$4+$I37)</f>
        <v>1023918.55218803</v>
      </c>
      <c r="K37" s="40" t="n">
        <f aca="false">IF($A37="","",MAX($J$4:$J37))</f>
        <v>1023918.55218803</v>
      </c>
      <c r="L37" s="40" t="n">
        <f aca="false">IF($A37="","",$J37-$K37)</f>
        <v>0</v>
      </c>
      <c r="M37" s="42" t="n">
        <f aca="false">IF(OR($A37="",$K37=0),"",$L37/$K37)</f>
        <v>0</v>
      </c>
      <c r="N37" s="40" t="n">
        <f aca="false">IF($A37="","",SUMIFS('Trade Log'!$K$4:$K$503,'Trade Log'!$H$4:$H$503,$A37))</f>
        <v>0</v>
      </c>
      <c r="O37" s="42" t="str">
        <f aca="false">IF(OR($A37="",$H37="",Config!$B$4=0),"",$H37/Config!$B$4)</f>
        <v/>
      </c>
      <c r="P37" s="40" t="n">
        <f aca="false">IF($A37="","",SUM($H$18:$H37))</f>
        <v>23918.5521880349</v>
      </c>
      <c r="Q37" s="53" t="str">
        <f aca="false">IF($A37="","",IFERROR((AVERAGE($O$18:$O37)-Config!$B$7/Config!$B$6)/STDEV($O$18:$O37)*SQRT(Config!$B$6),""))</f>
        <v/>
      </c>
      <c r="R37" s="53" t="str">
        <f aca="false">IF($A37="","",IFERROR((AVERAGE($O$4:$O37)-Config!$B$7/Config!$B$6)/STDEV($O$4:$O37)*SQRT(Config!$B$6),""))</f>
        <v/>
      </c>
      <c r="S37" s="47" t="n">
        <f aca="false">IF($H37="",$S36,IF($H37&gt;0,$S36+1,0))</f>
        <v>1</v>
      </c>
      <c r="T37" s="47" t="n">
        <f aca="false">IF($H37="",$T36,IF($H37&lt;0,$T36+1,0))</f>
        <v>0</v>
      </c>
    </row>
    <row r="38" customFormat="false" ht="15" hidden="false" customHeight="false" outlineLevel="0" collapsed="false">
      <c r="A38" s="54" t="n">
        <f aca="false">IF($A37="","",$A37+1)</f>
        <v>46269</v>
      </c>
      <c r="B38" s="5" t="str">
        <f aca="false">IF($A38="","",TEXT($A38,"ddd"))</f>
        <v>Fri</v>
      </c>
      <c r="C38" s="41" t="n">
        <f aca="false">IF($A38="","",COUNTIFS('Trade Log'!$L$4:$L$503,$A38))</f>
        <v>0</v>
      </c>
      <c r="D38" s="40" t="n">
        <f aca="false">IF($A38="","",SUMIFS('Trade Log'!$Q$4:$Q$503,'Trade Log'!$L$4:$L$503,$A38,'Trade Log'!$E$4:$E$503,"LONG"))</f>
        <v>0</v>
      </c>
      <c r="E38" s="40" t="n">
        <f aca="false">IF($A38="","",SUMIFS('Trade Log'!$Q$4:$Q$503,'Trade Log'!$L$4:$L$503,$A38,'Trade Log'!$E$4:$E$503,"SHORT"))</f>
        <v>0</v>
      </c>
      <c r="F38" s="40" t="n">
        <f aca="false">IF($A38="","",$D38+$E38)</f>
        <v>0</v>
      </c>
      <c r="G38" s="40" t="n">
        <f aca="false">IF($A38="","",SUMIFS('Trade Log'!$Y$4:$Y$503,'Trade Log'!$L$4:$L$503,$A38))</f>
        <v>0</v>
      </c>
      <c r="H38" s="40" t="str">
        <f aca="false">IF($A38="","",IF($C38=0,"",$F38-$G38))</f>
        <v/>
      </c>
      <c r="I38" s="40" t="n">
        <f aca="false">IF($A38="","",$I37+IF($H38="",0,$H38))</f>
        <v>23918.5521880349</v>
      </c>
      <c r="J38" s="40" t="n">
        <f aca="false">IF($A38="","",Config!$B$4+$I38)</f>
        <v>1023918.55218803</v>
      </c>
      <c r="K38" s="40" t="n">
        <f aca="false">IF($A38="","",MAX($J$4:$J38))</f>
        <v>1023918.55218803</v>
      </c>
      <c r="L38" s="40" t="n">
        <f aca="false">IF($A38="","",$J38-$K38)</f>
        <v>0</v>
      </c>
      <c r="M38" s="42" t="n">
        <f aca="false">IF(OR($A38="",$K38=0),"",$L38/$K38)</f>
        <v>0</v>
      </c>
      <c r="N38" s="40" t="n">
        <f aca="false">IF($A38="","",SUMIFS('Trade Log'!$K$4:$K$503,'Trade Log'!$H$4:$H$503,$A38))</f>
        <v>0</v>
      </c>
      <c r="O38" s="42" t="str">
        <f aca="false">IF(OR($A38="",$H38="",Config!$B$4=0),"",$H38/Config!$B$4)</f>
        <v/>
      </c>
      <c r="P38" s="40" t="n">
        <f aca="false">IF($A38="","",SUM($H$19:$H38))</f>
        <v>23918.5521880349</v>
      </c>
      <c r="Q38" s="53" t="str">
        <f aca="false">IF($A38="","",IFERROR((AVERAGE($O$19:$O38)-Config!$B$7/Config!$B$6)/STDEV($O$19:$O38)*SQRT(Config!$B$6),""))</f>
        <v/>
      </c>
      <c r="R38" s="53" t="str">
        <f aca="false">IF($A38="","",IFERROR((AVERAGE($O$4:$O38)-Config!$B$7/Config!$B$6)/STDEV($O$4:$O38)*SQRT(Config!$B$6),""))</f>
        <v/>
      </c>
      <c r="S38" s="47" t="n">
        <f aca="false">IF($H38="",$S37,IF($H38&gt;0,$S37+1,0))</f>
        <v>1</v>
      </c>
      <c r="T38" s="47" t="n">
        <f aca="false">IF($H38="",$T37,IF($H38&lt;0,$T37+1,0))</f>
        <v>0</v>
      </c>
    </row>
    <row r="39" customFormat="false" ht="15" hidden="false" customHeight="false" outlineLevel="0" collapsed="false">
      <c r="A39" s="54" t="n">
        <f aca="false">IF($A38="","",$A38+1)</f>
        <v>46270</v>
      </c>
      <c r="B39" s="5" t="str">
        <f aca="false">IF($A39="","",TEXT($A39,"ddd"))</f>
        <v>Sat</v>
      </c>
      <c r="C39" s="41" t="n">
        <f aca="false">IF($A39="","",COUNTIFS('Trade Log'!$L$4:$L$503,$A39))</f>
        <v>0</v>
      </c>
      <c r="D39" s="40" t="n">
        <f aca="false">IF($A39="","",SUMIFS('Trade Log'!$Q$4:$Q$503,'Trade Log'!$L$4:$L$503,$A39,'Trade Log'!$E$4:$E$503,"LONG"))</f>
        <v>0</v>
      </c>
      <c r="E39" s="40" t="n">
        <f aca="false">IF($A39="","",SUMIFS('Trade Log'!$Q$4:$Q$503,'Trade Log'!$L$4:$L$503,$A39,'Trade Log'!$E$4:$E$503,"SHORT"))</f>
        <v>0</v>
      </c>
      <c r="F39" s="40" t="n">
        <f aca="false">IF($A39="","",$D39+$E39)</f>
        <v>0</v>
      </c>
      <c r="G39" s="40" t="n">
        <f aca="false">IF($A39="","",SUMIFS('Trade Log'!$Y$4:$Y$503,'Trade Log'!$L$4:$L$503,$A39))</f>
        <v>0</v>
      </c>
      <c r="H39" s="40" t="str">
        <f aca="false">IF($A39="","",IF($C39=0,"",$F39-$G39))</f>
        <v/>
      </c>
      <c r="I39" s="40" t="n">
        <f aca="false">IF($A39="","",$I38+IF($H39="",0,$H39))</f>
        <v>23918.5521880349</v>
      </c>
      <c r="J39" s="40" t="n">
        <f aca="false">IF($A39="","",Config!$B$4+$I39)</f>
        <v>1023918.55218803</v>
      </c>
      <c r="K39" s="40" t="n">
        <f aca="false">IF($A39="","",MAX($J$4:$J39))</f>
        <v>1023918.55218803</v>
      </c>
      <c r="L39" s="40" t="n">
        <f aca="false">IF($A39="","",$J39-$K39)</f>
        <v>0</v>
      </c>
      <c r="M39" s="42" t="n">
        <f aca="false">IF(OR($A39="",$K39=0),"",$L39/$K39)</f>
        <v>0</v>
      </c>
      <c r="N39" s="40" t="n">
        <f aca="false">IF($A39="","",SUMIFS('Trade Log'!$K$4:$K$503,'Trade Log'!$H$4:$H$503,$A39))</f>
        <v>0</v>
      </c>
      <c r="O39" s="42" t="str">
        <f aca="false">IF(OR($A39="",$H39="",Config!$B$4=0),"",$H39/Config!$B$4)</f>
        <v/>
      </c>
      <c r="P39" s="40" t="n">
        <f aca="false">IF($A39="","",SUM($H$20:$H39))</f>
        <v>23918.5521880349</v>
      </c>
      <c r="Q39" s="53" t="str">
        <f aca="false">IF($A39="","",IFERROR((AVERAGE($O$20:$O39)-Config!$B$7/Config!$B$6)/STDEV($O$20:$O39)*SQRT(Config!$B$6),""))</f>
        <v/>
      </c>
      <c r="R39" s="53" t="str">
        <f aca="false">IF($A39="","",IFERROR((AVERAGE($O$4:$O39)-Config!$B$7/Config!$B$6)/STDEV($O$4:$O39)*SQRT(Config!$B$6),""))</f>
        <v/>
      </c>
      <c r="S39" s="47" t="n">
        <f aca="false">IF($H39="",$S38,IF($H39&gt;0,$S38+1,0))</f>
        <v>1</v>
      </c>
      <c r="T39" s="47" t="n">
        <f aca="false">IF($H39="",$T38,IF($H39&lt;0,$T38+1,0))</f>
        <v>0</v>
      </c>
    </row>
    <row r="40" customFormat="false" ht="15" hidden="false" customHeight="false" outlineLevel="0" collapsed="false">
      <c r="A40" s="54" t="n">
        <f aca="false">IF($A39="","",$A39+1)</f>
        <v>46271</v>
      </c>
      <c r="B40" s="5" t="str">
        <f aca="false">IF($A40="","",TEXT($A40,"ddd"))</f>
        <v>Sun</v>
      </c>
      <c r="C40" s="41" t="n">
        <f aca="false">IF($A40="","",COUNTIFS('Trade Log'!$L$4:$L$503,$A40))</f>
        <v>0</v>
      </c>
      <c r="D40" s="40" t="n">
        <f aca="false">IF($A40="","",SUMIFS('Trade Log'!$Q$4:$Q$503,'Trade Log'!$L$4:$L$503,$A40,'Trade Log'!$E$4:$E$503,"LONG"))</f>
        <v>0</v>
      </c>
      <c r="E40" s="40" t="n">
        <f aca="false">IF($A40="","",SUMIFS('Trade Log'!$Q$4:$Q$503,'Trade Log'!$L$4:$L$503,$A40,'Trade Log'!$E$4:$E$503,"SHORT"))</f>
        <v>0</v>
      </c>
      <c r="F40" s="40" t="n">
        <f aca="false">IF($A40="","",$D40+$E40)</f>
        <v>0</v>
      </c>
      <c r="G40" s="40" t="n">
        <f aca="false">IF($A40="","",SUMIFS('Trade Log'!$Y$4:$Y$503,'Trade Log'!$L$4:$L$503,$A40))</f>
        <v>0</v>
      </c>
      <c r="H40" s="40" t="str">
        <f aca="false">IF($A40="","",IF($C40=0,"",$F40-$G40))</f>
        <v/>
      </c>
      <c r="I40" s="40" t="n">
        <f aca="false">IF($A40="","",$I39+IF($H40="",0,$H40))</f>
        <v>23918.5521880349</v>
      </c>
      <c r="J40" s="40" t="n">
        <f aca="false">IF($A40="","",Config!$B$4+$I40)</f>
        <v>1023918.55218803</v>
      </c>
      <c r="K40" s="40" t="n">
        <f aca="false">IF($A40="","",MAX($J$4:$J40))</f>
        <v>1023918.55218803</v>
      </c>
      <c r="L40" s="40" t="n">
        <f aca="false">IF($A40="","",$J40-$K40)</f>
        <v>0</v>
      </c>
      <c r="M40" s="42" t="n">
        <f aca="false">IF(OR($A40="",$K40=0),"",$L40/$K40)</f>
        <v>0</v>
      </c>
      <c r="N40" s="40" t="n">
        <f aca="false">IF($A40="","",SUMIFS('Trade Log'!$K$4:$K$503,'Trade Log'!$H$4:$H$503,$A40))</f>
        <v>0</v>
      </c>
      <c r="O40" s="42" t="str">
        <f aca="false">IF(OR($A40="",$H40="",Config!$B$4=0),"",$H40/Config!$B$4)</f>
        <v/>
      </c>
      <c r="P40" s="40" t="n">
        <f aca="false">IF($A40="","",SUM($H$21:$H40))</f>
        <v>23918.5521880349</v>
      </c>
      <c r="Q40" s="53" t="str">
        <f aca="false">IF($A40="","",IFERROR((AVERAGE($O$21:$O40)-Config!$B$7/Config!$B$6)/STDEV($O$21:$O40)*SQRT(Config!$B$6),""))</f>
        <v/>
      </c>
      <c r="R40" s="53" t="str">
        <f aca="false">IF($A40="","",IFERROR((AVERAGE($O$4:$O40)-Config!$B$7/Config!$B$6)/STDEV($O$4:$O40)*SQRT(Config!$B$6),""))</f>
        <v/>
      </c>
      <c r="S40" s="47" t="n">
        <f aca="false">IF($H40="",$S39,IF($H40&gt;0,$S39+1,0))</f>
        <v>1</v>
      </c>
      <c r="T40" s="47" t="n">
        <f aca="false">IF($H40="",$T39,IF($H40&lt;0,$T39+1,0))</f>
        <v>0</v>
      </c>
    </row>
    <row r="41" customFormat="false" ht="15" hidden="false" customHeight="false" outlineLevel="0" collapsed="false">
      <c r="A41" s="54" t="n">
        <f aca="false">IF($A40="","",$A40+1)</f>
        <v>46272</v>
      </c>
      <c r="B41" s="5" t="str">
        <f aca="false">IF($A41="","",TEXT($A41,"ddd"))</f>
        <v>Mon</v>
      </c>
      <c r="C41" s="41" t="n">
        <f aca="false">IF($A41="","",COUNTIFS('Trade Log'!$L$4:$L$503,$A41))</f>
        <v>0</v>
      </c>
      <c r="D41" s="40" t="n">
        <f aca="false">IF($A41="","",SUMIFS('Trade Log'!$Q$4:$Q$503,'Trade Log'!$L$4:$L$503,$A41,'Trade Log'!$E$4:$E$503,"LONG"))</f>
        <v>0</v>
      </c>
      <c r="E41" s="40" t="n">
        <f aca="false">IF($A41="","",SUMIFS('Trade Log'!$Q$4:$Q$503,'Trade Log'!$L$4:$L$503,$A41,'Trade Log'!$E$4:$E$503,"SHORT"))</f>
        <v>0</v>
      </c>
      <c r="F41" s="40" t="n">
        <f aca="false">IF($A41="","",$D41+$E41)</f>
        <v>0</v>
      </c>
      <c r="G41" s="40" t="n">
        <f aca="false">IF($A41="","",SUMIFS('Trade Log'!$Y$4:$Y$503,'Trade Log'!$L$4:$L$503,$A41))</f>
        <v>0</v>
      </c>
      <c r="H41" s="40" t="str">
        <f aca="false">IF($A41="","",IF($C41=0,"",$F41-$G41))</f>
        <v/>
      </c>
      <c r="I41" s="40" t="n">
        <f aca="false">IF($A41="","",$I40+IF($H41="",0,$H41))</f>
        <v>23918.5521880349</v>
      </c>
      <c r="J41" s="40" t="n">
        <f aca="false">IF($A41="","",Config!$B$4+$I41)</f>
        <v>1023918.55218803</v>
      </c>
      <c r="K41" s="40" t="n">
        <f aca="false">IF($A41="","",MAX($J$4:$J41))</f>
        <v>1023918.55218803</v>
      </c>
      <c r="L41" s="40" t="n">
        <f aca="false">IF($A41="","",$J41-$K41)</f>
        <v>0</v>
      </c>
      <c r="M41" s="42" t="n">
        <f aca="false">IF(OR($A41="",$K41=0),"",$L41/$K41)</f>
        <v>0</v>
      </c>
      <c r="N41" s="40" t="n">
        <f aca="false">IF($A41="","",SUMIFS('Trade Log'!$K$4:$K$503,'Trade Log'!$H$4:$H$503,$A41))</f>
        <v>0</v>
      </c>
      <c r="O41" s="42" t="str">
        <f aca="false">IF(OR($A41="",$H41="",Config!$B$4=0),"",$H41/Config!$B$4)</f>
        <v/>
      </c>
      <c r="P41" s="40" t="n">
        <f aca="false">IF($A41="","",SUM($H$22:$H41))</f>
        <v>0</v>
      </c>
      <c r="Q41" s="53" t="str">
        <f aca="false">IF($A41="","",IFERROR((AVERAGE($O$22:$O41)-Config!$B$7/Config!$B$6)/STDEV($O$22:$O41)*SQRT(Config!$B$6),""))</f>
        <v/>
      </c>
      <c r="R41" s="53" t="str">
        <f aca="false">IF($A41="","",IFERROR((AVERAGE($O$4:$O41)-Config!$B$7/Config!$B$6)/STDEV($O$4:$O41)*SQRT(Config!$B$6),""))</f>
        <v/>
      </c>
      <c r="S41" s="47" t="n">
        <f aca="false">IF($H41="",$S40,IF($H41&gt;0,$S40+1,0))</f>
        <v>1</v>
      </c>
      <c r="T41" s="47" t="n">
        <f aca="false">IF($H41="",$T40,IF($H41&lt;0,$T40+1,0))</f>
        <v>0</v>
      </c>
    </row>
    <row r="42" customFormat="false" ht="15" hidden="false" customHeight="false" outlineLevel="0" collapsed="false">
      <c r="A42" s="54" t="n">
        <f aca="false">IF($A41="","",$A41+1)</f>
        <v>46273</v>
      </c>
      <c r="B42" s="5" t="str">
        <f aca="false">IF($A42="","",TEXT($A42,"ddd"))</f>
        <v>Tue</v>
      </c>
      <c r="C42" s="41" t="n">
        <f aca="false">IF($A42="","",COUNTIFS('Trade Log'!$L$4:$L$503,$A42))</f>
        <v>0</v>
      </c>
      <c r="D42" s="40" t="n">
        <f aca="false">IF($A42="","",SUMIFS('Trade Log'!$Q$4:$Q$503,'Trade Log'!$L$4:$L$503,$A42,'Trade Log'!$E$4:$E$503,"LONG"))</f>
        <v>0</v>
      </c>
      <c r="E42" s="40" t="n">
        <f aca="false">IF($A42="","",SUMIFS('Trade Log'!$Q$4:$Q$503,'Trade Log'!$L$4:$L$503,$A42,'Trade Log'!$E$4:$E$503,"SHORT"))</f>
        <v>0</v>
      </c>
      <c r="F42" s="40" t="n">
        <f aca="false">IF($A42="","",$D42+$E42)</f>
        <v>0</v>
      </c>
      <c r="G42" s="40" t="n">
        <f aca="false">IF($A42="","",SUMIFS('Trade Log'!$Y$4:$Y$503,'Trade Log'!$L$4:$L$503,$A42))</f>
        <v>0</v>
      </c>
      <c r="H42" s="40" t="str">
        <f aca="false">IF($A42="","",IF($C42=0,"",$F42-$G42))</f>
        <v/>
      </c>
      <c r="I42" s="40" t="n">
        <f aca="false">IF($A42="","",$I41+IF($H42="",0,$H42))</f>
        <v>23918.5521880349</v>
      </c>
      <c r="J42" s="40" t="n">
        <f aca="false">IF($A42="","",Config!$B$4+$I42)</f>
        <v>1023918.55218803</v>
      </c>
      <c r="K42" s="40" t="n">
        <f aca="false">IF($A42="","",MAX($J$4:$J42))</f>
        <v>1023918.55218803</v>
      </c>
      <c r="L42" s="40" t="n">
        <f aca="false">IF($A42="","",$J42-$K42)</f>
        <v>0</v>
      </c>
      <c r="M42" s="42" t="n">
        <f aca="false">IF(OR($A42="",$K42=0),"",$L42/$K42)</f>
        <v>0</v>
      </c>
      <c r="N42" s="40" t="n">
        <f aca="false">IF($A42="","",SUMIFS('Trade Log'!$K$4:$K$503,'Trade Log'!$H$4:$H$503,$A42))</f>
        <v>0</v>
      </c>
      <c r="O42" s="42" t="str">
        <f aca="false">IF(OR($A42="",$H42="",Config!$B$4=0),"",$H42/Config!$B$4)</f>
        <v/>
      </c>
      <c r="P42" s="40" t="n">
        <f aca="false">IF($A42="","",SUM($H$23:$H42))</f>
        <v>0</v>
      </c>
      <c r="Q42" s="53" t="str">
        <f aca="false">IF($A42="","",IFERROR((AVERAGE($O$23:$O42)-Config!$B$7/Config!$B$6)/STDEV($O$23:$O42)*SQRT(Config!$B$6),""))</f>
        <v/>
      </c>
      <c r="R42" s="53" t="str">
        <f aca="false">IF($A42="","",IFERROR((AVERAGE($O$4:$O42)-Config!$B$7/Config!$B$6)/STDEV($O$4:$O42)*SQRT(Config!$B$6),""))</f>
        <v/>
      </c>
      <c r="S42" s="47" t="n">
        <f aca="false">IF($H42="",$S41,IF($H42&gt;0,$S41+1,0))</f>
        <v>1</v>
      </c>
      <c r="T42" s="47" t="n">
        <f aca="false">IF($H42="",$T41,IF($H42&lt;0,$T41+1,0))</f>
        <v>0</v>
      </c>
    </row>
    <row r="43" customFormat="false" ht="15" hidden="false" customHeight="false" outlineLevel="0" collapsed="false">
      <c r="A43" s="54" t="n">
        <f aca="false">IF($A42="","",$A42+1)</f>
        <v>46274</v>
      </c>
      <c r="B43" s="5" t="str">
        <f aca="false">IF($A43="","",TEXT($A43,"ddd"))</f>
        <v>Wed</v>
      </c>
      <c r="C43" s="41" t="n">
        <f aca="false">IF($A43="","",COUNTIFS('Trade Log'!$L$4:$L$503,$A43))</f>
        <v>0</v>
      </c>
      <c r="D43" s="40" t="n">
        <f aca="false">IF($A43="","",SUMIFS('Trade Log'!$Q$4:$Q$503,'Trade Log'!$L$4:$L$503,$A43,'Trade Log'!$E$4:$E$503,"LONG"))</f>
        <v>0</v>
      </c>
      <c r="E43" s="40" t="n">
        <f aca="false">IF($A43="","",SUMIFS('Trade Log'!$Q$4:$Q$503,'Trade Log'!$L$4:$L$503,$A43,'Trade Log'!$E$4:$E$503,"SHORT"))</f>
        <v>0</v>
      </c>
      <c r="F43" s="40" t="n">
        <f aca="false">IF($A43="","",$D43+$E43)</f>
        <v>0</v>
      </c>
      <c r="G43" s="40" t="n">
        <f aca="false">IF($A43="","",SUMIFS('Trade Log'!$Y$4:$Y$503,'Trade Log'!$L$4:$L$503,$A43))</f>
        <v>0</v>
      </c>
      <c r="H43" s="40" t="str">
        <f aca="false">IF($A43="","",IF($C43=0,"",$F43-$G43))</f>
        <v/>
      </c>
      <c r="I43" s="40" t="n">
        <f aca="false">IF($A43="","",$I42+IF($H43="",0,$H43))</f>
        <v>23918.5521880349</v>
      </c>
      <c r="J43" s="40" t="n">
        <f aca="false">IF($A43="","",Config!$B$4+$I43)</f>
        <v>1023918.55218803</v>
      </c>
      <c r="K43" s="40" t="n">
        <f aca="false">IF($A43="","",MAX($J$4:$J43))</f>
        <v>1023918.55218803</v>
      </c>
      <c r="L43" s="40" t="n">
        <f aca="false">IF($A43="","",$J43-$K43)</f>
        <v>0</v>
      </c>
      <c r="M43" s="42" t="n">
        <f aca="false">IF(OR($A43="",$K43=0),"",$L43/$K43)</f>
        <v>0</v>
      </c>
      <c r="N43" s="40" t="n">
        <f aca="false">IF($A43="","",SUMIFS('Trade Log'!$K$4:$K$503,'Trade Log'!$H$4:$H$503,$A43))</f>
        <v>0</v>
      </c>
      <c r="O43" s="42" t="str">
        <f aca="false">IF(OR($A43="",$H43="",Config!$B$4=0),"",$H43/Config!$B$4)</f>
        <v/>
      </c>
      <c r="P43" s="40" t="n">
        <f aca="false">IF($A43="","",SUM($H$24:$H43))</f>
        <v>0</v>
      </c>
      <c r="Q43" s="53" t="str">
        <f aca="false">IF($A43="","",IFERROR((AVERAGE($O$24:$O43)-Config!$B$7/Config!$B$6)/STDEV($O$24:$O43)*SQRT(Config!$B$6),""))</f>
        <v/>
      </c>
      <c r="R43" s="53" t="str">
        <f aca="false">IF($A43="","",IFERROR((AVERAGE($O$4:$O43)-Config!$B$7/Config!$B$6)/STDEV($O$4:$O43)*SQRT(Config!$B$6),""))</f>
        <v/>
      </c>
      <c r="S43" s="47" t="n">
        <f aca="false">IF($H43="",$S42,IF($H43&gt;0,$S42+1,0))</f>
        <v>1</v>
      </c>
      <c r="T43" s="47" t="n">
        <f aca="false">IF($H43="",$T42,IF($H43&lt;0,$T42+1,0))</f>
        <v>0</v>
      </c>
    </row>
    <row r="44" customFormat="false" ht="15" hidden="false" customHeight="false" outlineLevel="0" collapsed="false">
      <c r="A44" s="54" t="n">
        <f aca="false">IF($A43="","",$A43+1)</f>
        <v>46275</v>
      </c>
      <c r="B44" s="5" t="str">
        <f aca="false">IF($A44="","",TEXT($A44,"ddd"))</f>
        <v>Thu</v>
      </c>
      <c r="C44" s="41" t="n">
        <f aca="false">IF($A44="","",COUNTIFS('Trade Log'!$L$4:$L$503,$A44))</f>
        <v>0</v>
      </c>
      <c r="D44" s="40" t="n">
        <f aca="false">IF($A44="","",SUMIFS('Trade Log'!$Q$4:$Q$503,'Trade Log'!$L$4:$L$503,$A44,'Trade Log'!$E$4:$E$503,"LONG"))</f>
        <v>0</v>
      </c>
      <c r="E44" s="40" t="n">
        <f aca="false">IF($A44="","",SUMIFS('Trade Log'!$Q$4:$Q$503,'Trade Log'!$L$4:$L$503,$A44,'Trade Log'!$E$4:$E$503,"SHORT"))</f>
        <v>0</v>
      </c>
      <c r="F44" s="40" t="n">
        <f aca="false">IF($A44="","",$D44+$E44)</f>
        <v>0</v>
      </c>
      <c r="G44" s="40" t="n">
        <f aca="false">IF($A44="","",SUMIFS('Trade Log'!$Y$4:$Y$503,'Trade Log'!$L$4:$L$503,$A44))</f>
        <v>0</v>
      </c>
      <c r="H44" s="40" t="str">
        <f aca="false">IF($A44="","",IF($C44=0,"",$F44-$G44))</f>
        <v/>
      </c>
      <c r="I44" s="40" t="n">
        <f aca="false">IF($A44="","",$I43+IF($H44="",0,$H44))</f>
        <v>23918.5521880349</v>
      </c>
      <c r="J44" s="40" t="n">
        <f aca="false">IF($A44="","",Config!$B$4+$I44)</f>
        <v>1023918.55218803</v>
      </c>
      <c r="K44" s="40" t="n">
        <f aca="false">IF($A44="","",MAX($J$4:$J44))</f>
        <v>1023918.55218803</v>
      </c>
      <c r="L44" s="40" t="n">
        <f aca="false">IF($A44="","",$J44-$K44)</f>
        <v>0</v>
      </c>
      <c r="M44" s="42" t="n">
        <f aca="false">IF(OR($A44="",$K44=0),"",$L44/$K44)</f>
        <v>0</v>
      </c>
      <c r="N44" s="40" t="n">
        <f aca="false">IF($A44="","",SUMIFS('Trade Log'!$K$4:$K$503,'Trade Log'!$H$4:$H$503,$A44))</f>
        <v>0</v>
      </c>
      <c r="O44" s="42" t="str">
        <f aca="false">IF(OR($A44="",$H44="",Config!$B$4=0),"",$H44/Config!$B$4)</f>
        <v/>
      </c>
      <c r="P44" s="40" t="n">
        <f aca="false">IF($A44="","",SUM($H$25:$H44))</f>
        <v>0</v>
      </c>
      <c r="Q44" s="53" t="str">
        <f aca="false">IF($A44="","",IFERROR((AVERAGE($O$25:$O44)-Config!$B$7/Config!$B$6)/STDEV($O$25:$O44)*SQRT(Config!$B$6),""))</f>
        <v/>
      </c>
      <c r="R44" s="53" t="str">
        <f aca="false">IF($A44="","",IFERROR((AVERAGE($O$4:$O44)-Config!$B$7/Config!$B$6)/STDEV($O$4:$O44)*SQRT(Config!$B$6),""))</f>
        <v/>
      </c>
      <c r="S44" s="47" t="n">
        <f aca="false">IF($H44="",$S43,IF($H44&gt;0,$S43+1,0))</f>
        <v>1</v>
      </c>
      <c r="T44" s="47" t="n">
        <f aca="false">IF($H44="",$T43,IF($H44&lt;0,$T43+1,0))</f>
        <v>0</v>
      </c>
    </row>
    <row r="45" customFormat="false" ht="15" hidden="false" customHeight="false" outlineLevel="0" collapsed="false">
      <c r="A45" s="54" t="n">
        <f aca="false">IF($A44="","",$A44+1)</f>
        <v>46276</v>
      </c>
      <c r="B45" s="5" t="str">
        <f aca="false">IF($A45="","",TEXT($A45,"ddd"))</f>
        <v>Fri</v>
      </c>
      <c r="C45" s="41" t="n">
        <f aca="false">IF($A45="","",COUNTIFS('Trade Log'!$L$4:$L$503,$A45))</f>
        <v>0</v>
      </c>
      <c r="D45" s="40" t="n">
        <f aca="false">IF($A45="","",SUMIFS('Trade Log'!$Q$4:$Q$503,'Trade Log'!$L$4:$L$503,$A45,'Trade Log'!$E$4:$E$503,"LONG"))</f>
        <v>0</v>
      </c>
      <c r="E45" s="40" t="n">
        <f aca="false">IF($A45="","",SUMIFS('Trade Log'!$Q$4:$Q$503,'Trade Log'!$L$4:$L$503,$A45,'Trade Log'!$E$4:$E$503,"SHORT"))</f>
        <v>0</v>
      </c>
      <c r="F45" s="40" t="n">
        <f aca="false">IF($A45="","",$D45+$E45)</f>
        <v>0</v>
      </c>
      <c r="G45" s="40" t="n">
        <f aca="false">IF($A45="","",SUMIFS('Trade Log'!$Y$4:$Y$503,'Trade Log'!$L$4:$L$503,$A45))</f>
        <v>0</v>
      </c>
      <c r="H45" s="40" t="str">
        <f aca="false">IF($A45="","",IF($C45=0,"",$F45-$G45))</f>
        <v/>
      </c>
      <c r="I45" s="40" t="n">
        <f aca="false">IF($A45="","",$I44+IF($H45="",0,$H45))</f>
        <v>23918.5521880349</v>
      </c>
      <c r="J45" s="40" t="n">
        <f aca="false">IF($A45="","",Config!$B$4+$I45)</f>
        <v>1023918.55218803</v>
      </c>
      <c r="K45" s="40" t="n">
        <f aca="false">IF($A45="","",MAX($J$4:$J45))</f>
        <v>1023918.55218803</v>
      </c>
      <c r="L45" s="40" t="n">
        <f aca="false">IF($A45="","",$J45-$K45)</f>
        <v>0</v>
      </c>
      <c r="M45" s="42" t="n">
        <f aca="false">IF(OR($A45="",$K45=0),"",$L45/$K45)</f>
        <v>0</v>
      </c>
      <c r="N45" s="40" t="n">
        <f aca="false">IF($A45="","",SUMIFS('Trade Log'!$K$4:$K$503,'Trade Log'!$H$4:$H$503,$A45))</f>
        <v>0</v>
      </c>
      <c r="O45" s="42" t="str">
        <f aca="false">IF(OR($A45="",$H45="",Config!$B$4=0),"",$H45/Config!$B$4)</f>
        <v/>
      </c>
      <c r="P45" s="40" t="n">
        <f aca="false">IF($A45="","",SUM($H$26:$H45))</f>
        <v>0</v>
      </c>
      <c r="Q45" s="53" t="str">
        <f aca="false">IF($A45="","",IFERROR((AVERAGE($O$26:$O45)-Config!$B$7/Config!$B$6)/STDEV($O$26:$O45)*SQRT(Config!$B$6),""))</f>
        <v/>
      </c>
      <c r="R45" s="53" t="str">
        <f aca="false">IF($A45="","",IFERROR((AVERAGE($O$4:$O45)-Config!$B$7/Config!$B$6)/STDEV($O$4:$O45)*SQRT(Config!$B$6),""))</f>
        <v/>
      </c>
      <c r="S45" s="47" t="n">
        <f aca="false">IF($H45="",$S44,IF($H45&gt;0,$S44+1,0))</f>
        <v>1</v>
      </c>
      <c r="T45" s="47" t="n">
        <f aca="false">IF($H45="",$T44,IF($H45&lt;0,$T44+1,0))</f>
        <v>0</v>
      </c>
    </row>
    <row r="46" customFormat="false" ht="15" hidden="false" customHeight="false" outlineLevel="0" collapsed="false">
      <c r="A46" s="54" t="n">
        <f aca="false">IF($A45="","",$A45+1)</f>
        <v>46277</v>
      </c>
      <c r="B46" s="5" t="str">
        <f aca="false">IF($A46="","",TEXT($A46,"ddd"))</f>
        <v>Sat</v>
      </c>
      <c r="C46" s="41" t="n">
        <f aca="false">IF($A46="","",COUNTIFS('Trade Log'!$L$4:$L$503,$A46))</f>
        <v>0</v>
      </c>
      <c r="D46" s="40" t="n">
        <f aca="false">IF($A46="","",SUMIFS('Trade Log'!$Q$4:$Q$503,'Trade Log'!$L$4:$L$503,$A46,'Trade Log'!$E$4:$E$503,"LONG"))</f>
        <v>0</v>
      </c>
      <c r="E46" s="40" t="n">
        <f aca="false">IF($A46="","",SUMIFS('Trade Log'!$Q$4:$Q$503,'Trade Log'!$L$4:$L$503,$A46,'Trade Log'!$E$4:$E$503,"SHORT"))</f>
        <v>0</v>
      </c>
      <c r="F46" s="40" t="n">
        <f aca="false">IF($A46="","",$D46+$E46)</f>
        <v>0</v>
      </c>
      <c r="G46" s="40" t="n">
        <f aca="false">IF($A46="","",SUMIFS('Trade Log'!$Y$4:$Y$503,'Trade Log'!$L$4:$L$503,$A46))</f>
        <v>0</v>
      </c>
      <c r="H46" s="40" t="str">
        <f aca="false">IF($A46="","",IF($C46=0,"",$F46-$G46))</f>
        <v/>
      </c>
      <c r="I46" s="40" t="n">
        <f aca="false">IF($A46="","",$I45+IF($H46="",0,$H46))</f>
        <v>23918.5521880349</v>
      </c>
      <c r="J46" s="40" t="n">
        <f aca="false">IF($A46="","",Config!$B$4+$I46)</f>
        <v>1023918.55218803</v>
      </c>
      <c r="K46" s="40" t="n">
        <f aca="false">IF($A46="","",MAX($J$4:$J46))</f>
        <v>1023918.55218803</v>
      </c>
      <c r="L46" s="40" t="n">
        <f aca="false">IF($A46="","",$J46-$K46)</f>
        <v>0</v>
      </c>
      <c r="M46" s="42" t="n">
        <f aca="false">IF(OR($A46="",$K46=0),"",$L46/$K46)</f>
        <v>0</v>
      </c>
      <c r="N46" s="40" t="n">
        <f aca="false">IF($A46="","",SUMIFS('Trade Log'!$K$4:$K$503,'Trade Log'!$H$4:$H$503,$A46))</f>
        <v>0</v>
      </c>
      <c r="O46" s="42" t="str">
        <f aca="false">IF(OR($A46="",$H46="",Config!$B$4=0),"",$H46/Config!$B$4)</f>
        <v/>
      </c>
      <c r="P46" s="40" t="n">
        <f aca="false">IF($A46="","",SUM($H$27:$H46))</f>
        <v>0</v>
      </c>
      <c r="Q46" s="53" t="str">
        <f aca="false">IF($A46="","",IFERROR((AVERAGE($O$27:$O46)-Config!$B$7/Config!$B$6)/STDEV($O$27:$O46)*SQRT(Config!$B$6),""))</f>
        <v/>
      </c>
      <c r="R46" s="53" t="str">
        <f aca="false">IF($A46="","",IFERROR((AVERAGE($O$4:$O46)-Config!$B$7/Config!$B$6)/STDEV($O$4:$O46)*SQRT(Config!$B$6),""))</f>
        <v/>
      </c>
      <c r="S46" s="47" t="n">
        <f aca="false">IF($H46="",$S45,IF($H46&gt;0,$S45+1,0))</f>
        <v>1</v>
      </c>
      <c r="T46" s="47" t="n">
        <f aca="false">IF($H46="",$T45,IF($H46&lt;0,$T45+1,0))</f>
        <v>0</v>
      </c>
    </row>
    <row r="47" customFormat="false" ht="15" hidden="false" customHeight="false" outlineLevel="0" collapsed="false">
      <c r="A47" s="54" t="n">
        <f aca="false">IF($A46="","",$A46+1)</f>
        <v>46278</v>
      </c>
      <c r="B47" s="5" t="str">
        <f aca="false">IF($A47="","",TEXT($A47,"ddd"))</f>
        <v>Sun</v>
      </c>
      <c r="C47" s="41" t="n">
        <f aca="false">IF($A47="","",COUNTIFS('Trade Log'!$L$4:$L$503,$A47))</f>
        <v>0</v>
      </c>
      <c r="D47" s="40" t="n">
        <f aca="false">IF($A47="","",SUMIFS('Trade Log'!$Q$4:$Q$503,'Trade Log'!$L$4:$L$503,$A47,'Trade Log'!$E$4:$E$503,"LONG"))</f>
        <v>0</v>
      </c>
      <c r="E47" s="40" t="n">
        <f aca="false">IF($A47="","",SUMIFS('Trade Log'!$Q$4:$Q$503,'Trade Log'!$L$4:$L$503,$A47,'Trade Log'!$E$4:$E$503,"SHORT"))</f>
        <v>0</v>
      </c>
      <c r="F47" s="40" t="n">
        <f aca="false">IF($A47="","",$D47+$E47)</f>
        <v>0</v>
      </c>
      <c r="G47" s="40" t="n">
        <f aca="false">IF($A47="","",SUMIFS('Trade Log'!$Y$4:$Y$503,'Trade Log'!$L$4:$L$503,$A47))</f>
        <v>0</v>
      </c>
      <c r="H47" s="40" t="str">
        <f aca="false">IF($A47="","",IF($C47=0,"",$F47-$G47))</f>
        <v/>
      </c>
      <c r="I47" s="40" t="n">
        <f aca="false">IF($A47="","",$I46+IF($H47="",0,$H47))</f>
        <v>23918.5521880349</v>
      </c>
      <c r="J47" s="40" t="n">
        <f aca="false">IF($A47="","",Config!$B$4+$I47)</f>
        <v>1023918.55218803</v>
      </c>
      <c r="K47" s="40" t="n">
        <f aca="false">IF($A47="","",MAX($J$4:$J47))</f>
        <v>1023918.55218803</v>
      </c>
      <c r="L47" s="40" t="n">
        <f aca="false">IF($A47="","",$J47-$K47)</f>
        <v>0</v>
      </c>
      <c r="M47" s="42" t="n">
        <f aca="false">IF(OR($A47="",$K47=0),"",$L47/$K47)</f>
        <v>0</v>
      </c>
      <c r="N47" s="40" t="n">
        <f aca="false">IF($A47="","",SUMIFS('Trade Log'!$K$4:$K$503,'Trade Log'!$H$4:$H$503,$A47))</f>
        <v>0</v>
      </c>
      <c r="O47" s="42" t="str">
        <f aca="false">IF(OR($A47="",$H47="",Config!$B$4=0),"",$H47/Config!$B$4)</f>
        <v/>
      </c>
      <c r="P47" s="40" t="n">
        <f aca="false">IF($A47="","",SUM($H$28:$H47))</f>
        <v>0</v>
      </c>
      <c r="Q47" s="53" t="str">
        <f aca="false">IF($A47="","",IFERROR((AVERAGE($O$28:$O47)-Config!$B$7/Config!$B$6)/STDEV($O$28:$O47)*SQRT(Config!$B$6),""))</f>
        <v/>
      </c>
      <c r="R47" s="53" t="str">
        <f aca="false">IF($A47="","",IFERROR((AVERAGE($O$4:$O47)-Config!$B$7/Config!$B$6)/STDEV($O$4:$O47)*SQRT(Config!$B$6),""))</f>
        <v/>
      </c>
      <c r="S47" s="47" t="n">
        <f aca="false">IF($H47="",$S46,IF($H47&gt;0,$S46+1,0))</f>
        <v>1</v>
      </c>
      <c r="T47" s="47" t="n">
        <f aca="false">IF($H47="",$T46,IF($H47&lt;0,$T46+1,0))</f>
        <v>0</v>
      </c>
    </row>
    <row r="48" customFormat="false" ht="15" hidden="false" customHeight="false" outlineLevel="0" collapsed="false">
      <c r="A48" s="54" t="n">
        <f aca="false">IF($A47="","",$A47+1)</f>
        <v>46279</v>
      </c>
      <c r="B48" s="5" t="str">
        <f aca="false">IF($A48="","",TEXT($A48,"ddd"))</f>
        <v>Mon</v>
      </c>
      <c r="C48" s="41" t="n">
        <f aca="false">IF($A48="","",COUNTIFS('Trade Log'!$L$4:$L$503,$A48))</f>
        <v>0</v>
      </c>
      <c r="D48" s="40" t="n">
        <f aca="false">IF($A48="","",SUMIFS('Trade Log'!$Q$4:$Q$503,'Trade Log'!$L$4:$L$503,$A48,'Trade Log'!$E$4:$E$503,"LONG"))</f>
        <v>0</v>
      </c>
      <c r="E48" s="40" t="n">
        <f aca="false">IF($A48="","",SUMIFS('Trade Log'!$Q$4:$Q$503,'Trade Log'!$L$4:$L$503,$A48,'Trade Log'!$E$4:$E$503,"SHORT"))</f>
        <v>0</v>
      </c>
      <c r="F48" s="40" t="n">
        <f aca="false">IF($A48="","",$D48+$E48)</f>
        <v>0</v>
      </c>
      <c r="G48" s="40" t="n">
        <f aca="false">IF($A48="","",SUMIFS('Trade Log'!$Y$4:$Y$503,'Trade Log'!$L$4:$L$503,$A48))</f>
        <v>0</v>
      </c>
      <c r="H48" s="40" t="str">
        <f aca="false">IF($A48="","",IF($C48=0,"",$F48-$G48))</f>
        <v/>
      </c>
      <c r="I48" s="40" t="n">
        <f aca="false">IF($A48="","",$I47+IF($H48="",0,$H48))</f>
        <v>23918.5521880349</v>
      </c>
      <c r="J48" s="40" t="n">
        <f aca="false">IF($A48="","",Config!$B$4+$I48)</f>
        <v>1023918.55218803</v>
      </c>
      <c r="K48" s="40" t="n">
        <f aca="false">IF($A48="","",MAX($J$4:$J48))</f>
        <v>1023918.55218803</v>
      </c>
      <c r="L48" s="40" t="n">
        <f aca="false">IF($A48="","",$J48-$K48)</f>
        <v>0</v>
      </c>
      <c r="M48" s="42" t="n">
        <f aca="false">IF(OR($A48="",$K48=0),"",$L48/$K48)</f>
        <v>0</v>
      </c>
      <c r="N48" s="40" t="n">
        <f aca="false">IF($A48="","",SUMIFS('Trade Log'!$K$4:$K$503,'Trade Log'!$H$4:$H$503,$A48))</f>
        <v>0</v>
      </c>
      <c r="O48" s="42" t="str">
        <f aca="false">IF(OR($A48="",$H48="",Config!$B$4=0),"",$H48/Config!$B$4)</f>
        <v/>
      </c>
      <c r="P48" s="40" t="n">
        <f aca="false">IF($A48="","",SUM($H$29:$H48))</f>
        <v>0</v>
      </c>
      <c r="Q48" s="53" t="str">
        <f aca="false">IF($A48="","",IFERROR((AVERAGE($O$29:$O48)-Config!$B$7/Config!$B$6)/STDEV($O$29:$O48)*SQRT(Config!$B$6),""))</f>
        <v/>
      </c>
      <c r="R48" s="53" t="str">
        <f aca="false">IF($A48="","",IFERROR((AVERAGE($O$4:$O48)-Config!$B$7/Config!$B$6)/STDEV($O$4:$O48)*SQRT(Config!$B$6),""))</f>
        <v/>
      </c>
      <c r="S48" s="47" t="n">
        <f aca="false">IF($H48="",$S47,IF($H48&gt;0,$S47+1,0))</f>
        <v>1</v>
      </c>
      <c r="T48" s="47" t="n">
        <f aca="false">IF($H48="",$T47,IF($H48&lt;0,$T47+1,0))</f>
        <v>0</v>
      </c>
    </row>
    <row r="49" customFormat="false" ht="15" hidden="false" customHeight="false" outlineLevel="0" collapsed="false">
      <c r="A49" s="54" t="n">
        <f aca="false">IF($A48="","",$A48+1)</f>
        <v>46280</v>
      </c>
      <c r="B49" s="5" t="str">
        <f aca="false">IF($A49="","",TEXT($A49,"ddd"))</f>
        <v>Tue</v>
      </c>
      <c r="C49" s="41" t="n">
        <f aca="false">IF($A49="","",COUNTIFS('Trade Log'!$L$4:$L$503,$A49))</f>
        <v>0</v>
      </c>
      <c r="D49" s="40" t="n">
        <f aca="false">IF($A49="","",SUMIFS('Trade Log'!$Q$4:$Q$503,'Trade Log'!$L$4:$L$503,$A49,'Trade Log'!$E$4:$E$503,"LONG"))</f>
        <v>0</v>
      </c>
      <c r="E49" s="40" t="n">
        <f aca="false">IF($A49="","",SUMIFS('Trade Log'!$Q$4:$Q$503,'Trade Log'!$L$4:$L$503,$A49,'Trade Log'!$E$4:$E$503,"SHORT"))</f>
        <v>0</v>
      </c>
      <c r="F49" s="40" t="n">
        <f aca="false">IF($A49="","",$D49+$E49)</f>
        <v>0</v>
      </c>
      <c r="G49" s="40" t="n">
        <f aca="false">IF($A49="","",SUMIFS('Trade Log'!$Y$4:$Y$503,'Trade Log'!$L$4:$L$503,$A49))</f>
        <v>0</v>
      </c>
      <c r="H49" s="40" t="str">
        <f aca="false">IF($A49="","",IF($C49=0,"",$F49-$G49))</f>
        <v/>
      </c>
      <c r="I49" s="40" t="n">
        <f aca="false">IF($A49="","",$I48+IF($H49="",0,$H49))</f>
        <v>23918.5521880349</v>
      </c>
      <c r="J49" s="40" t="n">
        <f aca="false">IF($A49="","",Config!$B$4+$I49)</f>
        <v>1023918.55218803</v>
      </c>
      <c r="K49" s="40" t="n">
        <f aca="false">IF($A49="","",MAX($J$4:$J49))</f>
        <v>1023918.55218803</v>
      </c>
      <c r="L49" s="40" t="n">
        <f aca="false">IF($A49="","",$J49-$K49)</f>
        <v>0</v>
      </c>
      <c r="M49" s="42" t="n">
        <f aca="false">IF(OR($A49="",$K49=0),"",$L49/$K49)</f>
        <v>0</v>
      </c>
      <c r="N49" s="40" t="n">
        <f aca="false">IF($A49="","",SUMIFS('Trade Log'!$K$4:$K$503,'Trade Log'!$H$4:$H$503,$A49))</f>
        <v>0</v>
      </c>
      <c r="O49" s="42" t="str">
        <f aca="false">IF(OR($A49="",$H49="",Config!$B$4=0),"",$H49/Config!$B$4)</f>
        <v/>
      </c>
      <c r="P49" s="40" t="n">
        <f aca="false">IF($A49="","",SUM($H$30:$H49))</f>
        <v>0</v>
      </c>
      <c r="Q49" s="53" t="str">
        <f aca="false">IF($A49="","",IFERROR((AVERAGE($O$30:$O49)-Config!$B$7/Config!$B$6)/STDEV($O$30:$O49)*SQRT(Config!$B$6),""))</f>
        <v/>
      </c>
      <c r="R49" s="53" t="str">
        <f aca="false">IF($A49="","",IFERROR((AVERAGE($O$4:$O49)-Config!$B$7/Config!$B$6)/STDEV($O$4:$O49)*SQRT(Config!$B$6),""))</f>
        <v/>
      </c>
      <c r="S49" s="47" t="n">
        <f aca="false">IF($H49="",$S48,IF($H49&gt;0,$S48+1,0))</f>
        <v>1</v>
      </c>
      <c r="T49" s="47" t="n">
        <f aca="false">IF($H49="",$T48,IF($H49&lt;0,$T48+1,0))</f>
        <v>0</v>
      </c>
    </row>
    <row r="50" customFormat="false" ht="15" hidden="false" customHeight="false" outlineLevel="0" collapsed="false">
      <c r="A50" s="54" t="n">
        <f aca="false">IF($A49="","",$A49+1)</f>
        <v>46281</v>
      </c>
      <c r="B50" s="5" t="str">
        <f aca="false">IF($A50="","",TEXT($A50,"ddd"))</f>
        <v>Wed</v>
      </c>
      <c r="C50" s="41" t="n">
        <f aca="false">IF($A50="","",COUNTIFS('Trade Log'!$L$4:$L$503,$A50))</f>
        <v>0</v>
      </c>
      <c r="D50" s="40" t="n">
        <f aca="false">IF($A50="","",SUMIFS('Trade Log'!$Q$4:$Q$503,'Trade Log'!$L$4:$L$503,$A50,'Trade Log'!$E$4:$E$503,"LONG"))</f>
        <v>0</v>
      </c>
      <c r="E50" s="40" t="n">
        <f aca="false">IF($A50="","",SUMIFS('Trade Log'!$Q$4:$Q$503,'Trade Log'!$L$4:$L$503,$A50,'Trade Log'!$E$4:$E$503,"SHORT"))</f>
        <v>0</v>
      </c>
      <c r="F50" s="40" t="n">
        <f aca="false">IF($A50="","",$D50+$E50)</f>
        <v>0</v>
      </c>
      <c r="G50" s="40" t="n">
        <f aca="false">IF($A50="","",SUMIFS('Trade Log'!$Y$4:$Y$503,'Trade Log'!$L$4:$L$503,$A50))</f>
        <v>0</v>
      </c>
      <c r="H50" s="40" t="str">
        <f aca="false">IF($A50="","",IF($C50=0,"",$F50-$G50))</f>
        <v/>
      </c>
      <c r="I50" s="40" t="n">
        <f aca="false">IF($A50="","",$I49+IF($H50="",0,$H50))</f>
        <v>23918.5521880349</v>
      </c>
      <c r="J50" s="40" t="n">
        <f aca="false">IF($A50="","",Config!$B$4+$I50)</f>
        <v>1023918.55218803</v>
      </c>
      <c r="K50" s="40" t="n">
        <f aca="false">IF($A50="","",MAX($J$4:$J50))</f>
        <v>1023918.55218803</v>
      </c>
      <c r="L50" s="40" t="n">
        <f aca="false">IF($A50="","",$J50-$K50)</f>
        <v>0</v>
      </c>
      <c r="M50" s="42" t="n">
        <f aca="false">IF(OR($A50="",$K50=0),"",$L50/$K50)</f>
        <v>0</v>
      </c>
      <c r="N50" s="40" t="n">
        <f aca="false">IF($A50="","",SUMIFS('Trade Log'!$K$4:$K$503,'Trade Log'!$H$4:$H$503,$A50))</f>
        <v>0</v>
      </c>
      <c r="O50" s="42" t="str">
        <f aca="false">IF(OR($A50="",$H50="",Config!$B$4=0),"",$H50/Config!$B$4)</f>
        <v/>
      </c>
      <c r="P50" s="40" t="n">
        <f aca="false">IF($A50="","",SUM($H$31:$H50))</f>
        <v>0</v>
      </c>
      <c r="Q50" s="53" t="str">
        <f aca="false">IF($A50="","",IFERROR((AVERAGE($O$31:$O50)-Config!$B$7/Config!$B$6)/STDEV($O$31:$O50)*SQRT(Config!$B$6),""))</f>
        <v/>
      </c>
      <c r="R50" s="53" t="str">
        <f aca="false">IF($A50="","",IFERROR((AVERAGE($O$4:$O50)-Config!$B$7/Config!$B$6)/STDEV($O$4:$O50)*SQRT(Config!$B$6),""))</f>
        <v/>
      </c>
      <c r="S50" s="47" t="n">
        <f aca="false">IF($H50="",$S49,IF($H50&gt;0,$S49+1,0))</f>
        <v>1</v>
      </c>
      <c r="T50" s="47" t="n">
        <f aca="false">IF($H50="",$T49,IF($H50&lt;0,$T49+1,0))</f>
        <v>0</v>
      </c>
    </row>
    <row r="51" customFormat="false" ht="15" hidden="false" customHeight="false" outlineLevel="0" collapsed="false">
      <c r="A51" s="54" t="n">
        <f aca="false">IF($A50="","",$A50+1)</f>
        <v>46282</v>
      </c>
      <c r="B51" s="5" t="str">
        <f aca="false">IF($A51="","",TEXT($A51,"ddd"))</f>
        <v>Thu</v>
      </c>
      <c r="C51" s="41" t="n">
        <f aca="false">IF($A51="","",COUNTIFS('Trade Log'!$L$4:$L$503,$A51))</f>
        <v>0</v>
      </c>
      <c r="D51" s="40" t="n">
        <f aca="false">IF($A51="","",SUMIFS('Trade Log'!$Q$4:$Q$503,'Trade Log'!$L$4:$L$503,$A51,'Trade Log'!$E$4:$E$503,"LONG"))</f>
        <v>0</v>
      </c>
      <c r="E51" s="40" t="n">
        <f aca="false">IF($A51="","",SUMIFS('Trade Log'!$Q$4:$Q$503,'Trade Log'!$L$4:$L$503,$A51,'Trade Log'!$E$4:$E$503,"SHORT"))</f>
        <v>0</v>
      </c>
      <c r="F51" s="40" t="n">
        <f aca="false">IF($A51="","",$D51+$E51)</f>
        <v>0</v>
      </c>
      <c r="G51" s="40" t="n">
        <f aca="false">IF($A51="","",SUMIFS('Trade Log'!$Y$4:$Y$503,'Trade Log'!$L$4:$L$503,$A51))</f>
        <v>0</v>
      </c>
      <c r="H51" s="40" t="str">
        <f aca="false">IF($A51="","",IF($C51=0,"",$F51-$G51))</f>
        <v/>
      </c>
      <c r="I51" s="40" t="n">
        <f aca="false">IF($A51="","",$I50+IF($H51="",0,$H51))</f>
        <v>23918.5521880349</v>
      </c>
      <c r="J51" s="40" t="n">
        <f aca="false">IF($A51="","",Config!$B$4+$I51)</f>
        <v>1023918.55218803</v>
      </c>
      <c r="K51" s="40" t="n">
        <f aca="false">IF($A51="","",MAX($J$4:$J51))</f>
        <v>1023918.55218803</v>
      </c>
      <c r="L51" s="40" t="n">
        <f aca="false">IF($A51="","",$J51-$K51)</f>
        <v>0</v>
      </c>
      <c r="M51" s="42" t="n">
        <f aca="false">IF(OR($A51="",$K51=0),"",$L51/$K51)</f>
        <v>0</v>
      </c>
      <c r="N51" s="40" t="n">
        <f aca="false">IF($A51="","",SUMIFS('Trade Log'!$K$4:$K$503,'Trade Log'!$H$4:$H$503,$A51))</f>
        <v>0</v>
      </c>
      <c r="O51" s="42" t="str">
        <f aca="false">IF(OR($A51="",$H51="",Config!$B$4=0),"",$H51/Config!$B$4)</f>
        <v/>
      </c>
      <c r="P51" s="40" t="n">
        <f aca="false">IF($A51="","",SUM($H$32:$H51))</f>
        <v>0</v>
      </c>
      <c r="Q51" s="53" t="str">
        <f aca="false">IF($A51="","",IFERROR((AVERAGE($O$32:$O51)-Config!$B$7/Config!$B$6)/STDEV($O$32:$O51)*SQRT(Config!$B$6),""))</f>
        <v/>
      </c>
      <c r="R51" s="53" t="str">
        <f aca="false">IF($A51="","",IFERROR((AVERAGE($O$4:$O51)-Config!$B$7/Config!$B$6)/STDEV($O$4:$O51)*SQRT(Config!$B$6),""))</f>
        <v/>
      </c>
      <c r="S51" s="47" t="n">
        <f aca="false">IF($H51="",$S50,IF($H51&gt;0,$S50+1,0))</f>
        <v>1</v>
      </c>
      <c r="T51" s="47" t="n">
        <f aca="false">IF($H51="",$T50,IF($H51&lt;0,$T50+1,0))</f>
        <v>0</v>
      </c>
    </row>
    <row r="52" customFormat="false" ht="15" hidden="false" customHeight="false" outlineLevel="0" collapsed="false">
      <c r="A52" s="54" t="n">
        <f aca="false">IF($A51="","",$A51+1)</f>
        <v>46283</v>
      </c>
      <c r="B52" s="5" t="str">
        <f aca="false">IF($A52="","",TEXT($A52,"ddd"))</f>
        <v>Fri</v>
      </c>
      <c r="C52" s="41" t="n">
        <f aca="false">IF($A52="","",COUNTIFS('Trade Log'!$L$4:$L$503,$A52))</f>
        <v>0</v>
      </c>
      <c r="D52" s="40" t="n">
        <f aca="false">IF($A52="","",SUMIFS('Trade Log'!$Q$4:$Q$503,'Trade Log'!$L$4:$L$503,$A52,'Trade Log'!$E$4:$E$503,"LONG"))</f>
        <v>0</v>
      </c>
      <c r="E52" s="40" t="n">
        <f aca="false">IF($A52="","",SUMIFS('Trade Log'!$Q$4:$Q$503,'Trade Log'!$L$4:$L$503,$A52,'Trade Log'!$E$4:$E$503,"SHORT"))</f>
        <v>0</v>
      </c>
      <c r="F52" s="40" t="n">
        <f aca="false">IF($A52="","",$D52+$E52)</f>
        <v>0</v>
      </c>
      <c r="G52" s="40" t="n">
        <f aca="false">IF($A52="","",SUMIFS('Trade Log'!$Y$4:$Y$503,'Trade Log'!$L$4:$L$503,$A52))</f>
        <v>0</v>
      </c>
      <c r="H52" s="40" t="str">
        <f aca="false">IF($A52="","",IF($C52=0,"",$F52-$G52))</f>
        <v/>
      </c>
      <c r="I52" s="40" t="n">
        <f aca="false">IF($A52="","",$I51+IF($H52="",0,$H52))</f>
        <v>23918.5521880349</v>
      </c>
      <c r="J52" s="40" t="n">
        <f aca="false">IF($A52="","",Config!$B$4+$I52)</f>
        <v>1023918.55218803</v>
      </c>
      <c r="K52" s="40" t="n">
        <f aca="false">IF($A52="","",MAX($J$4:$J52))</f>
        <v>1023918.55218803</v>
      </c>
      <c r="L52" s="40" t="n">
        <f aca="false">IF($A52="","",$J52-$K52)</f>
        <v>0</v>
      </c>
      <c r="M52" s="42" t="n">
        <f aca="false">IF(OR($A52="",$K52=0),"",$L52/$K52)</f>
        <v>0</v>
      </c>
      <c r="N52" s="40" t="n">
        <f aca="false">IF($A52="","",SUMIFS('Trade Log'!$K$4:$K$503,'Trade Log'!$H$4:$H$503,$A52))</f>
        <v>0</v>
      </c>
      <c r="O52" s="42" t="str">
        <f aca="false">IF(OR($A52="",$H52="",Config!$B$4=0),"",$H52/Config!$B$4)</f>
        <v/>
      </c>
      <c r="P52" s="40" t="n">
        <f aca="false">IF($A52="","",SUM($H$33:$H52))</f>
        <v>0</v>
      </c>
      <c r="Q52" s="53" t="str">
        <f aca="false">IF($A52="","",IFERROR((AVERAGE($O$33:$O52)-Config!$B$7/Config!$B$6)/STDEV($O$33:$O52)*SQRT(Config!$B$6),""))</f>
        <v/>
      </c>
      <c r="R52" s="53" t="str">
        <f aca="false">IF($A52="","",IFERROR((AVERAGE($O$4:$O52)-Config!$B$7/Config!$B$6)/STDEV($O$4:$O52)*SQRT(Config!$B$6),""))</f>
        <v/>
      </c>
      <c r="S52" s="47" t="n">
        <f aca="false">IF($H52="",$S51,IF($H52&gt;0,$S51+1,0))</f>
        <v>1</v>
      </c>
      <c r="T52" s="47" t="n">
        <f aca="false">IF($H52="",$T51,IF($H52&lt;0,$T51+1,0))</f>
        <v>0</v>
      </c>
    </row>
    <row r="53" customFormat="false" ht="15" hidden="false" customHeight="false" outlineLevel="0" collapsed="false">
      <c r="A53" s="54" t="n">
        <f aca="false">IF($A52="","",$A52+1)</f>
        <v>46284</v>
      </c>
      <c r="B53" s="5" t="str">
        <f aca="false">IF($A53="","",TEXT($A53,"ddd"))</f>
        <v>Sat</v>
      </c>
      <c r="C53" s="41" t="n">
        <f aca="false">IF($A53="","",COUNTIFS('Trade Log'!$L$4:$L$503,$A53))</f>
        <v>0</v>
      </c>
      <c r="D53" s="40" t="n">
        <f aca="false">IF($A53="","",SUMIFS('Trade Log'!$Q$4:$Q$503,'Trade Log'!$L$4:$L$503,$A53,'Trade Log'!$E$4:$E$503,"LONG"))</f>
        <v>0</v>
      </c>
      <c r="E53" s="40" t="n">
        <f aca="false">IF($A53="","",SUMIFS('Trade Log'!$Q$4:$Q$503,'Trade Log'!$L$4:$L$503,$A53,'Trade Log'!$E$4:$E$503,"SHORT"))</f>
        <v>0</v>
      </c>
      <c r="F53" s="40" t="n">
        <f aca="false">IF($A53="","",$D53+$E53)</f>
        <v>0</v>
      </c>
      <c r="G53" s="40" t="n">
        <f aca="false">IF($A53="","",SUMIFS('Trade Log'!$Y$4:$Y$503,'Trade Log'!$L$4:$L$503,$A53))</f>
        <v>0</v>
      </c>
      <c r="H53" s="40" t="str">
        <f aca="false">IF($A53="","",IF($C53=0,"",$F53-$G53))</f>
        <v/>
      </c>
      <c r="I53" s="40" t="n">
        <f aca="false">IF($A53="","",$I52+IF($H53="",0,$H53))</f>
        <v>23918.5521880349</v>
      </c>
      <c r="J53" s="40" t="n">
        <f aca="false">IF($A53="","",Config!$B$4+$I53)</f>
        <v>1023918.55218803</v>
      </c>
      <c r="K53" s="40" t="n">
        <f aca="false">IF($A53="","",MAX($J$4:$J53))</f>
        <v>1023918.55218803</v>
      </c>
      <c r="L53" s="40" t="n">
        <f aca="false">IF($A53="","",$J53-$K53)</f>
        <v>0</v>
      </c>
      <c r="M53" s="42" t="n">
        <f aca="false">IF(OR($A53="",$K53=0),"",$L53/$K53)</f>
        <v>0</v>
      </c>
      <c r="N53" s="40" t="n">
        <f aca="false">IF($A53="","",SUMIFS('Trade Log'!$K$4:$K$503,'Trade Log'!$H$4:$H$503,$A53))</f>
        <v>0</v>
      </c>
      <c r="O53" s="42" t="str">
        <f aca="false">IF(OR($A53="",$H53="",Config!$B$4=0),"",$H53/Config!$B$4)</f>
        <v/>
      </c>
      <c r="P53" s="40" t="n">
        <f aca="false">IF($A53="","",SUM($H$34:$H53))</f>
        <v>0</v>
      </c>
      <c r="Q53" s="53" t="str">
        <f aca="false">IF($A53="","",IFERROR((AVERAGE($O$34:$O53)-Config!$B$7/Config!$B$6)/STDEV($O$34:$O53)*SQRT(Config!$B$6),""))</f>
        <v/>
      </c>
      <c r="R53" s="53" t="str">
        <f aca="false">IF($A53="","",IFERROR((AVERAGE($O$4:$O53)-Config!$B$7/Config!$B$6)/STDEV($O$4:$O53)*SQRT(Config!$B$6),""))</f>
        <v/>
      </c>
      <c r="S53" s="47" t="n">
        <f aca="false">IF($H53="",$S52,IF($H53&gt;0,$S52+1,0))</f>
        <v>1</v>
      </c>
      <c r="T53" s="47" t="n">
        <f aca="false">IF($H53="",$T52,IF($H53&lt;0,$T52+1,0))</f>
        <v>0</v>
      </c>
    </row>
    <row r="54" customFormat="false" ht="15" hidden="false" customHeight="false" outlineLevel="0" collapsed="false">
      <c r="A54" s="54" t="n">
        <f aca="false">IF($A53="","",$A53+1)</f>
        <v>46285</v>
      </c>
      <c r="B54" s="5" t="str">
        <f aca="false">IF($A54="","",TEXT($A54,"ddd"))</f>
        <v>Sun</v>
      </c>
      <c r="C54" s="41" t="n">
        <f aca="false">IF($A54="","",COUNTIFS('Trade Log'!$L$4:$L$503,$A54))</f>
        <v>0</v>
      </c>
      <c r="D54" s="40" t="n">
        <f aca="false">IF($A54="","",SUMIFS('Trade Log'!$Q$4:$Q$503,'Trade Log'!$L$4:$L$503,$A54,'Trade Log'!$E$4:$E$503,"LONG"))</f>
        <v>0</v>
      </c>
      <c r="E54" s="40" t="n">
        <f aca="false">IF($A54="","",SUMIFS('Trade Log'!$Q$4:$Q$503,'Trade Log'!$L$4:$L$503,$A54,'Trade Log'!$E$4:$E$503,"SHORT"))</f>
        <v>0</v>
      </c>
      <c r="F54" s="40" t="n">
        <f aca="false">IF($A54="","",$D54+$E54)</f>
        <v>0</v>
      </c>
      <c r="G54" s="40" t="n">
        <f aca="false">IF($A54="","",SUMIFS('Trade Log'!$Y$4:$Y$503,'Trade Log'!$L$4:$L$503,$A54))</f>
        <v>0</v>
      </c>
      <c r="H54" s="40" t="str">
        <f aca="false">IF($A54="","",IF($C54=0,"",$F54-$G54))</f>
        <v/>
      </c>
      <c r="I54" s="40" t="n">
        <f aca="false">IF($A54="","",$I53+IF($H54="",0,$H54))</f>
        <v>23918.5521880349</v>
      </c>
      <c r="J54" s="40" t="n">
        <f aca="false">IF($A54="","",Config!$B$4+$I54)</f>
        <v>1023918.55218803</v>
      </c>
      <c r="K54" s="40" t="n">
        <f aca="false">IF($A54="","",MAX($J$4:$J54))</f>
        <v>1023918.55218803</v>
      </c>
      <c r="L54" s="40" t="n">
        <f aca="false">IF($A54="","",$J54-$K54)</f>
        <v>0</v>
      </c>
      <c r="M54" s="42" t="n">
        <f aca="false">IF(OR($A54="",$K54=0),"",$L54/$K54)</f>
        <v>0</v>
      </c>
      <c r="N54" s="40" t="n">
        <f aca="false">IF($A54="","",SUMIFS('Trade Log'!$K$4:$K$503,'Trade Log'!$H$4:$H$503,$A54))</f>
        <v>0</v>
      </c>
      <c r="O54" s="42" t="str">
        <f aca="false">IF(OR($A54="",$H54="",Config!$B$4=0),"",$H54/Config!$B$4)</f>
        <v/>
      </c>
      <c r="P54" s="40" t="n">
        <f aca="false">IF($A54="","",SUM($H$35:$H54))</f>
        <v>0</v>
      </c>
      <c r="Q54" s="53" t="str">
        <f aca="false">IF($A54="","",IFERROR((AVERAGE($O$35:$O54)-Config!$B$7/Config!$B$6)/STDEV($O$35:$O54)*SQRT(Config!$B$6),""))</f>
        <v/>
      </c>
      <c r="R54" s="53" t="str">
        <f aca="false">IF($A54="","",IFERROR((AVERAGE($O$4:$O54)-Config!$B$7/Config!$B$6)/STDEV($O$4:$O54)*SQRT(Config!$B$6),""))</f>
        <v/>
      </c>
      <c r="S54" s="47" t="n">
        <f aca="false">IF($H54="",$S53,IF($H54&gt;0,$S53+1,0))</f>
        <v>1</v>
      </c>
      <c r="T54" s="47" t="n">
        <f aca="false">IF($H54="",$T53,IF($H54&lt;0,$T53+1,0))</f>
        <v>0</v>
      </c>
    </row>
    <row r="55" customFormat="false" ht="15" hidden="false" customHeight="false" outlineLevel="0" collapsed="false">
      <c r="A55" s="54" t="n">
        <f aca="false">IF($A54="","",$A54+1)</f>
        <v>46286</v>
      </c>
      <c r="B55" s="5" t="str">
        <f aca="false">IF($A55="","",TEXT($A55,"ddd"))</f>
        <v>Mon</v>
      </c>
      <c r="C55" s="41" t="n">
        <f aca="false">IF($A55="","",COUNTIFS('Trade Log'!$L$4:$L$503,$A55))</f>
        <v>0</v>
      </c>
      <c r="D55" s="40" t="n">
        <f aca="false">IF($A55="","",SUMIFS('Trade Log'!$Q$4:$Q$503,'Trade Log'!$L$4:$L$503,$A55,'Trade Log'!$E$4:$E$503,"LONG"))</f>
        <v>0</v>
      </c>
      <c r="E55" s="40" t="n">
        <f aca="false">IF($A55="","",SUMIFS('Trade Log'!$Q$4:$Q$503,'Trade Log'!$L$4:$L$503,$A55,'Trade Log'!$E$4:$E$503,"SHORT"))</f>
        <v>0</v>
      </c>
      <c r="F55" s="40" t="n">
        <f aca="false">IF($A55="","",$D55+$E55)</f>
        <v>0</v>
      </c>
      <c r="G55" s="40" t="n">
        <f aca="false">IF($A55="","",SUMIFS('Trade Log'!$Y$4:$Y$503,'Trade Log'!$L$4:$L$503,$A55))</f>
        <v>0</v>
      </c>
      <c r="H55" s="40" t="str">
        <f aca="false">IF($A55="","",IF($C55=0,"",$F55-$G55))</f>
        <v/>
      </c>
      <c r="I55" s="40" t="n">
        <f aca="false">IF($A55="","",$I54+IF($H55="",0,$H55))</f>
        <v>23918.5521880349</v>
      </c>
      <c r="J55" s="40" t="n">
        <f aca="false">IF($A55="","",Config!$B$4+$I55)</f>
        <v>1023918.55218803</v>
      </c>
      <c r="K55" s="40" t="n">
        <f aca="false">IF($A55="","",MAX($J$4:$J55))</f>
        <v>1023918.55218803</v>
      </c>
      <c r="L55" s="40" t="n">
        <f aca="false">IF($A55="","",$J55-$K55)</f>
        <v>0</v>
      </c>
      <c r="M55" s="42" t="n">
        <f aca="false">IF(OR($A55="",$K55=0),"",$L55/$K55)</f>
        <v>0</v>
      </c>
      <c r="N55" s="40" t="n">
        <f aca="false">IF($A55="","",SUMIFS('Trade Log'!$K$4:$K$503,'Trade Log'!$H$4:$H$503,$A55))</f>
        <v>0</v>
      </c>
      <c r="O55" s="42" t="str">
        <f aca="false">IF(OR($A55="",$H55="",Config!$B$4=0),"",$H55/Config!$B$4)</f>
        <v/>
      </c>
      <c r="P55" s="40" t="n">
        <f aca="false">IF($A55="","",SUM($H$36:$H55))</f>
        <v>0</v>
      </c>
      <c r="Q55" s="53" t="str">
        <f aca="false">IF($A55="","",IFERROR((AVERAGE($O$36:$O55)-Config!$B$7/Config!$B$6)/STDEV($O$36:$O55)*SQRT(Config!$B$6),""))</f>
        <v/>
      </c>
      <c r="R55" s="53" t="str">
        <f aca="false">IF($A55="","",IFERROR((AVERAGE($O$4:$O55)-Config!$B$7/Config!$B$6)/STDEV($O$4:$O55)*SQRT(Config!$B$6),""))</f>
        <v/>
      </c>
      <c r="S55" s="47" t="n">
        <f aca="false">IF($H55="",$S54,IF($H55&gt;0,$S54+1,0))</f>
        <v>1</v>
      </c>
      <c r="T55" s="47" t="n">
        <f aca="false">IF($H55="",$T54,IF($H55&lt;0,$T54+1,0))</f>
        <v>0</v>
      </c>
    </row>
    <row r="56" customFormat="false" ht="15" hidden="false" customHeight="false" outlineLevel="0" collapsed="false">
      <c r="A56" s="54" t="n">
        <f aca="false">IF($A55="","",$A55+1)</f>
        <v>46287</v>
      </c>
      <c r="B56" s="5" t="str">
        <f aca="false">IF($A56="","",TEXT($A56,"ddd"))</f>
        <v>Tue</v>
      </c>
      <c r="C56" s="41" t="n">
        <f aca="false">IF($A56="","",COUNTIFS('Trade Log'!$L$4:$L$503,$A56))</f>
        <v>0</v>
      </c>
      <c r="D56" s="40" t="n">
        <f aca="false">IF($A56="","",SUMIFS('Trade Log'!$Q$4:$Q$503,'Trade Log'!$L$4:$L$503,$A56,'Trade Log'!$E$4:$E$503,"LONG"))</f>
        <v>0</v>
      </c>
      <c r="E56" s="40" t="n">
        <f aca="false">IF($A56="","",SUMIFS('Trade Log'!$Q$4:$Q$503,'Trade Log'!$L$4:$L$503,$A56,'Trade Log'!$E$4:$E$503,"SHORT"))</f>
        <v>0</v>
      </c>
      <c r="F56" s="40" t="n">
        <f aca="false">IF($A56="","",$D56+$E56)</f>
        <v>0</v>
      </c>
      <c r="G56" s="40" t="n">
        <f aca="false">IF($A56="","",SUMIFS('Trade Log'!$Y$4:$Y$503,'Trade Log'!$L$4:$L$503,$A56))</f>
        <v>0</v>
      </c>
      <c r="H56" s="40" t="str">
        <f aca="false">IF($A56="","",IF($C56=0,"",$F56-$G56))</f>
        <v/>
      </c>
      <c r="I56" s="40" t="n">
        <f aca="false">IF($A56="","",$I55+IF($H56="",0,$H56))</f>
        <v>23918.5521880349</v>
      </c>
      <c r="J56" s="40" t="n">
        <f aca="false">IF($A56="","",Config!$B$4+$I56)</f>
        <v>1023918.55218803</v>
      </c>
      <c r="K56" s="40" t="n">
        <f aca="false">IF($A56="","",MAX($J$4:$J56))</f>
        <v>1023918.55218803</v>
      </c>
      <c r="L56" s="40" t="n">
        <f aca="false">IF($A56="","",$J56-$K56)</f>
        <v>0</v>
      </c>
      <c r="M56" s="42" t="n">
        <f aca="false">IF(OR($A56="",$K56=0),"",$L56/$K56)</f>
        <v>0</v>
      </c>
      <c r="N56" s="40" t="n">
        <f aca="false">IF($A56="","",SUMIFS('Trade Log'!$K$4:$K$503,'Trade Log'!$H$4:$H$503,$A56))</f>
        <v>0</v>
      </c>
      <c r="O56" s="42" t="str">
        <f aca="false">IF(OR($A56="",$H56="",Config!$B$4=0),"",$H56/Config!$B$4)</f>
        <v/>
      </c>
      <c r="P56" s="40" t="n">
        <f aca="false">IF($A56="","",SUM($H$37:$H56))</f>
        <v>0</v>
      </c>
      <c r="Q56" s="53" t="str">
        <f aca="false">IF($A56="","",IFERROR((AVERAGE($O$37:$O56)-Config!$B$7/Config!$B$6)/STDEV($O$37:$O56)*SQRT(Config!$B$6),""))</f>
        <v/>
      </c>
      <c r="R56" s="53" t="str">
        <f aca="false">IF($A56="","",IFERROR((AVERAGE($O$4:$O56)-Config!$B$7/Config!$B$6)/STDEV($O$4:$O56)*SQRT(Config!$B$6),""))</f>
        <v/>
      </c>
      <c r="S56" s="47" t="n">
        <f aca="false">IF($H56="",$S55,IF($H56&gt;0,$S55+1,0))</f>
        <v>1</v>
      </c>
      <c r="T56" s="47" t="n">
        <f aca="false">IF($H56="",$T55,IF($H56&lt;0,$T55+1,0))</f>
        <v>0</v>
      </c>
    </row>
    <row r="57" customFormat="false" ht="15" hidden="false" customHeight="false" outlineLevel="0" collapsed="false">
      <c r="A57" s="54" t="n">
        <f aca="false">IF($A56="","",$A56+1)</f>
        <v>46288</v>
      </c>
      <c r="B57" s="5" t="str">
        <f aca="false">IF($A57="","",TEXT($A57,"ddd"))</f>
        <v>Wed</v>
      </c>
      <c r="C57" s="41" t="n">
        <f aca="false">IF($A57="","",COUNTIFS('Trade Log'!$L$4:$L$503,$A57))</f>
        <v>0</v>
      </c>
      <c r="D57" s="40" t="n">
        <f aca="false">IF($A57="","",SUMIFS('Trade Log'!$Q$4:$Q$503,'Trade Log'!$L$4:$L$503,$A57,'Trade Log'!$E$4:$E$503,"LONG"))</f>
        <v>0</v>
      </c>
      <c r="E57" s="40" t="n">
        <f aca="false">IF($A57="","",SUMIFS('Trade Log'!$Q$4:$Q$503,'Trade Log'!$L$4:$L$503,$A57,'Trade Log'!$E$4:$E$503,"SHORT"))</f>
        <v>0</v>
      </c>
      <c r="F57" s="40" t="n">
        <f aca="false">IF($A57="","",$D57+$E57)</f>
        <v>0</v>
      </c>
      <c r="G57" s="40" t="n">
        <f aca="false">IF($A57="","",SUMIFS('Trade Log'!$Y$4:$Y$503,'Trade Log'!$L$4:$L$503,$A57))</f>
        <v>0</v>
      </c>
      <c r="H57" s="40" t="str">
        <f aca="false">IF($A57="","",IF($C57=0,"",$F57-$G57))</f>
        <v/>
      </c>
      <c r="I57" s="40" t="n">
        <f aca="false">IF($A57="","",$I56+IF($H57="",0,$H57))</f>
        <v>23918.5521880349</v>
      </c>
      <c r="J57" s="40" t="n">
        <f aca="false">IF($A57="","",Config!$B$4+$I57)</f>
        <v>1023918.55218803</v>
      </c>
      <c r="K57" s="40" t="n">
        <f aca="false">IF($A57="","",MAX($J$4:$J57))</f>
        <v>1023918.55218803</v>
      </c>
      <c r="L57" s="40" t="n">
        <f aca="false">IF($A57="","",$J57-$K57)</f>
        <v>0</v>
      </c>
      <c r="M57" s="42" t="n">
        <f aca="false">IF(OR($A57="",$K57=0),"",$L57/$K57)</f>
        <v>0</v>
      </c>
      <c r="N57" s="40" t="n">
        <f aca="false">IF($A57="","",SUMIFS('Trade Log'!$K$4:$K$503,'Trade Log'!$H$4:$H$503,$A57))</f>
        <v>0</v>
      </c>
      <c r="O57" s="42" t="str">
        <f aca="false">IF(OR($A57="",$H57="",Config!$B$4=0),"",$H57/Config!$B$4)</f>
        <v/>
      </c>
      <c r="P57" s="40" t="n">
        <f aca="false">IF($A57="","",SUM($H$38:$H57))</f>
        <v>0</v>
      </c>
      <c r="Q57" s="53" t="str">
        <f aca="false">IF($A57="","",IFERROR((AVERAGE($O$38:$O57)-Config!$B$7/Config!$B$6)/STDEV($O$38:$O57)*SQRT(Config!$B$6),""))</f>
        <v/>
      </c>
      <c r="R57" s="53" t="str">
        <f aca="false">IF($A57="","",IFERROR((AVERAGE($O$4:$O57)-Config!$B$7/Config!$B$6)/STDEV($O$4:$O57)*SQRT(Config!$B$6),""))</f>
        <v/>
      </c>
      <c r="S57" s="47" t="n">
        <f aca="false">IF($H57="",$S56,IF($H57&gt;0,$S56+1,0))</f>
        <v>1</v>
      </c>
      <c r="T57" s="47" t="n">
        <f aca="false">IF($H57="",$T56,IF($H57&lt;0,$T56+1,0))</f>
        <v>0</v>
      </c>
    </row>
    <row r="58" customFormat="false" ht="15" hidden="false" customHeight="false" outlineLevel="0" collapsed="false">
      <c r="A58" s="54" t="n">
        <f aca="false">IF($A57="","",$A57+1)</f>
        <v>46289</v>
      </c>
      <c r="B58" s="5" t="str">
        <f aca="false">IF($A58="","",TEXT($A58,"ddd"))</f>
        <v>Thu</v>
      </c>
      <c r="C58" s="41" t="n">
        <f aca="false">IF($A58="","",COUNTIFS('Trade Log'!$L$4:$L$503,$A58))</f>
        <v>0</v>
      </c>
      <c r="D58" s="40" t="n">
        <f aca="false">IF($A58="","",SUMIFS('Trade Log'!$Q$4:$Q$503,'Trade Log'!$L$4:$L$503,$A58,'Trade Log'!$E$4:$E$503,"LONG"))</f>
        <v>0</v>
      </c>
      <c r="E58" s="40" t="n">
        <f aca="false">IF($A58="","",SUMIFS('Trade Log'!$Q$4:$Q$503,'Trade Log'!$L$4:$L$503,$A58,'Trade Log'!$E$4:$E$503,"SHORT"))</f>
        <v>0</v>
      </c>
      <c r="F58" s="40" t="n">
        <f aca="false">IF($A58="","",$D58+$E58)</f>
        <v>0</v>
      </c>
      <c r="G58" s="40" t="n">
        <f aca="false">IF($A58="","",SUMIFS('Trade Log'!$Y$4:$Y$503,'Trade Log'!$L$4:$L$503,$A58))</f>
        <v>0</v>
      </c>
      <c r="H58" s="40" t="str">
        <f aca="false">IF($A58="","",IF($C58=0,"",$F58-$G58))</f>
        <v/>
      </c>
      <c r="I58" s="40" t="n">
        <f aca="false">IF($A58="","",$I57+IF($H58="",0,$H58))</f>
        <v>23918.5521880349</v>
      </c>
      <c r="J58" s="40" t="n">
        <f aca="false">IF($A58="","",Config!$B$4+$I58)</f>
        <v>1023918.55218803</v>
      </c>
      <c r="K58" s="40" t="n">
        <f aca="false">IF($A58="","",MAX($J$4:$J58))</f>
        <v>1023918.55218803</v>
      </c>
      <c r="L58" s="40" t="n">
        <f aca="false">IF($A58="","",$J58-$K58)</f>
        <v>0</v>
      </c>
      <c r="M58" s="42" t="n">
        <f aca="false">IF(OR($A58="",$K58=0),"",$L58/$K58)</f>
        <v>0</v>
      </c>
      <c r="N58" s="40" t="n">
        <f aca="false">IF($A58="","",SUMIFS('Trade Log'!$K$4:$K$503,'Trade Log'!$H$4:$H$503,$A58))</f>
        <v>0</v>
      </c>
      <c r="O58" s="42" t="str">
        <f aca="false">IF(OR($A58="",$H58="",Config!$B$4=0),"",$H58/Config!$B$4)</f>
        <v/>
      </c>
      <c r="P58" s="40" t="n">
        <f aca="false">IF($A58="","",SUM($H$39:$H58))</f>
        <v>0</v>
      </c>
      <c r="Q58" s="53" t="str">
        <f aca="false">IF($A58="","",IFERROR((AVERAGE($O$39:$O58)-Config!$B$7/Config!$B$6)/STDEV($O$39:$O58)*SQRT(Config!$B$6),""))</f>
        <v/>
      </c>
      <c r="R58" s="53" t="str">
        <f aca="false">IF($A58="","",IFERROR((AVERAGE($O$4:$O58)-Config!$B$7/Config!$B$6)/STDEV($O$4:$O58)*SQRT(Config!$B$6),""))</f>
        <v/>
      </c>
      <c r="S58" s="47" t="n">
        <f aca="false">IF($H58="",$S57,IF($H58&gt;0,$S57+1,0))</f>
        <v>1</v>
      </c>
      <c r="T58" s="47" t="n">
        <f aca="false">IF($H58="",$T57,IF($H58&lt;0,$T57+1,0))</f>
        <v>0</v>
      </c>
    </row>
    <row r="59" customFormat="false" ht="15" hidden="false" customHeight="false" outlineLevel="0" collapsed="false">
      <c r="A59" s="54" t="n">
        <f aca="false">IF($A58="","",$A58+1)</f>
        <v>46290</v>
      </c>
      <c r="B59" s="5" t="str">
        <f aca="false">IF($A59="","",TEXT($A59,"ddd"))</f>
        <v>Fri</v>
      </c>
      <c r="C59" s="41" t="n">
        <f aca="false">IF($A59="","",COUNTIFS('Trade Log'!$L$4:$L$503,$A59))</f>
        <v>0</v>
      </c>
      <c r="D59" s="40" t="n">
        <f aca="false">IF($A59="","",SUMIFS('Trade Log'!$Q$4:$Q$503,'Trade Log'!$L$4:$L$503,$A59,'Trade Log'!$E$4:$E$503,"LONG"))</f>
        <v>0</v>
      </c>
      <c r="E59" s="40" t="n">
        <f aca="false">IF($A59="","",SUMIFS('Trade Log'!$Q$4:$Q$503,'Trade Log'!$L$4:$L$503,$A59,'Trade Log'!$E$4:$E$503,"SHORT"))</f>
        <v>0</v>
      </c>
      <c r="F59" s="40" t="n">
        <f aca="false">IF($A59="","",$D59+$E59)</f>
        <v>0</v>
      </c>
      <c r="G59" s="40" t="n">
        <f aca="false">IF($A59="","",SUMIFS('Trade Log'!$Y$4:$Y$503,'Trade Log'!$L$4:$L$503,$A59))</f>
        <v>0</v>
      </c>
      <c r="H59" s="40" t="str">
        <f aca="false">IF($A59="","",IF($C59=0,"",$F59-$G59))</f>
        <v/>
      </c>
      <c r="I59" s="40" t="n">
        <f aca="false">IF($A59="","",$I58+IF($H59="",0,$H59))</f>
        <v>23918.5521880349</v>
      </c>
      <c r="J59" s="40" t="n">
        <f aca="false">IF($A59="","",Config!$B$4+$I59)</f>
        <v>1023918.55218803</v>
      </c>
      <c r="K59" s="40" t="n">
        <f aca="false">IF($A59="","",MAX($J$4:$J59))</f>
        <v>1023918.55218803</v>
      </c>
      <c r="L59" s="40" t="n">
        <f aca="false">IF($A59="","",$J59-$K59)</f>
        <v>0</v>
      </c>
      <c r="M59" s="42" t="n">
        <f aca="false">IF(OR($A59="",$K59=0),"",$L59/$K59)</f>
        <v>0</v>
      </c>
      <c r="N59" s="40" t="n">
        <f aca="false">IF($A59="","",SUMIFS('Trade Log'!$K$4:$K$503,'Trade Log'!$H$4:$H$503,$A59))</f>
        <v>0</v>
      </c>
      <c r="O59" s="42" t="str">
        <f aca="false">IF(OR($A59="",$H59="",Config!$B$4=0),"",$H59/Config!$B$4)</f>
        <v/>
      </c>
      <c r="P59" s="40" t="n">
        <f aca="false">IF($A59="","",SUM($H$40:$H59))</f>
        <v>0</v>
      </c>
      <c r="Q59" s="53" t="str">
        <f aca="false">IF($A59="","",IFERROR((AVERAGE($O$40:$O59)-Config!$B$7/Config!$B$6)/STDEV($O$40:$O59)*SQRT(Config!$B$6),""))</f>
        <v/>
      </c>
      <c r="R59" s="53" t="str">
        <f aca="false">IF($A59="","",IFERROR((AVERAGE($O$4:$O59)-Config!$B$7/Config!$B$6)/STDEV($O$4:$O59)*SQRT(Config!$B$6),""))</f>
        <v/>
      </c>
      <c r="S59" s="47" t="n">
        <f aca="false">IF($H59="",$S58,IF($H59&gt;0,$S58+1,0))</f>
        <v>1</v>
      </c>
      <c r="T59" s="47" t="n">
        <f aca="false">IF($H59="",$T58,IF($H59&lt;0,$T58+1,0))</f>
        <v>0</v>
      </c>
    </row>
    <row r="60" customFormat="false" ht="15" hidden="false" customHeight="false" outlineLevel="0" collapsed="false">
      <c r="A60" s="54" t="n">
        <f aca="false">IF($A59="","",$A59+1)</f>
        <v>46291</v>
      </c>
      <c r="B60" s="5" t="str">
        <f aca="false">IF($A60="","",TEXT($A60,"ddd"))</f>
        <v>Sat</v>
      </c>
      <c r="C60" s="41" t="n">
        <f aca="false">IF($A60="","",COUNTIFS('Trade Log'!$L$4:$L$503,$A60))</f>
        <v>0</v>
      </c>
      <c r="D60" s="40" t="n">
        <f aca="false">IF($A60="","",SUMIFS('Trade Log'!$Q$4:$Q$503,'Trade Log'!$L$4:$L$503,$A60,'Trade Log'!$E$4:$E$503,"LONG"))</f>
        <v>0</v>
      </c>
      <c r="E60" s="40" t="n">
        <f aca="false">IF($A60="","",SUMIFS('Trade Log'!$Q$4:$Q$503,'Trade Log'!$L$4:$L$503,$A60,'Trade Log'!$E$4:$E$503,"SHORT"))</f>
        <v>0</v>
      </c>
      <c r="F60" s="40" t="n">
        <f aca="false">IF($A60="","",$D60+$E60)</f>
        <v>0</v>
      </c>
      <c r="G60" s="40" t="n">
        <f aca="false">IF($A60="","",SUMIFS('Trade Log'!$Y$4:$Y$503,'Trade Log'!$L$4:$L$503,$A60))</f>
        <v>0</v>
      </c>
      <c r="H60" s="40" t="str">
        <f aca="false">IF($A60="","",IF($C60=0,"",$F60-$G60))</f>
        <v/>
      </c>
      <c r="I60" s="40" t="n">
        <f aca="false">IF($A60="","",$I59+IF($H60="",0,$H60))</f>
        <v>23918.5521880349</v>
      </c>
      <c r="J60" s="40" t="n">
        <f aca="false">IF($A60="","",Config!$B$4+$I60)</f>
        <v>1023918.55218803</v>
      </c>
      <c r="K60" s="40" t="n">
        <f aca="false">IF($A60="","",MAX($J$4:$J60))</f>
        <v>1023918.55218803</v>
      </c>
      <c r="L60" s="40" t="n">
        <f aca="false">IF($A60="","",$J60-$K60)</f>
        <v>0</v>
      </c>
      <c r="M60" s="42" t="n">
        <f aca="false">IF(OR($A60="",$K60=0),"",$L60/$K60)</f>
        <v>0</v>
      </c>
      <c r="N60" s="40" t="n">
        <f aca="false">IF($A60="","",SUMIFS('Trade Log'!$K$4:$K$503,'Trade Log'!$H$4:$H$503,$A60))</f>
        <v>0</v>
      </c>
      <c r="O60" s="42" t="str">
        <f aca="false">IF(OR($A60="",$H60="",Config!$B$4=0),"",$H60/Config!$B$4)</f>
        <v/>
      </c>
      <c r="P60" s="40" t="n">
        <f aca="false">IF($A60="","",SUM($H$41:$H60))</f>
        <v>0</v>
      </c>
      <c r="Q60" s="53" t="str">
        <f aca="false">IF($A60="","",IFERROR((AVERAGE($O$41:$O60)-Config!$B$7/Config!$B$6)/STDEV($O$41:$O60)*SQRT(Config!$B$6),""))</f>
        <v/>
      </c>
      <c r="R60" s="53" t="str">
        <f aca="false">IF($A60="","",IFERROR((AVERAGE($O$4:$O60)-Config!$B$7/Config!$B$6)/STDEV($O$4:$O60)*SQRT(Config!$B$6),""))</f>
        <v/>
      </c>
      <c r="S60" s="47" t="n">
        <f aca="false">IF($H60="",$S59,IF($H60&gt;0,$S59+1,0))</f>
        <v>1</v>
      </c>
      <c r="T60" s="47" t="n">
        <f aca="false">IF($H60="",$T59,IF($H60&lt;0,$T59+1,0))</f>
        <v>0</v>
      </c>
    </row>
    <row r="61" customFormat="false" ht="15" hidden="false" customHeight="false" outlineLevel="0" collapsed="false">
      <c r="A61" s="54" t="n">
        <f aca="false">IF($A60="","",$A60+1)</f>
        <v>46292</v>
      </c>
      <c r="B61" s="5" t="str">
        <f aca="false">IF($A61="","",TEXT($A61,"ddd"))</f>
        <v>Sun</v>
      </c>
      <c r="C61" s="41" t="n">
        <f aca="false">IF($A61="","",COUNTIFS('Trade Log'!$L$4:$L$503,$A61))</f>
        <v>0</v>
      </c>
      <c r="D61" s="40" t="n">
        <f aca="false">IF($A61="","",SUMIFS('Trade Log'!$Q$4:$Q$503,'Trade Log'!$L$4:$L$503,$A61,'Trade Log'!$E$4:$E$503,"LONG"))</f>
        <v>0</v>
      </c>
      <c r="E61" s="40" t="n">
        <f aca="false">IF($A61="","",SUMIFS('Trade Log'!$Q$4:$Q$503,'Trade Log'!$L$4:$L$503,$A61,'Trade Log'!$E$4:$E$503,"SHORT"))</f>
        <v>0</v>
      </c>
      <c r="F61" s="40" t="n">
        <f aca="false">IF($A61="","",$D61+$E61)</f>
        <v>0</v>
      </c>
      <c r="G61" s="40" t="n">
        <f aca="false">IF($A61="","",SUMIFS('Trade Log'!$Y$4:$Y$503,'Trade Log'!$L$4:$L$503,$A61))</f>
        <v>0</v>
      </c>
      <c r="H61" s="40" t="str">
        <f aca="false">IF($A61="","",IF($C61=0,"",$F61-$G61))</f>
        <v/>
      </c>
      <c r="I61" s="40" t="n">
        <f aca="false">IF($A61="","",$I60+IF($H61="",0,$H61))</f>
        <v>23918.5521880349</v>
      </c>
      <c r="J61" s="40" t="n">
        <f aca="false">IF($A61="","",Config!$B$4+$I61)</f>
        <v>1023918.55218803</v>
      </c>
      <c r="K61" s="40" t="n">
        <f aca="false">IF($A61="","",MAX($J$4:$J61))</f>
        <v>1023918.55218803</v>
      </c>
      <c r="L61" s="40" t="n">
        <f aca="false">IF($A61="","",$J61-$K61)</f>
        <v>0</v>
      </c>
      <c r="M61" s="42" t="n">
        <f aca="false">IF(OR($A61="",$K61=0),"",$L61/$K61)</f>
        <v>0</v>
      </c>
      <c r="N61" s="40" t="n">
        <f aca="false">IF($A61="","",SUMIFS('Trade Log'!$K$4:$K$503,'Trade Log'!$H$4:$H$503,$A61))</f>
        <v>0</v>
      </c>
      <c r="O61" s="42" t="str">
        <f aca="false">IF(OR($A61="",$H61="",Config!$B$4=0),"",$H61/Config!$B$4)</f>
        <v/>
      </c>
      <c r="P61" s="40" t="n">
        <f aca="false">IF($A61="","",SUM($H$42:$H61))</f>
        <v>0</v>
      </c>
      <c r="Q61" s="53" t="str">
        <f aca="false">IF($A61="","",IFERROR((AVERAGE($O$42:$O61)-Config!$B$7/Config!$B$6)/STDEV($O$42:$O61)*SQRT(Config!$B$6),""))</f>
        <v/>
      </c>
      <c r="R61" s="53" t="str">
        <f aca="false">IF($A61="","",IFERROR((AVERAGE($O$4:$O61)-Config!$B$7/Config!$B$6)/STDEV($O$4:$O61)*SQRT(Config!$B$6),""))</f>
        <v/>
      </c>
      <c r="S61" s="47" t="n">
        <f aca="false">IF($H61="",$S60,IF($H61&gt;0,$S60+1,0))</f>
        <v>1</v>
      </c>
      <c r="T61" s="47" t="n">
        <f aca="false">IF($H61="",$T60,IF($H61&lt;0,$T60+1,0))</f>
        <v>0</v>
      </c>
    </row>
    <row r="62" customFormat="false" ht="15" hidden="false" customHeight="false" outlineLevel="0" collapsed="false">
      <c r="A62" s="54" t="n">
        <f aca="false">IF($A61="","",$A61+1)</f>
        <v>46293</v>
      </c>
      <c r="B62" s="5" t="str">
        <f aca="false">IF($A62="","",TEXT($A62,"ddd"))</f>
        <v>Mon</v>
      </c>
      <c r="C62" s="41" t="n">
        <f aca="false">IF($A62="","",COUNTIFS('Trade Log'!$L$4:$L$503,$A62))</f>
        <v>0</v>
      </c>
      <c r="D62" s="40" t="n">
        <f aca="false">IF($A62="","",SUMIFS('Trade Log'!$Q$4:$Q$503,'Trade Log'!$L$4:$L$503,$A62,'Trade Log'!$E$4:$E$503,"LONG"))</f>
        <v>0</v>
      </c>
      <c r="E62" s="40" t="n">
        <f aca="false">IF($A62="","",SUMIFS('Trade Log'!$Q$4:$Q$503,'Trade Log'!$L$4:$L$503,$A62,'Trade Log'!$E$4:$E$503,"SHORT"))</f>
        <v>0</v>
      </c>
      <c r="F62" s="40" t="n">
        <f aca="false">IF($A62="","",$D62+$E62)</f>
        <v>0</v>
      </c>
      <c r="G62" s="40" t="n">
        <f aca="false">IF($A62="","",SUMIFS('Trade Log'!$Y$4:$Y$503,'Trade Log'!$L$4:$L$503,$A62))</f>
        <v>0</v>
      </c>
      <c r="H62" s="40" t="str">
        <f aca="false">IF($A62="","",IF($C62=0,"",$F62-$G62))</f>
        <v/>
      </c>
      <c r="I62" s="40" t="n">
        <f aca="false">IF($A62="","",$I61+IF($H62="",0,$H62))</f>
        <v>23918.5521880349</v>
      </c>
      <c r="J62" s="40" t="n">
        <f aca="false">IF($A62="","",Config!$B$4+$I62)</f>
        <v>1023918.55218803</v>
      </c>
      <c r="K62" s="40" t="n">
        <f aca="false">IF($A62="","",MAX($J$4:$J62))</f>
        <v>1023918.55218803</v>
      </c>
      <c r="L62" s="40" t="n">
        <f aca="false">IF($A62="","",$J62-$K62)</f>
        <v>0</v>
      </c>
      <c r="M62" s="42" t="n">
        <f aca="false">IF(OR($A62="",$K62=0),"",$L62/$K62)</f>
        <v>0</v>
      </c>
      <c r="N62" s="40" t="n">
        <f aca="false">IF($A62="","",SUMIFS('Trade Log'!$K$4:$K$503,'Trade Log'!$H$4:$H$503,$A62))</f>
        <v>0</v>
      </c>
      <c r="O62" s="42" t="str">
        <f aca="false">IF(OR($A62="",$H62="",Config!$B$4=0),"",$H62/Config!$B$4)</f>
        <v/>
      </c>
      <c r="P62" s="40" t="n">
        <f aca="false">IF($A62="","",SUM($H$43:$H62))</f>
        <v>0</v>
      </c>
      <c r="Q62" s="53" t="str">
        <f aca="false">IF($A62="","",IFERROR((AVERAGE($O$43:$O62)-Config!$B$7/Config!$B$6)/STDEV($O$43:$O62)*SQRT(Config!$B$6),""))</f>
        <v/>
      </c>
      <c r="R62" s="53" t="str">
        <f aca="false">IF($A62="","",IFERROR((AVERAGE($O$4:$O62)-Config!$B$7/Config!$B$6)/STDEV($O$4:$O62)*SQRT(Config!$B$6),""))</f>
        <v/>
      </c>
      <c r="S62" s="47" t="n">
        <f aca="false">IF($H62="",$S61,IF($H62&gt;0,$S61+1,0))</f>
        <v>1</v>
      </c>
      <c r="T62" s="47" t="n">
        <f aca="false">IF($H62="",$T61,IF($H62&lt;0,$T61+1,0))</f>
        <v>0</v>
      </c>
    </row>
    <row r="63" customFormat="false" ht="15" hidden="false" customHeight="false" outlineLevel="0" collapsed="false">
      <c r="A63" s="54" t="n">
        <f aca="false">IF($A62="","",$A62+1)</f>
        <v>46294</v>
      </c>
      <c r="B63" s="5" t="str">
        <f aca="false">IF($A63="","",TEXT($A63,"ddd"))</f>
        <v>Tue</v>
      </c>
      <c r="C63" s="41" t="n">
        <f aca="false">IF($A63="","",COUNTIFS('Trade Log'!$L$4:$L$503,$A63))</f>
        <v>0</v>
      </c>
      <c r="D63" s="40" t="n">
        <f aca="false">IF($A63="","",SUMIFS('Trade Log'!$Q$4:$Q$503,'Trade Log'!$L$4:$L$503,$A63,'Trade Log'!$E$4:$E$503,"LONG"))</f>
        <v>0</v>
      </c>
      <c r="E63" s="40" t="n">
        <f aca="false">IF($A63="","",SUMIFS('Trade Log'!$Q$4:$Q$503,'Trade Log'!$L$4:$L$503,$A63,'Trade Log'!$E$4:$E$503,"SHORT"))</f>
        <v>0</v>
      </c>
      <c r="F63" s="40" t="n">
        <f aca="false">IF($A63="","",$D63+$E63)</f>
        <v>0</v>
      </c>
      <c r="G63" s="40" t="n">
        <f aca="false">IF($A63="","",SUMIFS('Trade Log'!$Y$4:$Y$503,'Trade Log'!$L$4:$L$503,$A63))</f>
        <v>0</v>
      </c>
      <c r="H63" s="40" t="str">
        <f aca="false">IF($A63="","",IF($C63=0,"",$F63-$G63))</f>
        <v/>
      </c>
      <c r="I63" s="40" t="n">
        <f aca="false">IF($A63="","",$I62+IF($H63="",0,$H63))</f>
        <v>23918.5521880349</v>
      </c>
      <c r="J63" s="40" t="n">
        <f aca="false">IF($A63="","",Config!$B$4+$I63)</f>
        <v>1023918.55218803</v>
      </c>
      <c r="K63" s="40" t="n">
        <f aca="false">IF($A63="","",MAX($J$4:$J63))</f>
        <v>1023918.55218803</v>
      </c>
      <c r="L63" s="40" t="n">
        <f aca="false">IF($A63="","",$J63-$K63)</f>
        <v>0</v>
      </c>
      <c r="M63" s="42" t="n">
        <f aca="false">IF(OR($A63="",$K63=0),"",$L63/$K63)</f>
        <v>0</v>
      </c>
      <c r="N63" s="40" t="n">
        <f aca="false">IF($A63="","",SUMIFS('Trade Log'!$K$4:$K$503,'Trade Log'!$H$4:$H$503,$A63))</f>
        <v>0</v>
      </c>
      <c r="O63" s="42" t="str">
        <f aca="false">IF(OR($A63="",$H63="",Config!$B$4=0),"",$H63/Config!$B$4)</f>
        <v/>
      </c>
      <c r="P63" s="40" t="n">
        <f aca="false">IF($A63="","",SUM($H$44:$H63))</f>
        <v>0</v>
      </c>
      <c r="Q63" s="53" t="str">
        <f aca="false">IF($A63="","",IFERROR((AVERAGE($O$44:$O63)-Config!$B$7/Config!$B$6)/STDEV($O$44:$O63)*SQRT(Config!$B$6),""))</f>
        <v/>
      </c>
      <c r="R63" s="53" t="str">
        <f aca="false">IF($A63="","",IFERROR((AVERAGE($O$4:$O63)-Config!$B$7/Config!$B$6)/STDEV($O$4:$O63)*SQRT(Config!$B$6),""))</f>
        <v/>
      </c>
      <c r="S63" s="47" t="n">
        <f aca="false">IF($H63="",$S62,IF($H63&gt;0,$S62+1,0))</f>
        <v>1</v>
      </c>
      <c r="T63" s="47" t="n">
        <f aca="false">IF($H63="",$T62,IF($H63&lt;0,$T62+1,0))</f>
        <v>0</v>
      </c>
    </row>
    <row r="64" customFormat="false" ht="15" hidden="false" customHeight="false" outlineLevel="0" collapsed="false">
      <c r="A64" s="54" t="n">
        <f aca="false">IF($A63="","",$A63+1)</f>
        <v>46295</v>
      </c>
      <c r="B64" s="5" t="str">
        <f aca="false">IF($A64="","",TEXT($A64,"ddd"))</f>
        <v>Wed</v>
      </c>
      <c r="C64" s="41" t="n">
        <f aca="false">IF($A64="","",COUNTIFS('Trade Log'!$L$4:$L$503,$A64))</f>
        <v>0</v>
      </c>
      <c r="D64" s="40" t="n">
        <f aca="false">IF($A64="","",SUMIFS('Trade Log'!$Q$4:$Q$503,'Trade Log'!$L$4:$L$503,$A64,'Trade Log'!$E$4:$E$503,"LONG"))</f>
        <v>0</v>
      </c>
      <c r="E64" s="40" t="n">
        <f aca="false">IF($A64="","",SUMIFS('Trade Log'!$Q$4:$Q$503,'Trade Log'!$L$4:$L$503,$A64,'Trade Log'!$E$4:$E$503,"SHORT"))</f>
        <v>0</v>
      </c>
      <c r="F64" s="40" t="n">
        <f aca="false">IF($A64="","",$D64+$E64)</f>
        <v>0</v>
      </c>
      <c r="G64" s="40" t="n">
        <f aca="false">IF($A64="","",SUMIFS('Trade Log'!$Y$4:$Y$503,'Trade Log'!$L$4:$L$503,$A64))</f>
        <v>0</v>
      </c>
      <c r="H64" s="40" t="str">
        <f aca="false">IF($A64="","",IF($C64=0,"",$F64-$G64))</f>
        <v/>
      </c>
      <c r="I64" s="40" t="n">
        <f aca="false">IF($A64="","",$I63+IF($H64="",0,$H64))</f>
        <v>23918.5521880349</v>
      </c>
      <c r="J64" s="40" t="n">
        <f aca="false">IF($A64="","",Config!$B$4+$I64)</f>
        <v>1023918.55218803</v>
      </c>
      <c r="K64" s="40" t="n">
        <f aca="false">IF($A64="","",MAX($J$4:$J64))</f>
        <v>1023918.55218803</v>
      </c>
      <c r="L64" s="40" t="n">
        <f aca="false">IF($A64="","",$J64-$K64)</f>
        <v>0</v>
      </c>
      <c r="M64" s="42" t="n">
        <f aca="false">IF(OR($A64="",$K64=0),"",$L64/$K64)</f>
        <v>0</v>
      </c>
      <c r="N64" s="40" t="n">
        <f aca="false">IF($A64="","",SUMIFS('Trade Log'!$K$4:$K$503,'Trade Log'!$H$4:$H$503,$A64))</f>
        <v>0</v>
      </c>
      <c r="O64" s="42" t="str">
        <f aca="false">IF(OR($A64="",$H64="",Config!$B$4=0),"",$H64/Config!$B$4)</f>
        <v/>
      </c>
      <c r="P64" s="40" t="n">
        <f aca="false">IF($A64="","",SUM($H$45:$H64))</f>
        <v>0</v>
      </c>
      <c r="Q64" s="53" t="str">
        <f aca="false">IF($A64="","",IFERROR((AVERAGE($O$45:$O64)-Config!$B$7/Config!$B$6)/STDEV($O$45:$O64)*SQRT(Config!$B$6),""))</f>
        <v/>
      </c>
      <c r="R64" s="53" t="str">
        <f aca="false">IF($A64="","",IFERROR((AVERAGE($O$5:$O64)-Config!$B$7/Config!$B$6)/STDEV($O$5:$O64)*SQRT(Config!$B$6),""))</f>
        <v/>
      </c>
      <c r="S64" s="47" t="n">
        <f aca="false">IF($H64="",$S63,IF($H64&gt;0,$S63+1,0))</f>
        <v>1</v>
      </c>
      <c r="T64" s="47" t="n">
        <f aca="false">IF($H64="",$T63,IF($H64&lt;0,$T63+1,0))</f>
        <v>0</v>
      </c>
    </row>
    <row r="65" customFormat="false" ht="15" hidden="false" customHeight="false" outlineLevel="0" collapsed="false">
      <c r="A65" s="54" t="n">
        <f aca="false">IF($A64="","",$A64+1)</f>
        <v>46296</v>
      </c>
      <c r="B65" s="5" t="str">
        <f aca="false">IF($A65="","",TEXT($A65,"ddd"))</f>
        <v>Thu</v>
      </c>
      <c r="C65" s="41" t="n">
        <f aca="false">IF($A65="","",COUNTIFS('Trade Log'!$L$4:$L$503,$A65))</f>
        <v>0</v>
      </c>
      <c r="D65" s="40" t="n">
        <f aca="false">IF($A65="","",SUMIFS('Trade Log'!$Q$4:$Q$503,'Trade Log'!$L$4:$L$503,$A65,'Trade Log'!$E$4:$E$503,"LONG"))</f>
        <v>0</v>
      </c>
      <c r="E65" s="40" t="n">
        <f aca="false">IF($A65="","",SUMIFS('Trade Log'!$Q$4:$Q$503,'Trade Log'!$L$4:$L$503,$A65,'Trade Log'!$E$4:$E$503,"SHORT"))</f>
        <v>0</v>
      </c>
      <c r="F65" s="40" t="n">
        <f aca="false">IF($A65="","",$D65+$E65)</f>
        <v>0</v>
      </c>
      <c r="G65" s="40" t="n">
        <f aca="false">IF($A65="","",SUMIFS('Trade Log'!$Y$4:$Y$503,'Trade Log'!$L$4:$L$503,$A65))</f>
        <v>0</v>
      </c>
      <c r="H65" s="40" t="str">
        <f aca="false">IF($A65="","",IF($C65=0,"",$F65-$G65))</f>
        <v/>
      </c>
      <c r="I65" s="40" t="n">
        <f aca="false">IF($A65="","",$I64+IF($H65="",0,$H65))</f>
        <v>23918.5521880349</v>
      </c>
      <c r="J65" s="40" t="n">
        <f aca="false">IF($A65="","",Config!$B$4+$I65)</f>
        <v>1023918.55218803</v>
      </c>
      <c r="K65" s="40" t="n">
        <f aca="false">IF($A65="","",MAX($J$4:$J65))</f>
        <v>1023918.55218803</v>
      </c>
      <c r="L65" s="40" t="n">
        <f aca="false">IF($A65="","",$J65-$K65)</f>
        <v>0</v>
      </c>
      <c r="M65" s="42" t="n">
        <f aca="false">IF(OR($A65="",$K65=0),"",$L65/$K65)</f>
        <v>0</v>
      </c>
      <c r="N65" s="40" t="n">
        <f aca="false">IF($A65="","",SUMIFS('Trade Log'!$K$4:$K$503,'Trade Log'!$H$4:$H$503,$A65))</f>
        <v>0</v>
      </c>
      <c r="O65" s="42" t="str">
        <f aca="false">IF(OR($A65="",$H65="",Config!$B$4=0),"",$H65/Config!$B$4)</f>
        <v/>
      </c>
      <c r="P65" s="40" t="n">
        <f aca="false">IF($A65="","",SUM($H$46:$H65))</f>
        <v>0</v>
      </c>
      <c r="Q65" s="53" t="str">
        <f aca="false">IF($A65="","",IFERROR((AVERAGE($O$46:$O65)-Config!$B$7/Config!$B$6)/STDEV($O$46:$O65)*SQRT(Config!$B$6),""))</f>
        <v/>
      </c>
      <c r="R65" s="53" t="str">
        <f aca="false">IF($A65="","",IFERROR((AVERAGE($O$6:$O65)-Config!$B$7/Config!$B$6)/STDEV($O$6:$O65)*SQRT(Config!$B$6),""))</f>
        <v/>
      </c>
      <c r="S65" s="47" t="n">
        <f aca="false">IF($H65="",$S64,IF($H65&gt;0,$S64+1,0))</f>
        <v>1</v>
      </c>
      <c r="T65" s="47" t="n">
        <f aca="false">IF($H65="",$T64,IF($H65&lt;0,$T64+1,0))</f>
        <v>0</v>
      </c>
    </row>
    <row r="66" customFormat="false" ht="15" hidden="false" customHeight="false" outlineLevel="0" collapsed="false">
      <c r="A66" s="54" t="n">
        <f aca="false">IF($A65="","",$A65+1)</f>
        <v>46297</v>
      </c>
      <c r="B66" s="5" t="str">
        <f aca="false">IF($A66="","",TEXT($A66,"ddd"))</f>
        <v>Fri</v>
      </c>
      <c r="C66" s="41" t="n">
        <f aca="false">IF($A66="","",COUNTIFS('Trade Log'!$L$4:$L$503,$A66))</f>
        <v>0</v>
      </c>
      <c r="D66" s="40" t="n">
        <f aca="false">IF($A66="","",SUMIFS('Trade Log'!$Q$4:$Q$503,'Trade Log'!$L$4:$L$503,$A66,'Trade Log'!$E$4:$E$503,"LONG"))</f>
        <v>0</v>
      </c>
      <c r="E66" s="40" t="n">
        <f aca="false">IF($A66="","",SUMIFS('Trade Log'!$Q$4:$Q$503,'Trade Log'!$L$4:$L$503,$A66,'Trade Log'!$E$4:$E$503,"SHORT"))</f>
        <v>0</v>
      </c>
      <c r="F66" s="40" t="n">
        <f aca="false">IF($A66="","",$D66+$E66)</f>
        <v>0</v>
      </c>
      <c r="G66" s="40" t="n">
        <f aca="false">IF($A66="","",SUMIFS('Trade Log'!$Y$4:$Y$503,'Trade Log'!$L$4:$L$503,$A66))</f>
        <v>0</v>
      </c>
      <c r="H66" s="40" t="str">
        <f aca="false">IF($A66="","",IF($C66=0,"",$F66-$G66))</f>
        <v/>
      </c>
      <c r="I66" s="40" t="n">
        <f aca="false">IF($A66="","",$I65+IF($H66="",0,$H66))</f>
        <v>23918.5521880349</v>
      </c>
      <c r="J66" s="40" t="n">
        <f aca="false">IF($A66="","",Config!$B$4+$I66)</f>
        <v>1023918.55218803</v>
      </c>
      <c r="K66" s="40" t="n">
        <f aca="false">IF($A66="","",MAX($J$4:$J66))</f>
        <v>1023918.55218803</v>
      </c>
      <c r="L66" s="40" t="n">
        <f aca="false">IF($A66="","",$J66-$K66)</f>
        <v>0</v>
      </c>
      <c r="M66" s="42" t="n">
        <f aca="false">IF(OR($A66="",$K66=0),"",$L66/$K66)</f>
        <v>0</v>
      </c>
      <c r="N66" s="40" t="n">
        <f aca="false">IF($A66="","",SUMIFS('Trade Log'!$K$4:$K$503,'Trade Log'!$H$4:$H$503,$A66))</f>
        <v>0</v>
      </c>
      <c r="O66" s="42" t="str">
        <f aca="false">IF(OR($A66="",$H66="",Config!$B$4=0),"",$H66/Config!$B$4)</f>
        <v/>
      </c>
      <c r="P66" s="40" t="n">
        <f aca="false">IF($A66="","",SUM($H$47:$H66))</f>
        <v>0</v>
      </c>
      <c r="Q66" s="53" t="str">
        <f aca="false">IF($A66="","",IFERROR((AVERAGE($O$47:$O66)-Config!$B$7/Config!$B$6)/STDEV($O$47:$O66)*SQRT(Config!$B$6),""))</f>
        <v/>
      </c>
      <c r="R66" s="53" t="str">
        <f aca="false">IF($A66="","",IFERROR((AVERAGE($O$7:$O66)-Config!$B$7/Config!$B$6)/STDEV($O$7:$O66)*SQRT(Config!$B$6),""))</f>
        <v/>
      </c>
      <c r="S66" s="47" t="n">
        <f aca="false">IF($H66="",$S65,IF($H66&gt;0,$S65+1,0))</f>
        <v>1</v>
      </c>
      <c r="T66" s="47" t="n">
        <f aca="false">IF($H66="",$T65,IF($H66&lt;0,$T65+1,0))</f>
        <v>0</v>
      </c>
    </row>
    <row r="67" customFormat="false" ht="15" hidden="false" customHeight="false" outlineLevel="0" collapsed="false">
      <c r="A67" s="54" t="n">
        <f aca="false">IF($A66="","",$A66+1)</f>
        <v>46298</v>
      </c>
      <c r="B67" s="5" t="str">
        <f aca="false">IF($A67="","",TEXT($A67,"ddd"))</f>
        <v>Sat</v>
      </c>
      <c r="C67" s="41" t="n">
        <f aca="false">IF($A67="","",COUNTIFS('Trade Log'!$L$4:$L$503,$A67))</f>
        <v>0</v>
      </c>
      <c r="D67" s="40" t="n">
        <f aca="false">IF($A67="","",SUMIFS('Trade Log'!$Q$4:$Q$503,'Trade Log'!$L$4:$L$503,$A67,'Trade Log'!$E$4:$E$503,"LONG"))</f>
        <v>0</v>
      </c>
      <c r="E67" s="40" t="n">
        <f aca="false">IF($A67="","",SUMIFS('Trade Log'!$Q$4:$Q$503,'Trade Log'!$L$4:$L$503,$A67,'Trade Log'!$E$4:$E$503,"SHORT"))</f>
        <v>0</v>
      </c>
      <c r="F67" s="40" t="n">
        <f aca="false">IF($A67="","",$D67+$E67)</f>
        <v>0</v>
      </c>
      <c r="G67" s="40" t="n">
        <f aca="false">IF($A67="","",SUMIFS('Trade Log'!$Y$4:$Y$503,'Trade Log'!$L$4:$L$503,$A67))</f>
        <v>0</v>
      </c>
      <c r="H67" s="40" t="str">
        <f aca="false">IF($A67="","",IF($C67=0,"",$F67-$G67))</f>
        <v/>
      </c>
      <c r="I67" s="40" t="n">
        <f aca="false">IF($A67="","",$I66+IF($H67="",0,$H67))</f>
        <v>23918.5521880349</v>
      </c>
      <c r="J67" s="40" t="n">
        <f aca="false">IF($A67="","",Config!$B$4+$I67)</f>
        <v>1023918.55218803</v>
      </c>
      <c r="K67" s="40" t="n">
        <f aca="false">IF($A67="","",MAX($J$4:$J67))</f>
        <v>1023918.55218803</v>
      </c>
      <c r="L67" s="40" t="n">
        <f aca="false">IF($A67="","",$J67-$K67)</f>
        <v>0</v>
      </c>
      <c r="M67" s="42" t="n">
        <f aca="false">IF(OR($A67="",$K67=0),"",$L67/$K67)</f>
        <v>0</v>
      </c>
      <c r="N67" s="40" t="n">
        <f aca="false">IF($A67="","",SUMIFS('Trade Log'!$K$4:$K$503,'Trade Log'!$H$4:$H$503,$A67))</f>
        <v>0</v>
      </c>
      <c r="O67" s="42" t="str">
        <f aca="false">IF(OR($A67="",$H67="",Config!$B$4=0),"",$H67/Config!$B$4)</f>
        <v/>
      </c>
      <c r="P67" s="40" t="n">
        <f aca="false">IF($A67="","",SUM($H$48:$H67))</f>
        <v>0</v>
      </c>
      <c r="Q67" s="53" t="str">
        <f aca="false">IF($A67="","",IFERROR((AVERAGE($O$48:$O67)-Config!$B$7/Config!$B$6)/STDEV($O$48:$O67)*SQRT(Config!$B$6),""))</f>
        <v/>
      </c>
      <c r="R67" s="53" t="str">
        <f aca="false">IF($A67="","",IFERROR((AVERAGE($O$8:$O67)-Config!$B$7/Config!$B$6)/STDEV($O$8:$O67)*SQRT(Config!$B$6),""))</f>
        <v/>
      </c>
      <c r="S67" s="47" t="n">
        <f aca="false">IF($H67="",$S66,IF($H67&gt;0,$S66+1,0))</f>
        <v>1</v>
      </c>
      <c r="T67" s="47" t="n">
        <f aca="false">IF($H67="",$T66,IF($H67&lt;0,$T66+1,0))</f>
        <v>0</v>
      </c>
    </row>
    <row r="68" customFormat="false" ht="15" hidden="false" customHeight="false" outlineLevel="0" collapsed="false">
      <c r="A68" s="54" t="n">
        <f aca="false">IF($A67="","",$A67+1)</f>
        <v>46299</v>
      </c>
      <c r="B68" s="5" t="str">
        <f aca="false">IF($A68="","",TEXT($A68,"ddd"))</f>
        <v>Sun</v>
      </c>
      <c r="C68" s="41" t="n">
        <f aca="false">IF($A68="","",COUNTIFS('Trade Log'!$L$4:$L$503,$A68))</f>
        <v>0</v>
      </c>
      <c r="D68" s="40" t="n">
        <f aca="false">IF($A68="","",SUMIFS('Trade Log'!$Q$4:$Q$503,'Trade Log'!$L$4:$L$503,$A68,'Trade Log'!$E$4:$E$503,"LONG"))</f>
        <v>0</v>
      </c>
      <c r="E68" s="40" t="n">
        <f aca="false">IF($A68="","",SUMIFS('Trade Log'!$Q$4:$Q$503,'Trade Log'!$L$4:$L$503,$A68,'Trade Log'!$E$4:$E$503,"SHORT"))</f>
        <v>0</v>
      </c>
      <c r="F68" s="40" t="n">
        <f aca="false">IF($A68="","",$D68+$E68)</f>
        <v>0</v>
      </c>
      <c r="G68" s="40" t="n">
        <f aca="false">IF($A68="","",SUMIFS('Trade Log'!$Y$4:$Y$503,'Trade Log'!$L$4:$L$503,$A68))</f>
        <v>0</v>
      </c>
      <c r="H68" s="40" t="str">
        <f aca="false">IF($A68="","",IF($C68=0,"",$F68-$G68))</f>
        <v/>
      </c>
      <c r="I68" s="40" t="n">
        <f aca="false">IF($A68="","",$I67+IF($H68="",0,$H68))</f>
        <v>23918.5521880349</v>
      </c>
      <c r="J68" s="40" t="n">
        <f aca="false">IF($A68="","",Config!$B$4+$I68)</f>
        <v>1023918.55218803</v>
      </c>
      <c r="K68" s="40" t="n">
        <f aca="false">IF($A68="","",MAX($J$4:$J68))</f>
        <v>1023918.55218803</v>
      </c>
      <c r="L68" s="40" t="n">
        <f aca="false">IF($A68="","",$J68-$K68)</f>
        <v>0</v>
      </c>
      <c r="M68" s="42" t="n">
        <f aca="false">IF(OR($A68="",$K68=0),"",$L68/$K68)</f>
        <v>0</v>
      </c>
      <c r="N68" s="40" t="n">
        <f aca="false">IF($A68="","",SUMIFS('Trade Log'!$K$4:$K$503,'Trade Log'!$H$4:$H$503,$A68))</f>
        <v>0</v>
      </c>
      <c r="O68" s="42" t="str">
        <f aca="false">IF(OR($A68="",$H68="",Config!$B$4=0),"",$H68/Config!$B$4)</f>
        <v/>
      </c>
      <c r="P68" s="40" t="n">
        <f aca="false">IF($A68="","",SUM($H$49:$H68))</f>
        <v>0</v>
      </c>
      <c r="Q68" s="53" t="str">
        <f aca="false">IF($A68="","",IFERROR((AVERAGE($O$49:$O68)-Config!$B$7/Config!$B$6)/STDEV($O$49:$O68)*SQRT(Config!$B$6),""))</f>
        <v/>
      </c>
      <c r="R68" s="53" t="str">
        <f aca="false">IF($A68="","",IFERROR((AVERAGE($O$9:$O68)-Config!$B$7/Config!$B$6)/STDEV($O$9:$O68)*SQRT(Config!$B$6),""))</f>
        <v/>
      </c>
      <c r="S68" s="47" t="n">
        <f aca="false">IF($H68="",$S67,IF($H68&gt;0,$S67+1,0))</f>
        <v>1</v>
      </c>
      <c r="T68" s="47" t="n">
        <f aca="false">IF($H68="",$T67,IF($H68&lt;0,$T67+1,0))</f>
        <v>0</v>
      </c>
    </row>
    <row r="69" customFormat="false" ht="15" hidden="false" customHeight="false" outlineLevel="0" collapsed="false">
      <c r="A69" s="54" t="n">
        <f aca="false">IF($A68="","",$A68+1)</f>
        <v>46300</v>
      </c>
      <c r="B69" s="5" t="str">
        <f aca="false">IF($A69="","",TEXT($A69,"ddd"))</f>
        <v>Mon</v>
      </c>
      <c r="C69" s="41" t="n">
        <f aca="false">IF($A69="","",COUNTIFS('Trade Log'!$L$4:$L$503,$A69))</f>
        <v>0</v>
      </c>
      <c r="D69" s="40" t="n">
        <f aca="false">IF($A69="","",SUMIFS('Trade Log'!$Q$4:$Q$503,'Trade Log'!$L$4:$L$503,$A69,'Trade Log'!$E$4:$E$503,"LONG"))</f>
        <v>0</v>
      </c>
      <c r="E69" s="40" t="n">
        <f aca="false">IF($A69="","",SUMIFS('Trade Log'!$Q$4:$Q$503,'Trade Log'!$L$4:$L$503,$A69,'Trade Log'!$E$4:$E$503,"SHORT"))</f>
        <v>0</v>
      </c>
      <c r="F69" s="40" t="n">
        <f aca="false">IF($A69="","",$D69+$E69)</f>
        <v>0</v>
      </c>
      <c r="G69" s="40" t="n">
        <f aca="false">IF($A69="","",SUMIFS('Trade Log'!$Y$4:$Y$503,'Trade Log'!$L$4:$L$503,$A69))</f>
        <v>0</v>
      </c>
      <c r="H69" s="40" t="str">
        <f aca="false">IF($A69="","",IF($C69=0,"",$F69-$G69))</f>
        <v/>
      </c>
      <c r="I69" s="40" t="n">
        <f aca="false">IF($A69="","",$I68+IF($H69="",0,$H69))</f>
        <v>23918.5521880349</v>
      </c>
      <c r="J69" s="40" t="n">
        <f aca="false">IF($A69="","",Config!$B$4+$I69)</f>
        <v>1023918.55218803</v>
      </c>
      <c r="K69" s="40" t="n">
        <f aca="false">IF($A69="","",MAX($J$4:$J69))</f>
        <v>1023918.55218803</v>
      </c>
      <c r="L69" s="40" t="n">
        <f aca="false">IF($A69="","",$J69-$K69)</f>
        <v>0</v>
      </c>
      <c r="M69" s="42" t="n">
        <f aca="false">IF(OR($A69="",$K69=0),"",$L69/$K69)</f>
        <v>0</v>
      </c>
      <c r="N69" s="40" t="n">
        <f aca="false">IF($A69="","",SUMIFS('Trade Log'!$K$4:$K$503,'Trade Log'!$H$4:$H$503,$A69))</f>
        <v>0</v>
      </c>
      <c r="O69" s="42" t="str">
        <f aca="false">IF(OR($A69="",$H69="",Config!$B$4=0),"",$H69/Config!$B$4)</f>
        <v/>
      </c>
      <c r="P69" s="40" t="n">
        <f aca="false">IF($A69="","",SUM($H$50:$H69))</f>
        <v>0</v>
      </c>
      <c r="Q69" s="53" t="str">
        <f aca="false">IF($A69="","",IFERROR((AVERAGE($O$50:$O69)-Config!$B$7/Config!$B$6)/STDEV($O$50:$O69)*SQRT(Config!$B$6),""))</f>
        <v/>
      </c>
      <c r="R69" s="53" t="str">
        <f aca="false">IF($A69="","",IFERROR((AVERAGE($O$10:$O69)-Config!$B$7/Config!$B$6)/STDEV($O$10:$O69)*SQRT(Config!$B$6),""))</f>
        <v/>
      </c>
      <c r="S69" s="47" t="n">
        <f aca="false">IF($H69="",$S68,IF($H69&gt;0,$S68+1,0))</f>
        <v>1</v>
      </c>
      <c r="T69" s="47" t="n">
        <f aca="false">IF($H69="",$T68,IF($H69&lt;0,$T68+1,0))</f>
        <v>0</v>
      </c>
    </row>
    <row r="70" customFormat="false" ht="15" hidden="false" customHeight="false" outlineLevel="0" collapsed="false">
      <c r="A70" s="54" t="n">
        <f aca="false">IF($A69="","",$A69+1)</f>
        <v>46301</v>
      </c>
      <c r="B70" s="5" t="str">
        <f aca="false">IF($A70="","",TEXT($A70,"ddd"))</f>
        <v>Tue</v>
      </c>
      <c r="C70" s="41" t="n">
        <f aca="false">IF($A70="","",COUNTIFS('Trade Log'!$L$4:$L$503,$A70))</f>
        <v>0</v>
      </c>
      <c r="D70" s="40" t="n">
        <f aca="false">IF($A70="","",SUMIFS('Trade Log'!$Q$4:$Q$503,'Trade Log'!$L$4:$L$503,$A70,'Trade Log'!$E$4:$E$503,"LONG"))</f>
        <v>0</v>
      </c>
      <c r="E70" s="40" t="n">
        <f aca="false">IF($A70="","",SUMIFS('Trade Log'!$Q$4:$Q$503,'Trade Log'!$L$4:$L$503,$A70,'Trade Log'!$E$4:$E$503,"SHORT"))</f>
        <v>0</v>
      </c>
      <c r="F70" s="40" t="n">
        <f aca="false">IF($A70="","",$D70+$E70)</f>
        <v>0</v>
      </c>
      <c r="G70" s="40" t="n">
        <f aca="false">IF($A70="","",SUMIFS('Trade Log'!$Y$4:$Y$503,'Trade Log'!$L$4:$L$503,$A70))</f>
        <v>0</v>
      </c>
      <c r="H70" s="40" t="str">
        <f aca="false">IF($A70="","",IF($C70=0,"",$F70-$G70))</f>
        <v/>
      </c>
      <c r="I70" s="40" t="n">
        <f aca="false">IF($A70="","",$I69+IF($H70="",0,$H70))</f>
        <v>23918.5521880349</v>
      </c>
      <c r="J70" s="40" t="n">
        <f aca="false">IF($A70="","",Config!$B$4+$I70)</f>
        <v>1023918.55218803</v>
      </c>
      <c r="K70" s="40" t="n">
        <f aca="false">IF($A70="","",MAX($J$4:$J70))</f>
        <v>1023918.55218803</v>
      </c>
      <c r="L70" s="40" t="n">
        <f aca="false">IF($A70="","",$J70-$K70)</f>
        <v>0</v>
      </c>
      <c r="M70" s="42" t="n">
        <f aca="false">IF(OR($A70="",$K70=0),"",$L70/$K70)</f>
        <v>0</v>
      </c>
      <c r="N70" s="40" t="n">
        <f aca="false">IF($A70="","",SUMIFS('Trade Log'!$K$4:$K$503,'Trade Log'!$H$4:$H$503,$A70))</f>
        <v>0</v>
      </c>
      <c r="O70" s="42" t="str">
        <f aca="false">IF(OR($A70="",$H70="",Config!$B$4=0),"",$H70/Config!$B$4)</f>
        <v/>
      </c>
      <c r="P70" s="40" t="n">
        <f aca="false">IF($A70="","",SUM($H$51:$H70))</f>
        <v>0</v>
      </c>
      <c r="Q70" s="53" t="str">
        <f aca="false">IF($A70="","",IFERROR((AVERAGE($O$51:$O70)-Config!$B$7/Config!$B$6)/STDEV($O$51:$O70)*SQRT(Config!$B$6),""))</f>
        <v/>
      </c>
      <c r="R70" s="53" t="str">
        <f aca="false">IF($A70="","",IFERROR((AVERAGE($O$11:$O70)-Config!$B$7/Config!$B$6)/STDEV($O$11:$O70)*SQRT(Config!$B$6),""))</f>
        <v/>
      </c>
      <c r="S70" s="47" t="n">
        <f aca="false">IF($H70="",$S69,IF($H70&gt;0,$S69+1,0))</f>
        <v>1</v>
      </c>
      <c r="T70" s="47" t="n">
        <f aca="false">IF($H70="",$T69,IF($H70&lt;0,$T69+1,0))</f>
        <v>0</v>
      </c>
    </row>
    <row r="71" customFormat="false" ht="15" hidden="false" customHeight="false" outlineLevel="0" collapsed="false">
      <c r="A71" s="54" t="n">
        <f aca="false">IF($A70="","",$A70+1)</f>
        <v>46302</v>
      </c>
      <c r="B71" s="5" t="str">
        <f aca="false">IF($A71="","",TEXT($A71,"ddd"))</f>
        <v>Wed</v>
      </c>
      <c r="C71" s="41" t="n">
        <f aca="false">IF($A71="","",COUNTIFS('Trade Log'!$L$4:$L$503,$A71))</f>
        <v>0</v>
      </c>
      <c r="D71" s="40" t="n">
        <f aca="false">IF($A71="","",SUMIFS('Trade Log'!$Q$4:$Q$503,'Trade Log'!$L$4:$L$503,$A71,'Trade Log'!$E$4:$E$503,"LONG"))</f>
        <v>0</v>
      </c>
      <c r="E71" s="40" t="n">
        <f aca="false">IF($A71="","",SUMIFS('Trade Log'!$Q$4:$Q$503,'Trade Log'!$L$4:$L$503,$A71,'Trade Log'!$E$4:$E$503,"SHORT"))</f>
        <v>0</v>
      </c>
      <c r="F71" s="40" t="n">
        <f aca="false">IF($A71="","",$D71+$E71)</f>
        <v>0</v>
      </c>
      <c r="G71" s="40" t="n">
        <f aca="false">IF($A71="","",SUMIFS('Trade Log'!$Y$4:$Y$503,'Trade Log'!$L$4:$L$503,$A71))</f>
        <v>0</v>
      </c>
      <c r="H71" s="40" t="str">
        <f aca="false">IF($A71="","",IF($C71=0,"",$F71-$G71))</f>
        <v/>
      </c>
      <c r="I71" s="40" t="n">
        <f aca="false">IF($A71="","",$I70+IF($H71="",0,$H71))</f>
        <v>23918.5521880349</v>
      </c>
      <c r="J71" s="40" t="n">
        <f aca="false">IF($A71="","",Config!$B$4+$I71)</f>
        <v>1023918.55218803</v>
      </c>
      <c r="K71" s="40" t="n">
        <f aca="false">IF($A71="","",MAX($J$4:$J71))</f>
        <v>1023918.55218803</v>
      </c>
      <c r="L71" s="40" t="n">
        <f aca="false">IF($A71="","",$J71-$K71)</f>
        <v>0</v>
      </c>
      <c r="M71" s="42" t="n">
        <f aca="false">IF(OR($A71="",$K71=0),"",$L71/$K71)</f>
        <v>0</v>
      </c>
      <c r="N71" s="40" t="n">
        <f aca="false">IF($A71="","",SUMIFS('Trade Log'!$K$4:$K$503,'Trade Log'!$H$4:$H$503,$A71))</f>
        <v>0</v>
      </c>
      <c r="O71" s="42" t="str">
        <f aca="false">IF(OR($A71="",$H71="",Config!$B$4=0),"",$H71/Config!$B$4)</f>
        <v/>
      </c>
      <c r="P71" s="40" t="n">
        <f aca="false">IF($A71="","",SUM($H$52:$H71))</f>
        <v>0</v>
      </c>
      <c r="Q71" s="53" t="str">
        <f aca="false">IF($A71="","",IFERROR((AVERAGE($O$52:$O71)-Config!$B$7/Config!$B$6)/STDEV($O$52:$O71)*SQRT(Config!$B$6),""))</f>
        <v/>
      </c>
      <c r="R71" s="53" t="str">
        <f aca="false">IF($A71="","",IFERROR((AVERAGE($O$12:$O71)-Config!$B$7/Config!$B$6)/STDEV($O$12:$O71)*SQRT(Config!$B$6),""))</f>
        <v/>
      </c>
      <c r="S71" s="47" t="n">
        <f aca="false">IF($H71="",$S70,IF($H71&gt;0,$S70+1,0))</f>
        <v>1</v>
      </c>
      <c r="T71" s="47" t="n">
        <f aca="false">IF($H71="",$T70,IF($H71&lt;0,$T70+1,0))</f>
        <v>0</v>
      </c>
    </row>
    <row r="72" customFormat="false" ht="15" hidden="false" customHeight="false" outlineLevel="0" collapsed="false">
      <c r="A72" s="54" t="n">
        <f aca="false">IF($A71="","",$A71+1)</f>
        <v>46303</v>
      </c>
      <c r="B72" s="5" t="str">
        <f aca="false">IF($A72="","",TEXT($A72,"ddd"))</f>
        <v>Thu</v>
      </c>
      <c r="C72" s="41" t="n">
        <f aca="false">IF($A72="","",COUNTIFS('Trade Log'!$L$4:$L$503,$A72))</f>
        <v>0</v>
      </c>
      <c r="D72" s="40" t="n">
        <f aca="false">IF($A72="","",SUMIFS('Trade Log'!$Q$4:$Q$503,'Trade Log'!$L$4:$L$503,$A72,'Trade Log'!$E$4:$E$503,"LONG"))</f>
        <v>0</v>
      </c>
      <c r="E72" s="40" t="n">
        <f aca="false">IF($A72="","",SUMIFS('Trade Log'!$Q$4:$Q$503,'Trade Log'!$L$4:$L$503,$A72,'Trade Log'!$E$4:$E$503,"SHORT"))</f>
        <v>0</v>
      </c>
      <c r="F72" s="40" t="n">
        <f aca="false">IF($A72="","",$D72+$E72)</f>
        <v>0</v>
      </c>
      <c r="G72" s="40" t="n">
        <f aca="false">IF($A72="","",SUMIFS('Trade Log'!$Y$4:$Y$503,'Trade Log'!$L$4:$L$503,$A72))</f>
        <v>0</v>
      </c>
      <c r="H72" s="40" t="str">
        <f aca="false">IF($A72="","",IF($C72=0,"",$F72-$G72))</f>
        <v/>
      </c>
      <c r="I72" s="40" t="n">
        <f aca="false">IF($A72="","",$I71+IF($H72="",0,$H72))</f>
        <v>23918.5521880349</v>
      </c>
      <c r="J72" s="40" t="n">
        <f aca="false">IF($A72="","",Config!$B$4+$I72)</f>
        <v>1023918.55218803</v>
      </c>
      <c r="K72" s="40" t="n">
        <f aca="false">IF($A72="","",MAX($J$4:$J72))</f>
        <v>1023918.55218803</v>
      </c>
      <c r="L72" s="40" t="n">
        <f aca="false">IF($A72="","",$J72-$K72)</f>
        <v>0</v>
      </c>
      <c r="M72" s="42" t="n">
        <f aca="false">IF(OR($A72="",$K72=0),"",$L72/$K72)</f>
        <v>0</v>
      </c>
      <c r="N72" s="40" t="n">
        <f aca="false">IF($A72="","",SUMIFS('Trade Log'!$K$4:$K$503,'Trade Log'!$H$4:$H$503,$A72))</f>
        <v>0</v>
      </c>
      <c r="O72" s="42" t="str">
        <f aca="false">IF(OR($A72="",$H72="",Config!$B$4=0),"",$H72/Config!$B$4)</f>
        <v/>
      </c>
      <c r="P72" s="40" t="n">
        <f aca="false">IF($A72="","",SUM($H$53:$H72))</f>
        <v>0</v>
      </c>
      <c r="Q72" s="53" t="str">
        <f aca="false">IF($A72="","",IFERROR((AVERAGE($O$53:$O72)-Config!$B$7/Config!$B$6)/STDEV($O$53:$O72)*SQRT(Config!$B$6),""))</f>
        <v/>
      </c>
      <c r="R72" s="53" t="str">
        <f aca="false">IF($A72="","",IFERROR((AVERAGE($O$13:$O72)-Config!$B$7/Config!$B$6)/STDEV($O$13:$O72)*SQRT(Config!$B$6),""))</f>
        <v/>
      </c>
      <c r="S72" s="47" t="n">
        <f aca="false">IF($H72="",$S71,IF($H72&gt;0,$S71+1,0))</f>
        <v>1</v>
      </c>
      <c r="T72" s="47" t="n">
        <f aca="false">IF($H72="",$T71,IF($H72&lt;0,$T71+1,0))</f>
        <v>0</v>
      </c>
    </row>
    <row r="73" customFormat="false" ht="15" hidden="false" customHeight="false" outlineLevel="0" collapsed="false">
      <c r="A73" s="54" t="n">
        <f aca="false">IF($A72="","",$A72+1)</f>
        <v>46304</v>
      </c>
      <c r="B73" s="5" t="str">
        <f aca="false">IF($A73="","",TEXT($A73,"ddd"))</f>
        <v>Fri</v>
      </c>
      <c r="C73" s="41" t="n">
        <f aca="false">IF($A73="","",COUNTIFS('Trade Log'!$L$4:$L$503,$A73))</f>
        <v>0</v>
      </c>
      <c r="D73" s="40" t="n">
        <f aca="false">IF($A73="","",SUMIFS('Trade Log'!$Q$4:$Q$503,'Trade Log'!$L$4:$L$503,$A73,'Trade Log'!$E$4:$E$503,"LONG"))</f>
        <v>0</v>
      </c>
      <c r="E73" s="40" t="n">
        <f aca="false">IF($A73="","",SUMIFS('Trade Log'!$Q$4:$Q$503,'Trade Log'!$L$4:$L$503,$A73,'Trade Log'!$E$4:$E$503,"SHORT"))</f>
        <v>0</v>
      </c>
      <c r="F73" s="40" t="n">
        <f aca="false">IF($A73="","",$D73+$E73)</f>
        <v>0</v>
      </c>
      <c r="G73" s="40" t="n">
        <f aca="false">IF($A73="","",SUMIFS('Trade Log'!$Y$4:$Y$503,'Trade Log'!$L$4:$L$503,$A73))</f>
        <v>0</v>
      </c>
      <c r="H73" s="40" t="str">
        <f aca="false">IF($A73="","",IF($C73=0,"",$F73-$G73))</f>
        <v/>
      </c>
      <c r="I73" s="40" t="n">
        <f aca="false">IF($A73="","",$I72+IF($H73="",0,$H73))</f>
        <v>23918.5521880349</v>
      </c>
      <c r="J73" s="40" t="n">
        <f aca="false">IF($A73="","",Config!$B$4+$I73)</f>
        <v>1023918.55218803</v>
      </c>
      <c r="K73" s="40" t="n">
        <f aca="false">IF($A73="","",MAX($J$4:$J73))</f>
        <v>1023918.55218803</v>
      </c>
      <c r="L73" s="40" t="n">
        <f aca="false">IF($A73="","",$J73-$K73)</f>
        <v>0</v>
      </c>
      <c r="M73" s="42" t="n">
        <f aca="false">IF(OR($A73="",$K73=0),"",$L73/$K73)</f>
        <v>0</v>
      </c>
      <c r="N73" s="40" t="n">
        <f aca="false">IF($A73="","",SUMIFS('Trade Log'!$K$4:$K$503,'Trade Log'!$H$4:$H$503,$A73))</f>
        <v>0</v>
      </c>
      <c r="O73" s="42" t="str">
        <f aca="false">IF(OR($A73="",$H73="",Config!$B$4=0),"",$H73/Config!$B$4)</f>
        <v/>
      </c>
      <c r="P73" s="40" t="n">
        <f aca="false">IF($A73="","",SUM($H$54:$H73))</f>
        <v>0</v>
      </c>
      <c r="Q73" s="53" t="str">
        <f aca="false">IF($A73="","",IFERROR((AVERAGE($O$54:$O73)-Config!$B$7/Config!$B$6)/STDEV($O$54:$O73)*SQRT(Config!$B$6),""))</f>
        <v/>
      </c>
      <c r="R73" s="53" t="str">
        <f aca="false">IF($A73="","",IFERROR((AVERAGE($O$14:$O73)-Config!$B$7/Config!$B$6)/STDEV($O$14:$O73)*SQRT(Config!$B$6),""))</f>
        <v/>
      </c>
      <c r="S73" s="47" t="n">
        <f aca="false">IF($H73="",$S72,IF($H73&gt;0,$S72+1,0))</f>
        <v>1</v>
      </c>
      <c r="T73" s="47" t="n">
        <f aca="false">IF($H73="",$T72,IF($H73&lt;0,$T72+1,0))</f>
        <v>0</v>
      </c>
    </row>
    <row r="74" customFormat="false" ht="15" hidden="false" customHeight="false" outlineLevel="0" collapsed="false">
      <c r="A74" s="54" t="n">
        <f aca="false">IF($A73="","",$A73+1)</f>
        <v>46305</v>
      </c>
      <c r="B74" s="5" t="str">
        <f aca="false">IF($A74="","",TEXT($A74,"ddd"))</f>
        <v>Sat</v>
      </c>
      <c r="C74" s="41" t="n">
        <f aca="false">IF($A74="","",COUNTIFS('Trade Log'!$L$4:$L$503,$A74))</f>
        <v>0</v>
      </c>
      <c r="D74" s="40" t="n">
        <f aca="false">IF($A74="","",SUMIFS('Trade Log'!$Q$4:$Q$503,'Trade Log'!$L$4:$L$503,$A74,'Trade Log'!$E$4:$E$503,"LONG"))</f>
        <v>0</v>
      </c>
      <c r="E74" s="40" t="n">
        <f aca="false">IF($A74="","",SUMIFS('Trade Log'!$Q$4:$Q$503,'Trade Log'!$L$4:$L$503,$A74,'Trade Log'!$E$4:$E$503,"SHORT"))</f>
        <v>0</v>
      </c>
      <c r="F74" s="40" t="n">
        <f aca="false">IF($A74="","",$D74+$E74)</f>
        <v>0</v>
      </c>
      <c r="G74" s="40" t="n">
        <f aca="false">IF($A74="","",SUMIFS('Trade Log'!$Y$4:$Y$503,'Trade Log'!$L$4:$L$503,$A74))</f>
        <v>0</v>
      </c>
      <c r="H74" s="40" t="str">
        <f aca="false">IF($A74="","",IF($C74=0,"",$F74-$G74))</f>
        <v/>
      </c>
      <c r="I74" s="40" t="n">
        <f aca="false">IF($A74="","",$I73+IF($H74="",0,$H74))</f>
        <v>23918.5521880349</v>
      </c>
      <c r="J74" s="40" t="n">
        <f aca="false">IF($A74="","",Config!$B$4+$I74)</f>
        <v>1023918.55218803</v>
      </c>
      <c r="K74" s="40" t="n">
        <f aca="false">IF($A74="","",MAX($J$4:$J74))</f>
        <v>1023918.55218803</v>
      </c>
      <c r="L74" s="40" t="n">
        <f aca="false">IF($A74="","",$J74-$K74)</f>
        <v>0</v>
      </c>
      <c r="M74" s="42" t="n">
        <f aca="false">IF(OR($A74="",$K74=0),"",$L74/$K74)</f>
        <v>0</v>
      </c>
      <c r="N74" s="40" t="n">
        <f aca="false">IF($A74="","",SUMIFS('Trade Log'!$K$4:$K$503,'Trade Log'!$H$4:$H$503,$A74))</f>
        <v>0</v>
      </c>
      <c r="O74" s="42" t="str">
        <f aca="false">IF(OR($A74="",$H74="",Config!$B$4=0),"",$H74/Config!$B$4)</f>
        <v/>
      </c>
      <c r="P74" s="40" t="n">
        <f aca="false">IF($A74="","",SUM($H$55:$H74))</f>
        <v>0</v>
      </c>
      <c r="Q74" s="53" t="str">
        <f aca="false">IF($A74="","",IFERROR((AVERAGE($O$55:$O74)-Config!$B$7/Config!$B$6)/STDEV($O$55:$O74)*SQRT(Config!$B$6),""))</f>
        <v/>
      </c>
      <c r="R74" s="53" t="str">
        <f aca="false">IF($A74="","",IFERROR((AVERAGE($O$15:$O74)-Config!$B$7/Config!$B$6)/STDEV($O$15:$O74)*SQRT(Config!$B$6),""))</f>
        <v/>
      </c>
      <c r="S74" s="47" t="n">
        <f aca="false">IF($H74="",$S73,IF($H74&gt;0,$S73+1,0))</f>
        <v>1</v>
      </c>
      <c r="T74" s="47" t="n">
        <f aca="false">IF($H74="",$T73,IF($H74&lt;0,$T73+1,0))</f>
        <v>0</v>
      </c>
    </row>
    <row r="75" customFormat="false" ht="15" hidden="false" customHeight="false" outlineLevel="0" collapsed="false">
      <c r="A75" s="54" t="n">
        <f aca="false">IF($A74="","",$A74+1)</f>
        <v>46306</v>
      </c>
      <c r="B75" s="5" t="str">
        <f aca="false">IF($A75="","",TEXT($A75,"ddd"))</f>
        <v>Sun</v>
      </c>
      <c r="C75" s="41" t="n">
        <f aca="false">IF($A75="","",COUNTIFS('Trade Log'!$L$4:$L$503,$A75))</f>
        <v>0</v>
      </c>
      <c r="D75" s="40" t="n">
        <f aca="false">IF($A75="","",SUMIFS('Trade Log'!$Q$4:$Q$503,'Trade Log'!$L$4:$L$503,$A75,'Trade Log'!$E$4:$E$503,"LONG"))</f>
        <v>0</v>
      </c>
      <c r="E75" s="40" t="n">
        <f aca="false">IF($A75="","",SUMIFS('Trade Log'!$Q$4:$Q$503,'Trade Log'!$L$4:$L$503,$A75,'Trade Log'!$E$4:$E$503,"SHORT"))</f>
        <v>0</v>
      </c>
      <c r="F75" s="40" t="n">
        <f aca="false">IF($A75="","",$D75+$E75)</f>
        <v>0</v>
      </c>
      <c r="G75" s="40" t="n">
        <f aca="false">IF($A75="","",SUMIFS('Trade Log'!$Y$4:$Y$503,'Trade Log'!$L$4:$L$503,$A75))</f>
        <v>0</v>
      </c>
      <c r="H75" s="40" t="str">
        <f aca="false">IF($A75="","",IF($C75=0,"",$F75-$G75))</f>
        <v/>
      </c>
      <c r="I75" s="40" t="n">
        <f aca="false">IF($A75="","",$I74+IF($H75="",0,$H75))</f>
        <v>23918.5521880349</v>
      </c>
      <c r="J75" s="40" t="n">
        <f aca="false">IF($A75="","",Config!$B$4+$I75)</f>
        <v>1023918.55218803</v>
      </c>
      <c r="K75" s="40" t="n">
        <f aca="false">IF($A75="","",MAX($J$4:$J75))</f>
        <v>1023918.55218803</v>
      </c>
      <c r="L75" s="40" t="n">
        <f aca="false">IF($A75="","",$J75-$K75)</f>
        <v>0</v>
      </c>
      <c r="M75" s="42" t="n">
        <f aca="false">IF(OR($A75="",$K75=0),"",$L75/$K75)</f>
        <v>0</v>
      </c>
      <c r="N75" s="40" t="n">
        <f aca="false">IF($A75="","",SUMIFS('Trade Log'!$K$4:$K$503,'Trade Log'!$H$4:$H$503,$A75))</f>
        <v>0</v>
      </c>
      <c r="O75" s="42" t="str">
        <f aca="false">IF(OR($A75="",$H75="",Config!$B$4=0),"",$H75/Config!$B$4)</f>
        <v/>
      </c>
      <c r="P75" s="40" t="n">
        <f aca="false">IF($A75="","",SUM($H$56:$H75))</f>
        <v>0</v>
      </c>
      <c r="Q75" s="53" t="str">
        <f aca="false">IF($A75="","",IFERROR((AVERAGE($O$56:$O75)-Config!$B$7/Config!$B$6)/STDEV($O$56:$O75)*SQRT(Config!$B$6),""))</f>
        <v/>
      </c>
      <c r="R75" s="53" t="str">
        <f aca="false">IF($A75="","",IFERROR((AVERAGE($O$16:$O75)-Config!$B$7/Config!$B$6)/STDEV($O$16:$O75)*SQRT(Config!$B$6),""))</f>
        <v/>
      </c>
      <c r="S75" s="47" t="n">
        <f aca="false">IF($H75="",$S74,IF($H75&gt;0,$S74+1,0))</f>
        <v>1</v>
      </c>
      <c r="T75" s="47" t="n">
        <f aca="false">IF($H75="",$T74,IF($H75&lt;0,$T74+1,0))</f>
        <v>0</v>
      </c>
    </row>
    <row r="76" customFormat="false" ht="15" hidden="false" customHeight="false" outlineLevel="0" collapsed="false">
      <c r="A76" s="54" t="n">
        <f aca="false">IF($A75="","",$A75+1)</f>
        <v>46307</v>
      </c>
      <c r="B76" s="5" t="str">
        <f aca="false">IF($A76="","",TEXT($A76,"ddd"))</f>
        <v>Mon</v>
      </c>
      <c r="C76" s="41" t="n">
        <f aca="false">IF($A76="","",COUNTIFS('Trade Log'!$L$4:$L$503,$A76))</f>
        <v>0</v>
      </c>
      <c r="D76" s="40" t="n">
        <f aca="false">IF($A76="","",SUMIFS('Trade Log'!$Q$4:$Q$503,'Trade Log'!$L$4:$L$503,$A76,'Trade Log'!$E$4:$E$503,"LONG"))</f>
        <v>0</v>
      </c>
      <c r="E76" s="40" t="n">
        <f aca="false">IF($A76="","",SUMIFS('Trade Log'!$Q$4:$Q$503,'Trade Log'!$L$4:$L$503,$A76,'Trade Log'!$E$4:$E$503,"SHORT"))</f>
        <v>0</v>
      </c>
      <c r="F76" s="40" t="n">
        <f aca="false">IF($A76="","",$D76+$E76)</f>
        <v>0</v>
      </c>
      <c r="G76" s="40" t="n">
        <f aca="false">IF($A76="","",SUMIFS('Trade Log'!$Y$4:$Y$503,'Trade Log'!$L$4:$L$503,$A76))</f>
        <v>0</v>
      </c>
      <c r="H76" s="40" t="str">
        <f aca="false">IF($A76="","",IF($C76=0,"",$F76-$G76))</f>
        <v/>
      </c>
      <c r="I76" s="40" t="n">
        <f aca="false">IF($A76="","",$I75+IF($H76="",0,$H76))</f>
        <v>23918.5521880349</v>
      </c>
      <c r="J76" s="40" t="n">
        <f aca="false">IF($A76="","",Config!$B$4+$I76)</f>
        <v>1023918.55218803</v>
      </c>
      <c r="K76" s="40" t="n">
        <f aca="false">IF($A76="","",MAX($J$4:$J76))</f>
        <v>1023918.55218803</v>
      </c>
      <c r="L76" s="40" t="n">
        <f aca="false">IF($A76="","",$J76-$K76)</f>
        <v>0</v>
      </c>
      <c r="M76" s="42" t="n">
        <f aca="false">IF(OR($A76="",$K76=0),"",$L76/$K76)</f>
        <v>0</v>
      </c>
      <c r="N76" s="40" t="n">
        <f aca="false">IF($A76="","",SUMIFS('Trade Log'!$K$4:$K$503,'Trade Log'!$H$4:$H$503,$A76))</f>
        <v>0</v>
      </c>
      <c r="O76" s="42" t="str">
        <f aca="false">IF(OR($A76="",$H76="",Config!$B$4=0),"",$H76/Config!$B$4)</f>
        <v/>
      </c>
      <c r="P76" s="40" t="n">
        <f aca="false">IF($A76="","",SUM($H$57:$H76))</f>
        <v>0</v>
      </c>
      <c r="Q76" s="53" t="str">
        <f aca="false">IF($A76="","",IFERROR((AVERAGE($O$57:$O76)-Config!$B$7/Config!$B$6)/STDEV($O$57:$O76)*SQRT(Config!$B$6),""))</f>
        <v/>
      </c>
      <c r="R76" s="53" t="str">
        <f aca="false">IF($A76="","",IFERROR((AVERAGE($O$17:$O76)-Config!$B$7/Config!$B$6)/STDEV($O$17:$O76)*SQRT(Config!$B$6),""))</f>
        <v/>
      </c>
      <c r="S76" s="47" t="n">
        <f aca="false">IF($H76="",$S75,IF($H76&gt;0,$S75+1,0))</f>
        <v>1</v>
      </c>
      <c r="T76" s="47" t="n">
        <f aca="false">IF($H76="",$T75,IF($H76&lt;0,$T75+1,0))</f>
        <v>0</v>
      </c>
    </row>
    <row r="77" customFormat="false" ht="15" hidden="false" customHeight="false" outlineLevel="0" collapsed="false">
      <c r="A77" s="54" t="n">
        <f aca="false">IF($A76="","",$A76+1)</f>
        <v>46308</v>
      </c>
      <c r="B77" s="5" t="str">
        <f aca="false">IF($A77="","",TEXT($A77,"ddd"))</f>
        <v>Tue</v>
      </c>
      <c r="C77" s="41" t="n">
        <f aca="false">IF($A77="","",COUNTIFS('Trade Log'!$L$4:$L$503,$A77))</f>
        <v>0</v>
      </c>
      <c r="D77" s="40" t="n">
        <f aca="false">IF($A77="","",SUMIFS('Trade Log'!$Q$4:$Q$503,'Trade Log'!$L$4:$L$503,$A77,'Trade Log'!$E$4:$E$503,"LONG"))</f>
        <v>0</v>
      </c>
      <c r="E77" s="40" t="n">
        <f aca="false">IF($A77="","",SUMIFS('Trade Log'!$Q$4:$Q$503,'Trade Log'!$L$4:$L$503,$A77,'Trade Log'!$E$4:$E$503,"SHORT"))</f>
        <v>0</v>
      </c>
      <c r="F77" s="40" t="n">
        <f aca="false">IF($A77="","",$D77+$E77)</f>
        <v>0</v>
      </c>
      <c r="G77" s="40" t="n">
        <f aca="false">IF($A77="","",SUMIFS('Trade Log'!$Y$4:$Y$503,'Trade Log'!$L$4:$L$503,$A77))</f>
        <v>0</v>
      </c>
      <c r="H77" s="40" t="str">
        <f aca="false">IF($A77="","",IF($C77=0,"",$F77-$G77))</f>
        <v/>
      </c>
      <c r="I77" s="40" t="n">
        <f aca="false">IF($A77="","",$I76+IF($H77="",0,$H77))</f>
        <v>23918.5521880349</v>
      </c>
      <c r="J77" s="40" t="n">
        <f aca="false">IF($A77="","",Config!$B$4+$I77)</f>
        <v>1023918.55218803</v>
      </c>
      <c r="K77" s="40" t="n">
        <f aca="false">IF($A77="","",MAX($J$4:$J77))</f>
        <v>1023918.55218803</v>
      </c>
      <c r="L77" s="40" t="n">
        <f aca="false">IF($A77="","",$J77-$K77)</f>
        <v>0</v>
      </c>
      <c r="M77" s="42" t="n">
        <f aca="false">IF(OR($A77="",$K77=0),"",$L77/$K77)</f>
        <v>0</v>
      </c>
      <c r="N77" s="40" t="n">
        <f aca="false">IF($A77="","",SUMIFS('Trade Log'!$K$4:$K$503,'Trade Log'!$H$4:$H$503,$A77))</f>
        <v>0</v>
      </c>
      <c r="O77" s="42" t="str">
        <f aca="false">IF(OR($A77="",$H77="",Config!$B$4=0),"",$H77/Config!$B$4)</f>
        <v/>
      </c>
      <c r="P77" s="40" t="n">
        <f aca="false">IF($A77="","",SUM($H$58:$H77))</f>
        <v>0</v>
      </c>
      <c r="Q77" s="53" t="str">
        <f aca="false">IF($A77="","",IFERROR((AVERAGE($O$58:$O77)-Config!$B$7/Config!$B$6)/STDEV($O$58:$O77)*SQRT(Config!$B$6),""))</f>
        <v/>
      </c>
      <c r="R77" s="53" t="str">
        <f aca="false">IF($A77="","",IFERROR((AVERAGE($O$18:$O77)-Config!$B$7/Config!$B$6)/STDEV($O$18:$O77)*SQRT(Config!$B$6),""))</f>
        <v/>
      </c>
      <c r="S77" s="47" t="n">
        <f aca="false">IF($H77="",$S76,IF($H77&gt;0,$S76+1,0))</f>
        <v>1</v>
      </c>
      <c r="T77" s="47" t="n">
        <f aca="false">IF($H77="",$T76,IF($H77&lt;0,$T76+1,0))</f>
        <v>0</v>
      </c>
    </row>
    <row r="78" customFormat="false" ht="15" hidden="false" customHeight="false" outlineLevel="0" collapsed="false">
      <c r="A78" s="54" t="n">
        <f aca="false">IF($A77="","",$A77+1)</f>
        <v>46309</v>
      </c>
      <c r="B78" s="5" t="str">
        <f aca="false">IF($A78="","",TEXT($A78,"ddd"))</f>
        <v>Wed</v>
      </c>
      <c r="C78" s="41" t="n">
        <f aca="false">IF($A78="","",COUNTIFS('Trade Log'!$L$4:$L$503,$A78))</f>
        <v>0</v>
      </c>
      <c r="D78" s="40" t="n">
        <f aca="false">IF($A78="","",SUMIFS('Trade Log'!$Q$4:$Q$503,'Trade Log'!$L$4:$L$503,$A78,'Trade Log'!$E$4:$E$503,"LONG"))</f>
        <v>0</v>
      </c>
      <c r="E78" s="40" t="n">
        <f aca="false">IF($A78="","",SUMIFS('Trade Log'!$Q$4:$Q$503,'Trade Log'!$L$4:$L$503,$A78,'Trade Log'!$E$4:$E$503,"SHORT"))</f>
        <v>0</v>
      </c>
      <c r="F78" s="40" t="n">
        <f aca="false">IF($A78="","",$D78+$E78)</f>
        <v>0</v>
      </c>
      <c r="G78" s="40" t="n">
        <f aca="false">IF($A78="","",SUMIFS('Trade Log'!$Y$4:$Y$503,'Trade Log'!$L$4:$L$503,$A78))</f>
        <v>0</v>
      </c>
      <c r="H78" s="40" t="str">
        <f aca="false">IF($A78="","",IF($C78=0,"",$F78-$G78))</f>
        <v/>
      </c>
      <c r="I78" s="40" t="n">
        <f aca="false">IF($A78="","",$I77+IF($H78="",0,$H78))</f>
        <v>23918.5521880349</v>
      </c>
      <c r="J78" s="40" t="n">
        <f aca="false">IF($A78="","",Config!$B$4+$I78)</f>
        <v>1023918.55218803</v>
      </c>
      <c r="K78" s="40" t="n">
        <f aca="false">IF($A78="","",MAX($J$4:$J78))</f>
        <v>1023918.55218803</v>
      </c>
      <c r="L78" s="40" t="n">
        <f aca="false">IF($A78="","",$J78-$K78)</f>
        <v>0</v>
      </c>
      <c r="M78" s="42" t="n">
        <f aca="false">IF(OR($A78="",$K78=0),"",$L78/$K78)</f>
        <v>0</v>
      </c>
      <c r="N78" s="40" t="n">
        <f aca="false">IF($A78="","",SUMIFS('Trade Log'!$K$4:$K$503,'Trade Log'!$H$4:$H$503,$A78))</f>
        <v>0</v>
      </c>
      <c r="O78" s="42" t="str">
        <f aca="false">IF(OR($A78="",$H78="",Config!$B$4=0),"",$H78/Config!$B$4)</f>
        <v/>
      </c>
      <c r="P78" s="40" t="n">
        <f aca="false">IF($A78="","",SUM($H$59:$H78))</f>
        <v>0</v>
      </c>
      <c r="Q78" s="53" t="str">
        <f aca="false">IF($A78="","",IFERROR((AVERAGE($O$59:$O78)-Config!$B$7/Config!$B$6)/STDEV($O$59:$O78)*SQRT(Config!$B$6),""))</f>
        <v/>
      </c>
      <c r="R78" s="53" t="str">
        <f aca="false">IF($A78="","",IFERROR((AVERAGE($O$19:$O78)-Config!$B$7/Config!$B$6)/STDEV($O$19:$O78)*SQRT(Config!$B$6),""))</f>
        <v/>
      </c>
      <c r="S78" s="47" t="n">
        <f aca="false">IF($H78="",$S77,IF($H78&gt;0,$S77+1,0))</f>
        <v>1</v>
      </c>
      <c r="T78" s="47" t="n">
        <f aca="false">IF($H78="",$T77,IF($H78&lt;0,$T77+1,0))</f>
        <v>0</v>
      </c>
    </row>
    <row r="79" customFormat="false" ht="15" hidden="false" customHeight="false" outlineLevel="0" collapsed="false">
      <c r="A79" s="54" t="n">
        <f aca="false">IF($A78="","",$A78+1)</f>
        <v>46310</v>
      </c>
      <c r="B79" s="5" t="str">
        <f aca="false">IF($A79="","",TEXT($A79,"ddd"))</f>
        <v>Thu</v>
      </c>
      <c r="C79" s="41" t="n">
        <f aca="false">IF($A79="","",COUNTIFS('Trade Log'!$L$4:$L$503,$A79))</f>
        <v>0</v>
      </c>
      <c r="D79" s="40" t="n">
        <f aca="false">IF($A79="","",SUMIFS('Trade Log'!$Q$4:$Q$503,'Trade Log'!$L$4:$L$503,$A79,'Trade Log'!$E$4:$E$503,"LONG"))</f>
        <v>0</v>
      </c>
      <c r="E79" s="40" t="n">
        <f aca="false">IF($A79="","",SUMIFS('Trade Log'!$Q$4:$Q$503,'Trade Log'!$L$4:$L$503,$A79,'Trade Log'!$E$4:$E$503,"SHORT"))</f>
        <v>0</v>
      </c>
      <c r="F79" s="40" t="n">
        <f aca="false">IF($A79="","",$D79+$E79)</f>
        <v>0</v>
      </c>
      <c r="G79" s="40" t="n">
        <f aca="false">IF($A79="","",SUMIFS('Trade Log'!$Y$4:$Y$503,'Trade Log'!$L$4:$L$503,$A79))</f>
        <v>0</v>
      </c>
      <c r="H79" s="40" t="str">
        <f aca="false">IF($A79="","",IF($C79=0,"",$F79-$G79))</f>
        <v/>
      </c>
      <c r="I79" s="40" t="n">
        <f aca="false">IF($A79="","",$I78+IF($H79="",0,$H79))</f>
        <v>23918.5521880349</v>
      </c>
      <c r="J79" s="40" t="n">
        <f aca="false">IF($A79="","",Config!$B$4+$I79)</f>
        <v>1023918.55218803</v>
      </c>
      <c r="K79" s="40" t="n">
        <f aca="false">IF($A79="","",MAX($J$4:$J79))</f>
        <v>1023918.55218803</v>
      </c>
      <c r="L79" s="40" t="n">
        <f aca="false">IF($A79="","",$J79-$K79)</f>
        <v>0</v>
      </c>
      <c r="M79" s="42" t="n">
        <f aca="false">IF(OR($A79="",$K79=0),"",$L79/$K79)</f>
        <v>0</v>
      </c>
      <c r="N79" s="40" t="n">
        <f aca="false">IF($A79="","",SUMIFS('Trade Log'!$K$4:$K$503,'Trade Log'!$H$4:$H$503,$A79))</f>
        <v>0</v>
      </c>
      <c r="O79" s="42" t="str">
        <f aca="false">IF(OR($A79="",$H79="",Config!$B$4=0),"",$H79/Config!$B$4)</f>
        <v/>
      </c>
      <c r="P79" s="40" t="n">
        <f aca="false">IF($A79="","",SUM($H$60:$H79))</f>
        <v>0</v>
      </c>
      <c r="Q79" s="53" t="str">
        <f aca="false">IF($A79="","",IFERROR((AVERAGE($O$60:$O79)-Config!$B$7/Config!$B$6)/STDEV($O$60:$O79)*SQRT(Config!$B$6),""))</f>
        <v/>
      </c>
      <c r="R79" s="53" t="str">
        <f aca="false">IF($A79="","",IFERROR((AVERAGE($O$20:$O79)-Config!$B$7/Config!$B$6)/STDEV($O$20:$O79)*SQRT(Config!$B$6),""))</f>
        <v/>
      </c>
      <c r="S79" s="47" t="n">
        <f aca="false">IF($H79="",$S78,IF($H79&gt;0,$S78+1,0))</f>
        <v>1</v>
      </c>
      <c r="T79" s="47" t="n">
        <f aca="false">IF($H79="",$T78,IF($H79&lt;0,$T78+1,0))</f>
        <v>0</v>
      </c>
    </row>
    <row r="80" customFormat="false" ht="15" hidden="false" customHeight="false" outlineLevel="0" collapsed="false">
      <c r="A80" s="54" t="n">
        <f aca="false">IF($A79="","",$A79+1)</f>
        <v>46311</v>
      </c>
      <c r="B80" s="5" t="str">
        <f aca="false">IF($A80="","",TEXT($A80,"ddd"))</f>
        <v>Fri</v>
      </c>
      <c r="C80" s="41" t="n">
        <f aca="false">IF($A80="","",COUNTIFS('Trade Log'!$L$4:$L$503,$A80))</f>
        <v>0</v>
      </c>
      <c r="D80" s="40" t="n">
        <f aca="false">IF($A80="","",SUMIFS('Trade Log'!$Q$4:$Q$503,'Trade Log'!$L$4:$L$503,$A80,'Trade Log'!$E$4:$E$503,"LONG"))</f>
        <v>0</v>
      </c>
      <c r="E80" s="40" t="n">
        <f aca="false">IF($A80="","",SUMIFS('Trade Log'!$Q$4:$Q$503,'Trade Log'!$L$4:$L$503,$A80,'Trade Log'!$E$4:$E$503,"SHORT"))</f>
        <v>0</v>
      </c>
      <c r="F80" s="40" t="n">
        <f aca="false">IF($A80="","",$D80+$E80)</f>
        <v>0</v>
      </c>
      <c r="G80" s="40" t="n">
        <f aca="false">IF($A80="","",SUMIFS('Trade Log'!$Y$4:$Y$503,'Trade Log'!$L$4:$L$503,$A80))</f>
        <v>0</v>
      </c>
      <c r="H80" s="40" t="str">
        <f aca="false">IF($A80="","",IF($C80=0,"",$F80-$G80))</f>
        <v/>
      </c>
      <c r="I80" s="40" t="n">
        <f aca="false">IF($A80="","",$I79+IF($H80="",0,$H80))</f>
        <v>23918.5521880349</v>
      </c>
      <c r="J80" s="40" t="n">
        <f aca="false">IF($A80="","",Config!$B$4+$I80)</f>
        <v>1023918.55218803</v>
      </c>
      <c r="K80" s="40" t="n">
        <f aca="false">IF($A80="","",MAX($J$4:$J80))</f>
        <v>1023918.55218803</v>
      </c>
      <c r="L80" s="40" t="n">
        <f aca="false">IF($A80="","",$J80-$K80)</f>
        <v>0</v>
      </c>
      <c r="M80" s="42" t="n">
        <f aca="false">IF(OR($A80="",$K80=0),"",$L80/$K80)</f>
        <v>0</v>
      </c>
      <c r="N80" s="40" t="n">
        <f aca="false">IF($A80="","",SUMIFS('Trade Log'!$K$4:$K$503,'Trade Log'!$H$4:$H$503,$A80))</f>
        <v>0</v>
      </c>
      <c r="O80" s="42" t="str">
        <f aca="false">IF(OR($A80="",$H80="",Config!$B$4=0),"",$H80/Config!$B$4)</f>
        <v/>
      </c>
      <c r="P80" s="40" t="n">
        <f aca="false">IF($A80="","",SUM($H$61:$H80))</f>
        <v>0</v>
      </c>
      <c r="Q80" s="53" t="str">
        <f aca="false">IF($A80="","",IFERROR((AVERAGE($O$61:$O80)-Config!$B$7/Config!$B$6)/STDEV($O$61:$O80)*SQRT(Config!$B$6),""))</f>
        <v/>
      </c>
      <c r="R80" s="53" t="str">
        <f aca="false">IF($A80="","",IFERROR((AVERAGE($O$21:$O80)-Config!$B$7/Config!$B$6)/STDEV($O$21:$O80)*SQRT(Config!$B$6),""))</f>
        <v/>
      </c>
      <c r="S80" s="47" t="n">
        <f aca="false">IF($H80="",$S79,IF($H80&gt;0,$S79+1,0))</f>
        <v>1</v>
      </c>
      <c r="T80" s="47" t="n">
        <f aca="false">IF($H80="",$T79,IF($H80&lt;0,$T79+1,0))</f>
        <v>0</v>
      </c>
    </row>
    <row r="81" customFormat="false" ht="15" hidden="false" customHeight="false" outlineLevel="0" collapsed="false">
      <c r="A81" s="54" t="n">
        <f aca="false">IF($A80="","",$A80+1)</f>
        <v>46312</v>
      </c>
      <c r="B81" s="5" t="str">
        <f aca="false">IF($A81="","",TEXT($A81,"ddd"))</f>
        <v>Sat</v>
      </c>
      <c r="C81" s="41" t="n">
        <f aca="false">IF($A81="","",COUNTIFS('Trade Log'!$L$4:$L$503,$A81))</f>
        <v>0</v>
      </c>
      <c r="D81" s="40" t="n">
        <f aca="false">IF($A81="","",SUMIFS('Trade Log'!$Q$4:$Q$503,'Trade Log'!$L$4:$L$503,$A81,'Trade Log'!$E$4:$E$503,"LONG"))</f>
        <v>0</v>
      </c>
      <c r="E81" s="40" t="n">
        <f aca="false">IF($A81="","",SUMIFS('Trade Log'!$Q$4:$Q$503,'Trade Log'!$L$4:$L$503,$A81,'Trade Log'!$E$4:$E$503,"SHORT"))</f>
        <v>0</v>
      </c>
      <c r="F81" s="40" t="n">
        <f aca="false">IF($A81="","",$D81+$E81)</f>
        <v>0</v>
      </c>
      <c r="G81" s="40" t="n">
        <f aca="false">IF($A81="","",SUMIFS('Trade Log'!$Y$4:$Y$503,'Trade Log'!$L$4:$L$503,$A81))</f>
        <v>0</v>
      </c>
      <c r="H81" s="40" t="str">
        <f aca="false">IF($A81="","",IF($C81=0,"",$F81-$G81))</f>
        <v/>
      </c>
      <c r="I81" s="40" t="n">
        <f aca="false">IF($A81="","",$I80+IF($H81="",0,$H81))</f>
        <v>23918.5521880349</v>
      </c>
      <c r="J81" s="40" t="n">
        <f aca="false">IF($A81="","",Config!$B$4+$I81)</f>
        <v>1023918.55218803</v>
      </c>
      <c r="K81" s="40" t="n">
        <f aca="false">IF($A81="","",MAX($J$4:$J81))</f>
        <v>1023918.55218803</v>
      </c>
      <c r="L81" s="40" t="n">
        <f aca="false">IF($A81="","",$J81-$K81)</f>
        <v>0</v>
      </c>
      <c r="M81" s="42" t="n">
        <f aca="false">IF(OR($A81="",$K81=0),"",$L81/$K81)</f>
        <v>0</v>
      </c>
      <c r="N81" s="40" t="n">
        <f aca="false">IF($A81="","",SUMIFS('Trade Log'!$K$4:$K$503,'Trade Log'!$H$4:$H$503,$A81))</f>
        <v>0</v>
      </c>
      <c r="O81" s="42" t="str">
        <f aca="false">IF(OR($A81="",$H81="",Config!$B$4=0),"",$H81/Config!$B$4)</f>
        <v/>
      </c>
      <c r="P81" s="40" t="n">
        <f aca="false">IF($A81="","",SUM($H$62:$H81))</f>
        <v>0</v>
      </c>
      <c r="Q81" s="53" t="str">
        <f aca="false">IF($A81="","",IFERROR((AVERAGE($O$62:$O81)-Config!$B$7/Config!$B$6)/STDEV($O$62:$O81)*SQRT(Config!$B$6),""))</f>
        <v/>
      </c>
      <c r="R81" s="53" t="str">
        <f aca="false">IF($A81="","",IFERROR((AVERAGE($O$22:$O81)-Config!$B$7/Config!$B$6)/STDEV($O$22:$O81)*SQRT(Config!$B$6),""))</f>
        <v/>
      </c>
      <c r="S81" s="47" t="n">
        <f aca="false">IF($H81="",$S80,IF($H81&gt;0,$S80+1,0))</f>
        <v>1</v>
      </c>
      <c r="T81" s="47" t="n">
        <f aca="false">IF($H81="",$T80,IF($H81&lt;0,$T80+1,0))</f>
        <v>0</v>
      </c>
    </row>
    <row r="82" customFormat="false" ht="15" hidden="false" customHeight="false" outlineLevel="0" collapsed="false">
      <c r="A82" s="54" t="n">
        <f aca="false">IF($A81="","",$A81+1)</f>
        <v>46313</v>
      </c>
      <c r="B82" s="5" t="str">
        <f aca="false">IF($A82="","",TEXT($A82,"ddd"))</f>
        <v>Sun</v>
      </c>
      <c r="C82" s="41" t="n">
        <f aca="false">IF($A82="","",COUNTIFS('Trade Log'!$L$4:$L$503,$A82))</f>
        <v>0</v>
      </c>
      <c r="D82" s="40" t="n">
        <f aca="false">IF($A82="","",SUMIFS('Trade Log'!$Q$4:$Q$503,'Trade Log'!$L$4:$L$503,$A82,'Trade Log'!$E$4:$E$503,"LONG"))</f>
        <v>0</v>
      </c>
      <c r="E82" s="40" t="n">
        <f aca="false">IF($A82="","",SUMIFS('Trade Log'!$Q$4:$Q$503,'Trade Log'!$L$4:$L$503,$A82,'Trade Log'!$E$4:$E$503,"SHORT"))</f>
        <v>0</v>
      </c>
      <c r="F82" s="40" t="n">
        <f aca="false">IF($A82="","",$D82+$E82)</f>
        <v>0</v>
      </c>
      <c r="G82" s="40" t="n">
        <f aca="false">IF($A82="","",SUMIFS('Trade Log'!$Y$4:$Y$503,'Trade Log'!$L$4:$L$503,$A82))</f>
        <v>0</v>
      </c>
      <c r="H82" s="40" t="str">
        <f aca="false">IF($A82="","",IF($C82=0,"",$F82-$G82))</f>
        <v/>
      </c>
      <c r="I82" s="40" t="n">
        <f aca="false">IF($A82="","",$I81+IF($H82="",0,$H82))</f>
        <v>23918.5521880349</v>
      </c>
      <c r="J82" s="40" t="n">
        <f aca="false">IF($A82="","",Config!$B$4+$I82)</f>
        <v>1023918.55218803</v>
      </c>
      <c r="K82" s="40" t="n">
        <f aca="false">IF($A82="","",MAX($J$4:$J82))</f>
        <v>1023918.55218803</v>
      </c>
      <c r="L82" s="40" t="n">
        <f aca="false">IF($A82="","",$J82-$K82)</f>
        <v>0</v>
      </c>
      <c r="M82" s="42" t="n">
        <f aca="false">IF(OR($A82="",$K82=0),"",$L82/$K82)</f>
        <v>0</v>
      </c>
      <c r="N82" s="40" t="n">
        <f aca="false">IF($A82="","",SUMIFS('Trade Log'!$K$4:$K$503,'Trade Log'!$H$4:$H$503,$A82))</f>
        <v>0</v>
      </c>
      <c r="O82" s="42" t="str">
        <f aca="false">IF(OR($A82="",$H82="",Config!$B$4=0),"",$H82/Config!$B$4)</f>
        <v/>
      </c>
      <c r="P82" s="40" t="n">
        <f aca="false">IF($A82="","",SUM($H$63:$H82))</f>
        <v>0</v>
      </c>
      <c r="Q82" s="53" t="str">
        <f aca="false">IF($A82="","",IFERROR((AVERAGE($O$63:$O82)-Config!$B$7/Config!$B$6)/STDEV($O$63:$O82)*SQRT(Config!$B$6),""))</f>
        <v/>
      </c>
      <c r="R82" s="53" t="str">
        <f aca="false">IF($A82="","",IFERROR((AVERAGE($O$23:$O82)-Config!$B$7/Config!$B$6)/STDEV($O$23:$O82)*SQRT(Config!$B$6),""))</f>
        <v/>
      </c>
      <c r="S82" s="47" t="n">
        <f aca="false">IF($H82="",$S81,IF($H82&gt;0,$S81+1,0))</f>
        <v>1</v>
      </c>
      <c r="T82" s="47" t="n">
        <f aca="false">IF($H82="",$T81,IF($H82&lt;0,$T81+1,0))</f>
        <v>0</v>
      </c>
    </row>
    <row r="83" customFormat="false" ht="15" hidden="false" customHeight="false" outlineLevel="0" collapsed="false">
      <c r="A83" s="54" t="n">
        <f aca="false">IF($A82="","",$A82+1)</f>
        <v>46314</v>
      </c>
      <c r="B83" s="5" t="str">
        <f aca="false">IF($A83="","",TEXT($A83,"ddd"))</f>
        <v>Mon</v>
      </c>
      <c r="C83" s="41" t="n">
        <f aca="false">IF($A83="","",COUNTIFS('Trade Log'!$L$4:$L$503,$A83))</f>
        <v>0</v>
      </c>
      <c r="D83" s="40" t="n">
        <f aca="false">IF($A83="","",SUMIFS('Trade Log'!$Q$4:$Q$503,'Trade Log'!$L$4:$L$503,$A83,'Trade Log'!$E$4:$E$503,"LONG"))</f>
        <v>0</v>
      </c>
      <c r="E83" s="40" t="n">
        <f aca="false">IF($A83="","",SUMIFS('Trade Log'!$Q$4:$Q$503,'Trade Log'!$L$4:$L$503,$A83,'Trade Log'!$E$4:$E$503,"SHORT"))</f>
        <v>0</v>
      </c>
      <c r="F83" s="40" t="n">
        <f aca="false">IF($A83="","",$D83+$E83)</f>
        <v>0</v>
      </c>
      <c r="G83" s="40" t="n">
        <f aca="false">IF($A83="","",SUMIFS('Trade Log'!$Y$4:$Y$503,'Trade Log'!$L$4:$L$503,$A83))</f>
        <v>0</v>
      </c>
      <c r="H83" s="40" t="str">
        <f aca="false">IF($A83="","",IF($C83=0,"",$F83-$G83))</f>
        <v/>
      </c>
      <c r="I83" s="40" t="n">
        <f aca="false">IF($A83="","",$I82+IF($H83="",0,$H83))</f>
        <v>23918.5521880349</v>
      </c>
      <c r="J83" s="40" t="n">
        <f aca="false">IF($A83="","",Config!$B$4+$I83)</f>
        <v>1023918.55218803</v>
      </c>
      <c r="K83" s="40" t="n">
        <f aca="false">IF($A83="","",MAX($J$4:$J83))</f>
        <v>1023918.55218803</v>
      </c>
      <c r="L83" s="40" t="n">
        <f aca="false">IF($A83="","",$J83-$K83)</f>
        <v>0</v>
      </c>
      <c r="M83" s="42" t="n">
        <f aca="false">IF(OR($A83="",$K83=0),"",$L83/$K83)</f>
        <v>0</v>
      </c>
      <c r="N83" s="40" t="n">
        <f aca="false">IF($A83="","",SUMIFS('Trade Log'!$K$4:$K$503,'Trade Log'!$H$4:$H$503,$A83))</f>
        <v>0</v>
      </c>
      <c r="O83" s="42" t="str">
        <f aca="false">IF(OR($A83="",$H83="",Config!$B$4=0),"",$H83/Config!$B$4)</f>
        <v/>
      </c>
      <c r="P83" s="40" t="n">
        <f aca="false">IF($A83="","",SUM($H$64:$H83))</f>
        <v>0</v>
      </c>
      <c r="Q83" s="53" t="str">
        <f aca="false">IF($A83="","",IFERROR((AVERAGE($O$64:$O83)-Config!$B$7/Config!$B$6)/STDEV($O$64:$O83)*SQRT(Config!$B$6),""))</f>
        <v/>
      </c>
      <c r="R83" s="53" t="str">
        <f aca="false">IF($A83="","",IFERROR((AVERAGE($O$24:$O83)-Config!$B$7/Config!$B$6)/STDEV($O$24:$O83)*SQRT(Config!$B$6),""))</f>
        <v/>
      </c>
      <c r="S83" s="47" t="n">
        <f aca="false">IF($H83="",$S82,IF($H83&gt;0,$S82+1,0))</f>
        <v>1</v>
      </c>
      <c r="T83" s="47" t="n">
        <f aca="false">IF($H83="",$T82,IF($H83&lt;0,$T82+1,0))</f>
        <v>0</v>
      </c>
    </row>
    <row r="84" customFormat="false" ht="15" hidden="false" customHeight="false" outlineLevel="0" collapsed="false">
      <c r="A84" s="54" t="n">
        <f aca="false">IF($A83="","",$A83+1)</f>
        <v>46315</v>
      </c>
      <c r="B84" s="5" t="str">
        <f aca="false">IF($A84="","",TEXT($A84,"ddd"))</f>
        <v>Tue</v>
      </c>
      <c r="C84" s="41" t="n">
        <f aca="false">IF($A84="","",COUNTIFS('Trade Log'!$L$4:$L$503,$A84))</f>
        <v>0</v>
      </c>
      <c r="D84" s="40" t="n">
        <f aca="false">IF($A84="","",SUMIFS('Trade Log'!$Q$4:$Q$503,'Trade Log'!$L$4:$L$503,$A84,'Trade Log'!$E$4:$E$503,"LONG"))</f>
        <v>0</v>
      </c>
      <c r="E84" s="40" t="n">
        <f aca="false">IF($A84="","",SUMIFS('Trade Log'!$Q$4:$Q$503,'Trade Log'!$L$4:$L$503,$A84,'Trade Log'!$E$4:$E$503,"SHORT"))</f>
        <v>0</v>
      </c>
      <c r="F84" s="40" t="n">
        <f aca="false">IF($A84="","",$D84+$E84)</f>
        <v>0</v>
      </c>
      <c r="G84" s="40" t="n">
        <f aca="false">IF($A84="","",SUMIFS('Trade Log'!$Y$4:$Y$503,'Trade Log'!$L$4:$L$503,$A84))</f>
        <v>0</v>
      </c>
      <c r="H84" s="40" t="str">
        <f aca="false">IF($A84="","",IF($C84=0,"",$F84-$G84))</f>
        <v/>
      </c>
      <c r="I84" s="40" t="n">
        <f aca="false">IF($A84="","",$I83+IF($H84="",0,$H84))</f>
        <v>23918.5521880349</v>
      </c>
      <c r="J84" s="40" t="n">
        <f aca="false">IF($A84="","",Config!$B$4+$I84)</f>
        <v>1023918.55218803</v>
      </c>
      <c r="K84" s="40" t="n">
        <f aca="false">IF($A84="","",MAX($J$4:$J84))</f>
        <v>1023918.55218803</v>
      </c>
      <c r="L84" s="40" t="n">
        <f aca="false">IF($A84="","",$J84-$K84)</f>
        <v>0</v>
      </c>
      <c r="M84" s="42" t="n">
        <f aca="false">IF(OR($A84="",$K84=0),"",$L84/$K84)</f>
        <v>0</v>
      </c>
      <c r="N84" s="40" t="n">
        <f aca="false">IF($A84="","",SUMIFS('Trade Log'!$K$4:$K$503,'Trade Log'!$H$4:$H$503,$A84))</f>
        <v>0</v>
      </c>
      <c r="O84" s="42" t="str">
        <f aca="false">IF(OR($A84="",$H84="",Config!$B$4=0),"",$H84/Config!$B$4)</f>
        <v/>
      </c>
      <c r="P84" s="40" t="n">
        <f aca="false">IF($A84="","",SUM($H$65:$H84))</f>
        <v>0</v>
      </c>
      <c r="Q84" s="53" t="str">
        <f aca="false">IF($A84="","",IFERROR((AVERAGE($O$65:$O84)-Config!$B$7/Config!$B$6)/STDEV($O$65:$O84)*SQRT(Config!$B$6),""))</f>
        <v/>
      </c>
      <c r="R84" s="53" t="str">
        <f aca="false">IF($A84="","",IFERROR((AVERAGE($O$25:$O84)-Config!$B$7/Config!$B$6)/STDEV($O$25:$O84)*SQRT(Config!$B$6),""))</f>
        <v/>
      </c>
      <c r="S84" s="47" t="n">
        <f aca="false">IF($H84="",$S83,IF($H84&gt;0,$S83+1,0))</f>
        <v>1</v>
      </c>
      <c r="T84" s="47" t="n">
        <f aca="false">IF($H84="",$T83,IF($H84&lt;0,$T83+1,0))</f>
        <v>0</v>
      </c>
    </row>
    <row r="85" customFormat="false" ht="15" hidden="false" customHeight="false" outlineLevel="0" collapsed="false">
      <c r="A85" s="54" t="n">
        <f aca="false">IF($A84="","",$A84+1)</f>
        <v>46316</v>
      </c>
      <c r="B85" s="5" t="str">
        <f aca="false">IF($A85="","",TEXT($A85,"ddd"))</f>
        <v>Wed</v>
      </c>
      <c r="C85" s="41" t="n">
        <f aca="false">IF($A85="","",COUNTIFS('Trade Log'!$L$4:$L$503,$A85))</f>
        <v>0</v>
      </c>
      <c r="D85" s="40" t="n">
        <f aca="false">IF($A85="","",SUMIFS('Trade Log'!$Q$4:$Q$503,'Trade Log'!$L$4:$L$503,$A85,'Trade Log'!$E$4:$E$503,"LONG"))</f>
        <v>0</v>
      </c>
      <c r="E85" s="40" t="n">
        <f aca="false">IF($A85="","",SUMIFS('Trade Log'!$Q$4:$Q$503,'Trade Log'!$L$4:$L$503,$A85,'Trade Log'!$E$4:$E$503,"SHORT"))</f>
        <v>0</v>
      </c>
      <c r="F85" s="40" t="n">
        <f aca="false">IF($A85="","",$D85+$E85)</f>
        <v>0</v>
      </c>
      <c r="G85" s="40" t="n">
        <f aca="false">IF($A85="","",SUMIFS('Trade Log'!$Y$4:$Y$503,'Trade Log'!$L$4:$L$503,$A85))</f>
        <v>0</v>
      </c>
      <c r="H85" s="40" t="str">
        <f aca="false">IF($A85="","",IF($C85=0,"",$F85-$G85))</f>
        <v/>
      </c>
      <c r="I85" s="40" t="n">
        <f aca="false">IF($A85="","",$I84+IF($H85="",0,$H85))</f>
        <v>23918.5521880349</v>
      </c>
      <c r="J85" s="40" t="n">
        <f aca="false">IF($A85="","",Config!$B$4+$I85)</f>
        <v>1023918.55218803</v>
      </c>
      <c r="K85" s="40" t="n">
        <f aca="false">IF($A85="","",MAX($J$4:$J85))</f>
        <v>1023918.55218803</v>
      </c>
      <c r="L85" s="40" t="n">
        <f aca="false">IF($A85="","",$J85-$K85)</f>
        <v>0</v>
      </c>
      <c r="M85" s="42" t="n">
        <f aca="false">IF(OR($A85="",$K85=0),"",$L85/$K85)</f>
        <v>0</v>
      </c>
      <c r="N85" s="40" t="n">
        <f aca="false">IF($A85="","",SUMIFS('Trade Log'!$K$4:$K$503,'Trade Log'!$H$4:$H$503,$A85))</f>
        <v>0</v>
      </c>
      <c r="O85" s="42" t="str">
        <f aca="false">IF(OR($A85="",$H85="",Config!$B$4=0),"",$H85/Config!$B$4)</f>
        <v/>
      </c>
      <c r="P85" s="40" t="n">
        <f aca="false">IF($A85="","",SUM($H$66:$H85))</f>
        <v>0</v>
      </c>
      <c r="Q85" s="53" t="str">
        <f aca="false">IF($A85="","",IFERROR((AVERAGE($O$66:$O85)-Config!$B$7/Config!$B$6)/STDEV($O$66:$O85)*SQRT(Config!$B$6),""))</f>
        <v/>
      </c>
      <c r="R85" s="53" t="str">
        <f aca="false">IF($A85="","",IFERROR((AVERAGE($O$26:$O85)-Config!$B$7/Config!$B$6)/STDEV($O$26:$O85)*SQRT(Config!$B$6),""))</f>
        <v/>
      </c>
      <c r="S85" s="47" t="n">
        <f aca="false">IF($H85="",$S84,IF($H85&gt;0,$S84+1,0))</f>
        <v>1</v>
      </c>
      <c r="T85" s="47" t="n">
        <f aca="false">IF($H85="",$T84,IF($H85&lt;0,$T84+1,0))</f>
        <v>0</v>
      </c>
    </row>
    <row r="86" customFormat="false" ht="15" hidden="false" customHeight="false" outlineLevel="0" collapsed="false">
      <c r="A86" s="54" t="n">
        <f aca="false">IF($A85="","",$A85+1)</f>
        <v>46317</v>
      </c>
      <c r="B86" s="5" t="str">
        <f aca="false">IF($A86="","",TEXT($A86,"ddd"))</f>
        <v>Thu</v>
      </c>
      <c r="C86" s="41" t="n">
        <f aca="false">IF($A86="","",COUNTIFS('Trade Log'!$L$4:$L$503,$A86))</f>
        <v>0</v>
      </c>
      <c r="D86" s="40" t="n">
        <f aca="false">IF($A86="","",SUMIFS('Trade Log'!$Q$4:$Q$503,'Trade Log'!$L$4:$L$503,$A86,'Trade Log'!$E$4:$E$503,"LONG"))</f>
        <v>0</v>
      </c>
      <c r="E86" s="40" t="n">
        <f aca="false">IF($A86="","",SUMIFS('Trade Log'!$Q$4:$Q$503,'Trade Log'!$L$4:$L$503,$A86,'Trade Log'!$E$4:$E$503,"SHORT"))</f>
        <v>0</v>
      </c>
      <c r="F86" s="40" t="n">
        <f aca="false">IF($A86="","",$D86+$E86)</f>
        <v>0</v>
      </c>
      <c r="G86" s="40" t="n">
        <f aca="false">IF($A86="","",SUMIFS('Trade Log'!$Y$4:$Y$503,'Trade Log'!$L$4:$L$503,$A86))</f>
        <v>0</v>
      </c>
      <c r="H86" s="40" t="str">
        <f aca="false">IF($A86="","",IF($C86=0,"",$F86-$G86))</f>
        <v/>
      </c>
      <c r="I86" s="40" t="n">
        <f aca="false">IF($A86="","",$I85+IF($H86="",0,$H86))</f>
        <v>23918.5521880349</v>
      </c>
      <c r="J86" s="40" t="n">
        <f aca="false">IF($A86="","",Config!$B$4+$I86)</f>
        <v>1023918.55218803</v>
      </c>
      <c r="K86" s="40" t="n">
        <f aca="false">IF($A86="","",MAX($J$4:$J86))</f>
        <v>1023918.55218803</v>
      </c>
      <c r="L86" s="40" t="n">
        <f aca="false">IF($A86="","",$J86-$K86)</f>
        <v>0</v>
      </c>
      <c r="M86" s="42" t="n">
        <f aca="false">IF(OR($A86="",$K86=0),"",$L86/$K86)</f>
        <v>0</v>
      </c>
      <c r="N86" s="40" t="n">
        <f aca="false">IF($A86="","",SUMIFS('Trade Log'!$K$4:$K$503,'Trade Log'!$H$4:$H$503,$A86))</f>
        <v>0</v>
      </c>
      <c r="O86" s="42" t="str">
        <f aca="false">IF(OR($A86="",$H86="",Config!$B$4=0),"",$H86/Config!$B$4)</f>
        <v/>
      </c>
      <c r="P86" s="40" t="n">
        <f aca="false">IF($A86="","",SUM($H$67:$H86))</f>
        <v>0</v>
      </c>
      <c r="Q86" s="53" t="str">
        <f aca="false">IF($A86="","",IFERROR((AVERAGE($O$67:$O86)-Config!$B$7/Config!$B$6)/STDEV($O$67:$O86)*SQRT(Config!$B$6),""))</f>
        <v/>
      </c>
      <c r="R86" s="53" t="str">
        <f aca="false">IF($A86="","",IFERROR((AVERAGE($O$27:$O86)-Config!$B$7/Config!$B$6)/STDEV($O$27:$O86)*SQRT(Config!$B$6),""))</f>
        <v/>
      </c>
      <c r="S86" s="47" t="n">
        <f aca="false">IF($H86="",$S85,IF($H86&gt;0,$S85+1,0))</f>
        <v>1</v>
      </c>
      <c r="T86" s="47" t="n">
        <f aca="false">IF($H86="",$T85,IF($H86&lt;0,$T85+1,0))</f>
        <v>0</v>
      </c>
    </row>
    <row r="87" customFormat="false" ht="15" hidden="false" customHeight="false" outlineLevel="0" collapsed="false">
      <c r="A87" s="54" t="n">
        <f aca="false">IF($A86="","",$A86+1)</f>
        <v>46318</v>
      </c>
      <c r="B87" s="5" t="str">
        <f aca="false">IF($A87="","",TEXT($A87,"ddd"))</f>
        <v>Fri</v>
      </c>
      <c r="C87" s="41" t="n">
        <f aca="false">IF($A87="","",COUNTIFS('Trade Log'!$L$4:$L$503,$A87))</f>
        <v>0</v>
      </c>
      <c r="D87" s="40" t="n">
        <f aca="false">IF($A87="","",SUMIFS('Trade Log'!$Q$4:$Q$503,'Trade Log'!$L$4:$L$503,$A87,'Trade Log'!$E$4:$E$503,"LONG"))</f>
        <v>0</v>
      </c>
      <c r="E87" s="40" t="n">
        <f aca="false">IF($A87="","",SUMIFS('Trade Log'!$Q$4:$Q$503,'Trade Log'!$L$4:$L$503,$A87,'Trade Log'!$E$4:$E$503,"SHORT"))</f>
        <v>0</v>
      </c>
      <c r="F87" s="40" t="n">
        <f aca="false">IF($A87="","",$D87+$E87)</f>
        <v>0</v>
      </c>
      <c r="G87" s="40" t="n">
        <f aca="false">IF($A87="","",SUMIFS('Trade Log'!$Y$4:$Y$503,'Trade Log'!$L$4:$L$503,$A87))</f>
        <v>0</v>
      </c>
      <c r="H87" s="40" t="str">
        <f aca="false">IF($A87="","",IF($C87=0,"",$F87-$G87))</f>
        <v/>
      </c>
      <c r="I87" s="40" t="n">
        <f aca="false">IF($A87="","",$I86+IF($H87="",0,$H87))</f>
        <v>23918.5521880349</v>
      </c>
      <c r="J87" s="40" t="n">
        <f aca="false">IF($A87="","",Config!$B$4+$I87)</f>
        <v>1023918.55218803</v>
      </c>
      <c r="K87" s="40" t="n">
        <f aca="false">IF($A87="","",MAX($J$4:$J87))</f>
        <v>1023918.55218803</v>
      </c>
      <c r="L87" s="40" t="n">
        <f aca="false">IF($A87="","",$J87-$K87)</f>
        <v>0</v>
      </c>
      <c r="M87" s="42" t="n">
        <f aca="false">IF(OR($A87="",$K87=0),"",$L87/$K87)</f>
        <v>0</v>
      </c>
      <c r="N87" s="40" t="n">
        <f aca="false">IF($A87="","",SUMIFS('Trade Log'!$K$4:$K$503,'Trade Log'!$H$4:$H$503,$A87))</f>
        <v>0</v>
      </c>
      <c r="O87" s="42" t="str">
        <f aca="false">IF(OR($A87="",$H87="",Config!$B$4=0),"",$H87/Config!$B$4)</f>
        <v/>
      </c>
      <c r="P87" s="40" t="n">
        <f aca="false">IF($A87="","",SUM($H$68:$H87))</f>
        <v>0</v>
      </c>
      <c r="Q87" s="53" t="str">
        <f aca="false">IF($A87="","",IFERROR((AVERAGE($O$68:$O87)-Config!$B$7/Config!$B$6)/STDEV($O$68:$O87)*SQRT(Config!$B$6),""))</f>
        <v/>
      </c>
      <c r="R87" s="53" t="str">
        <f aca="false">IF($A87="","",IFERROR((AVERAGE($O$28:$O87)-Config!$B$7/Config!$B$6)/STDEV($O$28:$O87)*SQRT(Config!$B$6),""))</f>
        <v/>
      </c>
      <c r="S87" s="47" t="n">
        <f aca="false">IF($H87="",$S86,IF($H87&gt;0,$S86+1,0))</f>
        <v>1</v>
      </c>
      <c r="T87" s="47" t="n">
        <f aca="false">IF($H87="",$T86,IF($H87&lt;0,$T86+1,0))</f>
        <v>0</v>
      </c>
    </row>
    <row r="88" customFormat="false" ht="15" hidden="false" customHeight="false" outlineLevel="0" collapsed="false">
      <c r="A88" s="54" t="n">
        <f aca="false">IF($A87="","",$A87+1)</f>
        <v>46319</v>
      </c>
      <c r="B88" s="5" t="str">
        <f aca="false">IF($A88="","",TEXT($A88,"ddd"))</f>
        <v>Sat</v>
      </c>
      <c r="C88" s="41" t="n">
        <f aca="false">IF($A88="","",COUNTIFS('Trade Log'!$L$4:$L$503,$A88))</f>
        <v>0</v>
      </c>
      <c r="D88" s="40" t="n">
        <f aca="false">IF($A88="","",SUMIFS('Trade Log'!$Q$4:$Q$503,'Trade Log'!$L$4:$L$503,$A88,'Trade Log'!$E$4:$E$503,"LONG"))</f>
        <v>0</v>
      </c>
      <c r="E88" s="40" t="n">
        <f aca="false">IF($A88="","",SUMIFS('Trade Log'!$Q$4:$Q$503,'Trade Log'!$L$4:$L$503,$A88,'Trade Log'!$E$4:$E$503,"SHORT"))</f>
        <v>0</v>
      </c>
      <c r="F88" s="40" t="n">
        <f aca="false">IF($A88="","",$D88+$E88)</f>
        <v>0</v>
      </c>
      <c r="G88" s="40" t="n">
        <f aca="false">IF($A88="","",SUMIFS('Trade Log'!$Y$4:$Y$503,'Trade Log'!$L$4:$L$503,$A88))</f>
        <v>0</v>
      </c>
      <c r="H88" s="40" t="str">
        <f aca="false">IF($A88="","",IF($C88=0,"",$F88-$G88))</f>
        <v/>
      </c>
      <c r="I88" s="40" t="n">
        <f aca="false">IF($A88="","",$I87+IF($H88="",0,$H88))</f>
        <v>23918.5521880349</v>
      </c>
      <c r="J88" s="40" t="n">
        <f aca="false">IF($A88="","",Config!$B$4+$I88)</f>
        <v>1023918.55218803</v>
      </c>
      <c r="K88" s="40" t="n">
        <f aca="false">IF($A88="","",MAX($J$4:$J88))</f>
        <v>1023918.55218803</v>
      </c>
      <c r="L88" s="40" t="n">
        <f aca="false">IF($A88="","",$J88-$K88)</f>
        <v>0</v>
      </c>
      <c r="M88" s="42" t="n">
        <f aca="false">IF(OR($A88="",$K88=0),"",$L88/$K88)</f>
        <v>0</v>
      </c>
      <c r="N88" s="40" t="n">
        <f aca="false">IF($A88="","",SUMIFS('Trade Log'!$K$4:$K$503,'Trade Log'!$H$4:$H$503,$A88))</f>
        <v>0</v>
      </c>
      <c r="O88" s="42" t="str">
        <f aca="false">IF(OR($A88="",$H88="",Config!$B$4=0),"",$H88/Config!$B$4)</f>
        <v/>
      </c>
      <c r="P88" s="40" t="n">
        <f aca="false">IF($A88="","",SUM($H$69:$H88))</f>
        <v>0</v>
      </c>
      <c r="Q88" s="53" t="str">
        <f aca="false">IF($A88="","",IFERROR((AVERAGE($O$69:$O88)-Config!$B$7/Config!$B$6)/STDEV($O$69:$O88)*SQRT(Config!$B$6),""))</f>
        <v/>
      </c>
      <c r="R88" s="53" t="str">
        <f aca="false">IF($A88="","",IFERROR((AVERAGE($O$29:$O88)-Config!$B$7/Config!$B$6)/STDEV($O$29:$O88)*SQRT(Config!$B$6),""))</f>
        <v/>
      </c>
      <c r="S88" s="47" t="n">
        <f aca="false">IF($H88="",$S87,IF($H88&gt;0,$S87+1,0))</f>
        <v>1</v>
      </c>
      <c r="T88" s="47" t="n">
        <f aca="false">IF($H88="",$T87,IF($H88&lt;0,$T87+1,0))</f>
        <v>0</v>
      </c>
    </row>
    <row r="89" customFormat="false" ht="15" hidden="false" customHeight="false" outlineLevel="0" collapsed="false">
      <c r="A89" s="54" t="n">
        <f aca="false">IF($A88="","",$A88+1)</f>
        <v>46320</v>
      </c>
      <c r="B89" s="5" t="str">
        <f aca="false">IF($A89="","",TEXT($A89,"ddd"))</f>
        <v>Sun</v>
      </c>
      <c r="C89" s="41" t="n">
        <f aca="false">IF($A89="","",COUNTIFS('Trade Log'!$L$4:$L$503,$A89))</f>
        <v>0</v>
      </c>
      <c r="D89" s="40" t="n">
        <f aca="false">IF($A89="","",SUMIFS('Trade Log'!$Q$4:$Q$503,'Trade Log'!$L$4:$L$503,$A89,'Trade Log'!$E$4:$E$503,"LONG"))</f>
        <v>0</v>
      </c>
      <c r="E89" s="40" t="n">
        <f aca="false">IF($A89="","",SUMIFS('Trade Log'!$Q$4:$Q$503,'Trade Log'!$L$4:$L$503,$A89,'Trade Log'!$E$4:$E$503,"SHORT"))</f>
        <v>0</v>
      </c>
      <c r="F89" s="40" t="n">
        <f aca="false">IF($A89="","",$D89+$E89)</f>
        <v>0</v>
      </c>
      <c r="G89" s="40" t="n">
        <f aca="false">IF($A89="","",SUMIFS('Trade Log'!$Y$4:$Y$503,'Trade Log'!$L$4:$L$503,$A89))</f>
        <v>0</v>
      </c>
      <c r="H89" s="40" t="str">
        <f aca="false">IF($A89="","",IF($C89=0,"",$F89-$G89))</f>
        <v/>
      </c>
      <c r="I89" s="40" t="n">
        <f aca="false">IF($A89="","",$I88+IF($H89="",0,$H89))</f>
        <v>23918.5521880349</v>
      </c>
      <c r="J89" s="40" t="n">
        <f aca="false">IF($A89="","",Config!$B$4+$I89)</f>
        <v>1023918.55218803</v>
      </c>
      <c r="K89" s="40" t="n">
        <f aca="false">IF($A89="","",MAX($J$4:$J89))</f>
        <v>1023918.55218803</v>
      </c>
      <c r="L89" s="40" t="n">
        <f aca="false">IF($A89="","",$J89-$K89)</f>
        <v>0</v>
      </c>
      <c r="M89" s="42" t="n">
        <f aca="false">IF(OR($A89="",$K89=0),"",$L89/$K89)</f>
        <v>0</v>
      </c>
      <c r="N89" s="40" t="n">
        <f aca="false">IF($A89="","",SUMIFS('Trade Log'!$K$4:$K$503,'Trade Log'!$H$4:$H$503,$A89))</f>
        <v>0</v>
      </c>
      <c r="O89" s="42" t="str">
        <f aca="false">IF(OR($A89="",$H89="",Config!$B$4=0),"",$H89/Config!$B$4)</f>
        <v/>
      </c>
      <c r="P89" s="40" t="n">
        <f aca="false">IF($A89="","",SUM($H$70:$H89))</f>
        <v>0</v>
      </c>
      <c r="Q89" s="53" t="str">
        <f aca="false">IF($A89="","",IFERROR((AVERAGE($O$70:$O89)-Config!$B$7/Config!$B$6)/STDEV($O$70:$O89)*SQRT(Config!$B$6),""))</f>
        <v/>
      </c>
      <c r="R89" s="53" t="str">
        <f aca="false">IF($A89="","",IFERROR((AVERAGE($O$30:$O89)-Config!$B$7/Config!$B$6)/STDEV($O$30:$O89)*SQRT(Config!$B$6),""))</f>
        <v/>
      </c>
      <c r="S89" s="47" t="n">
        <f aca="false">IF($H89="",$S88,IF($H89&gt;0,$S88+1,0))</f>
        <v>1</v>
      </c>
      <c r="T89" s="47" t="n">
        <f aca="false">IF($H89="",$T88,IF($H89&lt;0,$T88+1,0))</f>
        <v>0</v>
      </c>
    </row>
    <row r="90" customFormat="false" ht="15" hidden="false" customHeight="false" outlineLevel="0" collapsed="false">
      <c r="A90" s="54" t="n">
        <f aca="false">IF($A89="","",$A89+1)</f>
        <v>46321</v>
      </c>
      <c r="B90" s="5" t="str">
        <f aca="false">IF($A90="","",TEXT($A90,"ddd"))</f>
        <v>Mon</v>
      </c>
      <c r="C90" s="41" t="n">
        <f aca="false">IF($A90="","",COUNTIFS('Trade Log'!$L$4:$L$503,$A90))</f>
        <v>0</v>
      </c>
      <c r="D90" s="40" t="n">
        <f aca="false">IF($A90="","",SUMIFS('Trade Log'!$Q$4:$Q$503,'Trade Log'!$L$4:$L$503,$A90,'Trade Log'!$E$4:$E$503,"LONG"))</f>
        <v>0</v>
      </c>
      <c r="E90" s="40" t="n">
        <f aca="false">IF($A90="","",SUMIFS('Trade Log'!$Q$4:$Q$503,'Trade Log'!$L$4:$L$503,$A90,'Trade Log'!$E$4:$E$503,"SHORT"))</f>
        <v>0</v>
      </c>
      <c r="F90" s="40" t="n">
        <f aca="false">IF($A90="","",$D90+$E90)</f>
        <v>0</v>
      </c>
      <c r="G90" s="40" t="n">
        <f aca="false">IF($A90="","",SUMIFS('Trade Log'!$Y$4:$Y$503,'Trade Log'!$L$4:$L$503,$A90))</f>
        <v>0</v>
      </c>
      <c r="H90" s="40" t="str">
        <f aca="false">IF($A90="","",IF($C90=0,"",$F90-$G90))</f>
        <v/>
      </c>
      <c r="I90" s="40" t="n">
        <f aca="false">IF($A90="","",$I89+IF($H90="",0,$H90))</f>
        <v>23918.5521880349</v>
      </c>
      <c r="J90" s="40" t="n">
        <f aca="false">IF($A90="","",Config!$B$4+$I90)</f>
        <v>1023918.55218803</v>
      </c>
      <c r="K90" s="40" t="n">
        <f aca="false">IF($A90="","",MAX($J$4:$J90))</f>
        <v>1023918.55218803</v>
      </c>
      <c r="L90" s="40" t="n">
        <f aca="false">IF($A90="","",$J90-$K90)</f>
        <v>0</v>
      </c>
      <c r="M90" s="42" t="n">
        <f aca="false">IF(OR($A90="",$K90=0),"",$L90/$K90)</f>
        <v>0</v>
      </c>
      <c r="N90" s="40" t="n">
        <f aca="false">IF($A90="","",SUMIFS('Trade Log'!$K$4:$K$503,'Trade Log'!$H$4:$H$503,$A90))</f>
        <v>0</v>
      </c>
      <c r="O90" s="42" t="str">
        <f aca="false">IF(OR($A90="",$H90="",Config!$B$4=0),"",$H90/Config!$B$4)</f>
        <v/>
      </c>
      <c r="P90" s="40" t="n">
        <f aca="false">IF($A90="","",SUM($H$71:$H90))</f>
        <v>0</v>
      </c>
      <c r="Q90" s="53" t="str">
        <f aca="false">IF($A90="","",IFERROR((AVERAGE($O$71:$O90)-Config!$B$7/Config!$B$6)/STDEV($O$71:$O90)*SQRT(Config!$B$6),""))</f>
        <v/>
      </c>
      <c r="R90" s="53" t="str">
        <f aca="false">IF($A90="","",IFERROR((AVERAGE($O$31:$O90)-Config!$B$7/Config!$B$6)/STDEV($O$31:$O90)*SQRT(Config!$B$6),""))</f>
        <v/>
      </c>
      <c r="S90" s="47" t="n">
        <f aca="false">IF($H90="",$S89,IF($H90&gt;0,$S89+1,0))</f>
        <v>1</v>
      </c>
      <c r="T90" s="47" t="n">
        <f aca="false">IF($H90="",$T89,IF($H90&lt;0,$T89+1,0))</f>
        <v>0</v>
      </c>
    </row>
    <row r="91" customFormat="false" ht="15" hidden="false" customHeight="false" outlineLevel="0" collapsed="false">
      <c r="A91" s="54" t="n">
        <f aca="false">IF($A90="","",$A90+1)</f>
        <v>46322</v>
      </c>
      <c r="B91" s="5" t="str">
        <f aca="false">IF($A91="","",TEXT($A91,"ddd"))</f>
        <v>Tue</v>
      </c>
      <c r="C91" s="41" t="n">
        <f aca="false">IF($A91="","",COUNTIFS('Trade Log'!$L$4:$L$503,$A91))</f>
        <v>0</v>
      </c>
      <c r="D91" s="40" t="n">
        <f aca="false">IF($A91="","",SUMIFS('Trade Log'!$Q$4:$Q$503,'Trade Log'!$L$4:$L$503,$A91,'Trade Log'!$E$4:$E$503,"LONG"))</f>
        <v>0</v>
      </c>
      <c r="E91" s="40" t="n">
        <f aca="false">IF($A91="","",SUMIFS('Trade Log'!$Q$4:$Q$503,'Trade Log'!$L$4:$L$503,$A91,'Trade Log'!$E$4:$E$503,"SHORT"))</f>
        <v>0</v>
      </c>
      <c r="F91" s="40" t="n">
        <f aca="false">IF($A91="","",$D91+$E91)</f>
        <v>0</v>
      </c>
      <c r="G91" s="40" t="n">
        <f aca="false">IF($A91="","",SUMIFS('Trade Log'!$Y$4:$Y$503,'Trade Log'!$L$4:$L$503,$A91))</f>
        <v>0</v>
      </c>
      <c r="H91" s="40" t="str">
        <f aca="false">IF($A91="","",IF($C91=0,"",$F91-$G91))</f>
        <v/>
      </c>
      <c r="I91" s="40" t="n">
        <f aca="false">IF($A91="","",$I90+IF($H91="",0,$H91))</f>
        <v>23918.5521880349</v>
      </c>
      <c r="J91" s="40" t="n">
        <f aca="false">IF($A91="","",Config!$B$4+$I91)</f>
        <v>1023918.55218803</v>
      </c>
      <c r="K91" s="40" t="n">
        <f aca="false">IF($A91="","",MAX($J$4:$J91))</f>
        <v>1023918.55218803</v>
      </c>
      <c r="L91" s="40" t="n">
        <f aca="false">IF($A91="","",$J91-$K91)</f>
        <v>0</v>
      </c>
      <c r="M91" s="42" t="n">
        <f aca="false">IF(OR($A91="",$K91=0),"",$L91/$K91)</f>
        <v>0</v>
      </c>
      <c r="N91" s="40" t="n">
        <f aca="false">IF($A91="","",SUMIFS('Trade Log'!$K$4:$K$503,'Trade Log'!$H$4:$H$503,$A91))</f>
        <v>0</v>
      </c>
      <c r="O91" s="42" t="str">
        <f aca="false">IF(OR($A91="",$H91="",Config!$B$4=0),"",$H91/Config!$B$4)</f>
        <v/>
      </c>
      <c r="P91" s="40" t="n">
        <f aca="false">IF($A91="","",SUM($H$72:$H91))</f>
        <v>0</v>
      </c>
      <c r="Q91" s="53" t="str">
        <f aca="false">IF($A91="","",IFERROR((AVERAGE($O$72:$O91)-Config!$B$7/Config!$B$6)/STDEV($O$72:$O91)*SQRT(Config!$B$6),""))</f>
        <v/>
      </c>
      <c r="R91" s="53" t="str">
        <f aca="false">IF($A91="","",IFERROR((AVERAGE($O$32:$O91)-Config!$B$7/Config!$B$6)/STDEV($O$32:$O91)*SQRT(Config!$B$6),""))</f>
        <v/>
      </c>
      <c r="S91" s="47" t="n">
        <f aca="false">IF($H91="",$S90,IF($H91&gt;0,$S90+1,0))</f>
        <v>1</v>
      </c>
      <c r="T91" s="47" t="n">
        <f aca="false">IF($H91="",$T90,IF($H91&lt;0,$T90+1,0))</f>
        <v>0</v>
      </c>
    </row>
    <row r="92" customFormat="false" ht="15" hidden="false" customHeight="false" outlineLevel="0" collapsed="false">
      <c r="A92" s="54" t="n">
        <f aca="false">IF($A91="","",$A91+1)</f>
        <v>46323</v>
      </c>
      <c r="B92" s="5" t="str">
        <f aca="false">IF($A92="","",TEXT($A92,"ddd"))</f>
        <v>Wed</v>
      </c>
      <c r="C92" s="41" t="n">
        <f aca="false">IF($A92="","",COUNTIFS('Trade Log'!$L$4:$L$503,$A92))</f>
        <v>0</v>
      </c>
      <c r="D92" s="40" t="n">
        <f aca="false">IF($A92="","",SUMIFS('Trade Log'!$Q$4:$Q$503,'Trade Log'!$L$4:$L$503,$A92,'Trade Log'!$E$4:$E$503,"LONG"))</f>
        <v>0</v>
      </c>
      <c r="E92" s="40" t="n">
        <f aca="false">IF($A92="","",SUMIFS('Trade Log'!$Q$4:$Q$503,'Trade Log'!$L$4:$L$503,$A92,'Trade Log'!$E$4:$E$503,"SHORT"))</f>
        <v>0</v>
      </c>
      <c r="F92" s="40" t="n">
        <f aca="false">IF($A92="","",$D92+$E92)</f>
        <v>0</v>
      </c>
      <c r="G92" s="40" t="n">
        <f aca="false">IF($A92="","",SUMIFS('Trade Log'!$Y$4:$Y$503,'Trade Log'!$L$4:$L$503,$A92))</f>
        <v>0</v>
      </c>
      <c r="H92" s="40" t="str">
        <f aca="false">IF($A92="","",IF($C92=0,"",$F92-$G92))</f>
        <v/>
      </c>
      <c r="I92" s="40" t="n">
        <f aca="false">IF($A92="","",$I91+IF($H92="",0,$H92))</f>
        <v>23918.5521880349</v>
      </c>
      <c r="J92" s="40" t="n">
        <f aca="false">IF($A92="","",Config!$B$4+$I92)</f>
        <v>1023918.55218803</v>
      </c>
      <c r="K92" s="40" t="n">
        <f aca="false">IF($A92="","",MAX($J$4:$J92))</f>
        <v>1023918.55218803</v>
      </c>
      <c r="L92" s="40" t="n">
        <f aca="false">IF($A92="","",$J92-$K92)</f>
        <v>0</v>
      </c>
      <c r="M92" s="42" t="n">
        <f aca="false">IF(OR($A92="",$K92=0),"",$L92/$K92)</f>
        <v>0</v>
      </c>
      <c r="N92" s="40" t="n">
        <f aca="false">IF($A92="","",SUMIFS('Trade Log'!$K$4:$K$503,'Trade Log'!$H$4:$H$503,$A92))</f>
        <v>0</v>
      </c>
      <c r="O92" s="42" t="str">
        <f aca="false">IF(OR($A92="",$H92="",Config!$B$4=0),"",$H92/Config!$B$4)</f>
        <v/>
      </c>
      <c r="P92" s="40" t="n">
        <f aca="false">IF($A92="","",SUM($H$73:$H92))</f>
        <v>0</v>
      </c>
      <c r="Q92" s="53" t="str">
        <f aca="false">IF($A92="","",IFERROR((AVERAGE($O$73:$O92)-Config!$B$7/Config!$B$6)/STDEV($O$73:$O92)*SQRT(Config!$B$6),""))</f>
        <v/>
      </c>
      <c r="R92" s="53" t="str">
        <f aca="false">IF($A92="","",IFERROR((AVERAGE($O$33:$O92)-Config!$B$7/Config!$B$6)/STDEV($O$33:$O92)*SQRT(Config!$B$6),""))</f>
        <v/>
      </c>
      <c r="S92" s="47" t="n">
        <f aca="false">IF($H92="",$S91,IF($H92&gt;0,$S91+1,0))</f>
        <v>1</v>
      </c>
      <c r="T92" s="47" t="n">
        <f aca="false">IF($H92="",$T91,IF($H92&lt;0,$T91+1,0))</f>
        <v>0</v>
      </c>
    </row>
    <row r="93" customFormat="false" ht="15" hidden="false" customHeight="false" outlineLevel="0" collapsed="false">
      <c r="A93" s="54" t="n">
        <f aca="false">IF($A92="","",$A92+1)</f>
        <v>46324</v>
      </c>
      <c r="B93" s="5" t="str">
        <f aca="false">IF($A93="","",TEXT($A93,"ddd"))</f>
        <v>Thu</v>
      </c>
      <c r="C93" s="41" t="n">
        <f aca="false">IF($A93="","",COUNTIFS('Trade Log'!$L$4:$L$503,$A93))</f>
        <v>0</v>
      </c>
      <c r="D93" s="40" t="n">
        <f aca="false">IF($A93="","",SUMIFS('Trade Log'!$Q$4:$Q$503,'Trade Log'!$L$4:$L$503,$A93,'Trade Log'!$E$4:$E$503,"LONG"))</f>
        <v>0</v>
      </c>
      <c r="E93" s="40" t="n">
        <f aca="false">IF($A93="","",SUMIFS('Trade Log'!$Q$4:$Q$503,'Trade Log'!$L$4:$L$503,$A93,'Trade Log'!$E$4:$E$503,"SHORT"))</f>
        <v>0</v>
      </c>
      <c r="F93" s="40" t="n">
        <f aca="false">IF($A93="","",$D93+$E93)</f>
        <v>0</v>
      </c>
      <c r="G93" s="40" t="n">
        <f aca="false">IF($A93="","",SUMIFS('Trade Log'!$Y$4:$Y$503,'Trade Log'!$L$4:$L$503,$A93))</f>
        <v>0</v>
      </c>
      <c r="H93" s="40" t="str">
        <f aca="false">IF($A93="","",IF($C93=0,"",$F93-$G93))</f>
        <v/>
      </c>
      <c r="I93" s="40" t="n">
        <f aca="false">IF($A93="","",$I92+IF($H93="",0,$H93))</f>
        <v>23918.5521880349</v>
      </c>
      <c r="J93" s="40" t="n">
        <f aca="false">IF($A93="","",Config!$B$4+$I93)</f>
        <v>1023918.55218803</v>
      </c>
      <c r="K93" s="40" t="n">
        <f aca="false">IF($A93="","",MAX($J$4:$J93))</f>
        <v>1023918.55218803</v>
      </c>
      <c r="L93" s="40" t="n">
        <f aca="false">IF($A93="","",$J93-$K93)</f>
        <v>0</v>
      </c>
      <c r="M93" s="42" t="n">
        <f aca="false">IF(OR($A93="",$K93=0),"",$L93/$K93)</f>
        <v>0</v>
      </c>
      <c r="N93" s="40" t="n">
        <f aca="false">IF($A93="","",SUMIFS('Trade Log'!$K$4:$K$503,'Trade Log'!$H$4:$H$503,$A93))</f>
        <v>0</v>
      </c>
      <c r="O93" s="42" t="str">
        <f aca="false">IF(OR($A93="",$H93="",Config!$B$4=0),"",$H93/Config!$B$4)</f>
        <v/>
      </c>
      <c r="P93" s="40" t="n">
        <f aca="false">IF($A93="","",SUM($H$74:$H93))</f>
        <v>0</v>
      </c>
      <c r="Q93" s="53" t="str">
        <f aca="false">IF($A93="","",IFERROR((AVERAGE($O$74:$O93)-Config!$B$7/Config!$B$6)/STDEV($O$74:$O93)*SQRT(Config!$B$6),""))</f>
        <v/>
      </c>
      <c r="R93" s="53" t="str">
        <f aca="false">IF($A93="","",IFERROR((AVERAGE($O$34:$O93)-Config!$B$7/Config!$B$6)/STDEV($O$34:$O93)*SQRT(Config!$B$6),""))</f>
        <v/>
      </c>
      <c r="S93" s="47" t="n">
        <f aca="false">IF($H93="",$S92,IF($H93&gt;0,$S92+1,0))</f>
        <v>1</v>
      </c>
      <c r="T93" s="47" t="n">
        <f aca="false">IF($H93="",$T92,IF($H93&lt;0,$T92+1,0))</f>
        <v>0</v>
      </c>
    </row>
    <row r="94" customFormat="false" ht="15" hidden="false" customHeight="false" outlineLevel="0" collapsed="false">
      <c r="A94" s="54" t="n">
        <f aca="false">IF($A93="","",$A93+1)</f>
        <v>46325</v>
      </c>
      <c r="B94" s="5" t="str">
        <f aca="false">IF($A94="","",TEXT($A94,"ddd"))</f>
        <v>Fri</v>
      </c>
      <c r="C94" s="41" t="n">
        <f aca="false">IF($A94="","",COUNTIFS('Trade Log'!$L$4:$L$503,$A94))</f>
        <v>0</v>
      </c>
      <c r="D94" s="40" t="n">
        <f aca="false">IF($A94="","",SUMIFS('Trade Log'!$Q$4:$Q$503,'Trade Log'!$L$4:$L$503,$A94,'Trade Log'!$E$4:$E$503,"LONG"))</f>
        <v>0</v>
      </c>
      <c r="E94" s="40" t="n">
        <f aca="false">IF($A94="","",SUMIFS('Trade Log'!$Q$4:$Q$503,'Trade Log'!$L$4:$L$503,$A94,'Trade Log'!$E$4:$E$503,"SHORT"))</f>
        <v>0</v>
      </c>
      <c r="F94" s="40" t="n">
        <f aca="false">IF($A94="","",$D94+$E94)</f>
        <v>0</v>
      </c>
      <c r="G94" s="40" t="n">
        <f aca="false">IF($A94="","",SUMIFS('Trade Log'!$Y$4:$Y$503,'Trade Log'!$L$4:$L$503,$A94))</f>
        <v>0</v>
      </c>
      <c r="H94" s="40" t="str">
        <f aca="false">IF($A94="","",IF($C94=0,"",$F94-$G94))</f>
        <v/>
      </c>
      <c r="I94" s="40" t="n">
        <f aca="false">IF($A94="","",$I93+IF($H94="",0,$H94))</f>
        <v>23918.5521880349</v>
      </c>
      <c r="J94" s="40" t="n">
        <f aca="false">IF($A94="","",Config!$B$4+$I94)</f>
        <v>1023918.55218803</v>
      </c>
      <c r="K94" s="40" t="n">
        <f aca="false">IF($A94="","",MAX($J$4:$J94))</f>
        <v>1023918.55218803</v>
      </c>
      <c r="L94" s="40" t="n">
        <f aca="false">IF($A94="","",$J94-$K94)</f>
        <v>0</v>
      </c>
      <c r="M94" s="42" t="n">
        <f aca="false">IF(OR($A94="",$K94=0),"",$L94/$K94)</f>
        <v>0</v>
      </c>
      <c r="N94" s="40" t="n">
        <f aca="false">IF($A94="","",SUMIFS('Trade Log'!$K$4:$K$503,'Trade Log'!$H$4:$H$503,$A94))</f>
        <v>0</v>
      </c>
      <c r="O94" s="42" t="str">
        <f aca="false">IF(OR($A94="",$H94="",Config!$B$4=0),"",$H94/Config!$B$4)</f>
        <v/>
      </c>
      <c r="P94" s="40" t="n">
        <f aca="false">IF($A94="","",SUM($H$75:$H94))</f>
        <v>0</v>
      </c>
      <c r="Q94" s="53" t="str">
        <f aca="false">IF($A94="","",IFERROR((AVERAGE($O$75:$O94)-Config!$B$7/Config!$B$6)/STDEV($O$75:$O94)*SQRT(Config!$B$6),""))</f>
        <v/>
      </c>
      <c r="R94" s="53" t="str">
        <f aca="false">IF($A94="","",IFERROR((AVERAGE($O$35:$O94)-Config!$B$7/Config!$B$6)/STDEV($O$35:$O94)*SQRT(Config!$B$6),""))</f>
        <v/>
      </c>
      <c r="S94" s="47" t="n">
        <f aca="false">IF($H94="",$S93,IF($H94&gt;0,$S93+1,0))</f>
        <v>1</v>
      </c>
      <c r="T94" s="47" t="n">
        <f aca="false">IF($H94="",$T93,IF($H94&lt;0,$T93+1,0))</f>
        <v>0</v>
      </c>
    </row>
    <row r="95" customFormat="false" ht="15" hidden="false" customHeight="false" outlineLevel="0" collapsed="false">
      <c r="A95" s="54" t="n">
        <f aca="false">IF($A94="","",$A94+1)</f>
        <v>46326</v>
      </c>
      <c r="B95" s="5" t="str">
        <f aca="false">IF($A95="","",TEXT($A95,"ddd"))</f>
        <v>Sat</v>
      </c>
      <c r="C95" s="41" t="n">
        <f aca="false">IF($A95="","",COUNTIFS('Trade Log'!$L$4:$L$503,$A95))</f>
        <v>0</v>
      </c>
      <c r="D95" s="40" t="n">
        <f aca="false">IF($A95="","",SUMIFS('Trade Log'!$Q$4:$Q$503,'Trade Log'!$L$4:$L$503,$A95,'Trade Log'!$E$4:$E$503,"LONG"))</f>
        <v>0</v>
      </c>
      <c r="E95" s="40" t="n">
        <f aca="false">IF($A95="","",SUMIFS('Trade Log'!$Q$4:$Q$503,'Trade Log'!$L$4:$L$503,$A95,'Trade Log'!$E$4:$E$503,"SHORT"))</f>
        <v>0</v>
      </c>
      <c r="F95" s="40" t="n">
        <f aca="false">IF($A95="","",$D95+$E95)</f>
        <v>0</v>
      </c>
      <c r="G95" s="40" t="n">
        <f aca="false">IF($A95="","",SUMIFS('Trade Log'!$Y$4:$Y$503,'Trade Log'!$L$4:$L$503,$A95))</f>
        <v>0</v>
      </c>
      <c r="H95" s="40" t="str">
        <f aca="false">IF($A95="","",IF($C95=0,"",$F95-$G95))</f>
        <v/>
      </c>
      <c r="I95" s="40" t="n">
        <f aca="false">IF($A95="","",$I94+IF($H95="",0,$H95))</f>
        <v>23918.5521880349</v>
      </c>
      <c r="J95" s="40" t="n">
        <f aca="false">IF($A95="","",Config!$B$4+$I95)</f>
        <v>1023918.55218803</v>
      </c>
      <c r="K95" s="40" t="n">
        <f aca="false">IF($A95="","",MAX($J$4:$J95))</f>
        <v>1023918.55218803</v>
      </c>
      <c r="L95" s="40" t="n">
        <f aca="false">IF($A95="","",$J95-$K95)</f>
        <v>0</v>
      </c>
      <c r="M95" s="42" t="n">
        <f aca="false">IF(OR($A95="",$K95=0),"",$L95/$K95)</f>
        <v>0</v>
      </c>
      <c r="N95" s="40" t="n">
        <f aca="false">IF($A95="","",SUMIFS('Trade Log'!$K$4:$K$503,'Trade Log'!$H$4:$H$503,$A95))</f>
        <v>0</v>
      </c>
      <c r="O95" s="42" t="str">
        <f aca="false">IF(OR($A95="",$H95="",Config!$B$4=0),"",$H95/Config!$B$4)</f>
        <v/>
      </c>
      <c r="P95" s="40" t="n">
        <f aca="false">IF($A95="","",SUM($H$76:$H95))</f>
        <v>0</v>
      </c>
      <c r="Q95" s="53" t="str">
        <f aca="false">IF($A95="","",IFERROR((AVERAGE($O$76:$O95)-Config!$B$7/Config!$B$6)/STDEV($O$76:$O95)*SQRT(Config!$B$6),""))</f>
        <v/>
      </c>
      <c r="R95" s="53" t="str">
        <f aca="false">IF($A95="","",IFERROR((AVERAGE($O$36:$O95)-Config!$B$7/Config!$B$6)/STDEV($O$36:$O95)*SQRT(Config!$B$6),""))</f>
        <v/>
      </c>
      <c r="S95" s="47" t="n">
        <f aca="false">IF($H95="",$S94,IF($H95&gt;0,$S94+1,0))</f>
        <v>1</v>
      </c>
      <c r="T95" s="47" t="n">
        <f aca="false">IF($H95="",$T94,IF($H95&lt;0,$T94+1,0))</f>
        <v>0</v>
      </c>
    </row>
    <row r="96" customFormat="false" ht="15" hidden="false" customHeight="false" outlineLevel="0" collapsed="false">
      <c r="A96" s="54" t="n">
        <f aca="false">IF($A95="","",$A95+1)</f>
        <v>46327</v>
      </c>
      <c r="B96" s="5" t="str">
        <f aca="false">IF($A96="","",TEXT($A96,"ddd"))</f>
        <v>Sun</v>
      </c>
      <c r="C96" s="41" t="n">
        <f aca="false">IF($A96="","",COUNTIFS('Trade Log'!$L$4:$L$503,$A96))</f>
        <v>0</v>
      </c>
      <c r="D96" s="40" t="n">
        <f aca="false">IF($A96="","",SUMIFS('Trade Log'!$Q$4:$Q$503,'Trade Log'!$L$4:$L$503,$A96,'Trade Log'!$E$4:$E$503,"LONG"))</f>
        <v>0</v>
      </c>
      <c r="E96" s="40" t="n">
        <f aca="false">IF($A96="","",SUMIFS('Trade Log'!$Q$4:$Q$503,'Trade Log'!$L$4:$L$503,$A96,'Trade Log'!$E$4:$E$503,"SHORT"))</f>
        <v>0</v>
      </c>
      <c r="F96" s="40" t="n">
        <f aca="false">IF($A96="","",$D96+$E96)</f>
        <v>0</v>
      </c>
      <c r="G96" s="40" t="n">
        <f aca="false">IF($A96="","",SUMIFS('Trade Log'!$Y$4:$Y$503,'Trade Log'!$L$4:$L$503,$A96))</f>
        <v>0</v>
      </c>
      <c r="H96" s="40" t="str">
        <f aca="false">IF($A96="","",IF($C96=0,"",$F96-$G96))</f>
        <v/>
      </c>
      <c r="I96" s="40" t="n">
        <f aca="false">IF($A96="","",$I95+IF($H96="",0,$H96))</f>
        <v>23918.5521880349</v>
      </c>
      <c r="J96" s="40" t="n">
        <f aca="false">IF($A96="","",Config!$B$4+$I96)</f>
        <v>1023918.55218803</v>
      </c>
      <c r="K96" s="40" t="n">
        <f aca="false">IF($A96="","",MAX($J$4:$J96))</f>
        <v>1023918.55218803</v>
      </c>
      <c r="L96" s="40" t="n">
        <f aca="false">IF($A96="","",$J96-$K96)</f>
        <v>0</v>
      </c>
      <c r="M96" s="42" t="n">
        <f aca="false">IF(OR($A96="",$K96=0),"",$L96/$K96)</f>
        <v>0</v>
      </c>
      <c r="N96" s="40" t="n">
        <f aca="false">IF($A96="","",SUMIFS('Trade Log'!$K$4:$K$503,'Trade Log'!$H$4:$H$503,$A96))</f>
        <v>0</v>
      </c>
      <c r="O96" s="42" t="str">
        <f aca="false">IF(OR($A96="",$H96="",Config!$B$4=0),"",$H96/Config!$B$4)</f>
        <v/>
      </c>
      <c r="P96" s="40" t="n">
        <f aca="false">IF($A96="","",SUM($H$77:$H96))</f>
        <v>0</v>
      </c>
      <c r="Q96" s="53" t="str">
        <f aca="false">IF($A96="","",IFERROR((AVERAGE($O$77:$O96)-Config!$B$7/Config!$B$6)/STDEV($O$77:$O96)*SQRT(Config!$B$6),""))</f>
        <v/>
      </c>
      <c r="R96" s="53" t="str">
        <f aca="false">IF($A96="","",IFERROR((AVERAGE($O$37:$O96)-Config!$B$7/Config!$B$6)/STDEV($O$37:$O96)*SQRT(Config!$B$6),""))</f>
        <v/>
      </c>
      <c r="S96" s="47" t="n">
        <f aca="false">IF($H96="",$S95,IF($H96&gt;0,$S95+1,0))</f>
        <v>1</v>
      </c>
      <c r="T96" s="47" t="n">
        <f aca="false">IF($H96="",$T95,IF($H96&lt;0,$T95+1,0))</f>
        <v>0</v>
      </c>
    </row>
    <row r="97" customFormat="false" ht="15" hidden="false" customHeight="false" outlineLevel="0" collapsed="false">
      <c r="A97" s="54" t="n">
        <f aca="false">IF($A96="","",$A96+1)</f>
        <v>46328</v>
      </c>
      <c r="B97" s="5" t="str">
        <f aca="false">IF($A97="","",TEXT($A97,"ddd"))</f>
        <v>Mon</v>
      </c>
      <c r="C97" s="41" t="n">
        <f aca="false">IF($A97="","",COUNTIFS('Trade Log'!$L$4:$L$503,$A97))</f>
        <v>0</v>
      </c>
      <c r="D97" s="40" t="n">
        <f aca="false">IF($A97="","",SUMIFS('Trade Log'!$Q$4:$Q$503,'Trade Log'!$L$4:$L$503,$A97,'Trade Log'!$E$4:$E$503,"LONG"))</f>
        <v>0</v>
      </c>
      <c r="E97" s="40" t="n">
        <f aca="false">IF($A97="","",SUMIFS('Trade Log'!$Q$4:$Q$503,'Trade Log'!$L$4:$L$503,$A97,'Trade Log'!$E$4:$E$503,"SHORT"))</f>
        <v>0</v>
      </c>
      <c r="F97" s="40" t="n">
        <f aca="false">IF($A97="","",$D97+$E97)</f>
        <v>0</v>
      </c>
      <c r="G97" s="40" t="n">
        <f aca="false">IF($A97="","",SUMIFS('Trade Log'!$Y$4:$Y$503,'Trade Log'!$L$4:$L$503,$A97))</f>
        <v>0</v>
      </c>
      <c r="H97" s="40" t="str">
        <f aca="false">IF($A97="","",IF($C97=0,"",$F97-$G97))</f>
        <v/>
      </c>
      <c r="I97" s="40" t="n">
        <f aca="false">IF($A97="","",$I96+IF($H97="",0,$H97))</f>
        <v>23918.5521880349</v>
      </c>
      <c r="J97" s="40" t="n">
        <f aca="false">IF($A97="","",Config!$B$4+$I97)</f>
        <v>1023918.55218803</v>
      </c>
      <c r="K97" s="40" t="n">
        <f aca="false">IF($A97="","",MAX($J$4:$J97))</f>
        <v>1023918.55218803</v>
      </c>
      <c r="L97" s="40" t="n">
        <f aca="false">IF($A97="","",$J97-$K97)</f>
        <v>0</v>
      </c>
      <c r="M97" s="42" t="n">
        <f aca="false">IF(OR($A97="",$K97=0),"",$L97/$K97)</f>
        <v>0</v>
      </c>
      <c r="N97" s="40" t="n">
        <f aca="false">IF($A97="","",SUMIFS('Trade Log'!$K$4:$K$503,'Trade Log'!$H$4:$H$503,$A97))</f>
        <v>0</v>
      </c>
      <c r="O97" s="42" t="str">
        <f aca="false">IF(OR($A97="",$H97="",Config!$B$4=0),"",$H97/Config!$B$4)</f>
        <v/>
      </c>
      <c r="P97" s="40" t="n">
        <f aca="false">IF($A97="","",SUM($H$78:$H97))</f>
        <v>0</v>
      </c>
      <c r="Q97" s="53" t="str">
        <f aca="false">IF($A97="","",IFERROR((AVERAGE($O$78:$O97)-Config!$B$7/Config!$B$6)/STDEV($O$78:$O97)*SQRT(Config!$B$6),""))</f>
        <v/>
      </c>
      <c r="R97" s="53" t="str">
        <f aca="false">IF($A97="","",IFERROR((AVERAGE($O$38:$O97)-Config!$B$7/Config!$B$6)/STDEV($O$38:$O97)*SQRT(Config!$B$6),""))</f>
        <v/>
      </c>
      <c r="S97" s="47" t="n">
        <f aca="false">IF($H97="",$S96,IF($H97&gt;0,$S96+1,0))</f>
        <v>1</v>
      </c>
      <c r="T97" s="47" t="n">
        <f aca="false">IF($H97="",$T96,IF($H97&lt;0,$T96+1,0))</f>
        <v>0</v>
      </c>
    </row>
    <row r="98" customFormat="false" ht="15" hidden="false" customHeight="false" outlineLevel="0" collapsed="false">
      <c r="A98" s="54" t="n">
        <f aca="false">IF($A97="","",$A97+1)</f>
        <v>46329</v>
      </c>
      <c r="B98" s="5" t="str">
        <f aca="false">IF($A98="","",TEXT($A98,"ddd"))</f>
        <v>Tue</v>
      </c>
      <c r="C98" s="41" t="n">
        <f aca="false">IF($A98="","",COUNTIFS('Trade Log'!$L$4:$L$503,$A98))</f>
        <v>0</v>
      </c>
      <c r="D98" s="40" t="n">
        <f aca="false">IF($A98="","",SUMIFS('Trade Log'!$Q$4:$Q$503,'Trade Log'!$L$4:$L$503,$A98,'Trade Log'!$E$4:$E$503,"LONG"))</f>
        <v>0</v>
      </c>
      <c r="E98" s="40" t="n">
        <f aca="false">IF($A98="","",SUMIFS('Trade Log'!$Q$4:$Q$503,'Trade Log'!$L$4:$L$503,$A98,'Trade Log'!$E$4:$E$503,"SHORT"))</f>
        <v>0</v>
      </c>
      <c r="F98" s="40" t="n">
        <f aca="false">IF($A98="","",$D98+$E98)</f>
        <v>0</v>
      </c>
      <c r="G98" s="40" t="n">
        <f aca="false">IF($A98="","",SUMIFS('Trade Log'!$Y$4:$Y$503,'Trade Log'!$L$4:$L$503,$A98))</f>
        <v>0</v>
      </c>
      <c r="H98" s="40" t="str">
        <f aca="false">IF($A98="","",IF($C98=0,"",$F98-$G98))</f>
        <v/>
      </c>
      <c r="I98" s="40" t="n">
        <f aca="false">IF($A98="","",$I97+IF($H98="",0,$H98))</f>
        <v>23918.5521880349</v>
      </c>
      <c r="J98" s="40" t="n">
        <f aca="false">IF($A98="","",Config!$B$4+$I98)</f>
        <v>1023918.55218803</v>
      </c>
      <c r="K98" s="40" t="n">
        <f aca="false">IF($A98="","",MAX($J$4:$J98))</f>
        <v>1023918.55218803</v>
      </c>
      <c r="L98" s="40" t="n">
        <f aca="false">IF($A98="","",$J98-$K98)</f>
        <v>0</v>
      </c>
      <c r="M98" s="42" t="n">
        <f aca="false">IF(OR($A98="",$K98=0),"",$L98/$K98)</f>
        <v>0</v>
      </c>
      <c r="N98" s="40" t="n">
        <f aca="false">IF($A98="","",SUMIFS('Trade Log'!$K$4:$K$503,'Trade Log'!$H$4:$H$503,$A98))</f>
        <v>0</v>
      </c>
      <c r="O98" s="42" t="str">
        <f aca="false">IF(OR($A98="",$H98="",Config!$B$4=0),"",$H98/Config!$B$4)</f>
        <v/>
      </c>
      <c r="P98" s="40" t="n">
        <f aca="false">IF($A98="","",SUM($H$79:$H98))</f>
        <v>0</v>
      </c>
      <c r="Q98" s="53" t="str">
        <f aca="false">IF($A98="","",IFERROR((AVERAGE($O$79:$O98)-Config!$B$7/Config!$B$6)/STDEV($O$79:$O98)*SQRT(Config!$B$6),""))</f>
        <v/>
      </c>
      <c r="R98" s="53" t="str">
        <f aca="false">IF($A98="","",IFERROR((AVERAGE($O$39:$O98)-Config!$B$7/Config!$B$6)/STDEV($O$39:$O98)*SQRT(Config!$B$6),""))</f>
        <v/>
      </c>
      <c r="S98" s="47" t="n">
        <f aca="false">IF($H98="",$S97,IF($H98&gt;0,$S97+1,0))</f>
        <v>1</v>
      </c>
      <c r="T98" s="47" t="n">
        <f aca="false">IF($H98="",$T97,IF($H98&lt;0,$T97+1,0))</f>
        <v>0</v>
      </c>
    </row>
    <row r="99" customFormat="false" ht="15" hidden="false" customHeight="false" outlineLevel="0" collapsed="false">
      <c r="A99" s="54" t="n">
        <f aca="false">IF($A98="","",$A98+1)</f>
        <v>46330</v>
      </c>
      <c r="B99" s="5" t="str">
        <f aca="false">IF($A99="","",TEXT($A99,"ddd"))</f>
        <v>Wed</v>
      </c>
      <c r="C99" s="41" t="n">
        <f aca="false">IF($A99="","",COUNTIFS('Trade Log'!$L$4:$L$503,$A99))</f>
        <v>0</v>
      </c>
      <c r="D99" s="40" t="n">
        <f aca="false">IF($A99="","",SUMIFS('Trade Log'!$Q$4:$Q$503,'Trade Log'!$L$4:$L$503,$A99,'Trade Log'!$E$4:$E$503,"LONG"))</f>
        <v>0</v>
      </c>
      <c r="E99" s="40" t="n">
        <f aca="false">IF($A99="","",SUMIFS('Trade Log'!$Q$4:$Q$503,'Trade Log'!$L$4:$L$503,$A99,'Trade Log'!$E$4:$E$503,"SHORT"))</f>
        <v>0</v>
      </c>
      <c r="F99" s="40" t="n">
        <f aca="false">IF($A99="","",$D99+$E99)</f>
        <v>0</v>
      </c>
      <c r="G99" s="40" t="n">
        <f aca="false">IF($A99="","",SUMIFS('Trade Log'!$Y$4:$Y$503,'Trade Log'!$L$4:$L$503,$A99))</f>
        <v>0</v>
      </c>
      <c r="H99" s="40" t="str">
        <f aca="false">IF($A99="","",IF($C99=0,"",$F99-$G99))</f>
        <v/>
      </c>
      <c r="I99" s="40" t="n">
        <f aca="false">IF($A99="","",$I98+IF($H99="",0,$H99))</f>
        <v>23918.5521880349</v>
      </c>
      <c r="J99" s="40" t="n">
        <f aca="false">IF($A99="","",Config!$B$4+$I99)</f>
        <v>1023918.55218803</v>
      </c>
      <c r="K99" s="40" t="n">
        <f aca="false">IF($A99="","",MAX($J$4:$J99))</f>
        <v>1023918.55218803</v>
      </c>
      <c r="L99" s="40" t="n">
        <f aca="false">IF($A99="","",$J99-$K99)</f>
        <v>0</v>
      </c>
      <c r="M99" s="42" t="n">
        <f aca="false">IF(OR($A99="",$K99=0),"",$L99/$K99)</f>
        <v>0</v>
      </c>
      <c r="N99" s="40" t="n">
        <f aca="false">IF($A99="","",SUMIFS('Trade Log'!$K$4:$K$503,'Trade Log'!$H$4:$H$503,$A99))</f>
        <v>0</v>
      </c>
      <c r="O99" s="42" t="str">
        <f aca="false">IF(OR($A99="",$H99="",Config!$B$4=0),"",$H99/Config!$B$4)</f>
        <v/>
      </c>
      <c r="P99" s="40" t="n">
        <f aca="false">IF($A99="","",SUM($H$80:$H99))</f>
        <v>0</v>
      </c>
      <c r="Q99" s="53" t="str">
        <f aca="false">IF($A99="","",IFERROR((AVERAGE($O$80:$O99)-Config!$B$7/Config!$B$6)/STDEV($O$80:$O99)*SQRT(Config!$B$6),""))</f>
        <v/>
      </c>
      <c r="R99" s="53" t="str">
        <f aca="false">IF($A99="","",IFERROR((AVERAGE($O$40:$O99)-Config!$B$7/Config!$B$6)/STDEV($O$40:$O99)*SQRT(Config!$B$6),""))</f>
        <v/>
      </c>
      <c r="S99" s="47" t="n">
        <f aca="false">IF($H99="",$S98,IF($H99&gt;0,$S98+1,0))</f>
        <v>1</v>
      </c>
      <c r="T99" s="47" t="n">
        <f aca="false">IF($H99="",$T98,IF($H99&lt;0,$T98+1,0))</f>
        <v>0</v>
      </c>
    </row>
    <row r="100" customFormat="false" ht="15" hidden="false" customHeight="false" outlineLevel="0" collapsed="false">
      <c r="A100" s="54" t="n">
        <f aca="false">IF($A99="","",$A99+1)</f>
        <v>46331</v>
      </c>
      <c r="B100" s="5" t="str">
        <f aca="false">IF($A100="","",TEXT($A100,"ddd"))</f>
        <v>Thu</v>
      </c>
      <c r="C100" s="41" t="n">
        <f aca="false">IF($A100="","",COUNTIFS('Trade Log'!$L$4:$L$503,$A100))</f>
        <v>0</v>
      </c>
      <c r="D100" s="40" t="n">
        <f aca="false">IF($A100="","",SUMIFS('Trade Log'!$Q$4:$Q$503,'Trade Log'!$L$4:$L$503,$A100,'Trade Log'!$E$4:$E$503,"LONG"))</f>
        <v>0</v>
      </c>
      <c r="E100" s="40" t="n">
        <f aca="false">IF($A100="","",SUMIFS('Trade Log'!$Q$4:$Q$503,'Trade Log'!$L$4:$L$503,$A100,'Trade Log'!$E$4:$E$503,"SHORT"))</f>
        <v>0</v>
      </c>
      <c r="F100" s="40" t="n">
        <f aca="false">IF($A100="","",$D100+$E100)</f>
        <v>0</v>
      </c>
      <c r="G100" s="40" t="n">
        <f aca="false">IF($A100="","",SUMIFS('Trade Log'!$Y$4:$Y$503,'Trade Log'!$L$4:$L$503,$A100))</f>
        <v>0</v>
      </c>
      <c r="H100" s="40" t="str">
        <f aca="false">IF($A100="","",IF($C100=0,"",$F100-$G100))</f>
        <v/>
      </c>
      <c r="I100" s="40" t="n">
        <f aca="false">IF($A100="","",$I99+IF($H100="",0,$H100))</f>
        <v>23918.5521880349</v>
      </c>
      <c r="J100" s="40" t="n">
        <f aca="false">IF($A100="","",Config!$B$4+$I100)</f>
        <v>1023918.55218803</v>
      </c>
      <c r="K100" s="40" t="n">
        <f aca="false">IF($A100="","",MAX($J$4:$J100))</f>
        <v>1023918.55218803</v>
      </c>
      <c r="L100" s="40" t="n">
        <f aca="false">IF($A100="","",$J100-$K100)</f>
        <v>0</v>
      </c>
      <c r="M100" s="42" t="n">
        <f aca="false">IF(OR($A100="",$K100=0),"",$L100/$K100)</f>
        <v>0</v>
      </c>
      <c r="N100" s="40" t="n">
        <f aca="false">IF($A100="","",SUMIFS('Trade Log'!$K$4:$K$503,'Trade Log'!$H$4:$H$503,$A100))</f>
        <v>0</v>
      </c>
      <c r="O100" s="42" t="str">
        <f aca="false">IF(OR($A100="",$H100="",Config!$B$4=0),"",$H100/Config!$B$4)</f>
        <v/>
      </c>
      <c r="P100" s="40" t="n">
        <f aca="false">IF($A100="","",SUM($H$81:$H100))</f>
        <v>0</v>
      </c>
      <c r="Q100" s="53" t="str">
        <f aca="false">IF($A100="","",IFERROR((AVERAGE($O$81:$O100)-Config!$B$7/Config!$B$6)/STDEV($O$81:$O100)*SQRT(Config!$B$6),""))</f>
        <v/>
      </c>
      <c r="R100" s="53" t="str">
        <f aca="false">IF($A100="","",IFERROR((AVERAGE($O$41:$O100)-Config!$B$7/Config!$B$6)/STDEV($O$41:$O100)*SQRT(Config!$B$6),""))</f>
        <v/>
      </c>
      <c r="S100" s="47" t="n">
        <f aca="false">IF($H100="",$S99,IF($H100&gt;0,$S99+1,0))</f>
        <v>1</v>
      </c>
      <c r="T100" s="47" t="n">
        <f aca="false">IF($H100="",$T99,IF($H100&lt;0,$T99+1,0))</f>
        <v>0</v>
      </c>
    </row>
    <row r="101" customFormat="false" ht="15" hidden="false" customHeight="false" outlineLevel="0" collapsed="false">
      <c r="A101" s="54" t="n">
        <f aca="false">IF($A100="","",$A100+1)</f>
        <v>46332</v>
      </c>
      <c r="B101" s="5" t="str">
        <f aca="false">IF($A101="","",TEXT($A101,"ddd"))</f>
        <v>Fri</v>
      </c>
      <c r="C101" s="41" t="n">
        <f aca="false">IF($A101="","",COUNTIFS('Trade Log'!$L$4:$L$503,$A101))</f>
        <v>0</v>
      </c>
      <c r="D101" s="40" t="n">
        <f aca="false">IF($A101="","",SUMIFS('Trade Log'!$Q$4:$Q$503,'Trade Log'!$L$4:$L$503,$A101,'Trade Log'!$E$4:$E$503,"LONG"))</f>
        <v>0</v>
      </c>
      <c r="E101" s="40" t="n">
        <f aca="false">IF($A101="","",SUMIFS('Trade Log'!$Q$4:$Q$503,'Trade Log'!$L$4:$L$503,$A101,'Trade Log'!$E$4:$E$503,"SHORT"))</f>
        <v>0</v>
      </c>
      <c r="F101" s="40" t="n">
        <f aca="false">IF($A101="","",$D101+$E101)</f>
        <v>0</v>
      </c>
      <c r="G101" s="40" t="n">
        <f aca="false">IF($A101="","",SUMIFS('Trade Log'!$Y$4:$Y$503,'Trade Log'!$L$4:$L$503,$A101))</f>
        <v>0</v>
      </c>
      <c r="H101" s="40" t="str">
        <f aca="false">IF($A101="","",IF($C101=0,"",$F101-$G101))</f>
        <v/>
      </c>
      <c r="I101" s="40" t="n">
        <f aca="false">IF($A101="","",$I100+IF($H101="",0,$H101))</f>
        <v>23918.5521880349</v>
      </c>
      <c r="J101" s="40" t="n">
        <f aca="false">IF($A101="","",Config!$B$4+$I101)</f>
        <v>1023918.55218803</v>
      </c>
      <c r="K101" s="40" t="n">
        <f aca="false">IF($A101="","",MAX($J$4:$J101))</f>
        <v>1023918.55218803</v>
      </c>
      <c r="L101" s="40" t="n">
        <f aca="false">IF($A101="","",$J101-$K101)</f>
        <v>0</v>
      </c>
      <c r="M101" s="42" t="n">
        <f aca="false">IF(OR($A101="",$K101=0),"",$L101/$K101)</f>
        <v>0</v>
      </c>
      <c r="N101" s="40" t="n">
        <f aca="false">IF($A101="","",SUMIFS('Trade Log'!$K$4:$K$503,'Trade Log'!$H$4:$H$503,$A101))</f>
        <v>0</v>
      </c>
      <c r="O101" s="42" t="str">
        <f aca="false">IF(OR($A101="",$H101="",Config!$B$4=0),"",$H101/Config!$B$4)</f>
        <v/>
      </c>
      <c r="P101" s="40" t="n">
        <f aca="false">IF($A101="","",SUM($H$82:$H101))</f>
        <v>0</v>
      </c>
      <c r="Q101" s="53" t="str">
        <f aca="false">IF($A101="","",IFERROR((AVERAGE($O$82:$O101)-Config!$B$7/Config!$B$6)/STDEV($O$82:$O101)*SQRT(Config!$B$6),""))</f>
        <v/>
      </c>
      <c r="R101" s="53" t="str">
        <f aca="false">IF($A101="","",IFERROR((AVERAGE($O$42:$O101)-Config!$B$7/Config!$B$6)/STDEV($O$42:$O101)*SQRT(Config!$B$6),""))</f>
        <v/>
      </c>
      <c r="S101" s="47" t="n">
        <f aca="false">IF($H101="",$S100,IF($H101&gt;0,$S100+1,0))</f>
        <v>1</v>
      </c>
      <c r="T101" s="47" t="n">
        <f aca="false">IF($H101="",$T100,IF($H101&lt;0,$T100+1,0))</f>
        <v>0</v>
      </c>
    </row>
    <row r="102" customFormat="false" ht="15" hidden="false" customHeight="false" outlineLevel="0" collapsed="false">
      <c r="A102" s="54" t="n">
        <f aca="false">IF($A101="","",$A101+1)</f>
        <v>46333</v>
      </c>
      <c r="B102" s="5" t="str">
        <f aca="false">IF($A102="","",TEXT($A102,"ddd"))</f>
        <v>Sat</v>
      </c>
      <c r="C102" s="41" t="n">
        <f aca="false">IF($A102="","",COUNTIFS('Trade Log'!$L$4:$L$503,$A102))</f>
        <v>0</v>
      </c>
      <c r="D102" s="40" t="n">
        <f aca="false">IF($A102="","",SUMIFS('Trade Log'!$Q$4:$Q$503,'Trade Log'!$L$4:$L$503,$A102,'Trade Log'!$E$4:$E$503,"LONG"))</f>
        <v>0</v>
      </c>
      <c r="E102" s="40" t="n">
        <f aca="false">IF($A102="","",SUMIFS('Trade Log'!$Q$4:$Q$503,'Trade Log'!$L$4:$L$503,$A102,'Trade Log'!$E$4:$E$503,"SHORT"))</f>
        <v>0</v>
      </c>
      <c r="F102" s="40" t="n">
        <f aca="false">IF($A102="","",$D102+$E102)</f>
        <v>0</v>
      </c>
      <c r="G102" s="40" t="n">
        <f aca="false">IF($A102="","",SUMIFS('Trade Log'!$Y$4:$Y$503,'Trade Log'!$L$4:$L$503,$A102))</f>
        <v>0</v>
      </c>
      <c r="H102" s="40" t="str">
        <f aca="false">IF($A102="","",IF($C102=0,"",$F102-$G102))</f>
        <v/>
      </c>
      <c r="I102" s="40" t="n">
        <f aca="false">IF($A102="","",$I101+IF($H102="",0,$H102))</f>
        <v>23918.5521880349</v>
      </c>
      <c r="J102" s="40" t="n">
        <f aca="false">IF($A102="","",Config!$B$4+$I102)</f>
        <v>1023918.55218803</v>
      </c>
      <c r="K102" s="40" t="n">
        <f aca="false">IF($A102="","",MAX($J$4:$J102))</f>
        <v>1023918.55218803</v>
      </c>
      <c r="L102" s="40" t="n">
        <f aca="false">IF($A102="","",$J102-$K102)</f>
        <v>0</v>
      </c>
      <c r="M102" s="42" t="n">
        <f aca="false">IF(OR($A102="",$K102=0),"",$L102/$K102)</f>
        <v>0</v>
      </c>
      <c r="N102" s="40" t="n">
        <f aca="false">IF($A102="","",SUMIFS('Trade Log'!$K$4:$K$503,'Trade Log'!$H$4:$H$503,$A102))</f>
        <v>0</v>
      </c>
      <c r="O102" s="42" t="str">
        <f aca="false">IF(OR($A102="",$H102="",Config!$B$4=0),"",$H102/Config!$B$4)</f>
        <v/>
      </c>
      <c r="P102" s="40" t="n">
        <f aca="false">IF($A102="","",SUM($H$83:$H102))</f>
        <v>0</v>
      </c>
      <c r="Q102" s="53" t="str">
        <f aca="false">IF($A102="","",IFERROR((AVERAGE($O$83:$O102)-Config!$B$7/Config!$B$6)/STDEV($O$83:$O102)*SQRT(Config!$B$6),""))</f>
        <v/>
      </c>
      <c r="R102" s="53" t="str">
        <f aca="false">IF($A102="","",IFERROR((AVERAGE($O$43:$O102)-Config!$B$7/Config!$B$6)/STDEV($O$43:$O102)*SQRT(Config!$B$6),""))</f>
        <v/>
      </c>
      <c r="S102" s="47" t="n">
        <f aca="false">IF($H102="",$S101,IF($H102&gt;0,$S101+1,0))</f>
        <v>1</v>
      </c>
      <c r="T102" s="47" t="n">
        <f aca="false">IF($H102="",$T101,IF($H102&lt;0,$T101+1,0))</f>
        <v>0</v>
      </c>
    </row>
    <row r="103" customFormat="false" ht="15" hidden="false" customHeight="false" outlineLevel="0" collapsed="false">
      <c r="A103" s="54" t="n">
        <f aca="false">IF($A102="","",$A102+1)</f>
        <v>46334</v>
      </c>
      <c r="B103" s="5" t="str">
        <f aca="false">IF($A103="","",TEXT($A103,"ddd"))</f>
        <v>Sun</v>
      </c>
      <c r="C103" s="41" t="n">
        <f aca="false">IF($A103="","",COUNTIFS('Trade Log'!$L$4:$L$503,$A103))</f>
        <v>0</v>
      </c>
      <c r="D103" s="40" t="n">
        <f aca="false">IF($A103="","",SUMIFS('Trade Log'!$Q$4:$Q$503,'Trade Log'!$L$4:$L$503,$A103,'Trade Log'!$E$4:$E$503,"LONG"))</f>
        <v>0</v>
      </c>
      <c r="E103" s="40" t="n">
        <f aca="false">IF($A103="","",SUMIFS('Trade Log'!$Q$4:$Q$503,'Trade Log'!$L$4:$L$503,$A103,'Trade Log'!$E$4:$E$503,"SHORT"))</f>
        <v>0</v>
      </c>
      <c r="F103" s="40" t="n">
        <f aca="false">IF($A103="","",$D103+$E103)</f>
        <v>0</v>
      </c>
      <c r="G103" s="40" t="n">
        <f aca="false">IF($A103="","",SUMIFS('Trade Log'!$Y$4:$Y$503,'Trade Log'!$L$4:$L$503,$A103))</f>
        <v>0</v>
      </c>
      <c r="H103" s="40" t="str">
        <f aca="false">IF($A103="","",IF($C103=0,"",$F103-$G103))</f>
        <v/>
      </c>
      <c r="I103" s="40" t="n">
        <f aca="false">IF($A103="","",$I102+IF($H103="",0,$H103))</f>
        <v>23918.5521880349</v>
      </c>
      <c r="J103" s="40" t="n">
        <f aca="false">IF($A103="","",Config!$B$4+$I103)</f>
        <v>1023918.55218803</v>
      </c>
      <c r="K103" s="40" t="n">
        <f aca="false">IF($A103="","",MAX($J$4:$J103))</f>
        <v>1023918.55218803</v>
      </c>
      <c r="L103" s="40" t="n">
        <f aca="false">IF($A103="","",$J103-$K103)</f>
        <v>0</v>
      </c>
      <c r="M103" s="42" t="n">
        <f aca="false">IF(OR($A103="",$K103=0),"",$L103/$K103)</f>
        <v>0</v>
      </c>
      <c r="N103" s="40" t="n">
        <f aca="false">IF($A103="","",SUMIFS('Trade Log'!$K$4:$K$503,'Trade Log'!$H$4:$H$503,$A103))</f>
        <v>0</v>
      </c>
      <c r="O103" s="42" t="str">
        <f aca="false">IF(OR($A103="",$H103="",Config!$B$4=0),"",$H103/Config!$B$4)</f>
        <v/>
      </c>
      <c r="P103" s="40" t="n">
        <f aca="false">IF($A103="","",SUM($H$84:$H103))</f>
        <v>0</v>
      </c>
      <c r="Q103" s="53" t="str">
        <f aca="false">IF($A103="","",IFERROR((AVERAGE($O$84:$O103)-Config!$B$7/Config!$B$6)/STDEV($O$84:$O103)*SQRT(Config!$B$6),""))</f>
        <v/>
      </c>
      <c r="R103" s="53" t="str">
        <f aca="false">IF($A103="","",IFERROR((AVERAGE($O$44:$O103)-Config!$B$7/Config!$B$6)/STDEV($O$44:$O103)*SQRT(Config!$B$6),""))</f>
        <v/>
      </c>
      <c r="S103" s="47" t="n">
        <f aca="false">IF($H103="",$S102,IF($H103&gt;0,$S102+1,0))</f>
        <v>1</v>
      </c>
      <c r="T103" s="47" t="n">
        <f aca="false">IF($H103="",$T102,IF($H103&lt;0,$T102+1,0))</f>
        <v>0</v>
      </c>
    </row>
    <row r="104" customFormat="false" ht="15" hidden="false" customHeight="false" outlineLevel="0" collapsed="false">
      <c r="A104" s="54" t="n">
        <f aca="false">IF($A103="","",$A103+1)</f>
        <v>46335</v>
      </c>
      <c r="B104" s="5" t="str">
        <f aca="false">IF($A104="","",TEXT($A104,"ddd"))</f>
        <v>Mon</v>
      </c>
      <c r="C104" s="41" t="n">
        <f aca="false">IF($A104="","",COUNTIFS('Trade Log'!$L$4:$L$503,$A104))</f>
        <v>0</v>
      </c>
      <c r="D104" s="40" t="n">
        <f aca="false">IF($A104="","",SUMIFS('Trade Log'!$Q$4:$Q$503,'Trade Log'!$L$4:$L$503,$A104,'Trade Log'!$E$4:$E$503,"LONG"))</f>
        <v>0</v>
      </c>
      <c r="E104" s="40" t="n">
        <f aca="false">IF($A104="","",SUMIFS('Trade Log'!$Q$4:$Q$503,'Trade Log'!$L$4:$L$503,$A104,'Trade Log'!$E$4:$E$503,"SHORT"))</f>
        <v>0</v>
      </c>
      <c r="F104" s="40" t="n">
        <f aca="false">IF($A104="","",$D104+$E104)</f>
        <v>0</v>
      </c>
      <c r="G104" s="40" t="n">
        <f aca="false">IF($A104="","",SUMIFS('Trade Log'!$Y$4:$Y$503,'Trade Log'!$L$4:$L$503,$A104))</f>
        <v>0</v>
      </c>
      <c r="H104" s="40" t="str">
        <f aca="false">IF($A104="","",IF($C104=0,"",$F104-$G104))</f>
        <v/>
      </c>
      <c r="I104" s="40" t="n">
        <f aca="false">IF($A104="","",$I103+IF($H104="",0,$H104))</f>
        <v>23918.5521880349</v>
      </c>
      <c r="J104" s="40" t="n">
        <f aca="false">IF($A104="","",Config!$B$4+$I104)</f>
        <v>1023918.55218803</v>
      </c>
      <c r="K104" s="40" t="n">
        <f aca="false">IF($A104="","",MAX($J$4:$J104))</f>
        <v>1023918.55218803</v>
      </c>
      <c r="L104" s="40" t="n">
        <f aca="false">IF($A104="","",$J104-$K104)</f>
        <v>0</v>
      </c>
      <c r="M104" s="42" t="n">
        <f aca="false">IF(OR($A104="",$K104=0),"",$L104/$K104)</f>
        <v>0</v>
      </c>
      <c r="N104" s="40" t="n">
        <f aca="false">IF($A104="","",SUMIFS('Trade Log'!$K$4:$K$503,'Trade Log'!$H$4:$H$503,$A104))</f>
        <v>0</v>
      </c>
      <c r="O104" s="42" t="str">
        <f aca="false">IF(OR($A104="",$H104="",Config!$B$4=0),"",$H104/Config!$B$4)</f>
        <v/>
      </c>
      <c r="P104" s="40" t="n">
        <f aca="false">IF($A104="","",SUM($H$85:$H104))</f>
        <v>0</v>
      </c>
      <c r="Q104" s="53" t="str">
        <f aca="false">IF($A104="","",IFERROR((AVERAGE($O$85:$O104)-Config!$B$7/Config!$B$6)/STDEV($O$85:$O104)*SQRT(Config!$B$6),""))</f>
        <v/>
      </c>
      <c r="R104" s="53" t="str">
        <f aca="false">IF($A104="","",IFERROR((AVERAGE($O$45:$O104)-Config!$B$7/Config!$B$6)/STDEV($O$45:$O104)*SQRT(Config!$B$6),""))</f>
        <v/>
      </c>
      <c r="S104" s="47" t="n">
        <f aca="false">IF($H104="",$S103,IF($H104&gt;0,$S103+1,0))</f>
        <v>1</v>
      </c>
      <c r="T104" s="47" t="n">
        <f aca="false">IF($H104="",$T103,IF($H104&lt;0,$T103+1,0))</f>
        <v>0</v>
      </c>
    </row>
    <row r="105" customFormat="false" ht="15" hidden="false" customHeight="false" outlineLevel="0" collapsed="false">
      <c r="A105" s="54" t="n">
        <f aca="false">IF($A104="","",$A104+1)</f>
        <v>46336</v>
      </c>
      <c r="B105" s="5" t="str">
        <f aca="false">IF($A105="","",TEXT($A105,"ddd"))</f>
        <v>Tue</v>
      </c>
      <c r="C105" s="41" t="n">
        <f aca="false">IF($A105="","",COUNTIFS('Trade Log'!$L$4:$L$503,$A105))</f>
        <v>0</v>
      </c>
      <c r="D105" s="40" t="n">
        <f aca="false">IF($A105="","",SUMIFS('Trade Log'!$Q$4:$Q$503,'Trade Log'!$L$4:$L$503,$A105,'Trade Log'!$E$4:$E$503,"LONG"))</f>
        <v>0</v>
      </c>
      <c r="E105" s="40" t="n">
        <f aca="false">IF($A105="","",SUMIFS('Trade Log'!$Q$4:$Q$503,'Trade Log'!$L$4:$L$503,$A105,'Trade Log'!$E$4:$E$503,"SHORT"))</f>
        <v>0</v>
      </c>
      <c r="F105" s="40" t="n">
        <f aca="false">IF($A105="","",$D105+$E105)</f>
        <v>0</v>
      </c>
      <c r="G105" s="40" t="n">
        <f aca="false">IF($A105="","",SUMIFS('Trade Log'!$Y$4:$Y$503,'Trade Log'!$L$4:$L$503,$A105))</f>
        <v>0</v>
      </c>
      <c r="H105" s="40" t="str">
        <f aca="false">IF($A105="","",IF($C105=0,"",$F105-$G105))</f>
        <v/>
      </c>
      <c r="I105" s="40" t="n">
        <f aca="false">IF($A105="","",$I104+IF($H105="",0,$H105))</f>
        <v>23918.5521880349</v>
      </c>
      <c r="J105" s="40" t="n">
        <f aca="false">IF($A105="","",Config!$B$4+$I105)</f>
        <v>1023918.55218803</v>
      </c>
      <c r="K105" s="40" t="n">
        <f aca="false">IF($A105="","",MAX($J$4:$J105))</f>
        <v>1023918.55218803</v>
      </c>
      <c r="L105" s="40" t="n">
        <f aca="false">IF($A105="","",$J105-$K105)</f>
        <v>0</v>
      </c>
      <c r="M105" s="42" t="n">
        <f aca="false">IF(OR($A105="",$K105=0),"",$L105/$K105)</f>
        <v>0</v>
      </c>
      <c r="N105" s="40" t="n">
        <f aca="false">IF($A105="","",SUMIFS('Trade Log'!$K$4:$K$503,'Trade Log'!$H$4:$H$503,$A105))</f>
        <v>0</v>
      </c>
      <c r="O105" s="42" t="str">
        <f aca="false">IF(OR($A105="",$H105="",Config!$B$4=0),"",$H105/Config!$B$4)</f>
        <v/>
      </c>
      <c r="P105" s="40" t="n">
        <f aca="false">IF($A105="","",SUM($H$86:$H105))</f>
        <v>0</v>
      </c>
      <c r="Q105" s="53" t="str">
        <f aca="false">IF($A105="","",IFERROR((AVERAGE($O$86:$O105)-Config!$B$7/Config!$B$6)/STDEV($O$86:$O105)*SQRT(Config!$B$6),""))</f>
        <v/>
      </c>
      <c r="R105" s="53" t="str">
        <f aca="false">IF($A105="","",IFERROR((AVERAGE($O$46:$O105)-Config!$B$7/Config!$B$6)/STDEV($O$46:$O105)*SQRT(Config!$B$6),""))</f>
        <v/>
      </c>
      <c r="S105" s="47" t="n">
        <f aca="false">IF($H105="",$S104,IF($H105&gt;0,$S104+1,0))</f>
        <v>1</v>
      </c>
      <c r="T105" s="47" t="n">
        <f aca="false">IF($H105="",$T104,IF($H105&lt;0,$T104+1,0))</f>
        <v>0</v>
      </c>
    </row>
    <row r="106" customFormat="false" ht="15" hidden="false" customHeight="false" outlineLevel="0" collapsed="false">
      <c r="A106" s="54" t="n">
        <f aca="false">IF($A105="","",$A105+1)</f>
        <v>46337</v>
      </c>
      <c r="B106" s="5" t="str">
        <f aca="false">IF($A106="","",TEXT($A106,"ddd"))</f>
        <v>Wed</v>
      </c>
      <c r="C106" s="41" t="n">
        <f aca="false">IF($A106="","",COUNTIFS('Trade Log'!$L$4:$L$503,$A106))</f>
        <v>0</v>
      </c>
      <c r="D106" s="40" t="n">
        <f aca="false">IF($A106="","",SUMIFS('Trade Log'!$Q$4:$Q$503,'Trade Log'!$L$4:$L$503,$A106,'Trade Log'!$E$4:$E$503,"LONG"))</f>
        <v>0</v>
      </c>
      <c r="E106" s="40" t="n">
        <f aca="false">IF($A106="","",SUMIFS('Trade Log'!$Q$4:$Q$503,'Trade Log'!$L$4:$L$503,$A106,'Trade Log'!$E$4:$E$503,"SHORT"))</f>
        <v>0</v>
      </c>
      <c r="F106" s="40" t="n">
        <f aca="false">IF($A106="","",$D106+$E106)</f>
        <v>0</v>
      </c>
      <c r="G106" s="40" t="n">
        <f aca="false">IF($A106="","",SUMIFS('Trade Log'!$Y$4:$Y$503,'Trade Log'!$L$4:$L$503,$A106))</f>
        <v>0</v>
      </c>
      <c r="H106" s="40" t="str">
        <f aca="false">IF($A106="","",IF($C106=0,"",$F106-$G106))</f>
        <v/>
      </c>
      <c r="I106" s="40" t="n">
        <f aca="false">IF($A106="","",$I105+IF($H106="",0,$H106))</f>
        <v>23918.5521880349</v>
      </c>
      <c r="J106" s="40" t="n">
        <f aca="false">IF($A106="","",Config!$B$4+$I106)</f>
        <v>1023918.55218803</v>
      </c>
      <c r="K106" s="40" t="n">
        <f aca="false">IF($A106="","",MAX($J$4:$J106))</f>
        <v>1023918.55218803</v>
      </c>
      <c r="L106" s="40" t="n">
        <f aca="false">IF($A106="","",$J106-$K106)</f>
        <v>0</v>
      </c>
      <c r="M106" s="42" t="n">
        <f aca="false">IF(OR($A106="",$K106=0),"",$L106/$K106)</f>
        <v>0</v>
      </c>
      <c r="N106" s="40" t="n">
        <f aca="false">IF($A106="","",SUMIFS('Trade Log'!$K$4:$K$503,'Trade Log'!$H$4:$H$503,$A106))</f>
        <v>0</v>
      </c>
      <c r="O106" s="42" t="str">
        <f aca="false">IF(OR($A106="",$H106="",Config!$B$4=0),"",$H106/Config!$B$4)</f>
        <v/>
      </c>
      <c r="P106" s="40" t="n">
        <f aca="false">IF($A106="","",SUM($H$87:$H106))</f>
        <v>0</v>
      </c>
      <c r="Q106" s="53" t="str">
        <f aca="false">IF($A106="","",IFERROR((AVERAGE($O$87:$O106)-Config!$B$7/Config!$B$6)/STDEV($O$87:$O106)*SQRT(Config!$B$6),""))</f>
        <v/>
      </c>
      <c r="R106" s="53" t="str">
        <f aca="false">IF($A106="","",IFERROR((AVERAGE($O$47:$O106)-Config!$B$7/Config!$B$6)/STDEV($O$47:$O106)*SQRT(Config!$B$6),""))</f>
        <v/>
      </c>
      <c r="S106" s="47" t="n">
        <f aca="false">IF($H106="",$S105,IF($H106&gt;0,$S105+1,0))</f>
        <v>1</v>
      </c>
      <c r="T106" s="47" t="n">
        <f aca="false">IF($H106="",$T105,IF($H106&lt;0,$T105+1,0))</f>
        <v>0</v>
      </c>
    </row>
    <row r="107" customFormat="false" ht="15" hidden="false" customHeight="false" outlineLevel="0" collapsed="false">
      <c r="A107" s="54" t="n">
        <f aca="false">IF($A106="","",$A106+1)</f>
        <v>46338</v>
      </c>
      <c r="B107" s="5" t="str">
        <f aca="false">IF($A107="","",TEXT($A107,"ddd"))</f>
        <v>Thu</v>
      </c>
      <c r="C107" s="41" t="n">
        <f aca="false">IF($A107="","",COUNTIFS('Trade Log'!$L$4:$L$503,$A107))</f>
        <v>0</v>
      </c>
      <c r="D107" s="40" t="n">
        <f aca="false">IF($A107="","",SUMIFS('Trade Log'!$Q$4:$Q$503,'Trade Log'!$L$4:$L$503,$A107,'Trade Log'!$E$4:$E$503,"LONG"))</f>
        <v>0</v>
      </c>
      <c r="E107" s="40" t="n">
        <f aca="false">IF($A107="","",SUMIFS('Trade Log'!$Q$4:$Q$503,'Trade Log'!$L$4:$L$503,$A107,'Trade Log'!$E$4:$E$503,"SHORT"))</f>
        <v>0</v>
      </c>
      <c r="F107" s="40" t="n">
        <f aca="false">IF($A107="","",$D107+$E107)</f>
        <v>0</v>
      </c>
      <c r="G107" s="40" t="n">
        <f aca="false">IF($A107="","",SUMIFS('Trade Log'!$Y$4:$Y$503,'Trade Log'!$L$4:$L$503,$A107))</f>
        <v>0</v>
      </c>
      <c r="H107" s="40" t="str">
        <f aca="false">IF($A107="","",IF($C107=0,"",$F107-$G107))</f>
        <v/>
      </c>
      <c r="I107" s="40" t="n">
        <f aca="false">IF($A107="","",$I106+IF($H107="",0,$H107))</f>
        <v>23918.5521880349</v>
      </c>
      <c r="J107" s="40" t="n">
        <f aca="false">IF($A107="","",Config!$B$4+$I107)</f>
        <v>1023918.55218803</v>
      </c>
      <c r="K107" s="40" t="n">
        <f aca="false">IF($A107="","",MAX($J$4:$J107))</f>
        <v>1023918.55218803</v>
      </c>
      <c r="L107" s="40" t="n">
        <f aca="false">IF($A107="","",$J107-$K107)</f>
        <v>0</v>
      </c>
      <c r="M107" s="42" t="n">
        <f aca="false">IF(OR($A107="",$K107=0),"",$L107/$K107)</f>
        <v>0</v>
      </c>
      <c r="N107" s="40" t="n">
        <f aca="false">IF($A107="","",SUMIFS('Trade Log'!$K$4:$K$503,'Trade Log'!$H$4:$H$503,$A107))</f>
        <v>0</v>
      </c>
      <c r="O107" s="42" t="str">
        <f aca="false">IF(OR($A107="",$H107="",Config!$B$4=0),"",$H107/Config!$B$4)</f>
        <v/>
      </c>
      <c r="P107" s="40" t="n">
        <f aca="false">IF($A107="","",SUM($H$88:$H107))</f>
        <v>0</v>
      </c>
      <c r="Q107" s="53" t="str">
        <f aca="false">IF($A107="","",IFERROR((AVERAGE($O$88:$O107)-Config!$B$7/Config!$B$6)/STDEV($O$88:$O107)*SQRT(Config!$B$6),""))</f>
        <v/>
      </c>
      <c r="R107" s="53" t="str">
        <f aca="false">IF($A107="","",IFERROR((AVERAGE($O$48:$O107)-Config!$B$7/Config!$B$6)/STDEV($O$48:$O107)*SQRT(Config!$B$6),""))</f>
        <v/>
      </c>
      <c r="S107" s="47" t="n">
        <f aca="false">IF($H107="",$S106,IF($H107&gt;0,$S106+1,0))</f>
        <v>1</v>
      </c>
      <c r="T107" s="47" t="n">
        <f aca="false">IF($H107="",$T106,IF($H107&lt;0,$T106+1,0))</f>
        <v>0</v>
      </c>
    </row>
    <row r="108" customFormat="false" ht="15" hidden="false" customHeight="false" outlineLevel="0" collapsed="false">
      <c r="A108" s="54" t="n">
        <f aca="false">IF($A107="","",$A107+1)</f>
        <v>46339</v>
      </c>
      <c r="B108" s="5" t="str">
        <f aca="false">IF($A108="","",TEXT($A108,"ddd"))</f>
        <v>Fri</v>
      </c>
      <c r="C108" s="41" t="n">
        <f aca="false">IF($A108="","",COUNTIFS('Trade Log'!$L$4:$L$503,$A108))</f>
        <v>0</v>
      </c>
      <c r="D108" s="40" t="n">
        <f aca="false">IF($A108="","",SUMIFS('Trade Log'!$Q$4:$Q$503,'Trade Log'!$L$4:$L$503,$A108,'Trade Log'!$E$4:$E$503,"LONG"))</f>
        <v>0</v>
      </c>
      <c r="E108" s="40" t="n">
        <f aca="false">IF($A108="","",SUMIFS('Trade Log'!$Q$4:$Q$503,'Trade Log'!$L$4:$L$503,$A108,'Trade Log'!$E$4:$E$503,"SHORT"))</f>
        <v>0</v>
      </c>
      <c r="F108" s="40" t="n">
        <f aca="false">IF($A108="","",$D108+$E108)</f>
        <v>0</v>
      </c>
      <c r="G108" s="40" t="n">
        <f aca="false">IF($A108="","",SUMIFS('Trade Log'!$Y$4:$Y$503,'Trade Log'!$L$4:$L$503,$A108))</f>
        <v>0</v>
      </c>
      <c r="H108" s="40" t="str">
        <f aca="false">IF($A108="","",IF($C108=0,"",$F108-$G108))</f>
        <v/>
      </c>
      <c r="I108" s="40" t="n">
        <f aca="false">IF($A108="","",$I107+IF($H108="",0,$H108))</f>
        <v>23918.5521880349</v>
      </c>
      <c r="J108" s="40" t="n">
        <f aca="false">IF($A108="","",Config!$B$4+$I108)</f>
        <v>1023918.55218803</v>
      </c>
      <c r="K108" s="40" t="n">
        <f aca="false">IF($A108="","",MAX($J$4:$J108))</f>
        <v>1023918.55218803</v>
      </c>
      <c r="L108" s="40" t="n">
        <f aca="false">IF($A108="","",$J108-$K108)</f>
        <v>0</v>
      </c>
      <c r="M108" s="42" t="n">
        <f aca="false">IF(OR($A108="",$K108=0),"",$L108/$K108)</f>
        <v>0</v>
      </c>
      <c r="N108" s="40" t="n">
        <f aca="false">IF($A108="","",SUMIFS('Trade Log'!$K$4:$K$503,'Trade Log'!$H$4:$H$503,$A108))</f>
        <v>0</v>
      </c>
      <c r="O108" s="42" t="str">
        <f aca="false">IF(OR($A108="",$H108="",Config!$B$4=0),"",$H108/Config!$B$4)</f>
        <v/>
      </c>
      <c r="P108" s="40" t="n">
        <f aca="false">IF($A108="","",SUM($H$89:$H108))</f>
        <v>0</v>
      </c>
      <c r="Q108" s="53" t="str">
        <f aca="false">IF($A108="","",IFERROR((AVERAGE($O$89:$O108)-Config!$B$7/Config!$B$6)/STDEV($O$89:$O108)*SQRT(Config!$B$6),""))</f>
        <v/>
      </c>
      <c r="R108" s="53" t="str">
        <f aca="false">IF($A108="","",IFERROR((AVERAGE($O$49:$O108)-Config!$B$7/Config!$B$6)/STDEV($O$49:$O108)*SQRT(Config!$B$6),""))</f>
        <v/>
      </c>
      <c r="S108" s="47" t="n">
        <f aca="false">IF($H108="",$S107,IF($H108&gt;0,$S107+1,0))</f>
        <v>1</v>
      </c>
      <c r="T108" s="47" t="n">
        <f aca="false">IF($H108="",$T107,IF($H108&lt;0,$T107+1,0))</f>
        <v>0</v>
      </c>
    </row>
    <row r="109" customFormat="false" ht="15" hidden="false" customHeight="false" outlineLevel="0" collapsed="false">
      <c r="A109" s="54" t="n">
        <f aca="false">IF($A108="","",$A108+1)</f>
        <v>46340</v>
      </c>
      <c r="B109" s="5" t="str">
        <f aca="false">IF($A109="","",TEXT($A109,"ddd"))</f>
        <v>Sat</v>
      </c>
      <c r="C109" s="41" t="n">
        <f aca="false">IF($A109="","",COUNTIFS('Trade Log'!$L$4:$L$503,$A109))</f>
        <v>0</v>
      </c>
      <c r="D109" s="40" t="n">
        <f aca="false">IF($A109="","",SUMIFS('Trade Log'!$Q$4:$Q$503,'Trade Log'!$L$4:$L$503,$A109,'Trade Log'!$E$4:$E$503,"LONG"))</f>
        <v>0</v>
      </c>
      <c r="E109" s="40" t="n">
        <f aca="false">IF($A109="","",SUMIFS('Trade Log'!$Q$4:$Q$503,'Trade Log'!$L$4:$L$503,$A109,'Trade Log'!$E$4:$E$503,"SHORT"))</f>
        <v>0</v>
      </c>
      <c r="F109" s="40" t="n">
        <f aca="false">IF($A109="","",$D109+$E109)</f>
        <v>0</v>
      </c>
      <c r="G109" s="40" t="n">
        <f aca="false">IF($A109="","",SUMIFS('Trade Log'!$Y$4:$Y$503,'Trade Log'!$L$4:$L$503,$A109))</f>
        <v>0</v>
      </c>
      <c r="H109" s="40" t="str">
        <f aca="false">IF($A109="","",IF($C109=0,"",$F109-$G109))</f>
        <v/>
      </c>
      <c r="I109" s="40" t="n">
        <f aca="false">IF($A109="","",$I108+IF($H109="",0,$H109))</f>
        <v>23918.5521880349</v>
      </c>
      <c r="J109" s="40" t="n">
        <f aca="false">IF($A109="","",Config!$B$4+$I109)</f>
        <v>1023918.55218803</v>
      </c>
      <c r="K109" s="40" t="n">
        <f aca="false">IF($A109="","",MAX($J$4:$J109))</f>
        <v>1023918.55218803</v>
      </c>
      <c r="L109" s="40" t="n">
        <f aca="false">IF($A109="","",$J109-$K109)</f>
        <v>0</v>
      </c>
      <c r="M109" s="42" t="n">
        <f aca="false">IF(OR($A109="",$K109=0),"",$L109/$K109)</f>
        <v>0</v>
      </c>
      <c r="N109" s="40" t="n">
        <f aca="false">IF($A109="","",SUMIFS('Trade Log'!$K$4:$K$503,'Trade Log'!$H$4:$H$503,$A109))</f>
        <v>0</v>
      </c>
      <c r="O109" s="42" t="str">
        <f aca="false">IF(OR($A109="",$H109="",Config!$B$4=0),"",$H109/Config!$B$4)</f>
        <v/>
      </c>
      <c r="P109" s="40" t="n">
        <f aca="false">IF($A109="","",SUM($H$90:$H109))</f>
        <v>0</v>
      </c>
      <c r="Q109" s="53" t="str">
        <f aca="false">IF($A109="","",IFERROR((AVERAGE($O$90:$O109)-Config!$B$7/Config!$B$6)/STDEV($O$90:$O109)*SQRT(Config!$B$6),""))</f>
        <v/>
      </c>
      <c r="R109" s="53" t="str">
        <f aca="false">IF($A109="","",IFERROR((AVERAGE($O$50:$O109)-Config!$B$7/Config!$B$6)/STDEV($O$50:$O109)*SQRT(Config!$B$6),""))</f>
        <v/>
      </c>
      <c r="S109" s="47" t="n">
        <f aca="false">IF($H109="",$S108,IF($H109&gt;0,$S108+1,0))</f>
        <v>1</v>
      </c>
      <c r="T109" s="47" t="n">
        <f aca="false">IF($H109="",$T108,IF($H109&lt;0,$T108+1,0))</f>
        <v>0</v>
      </c>
    </row>
    <row r="110" customFormat="false" ht="15" hidden="false" customHeight="false" outlineLevel="0" collapsed="false">
      <c r="A110" s="54" t="n">
        <f aca="false">IF($A109="","",$A109+1)</f>
        <v>46341</v>
      </c>
      <c r="B110" s="5" t="str">
        <f aca="false">IF($A110="","",TEXT($A110,"ddd"))</f>
        <v>Sun</v>
      </c>
      <c r="C110" s="41" t="n">
        <f aca="false">IF($A110="","",COUNTIFS('Trade Log'!$L$4:$L$503,$A110))</f>
        <v>0</v>
      </c>
      <c r="D110" s="40" t="n">
        <f aca="false">IF($A110="","",SUMIFS('Trade Log'!$Q$4:$Q$503,'Trade Log'!$L$4:$L$503,$A110,'Trade Log'!$E$4:$E$503,"LONG"))</f>
        <v>0</v>
      </c>
      <c r="E110" s="40" t="n">
        <f aca="false">IF($A110="","",SUMIFS('Trade Log'!$Q$4:$Q$503,'Trade Log'!$L$4:$L$503,$A110,'Trade Log'!$E$4:$E$503,"SHORT"))</f>
        <v>0</v>
      </c>
      <c r="F110" s="40" t="n">
        <f aca="false">IF($A110="","",$D110+$E110)</f>
        <v>0</v>
      </c>
      <c r="G110" s="40" t="n">
        <f aca="false">IF($A110="","",SUMIFS('Trade Log'!$Y$4:$Y$503,'Trade Log'!$L$4:$L$503,$A110))</f>
        <v>0</v>
      </c>
      <c r="H110" s="40" t="str">
        <f aca="false">IF($A110="","",IF($C110=0,"",$F110-$G110))</f>
        <v/>
      </c>
      <c r="I110" s="40" t="n">
        <f aca="false">IF($A110="","",$I109+IF($H110="",0,$H110))</f>
        <v>23918.5521880349</v>
      </c>
      <c r="J110" s="40" t="n">
        <f aca="false">IF($A110="","",Config!$B$4+$I110)</f>
        <v>1023918.55218803</v>
      </c>
      <c r="K110" s="40" t="n">
        <f aca="false">IF($A110="","",MAX($J$4:$J110))</f>
        <v>1023918.55218803</v>
      </c>
      <c r="L110" s="40" t="n">
        <f aca="false">IF($A110="","",$J110-$K110)</f>
        <v>0</v>
      </c>
      <c r="M110" s="42" t="n">
        <f aca="false">IF(OR($A110="",$K110=0),"",$L110/$K110)</f>
        <v>0</v>
      </c>
      <c r="N110" s="40" t="n">
        <f aca="false">IF($A110="","",SUMIFS('Trade Log'!$K$4:$K$503,'Trade Log'!$H$4:$H$503,$A110))</f>
        <v>0</v>
      </c>
      <c r="O110" s="42" t="str">
        <f aca="false">IF(OR($A110="",$H110="",Config!$B$4=0),"",$H110/Config!$B$4)</f>
        <v/>
      </c>
      <c r="P110" s="40" t="n">
        <f aca="false">IF($A110="","",SUM($H$91:$H110))</f>
        <v>0</v>
      </c>
      <c r="Q110" s="53" t="str">
        <f aca="false">IF($A110="","",IFERROR((AVERAGE($O$91:$O110)-Config!$B$7/Config!$B$6)/STDEV($O$91:$O110)*SQRT(Config!$B$6),""))</f>
        <v/>
      </c>
      <c r="R110" s="53" t="str">
        <f aca="false">IF($A110="","",IFERROR((AVERAGE($O$51:$O110)-Config!$B$7/Config!$B$6)/STDEV($O$51:$O110)*SQRT(Config!$B$6),""))</f>
        <v/>
      </c>
      <c r="S110" s="47" t="n">
        <f aca="false">IF($H110="",$S109,IF($H110&gt;0,$S109+1,0))</f>
        <v>1</v>
      </c>
      <c r="T110" s="47" t="n">
        <f aca="false">IF($H110="",$T109,IF($H110&lt;0,$T109+1,0))</f>
        <v>0</v>
      </c>
    </row>
    <row r="111" customFormat="false" ht="15" hidden="false" customHeight="false" outlineLevel="0" collapsed="false">
      <c r="A111" s="54" t="n">
        <f aca="false">IF($A110="","",$A110+1)</f>
        <v>46342</v>
      </c>
      <c r="B111" s="5" t="str">
        <f aca="false">IF($A111="","",TEXT($A111,"ddd"))</f>
        <v>Mon</v>
      </c>
      <c r="C111" s="41" t="n">
        <f aca="false">IF($A111="","",COUNTIFS('Trade Log'!$L$4:$L$503,$A111))</f>
        <v>0</v>
      </c>
      <c r="D111" s="40" t="n">
        <f aca="false">IF($A111="","",SUMIFS('Trade Log'!$Q$4:$Q$503,'Trade Log'!$L$4:$L$503,$A111,'Trade Log'!$E$4:$E$503,"LONG"))</f>
        <v>0</v>
      </c>
      <c r="E111" s="40" t="n">
        <f aca="false">IF($A111="","",SUMIFS('Trade Log'!$Q$4:$Q$503,'Trade Log'!$L$4:$L$503,$A111,'Trade Log'!$E$4:$E$503,"SHORT"))</f>
        <v>0</v>
      </c>
      <c r="F111" s="40" t="n">
        <f aca="false">IF($A111="","",$D111+$E111)</f>
        <v>0</v>
      </c>
      <c r="G111" s="40" t="n">
        <f aca="false">IF($A111="","",SUMIFS('Trade Log'!$Y$4:$Y$503,'Trade Log'!$L$4:$L$503,$A111))</f>
        <v>0</v>
      </c>
      <c r="H111" s="40" t="str">
        <f aca="false">IF($A111="","",IF($C111=0,"",$F111-$G111))</f>
        <v/>
      </c>
      <c r="I111" s="40" t="n">
        <f aca="false">IF($A111="","",$I110+IF($H111="",0,$H111))</f>
        <v>23918.5521880349</v>
      </c>
      <c r="J111" s="40" t="n">
        <f aca="false">IF($A111="","",Config!$B$4+$I111)</f>
        <v>1023918.55218803</v>
      </c>
      <c r="K111" s="40" t="n">
        <f aca="false">IF($A111="","",MAX($J$4:$J111))</f>
        <v>1023918.55218803</v>
      </c>
      <c r="L111" s="40" t="n">
        <f aca="false">IF($A111="","",$J111-$K111)</f>
        <v>0</v>
      </c>
      <c r="M111" s="42" t="n">
        <f aca="false">IF(OR($A111="",$K111=0),"",$L111/$K111)</f>
        <v>0</v>
      </c>
      <c r="N111" s="40" t="n">
        <f aca="false">IF($A111="","",SUMIFS('Trade Log'!$K$4:$K$503,'Trade Log'!$H$4:$H$503,$A111))</f>
        <v>0</v>
      </c>
      <c r="O111" s="42" t="str">
        <f aca="false">IF(OR($A111="",$H111="",Config!$B$4=0),"",$H111/Config!$B$4)</f>
        <v/>
      </c>
      <c r="P111" s="40" t="n">
        <f aca="false">IF($A111="","",SUM($H$92:$H111))</f>
        <v>0</v>
      </c>
      <c r="Q111" s="53" t="str">
        <f aca="false">IF($A111="","",IFERROR((AVERAGE($O$92:$O111)-Config!$B$7/Config!$B$6)/STDEV($O$92:$O111)*SQRT(Config!$B$6),""))</f>
        <v/>
      </c>
      <c r="R111" s="53" t="str">
        <f aca="false">IF($A111="","",IFERROR((AVERAGE($O$52:$O111)-Config!$B$7/Config!$B$6)/STDEV($O$52:$O111)*SQRT(Config!$B$6),""))</f>
        <v/>
      </c>
      <c r="S111" s="47" t="n">
        <f aca="false">IF($H111="",$S110,IF($H111&gt;0,$S110+1,0))</f>
        <v>1</v>
      </c>
      <c r="T111" s="47" t="n">
        <f aca="false">IF($H111="",$T110,IF($H111&lt;0,$T110+1,0))</f>
        <v>0</v>
      </c>
    </row>
    <row r="112" customFormat="false" ht="15" hidden="false" customHeight="false" outlineLevel="0" collapsed="false">
      <c r="A112" s="54" t="n">
        <f aca="false">IF($A111="","",$A111+1)</f>
        <v>46343</v>
      </c>
      <c r="B112" s="5" t="str">
        <f aca="false">IF($A112="","",TEXT($A112,"ddd"))</f>
        <v>Tue</v>
      </c>
      <c r="C112" s="41" t="n">
        <f aca="false">IF($A112="","",COUNTIFS('Trade Log'!$L$4:$L$503,$A112))</f>
        <v>0</v>
      </c>
      <c r="D112" s="40" t="n">
        <f aca="false">IF($A112="","",SUMIFS('Trade Log'!$Q$4:$Q$503,'Trade Log'!$L$4:$L$503,$A112,'Trade Log'!$E$4:$E$503,"LONG"))</f>
        <v>0</v>
      </c>
      <c r="E112" s="40" t="n">
        <f aca="false">IF($A112="","",SUMIFS('Trade Log'!$Q$4:$Q$503,'Trade Log'!$L$4:$L$503,$A112,'Trade Log'!$E$4:$E$503,"SHORT"))</f>
        <v>0</v>
      </c>
      <c r="F112" s="40" t="n">
        <f aca="false">IF($A112="","",$D112+$E112)</f>
        <v>0</v>
      </c>
      <c r="G112" s="40" t="n">
        <f aca="false">IF($A112="","",SUMIFS('Trade Log'!$Y$4:$Y$503,'Trade Log'!$L$4:$L$503,$A112))</f>
        <v>0</v>
      </c>
      <c r="H112" s="40" t="str">
        <f aca="false">IF($A112="","",IF($C112=0,"",$F112-$G112))</f>
        <v/>
      </c>
      <c r="I112" s="40" t="n">
        <f aca="false">IF($A112="","",$I111+IF($H112="",0,$H112))</f>
        <v>23918.5521880349</v>
      </c>
      <c r="J112" s="40" t="n">
        <f aca="false">IF($A112="","",Config!$B$4+$I112)</f>
        <v>1023918.55218803</v>
      </c>
      <c r="K112" s="40" t="n">
        <f aca="false">IF($A112="","",MAX($J$4:$J112))</f>
        <v>1023918.55218803</v>
      </c>
      <c r="L112" s="40" t="n">
        <f aca="false">IF($A112="","",$J112-$K112)</f>
        <v>0</v>
      </c>
      <c r="M112" s="42" t="n">
        <f aca="false">IF(OR($A112="",$K112=0),"",$L112/$K112)</f>
        <v>0</v>
      </c>
      <c r="N112" s="40" t="n">
        <f aca="false">IF($A112="","",SUMIFS('Trade Log'!$K$4:$K$503,'Trade Log'!$H$4:$H$503,$A112))</f>
        <v>0</v>
      </c>
      <c r="O112" s="42" t="str">
        <f aca="false">IF(OR($A112="",$H112="",Config!$B$4=0),"",$H112/Config!$B$4)</f>
        <v/>
      </c>
      <c r="P112" s="40" t="n">
        <f aca="false">IF($A112="","",SUM($H$93:$H112))</f>
        <v>0</v>
      </c>
      <c r="Q112" s="53" t="str">
        <f aca="false">IF($A112="","",IFERROR((AVERAGE($O$93:$O112)-Config!$B$7/Config!$B$6)/STDEV($O$93:$O112)*SQRT(Config!$B$6),""))</f>
        <v/>
      </c>
      <c r="R112" s="53" t="str">
        <f aca="false">IF($A112="","",IFERROR((AVERAGE($O$53:$O112)-Config!$B$7/Config!$B$6)/STDEV($O$53:$O112)*SQRT(Config!$B$6),""))</f>
        <v/>
      </c>
      <c r="S112" s="47" t="n">
        <f aca="false">IF($H112="",$S111,IF($H112&gt;0,$S111+1,0))</f>
        <v>1</v>
      </c>
      <c r="T112" s="47" t="n">
        <f aca="false">IF($H112="",$T111,IF($H112&lt;0,$T111+1,0))</f>
        <v>0</v>
      </c>
    </row>
    <row r="113" customFormat="false" ht="15" hidden="false" customHeight="false" outlineLevel="0" collapsed="false">
      <c r="A113" s="54" t="n">
        <f aca="false">IF($A112="","",$A112+1)</f>
        <v>46344</v>
      </c>
      <c r="B113" s="5" t="str">
        <f aca="false">IF($A113="","",TEXT($A113,"ddd"))</f>
        <v>Wed</v>
      </c>
      <c r="C113" s="41" t="n">
        <f aca="false">IF($A113="","",COUNTIFS('Trade Log'!$L$4:$L$503,$A113))</f>
        <v>0</v>
      </c>
      <c r="D113" s="40" t="n">
        <f aca="false">IF($A113="","",SUMIFS('Trade Log'!$Q$4:$Q$503,'Trade Log'!$L$4:$L$503,$A113,'Trade Log'!$E$4:$E$503,"LONG"))</f>
        <v>0</v>
      </c>
      <c r="E113" s="40" t="n">
        <f aca="false">IF($A113="","",SUMIFS('Trade Log'!$Q$4:$Q$503,'Trade Log'!$L$4:$L$503,$A113,'Trade Log'!$E$4:$E$503,"SHORT"))</f>
        <v>0</v>
      </c>
      <c r="F113" s="40" t="n">
        <f aca="false">IF($A113="","",$D113+$E113)</f>
        <v>0</v>
      </c>
      <c r="G113" s="40" t="n">
        <f aca="false">IF($A113="","",SUMIFS('Trade Log'!$Y$4:$Y$503,'Trade Log'!$L$4:$L$503,$A113))</f>
        <v>0</v>
      </c>
      <c r="H113" s="40" t="str">
        <f aca="false">IF($A113="","",IF($C113=0,"",$F113-$G113))</f>
        <v/>
      </c>
      <c r="I113" s="40" t="n">
        <f aca="false">IF($A113="","",$I112+IF($H113="",0,$H113))</f>
        <v>23918.5521880349</v>
      </c>
      <c r="J113" s="40" t="n">
        <f aca="false">IF($A113="","",Config!$B$4+$I113)</f>
        <v>1023918.55218803</v>
      </c>
      <c r="K113" s="40" t="n">
        <f aca="false">IF($A113="","",MAX($J$4:$J113))</f>
        <v>1023918.55218803</v>
      </c>
      <c r="L113" s="40" t="n">
        <f aca="false">IF($A113="","",$J113-$K113)</f>
        <v>0</v>
      </c>
      <c r="M113" s="42" t="n">
        <f aca="false">IF(OR($A113="",$K113=0),"",$L113/$K113)</f>
        <v>0</v>
      </c>
      <c r="N113" s="40" t="n">
        <f aca="false">IF($A113="","",SUMIFS('Trade Log'!$K$4:$K$503,'Trade Log'!$H$4:$H$503,$A113))</f>
        <v>0</v>
      </c>
      <c r="O113" s="42" t="str">
        <f aca="false">IF(OR($A113="",$H113="",Config!$B$4=0),"",$H113/Config!$B$4)</f>
        <v/>
      </c>
      <c r="P113" s="40" t="n">
        <f aca="false">IF($A113="","",SUM($H$94:$H113))</f>
        <v>0</v>
      </c>
      <c r="Q113" s="53" t="str">
        <f aca="false">IF($A113="","",IFERROR((AVERAGE($O$94:$O113)-Config!$B$7/Config!$B$6)/STDEV($O$94:$O113)*SQRT(Config!$B$6),""))</f>
        <v/>
      </c>
      <c r="R113" s="53" t="str">
        <f aca="false">IF($A113="","",IFERROR((AVERAGE($O$54:$O113)-Config!$B$7/Config!$B$6)/STDEV($O$54:$O113)*SQRT(Config!$B$6),""))</f>
        <v/>
      </c>
      <c r="S113" s="47" t="n">
        <f aca="false">IF($H113="",$S112,IF($H113&gt;0,$S112+1,0))</f>
        <v>1</v>
      </c>
      <c r="T113" s="47" t="n">
        <f aca="false">IF($H113="",$T112,IF($H113&lt;0,$T112+1,0))</f>
        <v>0</v>
      </c>
    </row>
    <row r="114" customFormat="false" ht="15" hidden="false" customHeight="false" outlineLevel="0" collapsed="false">
      <c r="A114" s="54" t="n">
        <f aca="false">IF($A113="","",$A113+1)</f>
        <v>46345</v>
      </c>
      <c r="B114" s="5" t="str">
        <f aca="false">IF($A114="","",TEXT($A114,"ddd"))</f>
        <v>Thu</v>
      </c>
      <c r="C114" s="41" t="n">
        <f aca="false">IF($A114="","",COUNTIFS('Trade Log'!$L$4:$L$503,$A114))</f>
        <v>0</v>
      </c>
      <c r="D114" s="40" t="n">
        <f aca="false">IF($A114="","",SUMIFS('Trade Log'!$Q$4:$Q$503,'Trade Log'!$L$4:$L$503,$A114,'Trade Log'!$E$4:$E$503,"LONG"))</f>
        <v>0</v>
      </c>
      <c r="E114" s="40" t="n">
        <f aca="false">IF($A114="","",SUMIFS('Trade Log'!$Q$4:$Q$503,'Trade Log'!$L$4:$L$503,$A114,'Trade Log'!$E$4:$E$503,"SHORT"))</f>
        <v>0</v>
      </c>
      <c r="F114" s="40" t="n">
        <f aca="false">IF($A114="","",$D114+$E114)</f>
        <v>0</v>
      </c>
      <c r="G114" s="40" t="n">
        <f aca="false">IF($A114="","",SUMIFS('Trade Log'!$Y$4:$Y$503,'Trade Log'!$L$4:$L$503,$A114))</f>
        <v>0</v>
      </c>
      <c r="H114" s="40" t="str">
        <f aca="false">IF($A114="","",IF($C114=0,"",$F114-$G114))</f>
        <v/>
      </c>
      <c r="I114" s="40" t="n">
        <f aca="false">IF($A114="","",$I113+IF($H114="",0,$H114))</f>
        <v>23918.5521880349</v>
      </c>
      <c r="J114" s="40" t="n">
        <f aca="false">IF($A114="","",Config!$B$4+$I114)</f>
        <v>1023918.55218803</v>
      </c>
      <c r="K114" s="40" t="n">
        <f aca="false">IF($A114="","",MAX($J$4:$J114))</f>
        <v>1023918.55218803</v>
      </c>
      <c r="L114" s="40" t="n">
        <f aca="false">IF($A114="","",$J114-$K114)</f>
        <v>0</v>
      </c>
      <c r="M114" s="42" t="n">
        <f aca="false">IF(OR($A114="",$K114=0),"",$L114/$K114)</f>
        <v>0</v>
      </c>
      <c r="N114" s="40" t="n">
        <f aca="false">IF($A114="","",SUMIFS('Trade Log'!$K$4:$K$503,'Trade Log'!$H$4:$H$503,$A114))</f>
        <v>0</v>
      </c>
      <c r="O114" s="42" t="str">
        <f aca="false">IF(OR($A114="",$H114="",Config!$B$4=0),"",$H114/Config!$B$4)</f>
        <v/>
      </c>
      <c r="P114" s="40" t="n">
        <f aca="false">IF($A114="","",SUM($H$95:$H114))</f>
        <v>0</v>
      </c>
      <c r="Q114" s="53" t="str">
        <f aca="false">IF($A114="","",IFERROR((AVERAGE($O$95:$O114)-Config!$B$7/Config!$B$6)/STDEV($O$95:$O114)*SQRT(Config!$B$6),""))</f>
        <v/>
      </c>
      <c r="R114" s="53" t="str">
        <f aca="false">IF($A114="","",IFERROR((AVERAGE($O$55:$O114)-Config!$B$7/Config!$B$6)/STDEV($O$55:$O114)*SQRT(Config!$B$6),""))</f>
        <v/>
      </c>
      <c r="S114" s="47" t="n">
        <f aca="false">IF($H114="",$S113,IF($H114&gt;0,$S113+1,0))</f>
        <v>1</v>
      </c>
      <c r="T114" s="47" t="n">
        <f aca="false">IF($H114="",$T113,IF($H114&lt;0,$T113+1,0))</f>
        <v>0</v>
      </c>
    </row>
    <row r="115" customFormat="false" ht="15" hidden="false" customHeight="false" outlineLevel="0" collapsed="false">
      <c r="A115" s="54" t="n">
        <f aca="false">IF($A114="","",$A114+1)</f>
        <v>46346</v>
      </c>
      <c r="B115" s="5" t="str">
        <f aca="false">IF($A115="","",TEXT($A115,"ddd"))</f>
        <v>Fri</v>
      </c>
      <c r="C115" s="41" t="n">
        <f aca="false">IF($A115="","",COUNTIFS('Trade Log'!$L$4:$L$503,$A115))</f>
        <v>0</v>
      </c>
      <c r="D115" s="40" t="n">
        <f aca="false">IF($A115="","",SUMIFS('Trade Log'!$Q$4:$Q$503,'Trade Log'!$L$4:$L$503,$A115,'Trade Log'!$E$4:$E$503,"LONG"))</f>
        <v>0</v>
      </c>
      <c r="E115" s="40" t="n">
        <f aca="false">IF($A115="","",SUMIFS('Trade Log'!$Q$4:$Q$503,'Trade Log'!$L$4:$L$503,$A115,'Trade Log'!$E$4:$E$503,"SHORT"))</f>
        <v>0</v>
      </c>
      <c r="F115" s="40" t="n">
        <f aca="false">IF($A115="","",$D115+$E115)</f>
        <v>0</v>
      </c>
      <c r="G115" s="40" t="n">
        <f aca="false">IF($A115="","",SUMIFS('Trade Log'!$Y$4:$Y$503,'Trade Log'!$L$4:$L$503,$A115))</f>
        <v>0</v>
      </c>
      <c r="H115" s="40" t="str">
        <f aca="false">IF($A115="","",IF($C115=0,"",$F115-$G115))</f>
        <v/>
      </c>
      <c r="I115" s="40" t="n">
        <f aca="false">IF($A115="","",$I114+IF($H115="",0,$H115))</f>
        <v>23918.5521880349</v>
      </c>
      <c r="J115" s="40" t="n">
        <f aca="false">IF($A115="","",Config!$B$4+$I115)</f>
        <v>1023918.55218803</v>
      </c>
      <c r="K115" s="40" t="n">
        <f aca="false">IF($A115="","",MAX($J$4:$J115))</f>
        <v>1023918.55218803</v>
      </c>
      <c r="L115" s="40" t="n">
        <f aca="false">IF($A115="","",$J115-$K115)</f>
        <v>0</v>
      </c>
      <c r="M115" s="42" t="n">
        <f aca="false">IF(OR($A115="",$K115=0),"",$L115/$K115)</f>
        <v>0</v>
      </c>
      <c r="N115" s="40" t="n">
        <f aca="false">IF($A115="","",SUMIFS('Trade Log'!$K$4:$K$503,'Trade Log'!$H$4:$H$503,$A115))</f>
        <v>0</v>
      </c>
      <c r="O115" s="42" t="str">
        <f aca="false">IF(OR($A115="",$H115="",Config!$B$4=0),"",$H115/Config!$B$4)</f>
        <v/>
      </c>
      <c r="P115" s="40" t="n">
        <f aca="false">IF($A115="","",SUM($H$96:$H115))</f>
        <v>0</v>
      </c>
      <c r="Q115" s="53" t="str">
        <f aca="false">IF($A115="","",IFERROR((AVERAGE($O$96:$O115)-Config!$B$7/Config!$B$6)/STDEV($O$96:$O115)*SQRT(Config!$B$6),""))</f>
        <v/>
      </c>
      <c r="R115" s="53" t="str">
        <f aca="false">IF($A115="","",IFERROR((AVERAGE($O$56:$O115)-Config!$B$7/Config!$B$6)/STDEV($O$56:$O115)*SQRT(Config!$B$6),""))</f>
        <v/>
      </c>
      <c r="S115" s="47" t="n">
        <f aca="false">IF($H115="",$S114,IF($H115&gt;0,$S114+1,0))</f>
        <v>1</v>
      </c>
      <c r="T115" s="47" t="n">
        <f aca="false">IF($H115="",$T114,IF($H115&lt;0,$T114+1,0))</f>
        <v>0</v>
      </c>
    </row>
    <row r="116" customFormat="false" ht="15" hidden="false" customHeight="false" outlineLevel="0" collapsed="false">
      <c r="A116" s="54" t="n">
        <f aca="false">IF($A115="","",$A115+1)</f>
        <v>46347</v>
      </c>
      <c r="B116" s="5" t="str">
        <f aca="false">IF($A116="","",TEXT($A116,"ddd"))</f>
        <v>Sat</v>
      </c>
      <c r="C116" s="41" t="n">
        <f aca="false">IF($A116="","",COUNTIFS('Trade Log'!$L$4:$L$503,$A116))</f>
        <v>0</v>
      </c>
      <c r="D116" s="40" t="n">
        <f aca="false">IF($A116="","",SUMIFS('Trade Log'!$Q$4:$Q$503,'Trade Log'!$L$4:$L$503,$A116,'Trade Log'!$E$4:$E$503,"LONG"))</f>
        <v>0</v>
      </c>
      <c r="E116" s="40" t="n">
        <f aca="false">IF($A116="","",SUMIFS('Trade Log'!$Q$4:$Q$503,'Trade Log'!$L$4:$L$503,$A116,'Trade Log'!$E$4:$E$503,"SHORT"))</f>
        <v>0</v>
      </c>
      <c r="F116" s="40" t="n">
        <f aca="false">IF($A116="","",$D116+$E116)</f>
        <v>0</v>
      </c>
      <c r="G116" s="40" t="n">
        <f aca="false">IF($A116="","",SUMIFS('Trade Log'!$Y$4:$Y$503,'Trade Log'!$L$4:$L$503,$A116))</f>
        <v>0</v>
      </c>
      <c r="H116" s="40" t="str">
        <f aca="false">IF($A116="","",IF($C116=0,"",$F116-$G116))</f>
        <v/>
      </c>
      <c r="I116" s="40" t="n">
        <f aca="false">IF($A116="","",$I115+IF($H116="",0,$H116))</f>
        <v>23918.5521880349</v>
      </c>
      <c r="J116" s="40" t="n">
        <f aca="false">IF($A116="","",Config!$B$4+$I116)</f>
        <v>1023918.55218803</v>
      </c>
      <c r="K116" s="40" t="n">
        <f aca="false">IF($A116="","",MAX($J$4:$J116))</f>
        <v>1023918.55218803</v>
      </c>
      <c r="L116" s="40" t="n">
        <f aca="false">IF($A116="","",$J116-$K116)</f>
        <v>0</v>
      </c>
      <c r="M116" s="42" t="n">
        <f aca="false">IF(OR($A116="",$K116=0),"",$L116/$K116)</f>
        <v>0</v>
      </c>
      <c r="N116" s="40" t="n">
        <f aca="false">IF($A116="","",SUMIFS('Trade Log'!$K$4:$K$503,'Trade Log'!$H$4:$H$503,$A116))</f>
        <v>0</v>
      </c>
      <c r="O116" s="42" t="str">
        <f aca="false">IF(OR($A116="",$H116="",Config!$B$4=0),"",$H116/Config!$B$4)</f>
        <v/>
      </c>
      <c r="P116" s="40" t="n">
        <f aca="false">IF($A116="","",SUM($H$97:$H116))</f>
        <v>0</v>
      </c>
      <c r="Q116" s="53" t="str">
        <f aca="false">IF($A116="","",IFERROR((AVERAGE($O$97:$O116)-Config!$B$7/Config!$B$6)/STDEV($O$97:$O116)*SQRT(Config!$B$6),""))</f>
        <v/>
      </c>
      <c r="R116" s="53" t="str">
        <f aca="false">IF($A116="","",IFERROR((AVERAGE($O$57:$O116)-Config!$B$7/Config!$B$6)/STDEV($O$57:$O116)*SQRT(Config!$B$6),""))</f>
        <v/>
      </c>
      <c r="S116" s="47" t="n">
        <f aca="false">IF($H116="",$S115,IF($H116&gt;0,$S115+1,0))</f>
        <v>1</v>
      </c>
      <c r="T116" s="47" t="n">
        <f aca="false">IF($H116="",$T115,IF($H116&lt;0,$T115+1,0))</f>
        <v>0</v>
      </c>
    </row>
    <row r="117" customFormat="false" ht="15" hidden="false" customHeight="false" outlineLevel="0" collapsed="false">
      <c r="A117" s="54" t="n">
        <f aca="false">IF($A116="","",$A116+1)</f>
        <v>46348</v>
      </c>
      <c r="B117" s="5" t="str">
        <f aca="false">IF($A117="","",TEXT($A117,"ddd"))</f>
        <v>Sun</v>
      </c>
      <c r="C117" s="41" t="n">
        <f aca="false">IF($A117="","",COUNTIFS('Trade Log'!$L$4:$L$503,$A117))</f>
        <v>0</v>
      </c>
      <c r="D117" s="40" t="n">
        <f aca="false">IF($A117="","",SUMIFS('Trade Log'!$Q$4:$Q$503,'Trade Log'!$L$4:$L$503,$A117,'Trade Log'!$E$4:$E$503,"LONG"))</f>
        <v>0</v>
      </c>
      <c r="E117" s="40" t="n">
        <f aca="false">IF($A117="","",SUMIFS('Trade Log'!$Q$4:$Q$503,'Trade Log'!$L$4:$L$503,$A117,'Trade Log'!$E$4:$E$503,"SHORT"))</f>
        <v>0</v>
      </c>
      <c r="F117" s="40" t="n">
        <f aca="false">IF($A117="","",$D117+$E117)</f>
        <v>0</v>
      </c>
      <c r="G117" s="40" t="n">
        <f aca="false">IF($A117="","",SUMIFS('Trade Log'!$Y$4:$Y$503,'Trade Log'!$L$4:$L$503,$A117))</f>
        <v>0</v>
      </c>
      <c r="H117" s="40" t="str">
        <f aca="false">IF($A117="","",IF($C117=0,"",$F117-$G117))</f>
        <v/>
      </c>
      <c r="I117" s="40" t="n">
        <f aca="false">IF($A117="","",$I116+IF($H117="",0,$H117))</f>
        <v>23918.5521880349</v>
      </c>
      <c r="J117" s="40" t="n">
        <f aca="false">IF($A117="","",Config!$B$4+$I117)</f>
        <v>1023918.55218803</v>
      </c>
      <c r="K117" s="40" t="n">
        <f aca="false">IF($A117="","",MAX($J$4:$J117))</f>
        <v>1023918.55218803</v>
      </c>
      <c r="L117" s="40" t="n">
        <f aca="false">IF($A117="","",$J117-$K117)</f>
        <v>0</v>
      </c>
      <c r="M117" s="42" t="n">
        <f aca="false">IF(OR($A117="",$K117=0),"",$L117/$K117)</f>
        <v>0</v>
      </c>
      <c r="N117" s="40" t="n">
        <f aca="false">IF($A117="","",SUMIFS('Trade Log'!$K$4:$K$503,'Trade Log'!$H$4:$H$503,$A117))</f>
        <v>0</v>
      </c>
      <c r="O117" s="42" t="str">
        <f aca="false">IF(OR($A117="",$H117="",Config!$B$4=0),"",$H117/Config!$B$4)</f>
        <v/>
      </c>
      <c r="P117" s="40" t="n">
        <f aca="false">IF($A117="","",SUM($H$98:$H117))</f>
        <v>0</v>
      </c>
      <c r="Q117" s="53" t="str">
        <f aca="false">IF($A117="","",IFERROR((AVERAGE($O$98:$O117)-Config!$B$7/Config!$B$6)/STDEV($O$98:$O117)*SQRT(Config!$B$6),""))</f>
        <v/>
      </c>
      <c r="R117" s="53" t="str">
        <f aca="false">IF($A117="","",IFERROR((AVERAGE($O$58:$O117)-Config!$B$7/Config!$B$6)/STDEV($O$58:$O117)*SQRT(Config!$B$6),""))</f>
        <v/>
      </c>
      <c r="S117" s="47" t="n">
        <f aca="false">IF($H117="",$S116,IF($H117&gt;0,$S116+1,0))</f>
        <v>1</v>
      </c>
      <c r="T117" s="47" t="n">
        <f aca="false">IF($H117="",$T116,IF($H117&lt;0,$T116+1,0))</f>
        <v>0</v>
      </c>
    </row>
    <row r="118" customFormat="false" ht="15" hidden="false" customHeight="false" outlineLevel="0" collapsed="false">
      <c r="A118" s="54" t="n">
        <f aca="false">IF($A117="","",$A117+1)</f>
        <v>46349</v>
      </c>
      <c r="B118" s="5" t="str">
        <f aca="false">IF($A118="","",TEXT($A118,"ddd"))</f>
        <v>Mon</v>
      </c>
      <c r="C118" s="41" t="n">
        <f aca="false">IF($A118="","",COUNTIFS('Trade Log'!$L$4:$L$503,$A118))</f>
        <v>0</v>
      </c>
      <c r="D118" s="40" t="n">
        <f aca="false">IF($A118="","",SUMIFS('Trade Log'!$Q$4:$Q$503,'Trade Log'!$L$4:$L$503,$A118,'Trade Log'!$E$4:$E$503,"LONG"))</f>
        <v>0</v>
      </c>
      <c r="E118" s="40" t="n">
        <f aca="false">IF($A118="","",SUMIFS('Trade Log'!$Q$4:$Q$503,'Trade Log'!$L$4:$L$503,$A118,'Trade Log'!$E$4:$E$503,"SHORT"))</f>
        <v>0</v>
      </c>
      <c r="F118" s="40" t="n">
        <f aca="false">IF($A118="","",$D118+$E118)</f>
        <v>0</v>
      </c>
      <c r="G118" s="40" t="n">
        <f aca="false">IF($A118="","",SUMIFS('Trade Log'!$Y$4:$Y$503,'Trade Log'!$L$4:$L$503,$A118))</f>
        <v>0</v>
      </c>
      <c r="H118" s="40" t="str">
        <f aca="false">IF($A118="","",IF($C118=0,"",$F118-$G118))</f>
        <v/>
      </c>
      <c r="I118" s="40" t="n">
        <f aca="false">IF($A118="","",$I117+IF($H118="",0,$H118))</f>
        <v>23918.5521880349</v>
      </c>
      <c r="J118" s="40" t="n">
        <f aca="false">IF($A118="","",Config!$B$4+$I118)</f>
        <v>1023918.55218803</v>
      </c>
      <c r="K118" s="40" t="n">
        <f aca="false">IF($A118="","",MAX($J$4:$J118))</f>
        <v>1023918.55218803</v>
      </c>
      <c r="L118" s="40" t="n">
        <f aca="false">IF($A118="","",$J118-$K118)</f>
        <v>0</v>
      </c>
      <c r="M118" s="42" t="n">
        <f aca="false">IF(OR($A118="",$K118=0),"",$L118/$K118)</f>
        <v>0</v>
      </c>
      <c r="N118" s="40" t="n">
        <f aca="false">IF($A118="","",SUMIFS('Trade Log'!$K$4:$K$503,'Trade Log'!$H$4:$H$503,$A118))</f>
        <v>0</v>
      </c>
      <c r="O118" s="42" t="str">
        <f aca="false">IF(OR($A118="",$H118="",Config!$B$4=0),"",$H118/Config!$B$4)</f>
        <v/>
      </c>
      <c r="P118" s="40" t="n">
        <f aca="false">IF($A118="","",SUM($H$99:$H118))</f>
        <v>0</v>
      </c>
      <c r="Q118" s="53" t="str">
        <f aca="false">IF($A118="","",IFERROR((AVERAGE($O$99:$O118)-Config!$B$7/Config!$B$6)/STDEV($O$99:$O118)*SQRT(Config!$B$6),""))</f>
        <v/>
      </c>
      <c r="R118" s="53" t="str">
        <f aca="false">IF($A118="","",IFERROR((AVERAGE($O$59:$O118)-Config!$B$7/Config!$B$6)/STDEV($O$59:$O118)*SQRT(Config!$B$6),""))</f>
        <v/>
      </c>
      <c r="S118" s="47" t="n">
        <f aca="false">IF($H118="",$S117,IF($H118&gt;0,$S117+1,0))</f>
        <v>1</v>
      </c>
      <c r="T118" s="47" t="n">
        <f aca="false">IF($H118="",$T117,IF($H118&lt;0,$T117+1,0))</f>
        <v>0</v>
      </c>
    </row>
    <row r="119" customFormat="false" ht="15" hidden="false" customHeight="false" outlineLevel="0" collapsed="false">
      <c r="A119" s="54" t="n">
        <f aca="false">IF($A118="","",$A118+1)</f>
        <v>46350</v>
      </c>
      <c r="B119" s="5" t="str">
        <f aca="false">IF($A119="","",TEXT($A119,"ddd"))</f>
        <v>Tue</v>
      </c>
      <c r="C119" s="41" t="n">
        <f aca="false">IF($A119="","",COUNTIFS('Trade Log'!$L$4:$L$503,$A119))</f>
        <v>0</v>
      </c>
      <c r="D119" s="40" t="n">
        <f aca="false">IF($A119="","",SUMIFS('Trade Log'!$Q$4:$Q$503,'Trade Log'!$L$4:$L$503,$A119,'Trade Log'!$E$4:$E$503,"LONG"))</f>
        <v>0</v>
      </c>
      <c r="E119" s="40" t="n">
        <f aca="false">IF($A119="","",SUMIFS('Trade Log'!$Q$4:$Q$503,'Trade Log'!$L$4:$L$503,$A119,'Trade Log'!$E$4:$E$503,"SHORT"))</f>
        <v>0</v>
      </c>
      <c r="F119" s="40" t="n">
        <f aca="false">IF($A119="","",$D119+$E119)</f>
        <v>0</v>
      </c>
      <c r="G119" s="40" t="n">
        <f aca="false">IF($A119="","",SUMIFS('Trade Log'!$Y$4:$Y$503,'Trade Log'!$L$4:$L$503,$A119))</f>
        <v>0</v>
      </c>
      <c r="H119" s="40" t="str">
        <f aca="false">IF($A119="","",IF($C119=0,"",$F119-$G119))</f>
        <v/>
      </c>
      <c r="I119" s="40" t="n">
        <f aca="false">IF($A119="","",$I118+IF($H119="",0,$H119))</f>
        <v>23918.5521880349</v>
      </c>
      <c r="J119" s="40" t="n">
        <f aca="false">IF($A119="","",Config!$B$4+$I119)</f>
        <v>1023918.55218803</v>
      </c>
      <c r="K119" s="40" t="n">
        <f aca="false">IF($A119="","",MAX($J$4:$J119))</f>
        <v>1023918.55218803</v>
      </c>
      <c r="L119" s="40" t="n">
        <f aca="false">IF($A119="","",$J119-$K119)</f>
        <v>0</v>
      </c>
      <c r="M119" s="42" t="n">
        <f aca="false">IF(OR($A119="",$K119=0),"",$L119/$K119)</f>
        <v>0</v>
      </c>
      <c r="N119" s="40" t="n">
        <f aca="false">IF($A119="","",SUMIFS('Trade Log'!$K$4:$K$503,'Trade Log'!$H$4:$H$503,$A119))</f>
        <v>0</v>
      </c>
      <c r="O119" s="42" t="str">
        <f aca="false">IF(OR($A119="",$H119="",Config!$B$4=0),"",$H119/Config!$B$4)</f>
        <v/>
      </c>
      <c r="P119" s="40" t="n">
        <f aca="false">IF($A119="","",SUM($H$100:$H119))</f>
        <v>0</v>
      </c>
      <c r="Q119" s="53" t="str">
        <f aca="false">IF($A119="","",IFERROR((AVERAGE($O$100:$O119)-Config!$B$7/Config!$B$6)/STDEV($O$100:$O119)*SQRT(Config!$B$6),""))</f>
        <v/>
      </c>
      <c r="R119" s="53" t="str">
        <f aca="false">IF($A119="","",IFERROR((AVERAGE($O$60:$O119)-Config!$B$7/Config!$B$6)/STDEV($O$60:$O119)*SQRT(Config!$B$6),""))</f>
        <v/>
      </c>
      <c r="S119" s="47" t="n">
        <f aca="false">IF($H119="",$S118,IF($H119&gt;0,$S118+1,0))</f>
        <v>1</v>
      </c>
      <c r="T119" s="47" t="n">
        <f aca="false">IF($H119="",$T118,IF($H119&lt;0,$T118+1,0))</f>
        <v>0</v>
      </c>
    </row>
    <row r="120" customFormat="false" ht="15" hidden="false" customHeight="false" outlineLevel="0" collapsed="false">
      <c r="A120" s="54" t="n">
        <f aca="false">IF($A119="","",$A119+1)</f>
        <v>46351</v>
      </c>
      <c r="B120" s="5" t="str">
        <f aca="false">IF($A120="","",TEXT($A120,"ddd"))</f>
        <v>Wed</v>
      </c>
      <c r="C120" s="41" t="n">
        <f aca="false">IF($A120="","",COUNTIFS('Trade Log'!$L$4:$L$503,$A120))</f>
        <v>0</v>
      </c>
      <c r="D120" s="40" t="n">
        <f aca="false">IF($A120="","",SUMIFS('Trade Log'!$Q$4:$Q$503,'Trade Log'!$L$4:$L$503,$A120,'Trade Log'!$E$4:$E$503,"LONG"))</f>
        <v>0</v>
      </c>
      <c r="E120" s="40" t="n">
        <f aca="false">IF($A120="","",SUMIFS('Trade Log'!$Q$4:$Q$503,'Trade Log'!$L$4:$L$503,$A120,'Trade Log'!$E$4:$E$503,"SHORT"))</f>
        <v>0</v>
      </c>
      <c r="F120" s="40" t="n">
        <f aca="false">IF($A120="","",$D120+$E120)</f>
        <v>0</v>
      </c>
      <c r="G120" s="40" t="n">
        <f aca="false">IF($A120="","",SUMIFS('Trade Log'!$Y$4:$Y$503,'Trade Log'!$L$4:$L$503,$A120))</f>
        <v>0</v>
      </c>
      <c r="H120" s="40" t="str">
        <f aca="false">IF($A120="","",IF($C120=0,"",$F120-$G120))</f>
        <v/>
      </c>
      <c r="I120" s="40" t="n">
        <f aca="false">IF($A120="","",$I119+IF($H120="",0,$H120))</f>
        <v>23918.5521880349</v>
      </c>
      <c r="J120" s="40" t="n">
        <f aca="false">IF($A120="","",Config!$B$4+$I120)</f>
        <v>1023918.55218803</v>
      </c>
      <c r="K120" s="40" t="n">
        <f aca="false">IF($A120="","",MAX($J$4:$J120))</f>
        <v>1023918.55218803</v>
      </c>
      <c r="L120" s="40" t="n">
        <f aca="false">IF($A120="","",$J120-$K120)</f>
        <v>0</v>
      </c>
      <c r="M120" s="42" t="n">
        <f aca="false">IF(OR($A120="",$K120=0),"",$L120/$K120)</f>
        <v>0</v>
      </c>
      <c r="N120" s="40" t="n">
        <f aca="false">IF($A120="","",SUMIFS('Trade Log'!$K$4:$K$503,'Trade Log'!$H$4:$H$503,$A120))</f>
        <v>0</v>
      </c>
      <c r="O120" s="42" t="str">
        <f aca="false">IF(OR($A120="",$H120="",Config!$B$4=0),"",$H120/Config!$B$4)</f>
        <v/>
      </c>
      <c r="P120" s="40" t="n">
        <f aca="false">IF($A120="","",SUM($H$101:$H120))</f>
        <v>0</v>
      </c>
      <c r="Q120" s="53" t="str">
        <f aca="false">IF($A120="","",IFERROR((AVERAGE($O$101:$O120)-Config!$B$7/Config!$B$6)/STDEV($O$101:$O120)*SQRT(Config!$B$6),""))</f>
        <v/>
      </c>
      <c r="R120" s="53" t="str">
        <f aca="false">IF($A120="","",IFERROR((AVERAGE($O$61:$O120)-Config!$B$7/Config!$B$6)/STDEV($O$61:$O120)*SQRT(Config!$B$6),""))</f>
        <v/>
      </c>
      <c r="S120" s="47" t="n">
        <f aca="false">IF($H120="",$S119,IF($H120&gt;0,$S119+1,0))</f>
        <v>1</v>
      </c>
      <c r="T120" s="47" t="n">
        <f aca="false">IF($H120="",$T119,IF($H120&lt;0,$T119+1,0))</f>
        <v>0</v>
      </c>
    </row>
    <row r="121" customFormat="false" ht="15" hidden="false" customHeight="false" outlineLevel="0" collapsed="false">
      <c r="A121" s="54" t="n">
        <f aca="false">IF($A120="","",$A120+1)</f>
        <v>46352</v>
      </c>
      <c r="B121" s="5" t="str">
        <f aca="false">IF($A121="","",TEXT($A121,"ddd"))</f>
        <v>Thu</v>
      </c>
      <c r="C121" s="41" t="n">
        <f aca="false">IF($A121="","",COUNTIFS('Trade Log'!$L$4:$L$503,$A121))</f>
        <v>0</v>
      </c>
      <c r="D121" s="40" t="n">
        <f aca="false">IF($A121="","",SUMIFS('Trade Log'!$Q$4:$Q$503,'Trade Log'!$L$4:$L$503,$A121,'Trade Log'!$E$4:$E$503,"LONG"))</f>
        <v>0</v>
      </c>
      <c r="E121" s="40" t="n">
        <f aca="false">IF($A121="","",SUMIFS('Trade Log'!$Q$4:$Q$503,'Trade Log'!$L$4:$L$503,$A121,'Trade Log'!$E$4:$E$503,"SHORT"))</f>
        <v>0</v>
      </c>
      <c r="F121" s="40" t="n">
        <f aca="false">IF($A121="","",$D121+$E121)</f>
        <v>0</v>
      </c>
      <c r="G121" s="40" t="n">
        <f aca="false">IF($A121="","",SUMIFS('Trade Log'!$Y$4:$Y$503,'Trade Log'!$L$4:$L$503,$A121))</f>
        <v>0</v>
      </c>
      <c r="H121" s="40" t="str">
        <f aca="false">IF($A121="","",IF($C121=0,"",$F121-$G121))</f>
        <v/>
      </c>
      <c r="I121" s="40" t="n">
        <f aca="false">IF($A121="","",$I120+IF($H121="",0,$H121))</f>
        <v>23918.5521880349</v>
      </c>
      <c r="J121" s="40" t="n">
        <f aca="false">IF($A121="","",Config!$B$4+$I121)</f>
        <v>1023918.55218803</v>
      </c>
      <c r="K121" s="40" t="n">
        <f aca="false">IF($A121="","",MAX($J$4:$J121))</f>
        <v>1023918.55218803</v>
      </c>
      <c r="L121" s="40" t="n">
        <f aca="false">IF($A121="","",$J121-$K121)</f>
        <v>0</v>
      </c>
      <c r="M121" s="42" t="n">
        <f aca="false">IF(OR($A121="",$K121=0),"",$L121/$K121)</f>
        <v>0</v>
      </c>
      <c r="N121" s="40" t="n">
        <f aca="false">IF($A121="","",SUMIFS('Trade Log'!$K$4:$K$503,'Trade Log'!$H$4:$H$503,$A121))</f>
        <v>0</v>
      </c>
      <c r="O121" s="42" t="str">
        <f aca="false">IF(OR($A121="",$H121="",Config!$B$4=0),"",$H121/Config!$B$4)</f>
        <v/>
      </c>
      <c r="P121" s="40" t="n">
        <f aca="false">IF($A121="","",SUM($H$102:$H121))</f>
        <v>0</v>
      </c>
      <c r="Q121" s="53" t="str">
        <f aca="false">IF($A121="","",IFERROR((AVERAGE($O$102:$O121)-Config!$B$7/Config!$B$6)/STDEV($O$102:$O121)*SQRT(Config!$B$6),""))</f>
        <v/>
      </c>
      <c r="R121" s="53" t="str">
        <f aca="false">IF($A121="","",IFERROR((AVERAGE($O$62:$O121)-Config!$B$7/Config!$B$6)/STDEV($O$62:$O121)*SQRT(Config!$B$6),""))</f>
        <v/>
      </c>
      <c r="S121" s="47" t="n">
        <f aca="false">IF($H121="",$S120,IF($H121&gt;0,$S120+1,0))</f>
        <v>1</v>
      </c>
      <c r="T121" s="47" t="n">
        <f aca="false">IF($H121="",$T120,IF($H121&lt;0,$T120+1,0))</f>
        <v>0</v>
      </c>
    </row>
    <row r="122" customFormat="false" ht="15" hidden="false" customHeight="false" outlineLevel="0" collapsed="false">
      <c r="A122" s="54" t="n">
        <f aca="false">IF($A121="","",$A121+1)</f>
        <v>46353</v>
      </c>
      <c r="B122" s="5" t="str">
        <f aca="false">IF($A122="","",TEXT($A122,"ddd"))</f>
        <v>Fri</v>
      </c>
      <c r="C122" s="41" t="n">
        <f aca="false">IF($A122="","",COUNTIFS('Trade Log'!$L$4:$L$503,$A122))</f>
        <v>0</v>
      </c>
      <c r="D122" s="40" t="n">
        <f aca="false">IF($A122="","",SUMIFS('Trade Log'!$Q$4:$Q$503,'Trade Log'!$L$4:$L$503,$A122,'Trade Log'!$E$4:$E$503,"LONG"))</f>
        <v>0</v>
      </c>
      <c r="E122" s="40" t="n">
        <f aca="false">IF($A122="","",SUMIFS('Trade Log'!$Q$4:$Q$503,'Trade Log'!$L$4:$L$503,$A122,'Trade Log'!$E$4:$E$503,"SHORT"))</f>
        <v>0</v>
      </c>
      <c r="F122" s="40" t="n">
        <f aca="false">IF($A122="","",$D122+$E122)</f>
        <v>0</v>
      </c>
      <c r="G122" s="40" t="n">
        <f aca="false">IF($A122="","",SUMIFS('Trade Log'!$Y$4:$Y$503,'Trade Log'!$L$4:$L$503,$A122))</f>
        <v>0</v>
      </c>
      <c r="H122" s="40" t="str">
        <f aca="false">IF($A122="","",IF($C122=0,"",$F122-$G122))</f>
        <v/>
      </c>
      <c r="I122" s="40" t="n">
        <f aca="false">IF($A122="","",$I121+IF($H122="",0,$H122))</f>
        <v>23918.5521880349</v>
      </c>
      <c r="J122" s="40" t="n">
        <f aca="false">IF($A122="","",Config!$B$4+$I122)</f>
        <v>1023918.55218803</v>
      </c>
      <c r="K122" s="40" t="n">
        <f aca="false">IF($A122="","",MAX($J$4:$J122))</f>
        <v>1023918.55218803</v>
      </c>
      <c r="L122" s="40" t="n">
        <f aca="false">IF($A122="","",$J122-$K122)</f>
        <v>0</v>
      </c>
      <c r="M122" s="42" t="n">
        <f aca="false">IF(OR($A122="",$K122=0),"",$L122/$K122)</f>
        <v>0</v>
      </c>
      <c r="N122" s="40" t="n">
        <f aca="false">IF($A122="","",SUMIFS('Trade Log'!$K$4:$K$503,'Trade Log'!$H$4:$H$503,$A122))</f>
        <v>0</v>
      </c>
      <c r="O122" s="42" t="str">
        <f aca="false">IF(OR($A122="",$H122="",Config!$B$4=0),"",$H122/Config!$B$4)</f>
        <v/>
      </c>
      <c r="P122" s="40" t="n">
        <f aca="false">IF($A122="","",SUM($H$103:$H122))</f>
        <v>0</v>
      </c>
      <c r="Q122" s="53" t="str">
        <f aca="false">IF($A122="","",IFERROR((AVERAGE($O$103:$O122)-Config!$B$7/Config!$B$6)/STDEV($O$103:$O122)*SQRT(Config!$B$6),""))</f>
        <v/>
      </c>
      <c r="R122" s="53" t="str">
        <f aca="false">IF($A122="","",IFERROR((AVERAGE($O$63:$O122)-Config!$B$7/Config!$B$6)/STDEV($O$63:$O122)*SQRT(Config!$B$6),""))</f>
        <v/>
      </c>
      <c r="S122" s="47" t="n">
        <f aca="false">IF($H122="",$S121,IF($H122&gt;0,$S121+1,0))</f>
        <v>1</v>
      </c>
      <c r="T122" s="47" t="n">
        <f aca="false">IF($H122="",$T121,IF($H122&lt;0,$T121+1,0))</f>
        <v>0</v>
      </c>
    </row>
    <row r="123" customFormat="false" ht="15" hidden="false" customHeight="false" outlineLevel="0" collapsed="false">
      <c r="A123" s="54" t="n">
        <f aca="false">IF($A122="","",$A122+1)</f>
        <v>46354</v>
      </c>
      <c r="B123" s="5" t="str">
        <f aca="false">IF($A123="","",TEXT($A123,"ddd"))</f>
        <v>Sat</v>
      </c>
      <c r="C123" s="41" t="n">
        <f aca="false">IF($A123="","",COUNTIFS('Trade Log'!$L$4:$L$503,$A123))</f>
        <v>0</v>
      </c>
      <c r="D123" s="40" t="n">
        <f aca="false">IF($A123="","",SUMIFS('Trade Log'!$Q$4:$Q$503,'Trade Log'!$L$4:$L$503,$A123,'Trade Log'!$E$4:$E$503,"LONG"))</f>
        <v>0</v>
      </c>
      <c r="E123" s="40" t="n">
        <f aca="false">IF($A123="","",SUMIFS('Trade Log'!$Q$4:$Q$503,'Trade Log'!$L$4:$L$503,$A123,'Trade Log'!$E$4:$E$503,"SHORT"))</f>
        <v>0</v>
      </c>
      <c r="F123" s="40" t="n">
        <f aca="false">IF($A123="","",$D123+$E123)</f>
        <v>0</v>
      </c>
      <c r="G123" s="40" t="n">
        <f aca="false">IF($A123="","",SUMIFS('Trade Log'!$Y$4:$Y$503,'Trade Log'!$L$4:$L$503,$A123))</f>
        <v>0</v>
      </c>
      <c r="H123" s="40" t="str">
        <f aca="false">IF($A123="","",IF($C123=0,"",$F123-$G123))</f>
        <v/>
      </c>
      <c r="I123" s="40" t="n">
        <f aca="false">IF($A123="","",$I122+IF($H123="",0,$H123))</f>
        <v>23918.5521880349</v>
      </c>
      <c r="J123" s="40" t="n">
        <f aca="false">IF($A123="","",Config!$B$4+$I123)</f>
        <v>1023918.55218803</v>
      </c>
      <c r="K123" s="40" t="n">
        <f aca="false">IF($A123="","",MAX($J$4:$J123))</f>
        <v>1023918.55218803</v>
      </c>
      <c r="L123" s="40" t="n">
        <f aca="false">IF($A123="","",$J123-$K123)</f>
        <v>0</v>
      </c>
      <c r="M123" s="42" t="n">
        <f aca="false">IF(OR($A123="",$K123=0),"",$L123/$K123)</f>
        <v>0</v>
      </c>
      <c r="N123" s="40" t="n">
        <f aca="false">IF($A123="","",SUMIFS('Trade Log'!$K$4:$K$503,'Trade Log'!$H$4:$H$503,$A123))</f>
        <v>0</v>
      </c>
      <c r="O123" s="42" t="str">
        <f aca="false">IF(OR($A123="",$H123="",Config!$B$4=0),"",$H123/Config!$B$4)</f>
        <v/>
      </c>
      <c r="P123" s="40" t="n">
        <f aca="false">IF($A123="","",SUM($H$104:$H123))</f>
        <v>0</v>
      </c>
      <c r="Q123" s="53" t="str">
        <f aca="false">IF($A123="","",IFERROR((AVERAGE($O$104:$O123)-Config!$B$7/Config!$B$6)/STDEV($O$104:$O123)*SQRT(Config!$B$6),""))</f>
        <v/>
      </c>
      <c r="R123" s="53" t="str">
        <f aca="false">IF($A123="","",IFERROR((AVERAGE($O$64:$O123)-Config!$B$7/Config!$B$6)/STDEV($O$64:$O123)*SQRT(Config!$B$6),""))</f>
        <v/>
      </c>
      <c r="S123" s="47" t="n">
        <f aca="false">IF($H123="",$S122,IF($H123&gt;0,$S122+1,0))</f>
        <v>1</v>
      </c>
      <c r="T123" s="47" t="n">
        <f aca="false">IF($H123="",$T122,IF($H123&lt;0,$T122+1,0))</f>
        <v>0</v>
      </c>
    </row>
    <row r="124" customFormat="false" ht="15" hidden="false" customHeight="false" outlineLevel="0" collapsed="false">
      <c r="A124" s="54" t="n">
        <f aca="false">IF($A123="","",$A123+1)</f>
        <v>46355</v>
      </c>
      <c r="B124" s="5" t="str">
        <f aca="false">IF($A124="","",TEXT($A124,"ddd"))</f>
        <v>Sun</v>
      </c>
      <c r="C124" s="41" t="n">
        <f aca="false">IF($A124="","",COUNTIFS('Trade Log'!$L$4:$L$503,$A124))</f>
        <v>0</v>
      </c>
      <c r="D124" s="40" t="n">
        <f aca="false">IF($A124="","",SUMIFS('Trade Log'!$Q$4:$Q$503,'Trade Log'!$L$4:$L$503,$A124,'Trade Log'!$E$4:$E$503,"LONG"))</f>
        <v>0</v>
      </c>
      <c r="E124" s="40" t="n">
        <f aca="false">IF($A124="","",SUMIFS('Trade Log'!$Q$4:$Q$503,'Trade Log'!$L$4:$L$503,$A124,'Trade Log'!$E$4:$E$503,"SHORT"))</f>
        <v>0</v>
      </c>
      <c r="F124" s="40" t="n">
        <f aca="false">IF($A124="","",$D124+$E124)</f>
        <v>0</v>
      </c>
      <c r="G124" s="40" t="n">
        <f aca="false">IF($A124="","",SUMIFS('Trade Log'!$Y$4:$Y$503,'Trade Log'!$L$4:$L$503,$A124))</f>
        <v>0</v>
      </c>
      <c r="H124" s="40" t="str">
        <f aca="false">IF($A124="","",IF($C124=0,"",$F124-$G124))</f>
        <v/>
      </c>
      <c r="I124" s="40" t="n">
        <f aca="false">IF($A124="","",$I123+IF($H124="",0,$H124))</f>
        <v>23918.5521880349</v>
      </c>
      <c r="J124" s="40" t="n">
        <f aca="false">IF($A124="","",Config!$B$4+$I124)</f>
        <v>1023918.55218803</v>
      </c>
      <c r="K124" s="40" t="n">
        <f aca="false">IF($A124="","",MAX($J$4:$J124))</f>
        <v>1023918.55218803</v>
      </c>
      <c r="L124" s="40" t="n">
        <f aca="false">IF($A124="","",$J124-$K124)</f>
        <v>0</v>
      </c>
      <c r="M124" s="42" t="n">
        <f aca="false">IF(OR($A124="",$K124=0),"",$L124/$K124)</f>
        <v>0</v>
      </c>
      <c r="N124" s="40" t="n">
        <f aca="false">IF($A124="","",SUMIFS('Trade Log'!$K$4:$K$503,'Trade Log'!$H$4:$H$503,$A124))</f>
        <v>0</v>
      </c>
      <c r="O124" s="42" t="str">
        <f aca="false">IF(OR($A124="",$H124="",Config!$B$4=0),"",$H124/Config!$B$4)</f>
        <v/>
      </c>
      <c r="P124" s="40" t="n">
        <f aca="false">IF($A124="","",SUM($H$105:$H124))</f>
        <v>0</v>
      </c>
      <c r="Q124" s="53" t="str">
        <f aca="false">IF($A124="","",IFERROR((AVERAGE($O$105:$O124)-Config!$B$7/Config!$B$6)/STDEV($O$105:$O124)*SQRT(Config!$B$6),""))</f>
        <v/>
      </c>
      <c r="R124" s="53" t="str">
        <f aca="false">IF($A124="","",IFERROR((AVERAGE($O$65:$O124)-Config!$B$7/Config!$B$6)/STDEV($O$65:$O124)*SQRT(Config!$B$6),""))</f>
        <v/>
      </c>
      <c r="S124" s="47" t="n">
        <f aca="false">IF($H124="",$S123,IF($H124&gt;0,$S123+1,0))</f>
        <v>1</v>
      </c>
      <c r="T124" s="47" t="n">
        <f aca="false">IF($H124="",$T123,IF($H124&lt;0,$T123+1,0))</f>
        <v>0</v>
      </c>
    </row>
    <row r="125" customFormat="false" ht="15" hidden="false" customHeight="false" outlineLevel="0" collapsed="false">
      <c r="A125" s="54" t="n">
        <f aca="false">IF($A124="","",$A124+1)</f>
        <v>46356</v>
      </c>
      <c r="B125" s="5" t="str">
        <f aca="false">IF($A125="","",TEXT($A125,"ddd"))</f>
        <v>Mon</v>
      </c>
      <c r="C125" s="41" t="n">
        <f aca="false">IF($A125="","",COUNTIFS('Trade Log'!$L$4:$L$503,$A125))</f>
        <v>0</v>
      </c>
      <c r="D125" s="40" t="n">
        <f aca="false">IF($A125="","",SUMIFS('Trade Log'!$Q$4:$Q$503,'Trade Log'!$L$4:$L$503,$A125,'Trade Log'!$E$4:$E$503,"LONG"))</f>
        <v>0</v>
      </c>
      <c r="E125" s="40" t="n">
        <f aca="false">IF($A125="","",SUMIFS('Trade Log'!$Q$4:$Q$503,'Trade Log'!$L$4:$L$503,$A125,'Trade Log'!$E$4:$E$503,"SHORT"))</f>
        <v>0</v>
      </c>
      <c r="F125" s="40" t="n">
        <f aca="false">IF($A125="","",$D125+$E125)</f>
        <v>0</v>
      </c>
      <c r="G125" s="40" t="n">
        <f aca="false">IF($A125="","",SUMIFS('Trade Log'!$Y$4:$Y$503,'Trade Log'!$L$4:$L$503,$A125))</f>
        <v>0</v>
      </c>
      <c r="H125" s="40" t="str">
        <f aca="false">IF($A125="","",IF($C125=0,"",$F125-$G125))</f>
        <v/>
      </c>
      <c r="I125" s="40" t="n">
        <f aca="false">IF($A125="","",$I124+IF($H125="",0,$H125))</f>
        <v>23918.5521880349</v>
      </c>
      <c r="J125" s="40" t="n">
        <f aca="false">IF($A125="","",Config!$B$4+$I125)</f>
        <v>1023918.55218803</v>
      </c>
      <c r="K125" s="40" t="n">
        <f aca="false">IF($A125="","",MAX($J$4:$J125))</f>
        <v>1023918.55218803</v>
      </c>
      <c r="L125" s="40" t="n">
        <f aca="false">IF($A125="","",$J125-$K125)</f>
        <v>0</v>
      </c>
      <c r="M125" s="42" t="n">
        <f aca="false">IF(OR($A125="",$K125=0),"",$L125/$K125)</f>
        <v>0</v>
      </c>
      <c r="N125" s="40" t="n">
        <f aca="false">IF($A125="","",SUMIFS('Trade Log'!$K$4:$K$503,'Trade Log'!$H$4:$H$503,$A125))</f>
        <v>0</v>
      </c>
      <c r="O125" s="42" t="str">
        <f aca="false">IF(OR($A125="",$H125="",Config!$B$4=0),"",$H125/Config!$B$4)</f>
        <v/>
      </c>
      <c r="P125" s="40" t="n">
        <f aca="false">IF($A125="","",SUM($H$106:$H125))</f>
        <v>0</v>
      </c>
      <c r="Q125" s="53" t="str">
        <f aca="false">IF($A125="","",IFERROR((AVERAGE($O$106:$O125)-Config!$B$7/Config!$B$6)/STDEV($O$106:$O125)*SQRT(Config!$B$6),""))</f>
        <v/>
      </c>
      <c r="R125" s="53" t="str">
        <f aca="false">IF($A125="","",IFERROR((AVERAGE($O$66:$O125)-Config!$B$7/Config!$B$6)/STDEV($O$66:$O125)*SQRT(Config!$B$6),""))</f>
        <v/>
      </c>
      <c r="S125" s="47" t="n">
        <f aca="false">IF($H125="",$S124,IF($H125&gt;0,$S124+1,0))</f>
        <v>1</v>
      </c>
      <c r="T125" s="47" t="n">
        <f aca="false">IF($H125="",$T124,IF($H125&lt;0,$T124+1,0))</f>
        <v>0</v>
      </c>
    </row>
    <row r="126" customFormat="false" ht="15" hidden="false" customHeight="false" outlineLevel="0" collapsed="false">
      <c r="A126" s="54" t="n">
        <f aca="false">IF($A125="","",$A125+1)</f>
        <v>46357</v>
      </c>
      <c r="B126" s="5" t="str">
        <f aca="false">IF($A126="","",TEXT($A126,"ddd"))</f>
        <v>Tue</v>
      </c>
      <c r="C126" s="41" t="n">
        <f aca="false">IF($A126="","",COUNTIFS('Trade Log'!$L$4:$L$503,$A126))</f>
        <v>0</v>
      </c>
      <c r="D126" s="40" t="n">
        <f aca="false">IF($A126="","",SUMIFS('Trade Log'!$Q$4:$Q$503,'Trade Log'!$L$4:$L$503,$A126,'Trade Log'!$E$4:$E$503,"LONG"))</f>
        <v>0</v>
      </c>
      <c r="E126" s="40" t="n">
        <f aca="false">IF($A126="","",SUMIFS('Trade Log'!$Q$4:$Q$503,'Trade Log'!$L$4:$L$503,$A126,'Trade Log'!$E$4:$E$503,"SHORT"))</f>
        <v>0</v>
      </c>
      <c r="F126" s="40" t="n">
        <f aca="false">IF($A126="","",$D126+$E126)</f>
        <v>0</v>
      </c>
      <c r="G126" s="40" t="n">
        <f aca="false">IF($A126="","",SUMIFS('Trade Log'!$Y$4:$Y$503,'Trade Log'!$L$4:$L$503,$A126))</f>
        <v>0</v>
      </c>
      <c r="H126" s="40" t="str">
        <f aca="false">IF($A126="","",IF($C126=0,"",$F126-$G126))</f>
        <v/>
      </c>
      <c r="I126" s="40" t="n">
        <f aca="false">IF($A126="","",$I125+IF($H126="",0,$H126))</f>
        <v>23918.5521880349</v>
      </c>
      <c r="J126" s="40" t="n">
        <f aca="false">IF($A126="","",Config!$B$4+$I126)</f>
        <v>1023918.55218803</v>
      </c>
      <c r="K126" s="40" t="n">
        <f aca="false">IF($A126="","",MAX($J$4:$J126))</f>
        <v>1023918.55218803</v>
      </c>
      <c r="L126" s="40" t="n">
        <f aca="false">IF($A126="","",$J126-$K126)</f>
        <v>0</v>
      </c>
      <c r="M126" s="42" t="n">
        <f aca="false">IF(OR($A126="",$K126=0),"",$L126/$K126)</f>
        <v>0</v>
      </c>
      <c r="N126" s="40" t="n">
        <f aca="false">IF($A126="","",SUMIFS('Trade Log'!$K$4:$K$503,'Trade Log'!$H$4:$H$503,$A126))</f>
        <v>0</v>
      </c>
      <c r="O126" s="42" t="str">
        <f aca="false">IF(OR($A126="",$H126="",Config!$B$4=0),"",$H126/Config!$B$4)</f>
        <v/>
      </c>
      <c r="P126" s="40" t="n">
        <f aca="false">IF($A126="","",SUM($H$107:$H126))</f>
        <v>0</v>
      </c>
      <c r="Q126" s="53" t="str">
        <f aca="false">IF($A126="","",IFERROR((AVERAGE($O$107:$O126)-Config!$B$7/Config!$B$6)/STDEV($O$107:$O126)*SQRT(Config!$B$6),""))</f>
        <v/>
      </c>
      <c r="R126" s="53" t="str">
        <f aca="false">IF($A126="","",IFERROR((AVERAGE($O$67:$O126)-Config!$B$7/Config!$B$6)/STDEV($O$67:$O126)*SQRT(Config!$B$6),""))</f>
        <v/>
      </c>
      <c r="S126" s="47" t="n">
        <f aca="false">IF($H126="",$S125,IF($H126&gt;0,$S125+1,0))</f>
        <v>1</v>
      </c>
      <c r="T126" s="47" t="n">
        <f aca="false">IF($H126="",$T125,IF($H126&lt;0,$T125+1,0))</f>
        <v>0</v>
      </c>
    </row>
    <row r="127" customFormat="false" ht="15" hidden="false" customHeight="false" outlineLevel="0" collapsed="false">
      <c r="A127" s="54" t="n">
        <f aca="false">IF($A126="","",$A126+1)</f>
        <v>46358</v>
      </c>
      <c r="B127" s="5" t="str">
        <f aca="false">IF($A127="","",TEXT($A127,"ddd"))</f>
        <v>Wed</v>
      </c>
      <c r="C127" s="41" t="n">
        <f aca="false">IF($A127="","",COUNTIFS('Trade Log'!$L$4:$L$503,$A127))</f>
        <v>0</v>
      </c>
      <c r="D127" s="40" t="n">
        <f aca="false">IF($A127="","",SUMIFS('Trade Log'!$Q$4:$Q$503,'Trade Log'!$L$4:$L$503,$A127,'Trade Log'!$E$4:$E$503,"LONG"))</f>
        <v>0</v>
      </c>
      <c r="E127" s="40" t="n">
        <f aca="false">IF($A127="","",SUMIFS('Trade Log'!$Q$4:$Q$503,'Trade Log'!$L$4:$L$503,$A127,'Trade Log'!$E$4:$E$503,"SHORT"))</f>
        <v>0</v>
      </c>
      <c r="F127" s="40" t="n">
        <f aca="false">IF($A127="","",$D127+$E127)</f>
        <v>0</v>
      </c>
      <c r="G127" s="40" t="n">
        <f aca="false">IF($A127="","",SUMIFS('Trade Log'!$Y$4:$Y$503,'Trade Log'!$L$4:$L$503,$A127))</f>
        <v>0</v>
      </c>
      <c r="H127" s="40" t="str">
        <f aca="false">IF($A127="","",IF($C127=0,"",$F127-$G127))</f>
        <v/>
      </c>
      <c r="I127" s="40" t="n">
        <f aca="false">IF($A127="","",$I126+IF($H127="",0,$H127))</f>
        <v>23918.5521880349</v>
      </c>
      <c r="J127" s="40" t="n">
        <f aca="false">IF($A127="","",Config!$B$4+$I127)</f>
        <v>1023918.55218803</v>
      </c>
      <c r="K127" s="40" t="n">
        <f aca="false">IF($A127="","",MAX($J$4:$J127))</f>
        <v>1023918.55218803</v>
      </c>
      <c r="L127" s="40" t="n">
        <f aca="false">IF($A127="","",$J127-$K127)</f>
        <v>0</v>
      </c>
      <c r="M127" s="42" t="n">
        <f aca="false">IF(OR($A127="",$K127=0),"",$L127/$K127)</f>
        <v>0</v>
      </c>
      <c r="N127" s="40" t="n">
        <f aca="false">IF($A127="","",SUMIFS('Trade Log'!$K$4:$K$503,'Trade Log'!$H$4:$H$503,$A127))</f>
        <v>0</v>
      </c>
      <c r="O127" s="42" t="str">
        <f aca="false">IF(OR($A127="",$H127="",Config!$B$4=0),"",$H127/Config!$B$4)</f>
        <v/>
      </c>
      <c r="P127" s="40" t="n">
        <f aca="false">IF($A127="","",SUM($H$108:$H127))</f>
        <v>0</v>
      </c>
      <c r="Q127" s="53" t="str">
        <f aca="false">IF($A127="","",IFERROR((AVERAGE($O$108:$O127)-Config!$B$7/Config!$B$6)/STDEV($O$108:$O127)*SQRT(Config!$B$6),""))</f>
        <v/>
      </c>
      <c r="R127" s="53" t="str">
        <f aca="false">IF($A127="","",IFERROR((AVERAGE($O$68:$O127)-Config!$B$7/Config!$B$6)/STDEV($O$68:$O127)*SQRT(Config!$B$6),""))</f>
        <v/>
      </c>
      <c r="S127" s="47" t="n">
        <f aca="false">IF($H127="",$S126,IF($H127&gt;0,$S126+1,0))</f>
        <v>1</v>
      </c>
      <c r="T127" s="47" t="n">
        <f aca="false">IF($H127="",$T126,IF($H127&lt;0,$T126+1,0))</f>
        <v>0</v>
      </c>
    </row>
    <row r="128" customFormat="false" ht="15" hidden="false" customHeight="false" outlineLevel="0" collapsed="false">
      <c r="A128" s="54" t="n">
        <f aca="false">IF($A127="","",$A127+1)</f>
        <v>46359</v>
      </c>
      <c r="B128" s="5" t="str">
        <f aca="false">IF($A128="","",TEXT($A128,"ddd"))</f>
        <v>Thu</v>
      </c>
      <c r="C128" s="41" t="n">
        <f aca="false">IF($A128="","",COUNTIFS('Trade Log'!$L$4:$L$503,$A128))</f>
        <v>0</v>
      </c>
      <c r="D128" s="40" t="n">
        <f aca="false">IF($A128="","",SUMIFS('Trade Log'!$Q$4:$Q$503,'Trade Log'!$L$4:$L$503,$A128,'Trade Log'!$E$4:$E$503,"LONG"))</f>
        <v>0</v>
      </c>
      <c r="E128" s="40" t="n">
        <f aca="false">IF($A128="","",SUMIFS('Trade Log'!$Q$4:$Q$503,'Trade Log'!$L$4:$L$503,$A128,'Trade Log'!$E$4:$E$503,"SHORT"))</f>
        <v>0</v>
      </c>
      <c r="F128" s="40" t="n">
        <f aca="false">IF($A128="","",$D128+$E128)</f>
        <v>0</v>
      </c>
      <c r="G128" s="40" t="n">
        <f aca="false">IF($A128="","",SUMIFS('Trade Log'!$Y$4:$Y$503,'Trade Log'!$L$4:$L$503,$A128))</f>
        <v>0</v>
      </c>
      <c r="H128" s="40" t="str">
        <f aca="false">IF($A128="","",IF($C128=0,"",$F128-$G128))</f>
        <v/>
      </c>
      <c r="I128" s="40" t="n">
        <f aca="false">IF($A128="","",$I127+IF($H128="",0,$H128))</f>
        <v>23918.5521880349</v>
      </c>
      <c r="J128" s="40" t="n">
        <f aca="false">IF($A128="","",Config!$B$4+$I128)</f>
        <v>1023918.55218803</v>
      </c>
      <c r="K128" s="40" t="n">
        <f aca="false">IF($A128="","",MAX($J$4:$J128))</f>
        <v>1023918.55218803</v>
      </c>
      <c r="L128" s="40" t="n">
        <f aca="false">IF($A128="","",$J128-$K128)</f>
        <v>0</v>
      </c>
      <c r="M128" s="42" t="n">
        <f aca="false">IF(OR($A128="",$K128=0),"",$L128/$K128)</f>
        <v>0</v>
      </c>
      <c r="N128" s="40" t="n">
        <f aca="false">IF($A128="","",SUMIFS('Trade Log'!$K$4:$K$503,'Trade Log'!$H$4:$H$503,$A128))</f>
        <v>0</v>
      </c>
      <c r="O128" s="42" t="str">
        <f aca="false">IF(OR($A128="",$H128="",Config!$B$4=0),"",$H128/Config!$B$4)</f>
        <v/>
      </c>
      <c r="P128" s="40" t="n">
        <f aca="false">IF($A128="","",SUM($H$109:$H128))</f>
        <v>0</v>
      </c>
      <c r="Q128" s="53" t="str">
        <f aca="false">IF($A128="","",IFERROR((AVERAGE($O$109:$O128)-Config!$B$7/Config!$B$6)/STDEV($O$109:$O128)*SQRT(Config!$B$6),""))</f>
        <v/>
      </c>
      <c r="R128" s="53" t="str">
        <f aca="false">IF($A128="","",IFERROR((AVERAGE($O$69:$O128)-Config!$B$7/Config!$B$6)/STDEV($O$69:$O128)*SQRT(Config!$B$6),""))</f>
        <v/>
      </c>
      <c r="S128" s="47" t="n">
        <f aca="false">IF($H128="",$S127,IF($H128&gt;0,$S127+1,0))</f>
        <v>1</v>
      </c>
      <c r="T128" s="47" t="n">
        <f aca="false">IF($H128="",$T127,IF($H128&lt;0,$T127+1,0))</f>
        <v>0</v>
      </c>
    </row>
    <row r="129" customFormat="false" ht="15" hidden="false" customHeight="false" outlineLevel="0" collapsed="false">
      <c r="A129" s="54" t="n">
        <f aca="false">IF($A128="","",$A128+1)</f>
        <v>46360</v>
      </c>
      <c r="B129" s="5" t="str">
        <f aca="false">IF($A129="","",TEXT($A129,"ddd"))</f>
        <v>Fri</v>
      </c>
      <c r="C129" s="41" t="n">
        <f aca="false">IF($A129="","",COUNTIFS('Trade Log'!$L$4:$L$503,$A129))</f>
        <v>0</v>
      </c>
      <c r="D129" s="40" t="n">
        <f aca="false">IF($A129="","",SUMIFS('Trade Log'!$Q$4:$Q$503,'Trade Log'!$L$4:$L$503,$A129,'Trade Log'!$E$4:$E$503,"LONG"))</f>
        <v>0</v>
      </c>
      <c r="E129" s="40" t="n">
        <f aca="false">IF($A129="","",SUMIFS('Trade Log'!$Q$4:$Q$503,'Trade Log'!$L$4:$L$503,$A129,'Trade Log'!$E$4:$E$503,"SHORT"))</f>
        <v>0</v>
      </c>
      <c r="F129" s="40" t="n">
        <f aca="false">IF($A129="","",$D129+$E129)</f>
        <v>0</v>
      </c>
      <c r="G129" s="40" t="n">
        <f aca="false">IF($A129="","",SUMIFS('Trade Log'!$Y$4:$Y$503,'Trade Log'!$L$4:$L$503,$A129))</f>
        <v>0</v>
      </c>
      <c r="H129" s="40" t="str">
        <f aca="false">IF($A129="","",IF($C129=0,"",$F129-$G129))</f>
        <v/>
      </c>
      <c r="I129" s="40" t="n">
        <f aca="false">IF($A129="","",$I128+IF($H129="",0,$H129))</f>
        <v>23918.5521880349</v>
      </c>
      <c r="J129" s="40" t="n">
        <f aca="false">IF($A129="","",Config!$B$4+$I129)</f>
        <v>1023918.55218803</v>
      </c>
      <c r="K129" s="40" t="n">
        <f aca="false">IF($A129="","",MAX($J$4:$J129))</f>
        <v>1023918.55218803</v>
      </c>
      <c r="L129" s="40" t="n">
        <f aca="false">IF($A129="","",$J129-$K129)</f>
        <v>0</v>
      </c>
      <c r="M129" s="42" t="n">
        <f aca="false">IF(OR($A129="",$K129=0),"",$L129/$K129)</f>
        <v>0</v>
      </c>
      <c r="N129" s="40" t="n">
        <f aca="false">IF($A129="","",SUMIFS('Trade Log'!$K$4:$K$503,'Trade Log'!$H$4:$H$503,$A129))</f>
        <v>0</v>
      </c>
      <c r="O129" s="42" t="str">
        <f aca="false">IF(OR($A129="",$H129="",Config!$B$4=0),"",$H129/Config!$B$4)</f>
        <v/>
      </c>
      <c r="P129" s="40" t="n">
        <f aca="false">IF($A129="","",SUM($H$110:$H129))</f>
        <v>0</v>
      </c>
      <c r="Q129" s="53" t="str">
        <f aca="false">IF($A129="","",IFERROR((AVERAGE($O$110:$O129)-Config!$B$7/Config!$B$6)/STDEV($O$110:$O129)*SQRT(Config!$B$6),""))</f>
        <v/>
      </c>
      <c r="R129" s="53" t="str">
        <f aca="false">IF($A129="","",IFERROR((AVERAGE($O$70:$O129)-Config!$B$7/Config!$B$6)/STDEV($O$70:$O129)*SQRT(Config!$B$6),""))</f>
        <v/>
      </c>
      <c r="S129" s="47" t="n">
        <f aca="false">IF($H129="",$S128,IF($H129&gt;0,$S128+1,0))</f>
        <v>1</v>
      </c>
      <c r="T129" s="47" t="n">
        <f aca="false">IF($H129="",$T128,IF($H129&lt;0,$T128+1,0))</f>
        <v>0</v>
      </c>
    </row>
    <row r="130" customFormat="false" ht="15" hidden="false" customHeight="false" outlineLevel="0" collapsed="false">
      <c r="A130" s="54" t="n">
        <f aca="false">IF($A129="","",$A129+1)</f>
        <v>46361</v>
      </c>
      <c r="B130" s="5" t="str">
        <f aca="false">IF($A130="","",TEXT($A130,"ddd"))</f>
        <v>Sat</v>
      </c>
      <c r="C130" s="41" t="n">
        <f aca="false">IF($A130="","",COUNTIFS('Trade Log'!$L$4:$L$503,$A130))</f>
        <v>0</v>
      </c>
      <c r="D130" s="40" t="n">
        <f aca="false">IF($A130="","",SUMIFS('Trade Log'!$Q$4:$Q$503,'Trade Log'!$L$4:$L$503,$A130,'Trade Log'!$E$4:$E$503,"LONG"))</f>
        <v>0</v>
      </c>
      <c r="E130" s="40" t="n">
        <f aca="false">IF($A130="","",SUMIFS('Trade Log'!$Q$4:$Q$503,'Trade Log'!$L$4:$L$503,$A130,'Trade Log'!$E$4:$E$503,"SHORT"))</f>
        <v>0</v>
      </c>
      <c r="F130" s="40" t="n">
        <f aca="false">IF($A130="","",$D130+$E130)</f>
        <v>0</v>
      </c>
      <c r="G130" s="40" t="n">
        <f aca="false">IF($A130="","",SUMIFS('Trade Log'!$Y$4:$Y$503,'Trade Log'!$L$4:$L$503,$A130))</f>
        <v>0</v>
      </c>
      <c r="H130" s="40" t="str">
        <f aca="false">IF($A130="","",IF($C130=0,"",$F130-$G130))</f>
        <v/>
      </c>
      <c r="I130" s="40" t="n">
        <f aca="false">IF($A130="","",$I129+IF($H130="",0,$H130))</f>
        <v>23918.5521880349</v>
      </c>
      <c r="J130" s="40" t="n">
        <f aca="false">IF($A130="","",Config!$B$4+$I130)</f>
        <v>1023918.55218803</v>
      </c>
      <c r="K130" s="40" t="n">
        <f aca="false">IF($A130="","",MAX($J$4:$J130))</f>
        <v>1023918.55218803</v>
      </c>
      <c r="L130" s="40" t="n">
        <f aca="false">IF($A130="","",$J130-$K130)</f>
        <v>0</v>
      </c>
      <c r="M130" s="42" t="n">
        <f aca="false">IF(OR($A130="",$K130=0),"",$L130/$K130)</f>
        <v>0</v>
      </c>
      <c r="N130" s="40" t="n">
        <f aca="false">IF($A130="","",SUMIFS('Trade Log'!$K$4:$K$503,'Trade Log'!$H$4:$H$503,$A130))</f>
        <v>0</v>
      </c>
      <c r="O130" s="42" t="str">
        <f aca="false">IF(OR($A130="",$H130="",Config!$B$4=0),"",$H130/Config!$B$4)</f>
        <v/>
      </c>
      <c r="P130" s="40" t="n">
        <f aca="false">IF($A130="","",SUM($H$111:$H130))</f>
        <v>0</v>
      </c>
      <c r="Q130" s="53" t="str">
        <f aca="false">IF($A130="","",IFERROR((AVERAGE($O$111:$O130)-Config!$B$7/Config!$B$6)/STDEV($O$111:$O130)*SQRT(Config!$B$6),""))</f>
        <v/>
      </c>
      <c r="R130" s="53" t="str">
        <f aca="false">IF($A130="","",IFERROR((AVERAGE($O$71:$O130)-Config!$B$7/Config!$B$6)/STDEV($O$71:$O130)*SQRT(Config!$B$6),""))</f>
        <v/>
      </c>
      <c r="S130" s="47" t="n">
        <f aca="false">IF($H130="",$S129,IF($H130&gt;0,$S129+1,0))</f>
        <v>1</v>
      </c>
      <c r="T130" s="47" t="n">
        <f aca="false">IF($H130="",$T129,IF($H130&lt;0,$T129+1,0))</f>
        <v>0</v>
      </c>
    </row>
    <row r="131" customFormat="false" ht="15" hidden="false" customHeight="false" outlineLevel="0" collapsed="false">
      <c r="A131" s="54" t="n">
        <f aca="false">IF($A130="","",$A130+1)</f>
        <v>46362</v>
      </c>
      <c r="B131" s="5" t="str">
        <f aca="false">IF($A131="","",TEXT($A131,"ddd"))</f>
        <v>Sun</v>
      </c>
      <c r="C131" s="41" t="n">
        <f aca="false">IF($A131="","",COUNTIFS('Trade Log'!$L$4:$L$503,$A131))</f>
        <v>0</v>
      </c>
      <c r="D131" s="40" t="n">
        <f aca="false">IF($A131="","",SUMIFS('Trade Log'!$Q$4:$Q$503,'Trade Log'!$L$4:$L$503,$A131,'Trade Log'!$E$4:$E$503,"LONG"))</f>
        <v>0</v>
      </c>
      <c r="E131" s="40" t="n">
        <f aca="false">IF($A131="","",SUMIFS('Trade Log'!$Q$4:$Q$503,'Trade Log'!$L$4:$L$503,$A131,'Trade Log'!$E$4:$E$503,"SHORT"))</f>
        <v>0</v>
      </c>
      <c r="F131" s="40" t="n">
        <f aca="false">IF($A131="","",$D131+$E131)</f>
        <v>0</v>
      </c>
      <c r="G131" s="40" t="n">
        <f aca="false">IF($A131="","",SUMIFS('Trade Log'!$Y$4:$Y$503,'Trade Log'!$L$4:$L$503,$A131))</f>
        <v>0</v>
      </c>
      <c r="H131" s="40" t="str">
        <f aca="false">IF($A131="","",IF($C131=0,"",$F131-$G131))</f>
        <v/>
      </c>
      <c r="I131" s="40" t="n">
        <f aca="false">IF($A131="","",$I130+IF($H131="",0,$H131))</f>
        <v>23918.5521880349</v>
      </c>
      <c r="J131" s="40" t="n">
        <f aca="false">IF($A131="","",Config!$B$4+$I131)</f>
        <v>1023918.55218803</v>
      </c>
      <c r="K131" s="40" t="n">
        <f aca="false">IF($A131="","",MAX($J$4:$J131))</f>
        <v>1023918.55218803</v>
      </c>
      <c r="L131" s="40" t="n">
        <f aca="false">IF($A131="","",$J131-$K131)</f>
        <v>0</v>
      </c>
      <c r="M131" s="42" t="n">
        <f aca="false">IF(OR($A131="",$K131=0),"",$L131/$K131)</f>
        <v>0</v>
      </c>
      <c r="N131" s="40" t="n">
        <f aca="false">IF($A131="","",SUMIFS('Trade Log'!$K$4:$K$503,'Trade Log'!$H$4:$H$503,$A131))</f>
        <v>0</v>
      </c>
      <c r="O131" s="42" t="str">
        <f aca="false">IF(OR($A131="",$H131="",Config!$B$4=0),"",$H131/Config!$B$4)</f>
        <v/>
      </c>
      <c r="P131" s="40" t="n">
        <f aca="false">IF($A131="","",SUM($H$112:$H131))</f>
        <v>0</v>
      </c>
      <c r="Q131" s="53" t="str">
        <f aca="false">IF($A131="","",IFERROR((AVERAGE($O$112:$O131)-Config!$B$7/Config!$B$6)/STDEV($O$112:$O131)*SQRT(Config!$B$6),""))</f>
        <v/>
      </c>
      <c r="R131" s="53" t="str">
        <f aca="false">IF($A131="","",IFERROR((AVERAGE($O$72:$O131)-Config!$B$7/Config!$B$6)/STDEV($O$72:$O131)*SQRT(Config!$B$6),""))</f>
        <v/>
      </c>
      <c r="S131" s="47" t="n">
        <f aca="false">IF($H131="",$S130,IF($H131&gt;0,$S130+1,0))</f>
        <v>1</v>
      </c>
      <c r="T131" s="47" t="n">
        <f aca="false">IF($H131="",$T130,IF($H131&lt;0,$T130+1,0))</f>
        <v>0</v>
      </c>
    </row>
    <row r="132" customFormat="false" ht="15" hidden="false" customHeight="false" outlineLevel="0" collapsed="false">
      <c r="A132" s="54" t="n">
        <f aca="false">IF($A131="","",$A131+1)</f>
        <v>46363</v>
      </c>
      <c r="B132" s="5" t="str">
        <f aca="false">IF($A132="","",TEXT($A132,"ddd"))</f>
        <v>Mon</v>
      </c>
      <c r="C132" s="41" t="n">
        <f aca="false">IF($A132="","",COUNTIFS('Trade Log'!$L$4:$L$503,$A132))</f>
        <v>0</v>
      </c>
      <c r="D132" s="40" t="n">
        <f aca="false">IF($A132="","",SUMIFS('Trade Log'!$Q$4:$Q$503,'Trade Log'!$L$4:$L$503,$A132,'Trade Log'!$E$4:$E$503,"LONG"))</f>
        <v>0</v>
      </c>
      <c r="E132" s="40" t="n">
        <f aca="false">IF($A132="","",SUMIFS('Trade Log'!$Q$4:$Q$503,'Trade Log'!$L$4:$L$503,$A132,'Trade Log'!$E$4:$E$503,"SHORT"))</f>
        <v>0</v>
      </c>
      <c r="F132" s="40" t="n">
        <f aca="false">IF($A132="","",$D132+$E132)</f>
        <v>0</v>
      </c>
      <c r="G132" s="40" t="n">
        <f aca="false">IF($A132="","",SUMIFS('Trade Log'!$Y$4:$Y$503,'Trade Log'!$L$4:$L$503,$A132))</f>
        <v>0</v>
      </c>
      <c r="H132" s="40" t="str">
        <f aca="false">IF($A132="","",IF($C132=0,"",$F132-$G132))</f>
        <v/>
      </c>
      <c r="I132" s="40" t="n">
        <f aca="false">IF($A132="","",$I131+IF($H132="",0,$H132))</f>
        <v>23918.5521880349</v>
      </c>
      <c r="J132" s="40" t="n">
        <f aca="false">IF($A132="","",Config!$B$4+$I132)</f>
        <v>1023918.55218803</v>
      </c>
      <c r="K132" s="40" t="n">
        <f aca="false">IF($A132="","",MAX($J$4:$J132))</f>
        <v>1023918.55218803</v>
      </c>
      <c r="L132" s="40" t="n">
        <f aca="false">IF($A132="","",$J132-$K132)</f>
        <v>0</v>
      </c>
      <c r="M132" s="42" t="n">
        <f aca="false">IF(OR($A132="",$K132=0),"",$L132/$K132)</f>
        <v>0</v>
      </c>
      <c r="N132" s="40" t="n">
        <f aca="false">IF($A132="","",SUMIFS('Trade Log'!$K$4:$K$503,'Trade Log'!$H$4:$H$503,$A132))</f>
        <v>0</v>
      </c>
      <c r="O132" s="42" t="str">
        <f aca="false">IF(OR($A132="",$H132="",Config!$B$4=0),"",$H132/Config!$B$4)</f>
        <v/>
      </c>
      <c r="P132" s="40" t="n">
        <f aca="false">IF($A132="","",SUM($H$113:$H132))</f>
        <v>0</v>
      </c>
      <c r="Q132" s="53" t="str">
        <f aca="false">IF($A132="","",IFERROR((AVERAGE($O$113:$O132)-Config!$B$7/Config!$B$6)/STDEV($O$113:$O132)*SQRT(Config!$B$6),""))</f>
        <v/>
      </c>
      <c r="R132" s="53" t="str">
        <f aca="false">IF($A132="","",IFERROR((AVERAGE($O$73:$O132)-Config!$B$7/Config!$B$6)/STDEV($O$73:$O132)*SQRT(Config!$B$6),""))</f>
        <v/>
      </c>
      <c r="S132" s="47" t="n">
        <f aca="false">IF($H132="",$S131,IF($H132&gt;0,$S131+1,0))</f>
        <v>1</v>
      </c>
      <c r="T132" s="47" t="n">
        <f aca="false">IF($H132="",$T131,IF($H132&lt;0,$T131+1,0))</f>
        <v>0</v>
      </c>
    </row>
    <row r="133" customFormat="false" ht="15" hidden="false" customHeight="false" outlineLevel="0" collapsed="false">
      <c r="A133" s="54" t="n">
        <f aca="false">IF($A132="","",$A132+1)</f>
        <v>46364</v>
      </c>
      <c r="B133" s="5" t="str">
        <f aca="false">IF($A133="","",TEXT($A133,"ddd"))</f>
        <v>Tue</v>
      </c>
      <c r="C133" s="41" t="n">
        <f aca="false">IF($A133="","",COUNTIFS('Trade Log'!$L$4:$L$503,$A133))</f>
        <v>0</v>
      </c>
      <c r="D133" s="40" t="n">
        <f aca="false">IF($A133="","",SUMIFS('Trade Log'!$Q$4:$Q$503,'Trade Log'!$L$4:$L$503,$A133,'Trade Log'!$E$4:$E$503,"LONG"))</f>
        <v>0</v>
      </c>
      <c r="E133" s="40" t="n">
        <f aca="false">IF($A133="","",SUMIFS('Trade Log'!$Q$4:$Q$503,'Trade Log'!$L$4:$L$503,$A133,'Trade Log'!$E$4:$E$503,"SHORT"))</f>
        <v>0</v>
      </c>
      <c r="F133" s="40" t="n">
        <f aca="false">IF($A133="","",$D133+$E133)</f>
        <v>0</v>
      </c>
      <c r="G133" s="40" t="n">
        <f aca="false">IF($A133="","",SUMIFS('Trade Log'!$Y$4:$Y$503,'Trade Log'!$L$4:$L$503,$A133))</f>
        <v>0</v>
      </c>
      <c r="H133" s="40" t="str">
        <f aca="false">IF($A133="","",IF($C133=0,"",$F133-$G133))</f>
        <v/>
      </c>
      <c r="I133" s="40" t="n">
        <f aca="false">IF($A133="","",$I132+IF($H133="",0,$H133))</f>
        <v>23918.5521880349</v>
      </c>
      <c r="J133" s="40" t="n">
        <f aca="false">IF($A133="","",Config!$B$4+$I133)</f>
        <v>1023918.55218803</v>
      </c>
      <c r="K133" s="40" t="n">
        <f aca="false">IF($A133="","",MAX($J$4:$J133))</f>
        <v>1023918.55218803</v>
      </c>
      <c r="L133" s="40" t="n">
        <f aca="false">IF($A133="","",$J133-$K133)</f>
        <v>0</v>
      </c>
      <c r="M133" s="42" t="n">
        <f aca="false">IF(OR($A133="",$K133=0),"",$L133/$K133)</f>
        <v>0</v>
      </c>
      <c r="N133" s="40" t="n">
        <f aca="false">IF($A133="","",SUMIFS('Trade Log'!$K$4:$K$503,'Trade Log'!$H$4:$H$503,$A133))</f>
        <v>0</v>
      </c>
      <c r="O133" s="42" t="str">
        <f aca="false">IF(OR($A133="",$H133="",Config!$B$4=0),"",$H133/Config!$B$4)</f>
        <v/>
      </c>
      <c r="P133" s="40" t="n">
        <f aca="false">IF($A133="","",SUM($H$114:$H133))</f>
        <v>0</v>
      </c>
      <c r="Q133" s="53" t="str">
        <f aca="false">IF($A133="","",IFERROR((AVERAGE($O$114:$O133)-Config!$B$7/Config!$B$6)/STDEV($O$114:$O133)*SQRT(Config!$B$6),""))</f>
        <v/>
      </c>
      <c r="R133" s="53" t="str">
        <f aca="false">IF($A133="","",IFERROR((AVERAGE($O$74:$O133)-Config!$B$7/Config!$B$6)/STDEV($O$74:$O133)*SQRT(Config!$B$6),""))</f>
        <v/>
      </c>
      <c r="S133" s="47" t="n">
        <f aca="false">IF($H133="",$S132,IF($H133&gt;0,$S132+1,0))</f>
        <v>1</v>
      </c>
      <c r="T133" s="47" t="n">
        <f aca="false">IF($H133="",$T132,IF($H133&lt;0,$T132+1,0))</f>
        <v>0</v>
      </c>
    </row>
    <row r="134" customFormat="false" ht="15" hidden="false" customHeight="false" outlineLevel="0" collapsed="false">
      <c r="A134" s="54" t="n">
        <f aca="false">IF($A133="","",$A133+1)</f>
        <v>46365</v>
      </c>
      <c r="B134" s="5" t="str">
        <f aca="false">IF($A134="","",TEXT($A134,"ddd"))</f>
        <v>Wed</v>
      </c>
      <c r="C134" s="41" t="n">
        <f aca="false">IF($A134="","",COUNTIFS('Trade Log'!$L$4:$L$503,$A134))</f>
        <v>0</v>
      </c>
      <c r="D134" s="40" t="n">
        <f aca="false">IF($A134="","",SUMIFS('Trade Log'!$Q$4:$Q$503,'Trade Log'!$L$4:$L$503,$A134,'Trade Log'!$E$4:$E$503,"LONG"))</f>
        <v>0</v>
      </c>
      <c r="E134" s="40" t="n">
        <f aca="false">IF($A134="","",SUMIFS('Trade Log'!$Q$4:$Q$503,'Trade Log'!$L$4:$L$503,$A134,'Trade Log'!$E$4:$E$503,"SHORT"))</f>
        <v>0</v>
      </c>
      <c r="F134" s="40" t="n">
        <f aca="false">IF($A134="","",$D134+$E134)</f>
        <v>0</v>
      </c>
      <c r="G134" s="40" t="n">
        <f aca="false">IF($A134="","",SUMIFS('Trade Log'!$Y$4:$Y$503,'Trade Log'!$L$4:$L$503,$A134))</f>
        <v>0</v>
      </c>
      <c r="H134" s="40" t="str">
        <f aca="false">IF($A134="","",IF($C134=0,"",$F134-$G134))</f>
        <v/>
      </c>
      <c r="I134" s="40" t="n">
        <f aca="false">IF($A134="","",$I133+IF($H134="",0,$H134))</f>
        <v>23918.5521880349</v>
      </c>
      <c r="J134" s="40" t="n">
        <f aca="false">IF($A134="","",Config!$B$4+$I134)</f>
        <v>1023918.55218803</v>
      </c>
      <c r="K134" s="40" t="n">
        <f aca="false">IF($A134="","",MAX($J$4:$J134))</f>
        <v>1023918.55218803</v>
      </c>
      <c r="L134" s="40" t="n">
        <f aca="false">IF($A134="","",$J134-$K134)</f>
        <v>0</v>
      </c>
      <c r="M134" s="42" t="n">
        <f aca="false">IF(OR($A134="",$K134=0),"",$L134/$K134)</f>
        <v>0</v>
      </c>
      <c r="N134" s="40" t="n">
        <f aca="false">IF($A134="","",SUMIFS('Trade Log'!$K$4:$K$503,'Trade Log'!$H$4:$H$503,$A134))</f>
        <v>0</v>
      </c>
      <c r="O134" s="42" t="str">
        <f aca="false">IF(OR($A134="",$H134="",Config!$B$4=0),"",$H134/Config!$B$4)</f>
        <v/>
      </c>
      <c r="P134" s="40" t="n">
        <f aca="false">IF($A134="","",SUM($H$115:$H134))</f>
        <v>0</v>
      </c>
      <c r="Q134" s="53" t="str">
        <f aca="false">IF($A134="","",IFERROR((AVERAGE($O$115:$O134)-Config!$B$7/Config!$B$6)/STDEV($O$115:$O134)*SQRT(Config!$B$6),""))</f>
        <v/>
      </c>
      <c r="R134" s="53" t="str">
        <f aca="false">IF($A134="","",IFERROR((AVERAGE($O$75:$O134)-Config!$B$7/Config!$B$6)/STDEV($O$75:$O134)*SQRT(Config!$B$6),""))</f>
        <v/>
      </c>
      <c r="S134" s="47" t="n">
        <f aca="false">IF($H134="",$S133,IF($H134&gt;0,$S133+1,0))</f>
        <v>1</v>
      </c>
      <c r="T134" s="47" t="n">
        <f aca="false">IF($H134="",$T133,IF($H134&lt;0,$T133+1,0))</f>
        <v>0</v>
      </c>
    </row>
    <row r="135" customFormat="false" ht="15" hidden="false" customHeight="false" outlineLevel="0" collapsed="false">
      <c r="A135" s="54" t="n">
        <f aca="false">IF($A134="","",$A134+1)</f>
        <v>46366</v>
      </c>
      <c r="B135" s="5" t="str">
        <f aca="false">IF($A135="","",TEXT($A135,"ddd"))</f>
        <v>Thu</v>
      </c>
      <c r="C135" s="41" t="n">
        <f aca="false">IF($A135="","",COUNTIFS('Trade Log'!$L$4:$L$503,$A135))</f>
        <v>0</v>
      </c>
      <c r="D135" s="40" t="n">
        <f aca="false">IF($A135="","",SUMIFS('Trade Log'!$Q$4:$Q$503,'Trade Log'!$L$4:$L$503,$A135,'Trade Log'!$E$4:$E$503,"LONG"))</f>
        <v>0</v>
      </c>
      <c r="E135" s="40" t="n">
        <f aca="false">IF($A135="","",SUMIFS('Trade Log'!$Q$4:$Q$503,'Trade Log'!$L$4:$L$503,$A135,'Trade Log'!$E$4:$E$503,"SHORT"))</f>
        <v>0</v>
      </c>
      <c r="F135" s="40" t="n">
        <f aca="false">IF($A135="","",$D135+$E135)</f>
        <v>0</v>
      </c>
      <c r="G135" s="40" t="n">
        <f aca="false">IF($A135="","",SUMIFS('Trade Log'!$Y$4:$Y$503,'Trade Log'!$L$4:$L$503,$A135))</f>
        <v>0</v>
      </c>
      <c r="H135" s="40" t="str">
        <f aca="false">IF($A135="","",IF($C135=0,"",$F135-$G135))</f>
        <v/>
      </c>
      <c r="I135" s="40" t="n">
        <f aca="false">IF($A135="","",$I134+IF($H135="",0,$H135))</f>
        <v>23918.5521880349</v>
      </c>
      <c r="J135" s="40" t="n">
        <f aca="false">IF($A135="","",Config!$B$4+$I135)</f>
        <v>1023918.55218803</v>
      </c>
      <c r="K135" s="40" t="n">
        <f aca="false">IF($A135="","",MAX($J$4:$J135))</f>
        <v>1023918.55218803</v>
      </c>
      <c r="L135" s="40" t="n">
        <f aca="false">IF($A135="","",$J135-$K135)</f>
        <v>0</v>
      </c>
      <c r="M135" s="42" t="n">
        <f aca="false">IF(OR($A135="",$K135=0),"",$L135/$K135)</f>
        <v>0</v>
      </c>
      <c r="N135" s="40" t="n">
        <f aca="false">IF($A135="","",SUMIFS('Trade Log'!$K$4:$K$503,'Trade Log'!$H$4:$H$503,$A135))</f>
        <v>0</v>
      </c>
      <c r="O135" s="42" t="str">
        <f aca="false">IF(OR($A135="",$H135="",Config!$B$4=0),"",$H135/Config!$B$4)</f>
        <v/>
      </c>
      <c r="P135" s="40" t="n">
        <f aca="false">IF($A135="","",SUM($H$116:$H135))</f>
        <v>0</v>
      </c>
      <c r="Q135" s="53" t="str">
        <f aca="false">IF($A135="","",IFERROR((AVERAGE($O$116:$O135)-Config!$B$7/Config!$B$6)/STDEV($O$116:$O135)*SQRT(Config!$B$6),""))</f>
        <v/>
      </c>
      <c r="R135" s="53" t="str">
        <f aca="false">IF($A135="","",IFERROR((AVERAGE($O$76:$O135)-Config!$B$7/Config!$B$6)/STDEV($O$76:$O135)*SQRT(Config!$B$6),""))</f>
        <v/>
      </c>
      <c r="S135" s="47" t="n">
        <f aca="false">IF($H135="",$S134,IF($H135&gt;0,$S134+1,0))</f>
        <v>1</v>
      </c>
      <c r="T135" s="47" t="n">
        <f aca="false">IF($H135="",$T134,IF($H135&lt;0,$T134+1,0))</f>
        <v>0</v>
      </c>
    </row>
    <row r="136" customFormat="false" ht="15" hidden="false" customHeight="false" outlineLevel="0" collapsed="false">
      <c r="A136" s="54" t="n">
        <f aca="false">IF($A135="","",$A135+1)</f>
        <v>46367</v>
      </c>
      <c r="B136" s="5" t="str">
        <f aca="false">IF($A136="","",TEXT($A136,"ddd"))</f>
        <v>Fri</v>
      </c>
      <c r="C136" s="41" t="n">
        <f aca="false">IF($A136="","",COUNTIFS('Trade Log'!$L$4:$L$503,$A136))</f>
        <v>0</v>
      </c>
      <c r="D136" s="40" t="n">
        <f aca="false">IF($A136="","",SUMIFS('Trade Log'!$Q$4:$Q$503,'Trade Log'!$L$4:$L$503,$A136,'Trade Log'!$E$4:$E$503,"LONG"))</f>
        <v>0</v>
      </c>
      <c r="E136" s="40" t="n">
        <f aca="false">IF($A136="","",SUMIFS('Trade Log'!$Q$4:$Q$503,'Trade Log'!$L$4:$L$503,$A136,'Trade Log'!$E$4:$E$503,"SHORT"))</f>
        <v>0</v>
      </c>
      <c r="F136" s="40" t="n">
        <f aca="false">IF($A136="","",$D136+$E136)</f>
        <v>0</v>
      </c>
      <c r="G136" s="40" t="n">
        <f aca="false">IF($A136="","",SUMIFS('Trade Log'!$Y$4:$Y$503,'Trade Log'!$L$4:$L$503,$A136))</f>
        <v>0</v>
      </c>
      <c r="H136" s="40" t="str">
        <f aca="false">IF($A136="","",IF($C136=0,"",$F136-$G136))</f>
        <v/>
      </c>
      <c r="I136" s="40" t="n">
        <f aca="false">IF($A136="","",$I135+IF($H136="",0,$H136))</f>
        <v>23918.5521880349</v>
      </c>
      <c r="J136" s="40" t="n">
        <f aca="false">IF($A136="","",Config!$B$4+$I136)</f>
        <v>1023918.55218803</v>
      </c>
      <c r="K136" s="40" t="n">
        <f aca="false">IF($A136="","",MAX($J$4:$J136))</f>
        <v>1023918.55218803</v>
      </c>
      <c r="L136" s="40" t="n">
        <f aca="false">IF($A136="","",$J136-$K136)</f>
        <v>0</v>
      </c>
      <c r="M136" s="42" t="n">
        <f aca="false">IF(OR($A136="",$K136=0),"",$L136/$K136)</f>
        <v>0</v>
      </c>
      <c r="N136" s="40" t="n">
        <f aca="false">IF($A136="","",SUMIFS('Trade Log'!$K$4:$K$503,'Trade Log'!$H$4:$H$503,$A136))</f>
        <v>0</v>
      </c>
      <c r="O136" s="42" t="str">
        <f aca="false">IF(OR($A136="",$H136="",Config!$B$4=0),"",$H136/Config!$B$4)</f>
        <v/>
      </c>
      <c r="P136" s="40" t="n">
        <f aca="false">IF($A136="","",SUM($H$117:$H136))</f>
        <v>0</v>
      </c>
      <c r="Q136" s="53" t="str">
        <f aca="false">IF($A136="","",IFERROR((AVERAGE($O$117:$O136)-Config!$B$7/Config!$B$6)/STDEV($O$117:$O136)*SQRT(Config!$B$6),""))</f>
        <v/>
      </c>
      <c r="R136" s="53" t="str">
        <f aca="false">IF($A136="","",IFERROR((AVERAGE($O$77:$O136)-Config!$B$7/Config!$B$6)/STDEV($O$77:$O136)*SQRT(Config!$B$6),""))</f>
        <v/>
      </c>
      <c r="S136" s="47" t="n">
        <f aca="false">IF($H136="",$S135,IF($H136&gt;0,$S135+1,0))</f>
        <v>1</v>
      </c>
      <c r="T136" s="47" t="n">
        <f aca="false">IF($H136="",$T135,IF($H136&lt;0,$T135+1,0))</f>
        <v>0</v>
      </c>
    </row>
    <row r="137" customFormat="false" ht="15" hidden="false" customHeight="false" outlineLevel="0" collapsed="false">
      <c r="A137" s="54" t="n">
        <f aca="false">IF($A136="","",$A136+1)</f>
        <v>46368</v>
      </c>
      <c r="B137" s="5" t="str">
        <f aca="false">IF($A137="","",TEXT($A137,"ddd"))</f>
        <v>Sat</v>
      </c>
      <c r="C137" s="41" t="n">
        <f aca="false">IF($A137="","",COUNTIFS('Trade Log'!$L$4:$L$503,$A137))</f>
        <v>0</v>
      </c>
      <c r="D137" s="40" t="n">
        <f aca="false">IF($A137="","",SUMIFS('Trade Log'!$Q$4:$Q$503,'Trade Log'!$L$4:$L$503,$A137,'Trade Log'!$E$4:$E$503,"LONG"))</f>
        <v>0</v>
      </c>
      <c r="E137" s="40" t="n">
        <f aca="false">IF($A137="","",SUMIFS('Trade Log'!$Q$4:$Q$503,'Trade Log'!$L$4:$L$503,$A137,'Trade Log'!$E$4:$E$503,"SHORT"))</f>
        <v>0</v>
      </c>
      <c r="F137" s="40" t="n">
        <f aca="false">IF($A137="","",$D137+$E137)</f>
        <v>0</v>
      </c>
      <c r="G137" s="40" t="n">
        <f aca="false">IF($A137="","",SUMIFS('Trade Log'!$Y$4:$Y$503,'Trade Log'!$L$4:$L$503,$A137))</f>
        <v>0</v>
      </c>
      <c r="H137" s="40" t="str">
        <f aca="false">IF($A137="","",IF($C137=0,"",$F137-$G137))</f>
        <v/>
      </c>
      <c r="I137" s="40" t="n">
        <f aca="false">IF($A137="","",$I136+IF($H137="",0,$H137))</f>
        <v>23918.5521880349</v>
      </c>
      <c r="J137" s="40" t="n">
        <f aca="false">IF($A137="","",Config!$B$4+$I137)</f>
        <v>1023918.55218803</v>
      </c>
      <c r="K137" s="40" t="n">
        <f aca="false">IF($A137="","",MAX($J$4:$J137))</f>
        <v>1023918.55218803</v>
      </c>
      <c r="L137" s="40" t="n">
        <f aca="false">IF($A137="","",$J137-$K137)</f>
        <v>0</v>
      </c>
      <c r="M137" s="42" t="n">
        <f aca="false">IF(OR($A137="",$K137=0),"",$L137/$K137)</f>
        <v>0</v>
      </c>
      <c r="N137" s="40" t="n">
        <f aca="false">IF($A137="","",SUMIFS('Trade Log'!$K$4:$K$503,'Trade Log'!$H$4:$H$503,$A137))</f>
        <v>0</v>
      </c>
      <c r="O137" s="42" t="str">
        <f aca="false">IF(OR($A137="",$H137="",Config!$B$4=0),"",$H137/Config!$B$4)</f>
        <v/>
      </c>
      <c r="P137" s="40" t="n">
        <f aca="false">IF($A137="","",SUM($H$118:$H137))</f>
        <v>0</v>
      </c>
      <c r="Q137" s="53" t="str">
        <f aca="false">IF($A137="","",IFERROR((AVERAGE($O$118:$O137)-Config!$B$7/Config!$B$6)/STDEV($O$118:$O137)*SQRT(Config!$B$6),""))</f>
        <v/>
      </c>
      <c r="R137" s="53" t="str">
        <f aca="false">IF($A137="","",IFERROR((AVERAGE($O$78:$O137)-Config!$B$7/Config!$B$6)/STDEV($O$78:$O137)*SQRT(Config!$B$6),""))</f>
        <v/>
      </c>
      <c r="S137" s="47" t="n">
        <f aca="false">IF($H137="",$S136,IF($H137&gt;0,$S136+1,0))</f>
        <v>1</v>
      </c>
      <c r="T137" s="47" t="n">
        <f aca="false">IF($H137="",$T136,IF($H137&lt;0,$T136+1,0))</f>
        <v>0</v>
      </c>
    </row>
    <row r="138" customFormat="false" ht="15" hidden="false" customHeight="false" outlineLevel="0" collapsed="false">
      <c r="A138" s="54" t="n">
        <f aca="false">IF($A137="","",$A137+1)</f>
        <v>46369</v>
      </c>
      <c r="B138" s="5" t="str">
        <f aca="false">IF($A138="","",TEXT($A138,"ddd"))</f>
        <v>Sun</v>
      </c>
      <c r="C138" s="41" t="n">
        <f aca="false">IF($A138="","",COUNTIFS('Trade Log'!$L$4:$L$503,$A138))</f>
        <v>0</v>
      </c>
      <c r="D138" s="40" t="n">
        <f aca="false">IF($A138="","",SUMIFS('Trade Log'!$Q$4:$Q$503,'Trade Log'!$L$4:$L$503,$A138,'Trade Log'!$E$4:$E$503,"LONG"))</f>
        <v>0</v>
      </c>
      <c r="E138" s="40" t="n">
        <f aca="false">IF($A138="","",SUMIFS('Trade Log'!$Q$4:$Q$503,'Trade Log'!$L$4:$L$503,$A138,'Trade Log'!$E$4:$E$503,"SHORT"))</f>
        <v>0</v>
      </c>
      <c r="F138" s="40" t="n">
        <f aca="false">IF($A138="","",$D138+$E138)</f>
        <v>0</v>
      </c>
      <c r="G138" s="40" t="n">
        <f aca="false">IF($A138="","",SUMIFS('Trade Log'!$Y$4:$Y$503,'Trade Log'!$L$4:$L$503,$A138))</f>
        <v>0</v>
      </c>
      <c r="H138" s="40" t="str">
        <f aca="false">IF($A138="","",IF($C138=0,"",$F138-$G138))</f>
        <v/>
      </c>
      <c r="I138" s="40" t="n">
        <f aca="false">IF($A138="","",$I137+IF($H138="",0,$H138))</f>
        <v>23918.5521880349</v>
      </c>
      <c r="J138" s="40" t="n">
        <f aca="false">IF($A138="","",Config!$B$4+$I138)</f>
        <v>1023918.55218803</v>
      </c>
      <c r="K138" s="40" t="n">
        <f aca="false">IF($A138="","",MAX($J$4:$J138))</f>
        <v>1023918.55218803</v>
      </c>
      <c r="L138" s="40" t="n">
        <f aca="false">IF($A138="","",$J138-$K138)</f>
        <v>0</v>
      </c>
      <c r="M138" s="42" t="n">
        <f aca="false">IF(OR($A138="",$K138=0),"",$L138/$K138)</f>
        <v>0</v>
      </c>
      <c r="N138" s="40" t="n">
        <f aca="false">IF($A138="","",SUMIFS('Trade Log'!$K$4:$K$503,'Trade Log'!$H$4:$H$503,$A138))</f>
        <v>0</v>
      </c>
      <c r="O138" s="42" t="str">
        <f aca="false">IF(OR($A138="",$H138="",Config!$B$4=0),"",$H138/Config!$B$4)</f>
        <v/>
      </c>
      <c r="P138" s="40" t="n">
        <f aca="false">IF($A138="","",SUM($H$119:$H138))</f>
        <v>0</v>
      </c>
      <c r="Q138" s="53" t="str">
        <f aca="false">IF($A138="","",IFERROR((AVERAGE($O$119:$O138)-Config!$B$7/Config!$B$6)/STDEV($O$119:$O138)*SQRT(Config!$B$6),""))</f>
        <v/>
      </c>
      <c r="R138" s="53" t="str">
        <f aca="false">IF($A138="","",IFERROR((AVERAGE($O$79:$O138)-Config!$B$7/Config!$B$6)/STDEV($O$79:$O138)*SQRT(Config!$B$6),""))</f>
        <v/>
      </c>
      <c r="S138" s="47" t="n">
        <f aca="false">IF($H138="",$S137,IF($H138&gt;0,$S137+1,0))</f>
        <v>1</v>
      </c>
      <c r="T138" s="47" t="n">
        <f aca="false">IF($H138="",$T137,IF($H138&lt;0,$T137+1,0))</f>
        <v>0</v>
      </c>
    </row>
    <row r="139" customFormat="false" ht="15" hidden="false" customHeight="false" outlineLevel="0" collapsed="false">
      <c r="A139" s="54" t="n">
        <f aca="false">IF($A138="","",$A138+1)</f>
        <v>46370</v>
      </c>
      <c r="B139" s="5" t="str">
        <f aca="false">IF($A139="","",TEXT($A139,"ddd"))</f>
        <v>Mon</v>
      </c>
      <c r="C139" s="41" t="n">
        <f aca="false">IF($A139="","",COUNTIFS('Trade Log'!$L$4:$L$503,$A139))</f>
        <v>0</v>
      </c>
      <c r="D139" s="40" t="n">
        <f aca="false">IF($A139="","",SUMIFS('Trade Log'!$Q$4:$Q$503,'Trade Log'!$L$4:$L$503,$A139,'Trade Log'!$E$4:$E$503,"LONG"))</f>
        <v>0</v>
      </c>
      <c r="E139" s="40" t="n">
        <f aca="false">IF($A139="","",SUMIFS('Trade Log'!$Q$4:$Q$503,'Trade Log'!$L$4:$L$503,$A139,'Trade Log'!$E$4:$E$503,"SHORT"))</f>
        <v>0</v>
      </c>
      <c r="F139" s="40" t="n">
        <f aca="false">IF($A139="","",$D139+$E139)</f>
        <v>0</v>
      </c>
      <c r="G139" s="40" t="n">
        <f aca="false">IF($A139="","",SUMIFS('Trade Log'!$Y$4:$Y$503,'Trade Log'!$L$4:$L$503,$A139))</f>
        <v>0</v>
      </c>
      <c r="H139" s="40" t="str">
        <f aca="false">IF($A139="","",IF($C139=0,"",$F139-$G139))</f>
        <v/>
      </c>
      <c r="I139" s="40" t="n">
        <f aca="false">IF($A139="","",$I138+IF($H139="",0,$H139))</f>
        <v>23918.5521880349</v>
      </c>
      <c r="J139" s="40" t="n">
        <f aca="false">IF($A139="","",Config!$B$4+$I139)</f>
        <v>1023918.55218803</v>
      </c>
      <c r="K139" s="40" t="n">
        <f aca="false">IF($A139="","",MAX($J$4:$J139))</f>
        <v>1023918.55218803</v>
      </c>
      <c r="L139" s="40" t="n">
        <f aca="false">IF($A139="","",$J139-$K139)</f>
        <v>0</v>
      </c>
      <c r="M139" s="42" t="n">
        <f aca="false">IF(OR($A139="",$K139=0),"",$L139/$K139)</f>
        <v>0</v>
      </c>
      <c r="N139" s="40" t="n">
        <f aca="false">IF($A139="","",SUMIFS('Trade Log'!$K$4:$K$503,'Trade Log'!$H$4:$H$503,$A139))</f>
        <v>0</v>
      </c>
      <c r="O139" s="42" t="str">
        <f aca="false">IF(OR($A139="",$H139="",Config!$B$4=0),"",$H139/Config!$B$4)</f>
        <v/>
      </c>
      <c r="P139" s="40" t="n">
        <f aca="false">IF($A139="","",SUM($H$120:$H139))</f>
        <v>0</v>
      </c>
      <c r="Q139" s="53" t="str">
        <f aca="false">IF($A139="","",IFERROR((AVERAGE($O$120:$O139)-Config!$B$7/Config!$B$6)/STDEV($O$120:$O139)*SQRT(Config!$B$6),""))</f>
        <v/>
      </c>
      <c r="R139" s="53" t="str">
        <f aca="false">IF($A139="","",IFERROR((AVERAGE($O$80:$O139)-Config!$B$7/Config!$B$6)/STDEV($O$80:$O139)*SQRT(Config!$B$6),""))</f>
        <v/>
      </c>
      <c r="S139" s="47" t="n">
        <f aca="false">IF($H139="",$S138,IF($H139&gt;0,$S138+1,0))</f>
        <v>1</v>
      </c>
      <c r="T139" s="47" t="n">
        <f aca="false">IF($H139="",$T138,IF($H139&lt;0,$T138+1,0))</f>
        <v>0</v>
      </c>
    </row>
    <row r="140" customFormat="false" ht="15" hidden="false" customHeight="false" outlineLevel="0" collapsed="false">
      <c r="A140" s="54" t="n">
        <f aca="false">IF($A139="","",$A139+1)</f>
        <v>46371</v>
      </c>
      <c r="B140" s="5" t="str">
        <f aca="false">IF($A140="","",TEXT($A140,"ddd"))</f>
        <v>Tue</v>
      </c>
      <c r="C140" s="41" t="n">
        <f aca="false">IF($A140="","",COUNTIFS('Trade Log'!$L$4:$L$503,$A140))</f>
        <v>0</v>
      </c>
      <c r="D140" s="40" t="n">
        <f aca="false">IF($A140="","",SUMIFS('Trade Log'!$Q$4:$Q$503,'Trade Log'!$L$4:$L$503,$A140,'Trade Log'!$E$4:$E$503,"LONG"))</f>
        <v>0</v>
      </c>
      <c r="E140" s="40" t="n">
        <f aca="false">IF($A140="","",SUMIFS('Trade Log'!$Q$4:$Q$503,'Trade Log'!$L$4:$L$503,$A140,'Trade Log'!$E$4:$E$503,"SHORT"))</f>
        <v>0</v>
      </c>
      <c r="F140" s="40" t="n">
        <f aca="false">IF($A140="","",$D140+$E140)</f>
        <v>0</v>
      </c>
      <c r="G140" s="40" t="n">
        <f aca="false">IF($A140="","",SUMIFS('Trade Log'!$Y$4:$Y$503,'Trade Log'!$L$4:$L$503,$A140))</f>
        <v>0</v>
      </c>
      <c r="H140" s="40" t="str">
        <f aca="false">IF($A140="","",IF($C140=0,"",$F140-$G140))</f>
        <v/>
      </c>
      <c r="I140" s="40" t="n">
        <f aca="false">IF($A140="","",$I139+IF($H140="",0,$H140))</f>
        <v>23918.5521880349</v>
      </c>
      <c r="J140" s="40" t="n">
        <f aca="false">IF($A140="","",Config!$B$4+$I140)</f>
        <v>1023918.55218803</v>
      </c>
      <c r="K140" s="40" t="n">
        <f aca="false">IF($A140="","",MAX($J$4:$J140))</f>
        <v>1023918.55218803</v>
      </c>
      <c r="L140" s="40" t="n">
        <f aca="false">IF($A140="","",$J140-$K140)</f>
        <v>0</v>
      </c>
      <c r="M140" s="42" t="n">
        <f aca="false">IF(OR($A140="",$K140=0),"",$L140/$K140)</f>
        <v>0</v>
      </c>
      <c r="N140" s="40" t="n">
        <f aca="false">IF($A140="","",SUMIFS('Trade Log'!$K$4:$K$503,'Trade Log'!$H$4:$H$503,$A140))</f>
        <v>0</v>
      </c>
      <c r="O140" s="42" t="str">
        <f aca="false">IF(OR($A140="",$H140="",Config!$B$4=0),"",$H140/Config!$B$4)</f>
        <v/>
      </c>
      <c r="P140" s="40" t="n">
        <f aca="false">IF($A140="","",SUM($H$121:$H140))</f>
        <v>0</v>
      </c>
      <c r="Q140" s="53" t="str">
        <f aca="false">IF($A140="","",IFERROR((AVERAGE($O$121:$O140)-Config!$B$7/Config!$B$6)/STDEV($O$121:$O140)*SQRT(Config!$B$6),""))</f>
        <v/>
      </c>
      <c r="R140" s="53" t="str">
        <f aca="false">IF($A140="","",IFERROR((AVERAGE($O$81:$O140)-Config!$B$7/Config!$B$6)/STDEV($O$81:$O140)*SQRT(Config!$B$6),""))</f>
        <v/>
      </c>
      <c r="S140" s="47" t="n">
        <f aca="false">IF($H140="",$S139,IF($H140&gt;0,$S139+1,0))</f>
        <v>1</v>
      </c>
      <c r="T140" s="47" t="n">
        <f aca="false">IF($H140="",$T139,IF($H140&lt;0,$T139+1,0))</f>
        <v>0</v>
      </c>
    </row>
    <row r="141" customFormat="false" ht="15" hidden="false" customHeight="false" outlineLevel="0" collapsed="false">
      <c r="A141" s="54" t="n">
        <f aca="false">IF($A140="","",$A140+1)</f>
        <v>46372</v>
      </c>
      <c r="B141" s="5" t="str">
        <f aca="false">IF($A141="","",TEXT($A141,"ddd"))</f>
        <v>Wed</v>
      </c>
      <c r="C141" s="41" t="n">
        <f aca="false">IF($A141="","",COUNTIFS('Trade Log'!$L$4:$L$503,$A141))</f>
        <v>0</v>
      </c>
      <c r="D141" s="40" t="n">
        <f aca="false">IF($A141="","",SUMIFS('Trade Log'!$Q$4:$Q$503,'Trade Log'!$L$4:$L$503,$A141,'Trade Log'!$E$4:$E$503,"LONG"))</f>
        <v>0</v>
      </c>
      <c r="E141" s="40" t="n">
        <f aca="false">IF($A141="","",SUMIFS('Trade Log'!$Q$4:$Q$503,'Trade Log'!$L$4:$L$503,$A141,'Trade Log'!$E$4:$E$503,"SHORT"))</f>
        <v>0</v>
      </c>
      <c r="F141" s="40" t="n">
        <f aca="false">IF($A141="","",$D141+$E141)</f>
        <v>0</v>
      </c>
      <c r="G141" s="40" t="n">
        <f aca="false">IF($A141="","",SUMIFS('Trade Log'!$Y$4:$Y$503,'Trade Log'!$L$4:$L$503,$A141))</f>
        <v>0</v>
      </c>
      <c r="H141" s="40" t="str">
        <f aca="false">IF($A141="","",IF($C141=0,"",$F141-$G141))</f>
        <v/>
      </c>
      <c r="I141" s="40" t="n">
        <f aca="false">IF($A141="","",$I140+IF($H141="",0,$H141))</f>
        <v>23918.5521880349</v>
      </c>
      <c r="J141" s="40" t="n">
        <f aca="false">IF($A141="","",Config!$B$4+$I141)</f>
        <v>1023918.55218803</v>
      </c>
      <c r="K141" s="40" t="n">
        <f aca="false">IF($A141="","",MAX($J$4:$J141))</f>
        <v>1023918.55218803</v>
      </c>
      <c r="L141" s="40" t="n">
        <f aca="false">IF($A141="","",$J141-$K141)</f>
        <v>0</v>
      </c>
      <c r="M141" s="42" t="n">
        <f aca="false">IF(OR($A141="",$K141=0),"",$L141/$K141)</f>
        <v>0</v>
      </c>
      <c r="N141" s="40" t="n">
        <f aca="false">IF($A141="","",SUMIFS('Trade Log'!$K$4:$K$503,'Trade Log'!$H$4:$H$503,$A141))</f>
        <v>0</v>
      </c>
      <c r="O141" s="42" t="str">
        <f aca="false">IF(OR($A141="",$H141="",Config!$B$4=0),"",$H141/Config!$B$4)</f>
        <v/>
      </c>
      <c r="P141" s="40" t="n">
        <f aca="false">IF($A141="","",SUM($H$122:$H141))</f>
        <v>0</v>
      </c>
      <c r="Q141" s="53" t="str">
        <f aca="false">IF($A141="","",IFERROR((AVERAGE($O$122:$O141)-Config!$B$7/Config!$B$6)/STDEV($O$122:$O141)*SQRT(Config!$B$6),""))</f>
        <v/>
      </c>
      <c r="R141" s="53" t="str">
        <f aca="false">IF($A141="","",IFERROR((AVERAGE($O$82:$O141)-Config!$B$7/Config!$B$6)/STDEV($O$82:$O141)*SQRT(Config!$B$6),""))</f>
        <v/>
      </c>
      <c r="S141" s="47" t="n">
        <f aca="false">IF($H141="",$S140,IF($H141&gt;0,$S140+1,0))</f>
        <v>1</v>
      </c>
      <c r="T141" s="47" t="n">
        <f aca="false">IF($H141="",$T140,IF($H141&lt;0,$T140+1,0))</f>
        <v>0</v>
      </c>
    </row>
    <row r="142" customFormat="false" ht="15" hidden="false" customHeight="false" outlineLevel="0" collapsed="false">
      <c r="A142" s="54" t="n">
        <f aca="false">IF($A141="","",$A141+1)</f>
        <v>46373</v>
      </c>
      <c r="B142" s="5" t="str">
        <f aca="false">IF($A142="","",TEXT($A142,"ddd"))</f>
        <v>Thu</v>
      </c>
      <c r="C142" s="41" t="n">
        <f aca="false">IF($A142="","",COUNTIFS('Trade Log'!$L$4:$L$503,$A142))</f>
        <v>0</v>
      </c>
      <c r="D142" s="40" t="n">
        <f aca="false">IF($A142="","",SUMIFS('Trade Log'!$Q$4:$Q$503,'Trade Log'!$L$4:$L$503,$A142,'Trade Log'!$E$4:$E$503,"LONG"))</f>
        <v>0</v>
      </c>
      <c r="E142" s="40" t="n">
        <f aca="false">IF($A142="","",SUMIFS('Trade Log'!$Q$4:$Q$503,'Trade Log'!$L$4:$L$503,$A142,'Trade Log'!$E$4:$E$503,"SHORT"))</f>
        <v>0</v>
      </c>
      <c r="F142" s="40" t="n">
        <f aca="false">IF($A142="","",$D142+$E142)</f>
        <v>0</v>
      </c>
      <c r="G142" s="40" t="n">
        <f aca="false">IF($A142="","",SUMIFS('Trade Log'!$Y$4:$Y$503,'Trade Log'!$L$4:$L$503,$A142))</f>
        <v>0</v>
      </c>
      <c r="H142" s="40" t="str">
        <f aca="false">IF($A142="","",IF($C142=0,"",$F142-$G142))</f>
        <v/>
      </c>
      <c r="I142" s="40" t="n">
        <f aca="false">IF($A142="","",$I141+IF($H142="",0,$H142))</f>
        <v>23918.5521880349</v>
      </c>
      <c r="J142" s="40" t="n">
        <f aca="false">IF($A142="","",Config!$B$4+$I142)</f>
        <v>1023918.55218803</v>
      </c>
      <c r="K142" s="40" t="n">
        <f aca="false">IF($A142="","",MAX($J$4:$J142))</f>
        <v>1023918.55218803</v>
      </c>
      <c r="L142" s="40" t="n">
        <f aca="false">IF($A142="","",$J142-$K142)</f>
        <v>0</v>
      </c>
      <c r="M142" s="42" t="n">
        <f aca="false">IF(OR($A142="",$K142=0),"",$L142/$K142)</f>
        <v>0</v>
      </c>
      <c r="N142" s="40" t="n">
        <f aca="false">IF($A142="","",SUMIFS('Trade Log'!$K$4:$K$503,'Trade Log'!$H$4:$H$503,$A142))</f>
        <v>0</v>
      </c>
      <c r="O142" s="42" t="str">
        <f aca="false">IF(OR($A142="",$H142="",Config!$B$4=0),"",$H142/Config!$B$4)</f>
        <v/>
      </c>
      <c r="P142" s="40" t="n">
        <f aca="false">IF($A142="","",SUM($H$123:$H142))</f>
        <v>0</v>
      </c>
      <c r="Q142" s="53" t="str">
        <f aca="false">IF($A142="","",IFERROR((AVERAGE($O$123:$O142)-Config!$B$7/Config!$B$6)/STDEV($O$123:$O142)*SQRT(Config!$B$6),""))</f>
        <v/>
      </c>
      <c r="R142" s="53" t="str">
        <f aca="false">IF($A142="","",IFERROR((AVERAGE($O$83:$O142)-Config!$B$7/Config!$B$6)/STDEV($O$83:$O142)*SQRT(Config!$B$6),""))</f>
        <v/>
      </c>
      <c r="S142" s="47" t="n">
        <f aca="false">IF($H142="",$S141,IF($H142&gt;0,$S141+1,0))</f>
        <v>1</v>
      </c>
      <c r="T142" s="47" t="n">
        <f aca="false">IF($H142="",$T141,IF($H142&lt;0,$T141+1,0))</f>
        <v>0</v>
      </c>
    </row>
    <row r="143" customFormat="false" ht="15" hidden="false" customHeight="false" outlineLevel="0" collapsed="false">
      <c r="A143" s="54" t="n">
        <f aca="false">IF($A142="","",$A142+1)</f>
        <v>46374</v>
      </c>
      <c r="B143" s="5" t="str">
        <f aca="false">IF($A143="","",TEXT($A143,"ddd"))</f>
        <v>Fri</v>
      </c>
      <c r="C143" s="41" t="n">
        <f aca="false">IF($A143="","",COUNTIFS('Trade Log'!$L$4:$L$503,$A143))</f>
        <v>0</v>
      </c>
      <c r="D143" s="40" t="n">
        <f aca="false">IF($A143="","",SUMIFS('Trade Log'!$Q$4:$Q$503,'Trade Log'!$L$4:$L$503,$A143,'Trade Log'!$E$4:$E$503,"LONG"))</f>
        <v>0</v>
      </c>
      <c r="E143" s="40" t="n">
        <f aca="false">IF($A143="","",SUMIFS('Trade Log'!$Q$4:$Q$503,'Trade Log'!$L$4:$L$503,$A143,'Trade Log'!$E$4:$E$503,"SHORT"))</f>
        <v>0</v>
      </c>
      <c r="F143" s="40" t="n">
        <f aca="false">IF($A143="","",$D143+$E143)</f>
        <v>0</v>
      </c>
      <c r="G143" s="40" t="n">
        <f aca="false">IF($A143="","",SUMIFS('Trade Log'!$Y$4:$Y$503,'Trade Log'!$L$4:$L$503,$A143))</f>
        <v>0</v>
      </c>
      <c r="H143" s="40" t="str">
        <f aca="false">IF($A143="","",IF($C143=0,"",$F143-$G143))</f>
        <v/>
      </c>
      <c r="I143" s="40" t="n">
        <f aca="false">IF($A143="","",$I142+IF($H143="",0,$H143))</f>
        <v>23918.5521880349</v>
      </c>
      <c r="J143" s="40" t="n">
        <f aca="false">IF($A143="","",Config!$B$4+$I143)</f>
        <v>1023918.55218803</v>
      </c>
      <c r="K143" s="40" t="n">
        <f aca="false">IF($A143="","",MAX($J$4:$J143))</f>
        <v>1023918.55218803</v>
      </c>
      <c r="L143" s="40" t="n">
        <f aca="false">IF($A143="","",$J143-$K143)</f>
        <v>0</v>
      </c>
      <c r="M143" s="42" t="n">
        <f aca="false">IF(OR($A143="",$K143=0),"",$L143/$K143)</f>
        <v>0</v>
      </c>
      <c r="N143" s="40" t="n">
        <f aca="false">IF($A143="","",SUMIFS('Trade Log'!$K$4:$K$503,'Trade Log'!$H$4:$H$503,$A143))</f>
        <v>0</v>
      </c>
      <c r="O143" s="42" t="str">
        <f aca="false">IF(OR($A143="",$H143="",Config!$B$4=0),"",$H143/Config!$B$4)</f>
        <v/>
      </c>
      <c r="P143" s="40" t="n">
        <f aca="false">IF($A143="","",SUM($H$124:$H143))</f>
        <v>0</v>
      </c>
      <c r="Q143" s="53" t="str">
        <f aca="false">IF($A143="","",IFERROR((AVERAGE($O$124:$O143)-Config!$B$7/Config!$B$6)/STDEV($O$124:$O143)*SQRT(Config!$B$6),""))</f>
        <v/>
      </c>
      <c r="R143" s="53" t="str">
        <f aca="false">IF($A143="","",IFERROR((AVERAGE($O$84:$O143)-Config!$B$7/Config!$B$6)/STDEV($O$84:$O143)*SQRT(Config!$B$6),""))</f>
        <v/>
      </c>
      <c r="S143" s="47" t="n">
        <f aca="false">IF($H143="",$S142,IF($H143&gt;0,$S142+1,0))</f>
        <v>1</v>
      </c>
      <c r="T143" s="47" t="n">
        <f aca="false">IF($H143="",$T142,IF($H143&lt;0,$T142+1,0))</f>
        <v>0</v>
      </c>
    </row>
    <row r="144" customFormat="false" ht="15" hidden="false" customHeight="false" outlineLevel="0" collapsed="false">
      <c r="A144" s="54" t="n">
        <f aca="false">IF($A143="","",$A143+1)</f>
        <v>46375</v>
      </c>
      <c r="B144" s="5" t="str">
        <f aca="false">IF($A144="","",TEXT($A144,"ddd"))</f>
        <v>Sat</v>
      </c>
      <c r="C144" s="41" t="n">
        <f aca="false">IF($A144="","",COUNTIFS('Trade Log'!$L$4:$L$503,$A144))</f>
        <v>0</v>
      </c>
      <c r="D144" s="40" t="n">
        <f aca="false">IF($A144="","",SUMIFS('Trade Log'!$Q$4:$Q$503,'Trade Log'!$L$4:$L$503,$A144,'Trade Log'!$E$4:$E$503,"LONG"))</f>
        <v>0</v>
      </c>
      <c r="E144" s="40" t="n">
        <f aca="false">IF($A144="","",SUMIFS('Trade Log'!$Q$4:$Q$503,'Trade Log'!$L$4:$L$503,$A144,'Trade Log'!$E$4:$E$503,"SHORT"))</f>
        <v>0</v>
      </c>
      <c r="F144" s="40" t="n">
        <f aca="false">IF($A144="","",$D144+$E144)</f>
        <v>0</v>
      </c>
      <c r="G144" s="40" t="n">
        <f aca="false">IF($A144="","",SUMIFS('Trade Log'!$Y$4:$Y$503,'Trade Log'!$L$4:$L$503,$A144))</f>
        <v>0</v>
      </c>
      <c r="H144" s="40" t="str">
        <f aca="false">IF($A144="","",IF($C144=0,"",$F144-$G144))</f>
        <v/>
      </c>
      <c r="I144" s="40" t="n">
        <f aca="false">IF($A144="","",$I143+IF($H144="",0,$H144))</f>
        <v>23918.5521880349</v>
      </c>
      <c r="J144" s="40" t="n">
        <f aca="false">IF($A144="","",Config!$B$4+$I144)</f>
        <v>1023918.55218803</v>
      </c>
      <c r="K144" s="40" t="n">
        <f aca="false">IF($A144="","",MAX($J$4:$J144))</f>
        <v>1023918.55218803</v>
      </c>
      <c r="L144" s="40" t="n">
        <f aca="false">IF($A144="","",$J144-$K144)</f>
        <v>0</v>
      </c>
      <c r="M144" s="42" t="n">
        <f aca="false">IF(OR($A144="",$K144=0),"",$L144/$K144)</f>
        <v>0</v>
      </c>
      <c r="N144" s="40" t="n">
        <f aca="false">IF($A144="","",SUMIFS('Trade Log'!$K$4:$K$503,'Trade Log'!$H$4:$H$503,$A144))</f>
        <v>0</v>
      </c>
      <c r="O144" s="42" t="str">
        <f aca="false">IF(OR($A144="",$H144="",Config!$B$4=0),"",$H144/Config!$B$4)</f>
        <v/>
      </c>
      <c r="P144" s="40" t="n">
        <f aca="false">IF($A144="","",SUM($H$125:$H144))</f>
        <v>0</v>
      </c>
      <c r="Q144" s="53" t="str">
        <f aca="false">IF($A144="","",IFERROR((AVERAGE($O$125:$O144)-Config!$B$7/Config!$B$6)/STDEV($O$125:$O144)*SQRT(Config!$B$6),""))</f>
        <v/>
      </c>
      <c r="R144" s="53" t="str">
        <f aca="false">IF($A144="","",IFERROR((AVERAGE($O$85:$O144)-Config!$B$7/Config!$B$6)/STDEV($O$85:$O144)*SQRT(Config!$B$6),""))</f>
        <v/>
      </c>
      <c r="S144" s="47" t="n">
        <f aca="false">IF($H144="",$S143,IF($H144&gt;0,$S143+1,0))</f>
        <v>1</v>
      </c>
      <c r="T144" s="47" t="n">
        <f aca="false">IF($H144="",$T143,IF($H144&lt;0,$T143+1,0))</f>
        <v>0</v>
      </c>
    </row>
    <row r="145" customFormat="false" ht="15" hidden="false" customHeight="false" outlineLevel="0" collapsed="false">
      <c r="A145" s="54" t="n">
        <f aca="false">IF($A144="","",$A144+1)</f>
        <v>46376</v>
      </c>
      <c r="B145" s="5" t="str">
        <f aca="false">IF($A145="","",TEXT($A145,"ddd"))</f>
        <v>Sun</v>
      </c>
      <c r="C145" s="41" t="n">
        <f aca="false">IF($A145="","",COUNTIFS('Trade Log'!$L$4:$L$503,$A145))</f>
        <v>0</v>
      </c>
      <c r="D145" s="40" t="n">
        <f aca="false">IF($A145="","",SUMIFS('Trade Log'!$Q$4:$Q$503,'Trade Log'!$L$4:$L$503,$A145,'Trade Log'!$E$4:$E$503,"LONG"))</f>
        <v>0</v>
      </c>
      <c r="E145" s="40" t="n">
        <f aca="false">IF($A145="","",SUMIFS('Trade Log'!$Q$4:$Q$503,'Trade Log'!$L$4:$L$503,$A145,'Trade Log'!$E$4:$E$503,"SHORT"))</f>
        <v>0</v>
      </c>
      <c r="F145" s="40" t="n">
        <f aca="false">IF($A145="","",$D145+$E145)</f>
        <v>0</v>
      </c>
      <c r="G145" s="40" t="n">
        <f aca="false">IF($A145="","",SUMIFS('Trade Log'!$Y$4:$Y$503,'Trade Log'!$L$4:$L$503,$A145))</f>
        <v>0</v>
      </c>
      <c r="H145" s="40" t="str">
        <f aca="false">IF($A145="","",IF($C145=0,"",$F145-$G145))</f>
        <v/>
      </c>
      <c r="I145" s="40" t="n">
        <f aca="false">IF($A145="","",$I144+IF($H145="",0,$H145))</f>
        <v>23918.5521880349</v>
      </c>
      <c r="J145" s="40" t="n">
        <f aca="false">IF($A145="","",Config!$B$4+$I145)</f>
        <v>1023918.55218803</v>
      </c>
      <c r="K145" s="40" t="n">
        <f aca="false">IF($A145="","",MAX($J$4:$J145))</f>
        <v>1023918.55218803</v>
      </c>
      <c r="L145" s="40" t="n">
        <f aca="false">IF($A145="","",$J145-$K145)</f>
        <v>0</v>
      </c>
      <c r="M145" s="42" t="n">
        <f aca="false">IF(OR($A145="",$K145=0),"",$L145/$K145)</f>
        <v>0</v>
      </c>
      <c r="N145" s="40" t="n">
        <f aca="false">IF($A145="","",SUMIFS('Trade Log'!$K$4:$K$503,'Trade Log'!$H$4:$H$503,$A145))</f>
        <v>0</v>
      </c>
      <c r="O145" s="42" t="str">
        <f aca="false">IF(OR($A145="",$H145="",Config!$B$4=0),"",$H145/Config!$B$4)</f>
        <v/>
      </c>
      <c r="P145" s="40" t="n">
        <f aca="false">IF($A145="","",SUM($H$126:$H145))</f>
        <v>0</v>
      </c>
      <c r="Q145" s="53" t="str">
        <f aca="false">IF($A145="","",IFERROR((AVERAGE($O$126:$O145)-Config!$B$7/Config!$B$6)/STDEV($O$126:$O145)*SQRT(Config!$B$6),""))</f>
        <v/>
      </c>
      <c r="R145" s="53" t="str">
        <f aca="false">IF($A145="","",IFERROR((AVERAGE($O$86:$O145)-Config!$B$7/Config!$B$6)/STDEV($O$86:$O145)*SQRT(Config!$B$6),""))</f>
        <v/>
      </c>
      <c r="S145" s="47" t="n">
        <f aca="false">IF($H145="",$S144,IF($H145&gt;0,$S144+1,0))</f>
        <v>1</v>
      </c>
      <c r="T145" s="47" t="n">
        <f aca="false">IF($H145="",$T144,IF($H145&lt;0,$T144+1,0))</f>
        <v>0</v>
      </c>
    </row>
    <row r="146" customFormat="false" ht="15" hidden="false" customHeight="false" outlineLevel="0" collapsed="false">
      <c r="A146" s="54" t="n">
        <f aca="false">IF($A145="","",$A145+1)</f>
        <v>46377</v>
      </c>
      <c r="B146" s="5" t="str">
        <f aca="false">IF($A146="","",TEXT($A146,"ddd"))</f>
        <v>Mon</v>
      </c>
      <c r="C146" s="41" t="n">
        <f aca="false">IF($A146="","",COUNTIFS('Trade Log'!$L$4:$L$503,$A146))</f>
        <v>0</v>
      </c>
      <c r="D146" s="40" t="n">
        <f aca="false">IF($A146="","",SUMIFS('Trade Log'!$Q$4:$Q$503,'Trade Log'!$L$4:$L$503,$A146,'Trade Log'!$E$4:$E$503,"LONG"))</f>
        <v>0</v>
      </c>
      <c r="E146" s="40" t="n">
        <f aca="false">IF($A146="","",SUMIFS('Trade Log'!$Q$4:$Q$503,'Trade Log'!$L$4:$L$503,$A146,'Trade Log'!$E$4:$E$503,"SHORT"))</f>
        <v>0</v>
      </c>
      <c r="F146" s="40" t="n">
        <f aca="false">IF($A146="","",$D146+$E146)</f>
        <v>0</v>
      </c>
      <c r="G146" s="40" t="n">
        <f aca="false">IF($A146="","",SUMIFS('Trade Log'!$Y$4:$Y$503,'Trade Log'!$L$4:$L$503,$A146))</f>
        <v>0</v>
      </c>
      <c r="H146" s="40" t="str">
        <f aca="false">IF($A146="","",IF($C146=0,"",$F146-$G146))</f>
        <v/>
      </c>
      <c r="I146" s="40" t="n">
        <f aca="false">IF($A146="","",$I145+IF($H146="",0,$H146))</f>
        <v>23918.5521880349</v>
      </c>
      <c r="J146" s="40" t="n">
        <f aca="false">IF($A146="","",Config!$B$4+$I146)</f>
        <v>1023918.55218803</v>
      </c>
      <c r="K146" s="40" t="n">
        <f aca="false">IF($A146="","",MAX($J$4:$J146))</f>
        <v>1023918.55218803</v>
      </c>
      <c r="L146" s="40" t="n">
        <f aca="false">IF($A146="","",$J146-$K146)</f>
        <v>0</v>
      </c>
      <c r="M146" s="42" t="n">
        <f aca="false">IF(OR($A146="",$K146=0),"",$L146/$K146)</f>
        <v>0</v>
      </c>
      <c r="N146" s="40" t="n">
        <f aca="false">IF($A146="","",SUMIFS('Trade Log'!$K$4:$K$503,'Trade Log'!$H$4:$H$503,$A146))</f>
        <v>0</v>
      </c>
      <c r="O146" s="42" t="str">
        <f aca="false">IF(OR($A146="",$H146="",Config!$B$4=0),"",$H146/Config!$B$4)</f>
        <v/>
      </c>
      <c r="P146" s="40" t="n">
        <f aca="false">IF($A146="","",SUM($H$127:$H146))</f>
        <v>0</v>
      </c>
      <c r="Q146" s="53" t="str">
        <f aca="false">IF($A146="","",IFERROR((AVERAGE($O$127:$O146)-Config!$B$7/Config!$B$6)/STDEV($O$127:$O146)*SQRT(Config!$B$6),""))</f>
        <v/>
      </c>
      <c r="R146" s="53" t="str">
        <f aca="false">IF($A146="","",IFERROR((AVERAGE($O$87:$O146)-Config!$B$7/Config!$B$6)/STDEV($O$87:$O146)*SQRT(Config!$B$6),""))</f>
        <v/>
      </c>
      <c r="S146" s="47" t="n">
        <f aca="false">IF($H146="",$S145,IF($H146&gt;0,$S145+1,0))</f>
        <v>1</v>
      </c>
      <c r="T146" s="47" t="n">
        <f aca="false">IF($H146="",$T145,IF($H146&lt;0,$T145+1,0))</f>
        <v>0</v>
      </c>
    </row>
    <row r="147" customFormat="false" ht="15" hidden="false" customHeight="false" outlineLevel="0" collapsed="false">
      <c r="A147" s="54" t="n">
        <f aca="false">IF($A146="","",$A146+1)</f>
        <v>46378</v>
      </c>
      <c r="B147" s="5" t="str">
        <f aca="false">IF($A147="","",TEXT($A147,"ddd"))</f>
        <v>Tue</v>
      </c>
      <c r="C147" s="41" t="n">
        <f aca="false">IF($A147="","",COUNTIFS('Trade Log'!$L$4:$L$503,$A147))</f>
        <v>0</v>
      </c>
      <c r="D147" s="40" t="n">
        <f aca="false">IF($A147="","",SUMIFS('Trade Log'!$Q$4:$Q$503,'Trade Log'!$L$4:$L$503,$A147,'Trade Log'!$E$4:$E$503,"LONG"))</f>
        <v>0</v>
      </c>
      <c r="E147" s="40" t="n">
        <f aca="false">IF($A147="","",SUMIFS('Trade Log'!$Q$4:$Q$503,'Trade Log'!$L$4:$L$503,$A147,'Trade Log'!$E$4:$E$503,"SHORT"))</f>
        <v>0</v>
      </c>
      <c r="F147" s="40" t="n">
        <f aca="false">IF($A147="","",$D147+$E147)</f>
        <v>0</v>
      </c>
      <c r="G147" s="40" t="n">
        <f aca="false">IF($A147="","",SUMIFS('Trade Log'!$Y$4:$Y$503,'Trade Log'!$L$4:$L$503,$A147))</f>
        <v>0</v>
      </c>
      <c r="H147" s="40" t="str">
        <f aca="false">IF($A147="","",IF($C147=0,"",$F147-$G147))</f>
        <v/>
      </c>
      <c r="I147" s="40" t="n">
        <f aca="false">IF($A147="","",$I146+IF($H147="",0,$H147))</f>
        <v>23918.5521880349</v>
      </c>
      <c r="J147" s="40" t="n">
        <f aca="false">IF($A147="","",Config!$B$4+$I147)</f>
        <v>1023918.55218803</v>
      </c>
      <c r="K147" s="40" t="n">
        <f aca="false">IF($A147="","",MAX($J$4:$J147))</f>
        <v>1023918.55218803</v>
      </c>
      <c r="L147" s="40" t="n">
        <f aca="false">IF($A147="","",$J147-$K147)</f>
        <v>0</v>
      </c>
      <c r="M147" s="42" t="n">
        <f aca="false">IF(OR($A147="",$K147=0),"",$L147/$K147)</f>
        <v>0</v>
      </c>
      <c r="N147" s="40" t="n">
        <f aca="false">IF($A147="","",SUMIFS('Trade Log'!$K$4:$K$503,'Trade Log'!$H$4:$H$503,$A147))</f>
        <v>0</v>
      </c>
      <c r="O147" s="42" t="str">
        <f aca="false">IF(OR($A147="",$H147="",Config!$B$4=0),"",$H147/Config!$B$4)</f>
        <v/>
      </c>
      <c r="P147" s="40" t="n">
        <f aca="false">IF($A147="","",SUM($H$128:$H147))</f>
        <v>0</v>
      </c>
      <c r="Q147" s="53" t="str">
        <f aca="false">IF($A147="","",IFERROR((AVERAGE($O$128:$O147)-Config!$B$7/Config!$B$6)/STDEV($O$128:$O147)*SQRT(Config!$B$6),""))</f>
        <v/>
      </c>
      <c r="R147" s="53" t="str">
        <f aca="false">IF($A147="","",IFERROR((AVERAGE($O$88:$O147)-Config!$B$7/Config!$B$6)/STDEV($O$88:$O147)*SQRT(Config!$B$6),""))</f>
        <v/>
      </c>
      <c r="S147" s="47" t="n">
        <f aca="false">IF($H147="",$S146,IF($H147&gt;0,$S146+1,0))</f>
        <v>1</v>
      </c>
      <c r="T147" s="47" t="n">
        <f aca="false">IF($H147="",$T146,IF($H147&lt;0,$T146+1,0))</f>
        <v>0</v>
      </c>
    </row>
    <row r="148" customFormat="false" ht="15" hidden="false" customHeight="false" outlineLevel="0" collapsed="false">
      <c r="A148" s="54" t="n">
        <f aca="false">IF($A147="","",$A147+1)</f>
        <v>46379</v>
      </c>
      <c r="B148" s="5" t="str">
        <f aca="false">IF($A148="","",TEXT($A148,"ddd"))</f>
        <v>Wed</v>
      </c>
      <c r="C148" s="41" t="n">
        <f aca="false">IF($A148="","",COUNTIFS('Trade Log'!$L$4:$L$503,$A148))</f>
        <v>0</v>
      </c>
      <c r="D148" s="40" t="n">
        <f aca="false">IF($A148="","",SUMIFS('Trade Log'!$Q$4:$Q$503,'Trade Log'!$L$4:$L$503,$A148,'Trade Log'!$E$4:$E$503,"LONG"))</f>
        <v>0</v>
      </c>
      <c r="E148" s="40" t="n">
        <f aca="false">IF($A148="","",SUMIFS('Trade Log'!$Q$4:$Q$503,'Trade Log'!$L$4:$L$503,$A148,'Trade Log'!$E$4:$E$503,"SHORT"))</f>
        <v>0</v>
      </c>
      <c r="F148" s="40" t="n">
        <f aca="false">IF($A148="","",$D148+$E148)</f>
        <v>0</v>
      </c>
      <c r="G148" s="40" t="n">
        <f aca="false">IF($A148="","",SUMIFS('Trade Log'!$Y$4:$Y$503,'Trade Log'!$L$4:$L$503,$A148))</f>
        <v>0</v>
      </c>
      <c r="H148" s="40" t="str">
        <f aca="false">IF($A148="","",IF($C148=0,"",$F148-$G148))</f>
        <v/>
      </c>
      <c r="I148" s="40" t="n">
        <f aca="false">IF($A148="","",$I147+IF($H148="",0,$H148))</f>
        <v>23918.5521880349</v>
      </c>
      <c r="J148" s="40" t="n">
        <f aca="false">IF($A148="","",Config!$B$4+$I148)</f>
        <v>1023918.55218803</v>
      </c>
      <c r="K148" s="40" t="n">
        <f aca="false">IF($A148="","",MAX($J$4:$J148))</f>
        <v>1023918.55218803</v>
      </c>
      <c r="L148" s="40" t="n">
        <f aca="false">IF($A148="","",$J148-$K148)</f>
        <v>0</v>
      </c>
      <c r="M148" s="42" t="n">
        <f aca="false">IF(OR($A148="",$K148=0),"",$L148/$K148)</f>
        <v>0</v>
      </c>
      <c r="N148" s="40" t="n">
        <f aca="false">IF($A148="","",SUMIFS('Trade Log'!$K$4:$K$503,'Trade Log'!$H$4:$H$503,$A148))</f>
        <v>0</v>
      </c>
      <c r="O148" s="42" t="str">
        <f aca="false">IF(OR($A148="",$H148="",Config!$B$4=0),"",$H148/Config!$B$4)</f>
        <v/>
      </c>
      <c r="P148" s="40" t="n">
        <f aca="false">IF($A148="","",SUM($H$129:$H148))</f>
        <v>0</v>
      </c>
      <c r="Q148" s="53" t="str">
        <f aca="false">IF($A148="","",IFERROR((AVERAGE($O$129:$O148)-Config!$B$7/Config!$B$6)/STDEV($O$129:$O148)*SQRT(Config!$B$6),""))</f>
        <v/>
      </c>
      <c r="R148" s="53" t="str">
        <f aca="false">IF($A148="","",IFERROR((AVERAGE($O$89:$O148)-Config!$B$7/Config!$B$6)/STDEV($O$89:$O148)*SQRT(Config!$B$6),""))</f>
        <v/>
      </c>
      <c r="S148" s="47" t="n">
        <f aca="false">IF($H148="",$S147,IF($H148&gt;0,$S147+1,0))</f>
        <v>1</v>
      </c>
      <c r="T148" s="47" t="n">
        <f aca="false">IF($H148="",$T147,IF($H148&lt;0,$T147+1,0))</f>
        <v>0</v>
      </c>
    </row>
    <row r="149" customFormat="false" ht="15" hidden="false" customHeight="false" outlineLevel="0" collapsed="false">
      <c r="A149" s="54" t="n">
        <f aca="false">IF($A148="","",$A148+1)</f>
        <v>46380</v>
      </c>
      <c r="B149" s="5" t="str">
        <f aca="false">IF($A149="","",TEXT($A149,"ddd"))</f>
        <v>Thu</v>
      </c>
      <c r="C149" s="41" t="n">
        <f aca="false">IF($A149="","",COUNTIFS('Trade Log'!$L$4:$L$503,$A149))</f>
        <v>0</v>
      </c>
      <c r="D149" s="40" t="n">
        <f aca="false">IF($A149="","",SUMIFS('Trade Log'!$Q$4:$Q$503,'Trade Log'!$L$4:$L$503,$A149,'Trade Log'!$E$4:$E$503,"LONG"))</f>
        <v>0</v>
      </c>
      <c r="E149" s="40" t="n">
        <f aca="false">IF($A149="","",SUMIFS('Trade Log'!$Q$4:$Q$503,'Trade Log'!$L$4:$L$503,$A149,'Trade Log'!$E$4:$E$503,"SHORT"))</f>
        <v>0</v>
      </c>
      <c r="F149" s="40" t="n">
        <f aca="false">IF($A149="","",$D149+$E149)</f>
        <v>0</v>
      </c>
      <c r="G149" s="40" t="n">
        <f aca="false">IF($A149="","",SUMIFS('Trade Log'!$Y$4:$Y$503,'Trade Log'!$L$4:$L$503,$A149))</f>
        <v>0</v>
      </c>
      <c r="H149" s="40" t="str">
        <f aca="false">IF($A149="","",IF($C149=0,"",$F149-$G149))</f>
        <v/>
      </c>
      <c r="I149" s="40" t="n">
        <f aca="false">IF($A149="","",$I148+IF($H149="",0,$H149))</f>
        <v>23918.5521880349</v>
      </c>
      <c r="J149" s="40" t="n">
        <f aca="false">IF($A149="","",Config!$B$4+$I149)</f>
        <v>1023918.55218803</v>
      </c>
      <c r="K149" s="40" t="n">
        <f aca="false">IF($A149="","",MAX($J$4:$J149))</f>
        <v>1023918.55218803</v>
      </c>
      <c r="L149" s="40" t="n">
        <f aca="false">IF($A149="","",$J149-$K149)</f>
        <v>0</v>
      </c>
      <c r="M149" s="42" t="n">
        <f aca="false">IF(OR($A149="",$K149=0),"",$L149/$K149)</f>
        <v>0</v>
      </c>
      <c r="N149" s="40" t="n">
        <f aca="false">IF($A149="","",SUMIFS('Trade Log'!$K$4:$K$503,'Trade Log'!$H$4:$H$503,$A149))</f>
        <v>0</v>
      </c>
      <c r="O149" s="42" t="str">
        <f aca="false">IF(OR($A149="",$H149="",Config!$B$4=0),"",$H149/Config!$B$4)</f>
        <v/>
      </c>
      <c r="P149" s="40" t="n">
        <f aca="false">IF($A149="","",SUM($H$130:$H149))</f>
        <v>0</v>
      </c>
      <c r="Q149" s="53" t="str">
        <f aca="false">IF($A149="","",IFERROR((AVERAGE($O$130:$O149)-Config!$B$7/Config!$B$6)/STDEV($O$130:$O149)*SQRT(Config!$B$6),""))</f>
        <v/>
      </c>
      <c r="R149" s="53" t="str">
        <f aca="false">IF($A149="","",IFERROR((AVERAGE($O$90:$O149)-Config!$B$7/Config!$B$6)/STDEV($O$90:$O149)*SQRT(Config!$B$6),""))</f>
        <v/>
      </c>
      <c r="S149" s="47" t="n">
        <f aca="false">IF($H149="",$S148,IF($H149&gt;0,$S148+1,0))</f>
        <v>1</v>
      </c>
      <c r="T149" s="47" t="n">
        <f aca="false">IF($H149="",$T148,IF($H149&lt;0,$T148+1,0))</f>
        <v>0</v>
      </c>
    </row>
    <row r="150" customFormat="false" ht="15" hidden="false" customHeight="false" outlineLevel="0" collapsed="false">
      <c r="A150" s="54" t="n">
        <f aca="false">IF($A149="","",$A149+1)</f>
        <v>46381</v>
      </c>
      <c r="B150" s="5" t="str">
        <f aca="false">IF($A150="","",TEXT($A150,"ddd"))</f>
        <v>Fri</v>
      </c>
      <c r="C150" s="41" t="n">
        <f aca="false">IF($A150="","",COUNTIFS('Trade Log'!$L$4:$L$503,$A150))</f>
        <v>0</v>
      </c>
      <c r="D150" s="40" t="n">
        <f aca="false">IF($A150="","",SUMIFS('Trade Log'!$Q$4:$Q$503,'Trade Log'!$L$4:$L$503,$A150,'Trade Log'!$E$4:$E$503,"LONG"))</f>
        <v>0</v>
      </c>
      <c r="E150" s="40" t="n">
        <f aca="false">IF($A150="","",SUMIFS('Trade Log'!$Q$4:$Q$503,'Trade Log'!$L$4:$L$503,$A150,'Trade Log'!$E$4:$E$503,"SHORT"))</f>
        <v>0</v>
      </c>
      <c r="F150" s="40" t="n">
        <f aca="false">IF($A150="","",$D150+$E150)</f>
        <v>0</v>
      </c>
      <c r="G150" s="40" t="n">
        <f aca="false">IF($A150="","",SUMIFS('Trade Log'!$Y$4:$Y$503,'Trade Log'!$L$4:$L$503,$A150))</f>
        <v>0</v>
      </c>
      <c r="H150" s="40" t="str">
        <f aca="false">IF($A150="","",IF($C150=0,"",$F150-$G150))</f>
        <v/>
      </c>
      <c r="I150" s="40" t="n">
        <f aca="false">IF($A150="","",$I149+IF($H150="",0,$H150))</f>
        <v>23918.5521880349</v>
      </c>
      <c r="J150" s="40" t="n">
        <f aca="false">IF($A150="","",Config!$B$4+$I150)</f>
        <v>1023918.55218803</v>
      </c>
      <c r="K150" s="40" t="n">
        <f aca="false">IF($A150="","",MAX($J$4:$J150))</f>
        <v>1023918.55218803</v>
      </c>
      <c r="L150" s="40" t="n">
        <f aca="false">IF($A150="","",$J150-$K150)</f>
        <v>0</v>
      </c>
      <c r="M150" s="42" t="n">
        <f aca="false">IF(OR($A150="",$K150=0),"",$L150/$K150)</f>
        <v>0</v>
      </c>
      <c r="N150" s="40" t="n">
        <f aca="false">IF($A150="","",SUMIFS('Trade Log'!$K$4:$K$503,'Trade Log'!$H$4:$H$503,$A150))</f>
        <v>0</v>
      </c>
      <c r="O150" s="42" t="str">
        <f aca="false">IF(OR($A150="",$H150="",Config!$B$4=0),"",$H150/Config!$B$4)</f>
        <v/>
      </c>
      <c r="P150" s="40" t="n">
        <f aca="false">IF($A150="","",SUM($H$131:$H150))</f>
        <v>0</v>
      </c>
      <c r="Q150" s="53" t="str">
        <f aca="false">IF($A150="","",IFERROR((AVERAGE($O$131:$O150)-Config!$B$7/Config!$B$6)/STDEV($O$131:$O150)*SQRT(Config!$B$6),""))</f>
        <v/>
      </c>
      <c r="R150" s="53" t="str">
        <f aca="false">IF($A150="","",IFERROR((AVERAGE($O$91:$O150)-Config!$B$7/Config!$B$6)/STDEV($O$91:$O150)*SQRT(Config!$B$6),""))</f>
        <v/>
      </c>
      <c r="S150" s="47" t="n">
        <f aca="false">IF($H150="",$S149,IF($H150&gt;0,$S149+1,0))</f>
        <v>1</v>
      </c>
      <c r="T150" s="47" t="n">
        <f aca="false">IF($H150="",$T149,IF($H150&lt;0,$T149+1,0))</f>
        <v>0</v>
      </c>
    </row>
    <row r="151" customFormat="false" ht="15" hidden="false" customHeight="false" outlineLevel="0" collapsed="false">
      <c r="A151" s="54" t="n">
        <f aca="false">IF($A150="","",$A150+1)</f>
        <v>46382</v>
      </c>
      <c r="B151" s="5" t="str">
        <f aca="false">IF($A151="","",TEXT($A151,"ddd"))</f>
        <v>Sat</v>
      </c>
      <c r="C151" s="41" t="n">
        <f aca="false">IF($A151="","",COUNTIFS('Trade Log'!$L$4:$L$503,$A151))</f>
        <v>0</v>
      </c>
      <c r="D151" s="40" t="n">
        <f aca="false">IF($A151="","",SUMIFS('Trade Log'!$Q$4:$Q$503,'Trade Log'!$L$4:$L$503,$A151,'Trade Log'!$E$4:$E$503,"LONG"))</f>
        <v>0</v>
      </c>
      <c r="E151" s="40" t="n">
        <f aca="false">IF($A151="","",SUMIFS('Trade Log'!$Q$4:$Q$503,'Trade Log'!$L$4:$L$503,$A151,'Trade Log'!$E$4:$E$503,"SHORT"))</f>
        <v>0</v>
      </c>
      <c r="F151" s="40" t="n">
        <f aca="false">IF($A151="","",$D151+$E151)</f>
        <v>0</v>
      </c>
      <c r="G151" s="40" t="n">
        <f aca="false">IF($A151="","",SUMIFS('Trade Log'!$Y$4:$Y$503,'Trade Log'!$L$4:$L$503,$A151))</f>
        <v>0</v>
      </c>
      <c r="H151" s="40" t="str">
        <f aca="false">IF($A151="","",IF($C151=0,"",$F151-$G151))</f>
        <v/>
      </c>
      <c r="I151" s="40" t="n">
        <f aca="false">IF($A151="","",$I150+IF($H151="",0,$H151))</f>
        <v>23918.5521880349</v>
      </c>
      <c r="J151" s="40" t="n">
        <f aca="false">IF($A151="","",Config!$B$4+$I151)</f>
        <v>1023918.55218803</v>
      </c>
      <c r="K151" s="40" t="n">
        <f aca="false">IF($A151="","",MAX($J$4:$J151))</f>
        <v>1023918.55218803</v>
      </c>
      <c r="L151" s="40" t="n">
        <f aca="false">IF($A151="","",$J151-$K151)</f>
        <v>0</v>
      </c>
      <c r="M151" s="42" t="n">
        <f aca="false">IF(OR($A151="",$K151=0),"",$L151/$K151)</f>
        <v>0</v>
      </c>
      <c r="N151" s="40" t="n">
        <f aca="false">IF($A151="","",SUMIFS('Trade Log'!$K$4:$K$503,'Trade Log'!$H$4:$H$503,$A151))</f>
        <v>0</v>
      </c>
      <c r="O151" s="42" t="str">
        <f aca="false">IF(OR($A151="",$H151="",Config!$B$4=0),"",$H151/Config!$B$4)</f>
        <v/>
      </c>
      <c r="P151" s="40" t="n">
        <f aca="false">IF($A151="","",SUM($H$132:$H151))</f>
        <v>0</v>
      </c>
      <c r="Q151" s="53" t="str">
        <f aca="false">IF($A151="","",IFERROR((AVERAGE($O$132:$O151)-Config!$B$7/Config!$B$6)/STDEV($O$132:$O151)*SQRT(Config!$B$6),""))</f>
        <v/>
      </c>
      <c r="R151" s="53" t="str">
        <f aca="false">IF($A151="","",IFERROR((AVERAGE($O$92:$O151)-Config!$B$7/Config!$B$6)/STDEV($O$92:$O151)*SQRT(Config!$B$6),""))</f>
        <v/>
      </c>
      <c r="S151" s="47" t="n">
        <f aca="false">IF($H151="",$S150,IF($H151&gt;0,$S150+1,0))</f>
        <v>1</v>
      </c>
      <c r="T151" s="47" t="n">
        <f aca="false">IF($H151="",$T150,IF($H151&lt;0,$T150+1,0))</f>
        <v>0</v>
      </c>
    </row>
    <row r="152" customFormat="false" ht="15" hidden="false" customHeight="false" outlineLevel="0" collapsed="false">
      <c r="A152" s="54" t="n">
        <f aca="false">IF($A151="","",$A151+1)</f>
        <v>46383</v>
      </c>
      <c r="B152" s="5" t="str">
        <f aca="false">IF($A152="","",TEXT($A152,"ddd"))</f>
        <v>Sun</v>
      </c>
      <c r="C152" s="41" t="n">
        <f aca="false">IF($A152="","",COUNTIFS('Trade Log'!$L$4:$L$503,$A152))</f>
        <v>0</v>
      </c>
      <c r="D152" s="40" t="n">
        <f aca="false">IF($A152="","",SUMIFS('Trade Log'!$Q$4:$Q$503,'Trade Log'!$L$4:$L$503,$A152,'Trade Log'!$E$4:$E$503,"LONG"))</f>
        <v>0</v>
      </c>
      <c r="E152" s="40" t="n">
        <f aca="false">IF($A152="","",SUMIFS('Trade Log'!$Q$4:$Q$503,'Trade Log'!$L$4:$L$503,$A152,'Trade Log'!$E$4:$E$503,"SHORT"))</f>
        <v>0</v>
      </c>
      <c r="F152" s="40" t="n">
        <f aca="false">IF($A152="","",$D152+$E152)</f>
        <v>0</v>
      </c>
      <c r="G152" s="40" t="n">
        <f aca="false">IF($A152="","",SUMIFS('Trade Log'!$Y$4:$Y$503,'Trade Log'!$L$4:$L$503,$A152))</f>
        <v>0</v>
      </c>
      <c r="H152" s="40" t="str">
        <f aca="false">IF($A152="","",IF($C152=0,"",$F152-$G152))</f>
        <v/>
      </c>
      <c r="I152" s="40" t="n">
        <f aca="false">IF($A152="","",$I151+IF($H152="",0,$H152))</f>
        <v>23918.5521880349</v>
      </c>
      <c r="J152" s="40" t="n">
        <f aca="false">IF($A152="","",Config!$B$4+$I152)</f>
        <v>1023918.55218803</v>
      </c>
      <c r="K152" s="40" t="n">
        <f aca="false">IF($A152="","",MAX($J$4:$J152))</f>
        <v>1023918.55218803</v>
      </c>
      <c r="L152" s="40" t="n">
        <f aca="false">IF($A152="","",$J152-$K152)</f>
        <v>0</v>
      </c>
      <c r="M152" s="42" t="n">
        <f aca="false">IF(OR($A152="",$K152=0),"",$L152/$K152)</f>
        <v>0</v>
      </c>
      <c r="N152" s="40" t="n">
        <f aca="false">IF($A152="","",SUMIFS('Trade Log'!$K$4:$K$503,'Trade Log'!$H$4:$H$503,$A152))</f>
        <v>0</v>
      </c>
      <c r="O152" s="42" t="str">
        <f aca="false">IF(OR($A152="",$H152="",Config!$B$4=0),"",$H152/Config!$B$4)</f>
        <v/>
      </c>
      <c r="P152" s="40" t="n">
        <f aca="false">IF($A152="","",SUM($H$133:$H152))</f>
        <v>0</v>
      </c>
      <c r="Q152" s="53" t="str">
        <f aca="false">IF($A152="","",IFERROR((AVERAGE($O$133:$O152)-Config!$B$7/Config!$B$6)/STDEV($O$133:$O152)*SQRT(Config!$B$6),""))</f>
        <v/>
      </c>
      <c r="R152" s="53" t="str">
        <f aca="false">IF($A152="","",IFERROR((AVERAGE($O$93:$O152)-Config!$B$7/Config!$B$6)/STDEV($O$93:$O152)*SQRT(Config!$B$6),""))</f>
        <v/>
      </c>
      <c r="S152" s="47" t="n">
        <f aca="false">IF($H152="",$S151,IF($H152&gt;0,$S151+1,0))</f>
        <v>1</v>
      </c>
      <c r="T152" s="47" t="n">
        <f aca="false">IF($H152="",$T151,IF($H152&lt;0,$T151+1,0))</f>
        <v>0</v>
      </c>
    </row>
    <row r="153" customFormat="false" ht="15" hidden="false" customHeight="false" outlineLevel="0" collapsed="false">
      <c r="A153" s="54" t="n">
        <f aca="false">IF($A152="","",$A152+1)</f>
        <v>46384</v>
      </c>
      <c r="B153" s="5" t="str">
        <f aca="false">IF($A153="","",TEXT($A153,"ddd"))</f>
        <v>Mon</v>
      </c>
      <c r="C153" s="41" t="n">
        <f aca="false">IF($A153="","",COUNTIFS('Trade Log'!$L$4:$L$503,$A153))</f>
        <v>0</v>
      </c>
      <c r="D153" s="40" t="n">
        <f aca="false">IF($A153="","",SUMIFS('Trade Log'!$Q$4:$Q$503,'Trade Log'!$L$4:$L$503,$A153,'Trade Log'!$E$4:$E$503,"LONG"))</f>
        <v>0</v>
      </c>
      <c r="E153" s="40" t="n">
        <f aca="false">IF($A153="","",SUMIFS('Trade Log'!$Q$4:$Q$503,'Trade Log'!$L$4:$L$503,$A153,'Trade Log'!$E$4:$E$503,"SHORT"))</f>
        <v>0</v>
      </c>
      <c r="F153" s="40" t="n">
        <f aca="false">IF($A153="","",$D153+$E153)</f>
        <v>0</v>
      </c>
      <c r="G153" s="40" t="n">
        <f aca="false">IF($A153="","",SUMIFS('Trade Log'!$Y$4:$Y$503,'Trade Log'!$L$4:$L$503,$A153))</f>
        <v>0</v>
      </c>
      <c r="H153" s="40" t="str">
        <f aca="false">IF($A153="","",IF($C153=0,"",$F153-$G153))</f>
        <v/>
      </c>
      <c r="I153" s="40" t="n">
        <f aca="false">IF($A153="","",$I152+IF($H153="",0,$H153))</f>
        <v>23918.5521880349</v>
      </c>
      <c r="J153" s="40" t="n">
        <f aca="false">IF($A153="","",Config!$B$4+$I153)</f>
        <v>1023918.55218803</v>
      </c>
      <c r="K153" s="40" t="n">
        <f aca="false">IF($A153="","",MAX($J$4:$J153))</f>
        <v>1023918.55218803</v>
      </c>
      <c r="L153" s="40" t="n">
        <f aca="false">IF($A153="","",$J153-$K153)</f>
        <v>0</v>
      </c>
      <c r="M153" s="42" t="n">
        <f aca="false">IF(OR($A153="",$K153=0),"",$L153/$K153)</f>
        <v>0</v>
      </c>
      <c r="N153" s="40" t="n">
        <f aca="false">IF($A153="","",SUMIFS('Trade Log'!$K$4:$K$503,'Trade Log'!$H$4:$H$503,$A153))</f>
        <v>0</v>
      </c>
      <c r="O153" s="42" t="str">
        <f aca="false">IF(OR($A153="",$H153="",Config!$B$4=0),"",$H153/Config!$B$4)</f>
        <v/>
      </c>
      <c r="P153" s="40" t="n">
        <f aca="false">IF($A153="","",SUM($H$134:$H153))</f>
        <v>0</v>
      </c>
      <c r="Q153" s="53" t="str">
        <f aca="false">IF($A153="","",IFERROR((AVERAGE($O$134:$O153)-Config!$B$7/Config!$B$6)/STDEV($O$134:$O153)*SQRT(Config!$B$6),""))</f>
        <v/>
      </c>
      <c r="R153" s="53" t="str">
        <f aca="false">IF($A153="","",IFERROR((AVERAGE($O$94:$O153)-Config!$B$7/Config!$B$6)/STDEV($O$94:$O153)*SQRT(Config!$B$6),""))</f>
        <v/>
      </c>
      <c r="S153" s="47" t="n">
        <f aca="false">IF($H153="",$S152,IF($H153&gt;0,$S152+1,0))</f>
        <v>1</v>
      </c>
      <c r="T153" s="47" t="n">
        <f aca="false">IF($H153="",$T152,IF($H153&lt;0,$T152+1,0))</f>
        <v>0</v>
      </c>
    </row>
    <row r="154" customFormat="false" ht="15" hidden="false" customHeight="false" outlineLevel="0" collapsed="false">
      <c r="A154" s="54" t="n">
        <f aca="false">IF($A153="","",$A153+1)</f>
        <v>46385</v>
      </c>
      <c r="B154" s="5" t="str">
        <f aca="false">IF($A154="","",TEXT($A154,"ddd"))</f>
        <v>Tue</v>
      </c>
      <c r="C154" s="41" t="n">
        <f aca="false">IF($A154="","",COUNTIFS('Trade Log'!$L$4:$L$503,$A154))</f>
        <v>0</v>
      </c>
      <c r="D154" s="40" t="n">
        <f aca="false">IF($A154="","",SUMIFS('Trade Log'!$Q$4:$Q$503,'Trade Log'!$L$4:$L$503,$A154,'Trade Log'!$E$4:$E$503,"LONG"))</f>
        <v>0</v>
      </c>
      <c r="E154" s="40" t="n">
        <f aca="false">IF($A154="","",SUMIFS('Trade Log'!$Q$4:$Q$503,'Trade Log'!$L$4:$L$503,$A154,'Trade Log'!$E$4:$E$503,"SHORT"))</f>
        <v>0</v>
      </c>
      <c r="F154" s="40" t="n">
        <f aca="false">IF($A154="","",$D154+$E154)</f>
        <v>0</v>
      </c>
      <c r="G154" s="40" t="n">
        <f aca="false">IF($A154="","",SUMIFS('Trade Log'!$Y$4:$Y$503,'Trade Log'!$L$4:$L$503,$A154))</f>
        <v>0</v>
      </c>
      <c r="H154" s="40" t="str">
        <f aca="false">IF($A154="","",IF($C154=0,"",$F154-$G154))</f>
        <v/>
      </c>
      <c r="I154" s="40" t="n">
        <f aca="false">IF($A154="","",$I153+IF($H154="",0,$H154))</f>
        <v>23918.5521880349</v>
      </c>
      <c r="J154" s="40" t="n">
        <f aca="false">IF($A154="","",Config!$B$4+$I154)</f>
        <v>1023918.55218803</v>
      </c>
      <c r="K154" s="40" t="n">
        <f aca="false">IF($A154="","",MAX($J$4:$J154))</f>
        <v>1023918.55218803</v>
      </c>
      <c r="L154" s="40" t="n">
        <f aca="false">IF($A154="","",$J154-$K154)</f>
        <v>0</v>
      </c>
      <c r="M154" s="42" t="n">
        <f aca="false">IF(OR($A154="",$K154=0),"",$L154/$K154)</f>
        <v>0</v>
      </c>
      <c r="N154" s="40" t="n">
        <f aca="false">IF($A154="","",SUMIFS('Trade Log'!$K$4:$K$503,'Trade Log'!$H$4:$H$503,$A154))</f>
        <v>0</v>
      </c>
      <c r="O154" s="42" t="str">
        <f aca="false">IF(OR($A154="",$H154="",Config!$B$4=0),"",$H154/Config!$B$4)</f>
        <v/>
      </c>
      <c r="P154" s="40" t="n">
        <f aca="false">IF($A154="","",SUM($H$135:$H154))</f>
        <v>0</v>
      </c>
      <c r="Q154" s="53" t="str">
        <f aca="false">IF($A154="","",IFERROR((AVERAGE($O$135:$O154)-Config!$B$7/Config!$B$6)/STDEV($O$135:$O154)*SQRT(Config!$B$6),""))</f>
        <v/>
      </c>
      <c r="R154" s="53" t="str">
        <f aca="false">IF($A154="","",IFERROR((AVERAGE($O$95:$O154)-Config!$B$7/Config!$B$6)/STDEV($O$95:$O154)*SQRT(Config!$B$6),""))</f>
        <v/>
      </c>
      <c r="S154" s="47" t="n">
        <f aca="false">IF($H154="",$S153,IF($H154&gt;0,$S153+1,0))</f>
        <v>1</v>
      </c>
      <c r="T154" s="47" t="n">
        <f aca="false">IF($H154="",$T153,IF($H154&lt;0,$T153+1,0))</f>
        <v>0</v>
      </c>
    </row>
    <row r="155" customFormat="false" ht="15" hidden="false" customHeight="false" outlineLevel="0" collapsed="false">
      <c r="A155" s="54" t="n">
        <f aca="false">IF($A154="","",$A154+1)</f>
        <v>46386</v>
      </c>
      <c r="B155" s="5" t="str">
        <f aca="false">IF($A155="","",TEXT($A155,"ddd"))</f>
        <v>Wed</v>
      </c>
      <c r="C155" s="41" t="n">
        <f aca="false">IF($A155="","",COUNTIFS('Trade Log'!$L$4:$L$503,$A155))</f>
        <v>0</v>
      </c>
      <c r="D155" s="40" t="n">
        <f aca="false">IF($A155="","",SUMIFS('Trade Log'!$Q$4:$Q$503,'Trade Log'!$L$4:$L$503,$A155,'Trade Log'!$E$4:$E$503,"LONG"))</f>
        <v>0</v>
      </c>
      <c r="E155" s="40" t="n">
        <f aca="false">IF($A155="","",SUMIFS('Trade Log'!$Q$4:$Q$503,'Trade Log'!$L$4:$L$503,$A155,'Trade Log'!$E$4:$E$503,"SHORT"))</f>
        <v>0</v>
      </c>
      <c r="F155" s="40" t="n">
        <f aca="false">IF($A155="","",$D155+$E155)</f>
        <v>0</v>
      </c>
      <c r="G155" s="40" t="n">
        <f aca="false">IF($A155="","",SUMIFS('Trade Log'!$Y$4:$Y$503,'Trade Log'!$L$4:$L$503,$A155))</f>
        <v>0</v>
      </c>
      <c r="H155" s="40" t="str">
        <f aca="false">IF($A155="","",IF($C155=0,"",$F155-$G155))</f>
        <v/>
      </c>
      <c r="I155" s="40" t="n">
        <f aca="false">IF($A155="","",$I154+IF($H155="",0,$H155))</f>
        <v>23918.5521880349</v>
      </c>
      <c r="J155" s="40" t="n">
        <f aca="false">IF($A155="","",Config!$B$4+$I155)</f>
        <v>1023918.55218803</v>
      </c>
      <c r="K155" s="40" t="n">
        <f aca="false">IF($A155="","",MAX($J$4:$J155))</f>
        <v>1023918.55218803</v>
      </c>
      <c r="L155" s="40" t="n">
        <f aca="false">IF($A155="","",$J155-$K155)</f>
        <v>0</v>
      </c>
      <c r="M155" s="42" t="n">
        <f aca="false">IF(OR($A155="",$K155=0),"",$L155/$K155)</f>
        <v>0</v>
      </c>
      <c r="N155" s="40" t="n">
        <f aca="false">IF($A155="","",SUMIFS('Trade Log'!$K$4:$K$503,'Trade Log'!$H$4:$H$503,$A155))</f>
        <v>0</v>
      </c>
      <c r="O155" s="42" t="str">
        <f aca="false">IF(OR($A155="",$H155="",Config!$B$4=0),"",$H155/Config!$B$4)</f>
        <v/>
      </c>
      <c r="P155" s="40" t="n">
        <f aca="false">IF($A155="","",SUM($H$136:$H155))</f>
        <v>0</v>
      </c>
      <c r="Q155" s="53" t="str">
        <f aca="false">IF($A155="","",IFERROR((AVERAGE($O$136:$O155)-Config!$B$7/Config!$B$6)/STDEV($O$136:$O155)*SQRT(Config!$B$6),""))</f>
        <v/>
      </c>
      <c r="R155" s="53" t="str">
        <f aca="false">IF($A155="","",IFERROR((AVERAGE($O$96:$O155)-Config!$B$7/Config!$B$6)/STDEV($O$96:$O155)*SQRT(Config!$B$6),""))</f>
        <v/>
      </c>
      <c r="S155" s="47" t="n">
        <f aca="false">IF($H155="",$S154,IF($H155&gt;0,$S154+1,0))</f>
        <v>1</v>
      </c>
      <c r="T155" s="47" t="n">
        <f aca="false">IF($H155="",$T154,IF($H155&lt;0,$T154+1,0))</f>
        <v>0</v>
      </c>
    </row>
    <row r="156" customFormat="false" ht="15" hidden="false" customHeight="false" outlineLevel="0" collapsed="false">
      <c r="A156" s="54" t="n">
        <f aca="false">IF($A155="","",$A155+1)</f>
        <v>46387</v>
      </c>
      <c r="B156" s="5" t="str">
        <f aca="false">IF($A156="","",TEXT($A156,"ddd"))</f>
        <v>Thu</v>
      </c>
      <c r="C156" s="41" t="n">
        <f aca="false">IF($A156="","",COUNTIFS('Trade Log'!$L$4:$L$503,$A156))</f>
        <v>0</v>
      </c>
      <c r="D156" s="40" t="n">
        <f aca="false">IF($A156="","",SUMIFS('Trade Log'!$Q$4:$Q$503,'Trade Log'!$L$4:$L$503,$A156,'Trade Log'!$E$4:$E$503,"LONG"))</f>
        <v>0</v>
      </c>
      <c r="E156" s="40" t="n">
        <f aca="false">IF($A156="","",SUMIFS('Trade Log'!$Q$4:$Q$503,'Trade Log'!$L$4:$L$503,$A156,'Trade Log'!$E$4:$E$503,"SHORT"))</f>
        <v>0</v>
      </c>
      <c r="F156" s="40" t="n">
        <f aca="false">IF($A156="","",$D156+$E156)</f>
        <v>0</v>
      </c>
      <c r="G156" s="40" t="n">
        <f aca="false">IF($A156="","",SUMIFS('Trade Log'!$Y$4:$Y$503,'Trade Log'!$L$4:$L$503,$A156))</f>
        <v>0</v>
      </c>
      <c r="H156" s="40" t="str">
        <f aca="false">IF($A156="","",IF($C156=0,"",$F156-$G156))</f>
        <v/>
      </c>
      <c r="I156" s="40" t="n">
        <f aca="false">IF($A156="","",$I155+IF($H156="",0,$H156))</f>
        <v>23918.5521880349</v>
      </c>
      <c r="J156" s="40" t="n">
        <f aca="false">IF($A156="","",Config!$B$4+$I156)</f>
        <v>1023918.55218803</v>
      </c>
      <c r="K156" s="40" t="n">
        <f aca="false">IF($A156="","",MAX($J$4:$J156))</f>
        <v>1023918.55218803</v>
      </c>
      <c r="L156" s="40" t="n">
        <f aca="false">IF($A156="","",$J156-$K156)</f>
        <v>0</v>
      </c>
      <c r="M156" s="42" t="n">
        <f aca="false">IF(OR($A156="",$K156=0),"",$L156/$K156)</f>
        <v>0</v>
      </c>
      <c r="N156" s="40" t="n">
        <f aca="false">IF($A156="","",SUMIFS('Trade Log'!$K$4:$K$503,'Trade Log'!$H$4:$H$503,$A156))</f>
        <v>0</v>
      </c>
      <c r="O156" s="42" t="str">
        <f aca="false">IF(OR($A156="",$H156="",Config!$B$4=0),"",$H156/Config!$B$4)</f>
        <v/>
      </c>
      <c r="P156" s="40" t="n">
        <f aca="false">IF($A156="","",SUM($H$137:$H156))</f>
        <v>0</v>
      </c>
      <c r="Q156" s="53" t="str">
        <f aca="false">IF($A156="","",IFERROR((AVERAGE($O$137:$O156)-Config!$B$7/Config!$B$6)/STDEV($O$137:$O156)*SQRT(Config!$B$6),""))</f>
        <v/>
      </c>
      <c r="R156" s="53" t="str">
        <f aca="false">IF($A156="","",IFERROR((AVERAGE($O$97:$O156)-Config!$B$7/Config!$B$6)/STDEV($O$97:$O156)*SQRT(Config!$B$6),""))</f>
        <v/>
      </c>
      <c r="S156" s="47" t="n">
        <f aca="false">IF($H156="",$S155,IF($H156&gt;0,$S155+1,0))</f>
        <v>1</v>
      </c>
      <c r="T156" s="47" t="n">
        <f aca="false">IF($H156="",$T155,IF($H156&lt;0,$T155+1,0))</f>
        <v>0</v>
      </c>
    </row>
    <row r="157" customFormat="false" ht="15" hidden="false" customHeight="false" outlineLevel="0" collapsed="false">
      <c r="A157" s="54" t="n">
        <f aca="false">IF($A156="","",$A156+1)</f>
        <v>46388</v>
      </c>
      <c r="B157" s="5" t="str">
        <f aca="false">IF($A157="","",TEXT($A157,"ddd"))</f>
        <v>Fri</v>
      </c>
      <c r="C157" s="41" t="n">
        <f aca="false">IF($A157="","",COUNTIFS('Trade Log'!$L$4:$L$503,$A157))</f>
        <v>0</v>
      </c>
      <c r="D157" s="40" t="n">
        <f aca="false">IF($A157="","",SUMIFS('Trade Log'!$Q$4:$Q$503,'Trade Log'!$L$4:$L$503,$A157,'Trade Log'!$E$4:$E$503,"LONG"))</f>
        <v>0</v>
      </c>
      <c r="E157" s="40" t="n">
        <f aca="false">IF($A157="","",SUMIFS('Trade Log'!$Q$4:$Q$503,'Trade Log'!$L$4:$L$503,$A157,'Trade Log'!$E$4:$E$503,"SHORT"))</f>
        <v>0</v>
      </c>
      <c r="F157" s="40" t="n">
        <f aca="false">IF($A157="","",$D157+$E157)</f>
        <v>0</v>
      </c>
      <c r="G157" s="40" t="n">
        <f aca="false">IF($A157="","",SUMIFS('Trade Log'!$Y$4:$Y$503,'Trade Log'!$L$4:$L$503,$A157))</f>
        <v>0</v>
      </c>
      <c r="H157" s="40" t="str">
        <f aca="false">IF($A157="","",IF($C157=0,"",$F157-$G157))</f>
        <v/>
      </c>
      <c r="I157" s="40" t="n">
        <f aca="false">IF($A157="","",$I156+IF($H157="",0,$H157))</f>
        <v>23918.5521880349</v>
      </c>
      <c r="J157" s="40" t="n">
        <f aca="false">IF($A157="","",Config!$B$4+$I157)</f>
        <v>1023918.55218803</v>
      </c>
      <c r="K157" s="40" t="n">
        <f aca="false">IF($A157="","",MAX($J$4:$J157))</f>
        <v>1023918.55218803</v>
      </c>
      <c r="L157" s="40" t="n">
        <f aca="false">IF($A157="","",$J157-$K157)</f>
        <v>0</v>
      </c>
      <c r="M157" s="42" t="n">
        <f aca="false">IF(OR($A157="",$K157=0),"",$L157/$K157)</f>
        <v>0</v>
      </c>
      <c r="N157" s="40" t="n">
        <f aca="false">IF($A157="","",SUMIFS('Trade Log'!$K$4:$K$503,'Trade Log'!$H$4:$H$503,$A157))</f>
        <v>0</v>
      </c>
      <c r="O157" s="42" t="str">
        <f aca="false">IF(OR($A157="",$H157="",Config!$B$4=0),"",$H157/Config!$B$4)</f>
        <v/>
      </c>
      <c r="P157" s="40" t="n">
        <f aca="false">IF($A157="","",SUM($H$138:$H157))</f>
        <v>0</v>
      </c>
      <c r="Q157" s="53" t="str">
        <f aca="false">IF($A157="","",IFERROR((AVERAGE($O$138:$O157)-Config!$B$7/Config!$B$6)/STDEV($O$138:$O157)*SQRT(Config!$B$6),""))</f>
        <v/>
      </c>
      <c r="R157" s="53" t="str">
        <f aca="false">IF($A157="","",IFERROR((AVERAGE($O$98:$O157)-Config!$B$7/Config!$B$6)/STDEV($O$98:$O157)*SQRT(Config!$B$6),""))</f>
        <v/>
      </c>
      <c r="S157" s="47" t="n">
        <f aca="false">IF($H157="",$S156,IF($H157&gt;0,$S156+1,0))</f>
        <v>1</v>
      </c>
      <c r="T157" s="47" t="n">
        <f aca="false">IF($H157="",$T156,IF($H157&lt;0,$T156+1,0))</f>
        <v>0</v>
      </c>
    </row>
    <row r="158" customFormat="false" ht="15" hidden="false" customHeight="false" outlineLevel="0" collapsed="false">
      <c r="A158" s="54" t="n">
        <f aca="false">IF($A157="","",$A157+1)</f>
        <v>46389</v>
      </c>
      <c r="B158" s="5" t="str">
        <f aca="false">IF($A158="","",TEXT($A158,"ddd"))</f>
        <v>Sat</v>
      </c>
      <c r="C158" s="41" t="n">
        <f aca="false">IF($A158="","",COUNTIFS('Trade Log'!$L$4:$L$503,$A158))</f>
        <v>0</v>
      </c>
      <c r="D158" s="40" t="n">
        <f aca="false">IF($A158="","",SUMIFS('Trade Log'!$Q$4:$Q$503,'Trade Log'!$L$4:$L$503,$A158,'Trade Log'!$E$4:$E$503,"LONG"))</f>
        <v>0</v>
      </c>
      <c r="E158" s="40" t="n">
        <f aca="false">IF($A158="","",SUMIFS('Trade Log'!$Q$4:$Q$503,'Trade Log'!$L$4:$L$503,$A158,'Trade Log'!$E$4:$E$503,"SHORT"))</f>
        <v>0</v>
      </c>
      <c r="F158" s="40" t="n">
        <f aca="false">IF($A158="","",$D158+$E158)</f>
        <v>0</v>
      </c>
      <c r="G158" s="40" t="n">
        <f aca="false">IF($A158="","",SUMIFS('Trade Log'!$Y$4:$Y$503,'Trade Log'!$L$4:$L$503,$A158))</f>
        <v>0</v>
      </c>
      <c r="H158" s="40" t="str">
        <f aca="false">IF($A158="","",IF($C158=0,"",$F158-$G158))</f>
        <v/>
      </c>
      <c r="I158" s="40" t="n">
        <f aca="false">IF($A158="","",$I157+IF($H158="",0,$H158))</f>
        <v>23918.5521880349</v>
      </c>
      <c r="J158" s="40" t="n">
        <f aca="false">IF($A158="","",Config!$B$4+$I158)</f>
        <v>1023918.55218803</v>
      </c>
      <c r="K158" s="40" t="n">
        <f aca="false">IF($A158="","",MAX($J$4:$J158))</f>
        <v>1023918.55218803</v>
      </c>
      <c r="L158" s="40" t="n">
        <f aca="false">IF($A158="","",$J158-$K158)</f>
        <v>0</v>
      </c>
      <c r="M158" s="42" t="n">
        <f aca="false">IF(OR($A158="",$K158=0),"",$L158/$K158)</f>
        <v>0</v>
      </c>
      <c r="N158" s="40" t="n">
        <f aca="false">IF($A158="","",SUMIFS('Trade Log'!$K$4:$K$503,'Trade Log'!$H$4:$H$503,$A158))</f>
        <v>0</v>
      </c>
      <c r="O158" s="42" t="str">
        <f aca="false">IF(OR($A158="",$H158="",Config!$B$4=0),"",$H158/Config!$B$4)</f>
        <v/>
      </c>
      <c r="P158" s="40" t="n">
        <f aca="false">IF($A158="","",SUM($H$139:$H158))</f>
        <v>0</v>
      </c>
      <c r="Q158" s="53" t="str">
        <f aca="false">IF($A158="","",IFERROR((AVERAGE($O$139:$O158)-Config!$B$7/Config!$B$6)/STDEV($O$139:$O158)*SQRT(Config!$B$6),""))</f>
        <v/>
      </c>
      <c r="R158" s="53" t="str">
        <f aca="false">IF($A158="","",IFERROR((AVERAGE($O$99:$O158)-Config!$B$7/Config!$B$6)/STDEV($O$99:$O158)*SQRT(Config!$B$6),""))</f>
        <v/>
      </c>
      <c r="S158" s="47" t="n">
        <f aca="false">IF($H158="",$S157,IF($H158&gt;0,$S157+1,0))</f>
        <v>1</v>
      </c>
      <c r="T158" s="47" t="n">
        <f aca="false">IF($H158="",$T157,IF($H158&lt;0,$T157+1,0))</f>
        <v>0</v>
      </c>
    </row>
    <row r="159" customFormat="false" ht="15" hidden="false" customHeight="false" outlineLevel="0" collapsed="false">
      <c r="A159" s="54" t="n">
        <f aca="false">IF($A158="","",$A158+1)</f>
        <v>46390</v>
      </c>
      <c r="B159" s="5" t="str">
        <f aca="false">IF($A159="","",TEXT($A159,"ddd"))</f>
        <v>Sun</v>
      </c>
      <c r="C159" s="41" t="n">
        <f aca="false">IF($A159="","",COUNTIFS('Trade Log'!$L$4:$L$503,$A159))</f>
        <v>0</v>
      </c>
      <c r="D159" s="40" t="n">
        <f aca="false">IF($A159="","",SUMIFS('Trade Log'!$Q$4:$Q$503,'Trade Log'!$L$4:$L$503,$A159,'Trade Log'!$E$4:$E$503,"LONG"))</f>
        <v>0</v>
      </c>
      <c r="E159" s="40" t="n">
        <f aca="false">IF($A159="","",SUMIFS('Trade Log'!$Q$4:$Q$503,'Trade Log'!$L$4:$L$503,$A159,'Trade Log'!$E$4:$E$503,"SHORT"))</f>
        <v>0</v>
      </c>
      <c r="F159" s="40" t="n">
        <f aca="false">IF($A159="","",$D159+$E159)</f>
        <v>0</v>
      </c>
      <c r="G159" s="40" t="n">
        <f aca="false">IF($A159="","",SUMIFS('Trade Log'!$Y$4:$Y$503,'Trade Log'!$L$4:$L$503,$A159))</f>
        <v>0</v>
      </c>
      <c r="H159" s="40" t="str">
        <f aca="false">IF($A159="","",IF($C159=0,"",$F159-$G159))</f>
        <v/>
      </c>
      <c r="I159" s="40" t="n">
        <f aca="false">IF($A159="","",$I158+IF($H159="",0,$H159))</f>
        <v>23918.5521880349</v>
      </c>
      <c r="J159" s="40" t="n">
        <f aca="false">IF($A159="","",Config!$B$4+$I159)</f>
        <v>1023918.55218803</v>
      </c>
      <c r="K159" s="40" t="n">
        <f aca="false">IF($A159="","",MAX($J$4:$J159))</f>
        <v>1023918.55218803</v>
      </c>
      <c r="L159" s="40" t="n">
        <f aca="false">IF($A159="","",$J159-$K159)</f>
        <v>0</v>
      </c>
      <c r="M159" s="42" t="n">
        <f aca="false">IF(OR($A159="",$K159=0),"",$L159/$K159)</f>
        <v>0</v>
      </c>
      <c r="N159" s="40" t="n">
        <f aca="false">IF($A159="","",SUMIFS('Trade Log'!$K$4:$K$503,'Trade Log'!$H$4:$H$503,$A159))</f>
        <v>0</v>
      </c>
      <c r="O159" s="42" t="str">
        <f aca="false">IF(OR($A159="",$H159="",Config!$B$4=0),"",$H159/Config!$B$4)</f>
        <v/>
      </c>
      <c r="P159" s="40" t="n">
        <f aca="false">IF($A159="","",SUM($H$140:$H159))</f>
        <v>0</v>
      </c>
      <c r="Q159" s="53" t="str">
        <f aca="false">IF($A159="","",IFERROR((AVERAGE($O$140:$O159)-Config!$B$7/Config!$B$6)/STDEV($O$140:$O159)*SQRT(Config!$B$6),""))</f>
        <v/>
      </c>
      <c r="R159" s="53" t="str">
        <f aca="false">IF($A159="","",IFERROR((AVERAGE($O$100:$O159)-Config!$B$7/Config!$B$6)/STDEV($O$100:$O159)*SQRT(Config!$B$6),""))</f>
        <v/>
      </c>
      <c r="S159" s="47" t="n">
        <f aca="false">IF($H159="",$S158,IF($H159&gt;0,$S158+1,0))</f>
        <v>1</v>
      </c>
      <c r="T159" s="47" t="n">
        <f aca="false">IF($H159="",$T158,IF($H159&lt;0,$T158+1,0))</f>
        <v>0</v>
      </c>
    </row>
    <row r="160" customFormat="false" ht="15" hidden="false" customHeight="false" outlineLevel="0" collapsed="false">
      <c r="A160" s="54" t="n">
        <f aca="false">IF($A159="","",$A159+1)</f>
        <v>46391</v>
      </c>
      <c r="B160" s="5" t="str">
        <f aca="false">IF($A160="","",TEXT($A160,"ddd"))</f>
        <v>Mon</v>
      </c>
      <c r="C160" s="41" t="n">
        <f aca="false">IF($A160="","",COUNTIFS('Trade Log'!$L$4:$L$503,$A160))</f>
        <v>0</v>
      </c>
      <c r="D160" s="40" t="n">
        <f aca="false">IF($A160="","",SUMIFS('Trade Log'!$Q$4:$Q$503,'Trade Log'!$L$4:$L$503,$A160,'Trade Log'!$E$4:$E$503,"LONG"))</f>
        <v>0</v>
      </c>
      <c r="E160" s="40" t="n">
        <f aca="false">IF($A160="","",SUMIFS('Trade Log'!$Q$4:$Q$503,'Trade Log'!$L$4:$L$503,$A160,'Trade Log'!$E$4:$E$503,"SHORT"))</f>
        <v>0</v>
      </c>
      <c r="F160" s="40" t="n">
        <f aca="false">IF($A160="","",$D160+$E160)</f>
        <v>0</v>
      </c>
      <c r="G160" s="40" t="n">
        <f aca="false">IF($A160="","",SUMIFS('Trade Log'!$Y$4:$Y$503,'Trade Log'!$L$4:$L$503,$A160))</f>
        <v>0</v>
      </c>
      <c r="H160" s="40" t="str">
        <f aca="false">IF($A160="","",IF($C160=0,"",$F160-$G160))</f>
        <v/>
      </c>
      <c r="I160" s="40" t="n">
        <f aca="false">IF($A160="","",$I159+IF($H160="",0,$H160))</f>
        <v>23918.5521880349</v>
      </c>
      <c r="J160" s="40" t="n">
        <f aca="false">IF($A160="","",Config!$B$4+$I160)</f>
        <v>1023918.55218803</v>
      </c>
      <c r="K160" s="40" t="n">
        <f aca="false">IF($A160="","",MAX($J$4:$J160))</f>
        <v>1023918.55218803</v>
      </c>
      <c r="L160" s="40" t="n">
        <f aca="false">IF($A160="","",$J160-$K160)</f>
        <v>0</v>
      </c>
      <c r="M160" s="42" t="n">
        <f aca="false">IF(OR($A160="",$K160=0),"",$L160/$K160)</f>
        <v>0</v>
      </c>
      <c r="N160" s="40" t="n">
        <f aca="false">IF($A160="","",SUMIFS('Trade Log'!$K$4:$K$503,'Trade Log'!$H$4:$H$503,$A160))</f>
        <v>0</v>
      </c>
      <c r="O160" s="42" t="str">
        <f aca="false">IF(OR($A160="",$H160="",Config!$B$4=0),"",$H160/Config!$B$4)</f>
        <v/>
      </c>
      <c r="P160" s="40" t="n">
        <f aca="false">IF($A160="","",SUM($H$141:$H160))</f>
        <v>0</v>
      </c>
      <c r="Q160" s="53" t="str">
        <f aca="false">IF($A160="","",IFERROR((AVERAGE($O$141:$O160)-Config!$B$7/Config!$B$6)/STDEV($O$141:$O160)*SQRT(Config!$B$6),""))</f>
        <v/>
      </c>
      <c r="R160" s="53" t="str">
        <f aca="false">IF($A160="","",IFERROR((AVERAGE($O$101:$O160)-Config!$B$7/Config!$B$6)/STDEV($O$101:$O160)*SQRT(Config!$B$6),""))</f>
        <v/>
      </c>
      <c r="S160" s="47" t="n">
        <f aca="false">IF($H160="",$S159,IF($H160&gt;0,$S159+1,0))</f>
        <v>1</v>
      </c>
      <c r="T160" s="47" t="n">
        <f aca="false">IF($H160="",$T159,IF($H160&lt;0,$T159+1,0))</f>
        <v>0</v>
      </c>
    </row>
    <row r="161" customFormat="false" ht="15" hidden="false" customHeight="false" outlineLevel="0" collapsed="false">
      <c r="A161" s="54" t="n">
        <f aca="false">IF($A160="","",$A160+1)</f>
        <v>46392</v>
      </c>
      <c r="B161" s="5" t="str">
        <f aca="false">IF($A161="","",TEXT($A161,"ddd"))</f>
        <v>Tue</v>
      </c>
      <c r="C161" s="41" t="n">
        <f aca="false">IF($A161="","",COUNTIFS('Trade Log'!$L$4:$L$503,$A161))</f>
        <v>0</v>
      </c>
      <c r="D161" s="40" t="n">
        <f aca="false">IF($A161="","",SUMIFS('Trade Log'!$Q$4:$Q$503,'Trade Log'!$L$4:$L$503,$A161,'Trade Log'!$E$4:$E$503,"LONG"))</f>
        <v>0</v>
      </c>
      <c r="E161" s="40" t="n">
        <f aca="false">IF($A161="","",SUMIFS('Trade Log'!$Q$4:$Q$503,'Trade Log'!$L$4:$L$503,$A161,'Trade Log'!$E$4:$E$503,"SHORT"))</f>
        <v>0</v>
      </c>
      <c r="F161" s="40" t="n">
        <f aca="false">IF($A161="","",$D161+$E161)</f>
        <v>0</v>
      </c>
      <c r="G161" s="40" t="n">
        <f aca="false">IF($A161="","",SUMIFS('Trade Log'!$Y$4:$Y$503,'Trade Log'!$L$4:$L$503,$A161))</f>
        <v>0</v>
      </c>
      <c r="H161" s="40" t="str">
        <f aca="false">IF($A161="","",IF($C161=0,"",$F161-$G161))</f>
        <v/>
      </c>
      <c r="I161" s="40" t="n">
        <f aca="false">IF($A161="","",$I160+IF($H161="",0,$H161))</f>
        <v>23918.5521880349</v>
      </c>
      <c r="J161" s="40" t="n">
        <f aca="false">IF($A161="","",Config!$B$4+$I161)</f>
        <v>1023918.55218803</v>
      </c>
      <c r="K161" s="40" t="n">
        <f aca="false">IF($A161="","",MAX($J$4:$J161))</f>
        <v>1023918.55218803</v>
      </c>
      <c r="L161" s="40" t="n">
        <f aca="false">IF($A161="","",$J161-$K161)</f>
        <v>0</v>
      </c>
      <c r="M161" s="42" t="n">
        <f aca="false">IF(OR($A161="",$K161=0),"",$L161/$K161)</f>
        <v>0</v>
      </c>
      <c r="N161" s="40" t="n">
        <f aca="false">IF($A161="","",SUMIFS('Trade Log'!$K$4:$K$503,'Trade Log'!$H$4:$H$503,$A161))</f>
        <v>0</v>
      </c>
      <c r="O161" s="42" t="str">
        <f aca="false">IF(OR($A161="",$H161="",Config!$B$4=0),"",$H161/Config!$B$4)</f>
        <v/>
      </c>
      <c r="P161" s="40" t="n">
        <f aca="false">IF($A161="","",SUM($H$142:$H161))</f>
        <v>0</v>
      </c>
      <c r="Q161" s="53" t="str">
        <f aca="false">IF($A161="","",IFERROR((AVERAGE($O$142:$O161)-Config!$B$7/Config!$B$6)/STDEV($O$142:$O161)*SQRT(Config!$B$6),""))</f>
        <v/>
      </c>
      <c r="R161" s="53" t="str">
        <f aca="false">IF($A161="","",IFERROR((AVERAGE($O$102:$O161)-Config!$B$7/Config!$B$6)/STDEV($O$102:$O161)*SQRT(Config!$B$6),""))</f>
        <v/>
      </c>
      <c r="S161" s="47" t="n">
        <f aca="false">IF($H161="",$S160,IF($H161&gt;0,$S160+1,0))</f>
        <v>1</v>
      </c>
      <c r="T161" s="47" t="n">
        <f aca="false">IF($H161="",$T160,IF($H161&lt;0,$T160+1,0))</f>
        <v>0</v>
      </c>
    </row>
    <row r="162" customFormat="false" ht="15" hidden="false" customHeight="false" outlineLevel="0" collapsed="false">
      <c r="A162" s="54" t="n">
        <f aca="false">IF($A161="","",$A161+1)</f>
        <v>46393</v>
      </c>
      <c r="B162" s="5" t="str">
        <f aca="false">IF($A162="","",TEXT($A162,"ddd"))</f>
        <v>Wed</v>
      </c>
      <c r="C162" s="41" t="n">
        <f aca="false">IF($A162="","",COUNTIFS('Trade Log'!$L$4:$L$503,$A162))</f>
        <v>0</v>
      </c>
      <c r="D162" s="40" t="n">
        <f aca="false">IF($A162="","",SUMIFS('Trade Log'!$Q$4:$Q$503,'Trade Log'!$L$4:$L$503,$A162,'Trade Log'!$E$4:$E$503,"LONG"))</f>
        <v>0</v>
      </c>
      <c r="E162" s="40" t="n">
        <f aca="false">IF($A162="","",SUMIFS('Trade Log'!$Q$4:$Q$503,'Trade Log'!$L$4:$L$503,$A162,'Trade Log'!$E$4:$E$503,"SHORT"))</f>
        <v>0</v>
      </c>
      <c r="F162" s="40" t="n">
        <f aca="false">IF($A162="","",$D162+$E162)</f>
        <v>0</v>
      </c>
      <c r="G162" s="40" t="n">
        <f aca="false">IF($A162="","",SUMIFS('Trade Log'!$Y$4:$Y$503,'Trade Log'!$L$4:$L$503,$A162))</f>
        <v>0</v>
      </c>
      <c r="H162" s="40" t="str">
        <f aca="false">IF($A162="","",IF($C162=0,"",$F162-$G162))</f>
        <v/>
      </c>
      <c r="I162" s="40" t="n">
        <f aca="false">IF($A162="","",$I161+IF($H162="",0,$H162))</f>
        <v>23918.5521880349</v>
      </c>
      <c r="J162" s="40" t="n">
        <f aca="false">IF($A162="","",Config!$B$4+$I162)</f>
        <v>1023918.55218803</v>
      </c>
      <c r="K162" s="40" t="n">
        <f aca="false">IF($A162="","",MAX($J$4:$J162))</f>
        <v>1023918.55218803</v>
      </c>
      <c r="L162" s="40" t="n">
        <f aca="false">IF($A162="","",$J162-$K162)</f>
        <v>0</v>
      </c>
      <c r="M162" s="42" t="n">
        <f aca="false">IF(OR($A162="",$K162=0),"",$L162/$K162)</f>
        <v>0</v>
      </c>
      <c r="N162" s="40" t="n">
        <f aca="false">IF($A162="","",SUMIFS('Trade Log'!$K$4:$K$503,'Trade Log'!$H$4:$H$503,$A162))</f>
        <v>0</v>
      </c>
      <c r="O162" s="42" t="str">
        <f aca="false">IF(OR($A162="",$H162="",Config!$B$4=0),"",$H162/Config!$B$4)</f>
        <v/>
      </c>
      <c r="P162" s="40" t="n">
        <f aca="false">IF($A162="","",SUM($H$143:$H162))</f>
        <v>0</v>
      </c>
      <c r="Q162" s="53" t="str">
        <f aca="false">IF($A162="","",IFERROR((AVERAGE($O$143:$O162)-Config!$B$7/Config!$B$6)/STDEV($O$143:$O162)*SQRT(Config!$B$6),""))</f>
        <v/>
      </c>
      <c r="R162" s="53" t="str">
        <f aca="false">IF($A162="","",IFERROR((AVERAGE($O$103:$O162)-Config!$B$7/Config!$B$6)/STDEV($O$103:$O162)*SQRT(Config!$B$6),""))</f>
        <v/>
      </c>
      <c r="S162" s="47" t="n">
        <f aca="false">IF($H162="",$S161,IF($H162&gt;0,$S161+1,0))</f>
        <v>1</v>
      </c>
      <c r="T162" s="47" t="n">
        <f aca="false">IF($H162="",$T161,IF($H162&lt;0,$T161+1,0))</f>
        <v>0</v>
      </c>
    </row>
    <row r="163" customFormat="false" ht="15" hidden="false" customHeight="false" outlineLevel="0" collapsed="false">
      <c r="A163" s="54" t="n">
        <f aca="false">IF($A162="","",$A162+1)</f>
        <v>46394</v>
      </c>
      <c r="B163" s="5" t="str">
        <f aca="false">IF($A163="","",TEXT($A163,"ddd"))</f>
        <v>Thu</v>
      </c>
      <c r="C163" s="41" t="n">
        <f aca="false">IF($A163="","",COUNTIFS('Trade Log'!$L$4:$L$503,$A163))</f>
        <v>0</v>
      </c>
      <c r="D163" s="40" t="n">
        <f aca="false">IF($A163="","",SUMIFS('Trade Log'!$Q$4:$Q$503,'Trade Log'!$L$4:$L$503,$A163,'Trade Log'!$E$4:$E$503,"LONG"))</f>
        <v>0</v>
      </c>
      <c r="E163" s="40" t="n">
        <f aca="false">IF($A163="","",SUMIFS('Trade Log'!$Q$4:$Q$503,'Trade Log'!$L$4:$L$503,$A163,'Trade Log'!$E$4:$E$503,"SHORT"))</f>
        <v>0</v>
      </c>
      <c r="F163" s="40" t="n">
        <f aca="false">IF($A163="","",$D163+$E163)</f>
        <v>0</v>
      </c>
      <c r="G163" s="40" t="n">
        <f aca="false">IF($A163="","",SUMIFS('Trade Log'!$Y$4:$Y$503,'Trade Log'!$L$4:$L$503,$A163))</f>
        <v>0</v>
      </c>
      <c r="H163" s="40" t="str">
        <f aca="false">IF($A163="","",IF($C163=0,"",$F163-$G163))</f>
        <v/>
      </c>
      <c r="I163" s="40" t="n">
        <f aca="false">IF($A163="","",$I162+IF($H163="",0,$H163))</f>
        <v>23918.5521880349</v>
      </c>
      <c r="J163" s="40" t="n">
        <f aca="false">IF($A163="","",Config!$B$4+$I163)</f>
        <v>1023918.55218803</v>
      </c>
      <c r="K163" s="40" t="n">
        <f aca="false">IF($A163="","",MAX($J$4:$J163))</f>
        <v>1023918.55218803</v>
      </c>
      <c r="L163" s="40" t="n">
        <f aca="false">IF($A163="","",$J163-$K163)</f>
        <v>0</v>
      </c>
      <c r="M163" s="42" t="n">
        <f aca="false">IF(OR($A163="",$K163=0),"",$L163/$K163)</f>
        <v>0</v>
      </c>
      <c r="N163" s="40" t="n">
        <f aca="false">IF($A163="","",SUMIFS('Trade Log'!$K$4:$K$503,'Trade Log'!$H$4:$H$503,$A163))</f>
        <v>0</v>
      </c>
      <c r="O163" s="42" t="str">
        <f aca="false">IF(OR($A163="",$H163="",Config!$B$4=0),"",$H163/Config!$B$4)</f>
        <v/>
      </c>
      <c r="P163" s="40" t="n">
        <f aca="false">IF($A163="","",SUM($H$144:$H163))</f>
        <v>0</v>
      </c>
      <c r="Q163" s="53" t="str">
        <f aca="false">IF($A163="","",IFERROR((AVERAGE($O$144:$O163)-Config!$B$7/Config!$B$6)/STDEV($O$144:$O163)*SQRT(Config!$B$6),""))</f>
        <v/>
      </c>
      <c r="R163" s="53" t="str">
        <f aca="false">IF($A163="","",IFERROR((AVERAGE($O$104:$O163)-Config!$B$7/Config!$B$6)/STDEV($O$104:$O163)*SQRT(Config!$B$6),""))</f>
        <v/>
      </c>
      <c r="S163" s="47" t="n">
        <f aca="false">IF($H163="",$S162,IF($H163&gt;0,$S162+1,0))</f>
        <v>1</v>
      </c>
      <c r="T163" s="47" t="n">
        <f aca="false">IF($H163="",$T162,IF($H163&lt;0,$T162+1,0))</f>
        <v>0</v>
      </c>
    </row>
    <row r="164" customFormat="false" ht="15" hidden="false" customHeight="false" outlineLevel="0" collapsed="false">
      <c r="A164" s="54" t="n">
        <f aca="false">IF($A163="","",$A163+1)</f>
        <v>46395</v>
      </c>
      <c r="B164" s="5" t="str">
        <f aca="false">IF($A164="","",TEXT($A164,"ddd"))</f>
        <v>Fri</v>
      </c>
      <c r="C164" s="41" t="n">
        <f aca="false">IF($A164="","",COUNTIFS('Trade Log'!$L$4:$L$503,$A164))</f>
        <v>0</v>
      </c>
      <c r="D164" s="40" t="n">
        <f aca="false">IF($A164="","",SUMIFS('Trade Log'!$Q$4:$Q$503,'Trade Log'!$L$4:$L$503,$A164,'Trade Log'!$E$4:$E$503,"LONG"))</f>
        <v>0</v>
      </c>
      <c r="E164" s="40" t="n">
        <f aca="false">IF($A164="","",SUMIFS('Trade Log'!$Q$4:$Q$503,'Trade Log'!$L$4:$L$503,$A164,'Trade Log'!$E$4:$E$503,"SHORT"))</f>
        <v>0</v>
      </c>
      <c r="F164" s="40" t="n">
        <f aca="false">IF($A164="","",$D164+$E164)</f>
        <v>0</v>
      </c>
      <c r="G164" s="40" t="n">
        <f aca="false">IF($A164="","",SUMIFS('Trade Log'!$Y$4:$Y$503,'Trade Log'!$L$4:$L$503,$A164))</f>
        <v>0</v>
      </c>
      <c r="H164" s="40" t="str">
        <f aca="false">IF($A164="","",IF($C164=0,"",$F164-$G164))</f>
        <v/>
      </c>
      <c r="I164" s="40" t="n">
        <f aca="false">IF($A164="","",$I163+IF($H164="",0,$H164))</f>
        <v>23918.5521880349</v>
      </c>
      <c r="J164" s="40" t="n">
        <f aca="false">IF($A164="","",Config!$B$4+$I164)</f>
        <v>1023918.55218803</v>
      </c>
      <c r="K164" s="40" t="n">
        <f aca="false">IF($A164="","",MAX($J$4:$J164))</f>
        <v>1023918.55218803</v>
      </c>
      <c r="L164" s="40" t="n">
        <f aca="false">IF($A164="","",$J164-$K164)</f>
        <v>0</v>
      </c>
      <c r="M164" s="42" t="n">
        <f aca="false">IF(OR($A164="",$K164=0),"",$L164/$K164)</f>
        <v>0</v>
      </c>
      <c r="N164" s="40" t="n">
        <f aca="false">IF($A164="","",SUMIFS('Trade Log'!$K$4:$K$503,'Trade Log'!$H$4:$H$503,$A164))</f>
        <v>0</v>
      </c>
      <c r="O164" s="42" t="str">
        <f aca="false">IF(OR($A164="",$H164="",Config!$B$4=0),"",$H164/Config!$B$4)</f>
        <v/>
      </c>
      <c r="P164" s="40" t="n">
        <f aca="false">IF($A164="","",SUM($H$145:$H164))</f>
        <v>0</v>
      </c>
      <c r="Q164" s="53" t="str">
        <f aca="false">IF($A164="","",IFERROR((AVERAGE($O$145:$O164)-Config!$B$7/Config!$B$6)/STDEV($O$145:$O164)*SQRT(Config!$B$6),""))</f>
        <v/>
      </c>
      <c r="R164" s="53" t="str">
        <f aca="false">IF($A164="","",IFERROR((AVERAGE($O$105:$O164)-Config!$B$7/Config!$B$6)/STDEV($O$105:$O164)*SQRT(Config!$B$6),""))</f>
        <v/>
      </c>
      <c r="S164" s="47" t="n">
        <f aca="false">IF($H164="",$S163,IF($H164&gt;0,$S163+1,0))</f>
        <v>1</v>
      </c>
      <c r="T164" s="47" t="n">
        <f aca="false">IF($H164="",$T163,IF($H164&lt;0,$T163+1,0))</f>
        <v>0</v>
      </c>
    </row>
    <row r="165" customFormat="false" ht="15" hidden="false" customHeight="false" outlineLevel="0" collapsed="false">
      <c r="A165" s="54" t="n">
        <f aca="false">IF($A164="","",$A164+1)</f>
        <v>46396</v>
      </c>
      <c r="B165" s="5" t="str">
        <f aca="false">IF($A165="","",TEXT($A165,"ddd"))</f>
        <v>Sat</v>
      </c>
      <c r="C165" s="41" t="n">
        <f aca="false">IF($A165="","",COUNTIFS('Trade Log'!$L$4:$L$503,$A165))</f>
        <v>0</v>
      </c>
      <c r="D165" s="40" t="n">
        <f aca="false">IF($A165="","",SUMIFS('Trade Log'!$Q$4:$Q$503,'Trade Log'!$L$4:$L$503,$A165,'Trade Log'!$E$4:$E$503,"LONG"))</f>
        <v>0</v>
      </c>
      <c r="E165" s="40" t="n">
        <f aca="false">IF($A165="","",SUMIFS('Trade Log'!$Q$4:$Q$503,'Trade Log'!$L$4:$L$503,$A165,'Trade Log'!$E$4:$E$503,"SHORT"))</f>
        <v>0</v>
      </c>
      <c r="F165" s="40" t="n">
        <f aca="false">IF($A165="","",$D165+$E165)</f>
        <v>0</v>
      </c>
      <c r="G165" s="40" t="n">
        <f aca="false">IF($A165="","",SUMIFS('Trade Log'!$Y$4:$Y$503,'Trade Log'!$L$4:$L$503,$A165))</f>
        <v>0</v>
      </c>
      <c r="H165" s="40" t="str">
        <f aca="false">IF($A165="","",IF($C165=0,"",$F165-$G165))</f>
        <v/>
      </c>
      <c r="I165" s="40" t="n">
        <f aca="false">IF($A165="","",$I164+IF($H165="",0,$H165))</f>
        <v>23918.5521880349</v>
      </c>
      <c r="J165" s="40" t="n">
        <f aca="false">IF($A165="","",Config!$B$4+$I165)</f>
        <v>1023918.55218803</v>
      </c>
      <c r="K165" s="40" t="n">
        <f aca="false">IF($A165="","",MAX($J$4:$J165))</f>
        <v>1023918.55218803</v>
      </c>
      <c r="L165" s="40" t="n">
        <f aca="false">IF($A165="","",$J165-$K165)</f>
        <v>0</v>
      </c>
      <c r="M165" s="42" t="n">
        <f aca="false">IF(OR($A165="",$K165=0),"",$L165/$K165)</f>
        <v>0</v>
      </c>
      <c r="N165" s="40" t="n">
        <f aca="false">IF($A165="","",SUMIFS('Trade Log'!$K$4:$K$503,'Trade Log'!$H$4:$H$503,$A165))</f>
        <v>0</v>
      </c>
      <c r="O165" s="42" t="str">
        <f aca="false">IF(OR($A165="",$H165="",Config!$B$4=0),"",$H165/Config!$B$4)</f>
        <v/>
      </c>
      <c r="P165" s="40" t="n">
        <f aca="false">IF($A165="","",SUM($H$146:$H165))</f>
        <v>0</v>
      </c>
      <c r="Q165" s="53" t="str">
        <f aca="false">IF($A165="","",IFERROR((AVERAGE($O$146:$O165)-Config!$B$7/Config!$B$6)/STDEV($O$146:$O165)*SQRT(Config!$B$6),""))</f>
        <v/>
      </c>
      <c r="R165" s="53" t="str">
        <f aca="false">IF($A165="","",IFERROR((AVERAGE($O$106:$O165)-Config!$B$7/Config!$B$6)/STDEV($O$106:$O165)*SQRT(Config!$B$6),""))</f>
        <v/>
      </c>
      <c r="S165" s="47" t="n">
        <f aca="false">IF($H165="",$S164,IF($H165&gt;0,$S164+1,0))</f>
        <v>1</v>
      </c>
      <c r="T165" s="47" t="n">
        <f aca="false">IF($H165="",$T164,IF($H165&lt;0,$T164+1,0))</f>
        <v>0</v>
      </c>
    </row>
    <row r="166" customFormat="false" ht="15" hidden="false" customHeight="false" outlineLevel="0" collapsed="false">
      <c r="A166" s="54" t="n">
        <f aca="false">IF($A165="","",$A165+1)</f>
        <v>46397</v>
      </c>
      <c r="B166" s="5" t="str">
        <f aca="false">IF($A166="","",TEXT($A166,"ddd"))</f>
        <v>Sun</v>
      </c>
      <c r="C166" s="41" t="n">
        <f aca="false">IF($A166="","",COUNTIFS('Trade Log'!$L$4:$L$503,$A166))</f>
        <v>0</v>
      </c>
      <c r="D166" s="40" t="n">
        <f aca="false">IF($A166="","",SUMIFS('Trade Log'!$Q$4:$Q$503,'Trade Log'!$L$4:$L$503,$A166,'Trade Log'!$E$4:$E$503,"LONG"))</f>
        <v>0</v>
      </c>
      <c r="E166" s="40" t="n">
        <f aca="false">IF($A166="","",SUMIFS('Trade Log'!$Q$4:$Q$503,'Trade Log'!$L$4:$L$503,$A166,'Trade Log'!$E$4:$E$503,"SHORT"))</f>
        <v>0</v>
      </c>
      <c r="F166" s="40" t="n">
        <f aca="false">IF($A166="","",$D166+$E166)</f>
        <v>0</v>
      </c>
      <c r="G166" s="40" t="n">
        <f aca="false">IF($A166="","",SUMIFS('Trade Log'!$Y$4:$Y$503,'Trade Log'!$L$4:$L$503,$A166))</f>
        <v>0</v>
      </c>
      <c r="H166" s="40" t="str">
        <f aca="false">IF($A166="","",IF($C166=0,"",$F166-$G166))</f>
        <v/>
      </c>
      <c r="I166" s="40" t="n">
        <f aca="false">IF($A166="","",$I165+IF($H166="",0,$H166))</f>
        <v>23918.5521880349</v>
      </c>
      <c r="J166" s="40" t="n">
        <f aca="false">IF($A166="","",Config!$B$4+$I166)</f>
        <v>1023918.55218803</v>
      </c>
      <c r="K166" s="40" t="n">
        <f aca="false">IF($A166="","",MAX($J$4:$J166))</f>
        <v>1023918.55218803</v>
      </c>
      <c r="L166" s="40" t="n">
        <f aca="false">IF($A166="","",$J166-$K166)</f>
        <v>0</v>
      </c>
      <c r="M166" s="42" t="n">
        <f aca="false">IF(OR($A166="",$K166=0),"",$L166/$K166)</f>
        <v>0</v>
      </c>
      <c r="N166" s="40" t="n">
        <f aca="false">IF($A166="","",SUMIFS('Trade Log'!$K$4:$K$503,'Trade Log'!$H$4:$H$503,$A166))</f>
        <v>0</v>
      </c>
      <c r="O166" s="42" t="str">
        <f aca="false">IF(OR($A166="",$H166="",Config!$B$4=0),"",$H166/Config!$B$4)</f>
        <v/>
      </c>
      <c r="P166" s="40" t="n">
        <f aca="false">IF($A166="","",SUM($H$147:$H166))</f>
        <v>0</v>
      </c>
      <c r="Q166" s="53" t="str">
        <f aca="false">IF($A166="","",IFERROR((AVERAGE($O$147:$O166)-Config!$B$7/Config!$B$6)/STDEV($O$147:$O166)*SQRT(Config!$B$6),""))</f>
        <v/>
      </c>
      <c r="R166" s="53" t="str">
        <f aca="false">IF($A166="","",IFERROR((AVERAGE($O$107:$O166)-Config!$B$7/Config!$B$6)/STDEV($O$107:$O166)*SQRT(Config!$B$6),""))</f>
        <v/>
      </c>
      <c r="S166" s="47" t="n">
        <f aca="false">IF($H166="",$S165,IF($H166&gt;0,$S165+1,0))</f>
        <v>1</v>
      </c>
      <c r="T166" s="47" t="n">
        <f aca="false">IF($H166="",$T165,IF($H166&lt;0,$T165+1,0))</f>
        <v>0</v>
      </c>
    </row>
    <row r="167" customFormat="false" ht="15" hidden="false" customHeight="false" outlineLevel="0" collapsed="false">
      <c r="A167" s="54" t="n">
        <f aca="false">IF($A166="","",$A166+1)</f>
        <v>46398</v>
      </c>
      <c r="B167" s="5" t="str">
        <f aca="false">IF($A167="","",TEXT($A167,"ddd"))</f>
        <v>Mon</v>
      </c>
      <c r="C167" s="41" t="n">
        <f aca="false">IF($A167="","",COUNTIFS('Trade Log'!$L$4:$L$503,$A167))</f>
        <v>0</v>
      </c>
      <c r="D167" s="40" t="n">
        <f aca="false">IF($A167="","",SUMIFS('Trade Log'!$Q$4:$Q$503,'Trade Log'!$L$4:$L$503,$A167,'Trade Log'!$E$4:$E$503,"LONG"))</f>
        <v>0</v>
      </c>
      <c r="E167" s="40" t="n">
        <f aca="false">IF($A167="","",SUMIFS('Trade Log'!$Q$4:$Q$503,'Trade Log'!$L$4:$L$503,$A167,'Trade Log'!$E$4:$E$503,"SHORT"))</f>
        <v>0</v>
      </c>
      <c r="F167" s="40" t="n">
        <f aca="false">IF($A167="","",$D167+$E167)</f>
        <v>0</v>
      </c>
      <c r="G167" s="40" t="n">
        <f aca="false">IF($A167="","",SUMIFS('Trade Log'!$Y$4:$Y$503,'Trade Log'!$L$4:$L$503,$A167))</f>
        <v>0</v>
      </c>
      <c r="H167" s="40" t="str">
        <f aca="false">IF($A167="","",IF($C167=0,"",$F167-$G167))</f>
        <v/>
      </c>
      <c r="I167" s="40" t="n">
        <f aca="false">IF($A167="","",$I166+IF($H167="",0,$H167))</f>
        <v>23918.5521880349</v>
      </c>
      <c r="J167" s="40" t="n">
        <f aca="false">IF($A167="","",Config!$B$4+$I167)</f>
        <v>1023918.55218803</v>
      </c>
      <c r="K167" s="40" t="n">
        <f aca="false">IF($A167="","",MAX($J$4:$J167))</f>
        <v>1023918.55218803</v>
      </c>
      <c r="L167" s="40" t="n">
        <f aca="false">IF($A167="","",$J167-$K167)</f>
        <v>0</v>
      </c>
      <c r="M167" s="42" t="n">
        <f aca="false">IF(OR($A167="",$K167=0),"",$L167/$K167)</f>
        <v>0</v>
      </c>
      <c r="N167" s="40" t="n">
        <f aca="false">IF($A167="","",SUMIFS('Trade Log'!$K$4:$K$503,'Trade Log'!$H$4:$H$503,$A167))</f>
        <v>0</v>
      </c>
      <c r="O167" s="42" t="str">
        <f aca="false">IF(OR($A167="",$H167="",Config!$B$4=0),"",$H167/Config!$B$4)</f>
        <v/>
      </c>
      <c r="P167" s="40" t="n">
        <f aca="false">IF($A167="","",SUM($H$148:$H167))</f>
        <v>0</v>
      </c>
      <c r="Q167" s="53" t="str">
        <f aca="false">IF($A167="","",IFERROR((AVERAGE($O$148:$O167)-Config!$B$7/Config!$B$6)/STDEV($O$148:$O167)*SQRT(Config!$B$6),""))</f>
        <v/>
      </c>
      <c r="R167" s="53" t="str">
        <f aca="false">IF($A167="","",IFERROR((AVERAGE($O$108:$O167)-Config!$B$7/Config!$B$6)/STDEV($O$108:$O167)*SQRT(Config!$B$6),""))</f>
        <v/>
      </c>
      <c r="S167" s="47" t="n">
        <f aca="false">IF($H167="",$S166,IF($H167&gt;0,$S166+1,0))</f>
        <v>1</v>
      </c>
      <c r="T167" s="47" t="n">
        <f aca="false">IF($H167="",$T166,IF($H167&lt;0,$T166+1,0))</f>
        <v>0</v>
      </c>
    </row>
    <row r="168" customFormat="false" ht="15" hidden="false" customHeight="false" outlineLevel="0" collapsed="false">
      <c r="A168" s="54" t="n">
        <f aca="false">IF($A167="","",$A167+1)</f>
        <v>46399</v>
      </c>
      <c r="B168" s="5" t="str">
        <f aca="false">IF($A168="","",TEXT($A168,"ddd"))</f>
        <v>Tue</v>
      </c>
      <c r="C168" s="41" t="n">
        <f aca="false">IF($A168="","",COUNTIFS('Trade Log'!$L$4:$L$503,$A168))</f>
        <v>0</v>
      </c>
      <c r="D168" s="40" t="n">
        <f aca="false">IF($A168="","",SUMIFS('Trade Log'!$Q$4:$Q$503,'Trade Log'!$L$4:$L$503,$A168,'Trade Log'!$E$4:$E$503,"LONG"))</f>
        <v>0</v>
      </c>
      <c r="E168" s="40" t="n">
        <f aca="false">IF($A168="","",SUMIFS('Trade Log'!$Q$4:$Q$503,'Trade Log'!$L$4:$L$503,$A168,'Trade Log'!$E$4:$E$503,"SHORT"))</f>
        <v>0</v>
      </c>
      <c r="F168" s="40" t="n">
        <f aca="false">IF($A168="","",$D168+$E168)</f>
        <v>0</v>
      </c>
      <c r="G168" s="40" t="n">
        <f aca="false">IF($A168="","",SUMIFS('Trade Log'!$Y$4:$Y$503,'Trade Log'!$L$4:$L$503,$A168))</f>
        <v>0</v>
      </c>
      <c r="H168" s="40" t="str">
        <f aca="false">IF($A168="","",IF($C168=0,"",$F168-$G168))</f>
        <v/>
      </c>
      <c r="I168" s="40" t="n">
        <f aca="false">IF($A168="","",$I167+IF($H168="",0,$H168))</f>
        <v>23918.5521880349</v>
      </c>
      <c r="J168" s="40" t="n">
        <f aca="false">IF($A168="","",Config!$B$4+$I168)</f>
        <v>1023918.55218803</v>
      </c>
      <c r="K168" s="40" t="n">
        <f aca="false">IF($A168="","",MAX($J$4:$J168))</f>
        <v>1023918.55218803</v>
      </c>
      <c r="L168" s="40" t="n">
        <f aca="false">IF($A168="","",$J168-$K168)</f>
        <v>0</v>
      </c>
      <c r="M168" s="42" t="n">
        <f aca="false">IF(OR($A168="",$K168=0),"",$L168/$K168)</f>
        <v>0</v>
      </c>
      <c r="N168" s="40" t="n">
        <f aca="false">IF($A168="","",SUMIFS('Trade Log'!$K$4:$K$503,'Trade Log'!$H$4:$H$503,$A168))</f>
        <v>0</v>
      </c>
      <c r="O168" s="42" t="str">
        <f aca="false">IF(OR($A168="",$H168="",Config!$B$4=0),"",$H168/Config!$B$4)</f>
        <v/>
      </c>
      <c r="P168" s="40" t="n">
        <f aca="false">IF($A168="","",SUM($H$149:$H168))</f>
        <v>0</v>
      </c>
      <c r="Q168" s="53" t="str">
        <f aca="false">IF($A168="","",IFERROR((AVERAGE($O$149:$O168)-Config!$B$7/Config!$B$6)/STDEV($O$149:$O168)*SQRT(Config!$B$6),""))</f>
        <v/>
      </c>
      <c r="R168" s="53" t="str">
        <f aca="false">IF($A168="","",IFERROR((AVERAGE($O$109:$O168)-Config!$B$7/Config!$B$6)/STDEV($O$109:$O168)*SQRT(Config!$B$6),""))</f>
        <v/>
      </c>
      <c r="S168" s="47" t="n">
        <f aca="false">IF($H168="",$S167,IF($H168&gt;0,$S167+1,0))</f>
        <v>1</v>
      </c>
      <c r="T168" s="47" t="n">
        <f aca="false">IF($H168="",$T167,IF($H168&lt;0,$T167+1,0))</f>
        <v>0</v>
      </c>
    </row>
    <row r="169" customFormat="false" ht="15" hidden="false" customHeight="false" outlineLevel="0" collapsed="false">
      <c r="A169" s="54" t="n">
        <f aca="false">IF($A168="","",$A168+1)</f>
        <v>46400</v>
      </c>
      <c r="B169" s="5" t="str">
        <f aca="false">IF($A169="","",TEXT($A169,"ddd"))</f>
        <v>Wed</v>
      </c>
      <c r="C169" s="41" t="n">
        <f aca="false">IF($A169="","",COUNTIFS('Trade Log'!$L$4:$L$503,$A169))</f>
        <v>0</v>
      </c>
      <c r="D169" s="40" t="n">
        <f aca="false">IF($A169="","",SUMIFS('Trade Log'!$Q$4:$Q$503,'Trade Log'!$L$4:$L$503,$A169,'Trade Log'!$E$4:$E$503,"LONG"))</f>
        <v>0</v>
      </c>
      <c r="E169" s="40" t="n">
        <f aca="false">IF($A169="","",SUMIFS('Trade Log'!$Q$4:$Q$503,'Trade Log'!$L$4:$L$503,$A169,'Trade Log'!$E$4:$E$503,"SHORT"))</f>
        <v>0</v>
      </c>
      <c r="F169" s="40" t="n">
        <f aca="false">IF($A169="","",$D169+$E169)</f>
        <v>0</v>
      </c>
      <c r="G169" s="40" t="n">
        <f aca="false">IF($A169="","",SUMIFS('Trade Log'!$Y$4:$Y$503,'Trade Log'!$L$4:$L$503,$A169))</f>
        <v>0</v>
      </c>
      <c r="H169" s="40" t="str">
        <f aca="false">IF($A169="","",IF($C169=0,"",$F169-$G169))</f>
        <v/>
      </c>
      <c r="I169" s="40" t="n">
        <f aca="false">IF($A169="","",$I168+IF($H169="",0,$H169))</f>
        <v>23918.5521880349</v>
      </c>
      <c r="J169" s="40" t="n">
        <f aca="false">IF($A169="","",Config!$B$4+$I169)</f>
        <v>1023918.55218803</v>
      </c>
      <c r="K169" s="40" t="n">
        <f aca="false">IF($A169="","",MAX($J$4:$J169))</f>
        <v>1023918.55218803</v>
      </c>
      <c r="L169" s="40" t="n">
        <f aca="false">IF($A169="","",$J169-$K169)</f>
        <v>0</v>
      </c>
      <c r="M169" s="42" t="n">
        <f aca="false">IF(OR($A169="",$K169=0),"",$L169/$K169)</f>
        <v>0</v>
      </c>
      <c r="N169" s="40" t="n">
        <f aca="false">IF($A169="","",SUMIFS('Trade Log'!$K$4:$K$503,'Trade Log'!$H$4:$H$503,$A169))</f>
        <v>0</v>
      </c>
      <c r="O169" s="42" t="str">
        <f aca="false">IF(OR($A169="",$H169="",Config!$B$4=0),"",$H169/Config!$B$4)</f>
        <v/>
      </c>
      <c r="P169" s="40" t="n">
        <f aca="false">IF($A169="","",SUM($H$150:$H169))</f>
        <v>0</v>
      </c>
      <c r="Q169" s="53" t="str">
        <f aca="false">IF($A169="","",IFERROR((AVERAGE($O$150:$O169)-Config!$B$7/Config!$B$6)/STDEV($O$150:$O169)*SQRT(Config!$B$6),""))</f>
        <v/>
      </c>
      <c r="R169" s="53" t="str">
        <f aca="false">IF($A169="","",IFERROR((AVERAGE($O$110:$O169)-Config!$B$7/Config!$B$6)/STDEV($O$110:$O169)*SQRT(Config!$B$6),""))</f>
        <v/>
      </c>
      <c r="S169" s="47" t="n">
        <f aca="false">IF($H169="",$S168,IF($H169&gt;0,$S168+1,0))</f>
        <v>1</v>
      </c>
      <c r="T169" s="47" t="n">
        <f aca="false">IF($H169="",$T168,IF($H169&lt;0,$T168+1,0))</f>
        <v>0</v>
      </c>
    </row>
    <row r="170" customFormat="false" ht="15" hidden="false" customHeight="false" outlineLevel="0" collapsed="false">
      <c r="A170" s="54" t="n">
        <f aca="false">IF($A169="","",$A169+1)</f>
        <v>46401</v>
      </c>
      <c r="B170" s="5" t="str">
        <f aca="false">IF($A170="","",TEXT($A170,"ddd"))</f>
        <v>Thu</v>
      </c>
      <c r="C170" s="41" t="n">
        <f aca="false">IF($A170="","",COUNTIFS('Trade Log'!$L$4:$L$503,$A170))</f>
        <v>0</v>
      </c>
      <c r="D170" s="40" t="n">
        <f aca="false">IF($A170="","",SUMIFS('Trade Log'!$Q$4:$Q$503,'Trade Log'!$L$4:$L$503,$A170,'Trade Log'!$E$4:$E$503,"LONG"))</f>
        <v>0</v>
      </c>
      <c r="E170" s="40" t="n">
        <f aca="false">IF($A170="","",SUMIFS('Trade Log'!$Q$4:$Q$503,'Trade Log'!$L$4:$L$503,$A170,'Trade Log'!$E$4:$E$503,"SHORT"))</f>
        <v>0</v>
      </c>
      <c r="F170" s="40" t="n">
        <f aca="false">IF($A170="","",$D170+$E170)</f>
        <v>0</v>
      </c>
      <c r="G170" s="40" t="n">
        <f aca="false">IF($A170="","",SUMIFS('Trade Log'!$Y$4:$Y$503,'Trade Log'!$L$4:$L$503,$A170))</f>
        <v>0</v>
      </c>
      <c r="H170" s="40" t="str">
        <f aca="false">IF($A170="","",IF($C170=0,"",$F170-$G170))</f>
        <v/>
      </c>
      <c r="I170" s="40" t="n">
        <f aca="false">IF($A170="","",$I169+IF($H170="",0,$H170))</f>
        <v>23918.5521880349</v>
      </c>
      <c r="J170" s="40" t="n">
        <f aca="false">IF($A170="","",Config!$B$4+$I170)</f>
        <v>1023918.55218803</v>
      </c>
      <c r="K170" s="40" t="n">
        <f aca="false">IF($A170="","",MAX($J$4:$J170))</f>
        <v>1023918.55218803</v>
      </c>
      <c r="L170" s="40" t="n">
        <f aca="false">IF($A170="","",$J170-$K170)</f>
        <v>0</v>
      </c>
      <c r="M170" s="42" t="n">
        <f aca="false">IF(OR($A170="",$K170=0),"",$L170/$K170)</f>
        <v>0</v>
      </c>
      <c r="N170" s="40" t="n">
        <f aca="false">IF($A170="","",SUMIFS('Trade Log'!$K$4:$K$503,'Trade Log'!$H$4:$H$503,$A170))</f>
        <v>0</v>
      </c>
      <c r="O170" s="42" t="str">
        <f aca="false">IF(OR($A170="",$H170="",Config!$B$4=0),"",$H170/Config!$B$4)</f>
        <v/>
      </c>
      <c r="P170" s="40" t="n">
        <f aca="false">IF($A170="","",SUM($H$151:$H170))</f>
        <v>0</v>
      </c>
      <c r="Q170" s="53" t="str">
        <f aca="false">IF($A170="","",IFERROR((AVERAGE($O$151:$O170)-Config!$B$7/Config!$B$6)/STDEV($O$151:$O170)*SQRT(Config!$B$6),""))</f>
        <v/>
      </c>
      <c r="R170" s="53" t="str">
        <f aca="false">IF($A170="","",IFERROR((AVERAGE($O$111:$O170)-Config!$B$7/Config!$B$6)/STDEV($O$111:$O170)*SQRT(Config!$B$6),""))</f>
        <v/>
      </c>
      <c r="S170" s="47" t="n">
        <f aca="false">IF($H170="",$S169,IF($H170&gt;0,$S169+1,0))</f>
        <v>1</v>
      </c>
      <c r="T170" s="47" t="n">
        <f aca="false">IF($H170="",$T169,IF($H170&lt;0,$T169+1,0))</f>
        <v>0</v>
      </c>
    </row>
    <row r="171" customFormat="false" ht="15" hidden="false" customHeight="false" outlineLevel="0" collapsed="false">
      <c r="A171" s="54" t="n">
        <f aca="false">IF($A170="","",$A170+1)</f>
        <v>46402</v>
      </c>
      <c r="B171" s="5" t="str">
        <f aca="false">IF($A171="","",TEXT($A171,"ddd"))</f>
        <v>Fri</v>
      </c>
      <c r="C171" s="41" t="n">
        <f aca="false">IF($A171="","",COUNTIFS('Trade Log'!$L$4:$L$503,$A171))</f>
        <v>0</v>
      </c>
      <c r="D171" s="40" t="n">
        <f aca="false">IF($A171="","",SUMIFS('Trade Log'!$Q$4:$Q$503,'Trade Log'!$L$4:$L$503,$A171,'Trade Log'!$E$4:$E$503,"LONG"))</f>
        <v>0</v>
      </c>
      <c r="E171" s="40" t="n">
        <f aca="false">IF($A171="","",SUMIFS('Trade Log'!$Q$4:$Q$503,'Trade Log'!$L$4:$L$503,$A171,'Trade Log'!$E$4:$E$503,"SHORT"))</f>
        <v>0</v>
      </c>
      <c r="F171" s="40" t="n">
        <f aca="false">IF($A171="","",$D171+$E171)</f>
        <v>0</v>
      </c>
      <c r="G171" s="40" t="n">
        <f aca="false">IF($A171="","",SUMIFS('Trade Log'!$Y$4:$Y$503,'Trade Log'!$L$4:$L$503,$A171))</f>
        <v>0</v>
      </c>
      <c r="H171" s="40" t="str">
        <f aca="false">IF($A171="","",IF($C171=0,"",$F171-$G171))</f>
        <v/>
      </c>
      <c r="I171" s="40" t="n">
        <f aca="false">IF($A171="","",$I170+IF($H171="",0,$H171))</f>
        <v>23918.5521880349</v>
      </c>
      <c r="J171" s="40" t="n">
        <f aca="false">IF($A171="","",Config!$B$4+$I171)</f>
        <v>1023918.55218803</v>
      </c>
      <c r="K171" s="40" t="n">
        <f aca="false">IF($A171="","",MAX($J$4:$J171))</f>
        <v>1023918.55218803</v>
      </c>
      <c r="L171" s="40" t="n">
        <f aca="false">IF($A171="","",$J171-$K171)</f>
        <v>0</v>
      </c>
      <c r="M171" s="42" t="n">
        <f aca="false">IF(OR($A171="",$K171=0),"",$L171/$K171)</f>
        <v>0</v>
      </c>
      <c r="N171" s="40" t="n">
        <f aca="false">IF($A171="","",SUMIFS('Trade Log'!$K$4:$K$503,'Trade Log'!$H$4:$H$503,$A171))</f>
        <v>0</v>
      </c>
      <c r="O171" s="42" t="str">
        <f aca="false">IF(OR($A171="",$H171="",Config!$B$4=0),"",$H171/Config!$B$4)</f>
        <v/>
      </c>
      <c r="P171" s="40" t="n">
        <f aca="false">IF($A171="","",SUM($H$152:$H171))</f>
        <v>0</v>
      </c>
      <c r="Q171" s="53" t="str">
        <f aca="false">IF($A171="","",IFERROR((AVERAGE($O$152:$O171)-Config!$B$7/Config!$B$6)/STDEV($O$152:$O171)*SQRT(Config!$B$6),""))</f>
        <v/>
      </c>
      <c r="R171" s="53" t="str">
        <f aca="false">IF($A171="","",IFERROR((AVERAGE($O$112:$O171)-Config!$B$7/Config!$B$6)/STDEV($O$112:$O171)*SQRT(Config!$B$6),""))</f>
        <v/>
      </c>
      <c r="S171" s="47" t="n">
        <f aca="false">IF($H171="",$S170,IF($H171&gt;0,$S170+1,0))</f>
        <v>1</v>
      </c>
      <c r="T171" s="47" t="n">
        <f aca="false">IF($H171="",$T170,IF($H171&lt;0,$T170+1,0))</f>
        <v>0</v>
      </c>
    </row>
    <row r="172" customFormat="false" ht="15" hidden="false" customHeight="false" outlineLevel="0" collapsed="false">
      <c r="A172" s="54" t="n">
        <f aca="false">IF($A171="","",$A171+1)</f>
        <v>46403</v>
      </c>
      <c r="B172" s="5" t="str">
        <f aca="false">IF($A172="","",TEXT($A172,"ddd"))</f>
        <v>Sat</v>
      </c>
      <c r="C172" s="41" t="n">
        <f aca="false">IF($A172="","",COUNTIFS('Trade Log'!$L$4:$L$503,$A172))</f>
        <v>0</v>
      </c>
      <c r="D172" s="40" t="n">
        <f aca="false">IF($A172="","",SUMIFS('Trade Log'!$Q$4:$Q$503,'Trade Log'!$L$4:$L$503,$A172,'Trade Log'!$E$4:$E$503,"LONG"))</f>
        <v>0</v>
      </c>
      <c r="E172" s="40" t="n">
        <f aca="false">IF($A172="","",SUMIFS('Trade Log'!$Q$4:$Q$503,'Trade Log'!$L$4:$L$503,$A172,'Trade Log'!$E$4:$E$503,"SHORT"))</f>
        <v>0</v>
      </c>
      <c r="F172" s="40" t="n">
        <f aca="false">IF($A172="","",$D172+$E172)</f>
        <v>0</v>
      </c>
      <c r="G172" s="40" t="n">
        <f aca="false">IF($A172="","",SUMIFS('Trade Log'!$Y$4:$Y$503,'Trade Log'!$L$4:$L$503,$A172))</f>
        <v>0</v>
      </c>
      <c r="H172" s="40" t="str">
        <f aca="false">IF($A172="","",IF($C172=0,"",$F172-$G172))</f>
        <v/>
      </c>
      <c r="I172" s="40" t="n">
        <f aca="false">IF($A172="","",$I171+IF($H172="",0,$H172))</f>
        <v>23918.5521880349</v>
      </c>
      <c r="J172" s="40" t="n">
        <f aca="false">IF($A172="","",Config!$B$4+$I172)</f>
        <v>1023918.55218803</v>
      </c>
      <c r="K172" s="40" t="n">
        <f aca="false">IF($A172="","",MAX($J$4:$J172))</f>
        <v>1023918.55218803</v>
      </c>
      <c r="L172" s="40" t="n">
        <f aca="false">IF($A172="","",$J172-$K172)</f>
        <v>0</v>
      </c>
      <c r="M172" s="42" t="n">
        <f aca="false">IF(OR($A172="",$K172=0),"",$L172/$K172)</f>
        <v>0</v>
      </c>
      <c r="N172" s="40" t="n">
        <f aca="false">IF($A172="","",SUMIFS('Trade Log'!$K$4:$K$503,'Trade Log'!$H$4:$H$503,$A172))</f>
        <v>0</v>
      </c>
      <c r="O172" s="42" t="str">
        <f aca="false">IF(OR($A172="",$H172="",Config!$B$4=0),"",$H172/Config!$B$4)</f>
        <v/>
      </c>
      <c r="P172" s="40" t="n">
        <f aca="false">IF($A172="","",SUM($H$153:$H172))</f>
        <v>0</v>
      </c>
      <c r="Q172" s="53" t="str">
        <f aca="false">IF($A172="","",IFERROR((AVERAGE($O$153:$O172)-Config!$B$7/Config!$B$6)/STDEV($O$153:$O172)*SQRT(Config!$B$6),""))</f>
        <v/>
      </c>
      <c r="R172" s="53" t="str">
        <f aca="false">IF($A172="","",IFERROR((AVERAGE($O$113:$O172)-Config!$B$7/Config!$B$6)/STDEV($O$113:$O172)*SQRT(Config!$B$6),""))</f>
        <v/>
      </c>
      <c r="S172" s="47" t="n">
        <f aca="false">IF($H172="",$S171,IF($H172&gt;0,$S171+1,0))</f>
        <v>1</v>
      </c>
      <c r="T172" s="47" t="n">
        <f aca="false">IF($H172="",$T171,IF($H172&lt;0,$T171+1,0))</f>
        <v>0</v>
      </c>
    </row>
    <row r="173" customFormat="false" ht="15" hidden="false" customHeight="false" outlineLevel="0" collapsed="false">
      <c r="A173" s="54" t="n">
        <f aca="false">IF($A172="","",$A172+1)</f>
        <v>46404</v>
      </c>
      <c r="B173" s="5" t="str">
        <f aca="false">IF($A173="","",TEXT($A173,"ddd"))</f>
        <v>Sun</v>
      </c>
      <c r="C173" s="41" t="n">
        <f aca="false">IF($A173="","",COUNTIFS('Trade Log'!$L$4:$L$503,$A173))</f>
        <v>0</v>
      </c>
      <c r="D173" s="40" t="n">
        <f aca="false">IF($A173="","",SUMIFS('Trade Log'!$Q$4:$Q$503,'Trade Log'!$L$4:$L$503,$A173,'Trade Log'!$E$4:$E$503,"LONG"))</f>
        <v>0</v>
      </c>
      <c r="E173" s="40" t="n">
        <f aca="false">IF($A173="","",SUMIFS('Trade Log'!$Q$4:$Q$503,'Trade Log'!$L$4:$L$503,$A173,'Trade Log'!$E$4:$E$503,"SHORT"))</f>
        <v>0</v>
      </c>
      <c r="F173" s="40" t="n">
        <f aca="false">IF($A173="","",$D173+$E173)</f>
        <v>0</v>
      </c>
      <c r="G173" s="40" t="n">
        <f aca="false">IF($A173="","",SUMIFS('Trade Log'!$Y$4:$Y$503,'Trade Log'!$L$4:$L$503,$A173))</f>
        <v>0</v>
      </c>
      <c r="H173" s="40" t="str">
        <f aca="false">IF($A173="","",IF($C173=0,"",$F173-$G173))</f>
        <v/>
      </c>
      <c r="I173" s="40" t="n">
        <f aca="false">IF($A173="","",$I172+IF($H173="",0,$H173))</f>
        <v>23918.5521880349</v>
      </c>
      <c r="J173" s="40" t="n">
        <f aca="false">IF($A173="","",Config!$B$4+$I173)</f>
        <v>1023918.55218803</v>
      </c>
      <c r="K173" s="40" t="n">
        <f aca="false">IF($A173="","",MAX($J$4:$J173))</f>
        <v>1023918.55218803</v>
      </c>
      <c r="L173" s="40" t="n">
        <f aca="false">IF($A173="","",$J173-$K173)</f>
        <v>0</v>
      </c>
      <c r="M173" s="42" t="n">
        <f aca="false">IF(OR($A173="",$K173=0),"",$L173/$K173)</f>
        <v>0</v>
      </c>
      <c r="N173" s="40" t="n">
        <f aca="false">IF($A173="","",SUMIFS('Trade Log'!$K$4:$K$503,'Trade Log'!$H$4:$H$503,$A173))</f>
        <v>0</v>
      </c>
      <c r="O173" s="42" t="str">
        <f aca="false">IF(OR($A173="",$H173="",Config!$B$4=0),"",$H173/Config!$B$4)</f>
        <v/>
      </c>
      <c r="P173" s="40" t="n">
        <f aca="false">IF($A173="","",SUM($H$154:$H173))</f>
        <v>0</v>
      </c>
      <c r="Q173" s="53" t="str">
        <f aca="false">IF($A173="","",IFERROR((AVERAGE($O$154:$O173)-Config!$B$7/Config!$B$6)/STDEV($O$154:$O173)*SQRT(Config!$B$6),""))</f>
        <v/>
      </c>
      <c r="R173" s="53" t="str">
        <f aca="false">IF($A173="","",IFERROR((AVERAGE($O$114:$O173)-Config!$B$7/Config!$B$6)/STDEV($O$114:$O173)*SQRT(Config!$B$6),""))</f>
        <v/>
      </c>
      <c r="S173" s="47" t="n">
        <f aca="false">IF($H173="",$S172,IF($H173&gt;0,$S172+1,0))</f>
        <v>1</v>
      </c>
      <c r="T173" s="47" t="n">
        <f aca="false">IF($H173="",$T172,IF($H173&lt;0,$T172+1,0))</f>
        <v>0</v>
      </c>
    </row>
    <row r="174" customFormat="false" ht="15" hidden="false" customHeight="false" outlineLevel="0" collapsed="false">
      <c r="A174" s="54" t="n">
        <f aca="false">IF($A173="","",$A173+1)</f>
        <v>46405</v>
      </c>
      <c r="B174" s="5" t="str">
        <f aca="false">IF($A174="","",TEXT($A174,"ddd"))</f>
        <v>Mon</v>
      </c>
      <c r="C174" s="41" t="n">
        <f aca="false">IF($A174="","",COUNTIFS('Trade Log'!$L$4:$L$503,$A174))</f>
        <v>0</v>
      </c>
      <c r="D174" s="40" t="n">
        <f aca="false">IF($A174="","",SUMIFS('Trade Log'!$Q$4:$Q$503,'Trade Log'!$L$4:$L$503,$A174,'Trade Log'!$E$4:$E$503,"LONG"))</f>
        <v>0</v>
      </c>
      <c r="E174" s="40" t="n">
        <f aca="false">IF($A174="","",SUMIFS('Trade Log'!$Q$4:$Q$503,'Trade Log'!$L$4:$L$503,$A174,'Trade Log'!$E$4:$E$503,"SHORT"))</f>
        <v>0</v>
      </c>
      <c r="F174" s="40" t="n">
        <f aca="false">IF($A174="","",$D174+$E174)</f>
        <v>0</v>
      </c>
      <c r="G174" s="40" t="n">
        <f aca="false">IF($A174="","",SUMIFS('Trade Log'!$Y$4:$Y$503,'Trade Log'!$L$4:$L$503,$A174))</f>
        <v>0</v>
      </c>
      <c r="H174" s="40" t="str">
        <f aca="false">IF($A174="","",IF($C174=0,"",$F174-$G174))</f>
        <v/>
      </c>
      <c r="I174" s="40" t="n">
        <f aca="false">IF($A174="","",$I173+IF($H174="",0,$H174))</f>
        <v>23918.5521880349</v>
      </c>
      <c r="J174" s="40" t="n">
        <f aca="false">IF($A174="","",Config!$B$4+$I174)</f>
        <v>1023918.55218803</v>
      </c>
      <c r="K174" s="40" t="n">
        <f aca="false">IF($A174="","",MAX($J$4:$J174))</f>
        <v>1023918.55218803</v>
      </c>
      <c r="L174" s="40" t="n">
        <f aca="false">IF($A174="","",$J174-$K174)</f>
        <v>0</v>
      </c>
      <c r="M174" s="42" t="n">
        <f aca="false">IF(OR($A174="",$K174=0),"",$L174/$K174)</f>
        <v>0</v>
      </c>
      <c r="N174" s="40" t="n">
        <f aca="false">IF($A174="","",SUMIFS('Trade Log'!$K$4:$K$503,'Trade Log'!$H$4:$H$503,$A174))</f>
        <v>0</v>
      </c>
      <c r="O174" s="42" t="str">
        <f aca="false">IF(OR($A174="",$H174="",Config!$B$4=0),"",$H174/Config!$B$4)</f>
        <v/>
      </c>
      <c r="P174" s="40" t="n">
        <f aca="false">IF($A174="","",SUM($H$155:$H174))</f>
        <v>0</v>
      </c>
      <c r="Q174" s="53" t="str">
        <f aca="false">IF($A174="","",IFERROR((AVERAGE($O$155:$O174)-Config!$B$7/Config!$B$6)/STDEV($O$155:$O174)*SQRT(Config!$B$6),""))</f>
        <v/>
      </c>
      <c r="R174" s="53" t="str">
        <f aca="false">IF($A174="","",IFERROR((AVERAGE($O$115:$O174)-Config!$B$7/Config!$B$6)/STDEV($O$115:$O174)*SQRT(Config!$B$6),""))</f>
        <v/>
      </c>
      <c r="S174" s="47" t="n">
        <f aca="false">IF($H174="",$S173,IF($H174&gt;0,$S173+1,0))</f>
        <v>1</v>
      </c>
      <c r="T174" s="47" t="n">
        <f aca="false">IF($H174="",$T173,IF($H174&lt;0,$T173+1,0))</f>
        <v>0</v>
      </c>
    </row>
    <row r="175" customFormat="false" ht="15" hidden="false" customHeight="false" outlineLevel="0" collapsed="false">
      <c r="A175" s="54" t="n">
        <f aca="false">IF($A174="","",$A174+1)</f>
        <v>46406</v>
      </c>
      <c r="B175" s="5" t="str">
        <f aca="false">IF($A175="","",TEXT($A175,"ddd"))</f>
        <v>Tue</v>
      </c>
      <c r="C175" s="41" t="n">
        <f aca="false">IF($A175="","",COUNTIFS('Trade Log'!$L$4:$L$503,$A175))</f>
        <v>0</v>
      </c>
      <c r="D175" s="40" t="n">
        <f aca="false">IF($A175="","",SUMIFS('Trade Log'!$Q$4:$Q$503,'Trade Log'!$L$4:$L$503,$A175,'Trade Log'!$E$4:$E$503,"LONG"))</f>
        <v>0</v>
      </c>
      <c r="E175" s="40" t="n">
        <f aca="false">IF($A175="","",SUMIFS('Trade Log'!$Q$4:$Q$503,'Trade Log'!$L$4:$L$503,$A175,'Trade Log'!$E$4:$E$503,"SHORT"))</f>
        <v>0</v>
      </c>
      <c r="F175" s="40" t="n">
        <f aca="false">IF($A175="","",$D175+$E175)</f>
        <v>0</v>
      </c>
      <c r="G175" s="40" t="n">
        <f aca="false">IF($A175="","",SUMIFS('Trade Log'!$Y$4:$Y$503,'Trade Log'!$L$4:$L$503,$A175))</f>
        <v>0</v>
      </c>
      <c r="H175" s="40" t="str">
        <f aca="false">IF($A175="","",IF($C175=0,"",$F175-$G175))</f>
        <v/>
      </c>
      <c r="I175" s="40" t="n">
        <f aca="false">IF($A175="","",$I174+IF($H175="",0,$H175))</f>
        <v>23918.5521880349</v>
      </c>
      <c r="J175" s="40" t="n">
        <f aca="false">IF($A175="","",Config!$B$4+$I175)</f>
        <v>1023918.55218803</v>
      </c>
      <c r="K175" s="40" t="n">
        <f aca="false">IF($A175="","",MAX($J$4:$J175))</f>
        <v>1023918.55218803</v>
      </c>
      <c r="L175" s="40" t="n">
        <f aca="false">IF($A175="","",$J175-$K175)</f>
        <v>0</v>
      </c>
      <c r="M175" s="42" t="n">
        <f aca="false">IF(OR($A175="",$K175=0),"",$L175/$K175)</f>
        <v>0</v>
      </c>
      <c r="N175" s="40" t="n">
        <f aca="false">IF($A175="","",SUMIFS('Trade Log'!$K$4:$K$503,'Trade Log'!$H$4:$H$503,$A175))</f>
        <v>0</v>
      </c>
      <c r="O175" s="42" t="str">
        <f aca="false">IF(OR($A175="",$H175="",Config!$B$4=0),"",$H175/Config!$B$4)</f>
        <v/>
      </c>
      <c r="P175" s="40" t="n">
        <f aca="false">IF($A175="","",SUM($H$156:$H175))</f>
        <v>0</v>
      </c>
      <c r="Q175" s="53" t="str">
        <f aca="false">IF($A175="","",IFERROR((AVERAGE($O$156:$O175)-Config!$B$7/Config!$B$6)/STDEV($O$156:$O175)*SQRT(Config!$B$6),""))</f>
        <v/>
      </c>
      <c r="R175" s="53" t="str">
        <f aca="false">IF($A175="","",IFERROR((AVERAGE($O$116:$O175)-Config!$B$7/Config!$B$6)/STDEV($O$116:$O175)*SQRT(Config!$B$6),""))</f>
        <v/>
      </c>
      <c r="S175" s="47" t="n">
        <f aca="false">IF($H175="",$S174,IF($H175&gt;0,$S174+1,0))</f>
        <v>1</v>
      </c>
      <c r="T175" s="47" t="n">
        <f aca="false">IF($H175="",$T174,IF($H175&lt;0,$T174+1,0))</f>
        <v>0</v>
      </c>
    </row>
    <row r="176" customFormat="false" ht="15" hidden="false" customHeight="false" outlineLevel="0" collapsed="false">
      <c r="A176" s="54" t="n">
        <f aca="false">IF($A175="","",$A175+1)</f>
        <v>46407</v>
      </c>
      <c r="B176" s="5" t="str">
        <f aca="false">IF($A176="","",TEXT($A176,"ddd"))</f>
        <v>Wed</v>
      </c>
      <c r="C176" s="41" t="n">
        <f aca="false">IF($A176="","",COUNTIFS('Trade Log'!$L$4:$L$503,$A176))</f>
        <v>0</v>
      </c>
      <c r="D176" s="40" t="n">
        <f aca="false">IF($A176="","",SUMIFS('Trade Log'!$Q$4:$Q$503,'Trade Log'!$L$4:$L$503,$A176,'Trade Log'!$E$4:$E$503,"LONG"))</f>
        <v>0</v>
      </c>
      <c r="E176" s="40" t="n">
        <f aca="false">IF($A176="","",SUMIFS('Trade Log'!$Q$4:$Q$503,'Trade Log'!$L$4:$L$503,$A176,'Trade Log'!$E$4:$E$503,"SHORT"))</f>
        <v>0</v>
      </c>
      <c r="F176" s="40" t="n">
        <f aca="false">IF($A176="","",$D176+$E176)</f>
        <v>0</v>
      </c>
      <c r="G176" s="40" t="n">
        <f aca="false">IF($A176="","",SUMIFS('Trade Log'!$Y$4:$Y$503,'Trade Log'!$L$4:$L$503,$A176))</f>
        <v>0</v>
      </c>
      <c r="H176" s="40" t="str">
        <f aca="false">IF($A176="","",IF($C176=0,"",$F176-$G176))</f>
        <v/>
      </c>
      <c r="I176" s="40" t="n">
        <f aca="false">IF($A176="","",$I175+IF($H176="",0,$H176))</f>
        <v>23918.5521880349</v>
      </c>
      <c r="J176" s="40" t="n">
        <f aca="false">IF($A176="","",Config!$B$4+$I176)</f>
        <v>1023918.55218803</v>
      </c>
      <c r="K176" s="40" t="n">
        <f aca="false">IF($A176="","",MAX($J$4:$J176))</f>
        <v>1023918.55218803</v>
      </c>
      <c r="L176" s="40" t="n">
        <f aca="false">IF($A176="","",$J176-$K176)</f>
        <v>0</v>
      </c>
      <c r="M176" s="42" t="n">
        <f aca="false">IF(OR($A176="",$K176=0),"",$L176/$K176)</f>
        <v>0</v>
      </c>
      <c r="N176" s="40" t="n">
        <f aca="false">IF($A176="","",SUMIFS('Trade Log'!$K$4:$K$503,'Trade Log'!$H$4:$H$503,$A176))</f>
        <v>0</v>
      </c>
      <c r="O176" s="42" t="str">
        <f aca="false">IF(OR($A176="",$H176="",Config!$B$4=0),"",$H176/Config!$B$4)</f>
        <v/>
      </c>
      <c r="P176" s="40" t="n">
        <f aca="false">IF($A176="","",SUM($H$157:$H176))</f>
        <v>0</v>
      </c>
      <c r="Q176" s="53" t="str">
        <f aca="false">IF($A176="","",IFERROR((AVERAGE($O$157:$O176)-Config!$B$7/Config!$B$6)/STDEV($O$157:$O176)*SQRT(Config!$B$6),""))</f>
        <v/>
      </c>
      <c r="R176" s="53" t="str">
        <f aca="false">IF($A176="","",IFERROR((AVERAGE($O$117:$O176)-Config!$B$7/Config!$B$6)/STDEV($O$117:$O176)*SQRT(Config!$B$6),""))</f>
        <v/>
      </c>
      <c r="S176" s="47" t="n">
        <f aca="false">IF($H176="",$S175,IF($H176&gt;0,$S175+1,0))</f>
        <v>1</v>
      </c>
      <c r="T176" s="47" t="n">
        <f aca="false">IF($H176="",$T175,IF($H176&lt;0,$T175+1,0))</f>
        <v>0</v>
      </c>
    </row>
    <row r="177" customFormat="false" ht="15" hidden="false" customHeight="false" outlineLevel="0" collapsed="false">
      <c r="A177" s="54" t="n">
        <f aca="false">IF($A176="","",$A176+1)</f>
        <v>46408</v>
      </c>
      <c r="B177" s="5" t="str">
        <f aca="false">IF($A177="","",TEXT($A177,"ddd"))</f>
        <v>Thu</v>
      </c>
      <c r="C177" s="41" t="n">
        <f aca="false">IF($A177="","",COUNTIFS('Trade Log'!$L$4:$L$503,$A177))</f>
        <v>0</v>
      </c>
      <c r="D177" s="40" t="n">
        <f aca="false">IF($A177="","",SUMIFS('Trade Log'!$Q$4:$Q$503,'Trade Log'!$L$4:$L$503,$A177,'Trade Log'!$E$4:$E$503,"LONG"))</f>
        <v>0</v>
      </c>
      <c r="E177" s="40" t="n">
        <f aca="false">IF($A177="","",SUMIFS('Trade Log'!$Q$4:$Q$503,'Trade Log'!$L$4:$L$503,$A177,'Trade Log'!$E$4:$E$503,"SHORT"))</f>
        <v>0</v>
      </c>
      <c r="F177" s="40" t="n">
        <f aca="false">IF($A177="","",$D177+$E177)</f>
        <v>0</v>
      </c>
      <c r="G177" s="40" t="n">
        <f aca="false">IF($A177="","",SUMIFS('Trade Log'!$Y$4:$Y$503,'Trade Log'!$L$4:$L$503,$A177))</f>
        <v>0</v>
      </c>
      <c r="H177" s="40" t="str">
        <f aca="false">IF($A177="","",IF($C177=0,"",$F177-$G177))</f>
        <v/>
      </c>
      <c r="I177" s="40" t="n">
        <f aca="false">IF($A177="","",$I176+IF($H177="",0,$H177))</f>
        <v>23918.5521880349</v>
      </c>
      <c r="J177" s="40" t="n">
        <f aca="false">IF($A177="","",Config!$B$4+$I177)</f>
        <v>1023918.55218803</v>
      </c>
      <c r="K177" s="40" t="n">
        <f aca="false">IF($A177="","",MAX($J$4:$J177))</f>
        <v>1023918.55218803</v>
      </c>
      <c r="L177" s="40" t="n">
        <f aca="false">IF($A177="","",$J177-$K177)</f>
        <v>0</v>
      </c>
      <c r="M177" s="42" t="n">
        <f aca="false">IF(OR($A177="",$K177=0),"",$L177/$K177)</f>
        <v>0</v>
      </c>
      <c r="N177" s="40" t="n">
        <f aca="false">IF($A177="","",SUMIFS('Trade Log'!$K$4:$K$503,'Trade Log'!$H$4:$H$503,$A177))</f>
        <v>0</v>
      </c>
      <c r="O177" s="42" t="str">
        <f aca="false">IF(OR($A177="",$H177="",Config!$B$4=0),"",$H177/Config!$B$4)</f>
        <v/>
      </c>
      <c r="P177" s="40" t="n">
        <f aca="false">IF($A177="","",SUM($H$158:$H177))</f>
        <v>0</v>
      </c>
      <c r="Q177" s="53" t="str">
        <f aca="false">IF($A177="","",IFERROR((AVERAGE($O$158:$O177)-Config!$B$7/Config!$B$6)/STDEV($O$158:$O177)*SQRT(Config!$B$6),""))</f>
        <v/>
      </c>
      <c r="R177" s="53" t="str">
        <f aca="false">IF($A177="","",IFERROR((AVERAGE($O$118:$O177)-Config!$B$7/Config!$B$6)/STDEV($O$118:$O177)*SQRT(Config!$B$6),""))</f>
        <v/>
      </c>
      <c r="S177" s="47" t="n">
        <f aca="false">IF($H177="",$S176,IF($H177&gt;0,$S176+1,0))</f>
        <v>1</v>
      </c>
      <c r="T177" s="47" t="n">
        <f aca="false">IF($H177="",$T176,IF($H177&lt;0,$T176+1,0))</f>
        <v>0</v>
      </c>
    </row>
    <row r="178" customFormat="false" ht="15" hidden="false" customHeight="false" outlineLevel="0" collapsed="false">
      <c r="A178" s="54" t="n">
        <f aca="false">IF($A177="","",$A177+1)</f>
        <v>46409</v>
      </c>
      <c r="B178" s="5" t="str">
        <f aca="false">IF($A178="","",TEXT($A178,"ddd"))</f>
        <v>Fri</v>
      </c>
      <c r="C178" s="41" t="n">
        <f aca="false">IF($A178="","",COUNTIFS('Trade Log'!$L$4:$L$503,$A178))</f>
        <v>0</v>
      </c>
      <c r="D178" s="40" t="n">
        <f aca="false">IF($A178="","",SUMIFS('Trade Log'!$Q$4:$Q$503,'Trade Log'!$L$4:$L$503,$A178,'Trade Log'!$E$4:$E$503,"LONG"))</f>
        <v>0</v>
      </c>
      <c r="E178" s="40" t="n">
        <f aca="false">IF($A178="","",SUMIFS('Trade Log'!$Q$4:$Q$503,'Trade Log'!$L$4:$L$503,$A178,'Trade Log'!$E$4:$E$503,"SHORT"))</f>
        <v>0</v>
      </c>
      <c r="F178" s="40" t="n">
        <f aca="false">IF($A178="","",$D178+$E178)</f>
        <v>0</v>
      </c>
      <c r="G178" s="40" t="n">
        <f aca="false">IF($A178="","",SUMIFS('Trade Log'!$Y$4:$Y$503,'Trade Log'!$L$4:$L$503,$A178))</f>
        <v>0</v>
      </c>
      <c r="H178" s="40" t="str">
        <f aca="false">IF($A178="","",IF($C178=0,"",$F178-$G178))</f>
        <v/>
      </c>
      <c r="I178" s="40" t="n">
        <f aca="false">IF($A178="","",$I177+IF($H178="",0,$H178))</f>
        <v>23918.5521880349</v>
      </c>
      <c r="J178" s="40" t="n">
        <f aca="false">IF($A178="","",Config!$B$4+$I178)</f>
        <v>1023918.55218803</v>
      </c>
      <c r="K178" s="40" t="n">
        <f aca="false">IF($A178="","",MAX($J$4:$J178))</f>
        <v>1023918.55218803</v>
      </c>
      <c r="L178" s="40" t="n">
        <f aca="false">IF($A178="","",$J178-$K178)</f>
        <v>0</v>
      </c>
      <c r="M178" s="42" t="n">
        <f aca="false">IF(OR($A178="",$K178=0),"",$L178/$K178)</f>
        <v>0</v>
      </c>
      <c r="N178" s="40" t="n">
        <f aca="false">IF($A178="","",SUMIFS('Trade Log'!$K$4:$K$503,'Trade Log'!$H$4:$H$503,$A178))</f>
        <v>0</v>
      </c>
      <c r="O178" s="42" t="str">
        <f aca="false">IF(OR($A178="",$H178="",Config!$B$4=0),"",$H178/Config!$B$4)</f>
        <v/>
      </c>
      <c r="P178" s="40" t="n">
        <f aca="false">IF($A178="","",SUM($H$159:$H178))</f>
        <v>0</v>
      </c>
      <c r="Q178" s="53" t="str">
        <f aca="false">IF($A178="","",IFERROR((AVERAGE($O$159:$O178)-Config!$B$7/Config!$B$6)/STDEV($O$159:$O178)*SQRT(Config!$B$6),""))</f>
        <v/>
      </c>
      <c r="R178" s="53" t="str">
        <f aca="false">IF($A178="","",IFERROR((AVERAGE($O$119:$O178)-Config!$B$7/Config!$B$6)/STDEV($O$119:$O178)*SQRT(Config!$B$6),""))</f>
        <v/>
      </c>
      <c r="S178" s="47" t="n">
        <f aca="false">IF($H178="",$S177,IF($H178&gt;0,$S177+1,0))</f>
        <v>1</v>
      </c>
      <c r="T178" s="47" t="n">
        <f aca="false">IF($H178="",$T177,IF($H178&lt;0,$T177+1,0))</f>
        <v>0</v>
      </c>
    </row>
    <row r="179" customFormat="false" ht="15" hidden="false" customHeight="false" outlineLevel="0" collapsed="false">
      <c r="A179" s="54" t="n">
        <f aca="false">IF($A178="","",$A178+1)</f>
        <v>46410</v>
      </c>
      <c r="B179" s="5" t="str">
        <f aca="false">IF($A179="","",TEXT($A179,"ddd"))</f>
        <v>Sat</v>
      </c>
      <c r="C179" s="41" t="n">
        <f aca="false">IF($A179="","",COUNTIFS('Trade Log'!$L$4:$L$503,$A179))</f>
        <v>0</v>
      </c>
      <c r="D179" s="40" t="n">
        <f aca="false">IF($A179="","",SUMIFS('Trade Log'!$Q$4:$Q$503,'Trade Log'!$L$4:$L$503,$A179,'Trade Log'!$E$4:$E$503,"LONG"))</f>
        <v>0</v>
      </c>
      <c r="E179" s="40" t="n">
        <f aca="false">IF($A179="","",SUMIFS('Trade Log'!$Q$4:$Q$503,'Trade Log'!$L$4:$L$503,$A179,'Trade Log'!$E$4:$E$503,"SHORT"))</f>
        <v>0</v>
      </c>
      <c r="F179" s="40" t="n">
        <f aca="false">IF($A179="","",$D179+$E179)</f>
        <v>0</v>
      </c>
      <c r="G179" s="40" t="n">
        <f aca="false">IF($A179="","",SUMIFS('Trade Log'!$Y$4:$Y$503,'Trade Log'!$L$4:$L$503,$A179))</f>
        <v>0</v>
      </c>
      <c r="H179" s="40" t="str">
        <f aca="false">IF($A179="","",IF($C179=0,"",$F179-$G179))</f>
        <v/>
      </c>
      <c r="I179" s="40" t="n">
        <f aca="false">IF($A179="","",$I178+IF($H179="",0,$H179))</f>
        <v>23918.5521880349</v>
      </c>
      <c r="J179" s="40" t="n">
        <f aca="false">IF($A179="","",Config!$B$4+$I179)</f>
        <v>1023918.55218803</v>
      </c>
      <c r="K179" s="40" t="n">
        <f aca="false">IF($A179="","",MAX($J$4:$J179))</f>
        <v>1023918.55218803</v>
      </c>
      <c r="L179" s="40" t="n">
        <f aca="false">IF($A179="","",$J179-$K179)</f>
        <v>0</v>
      </c>
      <c r="M179" s="42" t="n">
        <f aca="false">IF(OR($A179="",$K179=0),"",$L179/$K179)</f>
        <v>0</v>
      </c>
      <c r="N179" s="40" t="n">
        <f aca="false">IF($A179="","",SUMIFS('Trade Log'!$K$4:$K$503,'Trade Log'!$H$4:$H$503,$A179))</f>
        <v>0</v>
      </c>
      <c r="O179" s="42" t="str">
        <f aca="false">IF(OR($A179="",$H179="",Config!$B$4=0),"",$H179/Config!$B$4)</f>
        <v/>
      </c>
      <c r="P179" s="40" t="n">
        <f aca="false">IF($A179="","",SUM($H$160:$H179))</f>
        <v>0</v>
      </c>
      <c r="Q179" s="53" t="str">
        <f aca="false">IF($A179="","",IFERROR((AVERAGE($O$160:$O179)-Config!$B$7/Config!$B$6)/STDEV($O$160:$O179)*SQRT(Config!$B$6),""))</f>
        <v/>
      </c>
      <c r="R179" s="53" t="str">
        <f aca="false">IF($A179="","",IFERROR((AVERAGE($O$120:$O179)-Config!$B$7/Config!$B$6)/STDEV($O$120:$O179)*SQRT(Config!$B$6),""))</f>
        <v/>
      </c>
      <c r="S179" s="47" t="n">
        <f aca="false">IF($H179="",$S178,IF($H179&gt;0,$S178+1,0))</f>
        <v>1</v>
      </c>
      <c r="T179" s="47" t="n">
        <f aca="false">IF($H179="",$T178,IF($H179&lt;0,$T178+1,0))</f>
        <v>0</v>
      </c>
    </row>
    <row r="180" customFormat="false" ht="15" hidden="false" customHeight="false" outlineLevel="0" collapsed="false">
      <c r="A180" s="54" t="n">
        <f aca="false">IF($A179="","",$A179+1)</f>
        <v>46411</v>
      </c>
      <c r="B180" s="5" t="str">
        <f aca="false">IF($A180="","",TEXT($A180,"ddd"))</f>
        <v>Sun</v>
      </c>
      <c r="C180" s="41" t="n">
        <f aca="false">IF($A180="","",COUNTIFS('Trade Log'!$L$4:$L$503,$A180))</f>
        <v>0</v>
      </c>
      <c r="D180" s="40" t="n">
        <f aca="false">IF($A180="","",SUMIFS('Trade Log'!$Q$4:$Q$503,'Trade Log'!$L$4:$L$503,$A180,'Trade Log'!$E$4:$E$503,"LONG"))</f>
        <v>0</v>
      </c>
      <c r="E180" s="40" t="n">
        <f aca="false">IF($A180="","",SUMIFS('Trade Log'!$Q$4:$Q$503,'Trade Log'!$L$4:$L$503,$A180,'Trade Log'!$E$4:$E$503,"SHORT"))</f>
        <v>0</v>
      </c>
      <c r="F180" s="40" t="n">
        <f aca="false">IF($A180="","",$D180+$E180)</f>
        <v>0</v>
      </c>
      <c r="G180" s="40" t="n">
        <f aca="false">IF($A180="","",SUMIFS('Trade Log'!$Y$4:$Y$503,'Trade Log'!$L$4:$L$503,$A180))</f>
        <v>0</v>
      </c>
      <c r="H180" s="40" t="str">
        <f aca="false">IF($A180="","",IF($C180=0,"",$F180-$G180))</f>
        <v/>
      </c>
      <c r="I180" s="40" t="n">
        <f aca="false">IF($A180="","",$I179+IF($H180="",0,$H180))</f>
        <v>23918.5521880349</v>
      </c>
      <c r="J180" s="40" t="n">
        <f aca="false">IF($A180="","",Config!$B$4+$I180)</f>
        <v>1023918.55218803</v>
      </c>
      <c r="K180" s="40" t="n">
        <f aca="false">IF($A180="","",MAX($J$4:$J180))</f>
        <v>1023918.55218803</v>
      </c>
      <c r="L180" s="40" t="n">
        <f aca="false">IF($A180="","",$J180-$K180)</f>
        <v>0</v>
      </c>
      <c r="M180" s="42" t="n">
        <f aca="false">IF(OR($A180="",$K180=0),"",$L180/$K180)</f>
        <v>0</v>
      </c>
      <c r="N180" s="40" t="n">
        <f aca="false">IF($A180="","",SUMIFS('Trade Log'!$K$4:$K$503,'Trade Log'!$H$4:$H$503,$A180))</f>
        <v>0</v>
      </c>
      <c r="O180" s="42" t="str">
        <f aca="false">IF(OR($A180="",$H180="",Config!$B$4=0),"",$H180/Config!$B$4)</f>
        <v/>
      </c>
      <c r="P180" s="40" t="n">
        <f aca="false">IF($A180="","",SUM($H$161:$H180))</f>
        <v>0</v>
      </c>
      <c r="Q180" s="53" t="str">
        <f aca="false">IF($A180="","",IFERROR((AVERAGE($O$161:$O180)-Config!$B$7/Config!$B$6)/STDEV($O$161:$O180)*SQRT(Config!$B$6),""))</f>
        <v/>
      </c>
      <c r="R180" s="53" t="str">
        <f aca="false">IF($A180="","",IFERROR((AVERAGE($O$121:$O180)-Config!$B$7/Config!$B$6)/STDEV($O$121:$O180)*SQRT(Config!$B$6),""))</f>
        <v/>
      </c>
      <c r="S180" s="47" t="n">
        <f aca="false">IF($H180="",$S179,IF($H180&gt;0,$S179+1,0))</f>
        <v>1</v>
      </c>
      <c r="T180" s="47" t="n">
        <f aca="false">IF($H180="",$T179,IF($H180&lt;0,$T179+1,0))</f>
        <v>0</v>
      </c>
    </row>
    <row r="181" customFormat="false" ht="15" hidden="false" customHeight="false" outlineLevel="0" collapsed="false">
      <c r="A181" s="54" t="n">
        <f aca="false">IF($A180="","",$A180+1)</f>
        <v>46412</v>
      </c>
      <c r="B181" s="5" t="str">
        <f aca="false">IF($A181="","",TEXT($A181,"ddd"))</f>
        <v>Mon</v>
      </c>
      <c r="C181" s="41" t="n">
        <f aca="false">IF($A181="","",COUNTIFS('Trade Log'!$L$4:$L$503,$A181))</f>
        <v>0</v>
      </c>
      <c r="D181" s="40" t="n">
        <f aca="false">IF($A181="","",SUMIFS('Trade Log'!$Q$4:$Q$503,'Trade Log'!$L$4:$L$503,$A181,'Trade Log'!$E$4:$E$503,"LONG"))</f>
        <v>0</v>
      </c>
      <c r="E181" s="40" t="n">
        <f aca="false">IF($A181="","",SUMIFS('Trade Log'!$Q$4:$Q$503,'Trade Log'!$L$4:$L$503,$A181,'Trade Log'!$E$4:$E$503,"SHORT"))</f>
        <v>0</v>
      </c>
      <c r="F181" s="40" t="n">
        <f aca="false">IF($A181="","",$D181+$E181)</f>
        <v>0</v>
      </c>
      <c r="G181" s="40" t="n">
        <f aca="false">IF($A181="","",SUMIFS('Trade Log'!$Y$4:$Y$503,'Trade Log'!$L$4:$L$503,$A181))</f>
        <v>0</v>
      </c>
      <c r="H181" s="40" t="str">
        <f aca="false">IF($A181="","",IF($C181=0,"",$F181-$G181))</f>
        <v/>
      </c>
      <c r="I181" s="40" t="n">
        <f aca="false">IF($A181="","",$I180+IF($H181="",0,$H181))</f>
        <v>23918.5521880349</v>
      </c>
      <c r="J181" s="40" t="n">
        <f aca="false">IF($A181="","",Config!$B$4+$I181)</f>
        <v>1023918.55218803</v>
      </c>
      <c r="K181" s="40" t="n">
        <f aca="false">IF($A181="","",MAX($J$4:$J181))</f>
        <v>1023918.55218803</v>
      </c>
      <c r="L181" s="40" t="n">
        <f aca="false">IF($A181="","",$J181-$K181)</f>
        <v>0</v>
      </c>
      <c r="M181" s="42" t="n">
        <f aca="false">IF(OR($A181="",$K181=0),"",$L181/$K181)</f>
        <v>0</v>
      </c>
      <c r="N181" s="40" t="n">
        <f aca="false">IF($A181="","",SUMIFS('Trade Log'!$K$4:$K$503,'Trade Log'!$H$4:$H$503,$A181))</f>
        <v>0</v>
      </c>
      <c r="O181" s="42" t="str">
        <f aca="false">IF(OR($A181="",$H181="",Config!$B$4=0),"",$H181/Config!$B$4)</f>
        <v/>
      </c>
      <c r="P181" s="40" t="n">
        <f aca="false">IF($A181="","",SUM($H$162:$H181))</f>
        <v>0</v>
      </c>
      <c r="Q181" s="53" t="str">
        <f aca="false">IF($A181="","",IFERROR((AVERAGE($O$162:$O181)-Config!$B$7/Config!$B$6)/STDEV($O$162:$O181)*SQRT(Config!$B$6),""))</f>
        <v/>
      </c>
      <c r="R181" s="53" t="str">
        <f aca="false">IF($A181="","",IFERROR((AVERAGE($O$122:$O181)-Config!$B$7/Config!$B$6)/STDEV($O$122:$O181)*SQRT(Config!$B$6),""))</f>
        <v/>
      </c>
      <c r="S181" s="47" t="n">
        <f aca="false">IF($H181="",$S180,IF($H181&gt;0,$S180+1,0))</f>
        <v>1</v>
      </c>
      <c r="T181" s="47" t="n">
        <f aca="false">IF($H181="",$T180,IF($H181&lt;0,$T180+1,0))</f>
        <v>0</v>
      </c>
    </row>
    <row r="182" customFormat="false" ht="15" hidden="false" customHeight="false" outlineLevel="0" collapsed="false">
      <c r="A182" s="54" t="n">
        <f aca="false">IF($A181="","",$A181+1)</f>
        <v>46413</v>
      </c>
      <c r="B182" s="5" t="str">
        <f aca="false">IF($A182="","",TEXT($A182,"ddd"))</f>
        <v>Tue</v>
      </c>
      <c r="C182" s="41" t="n">
        <f aca="false">IF($A182="","",COUNTIFS('Trade Log'!$L$4:$L$503,$A182))</f>
        <v>0</v>
      </c>
      <c r="D182" s="40" t="n">
        <f aca="false">IF($A182="","",SUMIFS('Trade Log'!$Q$4:$Q$503,'Trade Log'!$L$4:$L$503,$A182,'Trade Log'!$E$4:$E$503,"LONG"))</f>
        <v>0</v>
      </c>
      <c r="E182" s="40" t="n">
        <f aca="false">IF($A182="","",SUMIFS('Trade Log'!$Q$4:$Q$503,'Trade Log'!$L$4:$L$503,$A182,'Trade Log'!$E$4:$E$503,"SHORT"))</f>
        <v>0</v>
      </c>
      <c r="F182" s="40" t="n">
        <f aca="false">IF($A182="","",$D182+$E182)</f>
        <v>0</v>
      </c>
      <c r="G182" s="40" t="n">
        <f aca="false">IF($A182="","",SUMIFS('Trade Log'!$Y$4:$Y$503,'Trade Log'!$L$4:$L$503,$A182))</f>
        <v>0</v>
      </c>
      <c r="H182" s="40" t="str">
        <f aca="false">IF($A182="","",IF($C182=0,"",$F182-$G182))</f>
        <v/>
      </c>
      <c r="I182" s="40" t="n">
        <f aca="false">IF($A182="","",$I181+IF($H182="",0,$H182))</f>
        <v>23918.5521880349</v>
      </c>
      <c r="J182" s="40" t="n">
        <f aca="false">IF($A182="","",Config!$B$4+$I182)</f>
        <v>1023918.55218803</v>
      </c>
      <c r="K182" s="40" t="n">
        <f aca="false">IF($A182="","",MAX($J$4:$J182))</f>
        <v>1023918.55218803</v>
      </c>
      <c r="L182" s="40" t="n">
        <f aca="false">IF($A182="","",$J182-$K182)</f>
        <v>0</v>
      </c>
      <c r="M182" s="42" t="n">
        <f aca="false">IF(OR($A182="",$K182=0),"",$L182/$K182)</f>
        <v>0</v>
      </c>
      <c r="N182" s="40" t="n">
        <f aca="false">IF($A182="","",SUMIFS('Trade Log'!$K$4:$K$503,'Trade Log'!$H$4:$H$503,$A182))</f>
        <v>0</v>
      </c>
      <c r="O182" s="42" t="str">
        <f aca="false">IF(OR($A182="",$H182="",Config!$B$4=0),"",$H182/Config!$B$4)</f>
        <v/>
      </c>
      <c r="P182" s="40" t="n">
        <f aca="false">IF($A182="","",SUM($H$163:$H182))</f>
        <v>0</v>
      </c>
      <c r="Q182" s="53" t="str">
        <f aca="false">IF($A182="","",IFERROR((AVERAGE($O$163:$O182)-Config!$B$7/Config!$B$6)/STDEV($O$163:$O182)*SQRT(Config!$B$6),""))</f>
        <v/>
      </c>
      <c r="R182" s="53" t="str">
        <f aca="false">IF($A182="","",IFERROR((AVERAGE($O$123:$O182)-Config!$B$7/Config!$B$6)/STDEV($O$123:$O182)*SQRT(Config!$B$6),""))</f>
        <v/>
      </c>
      <c r="S182" s="47" t="n">
        <f aca="false">IF($H182="",$S181,IF($H182&gt;0,$S181+1,0))</f>
        <v>1</v>
      </c>
      <c r="T182" s="47" t="n">
        <f aca="false">IF($H182="",$T181,IF($H182&lt;0,$T181+1,0))</f>
        <v>0</v>
      </c>
    </row>
    <row r="183" customFormat="false" ht="15" hidden="false" customHeight="false" outlineLevel="0" collapsed="false">
      <c r="A183" s="54" t="n">
        <f aca="false">IF($A182="","",$A182+1)</f>
        <v>46414</v>
      </c>
      <c r="B183" s="5" t="str">
        <f aca="false">IF($A183="","",TEXT($A183,"ddd"))</f>
        <v>Wed</v>
      </c>
      <c r="C183" s="41" t="n">
        <f aca="false">IF($A183="","",COUNTIFS('Trade Log'!$L$4:$L$503,$A183))</f>
        <v>0</v>
      </c>
      <c r="D183" s="40" t="n">
        <f aca="false">IF($A183="","",SUMIFS('Trade Log'!$Q$4:$Q$503,'Trade Log'!$L$4:$L$503,$A183,'Trade Log'!$E$4:$E$503,"LONG"))</f>
        <v>0</v>
      </c>
      <c r="E183" s="40" t="n">
        <f aca="false">IF($A183="","",SUMIFS('Trade Log'!$Q$4:$Q$503,'Trade Log'!$L$4:$L$503,$A183,'Trade Log'!$E$4:$E$503,"SHORT"))</f>
        <v>0</v>
      </c>
      <c r="F183" s="40" t="n">
        <f aca="false">IF($A183="","",$D183+$E183)</f>
        <v>0</v>
      </c>
      <c r="G183" s="40" t="n">
        <f aca="false">IF($A183="","",SUMIFS('Trade Log'!$Y$4:$Y$503,'Trade Log'!$L$4:$L$503,$A183))</f>
        <v>0</v>
      </c>
      <c r="H183" s="40" t="str">
        <f aca="false">IF($A183="","",IF($C183=0,"",$F183-$G183))</f>
        <v/>
      </c>
      <c r="I183" s="40" t="n">
        <f aca="false">IF($A183="","",$I182+IF($H183="",0,$H183))</f>
        <v>23918.5521880349</v>
      </c>
      <c r="J183" s="40" t="n">
        <f aca="false">IF($A183="","",Config!$B$4+$I183)</f>
        <v>1023918.55218803</v>
      </c>
      <c r="K183" s="40" t="n">
        <f aca="false">IF($A183="","",MAX($J$4:$J183))</f>
        <v>1023918.55218803</v>
      </c>
      <c r="L183" s="40" t="n">
        <f aca="false">IF($A183="","",$J183-$K183)</f>
        <v>0</v>
      </c>
      <c r="M183" s="42" t="n">
        <f aca="false">IF(OR($A183="",$K183=0),"",$L183/$K183)</f>
        <v>0</v>
      </c>
      <c r="N183" s="40" t="n">
        <f aca="false">IF($A183="","",SUMIFS('Trade Log'!$K$4:$K$503,'Trade Log'!$H$4:$H$503,$A183))</f>
        <v>0</v>
      </c>
      <c r="O183" s="42" t="str">
        <f aca="false">IF(OR($A183="",$H183="",Config!$B$4=0),"",$H183/Config!$B$4)</f>
        <v/>
      </c>
      <c r="P183" s="40" t="n">
        <f aca="false">IF($A183="","",SUM($H$164:$H183))</f>
        <v>0</v>
      </c>
      <c r="Q183" s="53" t="str">
        <f aca="false">IF($A183="","",IFERROR((AVERAGE($O$164:$O183)-Config!$B$7/Config!$B$6)/STDEV($O$164:$O183)*SQRT(Config!$B$6),""))</f>
        <v/>
      </c>
      <c r="R183" s="53" t="str">
        <f aca="false">IF($A183="","",IFERROR((AVERAGE($O$124:$O183)-Config!$B$7/Config!$B$6)/STDEV($O$124:$O183)*SQRT(Config!$B$6),""))</f>
        <v/>
      </c>
      <c r="S183" s="47" t="n">
        <f aca="false">IF($H183="",$S182,IF($H183&gt;0,$S182+1,0))</f>
        <v>1</v>
      </c>
      <c r="T183" s="47" t="n">
        <f aca="false">IF($H183="",$T182,IF($H183&lt;0,$T182+1,0))</f>
        <v>0</v>
      </c>
    </row>
    <row r="184" customFormat="false" ht="15" hidden="false" customHeight="false" outlineLevel="0" collapsed="false">
      <c r="A184" s="54" t="n">
        <f aca="false">IF($A183="","",$A183+1)</f>
        <v>46415</v>
      </c>
      <c r="B184" s="5" t="str">
        <f aca="false">IF($A184="","",TEXT($A184,"ddd"))</f>
        <v>Thu</v>
      </c>
      <c r="C184" s="41" t="n">
        <f aca="false">IF($A184="","",COUNTIFS('Trade Log'!$L$4:$L$503,$A184))</f>
        <v>0</v>
      </c>
      <c r="D184" s="40" t="n">
        <f aca="false">IF($A184="","",SUMIFS('Trade Log'!$Q$4:$Q$503,'Trade Log'!$L$4:$L$503,$A184,'Trade Log'!$E$4:$E$503,"LONG"))</f>
        <v>0</v>
      </c>
      <c r="E184" s="40" t="n">
        <f aca="false">IF($A184="","",SUMIFS('Trade Log'!$Q$4:$Q$503,'Trade Log'!$L$4:$L$503,$A184,'Trade Log'!$E$4:$E$503,"SHORT"))</f>
        <v>0</v>
      </c>
      <c r="F184" s="40" t="n">
        <f aca="false">IF($A184="","",$D184+$E184)</f>
        <v>0</v>
      </c>
      <c r="G184" s="40" t="n">
        <f aca="false">IF($A184="","",SUMIFS('Trade Log'!$Y$4:$Y$503,'Trade Log'!$L$4:$L$503,$A184))</f>
        <v>0</v>
      </c>
      <c r="H184" s="40" t="str">
        <f aca="false">IF($A184="","",IF($C184=0,"",$F184-$G184))</f>
        <v/>
      </c>
      <c r="I184" s="40" t="n">
        <f aca="false">IF($A184="","",$I183+IF($H184="",0,$H184))</f>
        <v>23918.5521880349</v>
      </c>
      <c r="J184" s="40" t="n">
        <f aca="false">IF($A184="","",Config!$B$4+$I184)</f>
        <v>1023918.55218803</v>
      </c>
      <c r="K184" s="40" t="n">
        <f aca="false">IF($A184="","",MAX($J$4:$J184))</f>
        <v>1023918.55218803</v>
      </c>
      <c r="L184" s="40" t="n">
        <f aca="false">IF($A184="","",$J184-$K184)</f>
        <v>0</v>
      </c>
      <c r="M184" s="42" t="n">
        <f aca="false">IF(OR($A184="",$K184=0),"",$L184/$K184)</f>
        <v>0</v>
      </c>
      <c r="N184" s="40" t="n">
        <f aca="false">IF($A184="","",SUMIFS('Trade Log'!$K$4:$K$503,'Trade Log'!$H$4:$H$503,$A184))</f>
        <v>0</v>
      </c>
      <c r="O184" s="42" t="str">
        <f aca="false">IF(OR($A184="",$H184="",Config!$B$4=0),"",$H184/Config!$B$4)</f>
        <v/>
      </c>
      <c r="P184" s="40" t="n">
        <f aca="false">IF($A184="","",SUM($H$165:$H184))</f>
        <v>0</v>
      </c>
      <c r="Q184" s="53" t="str">
        <f aca="false">IF($A184="","",IFERROR((AVERAGE($O$165:$O184)-Config!$B$7/Config!$B$6)/STDEV($O$165:$O184)*SQRT(Config!$B$6),""))</f>
        <v/>
      </c>
      <c r="R184" s="53" t="str">
        <f aca="false">IF($A184="","",IFERROR((AVERAGE($O$125:$O184)-Config!$B$7/Config!$B$6)/STDEV($O$125:$O184)*SQRT(Config!$B$6),""))</f>
        <v/>
      </c>
      <c r="S184" s="47" t="n">
        <f aca="false">IF($H184="",$S183,IF($H184&gt;0,$S183+1,0))</f>
        <v>1</v>
      </c>
      <c r="T184" s="47" t="n">
        <f aca="false">IF($H184="",$T183,IF($H184&lt;0,$T183+1,0))</f>
        <v>0</v>
      </c>
    </row>
    <row r="185" customFormat="false" ht="15" hidden="false" customHeight="false" outlineLevel="0" collapsed="false">
      <c r="A185" s="54" t="n">
        <f aca="false">IF($A184="","",$A184+1)</f>
        <v>46416</v>
      </c>
      <c r="B185" s="5" t="str">
        <f aca="false">IF($A185="","",TEXT($A185,"ddd"))</f>
        <v>Fri</v>
      </c>
      <c r="C185" s="41" t="n">
        <f aca="false">IF($A185="","",COUNTIFS('Trade Log'!$L$4:$L$503,$A185))</f>
        <v>0</v>
      </c>
      <c r="D185" s="40" t="n">
        <f aca="false">IF($A185="","",SUMIFS('Trade Log'!$Q$4:$Q$503,'Trade Log'!$L$4:$L$503,$A185,'Trade Log'!$E$4:$E$503,"LONG"))</f>
        <v>0</v>
      </c>
      <c r="E185" s="40" t="n">
        <f aca="false">IF($A185="","",SUMIFS('Trade Log'!$Q$4:$Q$503,'Trade Log'!$L$4:$L$503,$A185,'Trade Log'!$E$4:$E$503,"SHORT"))</f>
        <v>0</v>
      </c>
      <c r="F185" s="40" t="n">
        <f aca="false">IF($A185="","",$D185+$E185)</f>
        <v>0</v>
      </c>
      <c r="G185" s="40" t="n">
        <f aca="false">IF($A185="","",SUMIFS('Trade Log'!$Y$4:$Y$503,'Trade Log'!$L$4:$L$503,$A185))</f>
        <v>0</v>
      </c>
      <c r="H185" s="40" t="str">
        <f aca="false">IF($A185="","",IF($C185=0,"",$F185-$G185))</f>
        <v/>
      </c>
      <c r="I185" s="40" t="n">
        <f aca="false">IF($A185="","",$I184+IF($H185="",0,$H185))</f>
        <v>23918.5521880349</v>
      </c>
      <c r="J185" s="40" t="n">
        <f aca="false">IF($A185="","",Config!$B$4+$I185)</f>
        <v>1023918.55218803</v>
      </c>
      <c r="K185" s="40" t="n">
        <f aca="false">IF($A185="","",MAX($J$4:$J185))</f>
        <v>1023918.55218803</v>
      </c>
      <c r="L185" s="40" t="n">
        <f aca="false">IF($A185="","",$J185-$K185)</f>
        <v>0</v>
      </c>
      <c r="M185" s="42" t="n">
        <f aca="false">IF(OR($A185="",$K185=0),"",$L185/$K185)</f>
        <v>0</v>
      </c>
      <c r="N185" s="40" t="n">
        <f aca="false">IF($A185="","",SUMIFS('Trade Log'!$K$4:$K$503,'Trade Log'!$H$4:$H$503,$A185))</f>
        <v>0</v>
      </c>
      <c r="O185" s="42" t="str">
        <f aca="false">IF(OR($A185="",$H185="",Config!$B$4=0),"",$H185/Config!$B$4)</f>
        <v/>
      </c>
      <c r="P185" s="40" t="n">
        <f aca="false">IF($A185="","",SUM($H$166:$H185))</f>
        <v>0</v>
      </c>
      <c r="Q185" s="53" t="str">
        <f aca="false">IF($A185="","",IFERROR((AVERAGE($O$166:$O185)-Config!$B$7/Config!$B$6)/STDEV($O$166:$O185)*SQRT(Config!$B$6),""))</f>
        <v/>
      </c>
      <c r="R185" s="53" t="str">
        <f aca="false">IF($A185="","",IFERROR((AVERAGE($O$126:$O185)-Config!$B$7/Config!$B$6)/STDEV($O$126:$O185)*SQRT(Config!$B$6),""))</f>
        <v/>
      </c>
      <c r="S185" s="47" t="n">
        <f aca="false">IF($H185="",$S184,IF($H185&gt;0,$S184+1,0))</f>
        <v>1</v>
      </c>
      <c r="T185" s="47" t="n">
        <f aca="false">IF($H185="",$T184,IF($H185&lt;0,$T184+1,0))</f>
        <v>0</v>
      </c>
    </row>
    <row r="186" customFormat="false" ht="15" hidden="false" customHeight="false" outlineLevel="0" collapsed="false">
      <c r="A186" s="54" t="n">
        <f aca="false">IF($A185="","",$A185+1)</f>
        <v>46417</v>
      </c>
      <c r="B186" s="5" t="str">
        <f aca="false">IF($A186="","",TEXT($A186,"ddd"))</f>
        <v>Sat</v>
      </c>
      <c r="C186" s="41" t="n">
        <f aca="false">IF($A186="","",COUNTIFS('Trade Log'!$L$4:$L$503,$A186))</f>
        <v>0</v>
      </c>
      <c r="D186" s="40" t="n">
        <f aca="false">IF($A186="","",SUMIFS('Trade Log'!$Q$4:$Q$503,'Trade Log'!$L$4:$L$503,$A186,'Trade Log'!$E$4:$E$503,"LONG"))</f>
        <v>0</v>
      </c>
      <c r="E186" s="40" t="n">
        <f aca="false">IF($A186="","",SUMIFS('Trade Log'!$Q$4:$Q$503,'Trade Log'!$L$4:$L$503,$A186,'Trade Log'!$E$4:$E$503,"SHORT"))</f>
        <v>0</v>
      </c>
      <c r="F186" s="40" t="n">
        <f aca="false">IF($A186="","",$D186+$E186)</f>
        <v>0</v>
      </c>
      <c r="G186" s="40" t="n">
        <f aca="false">IF($A186="","",SUMIFS('Trade Log'!$Y$4:$Y$503,'Trade Log'!$L$4:$L$503,$A186))</f>
        <v>0</v>
      </c>
      <c r="H186" s="40" t="str">
        <f aca="false">IF($A186="","",IF($C186=0,"",$F186-$G186))</f>
        <v/>
      </c>
      <c r="I186" s="40" t="n">
        <f aca="false">IF($A186="","",$I185+IF($H186="",0,$H186))</f>
        <v>23918.5521880349</v>
      </c>
      <c r="J186" s="40" t="n">
        <f aca="false">IF($A186="","",Config!$B$4+$I186)</f>
        <v>1023918.55218803</v>
      </c>
      <c r="K186" s="40" t="n">
        <f aca="false">IF($A186="","",MAX($J$4:$J186))</f>
        <v>1023918.55218803</v>
      </c>
      <c r="L186" s="40" t="n">
        <f aca="false">IF($A186="","",$J186-$K186)</f>
        <v>0</v>
      </c>
      <c r="M186" s="42" t="n">
        <f aca="false">IF(OR($A186="",$K186=0),"",$L186/$K186)</f>
        <v>0</v>
      </c>
      <c r="N186" s="40" t="n">
        <f aca="false">IF($A186="","",SUMIFS('Trade Log'!$K$4:$K$503,'Trade Log'!$H$4:$H$503,$A186))</f>
        <v>0</v>
      </c>
      <c r="O186" s="42" t="str">
        <f aca="false">IF(OR($A186="",$H186="",Config!$B$4=0),"",$H186/Config!$B$4)</f>
        <v/>
      </c>
      <c r="P186" s="40" t="n">
        <f aca="false">IF($A186="","",SUM($H$167:$H186))</f>
        <v>0</v>
      </c>
      <c r="Q186" s="53" t="str">
        <f aca="false">IF($A186="","",IFERROR((AVERAGE($O$167:$O186)-Config!$B$7/Config!$B$6)/STDEV($O$167:$O186)*SQRT(Config!$B$6),""))</f>
        <v/>
      </c>
      <c r="R186" s="53" t="str">
        <f aca="false">IF($A186="","",IFERROR((AVERAGE($O$127:$O186)-Config!$B$7/Config!$B$6)/STDEV($O$127:$O186)*SQRT(Config!$B$6),""))</f>
        <v/>
      </c>
      <c r="S186" s="47" t="n">
        <f aca="false">IF($H186="",$S185,IF($H186&gt;0,$S185+1,0))</f>
        <v>1</v>
      </c>
      <c r="T186" s="47" t="n">
        <f aca="false">IF($H186="",$T185,IF($H186&lt;0,$T185+1,0))</f>
        <v>0</v>
      </c>
    </row>
    <row r="187" customFormat="false" ht="15" hidden="false" customHeight="false" outlineLevel="0" collapsed="false">
      <c r="A187" s="54" t="n">
        <f aca="false">IF($A186="","",$A186+1)</f>
        <v>46418</v>
      </c>
      <c r="B187" s="5" t="str">
        <f aca="false">IF($A187="","",TEXT($A187,"ddd"))</f>
        <v>Sun</v>
      </c>
      <c r="C187" s="41" t="n">
        <f aca="false">IF($A187="","",COUNTIFS('Trade Log'!$L$4:$L$503,$A187))</f>
        <v>0</v>
      </c>
      <c r="D187" s="40" t="n">
        <f aca="false">IF($A187="","",SUMIFS('Trade Log'!$Q$4:$Q$503,'Trade Log'!$L$4:$L$503,$A187,'Trade Log'!$E$4:$E$503,"LONG"))</f>
        <v>0</v>
      </c>
      <c r="E187" s="40" t="n">
        <f aca="false">IF($A187="","",SUMIFS('Trade Log'!$Q$4:$Q$503,'Trade Log'!$L$4:$L$503,$A187,'Trade Log'!$E$4:$E$503,"SHORT"))</f>
        <v>0</v>
      </c>
      <c r="F187" s="40" t="n">
        <f aca="false">IF($A187="","",$D187+$E187)</f>
        <v>0</v>
      </c>
      <c r="G187" s="40" t="n">
        <f aca="false">IF($A187="","",SUMIFS('Trade Log'!$Y$4:$Y$503,'Trade Log'!$L$4:$L$503,$A187))</f>
        <v>0</v>
      </c>
      <c r="H187" s="40" t="str">
        <f aca="false">IF($A187="","",IF($C187=0,"",$F187-$G187))</f>
        <v/>
      </c>
      <c r="I187" s="40" t="n">
        <f aca="false">IF($A187="","",$I186+IF($H187="",0,$H187))</f>
        <v>23918.5521880349</v>
      </c>
      <c r="J187" s="40" t="n">
        <f aca="false">IF($A187="","",Config!$B$4+$I187)</f>
        <v>1023918.55218803</v>
      </c>
      <c r="K187" s="40" t="n">
        <f aca="false">IF($A187="","",MAX($J$4:$J187))</f>
        <v>1023918.55218803</v>
      </c>
      <c r="L187" s="40" t="n">
        <f aca="false">IF($A187="","",$J187-$K187)</f>
        <v>0</v>
      </c>
      <c r="M187" s="42" t="n">
        <f aca="false">IF(OR($A187="",$K187=0),"",$L187/$K187)</f>
        <v>0</v>
      </c>
      <c r="N187" s="40" t="n">
        <f aca="false">IF($A187="","",SUMIFS('Trade Log'!$K$4:$K$503,'Trade Log'!$H$4:$H$503,$A187))</f>
        <v>0</v>
      </c>
      <c r="O187" s="42" t="str">
        <f aca="false">IF(OR($A187="",$H187="",Config!$B$4=0),"",$H187/Config!$B$4)</f>
        <v/>
      </c>
      <c r="P187" s="40" t="n">
        <f aca="false">IF($A187="","",SUM($H$168:$H187))</f>
        <v>0</v>
      </c>
      <c r="Q187" s="53" t="str">
        <f aca="false">IF($A187="","",IFERROR((AVERAGE($O$168:$O187)-Config!$B$7/Config!$B$6)/STDEV($O$168:$O187)*SQRT(Config!$B$6),""))</f>
        <v/>
      </c>
      <c r="R187" s="53" t="str">
        <f aca="false">IF($A187="","",IFERROR((AVERAGE($O$128:$O187)-Config!$B$7/Config!$B$6)/STDEV($O$128:$O187)*SQRT(Config!$B$6),""))</f>
        <v/>
      </c>
      <c r="S187" s="47" t="n">
        <f aca="false">IF($H187="",$S186,IF($H187&gt;0,$S186+1,0))</f>
        <v>1</v>
      </c>
      <c r="T187" s="47" t="n">
        <f aca="false">IF($H187="",$T186,IF($H187&lt;0,$T186+1,0))</f>
        <v>0</v>
      </c>
    </row>
    <row r="188" customFormat="false" ht="15" hidden="false" customHeight="false" outlineLevel="0" collapsed="false">
      <c r="A188" s="54" t="n">
        <f aca="false">IF($A187="","",$A187+1)</f>
        <v>46419</v>
      </c>
      <c r="B188" s="5" t="str">
        <f aca="false">IF($A188="","",TEXT($A188,"ddd"))</f>
        <v>Mon</v>
      </c>
      <c r="C188" s="41" t="n">
        <f aca="false">IF($A188="","",COUNTIFS('Trade Log'!$L$4:$L$503,$A188))</f>
        <v>0</v>
      </c>
      <c r="D188" s="40" t="n">
        <f aca="false">IF($A188="","",SUMIFS('Trade Log'!$Q$4:$Q$503,'Trade Log'!$L$4:$L$503,$A188,'Trade Log'!$E$4:$E$503,"LONG"))</f>
        <v>0</v>
      </c>
      <c r="E188" s="40" t="n">
        <f aca="false">IF($A188="","",SUMIFS('Trade Log'!$Q$4:$Q$503,'Trade Log'!$L$4:$L$503,$A188,'Trade Log'!$E$4:$E$503,"SHORT"))</f>
        <v>0</v>
      </c>
      <c r="F188" s="40" t="n">
        <f aca="false">IF($A188="","",$D188+$E188)</f>
        <v>0</v>
      </c>
      <c r="G188" s="40" t="n">
        <f aca="false">IF($A188="","",SUMIFS('Trade Log'!$Y$4:$Y$503,'Trade Log'!$L$4:$L$503,$A188))</f>
        <v>0</v>
      </c>
      <c r="H188" s="40" t="str">
        <f aca="false">IF($A188="","",IF($C188=0,"",$F188-$G188))</f>
        <v/>
      </c>
      <c r="I188" s="40" t="n">
        <f aca="false">IF($A188="","",$I187+IF($H188="",0,$H188))</f>
        <v>23918.5521880349</v>
      </c>
      <c r="J188" s="40" t="n">
        <f aca="false">IF($A188="","",Config!$B$4+$I188)</f>
        <v>1023918.55218803</v>
      </c>
      <c r="K188" s="40" t="n">
        <f aca="false">IF($A188="","",MAX($J$4:$J188))</f>
        <v>1023918.55218803</v>
      </c>
      <c r="L188" s="40" t="n">
        <f aca="false">IF($A188="","",$J188-$K188)</f>
        <v>0</v>
      </c>
      <c r="M188" s="42" t="n">
        <f aca="false">IF(OR($A188="",$K188=0),"",$L188/$K188)</f>
        <v>0</v>
      </c>
      <c r="N188" s="40" t="n">
        <f aca="false">IF($A188="","",SUMIFS('Trade Log'!$K$4:$K$503,'Trade Log'!$H$4:$H$503,$A188))</f>
        <v>0</v>
      </c>
      <c r="O188" s="42" t="str">
        <f aca="false">IF(OR($A188="",$H188="",Config!$B$4=0),"",$H188/Config!$B$4)</f>
        <v/>
      </c>
      <c r="P188" s="40" t="n">
        <f aca="false">IF($A188="","",SUM($H$169:$H188))</f>
        <v>0</v>
      </c>
      <c r="Q188" s="53" t="str">
        <f aca="false">IF($A188="","",IFERROR((AVERAGE($O$169:$O188)-Config!$B$7/Config!$B$6)/STDEV($O$169:$O188)*SQRT(Config!$B$6),""))</f>
        <v/>
      </c>
      <c r="R188" s="53" t="str">
        <f aca="false">IF($A188="","",IFERROR((AVERAGE($O$129:$O188)-Config!$B$7/Config!$B$6)/STDEV($O$129:$O188)*SQRT(Config!$B$6),""))</f>
        <v/>
      </c>
      <c r="S188" s="47" t="n">
        <f aca="false">IF($H188="",$S187,IF($H188&gt;0,$S187+1,0))</f>
        <v>1</v>
      </c>
      <c r="T188" s="47" t="n">
        <f aca="false">IF($H188="",$T187,IF($H188&lt;0,$T187+1,0))</f>
        <v>0</v>
      </c>
    </row>
    <row r="189" customFormat="false" ht="15" hidden="false" customHeight="false" outlineLevel="0" collapsed="false">
      <c r="A189" s="54" t="n">
        <f aca="false">IF($A188="","",$A188+1)</f>
        <v>46420</v>
      </c>
      <c r="B189" s="5" t="str">
        <f aca="false">IF($A189="","",TEXT($A189,"ddd"))</f>
        <v>Tue</v>
      </c>
      <c r="C189" s="41" t="n">
        <f aca="false">IF($A189="","",COUNTIFS('Trade Log'!$L$4:$L$503,$A189))</f>
        <v>0</v>
      </c>
      <c r="D189" s="40" t="n">
        <f aca="false">IF($A189="","",SUMIFS('Trade Log'!$Q$4:$Q$503,'Trade Log'!$L$4:$L$503,$A189,'Trade Log'!$E$4:$E$503,"LONG"))</f>
        <v>0</v>
      </c>
      <c r="E189" s="40" t="n">
        <f aca="false">IF($A189="","",SUMIFS('Trade Log'!$Q$4:$Q$503,'Trade Log'!$L$4:$L$503,$A189,'Trade Log'!$E$4:$E$503,"SHORT"))</f>
        <v>0</v>
      </c>
      <c r="F189" s="40" t="n">
        <f aca="false">IF($A189="","",$D189+$E189)</f>
        <v>0</v>
      </c>
      <c r="G189" s="40" t="n">
        <f aca="false">IF($A189="","",SUMIFS('Trade Log'!$Y$4:$Y$503,'Trade Log'!$L$4:$L$503,$A189))</f>
        <v>0</v>
      </c>
      <c r="H189" s="40" t="str">
        <f aca="false">IF($A189="","",IF($C189=0,"",$F189-$G189))</f>
        <v/>
      </c>
      <c r="I189" s="40" t="n">
        <f aca="false">IF($A189="","",$I188+IF($H189="",0,$H189))</f>
        <v>23918.5521880349</v>
      </c>
      <c r="J189" s="40" t="n">
        <f aca="false">IF($A189="","",Config!$B$4+$I189)</f>
        <v>1023918.55218803</v>
      </c>
      <c r="K189" s="40" t="n">
        <f aca="false">IF($A189="","",MAX($J$4:$J189))</f>
        <v>1023918.55218803</v>
      </c>
      <c r="L189" s="40" t="n">
        <f aca="false">IF($A189="","",$J189-$K189)</f>
        <v>0</v>
      </c>
      <c r="M189" s="42" t="n">
        <f aca="false">IF(OR($A189="",$K189=0),"",$L189/$K189)</f>
        <v>0</v>
      </c>
      <c r="N189" s="40" t="n">
        <f aca="false">IF($A189="","",SUMIFS('Trade Log'!$K$4:$K$503,'Trade Log'!$H$4:$H$503,$A189))</f>
        <v>0</v>
      </c>
      <c r="O189" s="42" t="str">
        <f aca="false">IF(OR($A189="",$H189="",Config!$B$4=0),"",$H189/Config!$B$4)</f>
        <v/>
      </c>
      <c r="P189" s="40" t="n">
        <f aca="false">IF($A189="","",SUM($H$170:$H189))</f>
        <v>0</v>
      </c>
      <c r="Q189" s="53" t="str">
        <f aca="false">IF($A189="","",IFERROR((AVERAGE($O$170:$O189)-Config!$B$7/Config!$B$6)/STDEV($O$170:$O189)*SQRT(Config!$B$6),""))</f>
        <v/>
      </c>
      <c r="R189" s="53" t="str">
        <f aca="false">IF($A189="","",IFERROR((AVERAGE($O$130:$O189)-Config!$B$7/Config!$B$6)/STDEV($O$130:$O189)*SQRT(Config!$B$6),""))</f>
        <v/>
      </c>
      <c r="S189" s="47" t="n">
        <f aca="false">IF($H189="",$S188,IF($H189&gt;0,$S188+1,0))</f>
        <v>1</v>
      </c>
      <c r="T189" s="47" t="n">
        <f aca="false">IF($H189="",$T188,IF($H189&lt;0,$T188+1,0))</f>
        <v>0</v>
      </c>
    </row>
    <row r="190" customFormat="false" ht="15" hidden="false" customHeight="false" outlineLevel="0" collapsed="false">
      <c r="A190" s="54" t="n">
        <f aca="false">IF($A189="","",$A189+1)</f>
        <v>46421</v>
      </c>
      <c r="B190" s="5" t="str">
        <f aca="false">IF($A190="","",TEXT($A190,"ddd"))</f>
        <v>Wed</v>
      </c>
      <c r="C190" s="41" t="n">
        <f aca="false">IF($A190="","",COUNTIFS('Trade Log'!$L$4:$L$503,$A190))</f>
        <v>0</v>
      </c>
      <c r="D190" s="40" t="n">
        <f aca="false">IF($A190="","",SUMIFS('Trade Log'!$Q$4:$Q$503,'Trade Log'!$L$4:$L$503,$A190,'Trade Log'!$E$4:$E$503,"LONG"))</f>
        <v>0</v>
      </c>
      <c r="E190" s="40" t="n">
        <f aca="false">IF($A190="","",SUMIFS('Trade Log'!$Q$4:$Q$503,'Trade Log'!$L$4:$L$503,$A190,'Trade Log'!$E$4:$E$503,"SHORT"))</f>
        <v>0</v>
      </c>
      <c r="F190" s="40" t="n">
        <f aca="false">IF($A190="","",$D190+$E190)</f>
        <v>0</v>
      </c>
      <c r="G190" s="40" t="n">
        <f aca="false">IF($A190="","",SUMIFS('Trade Log'!$Y$4:$Y$503,'Trade Log'!$L$4:$L$503,$A190))</f>
        <v>0</v>
      </c>
      <c r="H190" s="40" t="str">
        <f aca="false">IF($A190="","",IF($C190=0,"",$F190-$G190))</f>
        <v/>
      </c>
      <c r="I190" s="40" t="n">
        <f aca="false">IF($A190="","",$I189+IF($H190="",0,$H190))</f>
        <v>23918.5521880349</v>
      </c>
      <c r="J190" s="40" t="n">
        <f aca="false">IF($A190="","",Config!$B$4+$I190)</f>
        <v>1023918.55218803</v>
      </c>
      <c r="K190" s="40" t="n">
        <f aca="false">IF($A190="","",MAX($J$4:$J190))</f>
        <v>1023918.55218803</v>
      </c>
      <c r="L190" s="40" t="n">
        <f aca="false">IF($A190="","",$J190-$K190)</f>
        <v>0</v>
      </c>
      <c r="M190" s="42" t="n">
        <f aca="false">IF(OR($A190="",$K190=0),"",$L190/$K190)</f>
        <v>0</v>
      </c>
      <c r="N190" s="40" t="n">
        <f aca="false">IF($A190="","",SUMIFS('Trade Log'!$K$4:$K$503,'Trade Log'!$H$4:$H$503,$A190))</f>
        <v>0</v>
      </c>
      <c r="O190" s="42" t="str">
        <f aca="false">IF(OR($A190="",$H190="",Config!$B$4=0),"",$H190/Config!$B$4)</f>
        <v/>
      </c>
      <c r="P190" s="40" t="n">
        <f aca="false">IF($A190="","",SUM($H$171:$H190))</f>
        <v>0</v>
      </c>
      <c r="Q190" s="53" t="str">
        <f aca="false">IF($A190="","",IFERROR((AVERAGE($O$171:$O190)-Config!$B$7/Config!$B$6)/STDEV($O$171:$O190)*SQRT(Config!$B$6),""))</f>
        <v/>
      </c>
      <c r="R190" s="53" t="str">
        <f aca="false">IF($A190="","",IFERROR((AVERAGE($O$131:$O190)-Config!$B$7/Config!$B$6)/STDEV($O$131:$O190)*SQRT(Config!$B$6),""))</f>
        <v/>
      </c>
      <c r="S190" s="47" t="n">
        <f aca="false">IF($H190="",$S189,IF($H190&gt;0,$S189+1,0))</f>
        <v>1</v>
      </c>
      <c r="T190" s="47" t="n">
        <f aca="false">IF($H190="",$T189,IF($H190&lt;0,$T189+1,0))</f>
        <v>0</v>
      </c>
    </row>
    <row r="191" customFormat="false" ht="15" hidden="false" customHeight="false" outlineLevel="0" collapsed="false">
      <c r="A191" s="54" t="n">
        <f aca="false">IF($A190="","",$A190+1)</f>
        <v>46422</v>
      </c>
      <c r="B191" s="5" t="str">
        <f aca="false">IF($A191="","",TEXT($A191,"ddd"))</f>
        <v>Thu</v>
      </c>
      <c r="C191" s="41" t="n">
        <f aca="false">IF($A191="","",COUNTIFS('Trade Log'!$L$4:$L$503,$A191))</f>
        <v>0</v>
      </c>
      <c r="D191" s="40" t="n">
        <f aca="false">IF($A191="","",SUMIFS('Trade Log'!$Q$4:$Q$503,'Trade Log'!$L$4:$L$503,$A191,'Trade Log'!$E$4:$E$503,"LONG"))</f>
        <v>0</v>
      </c>
      <c r="E191" s="40" t="n">
        <f aca="false">IF($A191="","",SUMIFS('Trade Log'!$Q$4:$Q$503,'Trade Log'!$L$4:$L$503,$A191,'Trade Log'!$E$4:$E$503,"SHORT"))</f>
        <v>0</v>
      </c>
      <c r="F191" s="40" t="n">
        <f aca="false">IF($A191="","",$D191+$E191)</f>
        <v>0</v>
      </c>
      <c r="G191" s="40" t="n">
        <f aca="false">IF($A191="","",SUMIFS('Trade Log'!$Y$4:$Y$503,'Trade Log'!$L$4:$L$503,$A191))</f>
        <v>0</v>
      </c>
      <c r="H191" s="40" t="str">
        <f aca="false">IF($A191="","",IF($C191=0,"",$F191-$G191))</f>
        <v/>
      </c>
      <c r="I191" s="40" t="n">
        <f aca="false">IF($A191="","",$I190+IF($H191="",0,$H191))</f>
        <v>23918.5521880349</v>
      </c>
      <c r="J191" s="40" t="n">
        <f aca="false">IF($A191="","",Config!$B$4+$I191)</f>
        <v>1023918.55218803</v>
      </c>
      <c r="K191" s="40" t="n">
        <f aca="false">IF($A191="","",MAX($J$4:$J191))</f>
        <v>1023918.55218803</v>
      </c>
      <c r="L191" s="40" t="n">
        <f aca="false">IF($A191="","",$J191-$K191)</f>
        <v>0</v>
      </c>
      <c r="M191" s="42" t="n">
        <f aca="false">IF(OR($A191="",$K191=0),"",$L191/$K191)</f>
        <v>0</v>
      </c>
      <c r="N191" s="40" t="n">
        <f aca="false">IF($A191="","",SUMIFS('Trade Log'!$K$4:$K$503,'Trade Log'!$H$4:$H$503,$A191))</f>
        <v>0</v>
      </c>
      <c r="O191" s="42" t="str">
        <f aca="false">IF(OR($A191="",$H191="",Config!$B$4=0),"",$H191/Config!$B$4)</f>
        <v/>
      </c>
      <c r="P191" s="40" t="n">
        <f aca="false">IF($A191="","",SUM($H$172:$H191))</f>
        <v>0</v>
      </c>
      <c r="Q191" s="53" t="str">
        <f aca="false">IF($A191="","",IFERROR((AVERAGE($O$172:$O191)-Config!$B$7/Config!$B$6)/STDEV($O$172:$O191)*SQRT(Config!$B$6),""))</f>
        <v/>
      </c>
      <c r="R191" s="53" t="str">
        <f aca="false">IF($A191="","",IFERROR((AVERAGE($O$132:$O191)-Config!$B$7/Config!$B$6)/STDEV($O$132:$O191)*SQRT(Config!$B$6),""))</f>
        <v/>
      </c>
      <c r="S191" s="47" t="n">
        <f aca="false">IF($H191="",$S190,IF($H191&gt;0,$S190+1,0))</f>
        <v>1</v>
      </c>
      <c r="T191" s="47" t="n">
        <f aca="false">IF($H191="",$T190,IF($H191&lt;0,$T190+1,0))</f>
        <v>0</v>
      </c>
    </row>
    <row r="192" customFormat="false" ht="15" hidden="false" customHeight="false" outlineLevel="0" collapsed="false">
      <c r="A192" s="54" t="n">
        <f aca="false">IF($A191="","",$A191+1)</f>
        <v>46423</v>
      </c>
      <c r="B192" s="5" t="str">
        <f aca="false">IF($A192="","",TEXT($A192,"ddd"))</f>
        <v>Fri</v>
      </c>
      <c r="C192" s="41" t="n">
        <f aca="false">IF($A192="","",COUNTIFS('Trade Log'!$L$4:$L$503,$A192))</f>
        <v>0</v>
      </c>
      <c r="D192" s="40" t="n">
        <f aca="false">IF($A192="","",SUMIFS('Trade Log'!$Q$4:$Q$503,'Trade Log'!$L$4:$L$503,$A192,'Trade Log'!$E$4:$E$503,"LONG"))</f>
        <v>0</v>
      </c>
      <c r="E192" s="40" t="n">
        <f aca="false">IF($A192="","",SUMIFS('Trade Log'!$Q$4:$Q$503,'Trade Log'!$L$4:$L$503,$A192,'Trade Log'!$E$4:$E$503,"SHORT"))</f>
        <v>0</v>
      </c>
      <c r="F192" s="40" t="n">
        <f aca="false">IF($A192="","",$D192+$E192)</f>
        <v>0</v>
      </c>
      <c r="G192" s="40" t="n">
        <f aca="false">IF($A192="","",SUMIFS('Trade Log'!$Y$4:$Y$503,'Trade Log'!$L$4:$L$503,$A192))</f>
        <v>0</v>
      </c>
      <c r="H192" s="40" t="str">
        <f aca="false">IF($A192="","",IF($C192=0,"",$F192-$G192))</f>
        <v/>
      </c>
      <c r="I192" s="40" t="n">
        <f aca="false">IF($A192="","",$I191+IF($H192="",0,$H192))</f>
        <v>23918.5521880349</v>
      </c>
      <c r="J192" s="40" t="n">
        <f aca="false">IF($A192="","",Config!$B$4+$I192)</f>
        <v>1023918.55218803</v>
      </c>
      <c r="K192" s="40" t="n">
        <f aca="false">IF($A192="","",MAX($J$4:$J192))</f>
        <v>1023918.55218803</v>
      </c>
      <c r="L192" s="40" t="n">
        <f aca="false">IF($A192="","",$J192-$K192)</f>
        <v>0</v>
      </c>
      <c r="M192" s="42" t="n">
        <f aca="false">IF(OR($A192="",$K192=0),"",$L192/$K192)</f>
        <v>0</v>
      </c>
      <c r="N192" s="40" t="n">
        <f aca="false">IF($A192="","",SUMIFS('Trade Log'!$K$4:$K$503,'Trade Log'!$H$4:$H$503,$A192))</f>
        <v>0</v>
      </c>
      <c r="O192" s="42" t="str">
        <f aca="false">IF(OR($A192="",$H192="",Config!$B$4=0),"",$H192/Config!$B$4)</f>
        <v/>
      </c>
      <c r="P192" s="40" t="n">
        <f aca="false">IF($A192="","",SUM($H$173:$H192))</f>
        <v>0</v>
      </c>
      <c r="Q192" s="53" t="str">
        <f aca="false">IF($A192="","",IFERROR((AVERAGE($O$173:$O192)-Config!$B$7/Config!$B$6)/STDEV($O$173:$O192)*SQRT(Config!$B$6),""))</f>
        <v/>
      </c>
      <c r="R192" s="53" t="str">
        <f aca="false">IF($A192="","",IFERROR((AVERAGE($O$133:$O192)-Config!$B$7/Config!$B$6)/STDEV($O$133:$O192)*SQRT(Config!$B$6),""))</f>
        <v/>
      </c>
      <c r="S192" s="47" t="n">
        <f aca="false">IF($H192="",$S191,IF($H192&gt;0,$S191+1,0))</f>
        <v>1</v>
      </c>
      <c r="T192" s="47" t="n">
        <f aca="false">IF($H192="",$T191,IF($H192&lt;0,$T191+1,0))</f>
        <v>0</v>
      </c>
    </row>
    <row r="193" customFormat="false" ht="15" hidden="false" customHeight="false" outlineLevel="0" collapsed="false">
      <c r="A193" s="54" t="n">
        <f aca="false">IF($A192="","",$A192+1)</f>
        <v>46424</v>
      </c>
      <c r="B193" s="5" t="str">
        <f aca="false">IF($A193="","",TEXT($A193,"ddd"))</f>
        <v>Sat</v>
      </c>
      <c r="C193" s="41" t="n">
        <f aca="false">IF($A193="","",COUNTIFS('Trade Log'!$L$4:$L$503,$A193))</f>
        <v>0</v>
      </c>
      <c r="D193" s="40" t="n">
        <f aca="false">IF($A193="","",SUMIFS('Trade Log'!$Q$4:$Q$503,'Trade Log'!$L$4:$L$503,$A193,'Trade Log'!$E$4:$E$503,"LONG"))</f>
        <v>0</v>
      </c>
      <c r="E193" s="40" t="n">
        <f aca="false">IF($A193="","",SUMIFS('Trade Log'!$Q$4:$Q$503,'Trade Log'!$L$4:$L$503,$A193,'Trade Log'!$E$4:$E$503,"SHORT"))</f>
        <v>0</v>
      </c>
      <c r="F193" s="40" t="n">
        <f aca="false">IF($A193="","",$D193+$E193)</f>
        <v>0</v>
      </c>
      <c r="G193" s="40" t="n">
        <f aca="false">IF($A193="","",SUMIFS('Trade Log'!$Y$4:$Y$503,'Trade Log'!$L$4:$L$503,$A193))</f>
        <v>0</v>
      </c>
      <c r="H193" s="40" t="str">
        <f aca="false">IF($A193="","",IF($C193=0,"",$F193-$G193))</f>
        <v/>
      </c>
      <c r="I193" s="40" t="n">
        <f aca="false">IF($A193="","",$I192+IF($H193="",0,$H193))</f>
        <v>23918.5521880349</v>
      </c>
      <c r="J193" s="40" t="n">
        <f aca="false">IF($A193="","",Config!$B$4+$I193)</f>
        <v>1023918.55218803</v>
      </c>
      <c r="K193" s="40" t="n">
        <f aca="false">IF($A193="","",MAX($J$4:$J193))</f>
        <v>1023918.55218803</v>
      </c>
      <c r="L193" s="40" t="n">
        <f aca="false">IF($A193="","",$J193-$K193)</f>
        <v>0</v>
      </c>
      <c r="M193" s="42" t="n">
        <f aca="false">IF(OR($A193="",$K193=0),"",$L193/$K193)</f>
        <v>0</v>
      </c>
      <c r="N193" s="40" t="n">
        <f aca="false">IF($A193="","",SUMIFS('Trade Log'!$K$4:$K$503,'Trade Log'!$H$4:$H$503,$A193))</f>
        <v>0</v>
      </c>
      <c r="O193" s="42" t="str">
        <f aca="false">IF(OR($A193="",$H193="",Config!$B$4=0),"",$H193/Config!$B$4)</f>
        <v/>
      </c>
      <c r="P193" s="40" t="n">
        <f aca="false">IF($A193="","",SUM($H$174:$H193))</f>
        <v>0</v>
      </c>
      <c r="Q193" s="53" t="str">
        <f aca="false">IF($A193="","",IFERROR((AVERAGE($O$174:$O193)-Config!$B$7/Config!$B$6)/STDEV($O$174:$O193)*SQRT(Config!$B$6),""))</f>
        <v/>
      </c>
      <c r="R193" s="53" t="str">
        <f aca="false">IF($A193="","",IFERROR((AVERAGE($O$134:$O193)-Config!$B$7/Config!$B$6)/STDEV($O$134:$O193)*SQRT(Config!$B$6),""))</f>
        <v/>
      </c>
      <c r="S193" s="47" t="n">
        <f aca="false">IF($H193="",$S192,IF($H193&gt;0,$S192+1,0))</f>
        <v>1</v>
      </c>
      <c r="T193" s="47" t="n">
        <f aca="false">IF($H193="",$T192,IF($H193&lt;0,$T192+1,0))</f>
        <v>0</v>
      </c>
    </row>
    <row r="194" customFormat="false" ht="15" hidden="false" customHeight="false" outlineLevel="0" collapsed="false">
      <c r="A194" s="54" t="n">
        <f aca="false">IF($A193="","",$A193+1)</f>
        <v>46425</v>
      </c>
      <c r="B194" s="5" t="str">
        <f aca="false">IF($A194="","",TEXT($A194,"ddd"))</f>
        <v>Sun</v>
      </c>
      <c r="C194" s="41" t="n">
        <f aca="false">IF($A194="","",COUNTIFS('Trade Log'!$L$4:$L$503,$A194))</f>
        <v>0</v>
      </c>
      <c r="D194" s="40" t="n">
        <f aca="false">IF($A194="","",SUMIFS('Trade Log'!$Q$4:$Q$503,'Trade Log'!$L$4:$L$503,$A194,'Trade Log'!$E$4:$E$503,"LONG"))</f>
        <v>0</v>
      </c>
      <c r="E194" s="40" t="n">
        <f aca="false">IF($A194="","",SUMIFS('Trade Log'!$Q$4:$Q$503,'Trade Log'!$L$4:$L$503,$A194,'Trade Log'!$E$4:$E$503,"SHORT"))</f>
        <v>0</v>
      </c>
      <c r="F194" s="40" t="n">
        <f aca="false">IF($A194="","",$D194+$E194)</f>
        <v>0</v>
      </c>
      <c r="G194" s="40" t="n">
        <f aca="false">IF($A194="","",SUMIFS('Trade Log'!$Y$4:$Y$503,'Trade Log'!$L$4:$L$503,$A194))</f>
        <v>0</v>
      </c>
      <c r="H194" s="40" t="str">
        <f aca="false">IF($A194="","",IF($C194=0,"",$F194-$G194))</f>
        <v/>
      </c>
      <c r="I194" s="40" t="n">
        <f aca="false">IF($A194="","",$I193+IF($H194="",0,$H194))</f>
        <v>23918.5521880349</v>
      </c>
      <c r="J194" s="40" t="n">
        <f aca="false">IF($A194="","",Config!$B$4+$I194)</f>
        <v>1023918.55218803</v>
      </c>
      <c r="K194" s="40" t="n">
        <f aca="false">IF($A194="","",MAX($J$4:$J194))</f>
        <v>1023918.55218803</v>
      </c>
      <c r="L194" s="40" t="n">
        <f aca="false">IF($A194="","",$J194-$K194)</f>
        <v>0</v>
      </c>
      <c r="M194" s="42" t="n">
        <f aca="false">IF(OR($A194="",$K194=0),"",$L194/$K194)</f>
        <v>0</v>
      </c>
      <c r="N194" s="40" t="n">
        <f aca="false">IF($A194="","",SUMIFS('Trade Log'!$K$4:$K$503,'Trade Log'!$H$4:$H$503,$A194))</f>
        <v>0</v>
      </c>
      <c r="O194" s="42" t="str">
        <f aca="false">IF(OR($A194="",$H194="",Config!$B$4=0),"",$H194/Config!$B$4)</f>
        <v/>
      </c>
      <c r="P194" s="40" t="n">
        <f aca="false">IF($A194="","",SUM($H$175:$H194))</f>
        <v>0</v>
      </c>
      <c r="Q194" s="53" t="str">
        <f aca="false">IF($A194="","",IFERROR((AVERAGE($O$175:$O194)-Config!$B$7/Config!$B$6)/STDEV($O$175:$O194)*SQRT(Config!$B$6),""))</f>
        <v/>
      </c>
      <c r="R194" s="53" t="str">
        <f aca="false">IF($A194="","",IFERROR((AVERAGE($O$135:$O194)-Config!$B$7/Config!$B$6)/STDEV($O$135:$O194)*SQRT(Config!$B$6),""))</f>
        <v/>
      </c>
      <c r="S194" s="47" t="n">
        <f aca="false">IF($H194="",$S193,IF($H194&gt;0,$S193+1,0))</f>
        <v>1</v>
      </c>
      <c r="T194" s="47" t="n">
        <f aca="false">IF($H194="",$T193,IF($H194&lt;0,$T193+1,0))</f>
        <v>0</v>
      </c>
    </row>
    <row r="195" customFormat="false" ht="15" hidden="false" customHeight="false" outlineLevel="0" collapsed="false">
      <c r="A195" s="54" t="n">
        <f aca="false">IF($A194="","",$A194+1)</f>
        <v>46426</v>
      </c>
      <c r="B195" s="5" t="str">
        <f aca="false">IF($A195="","",TEXT($A195,"ddd"))</f>
        <v>Mon</v>
      </c>
      <c r="C195" s="41" t="n">
        <f aca="false">IF($A195="","",COUNTIFS('Trade Log'!$L$4:$L$503,$A195))</f>
        <v>0</v>
      </c>
      <c r="D195" s="40" t="n">
        <f aca="false">IF($A195="","",SUMIFS('Trade Log'!$Q$4:$Q$503,'Trade Log'!$L$4:$L$503,$A195,'Trade Log'!$E$4:$E$503,"LONG"))</f>
        <v>0</v>
      </c>
      <c r="E195" s="40" t="n">
        <f aca="false">IF($A195="","",SUMIFS('Trade Log'!$Q$4:$Q$503,'Trade Log'!$L$4:$L$503,$A195,'Trade Log'!$E$4:$E$503,"SHORT"))</f>
        <v>0</v>
      </c>
      <c r="F195" s="40" t="n">
        <f aca="false">IF($A195="","",$D195+$E195)</f>
        <v>0</v>
      </c>
      <c r="G195" s="40" t="n">
        <f aca="false">IF($A195="","",SUMIFS('Trade Log'!$Y$4:$Y$503,'Trade Log'!$L$4:$L$503,$A195))</f>
        <v>0</v>
      </c>
      <c r="H195" s="40" t="str">
        <f aca="false">IF($A195="","",IF($C195=0,"",$F195-$G195))</f>
        <v/>
      </c>
      <c r="I195" s="40" t="n">
        <f aca="false">IF($A195="","",$I194+IF($H195="",0,$H195))</f>
        <v>23918.5521880349</v>
      </c>
      <c r="J195" s="40" t="n">
        <f aca="false">IF($A195="","",Config!$B$4+$I195)</f>
        <v>1023918.55218803</v>
      </c>
      <c r="K195" s="40" t="n">
        <f aca="false">IF($A195="","",MAX($J$4:$J195))</f>
        <v>1023918.55218803</v>
      </c>
      <c r="L195" s="40" t="n">
        <f aca="false">IF($A195="","",$J195-$K195)</f>
        <v>0</v>
      </c>
      <c r="M195" s="42" t="n">
        <f aca="false">IF(OR($A195="",$K195=0),"",$L195/$K195)</f>
        <v>0</v>
      </c>
      <c r="N195" s="40" t="n">
        <f aca="false">IF($A195="","",SUMIFS('Trade Log'!$K$4:$K$503,'Trade Log'!$H$4:$H$503,$A195))</f>
        <v>0</v>
      </c>
      <c r="O195" s="42" t="str">
        <f aca="false">IF(OR($A195="",$H195="",Config!$B$4=0),"",$H195/Config!$B$4)</f>
        <v/>
      </c>
      <c r="P195" s="40" t="n">
        <f aca="false">IF($A195="","",SUM($H$176:$H195))</f>
        <v>0</v>
      </c>
      <c r="Q195" s="53" t="str">
        <f aca="false">IF($A195="","",IFERROR((AVERAGE($O$176:$O195)-Config!$B$7/Config!$B$6)/STDEV($O$176:$O195)*SQRT(Config!$B$6),""))</f>
        <v/>
      </c>
      <c r="R195" s="53" t="str">
        <f aca="false">IF($A195="","",IFERROR((AVERAGE($O$136:$O195)-Config!$B$7/Config!$B$6)/STDEV($O$136:$O195)*SQRT(Config!$B$6),""))</f>
        <v/>
      </c>
      <c r="S195" s="47" t="n">
        <f aca="false">IF($H195="",$S194,IF($H195&gt;0,$S194+1,0))</f>
        <v>1</v>
      </c>
      <c r="T195" s="47" t="n">
        <f aca="false">IF($H195="",$T194,IF($H195&lt;0,$T194+1,0))</f>
        <v>0</v>
      </c>
    </row>
    <row r="196" customFormat="false" ht="15" hidden="false" customHeight="false" outlineLevel="0" collapsed="false">
      <c r="A196" s="54" t="n">
        <f aca="false">IF($A195="","",$A195+1)</f>
        <v>46427</v>
      </c>
      <c r="B196" s="5" t="str">
        <f aca="false">IF($A196="","",TEXT($A196,"ddd"))</f>
        <v>Tue</v>
      </c>
      <c r="C196" s="41" t="n">
        <f aca="false">IF($A196="","",COUNTIFS('Trade Log'!$L$4:$L$503,$A196))</f>
        <v>0</v>
      </c>
      <c r="D196" s="40" t="n">
        <f aca="false">IF($A196="","",SUMIFS('Trade Log'!$Q$4:$Q$503,'Trade Log'!$L$4:$L$503,$A196,'Trade Log'!$E$4:$E$503,"LONG"))</f>
        <v>0</v>
      </c>
      <c r="E196" s="40" t="n">
        <f aca="false">IF($A196="","",SUMIFS('Trade Log'!$Q$4:$Q$503,'Trade Log'!$L$4:$L$503,$A196,'Trade Log'!$E$4:$E$503,"SHORT"))</f>
        <v>0</v>
      </c>
      <c r="F196" s="40" t="n">
        <f aca="false">IF($A196="","",$D196+$E196)</f>
        <v>0</v>
      </c>
      <c r="G196" s="40" t="n">
        <f aca="false">IF($A196="","",SUMIFS('Trade Log'!$Y$4:$Y$503,'Trade Log'!$L$4:$L$503,$A196))</f>
        <v>0</v>
      </c>
      <c r="H196" s="40" t="str">
        <f aca="false">IF($A196="","",IF($C196=0,"",$F196-$G196))</f>
        <v/>
      </c>
      <c r="I196" s="40" t="n">
        <f aca="false">IF($A196="","",$I195+IF($H196="",0,$H196))</f>
        <v>23918.5521880349</v>
      </c>
      <c r="J196" s="40" t="n">
        <f aca="false">IF($A196="","",Config!$B$4+$I196)</f>
        <v>1023918.55218803</v>
      </c>
      <c r="K196" s="40" t="n">
        <f aca="false">IF($A196="","",MAX($J$4:$J196))</f>
        <v>1023918.55218803</v>
      </c>
      <c r="L196" s="40" t="n">
        <f aca="false">IF($A196="","",$J196-$K196)</f>
        <v>0</v>
      </c>
      <c r="M196" s="42" t="n">
        <f aca="false">IF(OR($A196="",$K196=0),"",$L196/$K196)</f>
        <v>0</v>
      </c>
      <c r="N196" s="40" t="n">
        <f aca="false">IF($A196="","",SUMIFS('Trade Log'!$K$4:$K$503,'Trade Log'!$H$4:$H$503,$A196))</f>
        <v>0</v>
      </c>
      <c r="O196" s="42" t="str">
        <f aca="false">IF(OR($A196="",$H196="",Config!$B$4=0),"",$H196/Config!$B$4)</f>
        <v/>
      </c>
      <c r="P196" s="40" t="n">
        <f aca="false">IF($A196="","",SUM($H$177:$H196))</f>
        <v>0</v>
      </c>
      <c r="Q196" s="53" t="str">
        <f aca="false">IF($A196="","",IFERROR((AVERAGE($O$177:$O196)-Config!$B$7/Config!$B$6)/STDEV($O$177:$O196)*SQRT(Config!$B$6),""))</f>
        <v/>
      </c>
      <c r="R196" s="53" t="str">
        <f aca="false">IF($A196="","",IFERROR((AVERAGE($O$137:$O196)-Config!$B$7/Config!$B$6)/STDEV($O$137:$O196)*SQRT(Config!$B$6),""))</f>
        <v/>
      </c>
      <c r="S196" s="47" t="n">
        <f aca="false">IF($H196="",$S195,IF($H196&gt;0,$S195+1,0))</f>
        <v>1</v>
      </c>
      <c r="T196" s="47" t="n">
        <f aca="false">IF($H196="",$T195,IF($H196&lt;0,$T195+1,0))</f>
        <v>0</v>
      </c>
    </row>
    <row r="197" customFormat="false" ht="15" hidden="false" customHeight="false" outlineLevel="0" collapsed="false">
      <c r="A197" s="54" t="n">
        <f aca="false">IF($A196="","",$A196+1)</f>
        <v>46428</v>
      </c>
      <c r="B197" s="5" t="str">
        <f aca="false">IF($A197="","",TEXT($A197,"ddd"))</f>
        <v>Wed</v>
      </c>
      <c r="C197" s="41" t="n">
        <f aca="false">IF($A197="","",COUNTIFS('Trade Log'!$L$4:$L$503,$A197))</f>
        <v>0</v>
      </c>
      <c r="D197" s="40" t="n">
        <f aca="false">IF($A197="","",SUMIFS('Trade Log'!$Q$4:$Q$503,'Trade Log'!$L$4:$L$503,$A197,'Trade Log'!$E$4:$E$503,"LONG"))</f>
        <v>0</v>
      </c>
      <c r="E197" s="40" t="n">
        <f aca="false">IF($A197="","",SUMIFS('Trade Log'!$Q$4:$Q$503,'Trade Log'!$L$4:$L$503,$A197,'Trade Log'!$E$4:$E$503,"SHORT"))</f>
        <v>0</v>
      </c>
      <c r="F197" s="40" t="n">
        <f aca="false">IF($A197="","",$D197+$E197)</f>
        <v>0</v>
      </c>
      <c r="G197" s="40" t="n">
        <f aca="false">IF($A197="","",SUMIFS('Trade Log'!$Y$4:$Y$503,'Trade Log'!$L$4:$L$503,$A197))</f>
        <v>0</v>
      </c>
      <c r="H197" s="40" t="str">
        <f aca="false">IF($A197="","",IF($C197=0,"",$F197-$G197))</f>
        <v/>
      </c>
      <c r="I197" s="40" t="n">
        <f aca="false">IF($A197="","",$I196+IF($H197="",0,$H197))</f>
        <v>23918.5521880349</v>
      </c>
      <c r="J197" s="40" t="n">
        <f aca="false">IF($A197="","",Config!$B$4+$I197)</f>
        <v>1023918.55218803</v>
      </c>
      <c r="K197" s="40" t="n">
        <f aca="false">IF($A197="","",MAX($J$4:$J197))</f>
        <v>1023918.55218803</v>
      </c>
      <c r="L197" s="40" t="n">
        <f aca="false">IF($A197="","",$J197-$K197)</f>
        <v>0</v>
      </c>
      <c r="M197" s="42" t="n">
        <f aca="false">IF(OR($A197="",$K197=0),"",$L197/$K197)</f>
        <v>0</v>
      </c>
      <c r="N197" s="40" t="n">
        <f aca="false">IF($A197="","",SUMIFS('Trade Log'!$K$4:$K$503,'Trade Log'!$H$4:$H$503,$A197))</f>
        <v>0</v>
      </c>
      <c r="O197" s="42" t="str">
        <f aca="false">IF(OR($A197="",$H197="",Config!$B$4=0),"",$H197/Config!$B$4)</f>
        <v/>
      </c>
      <c r="P197" s="40" t="n">
        <f aca="false">IF($A197="","",SUM($H$178:$H197))</f>
        <v>0</v>
      </c>
      <c r="Q197" s="53" t="str">
        <f aca="false">IF($A197="","",IFERROR((AVERAGE($O$178:$O197)-Config!$B$7/Config!$B$6)/STDEV($O$178:$O197)*SQRT(Config!$B$6),""))</f>
        <v/>
      </c>
      <c r="R197" s="53" t="str">
        <f aca="false">IF($A197="","",IFERROR((AVERAGE($O$138:$O197)-Config!$B$7/Config!$B$6)/STDEV($O$138:$O197)*SQRT(Config!$B$6),""))</f>
        <v/>
      </c>
      <c r="S197" s="47" t="n">
        <f aca="false">IF($H197="",$S196,IF($H197&gt;0,$S196+1,0))</f>
        <v>1</v>
      </c>
      <c r="T197" s="47" t="n">
        <f aca="false">IF($H197="",$T196,IF($H197&lt;0,$T196+1,0))</f>
        <v>0</v>
      </c>
    </row>
    <row r="198" customFormat="false" ht="15" hidden="false" customHeight="false" outlineLevel="0" collapsed="false">
      <c r="A198" s="54" t="n">
        <f aca="false">IF($A197="","",$A197+1)</f>
        <v>46429</v>
      </c>
      <c r="B198" s="5" t="str">
        <f aca="false">IF($A198="","",TEXT($A198,"ddd"))</f>
        <v>Thu</v>
      </c>
      <c r="C198" s="41" t="n">
        <f aca="false">IF($A198="","",COUNTIFS('Trade Log'!$L$4:$L$503,$A198))</f>
        <v>0</v>
      </c>
      <c r="D198" s="40" t="n">
        <f aca="false">IF($A198="","",SUMIFS('Trade Log'!$Q$4:$Q$503,'Trade Log'!$L$4:$L$503,$A198,'Trade Log'!$E$4:$E$503,"LONG"))</f>
        <v>0</v>
      </c>
      <c r="E198" s="40" t="n">
        <f aca="false">IF($A198="","",SUMIFS('Trade Log'!$Q$4:$Q$503,'Trade Log'!$L$4:$L$503,$A198,'Trade Log'!$E$4:$E$503,"SHORT"))</f>
        <v>0</v>
      </c>
      <c r="F198" s="40" t="n">
        <f aca="false">IF($A198="","",$D198+$E198)</f>
        <v>0</v>
      </c>
      <c r="G198" s="40" t="n">
        <f aca="false">IF($A198="","",SUMIFS('Trade Log'!$Y$4:$Y$503,'Trade Log'!$L$4:$L$503,$A198))</f>
        <v>0</v>
      </c>
      <c r="H198" s="40" t="str">
        <f aca="false">IF($A198="","",IF($C198=0,"",$F198-$G198))</f>
        <v/>
      </c>
      <c r="I198" s="40" t="n">
        <f aca="false">IF($A198="","",$I197+IF($H198="",0,$H198))</f>
        <v>23918.5521880349</v>
      </c>
      <c r="J198" s="40" t="n">
        <f aca="false">IF($A198="","",Config!$B$4+$I198)</f>
        <v>1023918.55218803</v>
      </c>
      <c r="K198" s="40" t="n">
        <f aca="false">IF($A198="","",MAX($J$4:$J198))</f>
        <v>1023918.55218803</v>
      </c>
      <c r="L198" s="40" t="n">
        <f aca="false">IF($A198="","",$J198-$K198)</f>
        <v>0</v>
      </c>
      <c r="M198" s="42" t="n">
        <f aca="false">IF(OR($A198="",$K198=0),"",$L198/$K198)</f>
        <v>0</v>
      </c>
      <c r="N198" s="40" t="n">
        <f aca="false">IF($A198="","",SUMIFS('Trade Log'!$K$4:$K$503,'Trade Log'!$H$4:$H$503,$A198))</f>
        <v>0</v>
      </c>
      <c r="O198" s="42" t="str">
        <f aca="false">IF(OR($A198="",$H198="",Config!$B$4=0),"",$H198/Config!$B$4)</f>
        <v/>
      </c>
      <c r="P198" s="40" t="n">
        <f aca="false">IF($A198="","",SUM($H$179:$H198))</f>
        <v>0</v>
      </c>
      <c r="Q198" s="53" t="str">
        <f aca="false">IF($A198="","",IFERROR((AVERAGE($O$179:$O198)-Config!$B$7/Config!$B$6)/STDEV($O$179:$O198)*SQRT(Config!$B$6),""))</f>
        <v/>
      </c>
      <c r="R198" s="53" t="str">
        <f aca="false">IF($A198="","",IFERROR((AVERAGE($O$139:$O198)-Config!$B$7/Config!$B$6)/STDEV($O$139:$O198)*SQRT(Config!$B$6),""))</f>
        <v/>
      </c>
      <c r="S198" s="47" t="n">
        <f aca="false">IF($H198="",$S197,IF($H198&gt;0,$S197+1,0))</f>
        <v>1</v>
      </c>
      <c r="T198" s="47" t="n">
        <f aca="false">IF($H198="",$T197,IF($H198&lt;0,$T197+1,0))</f>
        <v>0</v>
      </c>
    </row>
    <row r="199" customFormat="false" ht="15" hidden="false" customHeight="false" outlineLevel="0" collapsed="false">
      <c r="A199" s="54" t="n">
        <f aca="false">IF($A198="","",$A198+1)</f>
        <v>46430</v>
      </c>
      <c r="B199" s="5" t="str">
        <f aca="false">IF($A199="","",TEXT($A199,"ddd"))</f>
        <v>Fri</v>
      </c>
      <c r="C199" s="41" t="n">
        <f aca="false">IF($A199="","",COUNTIFS('Trade Log'!$L$4:$L$503,$A199))</f>
        <v>0</v>
      </c>
      <c r="D199" s="40" t="n">
        <f aca="false">IF($A199="","",SUMIFS('Trade Log'!$Q$4:$Q$503,'Trade Log'!$L$4:$L$503,$A199,'Trade Log'!$E$4:$E$503,"LONG"))</f>
        <v>0</v>
      </c>
      <c r="E199" s="40" t="n">
        <f aca="false">IF($A199="","",SUMIFS('Trade Log'!$Q$4:$Q$503,'Trade Log'!$L$4:$L$503,$A199,'Trade Log'!$E$4:$E$503,"SHORT"))</f>
        <v>0</v>
      </c>
      <c r="F199" s="40" t="n">
        <f aca="false">IF($A199="","",$D199+$E199)</f>
        <v>0</v>
      </c>
      <c r="G199" s="40" t="n">
        <f aca="false">IF($A199="","",SUMIFS('Trade Log'!$Y$4:$Y$503,'Trade Log'!$L$4:$L$503,$A199))</f>
        <v>0</v>
      </c>
      <c r="H199" s="40" t="str">
        <f aca="false">IF($A199="","",IF($C199=0,"",$F199-$G199))</f>
        <v/>
      </c>
      <c r="I199" s="40" t="n">
        <f aca="false">IF($A199="","",$I198+IF($H199="",0,$H199))</f>
        <v>23918.5521880349</v>
      </c>
      <c r="J199" s="40" t="n">
        <f aca="false">IF($A199="","",Config!$B$4+$I199)</f>
        <v>1023918.55218803</v>
      </c>
      <c r="K199" s="40" t="n">
        <f aca="false">IF($A199="","",MAX($J$4:$J199))</f>
        <v>1023918.55218803</v>
      </c>
      <c r="L199" s="40" t="n">
        <f aca="false">IF($A199="","",$J199-$K199)</f>
        <v>0</v>
      </c>
      <c r="M199" s="42" t="n">
        <f aca="false">IF(OR($A199="",$K199=0),"",$L199/$K199)</f>
        <v>0</v>
      </c>
      <c r="N199" s="40" t="n">
        <f aca="false">IF($A199="","",SUMIFS('Trade Log'!$K$4:$K$503,'Trade Log'!$H$4:$H$503,$A199))</f>
        <v>0</v>
      </c>
      <c r="O199" s="42" t="str">
        <f aca="false">IF(OR($A199="",$H199="",Config!$B$4=0),"",$H199/Config!$B$4)</f>
        <v/>
      </c>
      <c r="P199" s="40" t="n">
        <f aca="false">IF($A199="","",SUM($H$180:$H199))</f>
        <v>0</v>
      </c>
      <c r="Q199" s="53" t="str">
        <f aca="false">IF($A199="","",IFERROR((AVERAGE($O$180:$O199)-Config!$B$7/Config!$B$6)/STDEV($O$180:$O199)*SQRT(Config!$B$6),""))</f>
        <v/>
      </c>
      <c r="R199" s="53" t="str">
        <f aca="false">IF($A199="","",IFERROR((AVERAGE($O$140:$O199)-Config!$B$7/Config!$B$6)/STDEV($O$140:$O199)*SQRT(Config!$B$6),""))</f>
        <v/>
      </c>
      <c r="S199" s="47" t="n">
        <f aca="false">IF($H199="",$S198,IF($H199&gt;0,$S198+1,0))</f>
        <v>1</v>
      </c>
      <c r="T199" s="47" t="n">
        <f aca="false">IF($H199="",$T198,IF($H199&lt;0,$T198+1,0))</f>
        <v>0</v>
      </c>
    </row>
    <row r="200" customFormat="false" ht="15" hidden="false" customHeight="false" outlineLevel="0" collapsed="false">
      <c r="A200" s="54" t="n">
        <f aca="false">IF($A199="","",$A199+1)</f>
        <v>46431</v>
      </c>
      <c r="B200" s="5" t="str">
        <f aca="false">IF($A200="","",TEXT($A200,"ddd"))</f>
        <v>Sat</v>
      </c>
      <c r="C200" s="41" t="n">
        <f aca="false">IF($A200="","",COUNTIFS('Trade Log'!$L$4:$L$503,$A200))</f>
        <v>0</v>
      </c>
      <c r="D200" s="40" t="n">
        <f aca="false">IF($A200="","",SUMIFS('Trade Log'!$Q$4:$Q$503,'Trade Log'!$L$4:$L$503,$A200,'Trade Log'!$E$4:$E$503,"LONG"))</f>
        <v>0</v>
      </c>
      <c r="E200" s="40" t="n">
        <f aca="false">IF($A200="","",SUMIFS('Trade Log'!$Q$4:$Q$503,'Trade Log'!$L$4:$L$503,$A200,'Trade Log'!$E$4:$E$503,"SHORT"))</f>
        <v>0</v>
      </c>
      <c r="F200" s="40" t="n">
        <f aca="false">IF($A200="","",$D200+$E200)</f>
        <v>0</v>
      </c>
      <c r="G200" s="40" t="n">
        <f aca="false">IF($A200="","",SUMIFS('Trade Log'!$Y$4:$Y$503,'Trade Log'!$L$4:$L$503,$A200))</f>
        <v>0</v>
      </c>
      <c r="H200" s="40" t="str">
        <f aca="false">IF($A200="","",IF($C200=0,"",$F200-$G200))</f>
        <v/>
      </c>
      <c r="I200" s="40" t="n">
        <f aca="false">IF($A200="","",$I199+IF($H200="",0,$H200))</f>
        <v>23918.5521880349</v>
      </c>
      <c r="J200" s="40" t="n">
        <f aca="false">IF($A200="","",Config!$B$4+$I200)</f>
        <v>1023918.55218803</v>
      </c>
      <c r="K200" s="40" t="n">
        <f aca="false">IF($A200="","",MAX($J$4:$J200))</f>
        <v>1023918.55218803</v>
      </c>
      <c r="L200" s="40" t="n">
        <f aca="false">IF($A200="","",$J200-$K200)</f>
        <v>0</v>
      </c>
      <c r="M200" s="42" t="n">
        <f aca="false">IF(OR($A200="",$K200=0),"",$L200/$K200)</f>
        <v>0</v>
      </c>
      <c r="N200" s="40" t="n">
        <f aca="false">IF($A200="","",SUMIFS('Trade Log'!$K$4:$K$503,'Trade Log'!$H$4:$H$503,$A200))</f>
        <v>0</v>
      </c>
      <c r="O200" s="42" t="str">
        <f aca="false">IF(OR($A200="",$H200="",Config!$B$4=0),"",$H200/Config!$B$4)</f>
        <v/>
      </c>
      <c r="P200" s="40" t="n">
        <f aca="false">IF($A200="","",SUM($H$181:$H200))</f>
        <v>0</v>
      </c>
      <c r="Q200" s="53" t="str">
        <f aca="false">IF($A200="","",IFERROR((AVERAGE($O$181:$O200)-Config!$B$7/Config!$B$6)/STDEV($O$181:$O200)*SQRT(Config!$B$6),""))</f>
        <v/>
      </c>
      <c r="R200" s="53" t="str">
        <f aca="false">IF($A200="","",IFERROR((AVERAGE($O$141:$O200)-Config!$B$7/Config!$B$6)/STDEV($O$141:$O200)*SQRT(Config!$B$6),""))</f>
        <v/>
      </c>
      <c r="S200" s="47" t="n">
        <f aca="false">IF($H200="",$S199,IF($H200&gt;0,$S199+1,0))</f>
        <v>1</v>
      </c>
      <c r="T200" s="47" t="n">
        <f aca="false">IF($H200="",$T199,IF($H200&lt;0,$T199+1,0))</f>
        <v>0</v>
      </c>
    </row>
    <row r="201" customFormat="false" ht="15" hidden="false" customHeight="false" outlineLevel="0" collapsed="false">
      <c r="A201" s="54" t="n">
        <f aca="false">IF($A200="","",$A200+1)</f>
        <v>46432</v>
      </c>
      <c r="B201" s="5" t="str">
        <f aca="false">IF($A201="","",TEXT($A201,"ddd"))</f>
        <v>Sun</v>
      </c>
      <c r="C201" s="41" t="n">
        <f aca="false">IF($A201="","",COUNTIFS('Trade Log'!$L$4:$L$503,$A201))</f>
        <v>0</v>
      </c>
      <c r="D201" s="40" t="n">
        <f aca="false">IF($A201="","",SUMIFS('Trade Log'!$Q$4:$Q$503,'Trade Log'!$L$4:$L$503,$A201,'Trade Log'!$E$4:$E$503,"LONG"))</f>
        <v>0</v>
      </c>
      <c r="E201" s="40" t="n">
        <f aca="false">IF($A201="","",SUMIFS('Trade Log'!$Q$4:$Q$503,'Trade Log'!$L$4:$L$503,$A201,'Trade Log'!$E$4:$E$503,"SHORT"))</f>
        <v>0</v>
      </c>
      <c r="F201" s="40" t="n">
        <f aca="false">IF($A201="","",$D201+$E201)</f>
        <v>0</v>
      </c>
      <c r="G201" s="40" t="n">
        <f aca="false">IF($A201="","",SUMIFS('Trade Log'!$Y$4:$Y$503,'Trade Log'!$L$4:$L$503,$A201))</f>
        <v>0</v>
      </c>
      <c r="H201" s="40" t="str">
        <f aca="false">IF($A201="","",IF($C201=0,"",$F201-$G201))</f>
        <v/>
      </c>
      <c r="I201" s="40" t="n">
        <f aca="false">IF($A201="","",$I200+IF($H201="",0,$H201))</f>
        <v>23918.5521880349</v>
      </c>
      <c r="J201" s="40" t="n">
        <f aca="false">IF($A201="","",Config!$B$4+$I201)</f>
        <v>1023918.55218803</v>
      </c>
      <c r="K201" s="40" t="n">
        <f aca="false">IF($A201="","",MAX($J$4:$J201))</f>
        <v>1023918.55218803</v>
      </c>
      <c r="L201" s="40" t="n">
        <f aca="false">IF($A201="","",$J201-$K201)</f>
        <v>0</v>
      </c>
      <c r="M201" s="42" t="n">
        <f aca="false">IF(OR($A201="",$K201=0),"",$L201/$K201)</f>
        <v>0</v>
      </c>
      <c r="N201" s="40" t="n">
        <f aca="false">IF($A201="","",SUMIFS('Trade Log'!$K$4:$K$503,'Trade Log'!$H$4:$H$503,$A201))</f>
        <v>0</v>
      </c>
      <c r="O201" s="42" t="str">
        <f aca="false">IF(OR($A201="",$H201="",Config!$B$4=0),"",$H201/Config!$B$4)</f>
        <v/>
      </c>
      <c r="P201" s="40" t="n">
        <f aca="false">IF($A201="","",SUM($H$182:$H201))</f>
        <v>0</v>
      </c>
      <c r="Q201" s="53" t="str">
        <f aca="false">IF($A201="","",IFERROR((AVERAGE($O$182:$O201)-Config!$B$7/Config!$B$6)/STDEV($O$182:$O201)*SQRT(Config!$B$6),""))</f>
        <v/>
      </c>
      <c r="R201" s="53" t="str">
        <f aca="false">IF($A201="","",IFERROR((AVERAGE($O$142:$O201)-Config!$B$7/Config!$B$6)/STDEV($O$142:$O201)*SQRT(Config!$B$6),""))</f>
        <v/>
      </c>
      <c r="S201" s="47" t="n">
        <f aca="false">IF($H201="",$S200,IF($H201&gt;0,$S200+1,0))</f>
        <v>1</v>
      </c>
      <c r="T201" s="47" t="n">
        <f aca="false">IF($H201="",$T200,IF($H201&lt;0,$T200+1,0))</f>
        <v>0</v>
      </c>
    </row>
    <row r="202" customFormat="false" ht="15" hidden="false" customHeight="false" outlineLevel="0" collapsed="false">
      <c r="A202" s="54" t="n">
        <f aca="false">IF($A201="","",$A201+1)</f>
        <v>46433</v>
      </c>
      <c r="B202" s="5" t="str">
        <f aca="false">IF($A202="","",TEXT($A202,"ddd"))</f>
        <v>Mon</v>
      </c>
      <c r="C202" s="41" t="n">
        <f aca="false">IF($A202="","",COUNTIFS('Trade Log'!$L$4:$L$503,$A202))</f>
        <v>0</v>
      </c>
      <c r="D202" s="40" t="n">
        <f aca="false">IF($A202="","",SUMIFS('Trade Log'!$Q$4:$Q$503,'Trade Log'!$L$4:$L$503,$A202,'Trade Log'!$E$4:$E$503,"LONG"))</f>
        <v>0</v>
      </c>
      <c r="E202" s="40" t="n">
        <f aca="false">IF($A202="","",SUMIFS('Trade Log'!$Q$4:$Q$503,'Trade Log'!$L$4:$L$503,$A202,'Trade Log'!$E$4:$E$503,"SHORT"))</f>
        <v>0</v>
      </c>
      <c r="F202" s="40" t="n">
        <f aca="false">IF($A202="","",$D202+$E202)</f>
        <v>0</v>
      </c>
      <c r="G202" s="40" t="n">
        <f aca="false">IF($A202="","",SUMIFS('Trade Log'!$Y$4:$Y$503,'Trade Log'!$L$4:$L$503,$A202))</f>
        <v>0</v>
      </c>
      <c r="H202" s="40" t="str">
        <f aca="false">IF($A202="","",IF($C202=0,"",$F202-$G202))</f>
        <v/>
      </c>
      <c r="I202" s="40" t="n">
        <f aca="false">IF($A202="","",$I201+IF($H202="",0,$H202))</f>
        <v>23918.5521880349</v>
      </c>
      <c r="J202" s="40" t="n">
        <f aca="false">IF($A202="","",Config!$B$4+$I202)</f>
        <v>1023918.55218803</v>
      </c>
      <c r="K202" s="40" t="n">
        <f aca="false">IF($A202="","",MAX($J$4:$J202))</f>
        <v>1023918.55218803</v>
      </c>
      <c r="L202" s="40" t="n">
        <f aca="false">IF($A202="","",$J202-$K202)</f>
        <v>0</v>
      </c>
      <c r="M202" s="42" t="n">
        <f aca="false">IF(OR($A202="",$K202=0),"",$L202/$K202)</f>
        <v>0</v>
      </c>
      <c r="N202" s="40" t="n">
        <f aca="false">IF($A202="","",SUMIFS('Trade Log'!$K$4:$K$503,'Trade Log'!$H$4:$H$503,$A202))</f>
        <v>0</v>
      </c>
      <c r="O202" s="42" t="str">
        <f aca="false">IF(OR($A202="",$H202="",Config!$B$4=0),"",$H202/Config!$B$4)</f>
        <v/>
      </c>
      <c r="P202" s="40" t="n">
        <f aca="false">IF($A202="","",SUM($H$183:$H202))</f>
        <v>0</v>
      </c>
      <c r="Q202" s="53" t="str">
        <f aca="false">IF($A202="","",IFERROR((AVERAGE($O$183:$O202)-Config!$B$7/Config!$B$6)/STDEV($O$183:$O202)*SQRT(Config!$B$6),""))</f>
        <v/>
      </c>
      <c r="R202" s="53" t="str">
        <f aca="false">IF($A202="","",IFERROR((AVERAGE($O$143:$O202)-Config!$B$7/Config!$B$6)/STDEV($O$143:$O202)*SQRT(Config!$B$6),""))</f>
        <v/>
      </c>
      <c r="S202" s="47" t="n">
        <f aca="false">IF($H202="",$S201,IF($H202&gt;0,$S201+1,0))</f>
        <v>1</v>
      </c>
      <c r="T202" s="47" t="n">
        <f aca="false">IF($H202="",$T201,IF($H202&lt;0,$T201+1,0))</f>
        <v>0</v>
      </c>
    </row>
    <row r="203" customFormat="false" ht="15" hidden="false" customHeight="false" outlineLevel="0" collapsed="false">
      <c r="A203" s="54" t="n">
        <f aca="false">IF($A202="","",$A202+1)</f>
        <v>46434</v>
      </c>
      <c r="B203" s="5" t="str">
        <f aca="false">IF($A203="","",TEXT($A203,"ddd"))</f>
        <v>Tue</v>
      </c>
      <c r="C203" s="41" t="n">
        <f aca="false">IF($A203="","",COUNTIFS('Trade Log'!$L$4:$L$503,$A203))</f>
        <v>0</v>
      </c>
      <c r="D203" s="40" t="n">
        <f aca="false">IF($A203="","",SUMIFS('Trade Log'!$Q$4:$Q$503,'Trade Log'!$L$4:$L$503,$A203,'Trade Log'!$E$4:$E$503,"LONG"))</f>
        <v>0</v>
      </c>
      <c r="E203" s="40" t="n">
        <f aca="false">IF($A203="","",SUMIFS('Trade Log'!$Q$4:$Q$503,'Trade Log'!$L$4:$L$503,$A203,'Trade Log'!$E$4:$E$503,"SHORT"))</f>
        <v>0</v>
      </c>
      <c r="F203" s="40" t="n">
        <f aca="false">IF($A203="","",$D203+$E203)</f>
        <v>0</v>
      </c>
      <c r="G203" s="40" t="n">
        <f aca="false">IF($A203="","",SUMIFS('Trade Log'!$Y$4:$Y$503,'Trade Log'!$L$4:$L$503,$A203))</f>
        <v>0</v>
      </c>
      <c r="H203" s="40" t="str">
        <f aca="false">IF($A203="","",IF($C203=0,"",$F203-$G203))</f>
        <v/>
      </c>
      <c r="I203" s="40" t="n">
        <f aca="false">IF($A203="","",$I202+IF($H203="",0,$H203))</f>
        <v>23918.5521880349</v>
      </c>
      <c r="J203" s="40" t="n">
        <f aca="false">IF($A203="","",Config!$B$4+$I203)</f>
        <v>1023918.55218803</v>
      </c>
      <c r="K203" s="40" t="n">
        <f aca="false">IF($A203="","",MAX($J$4:$J203))</f>
        <v>1023918.55218803</v>
      </c>
      <c r="L203" s="40" t="n">
        <f aca="false">IF($A203="","",$J203-$K203)</f>
        <v>0</v>
      </c>
      <c r="M203" s="42" t="n">
        <f aca="false">IF(OR($A203="",$K203=0),"",$L203/$K203)</f>
        <v>0</v>
      </c>
      <c r="N203" s="40" t="n">
        <f aca="false">IF($A203="","",SUMIFS('Trade Log'!$K$4:$K$503,'Trade Log'!$H$4:$H$503,$A203))</f>
        <v>0</v>
      </c>
      <c r="O203" s="42" t="str">
        <f aca="false">IF(OR($A203="",$H203="",Config!$B$4=0),"",$H203/Config!$B$4)</f>
        <v/>
      </c>
      <c r="P203" s="40" t="n">
        <f aca="false">IF($A203="","",SUM($H$184:$H203))</f>
        <v>0</v>
      </c>
      <c r="Q203" s="53" t="str">
        <f aca="false">IF($A203="","",IFERROR((AVERAGE($O$184:$O203)-Config!$B$7/Config!$B$6)/STDEV($O$184:$O203)*SQRT(Config!$B$6),""))</f>
        <v/>
      </c>
      <c r="R203" s="53" t="str">
        <f aca="false">IF($A203="","",IFERROR((AVERAGE($O$144:$O203)-Config!$B$7/Config!$B$6)/STDEV($O$144:$O203)*SQRT(Config!$B$6),""))</f>
        <v/>
      </c>
      <c r="S203" s="47" t="n">
        <f aca="false">IF($H203="",$S202,IF($H203&gt;0,$S202+1,0))</f>
        <v>1</v>
      </c>
      <c r="T203" s="47" t="n">
        <f aca="false">IF($H203="",$T202,IF($H203&lt;0,$T202+1,0))</f>
        <v>0</v>
      </c>
    </row>
    <row r="204" customFormat="false" ht="15" hidden="false" customHeight="false" outlineLevel="0" collapsed="false">
      <c r="A204" s="54" t="n">
        <f aca="false">IF($A203="","",$A203+1)</f>
        <v>46435</v>
      </c>
      <c r="B204" s="5" t="str">
        <f aca="false">IF($A204="","",TEXT($A204,"ddd"))</f>
        <v>Wed</v>
      </c>
      <c r="C204" s="41" t="n">
        <f aca="false">IF($A204="","",COUNTIFS('Trade Log'!$L$4:$L$503,$A204))</f>
        <v>0</v>
      </c>
      <c r="D204" s="40" t="n">
        <f aca="false">IF($A204="","",SUMIFS('Trade Log'!$Q$4:$Q$503,'Trade Log'!$L$4:$L$503,$A204,'Trade Log'!$E$4:$E$503,"LONG"))</f>
        <v>0</v>
      </c>
      <c r="E204" s="40" t="n">
        <f aca="false">IF($A204="","",SUMIFS('Trade Log'!$Q$4:$Q$503,'Trade Log'!$L$4:$L$503,$A204,'Trade Log'!$E$4:$E$503,"SHORT"))</f>
        <v>0</v>
      </c>
      <c r="F204" s="40" t="n">
        <f aca="false">IF($A204="","",$D204+$E204)</f>
        <v>0</v>
      </c>
      <c r="G204" s="40" t="n">
        <f aca="false">IF($A204="","",SUMIFS('Trade Log'!$Y$4:$Y$503,'Trade Log'!$L$4:$L$503,$A204))</f>
        <v>0</v>
      </c>
      <c r="H204" s="40" t="str">
        <f aca="false">IF($A204="","",IF($C204=0,"",$F204-$G204))</f>
        <v/>
      </c>
      <c r="I204" s="40" t="n">
        <f aca="false">IF($A204="","",$I203+IF($H204="",0,$H204))</f>
        <v>23918.5521880349</v>
      </c>
      <c r="J204" s="40" t="n">
        <f aca="false">IF($A204="","",Config!$B$4+$I204)</f>
        <v>1023918.55218803</v>
      </c>
      <c r="K204" s="40" t="n">
        <f aca="false">IF($A204="","",MAX($J$4:$J204))</f>
        <v>1023918.55218803</v>
      </c>
      <c r="L204" s="40" t="n">
        <f aca="false">IF($A204="","",$J204-$K204)</f>
        <v>0</v>
      </c>
      <c r="M204" s="42" t="n">
        <f aca="false">IF(OR($A204="",$K204=0),"",$L204/$K204)</f>
        <v>0</v>
      </c>
      <c r="N204" s="40" t="n">
        <f aca="false">IF($A204="","",SUMIFS('Trade Log'!$K$4:$K$503,'Trade Log'!$H$4:$H$503,$A204))</f>
        <v>0</v>
      </c>
      <c r="O204" s="42" t="str">
        <f aca="false">IF(OR($A204="",$H204="",Config!$B$4=0),"",$H204/Config!$B$4)</f>
        <v/>
      </c>
      <c r="P204" s="40" t="n">
        <f aca="false">IF($A204="","",SUM($H$185:$H204))</f>
        <v>0</v>
      </c>
      <c r="Q204" s="53" t="str">
        <f aca="false">IF($A204="","",IFERROR((AVERAGE($O$185:$O204)-Config!$B$7/Config!$B$6)/STDEV($O$185:$O204)*SQRT(Config!$B$6),""))</f>
        <v/>
      </c>
      <c r="R204" s="53" t="str">
        <f aca="false">IF($A204="","",IFERROR((AVERAGE($O$145:$O204)-Config!$B$7/Config!$B$6)/STDEV($O$145:$O204)*SQRT(Config!$B$6),""))</f>
        <v/>
      </c>
      <c r="S204" s="47" t="n">
        <f aca="false">IF($H204="",$S203,IF($H204&gt;0,$S203+1,0))</f>
        <v>1</v>
      </c>
      <c r="T204" s="47" t="n">
        <f aca="false">IF($H204="",$T203,IF($H204&lt;0,$T203+1,0))</f>
        <v>0</v>
      </c>
    </row>
    <row r="205" customFormat="false" ht="15" hidden="false" customHeight="false" outlineLevel="0" collapsed="false">
      <c r="A205" s="54" t="n">
        <f aca="false">IF($A204="","",$A204+1)</f>
        <v>46436</v>
      </c>
      <c r="B205" s="5" t="str">
        <f aca="false">IF($A205="","",TEXT($A205,"ddd"))</f>
        <v>Thu</v>
      </c>
      <c r="C205" s="41" t="n">
        <f aca="false">IF($A205="","",COUNTIFS('Trade Log'!$L$4:$L$503,$A205))</f>
        <v>0</v>
      </c>
      <c r="D205" s="40" t="n">
        <f aca="false">IF($A205="","",SUMIFS('Trade Log'!$Q$4:$Q$503,'Trade Log'!$L$4:$L$503,$A205,'Trade Log'!$E$4:$E$503,"LONG"))</f>
        <v>0</v>
      </c>
      <c r="E205" s="40" t="n">
        <f aca="false">IF($A205="","",SUMIFS('Trade Log'!$Q$4:$Q$503,'Trade Log'!$L$4:$L$503,$A205,'Trade Log'!$E$4:$E$503,"SHORT"))</f>
        <v>0</v>
      </c>
      <c r="F205" s="40" t="n">
        <f aca="false">IF($A205="","",$D205+$E205)</f>
        <v>0</v>
      </c>
      <c r="G205" s="40" t="n">
        <f aca="false">IF($A205="","",SUMIFS('Trade Log'!$Y$4:$Y$503,'Trade Log'!$L$4:$L$503,$A205))</f>
        <v>0</v>
      </c>
      <c r="H205" s="40" t="str">
        <f aca="false">IF($A205="","",IF($C205=0,"",$F205-$G205))</f>
        <v/>
      </c>
      <c r="I205" s="40" t="n">
        <f aca="false">IF($A205="","",$I204+IF($H205="",0,$H205))</f>
        <v>23918.5521880349</v>
      </c>
      <c r="J205" s="40" t="n">
        <f aca="false">IF($A205="","",Config!$B$4+$I205)</f>
        <v>1023918.55218803</v>
      </c>
      <c r="K205" s="40" t="n">
        <f aca="false">IF($A205="","",MAX($J$4:$J205))</f>
        <v>1023918.55218803</v>
      </c>
      <c r="L205" s="40" t="n">
        <f aca="false">IF($A205="","",$J205-$K205)</f>
        <v>0</v>
      </c>
      <c r="M205" s="42" t="n">
        <f aca="false">IF(OR($A205="",$K205=0),"",$L205/$K205)</f>
        <v>0</v>
      </c>
      <c r="N205" s="40" t="n">
        <f aca="false">IF($A205="","",SUMIFS('Trade Log'!$K$4:$K$503,'Trade Log'!$H$4:$H$503,$A205))</f>
        <v>0</v>
      </c>
      <c r="O205" s="42" t="str">
        <f aca="false">IF(OR($A205="",$H205="",Config!$B$4=0),"",$H205/Config!$B$4)</f>
        <v/>
      </c>
      <c r="P205" s="40" t="n">
        <f aca="false">IF($A205="","",SUM($H$186:$H205))</f>
        <v>0</v>
      </c>
      <c r="Q205" s="53" t="str">
        <f aca="false">IF($A205="","",IFERROR((AVERAGE($O$186:$O205)-Config!$B$7/Config!$B$6)/STDEV($O$186:$O205)*SQRT(Config!$B$6),""))</f>
        <v/>
      </c>
      <c r="R205" s="53" t="str">
        <f aca="false">IF($A205="","",IFERROR((AVERAGE($O$146:$O205)-Config!$B$7/Config!$B$6)/STDEV($O$146:$O205)*SQRT(Config!$B$6),""))</f>
        <v/>
      </c>
      <c r="S205" s="47" t="n">
        <f aca="false">IF($H205="",$S204,IF($H205&gt;0,$S204+1,0))</f>
        <v>1</v>
      </c>
      <c r="T205" s="47" t="n">
        <f aca="false">IF($H205="",$T204,IF($H205&lt;0,$T204+1,0))</f>
        <v>0</v>
      </c>
    </row>
    <row r="206" customFormat="false" ht="15" hidden="false" customHeight="false" outlineLevel="0" collapsed="false">
      <c r="A206" s="54" t="n">
        <f aca="false">IF($A205="","",$A205+1)</f>
        <v>46437</v>
      </c>
      <c r="B206" s="5" t="str">
        <f aca="false">IF($A206="","",TEXT($A206,"ddd"))</f>
        <v>Fri</v>
      </c>
      <c r="C206" s="41" t="n">
        <f aca="false">IF($A206="","",COUNTIFS('Trade Log'!$L$4:$L$503,$A206))</f>
        <v>0</v>
      </c>
      <c r="D206" s="40" t="n">
        <f aca="false">IF($A206="","",SUMIFS('Trade Log'!$Q$4:$Q$503,'Trade Log'!$L$4:$L$503,$A206,'Trade Log'!$E$4:$E$503,"LONG"))</f>
        <v>0</v>
      </c>
      <c r="E206" s="40" t="n">
        <f aca="false">IF($A206="","",SUMIFS('Trade Log'!$Q$4:$Q$503,'Trade Log'!$L$4:$L$503,$A206,'Trade Log'!$E$4:$E$503,"SHORT"))</f>
        <v>0</v>
      </c>
      <c r="F206" s="40" t="n">
        <f aca="false">IF($A206="","",$D206+$E206)</f>
        <v>0</v>
      </c>
      <c r="G206" s="40" t="n">
        <f aca="false">IF($A206="","",SUMIFS('Trade Log'!$Y$4:$Y$503,'Trade Log'!$L$4:$L$503,$A206))</f>
        <v>0</v>
      </c>
      <c r="H206" s="40" t="str">
        <f aca="false">IF($A206="","",IF($C206=0,"",$F206-$G206))</f>
        <v/>
      </c>
      <c r="I206" s="40" t="n">
        <f aca="false">IF($A206="","",$I205+IF($H206="",0,$H206))</f>
        <v>23918.5521880349</v>
      </c>
      <c r="J206" s="40" t="n">
        <f aca="false">IF($A206="","",Config!$B$4+$I206)</f>
        <v>1023918.55218803</v>
      </c>
      <c r="K206" s="40" t="n">
        <f aca="false">IF($A206="","",MAX($J$4:$J206))</f>
        <v>1023918.55218803</v>
      </c>
      <c r="L206" s="40" t="n">
        <f aca="false">IF($A206="","",$J206-$K206)</f>
        <v>0</v>
      </c>
      <c r="M206" s="42" t="n">
        <f aca="false">IF(OR($A206="",$K206=0),"",$L206/$K206)</f>
        <v>0</v>
      </c>
      <c r="N206" s="40" t="n">
        <f aca="false">IF($A206="","",SUMIFS('Trade Log'!$K$4:$K$503,'Trade Log'!$H$4:$H$503,$A206))</f>
        <v>0</v>
      </c>
      <c r="O206" s="42" t="str">
        <f aca="false">IF(OR($A206="",$H206="",Config!$B$4=0),"",$H206/Config!$B$4)</f>
        <v/>
      </c>
      <c r="P206" s="40" t="n">
        <f aca="false">IF($A206="","",SUM($H$187:$H206))</f>
        <v>0</v>
      </c>
      <c r="Q206" s="53" t="str">
        <f aca="false">IF($A206="","",IFERROR((AVERAGE($O$187:$O206)-Config!$B$7/Config!$B$6)/STDEV($O$187:$O206)*SQRT(Config!$B$6),""))</f>
        <v/>
      </c>
      <c r="R206" s="53" t="str">
        <f aca="false">IF($A206="","",IFERROR((AVERAGE($O$147:$O206)-Config!$B$7/Config!$B$6)/STDEV($O$147:$O206)*SQRT(Config!$B$6),""))</f>
        <v/>
      </c>
      <c r="S206" s="47" t="n">
        <f aca="false">IF($H206="",$S205,IF($H206&gt;0,$S205+1,0))</f>
        <v>1</v>
      </c>
      <c r="T206" s="47" t="n">
        <f aca="false">IF($H206="",$T205,IF($H206&lt;0,$T205+1,0))</f>
        <v>0</v>
      </c>
    </row>
    <row r="207" customFormat="false" ht="15" hidden="false" customHeight="false" outlineLevel="0" collapsed="false">
      <c r="A207" s="54" t="n">
        <f aca="false">IF($A206="","",$A206+1)</f>
        <v>46438</v>
      </c>
      <c r="B207" s="5" t="str">
        <f aca="false">IF($A207="","",TEXT($A207,"ddd"))</f>
        <v>Sat</v>
      </c>
      <c r="C207" s="41" t="n">
        <f aca="false">IF($A207="","",COUNTIFS('Trade Log'!$L$4:$L$503,$A207))</f>
        <v>0</v>
      </c>
      <c r="D207" s="40" t="n">
        <f aca="false">IF($A207="","",SUMIFS('Trade Log'!$Q$4:$Q$503,'Trade Log'!$L$4:$L$503,$A207,'Trade Log'!$E$4:$E$503,"LONG"))</f>
        <v>0</v>
      </c>
      <c r="E207" s="40" t="n">
        <f aca="false">IF($A207="","",SUMIFS('Trade Log'!$Q$4:$Q$503,'Trade Log'!$L$4:$L$503,$A207,'Trade Log'!$E$4:$E$503,"SHORT"))</f>
        <v>0</v>
      </c>
      <c r="F207" s="40" t="n">
        <f aca="false">IF($A207="","",$D207+$E207)</f>
        <v>0</v>
      </c>
      <c r="G207" s="40" t="n">
        <f aca="false">IF($A207="","",SUMIFS('Trade Log'!$Y$4:$Y$503,'Trade Log'!$L$4:$L$503,$A207))</f>
        <v>0</v>
      </c>
      <c r="H207" s="40" t="str">
        <f aca="false">IF($A207="","",IF($C207=0,"",$F207-$G207))</f>
        <v/>
      </c>
      <c r="I207" s="40" t="n">
        <f aca="false">IF($A207="","",$I206+IF($H207="",0,$H207))</f>
        <v>23918.5521880349</v>
      </c>
      <c r="J207" s="40" t="n">
        <f aca="false">IF($A207="","",Config!$B$4+$I207)</f>
        <v>1023918.55218803</v>
      </c>
      <c r="K207" s="40" t="n">
        <f aca="false">IF($A207="","",MAX($J$4:$J207))</f>
        <v>1023918.55218803</v>
      </c>
      <c r="L207" s="40" t="n">
        <f aca="false">IF($A207="","",$J207-$K207)</f>
        <v>0</v>
      </c>
      <c r="M207" s="42" t="n">
        <f aca="false">IF(OR($A207="",$K207=0),"",$L207/$K207)</f>
        <v>0</v>
      </c>
      <c r="N207" s="40" t="n">
        <f aca="false">IF($A207="","",SUMIFS('Trade Log'!$K$4:$K$503,'Trade Log'!$H$4:$H$503,$A207))</f>
        <v>0</v>
      </c>
      <c r="O207" s="42" t="str">
        <f aca="false">IF(OR($A207="",$H207="",Config!$B$4=0),"",$H207/Config!$B$4)</f>
        <v/>
      </c>
      <c r="P207" s="40" t="n">
        <f aca="false">IF($A207="","",SUM($H$188:$H207))</f>
        <v>0</v>
      </c>
      <c r="Q207" s="53" t="str">
        <f aca="false">IF($A207="","",IFERROR((AVERAGE($O$188:$O207)-Config!$B$7/Config!$B$6)/STDEV($O$188:$O207)*SQRT(Config!$B$6),""))</f>
        <v/>
      </c>
      <c r="R207" s="53" t="str">
        <f aca="false">IF($A207="","",IFERROR((AVERAGE($O$148:$O207)-Config!$B$7/Config!$B$6)/STDEV($O$148:$O207)*SQRT(Config!$B$6),""))</f>
        <v/>
      </c>
      <c r="S207" s="47" t="n">
        <f aca="false">IF($H207="",$S206,IF($H207&gt;0,$S206+1,0))</f>
        <v>1</v>
      </c>
      <c r="T207" s="47" t="n">
        <f aca="false">IF($H207="",$T206,IF($H207&lt;0,$T206+1,0))</f>
        <v>0</v>
      </c>
    </row>
    <row r="208" customFormat="false" ht="15" hidden="false" customHeight="false" outlineLevel="0" collapsed="false">
      <c r="A208" s="54" t="n">
        <f aca="false">IF($A207="","",$A207+1)</f>
        <v>46439</v>
      </c>
      <c r="B208" s="5" t="str">
        <f aca="false">IF($A208="","",TEXT($A208,"ddd"))</f>
        <v>Sun</v>
      </c>
      <c r="C208" s="41" t="n">
        <f aca="false">IF($A208="","",COUNTIFS('Trade Log'!$L$4:$L$503,$A208))</f>
        <v>0</v>
      </c>
      <c r="D208" s="40" t="n">
        <f aca="false">IF($A208="","",SUMIFS('Trade Log'!$Q$4:$Q$503,'Trade Log'!$L$4:$L$503,$A208,'Trade Log'!$E$4:$E$503,"LONG"))</f>
        <v>0</v>
      </c>
      <c r="E208" s="40" t="n">
        <f aca="false">IF($A208="","",SUMIFS('Trade Log'!$Q$4:$Q$503,'Trade Log'!$L$4:$L$503,$A208,'Trade Log'!$E$4:$E$503,"SHORT"))</f>
        <v>0</v>
      </c>
      <c r="F208" s="40" t="n">
        <f aca="false">IF($A208="","",$D208+$E208)</f>
        <v>0</v>
      </c>
      <c r="G208" s="40" t="n">
        <f aca="false">IF($A208="","",SUMIFS('Trade Log'!$Y$4:$Y$503,'Trade Log'!$L$4:$L$503,$A208))</f>
        <v>0</v>
      </c>
      <c r="H208" s="40" t="str">
        <f aca="false">IF($A208="","",IF($C208=0,"",$F208-$G208))</f>
        <v/>
      </c>
      <c r="I208" s="40" t="n">
        <f aca="false">IF($A208="","",$I207+IF($H208="",0,$H208))</f>
        <v>23918.5521880349</v>
      </c>
      <c r="J208" s="40" t="n">
        <f aca="false">IF($A208="","",Config!$B$4+$I208)</f>
        <v>1023918.55218803</v>
      </c>
      <c r="K208" s="40" t="n">
        <f aca="false">IF($A208="","",MAX($J$4:$J208))</f>
        <v>1023918.55218803</v>
      </c>
      <c r="L208" s="40" t="n">
        <f aca="false">IF($A208="","",$J208-$K208)</f>
        <v>0</v>
      </c>
      <c r="M208" s="42" t="n">
        <f aca="false">IF(OR($A208="",$K208=0),"",$L208/$K208)</f>
        <v>0</v>
      </c>
      <c r="N208" s="40" t="n">
        <f aca="false">IF($A208="","",SUMIFS('Trade Log'!$K$4:$K$503,'Trade Log'!$H$4:$H$503,$A208))</f>
        <v>0</v>
      </c>
      <c r="O208" s="42" t="str">
        <f aca="false">IF(OR($A208="",$H208="",Config!$B$4=0),"",$H208/Config!$B$4)</f>
        <v/>
      </c>
      <c r="P208" s="40" t="n">
        <f aca="false">IF($A208="","",SUM($H$189:$H208))</f>
        <v>0</v>
      </c>
      <c r="Q208" s="53" t="str">
        <f aca="false">IF($A208="","",IFERROR((AVERAGE($O$189:$O208)-Config!$B$7/Config!$B$6)/STDEV($O$189:$O208)*SQRT(Config!$B$6),""))</f>
        <v/>
      </c>
      <c r="R208" s="53" t="str">
        <f aca="false">IF($A208="","",IFERROR((AVERAGE($O$149:$O208)-Config!$B$7/Config!$B$6)/STDEV($O$149:$O208)*SQRT(Config!$B$6),""))</f>
        <v/>
      </c>
      <c r="S208" s="47" t="n">
        <f aca="false">IF($H208="",$S207,IF($H208&gt;0,$S207+1,0))</f>
        <v>1</v>
      </c>
      <c r="T208" s="47" t="n">
        <f aca="false">IF($H208="",$T207,IF($H208&lt;0,$T207+1,0))</f>
        <v>0</v>
      </c>
    </row>
    <row r="209" customFormat="false" ht="15" hidden="false" customHeight="false" outlineLevel="0" collapsed="false">
      <c r="A209" s="54" t="n">
        <f aca="false">IF($A208="","",$A208+1)</f>
        <v>46440</v>
      </c>
      <c r="B209" s="5" t="str">
        <f aca="false">IF($A209="","",TEXT($A209,"ddd"))</f>
        <v>Mon</v>
      </c>
      <c r="C209" s="41" t="n">
        <f aca="false">IF($A209="","",COUNTIFS('Trade Log'!$L$4:$L$503,$A209))</f>
        <v>0</v>
      </c>
      <c r="D209" s="40" t="n">
        <f aca="false">IF($A209="","",SUMIFS('Trade Log'!$Q$4:$Q$503,'Trade Log'!$L$4:$L$503,$A209,'Trade Log'!$E$4:$E$503,"LONG"))</f>
        <v>0</v>
      </c>
      <c r="E209" s="40" t="n">
        <f aca="false">IF($A209="","",SUMIFS('Trade Log'!$Q$4:$Q$503,'Trade Log'!$L$4:$L$503,$A209,'Trade Log'!$E$4:$E$503,"SHORT"))</f>
        <v>0</v>
      </c>
      <c r="F209" s="40" t="n">
        <f aca="false">IF($A209="","",$D209+$E209)</f>
        <v>0</v>
      </c>
      <c r="G209" s="40" t="n">
        <f aca="false">IF($A209="","",SUMIFS('Trade Log'!$Y$4:$Y$503,'Trade Log'!$L$4:$L$503,$A209))</f>
        <v>0</v>
      </c>
      <c r="H209" s="40" t="str">
        <f aca="false">IF($A209="","",IF($C209=0,"",$F209-$G209))</f>
        <v/>
      </c>
      <c r="I209" s="40" t="n">
        <f aca="false">IF($A209="","",$I208+IF($H209="",0,$H209))</f>
        <v>23918.5521880349</v>
      </c>
      <c r="J209" s="40" t="n">
        <f aca="false">IF($A209="","",Config!$B$4+$I209)</f>
        <v>1023918.55218803</v>
      </c>
      <c r="K209" s="40" t="n">
        <f aca="false">IF($A209="","",MAX($J$4:$J209))</f>
        <v>1023918.55218803</v>
      </c>
      <c r="L209" s="40" t="n">
        <f aca="false">IF($A209="","",$J209-$K209)</f>
        <v>0</v>
      </c>
      <c r="M209" s="42" t="n">
        <f aca="false">IF(OR($A209="",$K209=0),"",$L209/$K209)</f>
        <v>0</v>
      </c>
      <c r="N209" s="40" t="n">
        <f aca="false">IF($A209="","",SUMIFS('Trade Log'!$K$4:$K$503,'Trade Log'!$H$4:$H$503,$A209))</f>
        <v>0</v>
      </c>
      <c r="O209" s="42" t="str">
        <f aca="false">IF(OR($A209="",$H209="",Config!$B$4=0),"",$H209/Config!$B$4)</f>
        <v/>
      </c>
      <c r="P209" s="40" t="n">
        <f aca="false">IF($A209="","",SUM($H$190:$H209))</f>
        <v>0</v>
      </c>
      <c r="Q209" s="53" t="str">
        <f aca="false">IF($A209="","",IFERROR((AVERAGE($O$190:$O209)-Config!$B$7/Config!$B$6)/STDEV($O$190:$O209)*SQRT(Config!$B$6),""))</f>
        <v/>
      </c>
      <c r="R209" s="53" t="str">
        <f aca="false">IF($A209="","",IFERROR((AVERAGE($O$150:$O209)-Config!$B$7/Config!$B$6)/STDEV($O$150:$O209)*SQRT(Config!$B$6),""))</f>
        <v/>
      </c>
      <c r="S209" s="47" t="n">
        <f aca="false">IF($H209="",$S208,IF($H209&gt;0,$S208+1,0))</f>
        <v>1</v>
      </c>
      <c r="T209" s="47" t="n">
        <f aca="false">IF($H209="",$T208,IF($H209&lt;0,$T208+1,0))</f>
        <v>0</v>
      </c>
    </row>
    <row r="210" customFormat="false" ht="15" hidden="false" customHeight="false" outlineLevel="0" collapsed="false">
      <c r="A210" s="54" t="n">
        <f aca="false">IF($A209="","",$A209+1)</f>
        <v>46441</v>
      </c>
      <c r="B210" s="5" t="str">
        <f aca="false">IF($A210="","",TEXT($A210,"ddd"))</f>
        <v>Tue</v>
      </c>
      <c r="C210" s="41" t="n">
        <f aca="false">IF($A210="","",COUNTIFS('Trade Log'!$L$4:$L$503,$A210))</f>
        <v>0</v>
      </c>
      <c r="D210" s="40" t="n">
        <f aca="false">IF($A210="","",SUMIFS('Trade Log'!$Q$4:$Q$503,'Trade Log'!$L$4:$L$503,$A210,'Trade Log'!$E$4:$E$503,"LONG"))</f>
        <v>0</v>
      </c>
      <c r="E210" s="40" t="n">
        <f aca="false">IF($A210="","",SUMIFS('Trade Log'!$Q$4:$Q$503,'Trade Log'!$L$4:$L$503,$A210,'Trade Log'!$E$4:$E$503,"SHORT"))</f>
        <v>0</v>
      </c>
      <c r="F210" s="40" t="n">
        <f aca="false">IF($A210="","",$D210+$E210)</f>
        <v>0</v>
      </c>
      <c r="G210" s="40" t="n">
        <f aca="false">IF($A210="","",SUMIFS('Trade Log'!$Y$4:$Y$503,'Trade Log'!$L$4:$L$503,$A210))</f>
        <v>0</v>
      </c>
      <c r="H210" s="40" t="str">
        <f aca="false">IF($A210="","",IF($C210=0,"",$F210-$G210))</f>
        <v/>
      </c>
      <c r="I210" s="40" t="n">
        <f aca="false">IF($A210="","",$I209+IF($H210="",0,$H210))</f>
        <v>23918.5521880349</v>
      </c>
      <c r="J210" s="40" t="n">
        <f aca="false">IF($A210="","",Config!$B$4+$I210)</f>
        <v>1023918.55218803</v>
      </c>
      <c r="K210" s="40" t="n">
        <f aca="false">IF($A210="","",MAX($J$4:$J210))</f>
        <v>1023918.55218803</v>
      </c>
      <c r="L210" s="40" t="n">
        <f aca="false">IF($A210="","",$J210-$K210)</f>
        <v>0</v>
      </c>
      <c r="M210" s="42" t="n">
        <f aca="false">IF(OR($A210="",$K210=0),"",$L210/$K210)</f>
        <v>0</v>
      </c>
      <c r="N210" s="40" t="n">
        <f aca="false">IF($A210="","",SUMIFS('Trade Log'!$K$4:$K$503,'Trade Log'!$H$4:$H$503,$A210))</f>
        <v>0</v>
      </c>
      <c r="O210" s="42" t="str">
        <f aca="false">IF(OR($A210="",$H210="",Config!$B$4=0),"",$H210/Config!$B$4)</f>
        <v/>
      </c>
      <c r="P210" s="40" t="n">
        <f aca="false">IF($A210="","",SUM($H$191:$H210))</f>
        <v>0</v>
      </c>
      <c r="Q210" s="53" t="str">
        <f aca="false">IF($A210="","",IFERROR((AVERAGE($O$191:$O210)-Config!$B$7/Config!$B$6)/STDEV($O$191:$O210)*SQRT(Config!$B$6),""))</f>
        <v/>
      </c>
      <c r="R210" s="53" t="str">
        <f aca="false">IF($A210="","",IFERROR((AVERAGE($O$151:$O210)-Config!$B$7/Config!$B$6)/STDEV($O$151:$O210)*SQRT(Config!$B$6),""))</f>
        <v/>
      </c>
      <c r="S210" s="47" t="n">
        <f aca="false">IF($H210="",$S209,IF($H210&gt;0,$S209+1,0))</f>
        <v>1</v>
      </c>
      <c r="T210" s="47" t="n">
        <f aca="false">IF($H210="",$T209,IF($H210&lt;0,$T209+1,0))</f>
        <v>0</v>
      </c>
    </row>
    <row r="211" customFormat="false" ht="15" hidden="false" customHeight="false" outlineLevel="0" collapsed="false">
      <c r="A211" s="54" t="n">
        <f aca="false">IF($A210="","",$A210+1)</f>
        <v>46442</v>
      </c>
      <c r="B211" s="5" t="str">
        <f aca="false">IF($A211="","",TEXT($A211,"ddd"))</f>
        <v>Wed</v>
      </c>
      <c r="C211" s="41" t="n">
        <f aca="false">IF($A211="","",COUNTIFS('Trade Log'!$L$4:$L$503,$A211))</f>
        <v>0</v>
      </c>
      <c r="D211" s="40" t="n">
        <f aca="false">IF($A211="","",SUMIFS('Trade Log'!$Q$4:$Q$503,'Trade Log'!$L$4:$L$503,$A211,'Trade Log'!$E$4:$E$503,"LONG"))</f>
        <v>0</v>
      </c>
      <c r="E211" s="40" t="n">
        <f aca="false">IF($A211="","",SUMIFS('Trade Log'!$Q$4:$Q$503,'Trade Log'!$L$4:$L$503,$A211,'Trade Log'!$E$4:$E$503,"SHORT"))</f>
        <v>0</v>
      </c>
      <c r="F211" s="40" t="n">
        <f aca="false">IF($A211="","",$D211+$E211)</f>
        <v>0</v>
      </c>
      <c r="G211" s="40" t="n">
        <f aca="false">IF($A211="","",SUMIFS('Trade Log'!$Y$4:$Y$503,'Trade Log'!$L$4:$L$503,$A211))</f>
        <v>0</v>
      </c>
      <c r="H211" s="40" t="str">
        <f aca="false">IF($A211="","",IF($C211=0,"",$F211-$G211))</f>
        <v/>
      </c>
      <c r="I211" s="40" t="n">
        <f aca="false">IF($A211="","",$I210+IF($H211="",0,$H211))</f>
        <v>23918.5521880349</v>
      </c>
      <c r="J211" s="40" t="n">
        <f aca="false">IF($A211="","",Config!$B$4+$I211)</f>
        <v>1023918.55218803</v>
      </c>
      <c r="K211" s="40" t="n">
        <f aca="false">IF($A211="","",MAX($J$4:$J211))</f>
        <v>1023918.55218803</v>
      </c>
      <c r="L211" s="40" t="n">
        <f aca="false">IF($A211="","",$J211-$K211)</f>
        <v>0</v>
      </c>
      <c r="M211" s="42" t="n">
        <f aca="false">IF(OR($A211="",$K211=0),"",$L211/$K211)</f>
        <v>0</v>
      </c>
      <c r="N211" s="40" t="n">
        <f aca="false">IF($A211="","",SUMIFS('Trade Log'!$K$4:$K$503,'Trade Log'!$H$4:$H$503,$A211))</f>
        <v>0</v>
      </c>
      <c r="O211" s="42" t="str">
        <f aca="false">IF(OR($A211="",$H211="",Config!$B$4=0),"",$H211/Config!$B$4)</f>
        <v/>
      </c>
      <c r="P211" s="40" t="n">
        <f aca="false">IF($A211="","",SUM($H$192:$H211))</f>
        <v>0</v>
      </c>
      <c r="Q211" s="53" t="str">
        <f aca="false">IF($A211="","",IFERROR((AVERAGE($O$192:$O211)-Config!$B$7/Config!$B$6)/STDEV($O$192:$O211)*SQRT(Config!$B$6),""))</f>
        <v/>
      </c>
      <c r="R211" s="53" t="str">
        <f aca="false">IF($A211="","",IFERROR((AVERAGE($O$152:$O211)-Config!$B$7/Config!$B$6)/STDEV($O$152:$O211)*SQRT(Config!$B$6),""))</f>
        <v/>
      </c>
      <c r="S211" s="47" t="n">
        <f aca="false">IF($H211="",$S210,IF($H211&gt;0,$S210+1,0))</f>
        <v>1</v>
      </c>
      <c r="T211" s="47" t="n">
        <f aca="false">IF($H211="",$T210,IF($H211&lt;0,$T210+1,0))</f>
        <v>0</v>
      </c>
    </row>
    <row r="212" customFormat="false" ht="15" hidden="false" customHeight="false" outlineLevel="0" collapsed="false">
      <c r="A212" s="54" t="n">
        <f aca="false">IF($A211="","",$A211+1)</f>
        <v>46443</v>
      </c>
      <c r="B212" s="5" t="str">
        <f aca="false">IF($A212="","",TEXT($A212,"ddd"))</f>
        <v>Thu</v>
      </c>
      <c r="C212" s="41" t="n">
        <f aca="false">IF($A212="","",COUNTIFS('Trade Log'!$L$4:$L$503,$A212))</f>
        <v>0</v>
      </c>
      <c r="D212" s="40" t="n">
        <f aca="false">IF($A212="","",SUMIFS('Trade Log'!$Q$4:$Q$503,'Trade Log'!$L$4:$L$503,$A212,'Trade Log'!$E$4:$E$503,"LONG"))</f>
        <v>0</v>
      </c>
      <c r="E212" s="40" t="n">
        <f aca="false">IF($A212="","",SUMIFS('Trade Log'!$Q$4:$Q$503,'Trade Log'!$L$4:$L$503,$A212,'Trade Log'!$E$4:$E$503,"SHORT"))</f>
        <v>0</v>
      </c>
      <c r="F212" s="40" t="n">
        <f aca="false">IF($A212="","",$D212+$E212)</f>
        <v>0</v>
      </c>
      <c r="G212" s="40" t="n">
        <f aca="false">IF($A212="","",SUMIFS('Trade Log'!$Y$4:$Y$503,'Trade Log'!$L$4:$L$503,$A212))</f>
        <v>0</v>
      </c>
      <c r="H212" s="40" t="str">
        <f aca="false">IF($A212="","",IF($C212=0,"",$F212-$G212))</f>
        <v/>
      </c>
      <c r="I212" s="40" t="n">
        <f aca="false">IF($A212="","",$I211+IF($H212="",0,$H212))</f>
        <v>23918.5521880349</v>
      </c>
      <c r="J212" s="40" t="n">
        <f aca="false">IF($A212="","",Config!$B$4+$I212)</f>
        <v>1023918.55218803</v>
      </c>
      <c r="K212" s="40" t="n">
        <f aca="false">IF($A212="","",MAX($J$4:$J212))</f>
        <v>1023918.55218803</v>
      </c>
      <c r="L212" s="40" t="n">
        <f aca="false">IF($A212="","",$J212-$K212)</f>
        <v>0</v>
      </c>
      <c r="M212" s="42" t="n">
        <f aca="false">IF(OR($A212="",$K212=0),"",$L212/$K212)</f>
        <v>0</v>
      </c>
      <c r="N212" s="40" t="n">
        <f aca="false">IF($A212="","",SUMIFS('Trade Log'!$K$4:$K$503,'Trade Log'!$H$4:$H$503,$A212))</f>
        <v>0</v>
      </c>
      <c r="O212" s="42" t="str">
        <f aca="false">IF(OR($A212="",$H212="",Config!$B$4=0),"",$H212/Config!$B$4)</f>
        <v/>
      </c>
      <c r="P212" s="40" t="n">
        <f aca="false">IF($A212="","",SUM($H$193:$H212))</f>
        <v>0</v>
      </c>
      <c r="Q212" s="53" t="str">
        <f aca="false">IF($A212="","",IFERROR((AVERAGE($O$193:$O212)-Config!$B$7/Config!$B$6)/STDEV($O$193:$O212)*SQRT(Config!$B$6),""))</f>
        <v/>
      </c>
      <c r="R212" s="53" t="str">
        <f aca="false">IF($A212="","",IFERROR((AVERAGE($O$153:$O212)-Config!$B$7/Config!$B$6)/STDEV($O$153:$O212)*SQRT(Config!$B$6),""))</f>
        <v/>
      </c>
      <c r="S212" s="47" t="n">
        <f aca="false">IF($H212="",$S211,IF($H212&gt;0,$S211+1,0))</f>
        <v>1</v>
      </c>
      <c r="T212" s="47" t="n">
        <f aca="false">IF($H212="",$T211,IF($H212&lt;0,$T211+1,0))</f>
        <v>0</v>
      </c>
    </row>
    <row r="213" customFormat="false" ht="15" hidden="false" customHeight="false" outlineLevel="0" collapsed="false">
      <c r="A213" s="54" t="n">
        <f aca="false">IF($A212="","",$A212+1)</f>
        <v>46444</v>
      </c>
      <c r="B213" s="5" t="str">
        <f aca="false">IF($A213="","",TEXT($A213,"ddd"))</f>
        <v>Fri</v>
      </c>
      <c r="C213" s="41" t="n">
        <f aca="false">IF($A213="","",COUNTIFS('Trade Log'!$L$4:$L$503,$A213))</f>
        <v>0</v>
      </c>
      <c r="D213" s="40" t="n">
        <f aca="false">IF($A213="","",SUMIFS('Trade Log'!$Q$4:$Q$503,'Trade Log'!$L$4:$L$503,$A213,'Trade Log'!$E$4:$E$503,"LONG"))</f>
        <v>0</v>
      </c>
      <c r="E213" s="40" t="n">
        <f aca="false">IF($A213="","",SUMIFS('Trade Log'!$Q$4:$Q$503,'Trade Log'!$L$4:$L$503,$A213,'Trade Log'!$E$4:$E$503,"SHORT"))</f>
        <v>0</v>
      </c>
      <c r="F213" s="40" t="n">
        <f aca="false">IF($A213="","",$D213+$E213)</f>
        <v>0</v>
      </c>
      <c r="G213" s="40" t="n">
        <f aca="false">IF($A213="","",SUMIFS('Trade Log'!$Y$4:$Y$503,'Trade Log'!$L$4:$L$503,$A213))</f>
        <v>0</v>
      </c>
      <c r="H213" s="40" t="str">
        <f aca="false">IF($A213="","",IF($C213=0,"",$F213-$G213))</f>
        <v/>
      </c>
      <c r="I213" s="40" t="n">
        <f aca="false">IF($A213="","",$I212+IF($H213="",0,$H213))</f>
        <v>23918.5521880349</v>
      </c>
      <c r="J213" s="40" t="n">
        <f aca="false">IF($A213="","",Config!$B$4+$I213)</f>
        <v>1023918.55218803</v>
      </c>
      <c r="K213" s="40" t="n">
        <f aca="false">IF($A213="","",MAX($J$4:$J213))</f>
        <v>1023918.55218803</v>
      </c>
      <c r="L213" s="40" t="n">
        <f aca="false">IF($A213="","",$J213-$K213)</f>
        <v>0</v>
      </c>
      <c r="M213" s="42" t="n">
        <f aca="false">IF(OR($A213="",$K213=0),"",$L213/$K213)</f>
        <v>0</v>
      </c>
      <c r="N213" s="40" t="n">
        <f aca="false">IF($A213="","",SUMIFS('Trade Log'!$K$4:$K$503,'Trade Log'!$H$4:$H$503,$A213))</f>
        <v>0</v>
      </c>
      <c r="O213" s="42" t="str">
        <f aca="false">IF(OR($A213="",$H213="",Config!$B$4=0),"",$H213/Config!$B$4)</f>
        <v/>
      </c>
      <c r="P213" s="40" t="n">
        <f aca="false">IF($A213="","",SUM($H$194:$H213))</f>
        <v>0</v>
      </c>
      <c r="Q213" s="53" t="str">
        <f aca="false">IF($A213="","",IFERROR((AVERAGE($O$194:$O213)-Config!$B$7/Config!$B$6)/STDEV($O$194:$O213)*SQRT(Config!$B$6),""))</f>
        <v/>
      </c>
      <c r="R213" s="53" t="str">
        <f aca="false">IF($A213="","",IFERROR((AVERAGE($O$154:$O213)-Config!$B$7/Config!$B$6)/STDEV($O$154:$O213)*SQRT(Config!$B$6),""))</f>
        <v/>
      </c>
      <c r="S213" s="47" t="n">
        <f aca="false">IF($H213="",$S212,IF($H213&gt;0,$S212+1,0))</f>
        <v>1</v>
      </c>
      <c r="T213" s="47" t="n">
        <f aca="false">IF($H213="",$T212,IF($H213&lt;0,$T212+1,0))</f>
        <v>0</v>
      </c>
    </row>
    <row r="214" customFormat="false" ht="15" hidden="false" customHeight="false" outlineLevel="0" collapsed="false">
      <c r="A214" s="54" t="n">
        <f aca="false">IF($A213="","",$A213+1)</f>
        <v>46445</v>
      </c>
      <c r="B214" s="5" t="str">
        <f aca="false">IF($A214="","",TEXT($A214,"ddd"))</f>
        <v>Sat</v>
      </c>
      <c r="C214" s="41" t="n">
        <f aca="false">IF($A214="","",COUNTIFS('Trade Log'!$L$4:$L$503,$A214))</f>
        <v>0</v>
      </c>
      <c r="D214" s="40" t="n">
        <f aca="false">IF($A214="","",SUMIFS('Trade Log'!$Q$4:$Q$503,'Trade Log'!$L$4:$L$503,$A214,'Trade Log'!$E$4:$E$503,"LONG"))</f>
        <v>0</v>
      </c>
      <c r="E214" s="40" t="n">
        <f aca="false">IF($A214="","",SUMIFS('Trade Log'!$Q$4:$Q$503,'Trade Log'!$L$4:$L$503,$A214,'Trade Log'!$E$4:$E$503,"SHORT"))</f>
        <v>0</v>
      </c>
      <c r="F214" s="40" t="n">
        <f aca="false">IF($A214="","",$D214+$E214)</f>
        <v>0</v>
      </c>
      <c r="G214" s="40" t="n">
        <f aca="false">IF($A214="","",SUMIFS('Trade Log'!$Y$4:$Y$503,'Trade Log'!$L$4:$L$503,$A214))</f>
        <v>0</v>
      </c>
      <c r="H214" s="40" t="str">
        <f aca="false">IF($A214="","",IF($C214=0,"",$F214-$G214))</f>
        <v/>
      </c>
      <c r="I214" s="40" t="n">
        <f aca="false">IF($A214="","",$I213+IF($H214="",0,$H214))</f>
        <v>23918.5521880349</v>
      </c>
      <c r="J214" s="40" t="n">
        <f aca="false">IF($A214="","",Config!$B$4+$I214)</f>
        <v>1023918.55218803</v>
      </c>
      <c r="K214" s="40" t="n">
        <f aca="false">IF($A214="","",MAX($J$4:$J214))</f>
        <v>1023918.55218803</v>
      </c>
      <c r="L214" s="40" t="n">
        <f aca="false">IF($A214="","",$J214-$K214)</f>
        <v>0</v>
      </c>
      <c r="M214" s="42" t="n">
        <f aca="false">IF(OR($A214="",$K214=0),"",$L214/$K214)</f>
        <v>0</v>
      </c>
      <c r="N214" s="40" t="n">
        <f aca="false">IF($A214="","",SUMIFS('Trade Log'!$K$4:$K$503,'Trade Log'!$H$4:$H$503,$A214))</f>
        <v>0</v>
      </c>
      <c r="O214" s="42" t="str">
        <f aca="false">IF(OR($A214="",$H214="",Config!$B$4=0),"",$H214/Config!$B$4)</f>
        <v/>
      </c>
      <c r="P214" s="40" t="n">
        <f aca="false">IF($A214="","",SUM($H$195:$H214))</f>
        <v>0</v>
      </c>
      <c r="Q214" s="53" t="str">
        <f aca="false">IF($A214="","",IFERROR((AVERAGE($O$195:$O214)-Config!$B$7/Config!$B$6)/STDEV($O$195:$O214)*SQRT(Config!$B$6),""))</f>
        <v/>
      </c>
      <c r="R214" s="53" t="str">
        <f aca="false">IF($A214="","",IFERROR((AVERAGE($O$155:$O214)-Config!$B$7/Config!$B$6)/STDEV($O$155:$O214)*SQRT(Config!$B$6),""))</f>
        <v/>
      </c>
      <c r="S214" s="47" t="n">
        <f aca="false">IF($H214="",$S213,IF($H214&gt;0,$S213+1,0))</f>
        <v>1</v>
      </c>
      <c r="T214" s="47" t="n">
        <f aca="false">IF($H214="",$T213,IF($H214&lt;0,$T213+1,0))</f>
        <v>0</v>
      </c>
    </row>
    <row r="215" customFormat="false" ht="15" hidden="false" customHeight="false" outlineLevel="0" collapsed="false">
      <c r="A215" s="54" t="n">
        <f aca="false">IF($A214="","",$A214+1)</f>
        <v>46446</v>
      </c>
      <c r="B215" s="5" t="str">
        <f aca="false">IF($A215="","",TEXT($A215,"ddd"))</f>
        <v>Sun</v>
      </c>
      <c r="C215" s="41" t="n">
        <f aca="false">IF($A215="","",COUNTIFS('Trade Log'!$L$4:$L$503,$A215))</f>
        <v>0</v>
      </c>
      <c r="D215" s="40" t="n">
        <f aca="false">IF($A215="","",SUMIFS('Trade Log'!$Q$4:$Q$503,'Trade Log'!$L$4:$L$503,$A215,'Trade Log'!$E$4:$E$503,"LONG"))</f>
        <v>0</v>
      </c>
      <c r="E215" s="40" t="n">
        <f aca="false">IF($A215="","",SUMIFS('Trade Log'!$Q$4:$Q$503,'Trade Log'!$L$4:$L$503,$A215,'Trade Log'!$E$4:$E$503,"SHORT"))</f>
        <v>0</v>
      </c>
      <c r="F215" s="40" t="n">
        <f aca="false">IF($A215="","",$D215+$E215)</f>
        <v>0</v>
      </c>
      <c r="G215" s="40" t="n">
        <f aca="false">IF($A215="","",SUMIFS('Trade Log'!$Y$4:$Y$503,'Trade Log'!$L$4:$L$503,$A215))</f>
        <v>0</v>
      </c>
      <c r="H215" s="40" t="str">
        <f aca="false">IF($A215="","",IF($C215=0,"",$F215-$G215))</f>
        <v/>
      </c>
      <c r="I215" s="40" t="n">
        <f aca="false">IF($A215="","",$I214+IF($H215="",0,$H215))</f>
        <v>23918.5521880349</v>
      </c>
      <c r="J215" s="40" t="n">
        <f aca="false">IF($A215="","",Config!$B$4+$I215)</f>
        <v>1023918.55218803</v>
      </c>
      <c r="K215" s="40" t="n">
        <f aca="false">IF($A215="","",MAX($J$4:$J215))</f>
        <v>1023918.55218803</v>
      </c>
      <c r="L215" s="40" t="n">
        <f aca="false">IF($A215="","",$J215-$K215)</f>
        <v>0</v>
      </c>
      <c r="M215" s="42" t="n">
        <f aca="false">IF(OR($A215="",$K215=0),"",$L215/$K215)</f>
        <v>0</v>
      </c>
      <c r="N215" s="40" t="n">
        <f aca="false">IF($A215="","",SUMIFS('Trade Log'!$K$4:$K$503,'Trade Log'!$H$4:$H$503,$A215))</f>
        <v>0</v>
      </c>
      <c r="O215" s="42" t="str">
        <f aca="false">IF(OR($A215="",$H215="",Config!$B$4=0),"",$H215/Config!$B$4)</f>
        <v/>
      </c>
      <c r="P215" s="40" t="n">
        <f aca="false">IF($A215="","",SUM($H$196:$H215))</f>
        <v>0</v>
      </c>
      <c r="Q215" s="53" t="str">
        <f aca="false">IF($A215="","",IFERROR((AVERAGE($O$196:$O215)-Config!$B$7/Config!$B$6)/STDEV($O$196:$O215)*SQRT(Config!$B$6),""))</f>
        <v/>
      </c>
      <c r="R215" s="53" t="str">
        <f aca="false">IF($A215="","",IFERROR((AVERAGE($O$156:$O215)-Config!$B$7/Config!$B$6)/STDEV($O$156:$O215)*SQRT(Config!$B$6),""))</f>
        <v/>
      </c>
      <c r="S215" s="47" t="n">
        <f aca="false">IF($H215="",$S214,IF($H215&gt;0,$S214+1,0))</f>
        <v>1</v>
      </c>
      <c r="T215" s="47" t="n">
        <f aca="false">IF($H215="",$T214,IF($H215&lt;0,$T214+1,0))</f>
        <v>0</v>
      </c>
    </row>
    <row r="216" customFormat="false" ht="15" hidden="false" customHeight="false" outlineLevel="0" collapsed="false">
      <c r="A216" s="54" t="n">
        <f aca="false">IF($A215="","",$A215+1)</f>
        <v>46447</v>
      </c>
      <c r="B216" s="5" t="str">
        <f aca="false">IF($A216="","",TEXT($A216,"ddd"))</f>
        <v>Mon</v>
      </c>
      <c r="C216" s="41" t="n">
        <f aca="false">IF($A216="","",COUNTIFS('Trade Log'!$L$4:$L$503,$A216))</f>
        <v>0</v>
      </c>
      <c r="D216" s="40" t="n">
        <f aca="false">IF($A216="","",SUMIFS('Trade Log'!$Q$4:$Q$503,'Trade Log'!$L$4:$L$503,$A216,'Trade Log'!$E$4:$E$503,"LONG"))</f>
        <v>0</v>
      </c>
      <c r="E216" s="40" t="n">
        <f aca="false">IF($A216="","",SUMIFS('Trade Log'!$Q$4:$Q$503,'Trade Log'!$L$4:$L$503,$A216,'Trade Log'!$E$4:$E$503,"SHORT"))</f>
        <v>0</v>
      </c>
      <c r="F216" s="40" t="n">
        <f aca="false">IF($A216="","",$D216+$E216)</f>
        <v>0</v>
      </c>
      <c r="G216" s="40" t="n">
        <f aca="false">IF($A216="","",SUMIFS('Trade Log'!$Y$4:$Y$503,'Trade Log'!$L$4:$L$503,$A216))</f>
        <v>0</v>
      </c>
      <c r="H216" s="40" t="str">
        <f aca="false">IF($A216="","",IF($C216=0,"",$F216-$G216))</f>
        <v/>
      </c>
      <c r="I216" s="40" t="n">
        <f aca="false">IF($A216="","",$I215+IF($H216="",0,$H216))</f>
        <v>23918.5521880349</v>
      </c>
      <c r="J216" s="40" t="n">
        <f aca="false">IF($A216="","",Config!$B$4+$I216)</f>
        <v>1023918.55218803</v>
      </c>
      <c r="K216" s="40" t="n">
        <f aca="false">IF($A216="","",MAX($J$4:$J216))</f>
        <v>1023918.55218803</v>
      </c>
      <c r="L216" s="40" t="n">
        <f aca="false">IF($A216="","",$J216-$K216)</f>
        <v>0</v>
      </c>
      <c r="M216" s="42" t="n">
        <f aca="false">IF(OR($A216="",$K216=0),"",$L216/$K216)</f>
        <v>0</v>
      </c>
      <c r="N216" s="40" t="n">
        <f aca="false">IF($A216="","",SUMIFS('Trade Log'!$K$4:$K$503,'Trade Log'!$H$4:$H$503,$A216))</f>
        <v>0</v>
      </c>
      <c r="O216" s="42" t="str">
        <f aca="false">IF(OR($A216="",$H216="",Config!$B$4=0),"",$H216/Config!$B$4)</f>
        <v/>
      </c>
      <c r="P216" s="40" t="n">
        <f aca="false">IF($A216="","",SUM($H$197:$H216))</f>
        <v>0</v>
      </c>
      <c r="Q216" s="53" t="str">
        <f aca="false">IF($A216="","",IFERROR((AVERAGE($O$197:$O216)-Config!$B$7/Config!$B$6)/STDEV($O$197:$O216)*SQRT(Config!$B$6),""))</f>
        <v/>
      </c>
      <c r="R216" s="53" t="str">
        <f aca="false">IF($A216="","",IFERROR((AVERAGE($O$157:$O216)-Config!$B$7/Config!$B$6)/STDEV($O$157:$O216)*SQRT(Config!$B$6),""))</f>
        <v/>
      </c>
      <c r="S216" s="47" t="n">
        <f aca="false">IF($H216="",$S215,IF($H216&gt;0,$S215+1,0))</f>
        <v>1</v>
      </c>
      <c r="T216" s="47" t="n">
        <f aca="false">IF($H216="",$T215,IF($H216&lt;0,$T215+1,0))</f>
        <v>0</v>
      </c>
    </row>
    <row r="217" customFormat="false" ht="15" hidden="false" customHeight="false" outlineLevel="0" collapsed="false">
      <c r="A217" s="54" t="n">
        <f aca="false">IF($A216="","",$A216+1)</f>
        <v>46448</v>
      </c>
      <c r="B217" s="5" t="str">
        <f aca="false">IF($A217="","",TEXT($A217,"ddd"))</f>
        <v>Tue</v>
      </c>
      <c r="C217" s="41" t="n">
        <f aca="false">IF($A217="","",COUNTIFS('Trade Log'!$L$4:$L$503,$A217))</f>
        <v>0</v>
      </c>
      <c r="D217" s="40" t="n">
        <f aca="false">IF($A217="","",SUMIFS('Trade Log'!$Q$4:$Q$503,'Trade Log'!$L$4:$L$503,$A217,'Trade Log'!$E$4:$E$503,"LONG"))</f>
        <v>0</v>
      </c>
      <c r="E217" s="40" t="n">
        <f aca="false">IF($A217="","",SUMIFS('Trade Log'!$Q$4:$Q$503,'Trade Log'!$L$4:$L$503,$A217,'Trade Log'!$E$4:$E$503,"SHORT"))</f>
        <v>0</v>
      </c>
      <c r="F217" s="40" t="n">
        <f aca="false">IF($A217="","",$D217+$E217)</f>
        <v>0</v>
      </c>
      <c r="G217" s="40" t="n">
        <f aca="false">IF($A217="","",SUMIFS('Trade Log'!$Y$4:$Y$503,'Trade Log'!$L$4:$L$503,$A217))</f>
        <v>0</v>
      </c>
      <c r="H217" s="40" t="str">
        <f aca="false">IF($A217="","",IF($C217=0,"",$F217-$G217))</f>
        <v/>
      </c>
      <c r="I217" s="40" t="n">
        <f aca="false">IF($A217="","",$I216+IF($H217="",0,$H217))</f>
        <v>23918.5521880349</v>
      </c>
      <c r="J217" s="40" t="n">
        <f aca="false">IF($A217="","",Config!$B$4+$I217)</f>
        <v>1023918.55218803</v>
      </c>
      <c r="K217" s="40" t="n">
        <f aca="false">IF($A217="","",MAX($J$4:$J217))</f>
        <v>1023918.55218803</v>
      </c>
      <c r="L217" s="40" t="n">
        <f aca="false">IF($A217="","",$J217-$K217)</f>
        <v>0</v>
      </c>
      <c r="M217" s="42" t="n">
        <f aca="false">IF(OR($A217="",$K217=0),"",$L217/$K217)</f>
        <v>0</v>
      </c>
      <c r="N217" s="40" t="n">
        <f aca="false">IF($A217="","",SUMIFS('Trade Log'!$K$4:$K$503,'Trade Log'!$H$4:$H$503,$A217))</f>
        <v>0</v>
      </c>
      <c r="O217" s="42" t="str">
        <f aca="false">IF(OR($A217="",$H217="",Config!$B$4=0),"",$H217/Config!$B$4)</f>
        <v/>
      </c>
      <c r="P217" s="40" t="n">
        <f aca="false">IF($A217="","",SUM($H$198:$H217))</f>
        <v>0</v>
      </c>
      <c r="Q217" s="53" t="str">
        <f aca="false">IF($A217="","",IFERROR((AVERAGE($O$198:$O217)-Config!$B$7/Config!$B$6)/STDEV($O$198:$O217)*SQRT(Config!$B$6),""))</f>
        <v/>
      </c>
      <c r="R217" s="53" t="str">
        <f aca="false">IF($A217="","",IFERROR((AVERAGE($O$158:$O217)-Config!$B$7/Config!$B$6)/STDEV($O$158:$O217)*SQRT(Config!$B$6),""))</f>
        <v/>
      </c>
      <c r="S217" s="47" t="n">
        <f aca="false">IF($H217="",$S216,IF($H217&gt;0,$S216+1,0))</f>
        <v>1</v>
      </c>
      <c r="T217" s="47" t="n">
        <f aca="false">IF($H217="",$T216,IF($H217&lt;0,$T216+1,0))</f>
        <v>0</v>
      </c>
    </row>
    <row r="218" customFormat="false" ht="15" hidden="false" customHeight="false" outlineLevel="0" collapsed="false">
      <c r="A218" s="54" t="n">
        <f aca="false">IF($A217="","",$A217+1)</f>
        <v>46449</v>
      </c>
      <c r="B218" s="5" t="str">
        <f aca="false">IF($A218="","",TEXT($A218,"ddd"))</f>
        <v>Wed</v>
      </c>
      <c r="C218" s="41" t="n">
        <f aca="false">IF($A218="","",COUNTIFS('Trade Log'!$L$4:$L$503,$A218))</f>
        <v>0</v>
      </c>
      <c r="D218" s="40" t="n">
        <f aca="false">IF($A218="","",SUMIFS('Trade Log'!$Q$4:$Q$503,'Trade Log'!$L$4:$L$503,$A218,'Trade Log'!$E$4:$E$503,"LONG"))</f>
        <v>0</v>
      </c>
      <c r="E218" s="40" t="n">
        <f aca="false">IF($A218="","",SUMIFS('Trade Log'!$Q$4:$Q$503,'Trade Log'!$L$4:$L$503,$A218,'Trade Log'!$E$4:$E$503,"SHORT"))</f>
        <v>0</v>
      </c>
      <c r="F218" s="40" t="n">
        <f aca="false">IF($A218="","",$D218+$E218)</f>
        <v>0</v>
      </c>
      <c r="G218" s="40" t="n">
        <f aca="false">IF($A218="","",SUMIFS('Trade Log'!$Y$4:$Y$503,'Trade Log'!$L$4:$L$503,$A218))</f>
        <v>0</v>
      </c>
      <c r="H218" s="40" t="str">
        <f aca="false">IF($A218="","",IF($C218=0,"",$F218-$G218))</f>
        <v/>
      </c>
      <c r="I218" s="40" t="n">
        <f aca="false">IF($A218="","",$I217+IF($H218="",0,$H218))</f>
        <v>23918.5521880349</v>
      </c>
      <c r="J218" s="40" t="n">
        <f aca="false">IF($A218="","",Config!$B$4+$I218)</f>
        <v>1023918.55218803</v>
      </c>
      <c r="K218" s="40" t="n">
        <f aca="false">IF($A218="","",MAX($J$4:$J218))</f>
        <v>1023918.55218803</v>
      </c>
      <c r="L218" s="40" t="n">
        <f aca="false">IF($A218="","",$J218-$K218)</f>
        <v>0</v>
      </c>
      <c r="M218" s="42" t="n">
        <f aca="false">IF(OR($A218="",$K218=0),"",$L218/$K218)</f>
        <v>0</v>
      </c>
      <c r="N218" s="40" t="n">
        <f aca="false">IF($A218="","",SUMIFS('Trade Log'!$K$4:$K$503,'Trade Log'!$H$4:$H$503,$A218))</f>
        <v>0</v>
      </c>
      <c r="O218" s="42" t="str">
        <f aca="false">IF(OR($A218="",$H218="",Config!$B$4=0),"",$H218/Config!$B$4)</f>
        <v/>
      </c>
      <c r="P218" s="40" t="n">
        <f aca="false">IF($A218="","",SUM($H$199:$H218))</f>
        <v>0</v>
      </c>
      <c r="Q218" s="53" t="str">
        <f aca="false">IF($A218="","",IFERROR((AVERAGE($O$199:$O218)-Config!$B$7/Config!$B$6)/STDEV($O$199:$O218)*SQRT(Config!$B$6),""))</f>
        <v/>
      </c>
      <c r="R218" s="53" t="str">
        <f aca="false">IF($A218="","",IFERROR((AVERAGE($O$159:$O218)-Config!$B$7/Config!$B$6)/STDEV($O$159:$O218)*SQRT(Config!$B$6),""))</f>
        <v/>
      </c>
      <c r="S218" s="47" t="n">
        <f aca="false">IF($H218="",$S217,IF($H218&gt;0,$S217+1,0))</f>
        <v>1</v>
      </c>
      <c r="T218" s="47" t="n">
        <f aca="false">IF($H218="",$T217,IF($H218&lt;0,$T217+1,0))</f>
        <v>0</v>
      </c>
    </row>
    <row r="219" customFormat="false" ht="15" hidden="false" customHeight="false" outlineLevel="0" collapsed="false">
      <c r="A219" s="54" t="n">
        <f aca="false">IF($A218="","",$A218+1)</f>
        <v>46450</v>
      </c>
      <c r="B219" s="5" t="str">
        <f aca="false">IF($A219="","",TEXT($A219,"ddd"))</f>
        <v>Thu</v>
      </c>
      <c r="C219" s="41" t="n">
        <f aca="false">IF($A219="","",COUNTIFS('Trade Log'!$L$4:$L$503,$A219))</f>
        <v>0</v>
      </c>
      <c r="D219" s="40" t="n">
        <f aca="false">IF($A219="","",SUMIFS('Trade Log'!$Q$4:$Q$503,'Trade Log'!$L$4:$L$503,$A219,'Trade Log'!$E$4:$E$503,"LONG"))</f>
        <v>0</v>
      </c>
      <c r="E219" s="40" t="n">
        <f aca="false">IF($A219="","",SUMIFS('Trade Log'!$Q$4:$Q$503,'Trade Log'!$L$4:$L$503,$A219,'Trade Log'!$E$4:$E$503,"SHORT"))</f>
        <v>0</v>
      </c>
      <c r="F219" s="40" t="n">
        <f aca="false">IF($A219="","",$D219+$E219)</f>
        <v>0</v>
      </c>
      <c r="G219" s="40" t="n">
        <f aca="false">IF($A219="","",SUMIFS('Trade Log'!$Y$4:$Y$503,'Trade Log'!$L$4:$L$503,$A219))</f>
        <v>0</v>
      </c>
      <c r="H219" s="40" t="str">
        <f aca="false">IF($A219="","",IF($C219=0,"",$F219-$G219))</f>
        <v/>
      </c>
      <c r="I219" s="40" t="n">
        <f aca="false">IF($A219="","",$I218+IF($H219="",0,$H219))</f>
        <v>23918.5521880349</v>
      </c>
      <c r="J219" s="40" t="n">
        <f aca="false">IF($A219="","",Config!$B$4+$I219)</f>
        <v>1023918.55218803</v>
      </c>
      <c r="K219" s="40" t="n">
        <f aca="false">IF($A219="","",MAX($J$4:$J219))</f>
        <v>1023918.55218803</v>
      </c>
      <c r="L219" s="40" t="n">
        <f aca="false">IF($A219="","",$J219-$K219)</f>
        <v>0</v>
      </c>
      <c r="M219" s="42" t="n">
        <f aca="false">IF(OR($A219="",$K219=0),"",$L219/$K219)</f>
        <v>0</v>
      </c>
      <c r="N219" s="40" t="n">
        <f aca="false">IF($A219="","",SUMIFS('Trade Log'!$K$4:$K$503,'Trade Log'!$H$4:$H$503,$A219))</f>
        <v>0</v>
      </c>
      <c r="O219" s="42" t="str">
        <f aca="false">IF(OR($A219="",$H219="",Config!$B$4=0),"",$H219/Config!$B$4)</f>
        <v/>
      </c>
      <c r="P219" s="40" t="n">
        <f aca="false">IF($A219="","",SUM($H$200:$H219))</f>
        <v>0</v>
      </c>
      <c r="Q219" s="53" t="str">
        <f aca="false">IF($A219="","",IFERROR((AVERAGE($O$200:$O219)-Config!$B$7/Config!$B$6)/STDEV($O$200:$O219)*SQRT(Config!$B$6),""))</f>
        <v/>
      </c>
      <c r="R219" s="53" t="str">
        <f aca="false">IF($A219="","",IFERROR((AVERAGE($O$160:$O219)-Config!$B$7/Config!$B$6)/STDEV($O$160:$O219)*SQRT(Config!$B$6),""))</f>
        <v/>
      </c>
      <c r="S219" s="47" t="n">
        <f aca="false">IF($H219="",$S218,IF($H219&gt;0,$S218+1,0))</f>
        <v>1</v>
      </c>
      <c r="T219" s="47" t="n">
        <f aca="false">IF($H219="",$T218,IF($H219&lt;0,$T218+1,0))</f>
        <v>0</v>
      </c>
    </row>
    <row r="220" customFormat="false" ht="15" hidden="false" customHeight="false" outlineLevel="0" collapsed="false">
      <c r="A220" s="54" t="n">
        <f aca="false">IF($A219="","",$A219+1)</f>
        <v>46451</v>
      </c>
      <c r="B220" s="5" t="str">
        <f aca="false">IF($A220="","",TEXT($A220,"ddd"))</f>
        <v>Fri</v>
      </c>
      <c r="C220" s="41" t="n">
        <f aca="false">IF($A220="","",COUNTIFS('Trade Log'!$L$4:$L$503,$A220))</f>
        <v>0</v>
      </c>
      <c r="D220" s="40" t="n">
        <f aca="false">IF($A220="","",SUMIFS('Trade Log'!$Q$4:$Q$503,'Trade Log'!$L$4:$L$503,$A220,'Trade Log'!$E$4:$E$503,"LONG"))</f>
        <v>0</v>
      </c>
      <c r="E220" s="40" t="n">
        <f aca="false">IF($A220="","",SUMIFS('Trade Log'!$Q$4:$Q$503,'Trade Log'!$L$4:$L$503,$A220,'Trade Log'!$E$4:$E$503,"SHORT"))</f>
        <v>0</v>
      </c>
      <c r="F220" s="40" t="n">
        <f aca="false">IF($A220="","",$D220+$E220)</f>
        <v>0</v>
      </c>
      <c r="G220" s="40" t="n">
        <f aca="false">IF($A220="","",SUMIFS('Trade Log'!$Y$4:$Y$503,'Trade Log'!$L$4:$L$503,$A220))</f>
        <v>0</v>
      </c>
      <c r="H220" s="40" t="str">
        <f aca="false">IF($A220="","",IF($C220=0,"",$F220-$G220))</f>
        <v/>
      </c>
      <c r="I220" s="40" t="n">
        <f aca="false">IF($A220="","",$I219+IF($H220="",0,$H220))</f>
        <v>23918.5521880349</v>
      </c>
      <c r="J220" s="40" t="n">
        <f aca="false">IF($A220="","",Config!$B$4+$I220)</f>
        <v>1023918.55218803</v>
      </c>
      <c r="K220" s="40" t="n">
        <f aca="false">IF($A220="","",MAX($J$4:$J220))</f>
        <v>1023918.55218803</v>
      </c>
      <c r="L220" s="40" t="n">
        <f aca="false">IF($A220="","",$J220-$K220)</f>
        <v>0</v>
      </c>
      <c r="M220" s="42" t="n">
        <f aca="false">IF(OR($A220="",$K220=0),"",$L220/$K220)</f>
        <v>0</v>
      </c>
      <c r="N220" s="40" t="n">
        <f aca="false">IF($A220="","",SUMIFS('Trade Log'!$K$4:$K$503,'Trade Log'!$H$4:$H$503,$A220))</f>
        <v>0</v>
      </c>
      <c r="O220" s="42" t="str">
        <f aca="false">IF(OR($A220="",$H220="",Config!$B$4=0),"",$H220/Config!$B$4)</f>
        <v/>
      </c>
      <c r="P220" s="40" t="n">
        <f aca="false">IF($A220="","",SUM($H$201:$H220))</f>
        <v>0</v>
      </c>
      <c r="Q220" s="53" t="str">
        <f aca="false">IF($A220="","",IFERROR((AVERAGE($O$201:$O220)-Config!$B$7/Config!$B$6)/STDEV($O$201:$O220)*SQRT(Config!$B$6),""))</f>
        <v/>
      </c>
      <c r="R220" s="53" t="str">
        <f aca="false">IF($A220="","",IFERROR((AVERAGE($O$161:$O220)-Config!$B$7/Config!$B$6)/STDEV($O$161:$O220)*SQRT(Config!$B$6),""))</f>
        <v/>
      </c>
      <c r="S220" s="47" t="n">
        <f aca="false">IF($H220="",$S219,IF($H220&gt;0,$S219+1,0))</f>
        <v>1</v>
      </c>
      <c r="T220" s="47" t="n">
        <f aca="false">IF($H220="",$T219,IF($H220&lt;0,$T219+1,0))</f>
        <v>0</v>
      </c>
    </row>
    <row r="221" customFormat="false" ht="15" hidden="false" customHeight="false" outlineLevel="0" collapsed="false">
      <c r="A221" s="54" t="n">
        <f aca="false">IF($A220="","",$A220+1)</f>
        <v>46452</v>
      </c>
      <c r="B221" s="5" t="str">
        <f aca="false">IF($A221="","",TEXT($A221,"ddd"))</f>
        <v>Sat</v>
      </c>
      <c r="C221" s="41" t="n">
        <f aca="false">IF($A221="","",COUNTIFS('Trade Log'!$L$4:$L$503,$A221))</f>
        <v>0</v>
      </c>
      <c r="D221" s="40" t="n">
        <f aca="false">IF($A221="","",SUMIFS('Trade Log'!$Q$4:$Q$503,'Trade Log'!$L$4:$L$503,$A221,'Trade Log'!$E$4:$E$503,"LONG"))</f>
        <v>0</v>
      </c>
      <c r="E221" s="40" t="n">
        <f aca="false">IF($A221="","",SUMIFS('Trade Log'!$Q$4:$Q$503,'Trade Log'!$L$4:$L$503,$A221,'Trade Log'!$E$4:$E$503,"SHORT"))</f>
        <v>0</v>
      </c>
      <c r="F221" s="40" t="n">
        <f aca="false">IF($A221="","",$D221+$E221)</f>
        <v>0</v>
      </c>
      <c r="G221" s="40" t="n">
        <f aca="false">IF($A221="","",SUMIFS('Trade Log'!$Y$4:$Y$503,'Trade Log'!$L$4:$L$503,$A221))</f>
        <v>0</v>
      </c>
      <c r="H221" s="40" t="str">
        <f aca="false">IF($A221="","",IF($C221=0,"",$F221-$G221))</f>
        <v/>
      </c>
      <c r="I221" s="40" t="n">
        <f aca="false">IF($A221="","",$I220+IF($H221="",0,$H221))</f>
        <v>23918.5521880349</v>
      </c>
      <c r="J221" s="40" t="n">
        <f aca="false">IF($A221="","",Config!$B$4+$I221)</f>
        <v>1023918.55218803</v>
      </c>
      <c r="K221" s="40" t="n">
        <f aca="false">IF($A221="","",MAX($J$4:$J221))</f>
        <v>1023918.55218803</v>
      </c>
      <c r="L221" s="40" t="n">
        <f aca="false">IF($A221="","",$J221-$K221)</f>
        <v>0</v>
      </c>
      <c r="M221" s="42" t="n">
        <f aca="false">IF(OR($A221="",$K221=0),"",$L221/$K221)</f>
        <v>0</v>
      </c>
      <c r="N221" s="40" t="n">
        <f aca="false">IF($A221="","",SUMIFS('Trade Log'!$K$4:$K$503,'Trade Log'!$H$4:$H$503,$A221))</f>
        <v>0</v>
      </c>
      <c r="O221" s="42" t="str">
        <f aca="false">IF(OR($A221="",$H221="",Config!$B$4=0),"",$H221/Config!$B$4)</f>
        <v/>
      </c>
      <c r="P221" s="40" t="n">
        <f aca="false">IF($A221="","",SUM($H$202:$H221))</f>
        <v>0</v>
      </c>
      <c r="Q221" s="53" t="str">
        <f aca="false">IF($A221="","",IFERROR((AVERAGE($O$202:$O221)-Config!$B$7/Config!$B$6)/STDEV($O$202:$O221)*SQRT(Config!$B$6),""))</f>
        <v/>
      </c>
      <c r="R221" s="53" t="str">
        <f aca="false">IF($A221="","",IFERROR((AVERAGE($O$162:$O221)-Config!$B$7/Config!$B$6)/STDEV($O$162:$O221)*SQRT(Config!$B$6),""))</f>
        <v/>
      </c>
      <c r="S221" s="47" t="n">
        <f aca="false">IF($H221="",$S220,IF($H221&gt;0,$S220+1,0))</f>
        <v>1</v>
      </c>
      <c r="T221" s="47" t="n">
        <f aca="false">IF($H221="",$T220,IF($H221&lt;0,$T220+1,0))</f>
        <v>0</v>
      </c>
    </row>
    <row r="222" customFormat="false" ht="15" hidden="false" customHeight="false" outlineLevel="0" collapsed="false">
      <c r="A222" s="54" t="n">
        <f aca="false">IF($A221="","",$A221+1)</f>
        <v>46453</v>
      </c>
      <c r="B222" s="5" t="str">
        <f aca="false">IF($A222="","",TEXT($A222,"ddd"))</f>
        <v>Sun</v>
      </c>
      <c r="C222" s="41" t="n">
        <f aca="false">IF($A222="","",COUNTIFS('Trade Log'!$L$4:$L$503,$A222))</f>
        <v>0</v>
      </c>
      <c r="D222" s="40" t="n">
        <f aca="false">IF($A222="","",SUMIFS('Trade Log'!$Q$4:$Q$503,'Trade Log'!$L$4:$L$503,$A222,'Trade Log'!$E$4:$E$503,"LONG"))</f>
        <v>0</v>
      </c>
      <c r="E222" s="40" t="n">
        <f aca="false">IF($A222="","",SUMIFS('Trade Log'!$Q$4:$Q$503,'Trade Log'!$L$4:$L$503,$A222,'Trade Log'!$E$4:$E$503,"SHORT"))</f>
        <v>0</v>
      </c>
      <c r="F222" s="40" t="n">
        <f aca="false">IF($A222="","",$D222+$E222)</f>
        <v>0</v>
      </c>
      <c r="G222" s="40" t="n">
        <f aca="false">IF($A222="","",SUMIFS('Trade Log'!$Y$4:$Y$503,'Trade Log'!$L$4:$L$503,$A222))</f>
        <v>0</v>
      </c>
      <c r="H222" s="40" t="str">
        <f aca="false">IF($A222="","",IF($C222=0,"",$F222-$G222))</f>
        <v/>
      </c>
      <c r="I222" s="40" t="n">
        <f aca="false">IF($A222="","",$I221+IF($H222="",0,$H222))</f>
        <v>23918.5521880349</v>
      </c>
      <c r="J222" s="40" t="n">
        <f aca="false">IF($A222="","",Config!$B$4+$I222)</f>
        <v>1023918.55218803</v>
      </c>
      <c r="K222" s="40" t="n">
        <f aca="false">IF($A222="","",MAX($J$4:$J222))</f>
        <v>1023918.55218803</v>
      </c>
      <c r="L222" s="40" t="n">
        <f aca="false">IF($A222="","",$J222-$K222)</f>
        <v>0</v>
      </c>
      <c r="M222" s="42" t="n">
        <f aca="false">IF(OR($A222="",$K222=0),"",$L222/$K222)</f>
        <v>0</v>
      </c>
      <c r="N222" s="40" t="n">
        <f aca="false">IF($A222="","",SUMIFS('Trade Log'!$K$4:$K$503,'Trade Log'!$H$4:$H$503,$A222))</f>
        <v>0</v>
      </c>
      <c r="O222" s="42" t="str">
        <f aca="false">IF(OR($A222="",$H222="",Config!$B$4=0),"",$H222/Config!$B$4)</f>
        <v/>
      </c>
      <c r="P222" s="40" t="n">
        <f aca="false">IF($A222="","",SUM($H$203:$H222))</f>
        <v>0</v>
      </c>
      <c r="Q222" s="53" t="str">
        <f aca="false">IF($A222="","",IFERROR((AVERAGE($O$203:$O222)-Config!$B$7/Config!$B$6)/STDEV($O$203:$O222)*SQRT(Config!$B$6),""))</f>
        <v/>
      </c>
      <c r="R222" s="53" t="str">
        <f aca="false">IF($A222="","",IFERROR((AVERAGE($O$163:$O222)-Config!$B$7/Config!$B$6)/STDEV($O$163:$O222)*SQRT(Config!$B$6),""))</f>
        <v/>
      </c>
      <c r="S222" s="47" t="n">
        <f aca="false">IF($H222="",$S221,IF($H222&gt;0,$S221+1,0))</f>
        <v>1</v>
      </c>
      <c r="T222" s="47" t="n">
        <f aca="false">IF($H222="",$T221,IF($H222&lt;0,$T221+1,0))</f>
        <v>0</v>
      </c>
    </row>
    <row r="223" customFormat="false" ht="15" hidden="false" customHeight="false" outlineLevel="0" collapsed="false">
      <c r="A223" s="54" t="n">
        <f aca="false">IF($A222="","",$A222+1)</f>
        <v>46454</v>
      </c>
      <c r="B223" s="5" t="str">
        <f aca="false">IF($A223="","",TEXT($A223,"ddd"))</f>
        <v>Mon</v>
      </c>
      <c r="C223" s="41" t="n">
        <f aca="false">IF($A223="","",COUNTIFS('Trade Log'!$L$4:$L$503,$A223))</f>
        <v>0</v>
      </c>
      <c r="D223" s="40" t="n">
        <f aca="false">IF($A223="","",SUMIFS('Trade Log'!$Q$4:$Q$503,'Trade Log'!$L$4:$L$503,$A223,'Trade Log'!$E$4:$E$503,"LONG"))</f>
        <v>0</v>
      </c>
      <c r="E223" s="40" t="n">
        <f aca="false">IF($A223="","",SUMIFS('Trade Log'!$Q$4:$Q$503,'Trade Log'!$L$4:$L$503,$A223,'Trade Log'!$E$4:$E$503,"SHORT"))</f>
        <v>0</v>
      </c>
      <c r="F223" s="40" t="n">
        <f aca="false">IF($A223="","",$D223+$E223)</f>
        <v>0</v>
      </c>
      <c r="G223" s="40" t="n">
        <f aca="false">IF($A223="","",SUMIFS('Trade Log'!$Y$4:$Y$503,'Trade Log'!$L$4:$L$503,$A223))</f>
        <v>0</v>
      </c>
      <c r="H223" s="40" t="str">
        <f aca="false">IF($A223="","",IF($C223=0,"",$F223-$G223))</f>
        <v/>
      </c>
      <c r="I223" s="40" t="n">
        <f aca="false">IF($A223="","",$I222+IF($H223="",0,$H223))</f>
        <v>23918.5521880349</v>
      </c>
      <c r="J223" s="40" t="n">
        <f aca="false">IF($A223="","",Config!$B$4+$I223)</f>
        <v>1023918.55218803</v>
      </c>
      <c r="K223" s="40" t="n">
        <f aca="false">IF($A223="","",MAX($J$4:$J223))</f>
        <v>1023918.55218803</v>
      </c>
      <c r="L223" s="40" t="n">
        <f aca="false">IF($A223="","",$J223-$K223)</f>
        <v>0</v>
      </c>
      <c r="M223" s="42" t="n">
        <f aca="false">IF(OR($A223="",$K223=0),"",$L223/$K223)</f>
        <v>0</v>
      </c>
      <c r="N223" s="40" t="n">
        <f aca="false">IF($A223="","",SUMIFS('Trade Log'!$K$4:$K$503,'Trade Log'!$H$4:$H$503,$A223))</f>
        <v>0</v>
      </c>
      <c r="O223" s="42" t="str">
        <f aca="false">IF(OR($A223="",$H223="",Config!$B$4=0),"",$H223/Config!$B$4)</f>
        <v/>
      </c>
      <c r="P223" s="40" t="n">
        <f aca="false">IF($A223="","",SUM($H$204:$H223))</f>
        <v>0</v>
      </c>
      <c r="Q223" s="53" t="str">
        <f aca="false">IF($A223="","",IFERROR((AVERAGE($O$204:$O223)-Config!$B$7/Config!$B$6)/STDEV($O$204:$O223)*SQRT(Config!$B$6),""))</f>
        <v/>
      </c>
      <c r="R223" s="53" t="str">
        <f aca="false">IF($A223="","",IFERROR((AVERAGE($O$164:$O223)-Config!$B$7/Config!$B$6)/STDEV($O$164:$O223)*SQRT(Config!$B$6),""))</f>
        <v/>
      </c>
      <c r="S223" s="47" t="n">
        <f aca="false">IF($H223="",$S222,IF($H223&gt;0,$S222+1,0))</f>
        <v>1</v>
      </c>
      <c r="T223" s="47" t="n">
        <f aca="false">IF($H223="",$T222,IF($H223&lt;0,$T222+1,0))</f>
        <v>0</v>
      </c>
    </row>
    <row r="224" customFormat="false" ht="15" hidden="false" customHeight="false" outlineLevel="0" collapsed="false">
      <c r="A224" s="54" t="n">
        <f aca="false">IF($A223="","",$A223+1)</f>
        <v>46455</v>
      </c>
      <c r="B224" s="5" t="str">
        <f aca="false">IF($A224="","",TEXT($A224,"ddd"))</f>
        <v>Tue</v>
      </c>
      <c r="C224" s="41" t="n">
        <f aca="false">IF($A224="","",COUNTIFS('Trade Log'!$L$4:$L$503,$A224))</f>
        <v>0</v>
      </c>
      <c r="D224" s="40" t="n">
        <f aca="false">IF($A224="","",SUMIFS('Trade Log'!$Q$4:$Q$503,'Trade Log'!$L$4:$L$503,$A224,'Trade Log'!$E$4:$E$503,"LONG"))</f>
        <v>0</v>
      </c>
      <c r="E224" s="40" t="n">
        <f aca="false">IF($A224="","",SUMIFS('Trade Log'!$Q$4:$Q$503,'Trade Log'!$L$4:$L$503,$A224,'Trade Log'!$E$4:$E$503,"SHORT"))</f>
        <v>0</v>
      </c>
      <c r="F224" s="40" t="n">
        <f aca="false">IF($A224="","",$D224+$E224)</f>
        <v>0</v>
      </c>
      <c r="G224" s="40" t="n">
        <f aca="false">IF($A224="","",SUMIFS('Trade Log'!$Y$4:$Y$503,'Trade Log'!$L$4:$L$503,$A224))</f>
        <v>0</v>
      </c>
      <c r="H224" s="40" t="str">
        <f aca="false">IF($A224="","",IF($C224=0,"",$F224-$G224))</f>
        <v/>
      </c>
      <c r="I224" s="40" t="n">
        <f aca="false">IF($A224="","",$I223+IF($H224="",0,$H224))</f>
        <v>23918.5521880349</v>
      </c>
      <c r="J224" s="40" t="n">
        <f aca="false">IF($A224="","",Config!$B$4+$I224)</f>
        <v>1023918.55218803</v>
      </c>
      <c r="K224" s="40" t="n">
        <f aca="false">IF($A224="","",MAX($J$4:$J224))</f>
        <v>1023918.55218803</v>
      </c>
      <c r="L224" s="40" t="n">
        <f aca="false">IF($A224="","",$J224-$K224)</f>
        <v>0</v>
      </c>
      <c r="M224" s="42" t="n">
        <f aca="false">IF(OR($A224="",$K224=0),"",$L224/$K224)</f>
        <v>0</v>
      </c>
      <c r="N224" s="40" t="n">
        <f aca="false">IF($A224="","",SUMIFS('Trade Log'!$K$4:$K$503,'Trade Log'!$H$4:$H$503,$A224))</f>
        <v>0</v>
      </c>
      <c r="O224" s="42" t="str">
        <f aca="false">IF(OR($A224="",$H224="",Config!$B$4=0),"",$H224/Config!$B$4)</f>
        <v/>
      </c>
      <c r="P224" s="40" t="n">
        <f aca="false">IF($A224="","",SUM($H$205:$H224))</f>
        <v>0</v>
      </c>
      <c r="Q224" s="53" t="str">
        <f aca="false">IF($A224="","",IFERROR((AVERAGE($O$205:$O224)-Config!$B$7/Config!$B$6)/STDEV($O$205:$O224)*SQRT(Config!$B$6),""))</f>
        <v/>
      </c>
      <c r="R224" s="53" t="str">
        <f aca="false">IF($A224="","",IFERROR((AVERAGE($O$165:$O224)-Config!$B$7/Config!$B$6)/STDEV($O$165:$O224)*SQRT(Config!$B$6),""))</f>
        <v/>
      </c>
      <c r="S224" s="47" t="n">
        <f aca="false">IF($H224="",$S223,IF($H224&gt;0,$S223+1,0))</f>
        <v>1</v>
      </c>
      <c r="T224" s="47" t="n">
        <f aca="false">IF($H224="",$T223,IF($H224&lt;0,$T223+1,0))</f>
        <v>0</v>
      </c>
    </row>
    <row r="225" customFormat="false" ht="15" hidden="false" customHeight="false" outlineLevel="0" collapsed="false">
      <c r="A225" s="54" t="n">
        <f aca="false">IF($A224="","",$A224+1)</f>
        <v>46456</v>
      </c>
      <c r="B225" s="5" t="str">
        <f aca="false">IF($A225="","",TEXT($A225,"ddd"))</f>
        <v>Wed</v>
      </c>
      <c r="C225" s="41" t="n">
        <f aca="false">IF($A225="","",COUNTIFS('Trade Log'!$L$4:$L$503,$A225))</f>
        <v>0</v>
      </c>
      <c r="D225" s="40" t="n">
        <f aca="false">IF($A225="","",SUMIFS('Trade Log'!$Q$4:$Q$503,'Trade Log'!$L$4:$L$503,$A225,'Trade Log'!$E$4:$E$503,"LONG"))</f>
        <v>0</v>
      </c>
      <c r="E225" s="40" t="n">
        <f aca="false">IF($A225="","",SUMIFS('Trade Log'!$Q$4:$Q$503,'Trade Log'!$L$4:$L$503,$A225,'Trade Log'!$E$4:$E$503,"SHORT"))</f>
        <v>0</v>
      </c>
      <c r="F225" s="40" t="n">
        <f aca="false">IF($A225="","",$D225+$E225)</f>
        <v>0</v>
      </c>
      <c r="G225" s="40" t="n">
        <f aca="false">IF($A225="","",SUMIFS('Trade Log'!$Y$4:$Y$503,'Trade Log'!$L$4:$L$503,$A225))</f>
        <v>0</v>
      </c>
      <c r="H225" s="40" t="str">
        <f aca="false">IF($A225="","",IF($C225=0,"",$F225-$G225))</f>
        <v/>
      </c>
      <c r="I225" s="40" t="n">
        <f aca="false">IF($A225="","",$I224+IF($H225="",0,$H225))</f>
        <v>23918.5521880349</v>
      </c>
      <c r="J225" s="40" t="n">
        <f aca="false">IF($A225="","",Config!$B$4+$I225)</f>
        <v>1023918.55218803</v>
      </c>
      <c r="K225" s="40" t="n">
        <f aca="false">IF($A225="","",MAX($J$4:$J225))</f>
        <v>1023918.55218803</v>
      </c>
      <c r="L225" s="40" t="n">
        <f aca="false">IF($A225="","",$J225-$K225)</f>
        <v>0</v>
      </c>
      <c r="M225" s="42" t="n">
        <f aca="false">IF(OR($A225="",$K225=0),"",$L225/$K225)</f>
        <v>0</v>
      </c>
      <c r="N225" s="40" t="n">
        <f aca="false">IF($A225="","",SUMIFS('Trade Log'!$K$4:$K$503,'Trade Log'!$H$4:$H$503,$A225))</f>
        <v>0</v>
      </c>
      <c r="O225" s="42" t="str">
        <f aca="false">IF(OR($A225="",$H225="",Config!$B$4=0),"",$H225/Config!$B$4)</f>
        <v/>
      </c>
      <c r="P225" s="40" t="n">
        <f aca="false">IF($A225="","",SUM($H$206:$H225))</f>
        <v>0</v>
      </c>
      <c r="Q225" s="53" t="str">
        <f aca="false">IF($A225="","",IFERROR((AVERAGE($O$206:$O225)-Config!$B$7/Config!$B$6)/STDEV($O$206:$O225)*SQRT(Config!$B$6),""))</f>
        <v/>
      </c>
      <c r="R225" s="53" t="str">
        <f aca="false">IF($A225="","",IFERROR((AVERAGE($O$166:$O225)-Config!$B$7/Config!$B$6)/STDEV($O$166:$O225)*SQRT(Config!$B$6),""))</f>
        <v/>
      </c>
      <c r="S225" s="47" t="n">
        <f aca="false">IF($H225="",$S224,IF($H225&gt;0,$S224+1,0))</f>
        <v>1</v>
      </c>
      <c r="T225" s="47" t="n">
        <f aca="false">IF($H225="",$T224,IF($H225&lt;0,$T224+1,0))</f>
        <v>0</v>
      </c>
    </row>
    <row r="226" customFormat="false" ht="15" hidden="false" customHeight="false" outlineLevel="0" collapsed="false">
      <c r="A226" s="54" t="n">
        <f aca="false">IF($A225="","",$A225+1)</f>
        <v>46457</v>
      </c>
      <c r="B226" s="5" t="str">
        <f aca="false">IF($A226="","",TEXT($A226,"ddd"))</f>
        <v>Thu</v>
      </c>
      <c r="C226" s="41" t="n">
        <f aca="false">IF($A226="","",COUNTIFS('Trade Log'!$L$4:$L$503,$A226))</f>
        <v>0</v>
      </c>
      <c r="D226" s="40" t="n">
        <f aca="false">IF($A226="","",SUMIFS('Trade Log'!$Q$4:$Q$503,'Trade Log'!$L$4:$L$503,$A226,'Trade Log'!$E$4:$E$503,"LONG"))</f>
        <v>0</v>
      </c>
      <c r="E226" s="40" t="n">
        <f aca="false">IF($A226="","",SUMIFS('Trade Log'!$Q$4:$Q$503,'Trade Log'!$L$4:$L$503,$A226,'Trade Log'!$E$4:$E$503,"SHORT"))</f>
        <v>0</v>
      </c>
      <c r="F226" s="40" t="n">
        <f aca="false">IF($A226="","",$D226+$E226)</f>
        <v>0</v>
      </c>
      <c r="G226" s="40" t="n">
        <f aca="false">IF($A226="","",SUMIFS('Trade Log'!$Y$4:$Y$503,'Trade Log'!$L$4:$L$503,$A226))</f>
        <v>0</v>
      </c>
      <c r="H226" s="40" t="str">
        <f aca="false">IF($A226="","",IF($C226=0,"",$F226-$G226))</f>
        <v/>
      </c>
      <c r="I226" s="40" t="n">
        <f aca="false">IF($A226="","",$I225+IF($H226="",0,$H226))</f>
        <v>23918.5521880349</v>
      </c>
      <c r="J226" s="40" t="n">
        <f aca="false">IF($A226="","",Config!$B$4+$I226)</f>
        <v>1023918.55218803</v>
      </c>
      <c r="K226" s="40" t="n">
        <f aca="false">IF($A226="","",MAX($J$4:$J226))</f>
        <v>1023918.55218803</v>
      </c>
      <c r="L226" s="40" t="n">
        <f aca="false">IF($A226="","",$J226-$K226)</f>
        <v>0</v>
      </c>
      <c r="M226" s="42" t="n">
        <f aca="false">IF(OR($A226="",$K226=0),"",$L226/$K226)</f>
        <v>0</v>
      </c>
      <c r="N226" s="40" t="n">
        <f aca="false">IF($A226="","",SUMIFS('Trade Log'!$K$4:$K$503,'Trade Log'!$H$4:$H$503,$A226))</f>
        <v>0</v>
      </c>
      <c r="O226" s="42" t="str">
        <f aca="false">IF(OR($A226="",$H226="",Config!$B$4=0),"",$H226/Config!$B$4)</f>
        <v/>
      </c>
      <c r="P226" s="40" t="n">
        <f aca="false">IF($A226="","",SUM($H$207:$H226))</f>
        <v>0</v>
      </c>
      <c r="Q226" s="53" t="str">
        <f aca="false">IF($A226="","",IFERROR((AVERAGE($O$207:$O226)-Config!$B$7/Config!$B$6)/STDEV($O$207:$O226)*SQRT(Config!$B$6),""))</f>
        <v/>
      </c>
      <c r="R226" s="53" t="str">
        <f aca="false">IF($A226="","",IFERROR((AVERAGE($O$167:$O226)-Config!$B$7/Config!$B$6)/STDEV($O$167:$O226)*SQRT(Config!$B$6),""))</f>
        <v/>
      </c>
      <c r="S226" s="47" t="n">
        <f aca="false">IF($H226="",$S225,IF($H226&gt;0,$S225+1,0))</f>
        <v>1</v>
      </c>
      <c r="T226" s="47" t="n">
        <f aca="false">IF($H226="",$T225,IF($H226&lt;0,$T225+1,0))</f>
        <v>0</v>
      </c>
    </row>
    <row r="227" customFormat="false" ht="15" hidden="false" customHeight="false" outlineLevel="0" collapsed="false">
      <c r="A227" s="54" t="n">
        <f aca="false">IF($A226="","",$A226+1)</f>
        <v>46458</v>
      </c>
      <c r="B227" s="5" t="str">
        <f aca="false">IF($A227="","",TEXT($A227,"ddd"))</f>
        <v>Fri</v>
      </c>
      <c r="C227" s="41" t="n">
        <f aca="false">IF($A227="","",COUNTIFS('Trade Log'!$L$4:$L$503,$A227))</f>
        <v>0</v>
      </c>
      <c r="D227" s="40" t="n">
        <f aca="false">IF($A227="","",SUMIFS('Trade Log'!$Q$4:$Q$503,'Trade Log'!$L$4:$L$503,$A227,'Trade Log'!$E$4:$E$503,"LONG"))</f>
        <v>0</v>
      </c>
      <c r="E227" s="40" t="n">
        <f aca="false">IF($A227="","",SUMIFS('Trade Log'!$Q$4:$Q$503,'Trade Log'!$L$4:$L$503,$A227,'Trade Log'!$E$4:$E$503,"SHORT"))</f>
        <v>0</v>
      </c>
      <c r="F227" s="40" t="n">
        <f aca="false">IF($A227="","",$D227+$E227)</f>
        <v>0</v>
      </c>
      <c r="G227" s="40" t="n">
        <f aca="false">IF($A227="","",SUMIFS('Trade Log'!$Y$4:$Y$503,'Trade Log'!$L$4:$L$503,$A227))</f>
        <v>0</v>
      </c>
      <c r="H227" s="40" t="str">
        <f aca="false">IF($A227="","",IF($C227=0,"",$F227-$G227))</f>
        <v/>
      </c>
      <c r="I227" s="40" t="n">
        <f aca="false">IF($A227="","",$I226+IF($H227="",0,$H227))</f>
        <v>23918.5521880349</v>
      </c>
      <c r="J227" s="40" t="n">
        <f aca="false">IF($A227="","",Config!$B$4+$I227)</f>
        <v>1023918.55218803</v>
      </c>
      <c r="K227" s="40" t="n">
        <f aca="false">IF($A227="","",MAX($J$4:$J227))</f>
        <v>1023918.55218803</v>
      </c>
      <c r="L227" s="40" t="n">
        <f aca="false">IF($A227="","",$J227-$K227)</f>
        <v>0</v>
      </c>
      <c r="M227" s="42" t="n">
        <f aca="false">IF(OR($A227="",$K227=0),"",$L227/$K227)</f>
        <v>0</v>
      </c>
      <c r="N227" s="40" t="n">
        <f aca="false">IF($A227="","",SUMIFS('Trade Log'!$K$4:$K$503,'Trade Log'!$H$4:$H$503,$A227))</f>
        <v>0</v>
      </c>
      <c r="O227" s="42" t="str">
        <f aca="false">IF(OR($A227="",$H227="",Config!$B$4=0),"",$H227/Config!$B$4)</f>
        <v/>
      </c>
      <c r="P227" s="40" t="n">
        <f aca="false">IF($A227="","",SUM($H$208:$H227))</f>
        <v>0</v>
      </c>
      <c r="Q227" s="53" t="str">
        <f aca="false">IF($A227="","",IFERROR((AVERAGE($O$208:$O227)-Config!$B$7/Config!$B$6)/STDEV($O$208:$O227)*SQRT(Config!$B$6),""))</f>
        <v/>
      </c>
      <c r="R227" s="53" t="str">
        <f aca="false">IF($A227="","",IFERROR((AVERAGE($O$168:$O227)-Config!$B$7/Config!$B$6)/STDEV($O$168:$O227)*SQRT(Config!$B$6),""))</f>
        <v/>
      </c>
      <c r="S227" s="47" t="n">
        <f aca="false">IF($H227="",$S226,IF($H227&gt;0,$S226+1,0))</f>
        <v>1</v>
      </c>
      <c r="T227" s="47" t="n">
        <f aca="false">IF($H227="",$T226,IF($H227&lt;0,$T226+1,0))</f>
        <v>0</v>
      </c>
    </row>
    <row r="228" customFormat="false" ht="15" hidden="false" customHeight="false" outlineLevel="0" collapsed="false">
      <c r="A228" s="54" t="n">
        <f aca="false">IF($A227="","",$A227+1)</f>
        <v>46459</v>
      </c>
      <c r="B228" s="5" t="str">
        <f aca="false">IF($A228="","",TEXT($A228,"ddd"))</f>
        <v>Sat</v>
      </c>
      <c r="C228" s="41" t="n">
        <f aca="false">IF($A228="","",COUNTIFS('Trade Log'!$L$4:$L$503,$A228))</f>
        <v>0</v>
      </c>
      <c r="D228" s="40" t="n">
        <f aca="false">IF($A228="","",SUMIFS('Trade Log'!$Q$4:$Q$503,'Trade Log'!$L$4:$L$503,$A228,'Trade Log'!$E$4:$E$503,"LONG"))</f>
        <v>0</v>
      </c>
      <c r="E228" s="40" t="n">
        <f aca="false">IF($A228="","",SUMIFS('Trade Log'!$Q$4:$Q$503,'Trade Log'!$L$4:$L$503,$A228,'Trade Log'!$E$4:$E$503,"SHORT"))</f>
        <v>0</v>
      </c>
      <c r="F228" s="40" t="n">
        <f aca="false">IF($A228="","",$D228+$E228)</f>
        <v>0</v>
      </c>
      <c r="G228" s="40" t="n">
        <f aca="false">IF($A228="","",SUMIFS('Trade Log'!$Y$4:$Y$503,'Trade Log'!$L$4:$L$503,$A228))</f>
        <v>0</v>
      </c>
      <c r="H228" s="40" t="str">
        <f aca="false">IF($A228="","",IF($C228=0,"",$F228-$G228))</f>
        <v/>
      </c>
      <c r="I228" s="40" t="n">
        <f aca="false">IF($A228="","",$I227+IF($H228="",0,$H228))</f>
        <v>23918.5521880349</v>
      </c>
      <c r="J228" s="40" t="n">
        <f aca="false">IF($A228="","",Config!$B$4+$I228)</f>
        <v>1023918.55218803</v>
      </c>
      <c r="K228" s="40" t="n">
        <f aca="false">IF($A228="","",MAX($J$4:$J228))</f>
        <v>1023918.55218803</v>
      </c>
      <c r="L228" s="40" t="n">
        <f aca="false">IF($A228="","",$J228-$K228)</f>
        <v>0</v>
      </c>
      <c r="M228" s="42" t="n">
        <f aca="false">IF(OR($A228="",$K228=0),"",$L228/$K228)</f>
        <v>0</v>
      </c>
      <c r="N228" s="40" t="n">
        <f aca="false">IF($A228="","",SUMIFS('Trade Log'!$K$4:$K$503,'Trade Log'!$H$4:$H$503,$A228))</f>
        <v>0</v>
      </c>
      <c r="O228" s="42" t="str">
        <f aca="false">IF(OR($A228="",$H228="",Config!$B$4=0),"",$H228/Config!$B$4)</f>
        <v/>
      </c>
      <c r="P228" s="40" t="n">
        <f aca="false">IF($A228="","",SUM($H$209:$H228))</f>
        <v>0</v>
      </c>
      <c r="Q228" s="53" t="str">
        <f aca="false">IF($A228="","",IFERROR((AVERAGE($O$209:$O228)-Config!$B$7/Config!$B$6)/STDEV($O$209:$O228)*SQRT(Config!$B$6),""))</f>
        <v/>
      </c>
      <c r="R228" s="53" t="str">
        <f aca="false">IF($A228="","",IFERROR((AVERAGE($O$169:$O228)-Config!$B$7/Config!$B$6)/STDEV($O$169:$O228)*SQRT(Config!$B$6),""))</f>
        <v/>
      </c>
      <c r="S228" s="47" t="n">
        <f aca="false">IF($H228="",$S227,IF($H228&gt;0,$S227+1,0))</f>
        <v>1</v>
      </c>
      <c r="T228" s="47" t="n">
        <f aca="false">IF($H228="",$T227,IF($H228&lt;0,$T227+1,0))</f>
        <v>0</v>
      </c>
    </row>
    <row r="229" customFormat="false" ht="15" hidden="false" customHeight="false" outlineLevel="0" collapsed="false">
      <c r="A229" s="54" t="n">
        <f aca="false">IF($A228="","",$A228+1)</f>
        <v>46460</v>
      </c>
      <c r="B229" s="5" t="str">
        <f aca="false">IF($A229="","",TEXT($A229,"ddd"))</f>
        <v>Sun</v>
      </c>
      <c r="C229" s="41" t="n">
        <f aca="false">IF($A229="","",COUNTIFS('Trade Log'!$L$4:$L$503,$A229))</f>
        <v>0</v>
      </c>
      <c r="D229" s="40" t="n">
        <f aca="false">IF($A229="","",SUMIFS('Trade Log'!$Q$4:$Q$503,'Trade Log'!$L$4:$L$503,$A229,'Trade Log'!$E$4:$E$503,"LONG"))</f>
        <v>0</v>
      </c>
      <c r="E229" s="40" t="n">
        <f aca="false">IF($A229="","",SUMIFS('Trade Log'!$Q$4:$Q$503,'Trade Log'!$L$4:$L$503,$A229,'Trade Log'!$E$4:$E$503,"SHORT"))</f>
        <v>0</v>
      </c>
      <c r="F229" s="40" t="n">
        <f aca="false">IF($A229="","",$D229+$E229)</f>
        <v>0</v>
      </c>
      <c r="G229" s="40" t="n">
        <f aca="false">IF($A229="","",SUMIFS('Trade Log'!$Y$4:$Y$503,'Trade Log'!$L$4:$L$503,$A229))</f>
        <v>0</v>
      </c>
      <c r="H229" s="40" t="str">
        <f aca="false">IF($A229="","",IF($C229=0,"",$F229-$G229))</f>
        <v/>
      </c>
      <c r="I229" s="40" t="n">
        <f aca="false">IF($A229="","",$I228+IF($H229="",0,$H229))</f>
        <v>23918.5521880349</v>
      </c>
      <c r="J229" s="40" t="n">
        <f aca="false">IF($A229="","",Config!$B$4+$I229)</f>
        <v>1023918.55218803</v>
      </c>
      <c r="K229" s="40" t="n">
        <f aca="false">IF($A229="","",MAX($J$4:$J229))</f>
        <v>1023918.55218803</v>
      </c>
      <c r="L229" s="40" t="n">
        <f aca="false">IF($A229="","",$J229-$K229)</f>
        <v>0</v>
      </c>
      <c r="M229" s="42" t="n">
        <f aca="false">IF(OR($A229="",$K229=0),"",$L229/$K229)</f>
        <v>0</v>
      </c>
      <c r="N229" s="40" t="n">
        <f aca="false">IF($A229="","",SUMIFS('Trade Log'!$K$4:$K$503,'Trade Log'!$H$4:$H$503,$A229))</f>
        <v>0</v>
      </c>
      <c r="O229" s="42" t="str">
        <f aca="false">IF(OR($A229="",$H229="",Config!$B$4=0),"",$H229/Config!$B$4)</f>
        <v/>
      </c>
      <c r="P229" s="40" t="n">
        <f aca="false">IF($A229="","",SUM($H$210:$H229))</f>
        <v>0</v>
      </c>
      <c r="Q229" s="53" t="str">
        <f aca="false">IF($A229="","",IFERROR((AVERAGE($O$210:$O229)-Config!$B$7/Config!$B$6)/STDEV($O$210:$O229)*SQRT(Config!$B$6),""))</f>
        <v/>
      </c>
      <c r="R229" s="53" t="str">
        <f aca="false">IF($A229="","",IFERROR((AVERAGE($O$170:$O229)-Config!$B$7/Config!$B$6)/STDEV($O$170:$O229)*SQRT(Config!$B$6),""))</f>
        <v/>
      </c>
      <c r="S229" s="47" t="n">
        <f aca="false">IF($H229="",$S228,IF($H229&gt;0,$S228+1,0))</f>
        <v>1</v>
      </c>
      <c r="T229" s="47" t="n">
        <f aca="false">IF($H229="",$T228,IF($H229&lt;0,$T228+1,0))</f>
        <v>0</v>
      </c>
    </row>
    <row r="230" customFormat="false" ht="15" hidden="false" customHeight="false" outlineLevel="0" collapsed="false">
      <c r="A230" s="54" t="n">
        <f aca="false">IF($A229="","",$A229+1)</f>
        <v>46461</v>
      </c>
      <c r="B230" s="5" t="str">
        <f aca="false">IF($A230="","",TEXT($A230,"ddd"))</f>
        <v>Mon</v>
      </c>
      <c r="C230" s="41" t="n">
        <f aca="false">IF($A230="","",COUNTIFS('Trade Log'!$L$4:$L$503,$A230))</f>
        <v>0</v>
      </c>
      <c r="D230" s="40" t="n">
        <f aca="false">IF($A230="","",SUMIFS('Trade Log'!$Q$4:$Q$503,'Trade Log'!$L$4:$L$503,$A230,'Trade Log'!$E$4:$E$503,"LONG"))</f>
        <v>0</v>
      </c>
      <c r="E230" s="40" t="n">
        <f aca="false">IF($A230="","",SUMIFS('Trade Log'!$Q$4:$Q$503,'Trade Log'!$L$4:$L$503,$A230,'Trade Log'!$E$4:$E$503,"SHORT"))</f>
        <v>0</v>
      </c>
      <c r="F230" s="40" t="n">
        <f aca="false">IF($A230="","",$D230+$E230)</f>
        <v>0</v>
      </c>
      <c r="G230" s="40" t="n">
        <f aca="false">IF($A230="","",SUMIFS('Trade Log'!$Y$4:$Y$503,'Trade Log'!$L$4:$L$503,$A230))</f>
        <v>0</v>
      </c>
      <c r="H230" s="40" t="str">
        <f aca="false">IF($A230="","",IF($C230=0,"",$F230-$G230))</f>
        <v/>
      </c>
      <c r="I230" s="40" t="n">
        <f aca="false">IF($A230="","",$I229+IF($H230="",0,$H230))</f>
        <v>23918.5521880349</v>
      </c>
      <c r="J230" s="40" t="n">
        <f aca="false">IF($A230="","",Config!$B$4+$I230)</f>
        <v>1023918.55218803</v>
      </c>
      <c r="K230" s="40" t="n">
        <f aca="false">IF($A230="","",MAX($J$4:$J230))</f>
        <v>1023918.55218803</v>
      </c>
      <c r="L230" s="40" t="n">
        <f aca="false">IF($A230="","",$J230-$K230)</f>
        <v>0</v>
      </c>
      <c r="M230" s="42" t="n">
        <f aca="false">IF(OR($A230="",$K230=0),"",$L230/$K230)</f>
        <v>0</v>
      </c>
      <c r="N230" s="40" t="n">
        <f aca="false">IF($A230="","",SUMIFS('Trade Log'!$K$4:$K$503,'Trade Log'!$H$4:$H$503,$A230))</f>
        <v>0</v>
      </c>
      <c r="O230" s="42" t="str">
        <f aca="false">IF(OR($A230="",$H230="",Config!$B$4=0),"",$H230/Config!$B$4)</f>
        <v/>
      </c>
      <c r="P230" s="40" t="n">
        <f aca="false">IF($A230="","",SUM($H$211:$H230))</f>
        <v>0</v>
      </c>
      <c r="Q230" s="53" t="str">
        <f aca="false">IF($A230="","",IFERROR((AVERAGE($O$211:$O230)-Config!$B$7/Config!$B$6)/STDEV($O$211:$O230)*SQRT(Config!$B$6),""))</f>
        <v/>
      </c>
      <c r="R230" s="53" t="str">
        <f aca="false">IF($A230="","",IFERROR((AVERAGE($O$171:$O230)-Config!$B$7/Config!$B$6)/STDEV($O$171:$O230)*SQRT(Config!$B$6),""))</f>
        <v/>
      </c>
      <c r="S230" s="47" t="n">
        <f aca="false">IF($H230="",$S229,IF($H230&gt;0,$S229+1,0))</f>
        <v>1</v>
      </c>
      <c r="T230" s="47" t="n">
        <f aca="false">IF($H230="",$T229,IF($H230&lt;0,$T229+1,0))</f>
        <v>0</v>
      </c>
    </row>
    <row r="231" customFormat="false" ht="15" hidden="false" customHeight="false" outlineLevel="0" collapsed="false">
      <c r="A231" s="54" t="n">
        <f aca="false">IF($A230="","",$A230+1)</f>
        <v>46462</v>
      </c>
      <c r="B231" s="5" t="str">
        <f aca="false">IF($A231="","",TEXT($A231,"ddd"))</f>
        <v>Tue</v>
      </c>
      <c r="C231" s="41" t="n">
        <f aca="false">IF($A231="","",COUNTIFS('Trade Log'!$L$4:$L$503,$A231))</f>
        <v>0</v>
      </c>
      <c r="D231" s="40" t="n">
        <f aca="false">IF($A231="","",SUMIFS('Trade Log'!$Q$4:$Q$503,'Trade Log'!$L$4:$L$503,$A231,'Trade Log'!$E$4:$E$503,"LONG"))</f>
        <v>0</v>
      </c>
      <c r="E231" s="40" t="n">
        <f aca="false">IF($A231="","",SUMIFS('Trade Log'!$Q$4:$Q$503,'Trade Log'!$L$4:$L$503,$A231,'Trade Log'!$E$4:$E$503,"SHORT"))</f>
        <v>0</v>
      </c>
      <c r="F231" s="40" t="n">
        <f aca="false">IF($A231="","",$D231+$E231)</f>
        <v>0</v>
      </c>
      <c r="G231" s="40" t="n">
        <f aca="false">IF($A231="","",SUMIFS('Trade Log'!$Y$4:$Y$503,'Trade Log'!$L$4:$L$503,$A231))</f>
        <v>0</v>
      </c>
      <c r="H231" s="40" t="str">
        <f aca="false">IF($A231="","",IF($C231=0,"",$F231-$G231))</f>
        <v/>
      </c>
      <c r="I231" s="40" t="n">
        <f aca="false">IF($A231="","",$I230+IF($H231="",0,$H231))</f>
        <v>23918.5521880349</v>
      </c>
      <c r="J231" s="40" t="n">
        <f aca="false">IF($A231="","",Config!$B$4+$I231)</f>
        <v>1023918.55218803</v>
      </c>
      <c r="K231" s="40" t="n">
        <f aca="false">IF($A231="","",MAX($J$4:$J231))</f>
        <v>1023918.55218803</v>
      </c>
      <c r="L231" s="40" t="n">
        <f aca="false">IF($A231="","",$J231-$K231)</f>
        <v>0</v>
      </c>
      <c r="M231" s="42" t="n">
        <f aca="false">IF(OR($A231="",$K231=0),"",$L231/$K231)</f>
        <v>0</v>
      </c>
      <c r="N231" s="40" t="n">
        <f aca="false">IF($A231="","",SUMIFS('Trade Log'!$K$4:$K$503,'Trade Log'!$H$4:$H$503,$A231))</f>
        <v>0</v>
      </c>
      <c r="O231" s="42" t="str">
        <f aca="false">IF(OR($A231="",$H231="",Config!$B$4=0),"",$H231/Config!$B$4)</f>
        <v/>
      </c>
      <c r="P231" s="40" t="n">
        <f aca="false">IF($A231="","",SUM($H$212:$H231))</f>
        <v>0</v>
      </c>
      <c r="Q231" s="53" t="str">
        <f aca="false">IF($A231="","",IFERROR((AVERAGE($O$212:$O231)-Config!$B$7/Config!$B$6)/STDEV($O$212:$O231)*SQRT(Config!$B$6),""))</f>
        <v/>
      </c>
      <c r="R231" s="53" t="str">
        <f aca="false">IF($A231="","",IFERROR((AVERAGE($O$172:$O231)-Config!$B$7/Config!$B$6)/STDEV($O$172:$O231)*SQRT(Config!$B$6),""))</f>
        <v/>
      </c>
      <c r="S231" s="47" t="n">
        <f aca="false">IF($H231="",$S230,IF($H231&gt;0,$S230+1,0))</f>
        <v>1</v>
      </c>
      <c r="T231" s="47" t="n">
        <f aca="false">IF($H231="",$T230,IF($H231&lt;0,$T230+1,0))</f>
        <v>0</v>
      </c>
    </row>
    <row r="232" customFormat="false" ht="15" hidden="false" customHeight="false" outlineLevel="0" collapsed="false">
      <c r="A232" s="54" t="n">
        <f aca="false">IF($A231="","",$A231+1)</f>
        <v>46463</v>
      </c>
      <c r="B232" s="5" t="str">
        <f aca="false">IF($A232="","",TEXT($A232,"ddd"))</f>
        <v>Wed</v>
      </c>
      <c r="C232" s="41" t="n">
        <f aca="false">IF($A232="","",COUNTIFS('Trade Log'!$L$4:$L$503,$A232))</f>
        <v>0</v>
      </c>
      <c r="D232" s="40" t="n">
        <f aca="false">IF($A232="","",SUMIFS('Trade Log'!$Q$4:$Q$503,'Trade Log'!$L$4:$L$503,$A232,'Trade Log'!$E$4:$E$503,"LONG"))</f>
        <v>0</v>
      </c>
      <c r="E232" s="40" t="n">
        <f aca="false">IF($A232="","",SUMIFS('Trade Log'!$Q$4:$Q$503,'Trade Log'!$L$4:$L$503,$A232,'Trade Log'!$E$4:$E$503,"SHORT"))</f>
        <v>0</v>
      </c>
      <c r="F232" s="40" t="n">
        <f aca="false">IF($A232="","",$D232+$E232)</f>
        <v>0</v>
      </c>
      <c r="G232" s="40" t="n">
        <f aca="false">IF($A232="","",SUMIFS('Trade Log'!$Y$4:$Y$503,'Trade Log'!$L$4:$L$503,$A232))</f>
        <v>0</v>
      </c>
      <c r="H232" s="40" t="str">
        <f aca="false">IF($A232="","",IF($C232=0,"",$F232-$G232))</f>
        <v/>
      </c>
      <c r="I232" s="40" t="n">
        <f aca="false">IF($A232="","",$I231+IF($H232="",0,$H232))</f>
        <v>23918.5521880349</v>
      </c>
      <c r="J232" s="40" t="n">
        <f aca="false">IF($A232="","",Config!$B$4+$I232)</f>
        <v>1023918.55218803</v>
      </c>
      <c r="K232" s="40" t="n">
        <f aca="false">IF($A232="","",MAX($J$4:$J232))</f>
        <v>1023918.55218803</v>
      </c>
      <c r="L232" s="40" t="n">
        <f aca="false">IF($A232="","",$J232-$K232)</f>
        <v>0</v>
      </c>
      <c r="M232" s="42" t="n">
        <f aca="false">IF(OR($A232="",$K232=0),"",$L232/$K232)</f>
        <v>0</v>
      </c>
      <c r="N232" s="40" t="n">
        <f aca="false">IF($A232="","",SUMIFS('Trade Log'!$K$4:$K$503,'Trade Log'!$H$4:$H$503,$A232))</f>
        <v>0</v>
      </c>
      <c r="O232" s="42" t="str">
        <f aca="false">IF(OR($A232="",$H232="",Config!$B$4=0),"",$H232/Config!$B$4)</f>
        <v/>
      </c>
      <c r="P232" s="40" t="n">
        <f aca="false">IF($A232="","",SUM($H$213:$H232))</f>
        <v>0</v>
      </c>
      <c r="Q232" s="53" t="str">
        <f aca="false">IF($A232="","",IFERROR((AVERAGE($O$213:$O232)-Config!$B$7/Config!$B$6)/STDEV($O$213:$O232)*SQRT(Config!$B$6),""))</f>
        <v/>
      </c>
      <c r="R232" s="53" t="str">
        <f aca="false">IF($A232="","",IFERROR((AVERAGE($O$173:$O232)-Config!$B$7/Config!$B$6)/STDEV($O$173:$O232)*SQRT(Config!$B$6),""))</f>
        <v/>
      </c>
      <c r="S232" s="47" t="n">
        <f aca="false">IF($H232="",$S231,IF($H232&gt;0,$S231+1,0))</f>
        <v>1</v>
      </c>
      <c r="T232" s="47" t="n">
        <f aca="false">IF($H232="",$T231,IF($H232&lt;0,$T231+1,0))</f>
        <v>0</v>
      </c>
    </row>
    <row r="233" customFormat="false" ht="15" hidden="false" customHeight="false" outlineLevel="0" collapsed="false">
      <c r="A233" s="54" t="n">
        <f aca="false">IF($A232="","",$A232+1)</f>
        <v>46464</v>
      </c>
      <c r="B233" s="5" t="str">
        <f aca="false">IF($A233="","",TEXT($A233,"ddd"))</f>
        <v>Thu</v>
      </c>
      <c r="C233" s="41" t="n">
        <f aca="false">IF($A233="","",COUNTIFS('Trade Log'!$L$4:$L$503,$A233))</f>
        <v>0</v>
      </c>
      <c r="D233" s="40" t="n">
        <f aca="false">IF($A233="","",SUMIFS('Trade Log'!$Q$4:$Q$503,'Trade Log'!$L$4:$L$503,$A233,'Trade Log'!$E$4:$E$503,"LONG"))</f>
        <v>0</v>
      </c>
      <c r="E233" s="40" t="n">
        <f aca="false">IF($A233="","",SUMIFS('Trade Log'!$Q$4:$Q$503,'Trade Log'!$L$4:$L$503,$A233,'Trade Log'!$E$4:$E$503,"SHORT"))</f>
        <v>0</v>
      </c>
      <c r="F233" s="40" t="n">
        <f aca="false">IF($A233="","",$D233+$E233)</f>
        <v>0</v>
      </c>
      <c r="G233" s="40" t="n">
        <f aca="false">IF($A233="","",SUMIFS('Trade Log'!$Y$4:$Y$503,'Trade Log'!$L$4:$L$503,$A233))</f>
        <v>0</v>
      </c>
      <c r="H233" s="40" t="str">
        <f aca="false">IF($A233="","",IF($C233=0,"",$F233-$G233))</f>
        <v/>
      </c>
      <c r="I233" s="40" t="n">
        <f aca="false">IF($A233="","",$I232+IF($H233="",0,$H233))</f>
        <v>23918.5521880349</v>
      </c>
      <c r="J233" s="40" t="n">
        <f aca="false">IF($A233="","",Config!$B$4+$I233)</f>
        <v>1023918.55218803</v>
      </c>
      <c r="K233" s="40" t="n">
        <f aca="false">IF($A233="","",MAX($J$4:$J233))</f>
        <v>1023918.55218803</v>
      </c>
      <c r="L233" s="40" t="n">
        <f aca="false">IF($A233="","",$J233-$K233)</f>
        <v>0</v>
      </c>
      <c r="M233" s="42" t="n">
        <f aca="false">IF(OR($A233="",$K233=0),"",$L233/$K233)</f>
        <v>0</v>
      </c>
      <c r="N233" s="40" t="n">
        <f aca="false">IF($A233="","",SUMIFS('Trade Log'!$K$4:$K$503,'Trade Log'!$H$4:$H$503,$A233))</f>
        <v>0</v>
      </c>
      <c r="O233" s="42" t="str">
        <f aca="false">IF(OR($A233="",$H233="",Config!$B$4=0),"",$H233/Config!$B$4)</f>
        <v/>
      </c>
      <c r="P233" s="40" t="n">
        <f aca="false">IF($A233="","",SUM($H$214:$H233))</f>
        <v>0</v>
      </c>
      <c r="Q233" s="53" t="str">
        <f aca="false">IF($A233="","",IFERROR((AVERAGE($O$214:$O233)-Config!$B$7/Config!$B$6)/STDEV($O$214:$O233)*SQRT(Config!$B$6),""))</f>
        <v/>
      </c>
      <c r="R233" s="53" t="str">
        <f aca="false">IF($A233="","",IFERROR((AVERAGE($O$174:$O233)-Config!$B$7/Config!$B$6)/STDEV($O$174:$O233)*SQRT(Config!$B$6),""))</f>
        <v/>
      </c>
      <c r="S233" s="47" t="n">
        <f aca="false">IF($H233="",$S232,IF($H233&gt;0,$S232+1,0))</f>
        <v>1</v>
      </c>
      <c r="T233" s="47" t="n">
        <f aca="false">IF($H233="",$T232,IF($H233&lt;0,$T232+1,0))</f>
        <v>0</v>
      </c>
    </row>
    <row r="234" customFormat="false" ht="15" hidden="false" customHeight="false" outlineLevel="0" collapsed="false">
      <c r="A234" s="54" t="n">
        <f aca="false">IF($A233="","",$A233+1)</f>
        <v>46465</v>
      </c>
      <c r="B234" s="5" t="str">
        <f aca="false">IF($A234="","",TEXT($A234,"ddd"))</f>
        <v>Fri</v>
      </c>
      <c r="C234" s="41" t="n">
        <f aca="false">IF($A234="","",COUNTIFS('Trade Log'!$L$4:$L$503,$A234))</f>
        <v>0</v>
      </c>
      <c r="D234" s="40" t="n">
        <f aca="false">IF($A234="","",SUMIFS('Trade Log'!$Q$4:$Q$503,'Trade Log'!$L$4:$L$503,$A234,'Trade Log'!$E$4:$E$503,"LONG"))</f>
        <v>0</v>
      </c>
      <c r="E234" s="40" t="n">
        <f aca="false">IF($A234="","",SUMIFS('Trade Log'!$Q$4:$Q$503,'Trade Log'!$L$4:$L$503,$A234,'Trade Log'!$E$4:$E$503,"SHORT"))</f>
        <v>0</v>
      </c>
      <c r="F234" s="40" t="n">
        <f aca="false">IF($A234="","",$D234+$E234)</f>
        <v>0</v>
      </c>
      <c r="G234" s="40" t="n">
        <f aca="false">IF($A234="","",SUMIFS('Trade Log'!$Y$4:$Y$503,'Trade Log'!$L$4:$L$503,$A234))</f>
        <v>0</v>
      </c>
      <c r="H234" s="40" t="str">
        <f aca="false">IF($A234="","",IF($C234=0,"",$F234-$G234))</f>
        <v/>
      </c>
      <c r="I234" s="40" t="n">
        <f aca="false">IF($A234="","",$I233+IF($H234="",0,$H234))</f>
        <v>23918.5521880349</v>
      </c>
      <c r="J234" s="40" t="n">
        <f aca="false">IF($A234="","",Config!$B$4+$I234)</f>
        <v>1023918.55218803</v>
      </c>
      <c r="K234" s="40" t="n">
        <f aca="false">IF($A234="","",MAX($J$4:$J234))</f>
        <v>1023918.55218803</v>
      </c>
      <c r="L234" s="40" t="n">
        <f aca="false">IF($A234="","",$J234-$K234)</f>
        <v>0</v>
      </c>
      <c r="M234" s="42" t="n">
        <f aca="false">IF(OR($A234="",$K234=0),"",$L234/$K234)</f>
        <v>0</v>
      </c>
      <c r="N234" s="40" t="n">
        <f aca="false">IF($A234="","",SUMIFS('Trade Log'!$K$4:$K$503,'Trade Log'!$H$4:$H$503,$A234))</f>
        <v>0</v>
      </c>
      <c r="O234" s="42" t="str">
        <f aca="false">IF(OR($A234="",$H234="",Config!$B$4=0),"",$H234/Config!$B$4)</f>
        <v/>
      </c>
      <c r="P234" s="40" t="n">
        <f aca="false">IF($A234="","",SUM($H$215:$H234))</f>
        <v>0</v>
      </c>
      <c r="Q234" s="53" t="str">
        <f aca="false">IF($A234="","",IFERROR((AVERAGE($O$215:$O234)-Config!$B$7/Config!$B$6)/STDEV($O$215:$O234)*SQRT(Config!$B$6),""))</f>
        <v/>
      </c>
      <c r="R234" s="53" t="str">
        <f aca="false">IF($A234="","",IFERROR((AVERAGE($O$175:$O234)-Config!$B$7/Config!$B$6)/STDEV($O$175:$O234)*SQRT(Config!$B$6),""))</f>
        <v/>
      </c>
      <c r="S234" s="47" t="n">
        <f aca="false">IF($H234="",$S233,IF($H234&gt;0,$S233+1,0))</f>
        <v>1</v>
      </c>
      <c r="T234" s="47" t="n">
        <f aca="false">IF($H234="",$T233,IF($H234&lt;0,$T233+1,0))</f>
        <v>0</v>
      </c>
    </row>
    <row r="235" customFormat="false" ht="15" hidden="false" customHeight="false" outlineLevel="0" collapsed="false">
      <c r="A235" s="54" t="n">
        <f aca="false">IF($A234="","",$A234+1)</f>
        <v>46466</v>
      </c>
      <c r="B235" s="5" t="str">
        <f aca="false">IF($A235="","",TEXT($A235,"ddd"))</f>
        <v>Sat</v>
      </c>
      <c r="C235" s="41" t="n">
        <f aca="false">IF($A235="","",COUNTIFS('Trade Log'!$L$4:$L$503,$A235))</f>
        <v>0</v>
      </c>
      <c r="D235" s="40" t="n">
        <f aca="false">IF($A235="","",SUMIFS('Trade Log'!$Q$4:$Q$503,'Trade Log'!$L$4:$L$503,$A235,'Trade Log'!$E$4:$E$503,"LONG"))</f>
        <v>0</v>
      </c>
      <c r="E235" s="40" t="n">
        <f aca="false">IF($A235="","",SUMIFS('Trade Log'!$Q$4:$Q$503,'Trade Log'!$L$4:$L$503,$A235,'Trade Log'!$E$4:$E$503,"SHORT"))</f>
        <v>0</v>
      </c>
      <c r="F235" s="40" t="n">
        <f aca="false">IF($A235="","",$D235+$E235)</f>
        <v>0</v>
      </c>
      <c r="G235" s="40" t="n">
        <f aca="false">IF($A235="","",SUMIFS('Trade Log'!$Y$4:$Y$503,'Trade Log'!$L$4:$L$503,$A235))</f>
        <v>0</v>
      </c>
      <c r="H235" s="40" t="str">
        <f aca="false">IF($A235="","",IF($C235=0,"",$F235-$G235))</f>
        <v/>
      </c>
      <c r="I235" s="40" t="n">
        <f aca="false">IF($A235="","",$I234+IF($H235="",0,$H235))</f>
        <v>23918.5521880349</v>
      </c>
      <c r="J235" s="40" t="n">
        <f aca="false">IF($A235="","",Config!$B$4+$I235)</f>
        <v>1023918.55218803</v>
      </c>
      <c r="K235" s="40" t="n">
        <f aca="false">IF($A235="","",MAX($J$4:$J235))</f>
        <v>1023918.55218803</v>
      </c>
      <c r="L235" s="40" t="n">
        <f aca="false">IF($A235="","",$J235-$K235)</f>
        <v>0</v>
      </c>
      <c r="M235" s="42" t="n">
        <f aca="false">IF(OR($A235="",$K235=0),"",$L235/$K235)</f>
        <v>0</v>
      </c>
      <c r="N235" s="40" t="n">
        <f aca="false">IF($A235="","",SUMIFS('Trade Log'!$K$4:$K$503,'Trade Log'!$H$4:$H$503,$A235))</f>
        <v>0</v>
      </c>
      <c r="O235" s="42" t="str">
        <f aca="false">IF(OR($A235="",$H235="",Config!$B$4=0),"",$H235/Config!$B$4)</f>
        <v/>
      </c>
      <c r="P235" s="40" t="n">
        <f aca="false">IF($A235="","",SUM($H$216:$H235))</f>
        <v>0</v>
      </c>
      <c r="Q235" s="53" t="str">
        <f aca="false">IF($A235="","",IFERROR((AVERAGE($O$216:$O235)-Config!$B$7/Config!$B$6)/STDEV($O$216:$O235)*SQRT(Config!$B$6),""))</f>
        <v/>
      </c>
      <c r="R235" s="53" t="str">
        <f aca="false">IF($A235="","",IFERROR((AVERAGE($O$176:$O235)-Config!$B$7/Config!$B$6)/STDEV($O$176:$O235)*SQRT(Config!$B$6),""))</f>
        <v/>
      </c>
      <c r="S235" s="47" t="n">
        <f aca="false">IF($H235="",$S234,IF($H235&gt;0,$S234+1,0))</f>
        <v>1</v>
      </c>
      <c r="T235" s="47" t="n">
        <f aca="false">IF($H235="",$T234,IF($H235&lt;0,$T234+1,0))</f>
        <v>0</v>
      </c>
    </row>
    <row r="236" customFormat="false" ht="15" hidden="false" customHeight="false" outlineLevel="0" collapsed="false">
      <c r="A236" s="54" t="n">
        <f aca="false">IF($A235="","",$A235+1)</f>
        <v>46467</v>
      </c>
      <c r="B236" s="5" t="str">
        <f aca="false">IF($A236="","",TEXT($A236,"ddd"))</f>
        <v>Sun</v>
      </c>
      <c r="C236" s="41" t="n">
        <f aca="false">IF($A236="","",COUNTIFS('Trade Log'!$L$4:$L$503,$A236))</f>
        <v>0</v>
      </c>
      <c r="D236" s="40" t="n">
        <f aca="false">IF($A236="","",SUMIFS('Trade Log'!$Q$4:$Q$503,'Trade Log'!$L$4:$L$503,$A236,'Trade Log'!$E$4:$E$503,"LONG"))</f>
        <v>0</v>
      </c>
      <c r="E236" s="40" t="n">
        <f aca="false">IF($A236="","",SUMIFS('Trade Log'!$Q$4:$Q$503,'Trade Log'!$L$4:$L$503,$A236,'Trade Log'!$E$4:$E$503,"SHORT"))</f>
        <v>0</v>
      </c>
      <c r="F236" s="40" t="n">
        <f aca="false">IF($A236="","",$D236+$E236)</f>
        <v>0</v>
      </c>
      <c r="G236" s="40" t="n">
        <f aca="false">IF($A236="","",SUMIFS('Trade Log'!$Y$4:$Y$503,'Trade Log'!$L$4:$L$503,$A236))</f>
        <v>0</v>
      </c>
      <c r="H236" s="40" t="str">
        <f aca="false">IF($A236="","",IF($C236=0,"",$F236-$G236))</f>
        <v/>
      </c>
      <c r="I236" s="40" t="n">
        <f aca="false">IF($A236="","",$I235+IF($H236="",0,$H236))</f>
        <v>23918.5521880349</v>
      </c>
      <c r="J236" s="40" t="n">
        <f aca="false">IF($A236="","",Config!$B$4+$I236)</f>
        <v>1023918.55218803</v>
      </c>
      <c r="K236" s="40" t="n">
        <f aca="false">IF($A236="","",MAX($J$4:$J236))</f>
        <v>1023918.55218803</v>
      </c>
      <c r="L236" s="40" t="n">
        <f aca="false">IF($A236="","",$J236-$K236)</f>
        <v>0</v>
      </c>
      <c r="M236" s="42" t="n">
        <f aca="false">IF(OR($A236="",$K236=0),"",$L236/$K236)</f>
        <v>0</v>
      </c>
      <c r="N236" s="40" t="n">
        <f aca="false">IF($A236="","",SUMIFS('Trade Log'!$K$4:$K$503,'Trade Log'!$H$4:$H$503,$A236))</f>
        <v>0</v>
      </c>
      <c r="O236" s="42" t="str">
        <f aca="false">IF(OR($A236="",$H236="",Config!$B$4=0),"",$H236/Config!$B$4)</f>
        <v/>
      </c>
      <c r="P236" s="40" t="n">
        <f aca="false">IF($A236="","",SUM($H$217:$H236))</f>
        <v>0</v>
      </c>
      <c r="Q236" s="53" t="str">
        <f aca="false">IF($A236="","",IFERROR((AVERAGE($O$217:$O236)-Config!$B$7/Config!$B$6)/STDEV($O$217:$O236)*SQRT(Config!$B$6),""))</f>
        <v/>
      </c>
      <c r="R236" s="53" t="str">
        <f aca="false">IF($A236="","",IFERROR((AVERAGE($O$177:$O236)-Config!$B$7/Config!$B$6)/STDEV($O$177:$O236)*SQRT(Config!$B$6),""))</f>
        <v/>
      </c>
      <c r="S236" s="47" t="n">
        <f aca="false">IF($H236="",$S235,IF($H236&gt;0,$S235+1,0))</f>
        <v>1</v>
      </c>
      <c r="T236" s="47" t="n">
        <f aca="false">IF($H236="",$T235,IF($H236&lt;0,$T235+1,0))</f>
        <v>0</v>
      </c>
    </row>
    <row r="237" customFormat="false" ht="15" hidden="false" customHeight="false" outlineLevel="0" collapsed="false">
      <c r="A237" s="54" t="n">
        <f aca="false">IF($A236="","",$A236+1)</f>
        <v>46468</v>
      </c>
      <c r="B237" s="5" t="str">
        <f aca="false">IF($A237="","",TEXT($A237,"ddd"))</f>
        <v>Mon</v>
      </c>
      <c r="C237" s="41" t="n">
        <f aca="false">IF($A237="","",COUNTIFS('Trade Log'!$L$4:$L$503,$A237))</f>
        <v>0</v>
      </c>
      <c r="D237" s="40" t="n">
        <f aca="false">IF($A237="","",SUMIFS('Trade Log'!$Q$4:$Q$503,'Trade Log'!$L$4:$L$503,$A237,'Trade Log'!$E$4:$E$503,"LONG"))</f>
        <v>0</v>
      </c>
      <c r="E237" s="40" t="n">
        <f aca="false">IF($A237="","",SUMIFS('Trade Log'!$Q$4:$Q$503,'Trade Log'!$L$4:$L$503,$A237,'Trade Log'!$E$4:$E$503,"SHORT"))</f>
        <v>0</v>
      </c>
      <c r="F237" s="40" t="n">
        <f aca="false">IF($A237="","",$D237+$E237)</f>
        <v>0</v>
      </c>
      <c r="G237" s="40" t="n">
        <f aca="false">IF($A237="","",SUMIFS('Trade Log'!$Y$4:$Y$503,'Trade Log'!$L$4:$L$503,$A237))</f>
        <v>0</v>
      </c>
      <c r="H237" s="40" t="str">
        <f aca="false">IF($A237="","",IF($C237=0,"",$F237-$G237))</f>
        <v/>
      </c>
      <c r="I237" s="40" t="n">
        <f aca="false">IF($A237="","",$I236+IF($H237="",0,$H237))</f>
        <v>23918.5521880349</v>
      </c>
      <c r="J237" s="40" t="n">
        <f aca="false">IF($A237="","",Config!$B$4+$I237)</f>
        <v>1023918.55218803</v>
      </c>
      <c r="K237" s="40" t="n">
        <f aca="false">IF($A237="","",MAX($J$4:$J237))</f>
        <v>1023918.55218803</v>
      </c>
      <c r="L237" s="40" t="n">
        <f aca="false">IF($A237="","",$J237-$K237)</f>
        <v>0</v>
      </c>
      <c r="M237" s="42" t="n">
        <f aca="false">IF(OR($A237="",$K237=0),"",$L237/$K237)</f>
        <v>0</v>
      </c>
      <c r="N237" s="40" t="n">
        <f aca="false">IF($A237="","",SUMIFS('Trade Log'!$K$4:$K$503,'Trade Log'!$H$4:$H$503,$A237))</f>
        <v>0</v>
      </c>
      <c r="O237" s="42" t="str">
        <f aca="false">IF(OR($A237="",$H237="",Config!$B$4=0),"",$H237/Config!$B$4)</f>
        <v/>
      </c>
      <c r="P237" s="40" t="n">
        <f aca="false">IF($A237="","",SUM($H$218:$H237))</f>
        <v>0</v>
      </c>
      <c r="Q237" s="53" t="str">
        <f aca="false">IF($A237="","",IFERROR((AVERAGE($O$218:$O237)-Config!$B$7/Config!$B$6)/STDEV($O$218:$O237)*SQRT(Config!$B$6),""))</f>
        <v/>
      </c>
      <c r="R237" s="53" t="str">
        <f aca="false">IF($A237="","",IFERROR((AVERAGE($O$178:$O237)-Config!$B$7/Config!$B$6)/STDEV($O$178:$O237)*SQRT(Config!$B$6),""))</f>
        <v/>
      </c>
      <c r="S237" s="47" t="n">
        <f aca="false">IF($H237="",$S236,IF($H237&gt;0,$S236+1,0))</f>
        <v>1</v>
      </c>
      <c r="T237" s="47" t="n">
        <f aca="false">IF($H237="",$T236,IF($H237&lt;0,$T236+1,0))</f>
        <v>0</v>
      </c>
    </row>
    <row r="238" customFormat="false" ht="15" hidden="false" customHeight="false" outlineLevel="0" collapsed="false">
      <c r="A238" s="54" t="n">
        <f aca="false">IF($A237="","",$A237+1)</f>
        <v>46469</v>
      </c>
      <c r="B238" s="5" t="str">
        <f aca="false">IF($A238="","",TEXT($A238,"ddd"))</f>
        <v>Tue</v>
      </c>
      <c r="C238" s="41" t="n">
        <f aca="false">IF($A238="","",COUNTIFS('Trade Log'!$L$4:$L$503,$A238))</f>
        <v>0</v>
      </c>
      <c r="D238" s="40" t="n">
        <f aca="false">IF($A238="","",SUMIFS('Trade Log'!$Q$4:$Q$503,'Trade Log'!$L$4:$L$503,$A238,'Trade Log'!$E$4:$E$503,"LONG"))</f>
        <v>0</v>
      </c>
      <c r="E238" s="40" t="n">
        <f aca="false">IF($A238="","",SUMIFS('Trade Log'!$Q$4:$Q$503,'Trade Log'!$L$4:$L$503,$A238,'Trade Log'!$E$4:$E$503,"SHORT"))</f>
        <v>0</v>
      </c>
      <c r="F238" s="40" t="n">
        <f aca="false">IF($A238="","",$D238+$E238)</f>
        <v>0</v>
      </c>
      <c r="G238" s="40" t="n">
        <f aca="false">IF($A238="","",SUMIFS('Trade Log'!$Y$4:$Y$503,'Trade Log'!$L$4:$L$503,$A238))</f>
        <v>0</v>
      </c>
      <c r="H238" s="40" t="str">
        <f aca="false">IF($A238="","",IF($C238=0,"",$F238-$G238))</f>
        <v/>
      </c>
      <c r="I238" s="40" t="n">
        <f aca="false">IF($A238="","",$I237+IF($H238="",0,$H238))</f>
        <v>23918.5521880349</v>
      </c>
      <c r="J238" s="40" t="n">
        <f aca="false">IF($A238="","",Config!$B$4+$I238)</f>
        <v>1023918.55218803</v>
      </c>
      <c r="K238" s="40" t="n">
        <f aca="false">IF($A238="","",MAX($J$4:$J238))</f>
        <v>1023918.55218803</v>
      </c>
      <c r="L238" s="40" t="n">
        <f aca="false">IF($A238="","",$J238-$K238)</f>
        <v>0</v>
      </c>
      <c r="M238" s="42" t="n">
        <f aca="false">IF(OR($A238="",$K238=0),"",$L238/$K238)</f>
        <v>0</v>
      </c>
      <c r="N238" s="40" t="n">
        <f aca="false">IF($A238="","",SUMIFS('Trade Log'!$K$4:$K$503,'Trade Log'!$H$4:$H$503,$A238))</f>
        <v>0</v>
      </c>
      <c r="O238" s="42" t="str">
        <f aca="false">IF(OR($A238="",$H238="",Config!$B$4=0),"",$H238/Config!$B$4)</f>
        <v/>
      </c>
      <c r="P238" s="40" t="n">
        <f aca="false">IF($A238="","",SUM($H$219:$H238))</f>
        <v>0</v>
      </c>
      <c r="Q238" s="53" t="str">
        <f aca="false">IF($A238="","",IFERROR((AVERAGE($O$219:$O238)-Config!$B$7/Config!$B$6)/STDEV($O$219:$O238)*SQRT(Config!$B$6),""))</f>
        <v/>
      </c>
      <c r="R238" s="53" t="str">
        <f aca="false">IF($A238="","",IFERROR((AVERAGE($O$179:$O238)-Config!$B$7/Config!$B$6)/STDEV($O$179:$O238)*SQRT(Config!$B$6),""))</f>
        <v/>
      </c>
      <c r="S238" s="47" t="n">
        <f aca="false">IF($H238="",$S237,IF($H238&gt;0,$S237+1,0))</f>
        <v>1</v>
      </c>
      <c r="T238" s="47" t="n">
        <f aca="false">IF($H238="",$T237,IF($H238&lt;0,$T237+1,0))</f>
        <v>0</v>
      </c>
    </row>
    <row r="239" customFormat="false" ht="15" hidden="false" customHeight="false" outlineLevel="0" collapsed="false">
      <c r="A239" s="54" t="n">
        <f aca="false">IF($A238="","",$A238+1)</f>
        <v>46470</v>
      </c>
      <c r="B239" s="5" t="str">
        <f aca="false">IF($A239="","",TEXT($A239,"ddd"))</f>
        <v>Wed</v>
      </c>
      <c r="C239" s="41" t="n">
        <f aca="false">IF($A239="","",COUNTIFS('Trade Log'!$L$4:$L$503,$A239))</f>
        <v>0</v>
      </c>
      <c r="D239" s="40" t="n">
        <f aca="false">IF($A239="","",SUMIFS('Trade Log'!$Q$4:$Q$503,'Trade Log'!$L$4:$L$503,$A239,'Trade Log'!$E$4:$E$503,"LONG"))</f>
        <v>0</v>
      </c>
      <c r="E239" s="40" t="n">
        <f aca="false">IF($A239="","",SUMIFS('Trade Log'!$Q$4:$Q$503,'Trade Log'!$L$4:$L$503,$A239,'Trade Log'!$E$4:$E$503,"SHORT"))</f>
        <v>0</v>
      </c>
      <c r="F239" s="40" t="n">
        <f aca="false">IF($A239="","",$D239+$E239)</f>
        <v>0</v>
      </c>
      <c r="G239" s="40" t="n">
        <f aca="false">IF($A239="","",SUMIFS('Trade Log'!$Y$4:$Y$503,'Trade Log'!$L$4:$L$503,$A239))</f>
        <v>0</v>
      </c>
      <c r="H239" s="40" t="str">
        <f aca="false">IF($A239="","",IF($C239=0,"",$F239-$G239))</f>
        <v/>
      </c>
      <c r="I239" s="40" t="n">
        <f aca="false">IF($A239="","",$I238+IF($H239="",0,$H239))</f>
        <v>23918.5521880349</v>
      </c>
      <c r="J239" s="40" t="n">
        <f aca="false">IF($A239="","",Config!$B$4+$I239)</f>
        <v>1023918.55218803</v>
      </c>
      <c r="K239" s="40" t="n">
        <f aca="false">IF($A239="","",MAX($J$4:$J239))</f>
        <v>1023918.55218803</v>
      </c>
      <c r="L239" s="40" t="n">
        <f aca="false">IF($A239="","",$J239-$K239)</f>
        <v>0</v>
      </c>
      <c r="M239" s="42" t="n">
        <f aca="false">IF(OR($A239="",$K239=0),"",$L239/$K239)</f>
        <v>0</v>
      </c>
      <c r="N239" s="40" t="n">
        <f aca="false">IF($A239="","",SUMIFS('Trade Log'!$K$4:$K$503,'Trade Log'!$H$4:$H$503,$A239))</f>
        <v>0</v>
      </c>
      <c r="O239" s="42" t="str">
        <f aca="false">IF(OR($A239="",$H239="",Config!$B$4=0),"",$H239/Config!$B$4)</f>
        <v/>
      </c>
      <c r="P239" s="40" t="n">
        <f aca="false">IF($A239="","",SUM($H$220:$H239))</f>
        <v>0</v>
      </c>
      <c r="Q239" s="53" t="str">
        <f aca="false">IF($A239="","",IFERROR((AVERAGE($O$220:$O239)-Config!$B$7/Config!$B$6)/STDEV($O$220:$O239)*SQRT(Config!$B$6),""))</f>
        <v/>
      </c>
      <c r="R239" s="53" t="str">
        <f aca="false">IF($A239="","",IFERROR((AVERAGE($O$180:$O239)-Config!$B$7/Config!$B$6)/STDEV($O$180:$O239)*SQRT(Config!$B$6),""))</f>
        <v/>
      </c>
      <c r="S239" s="47" t="n">
        <f aca="false">IF($H239="",$S238,IF($H239&gt;0,$S238+1,0))</f>
        <v>1</v>
      </c>
      <c r="T239" s="47" t="n">
        <f aca="false">IF($H239="",$T238,IF($H239&lt;0,$T238+1,0))</f>
        <v>0</v>
      </c>
    </row>
    <row r="240" customFormat="false" ht="15" hidden="false" customHeight="false" outlineLevel="0" collapsed="false">
      <c r="A240" s="54" t="n">
        <f aca="false">IF($A239="","",$A239+1)</f>
        <v>46471</v>
      </c>
      <c r="B240" s="5" t="str">
        <f aca="false">IF($A240="","",TEXT($A240,"ddd"))</f>
        <v>Thu</v>
      </c>
      <c r="C240" s="41" t="n">
        <f aca="false">IF($A240="","",COUNTIFS('Trade Log'!$L$4:$L$503,$A240))</f>
        <v>0</v>
      </c>
      <c r="D240" s="40" t="n">
        <f aca="false">IF($A240="","",SUMIFS('Trade Log'!$Q$4:$Q$503,'Trade Log'!$L$4:$L$503,$A240,'Trade Log'!$E$4:$E$503,"LONG"))</f>
        <v>0</v>
      </c>
      <c r="E240" s="40" t="n">
        <f aca="false">IF($A240="","",SUMIFS('Trade Log'!$Q$4:$Q$503,'Trade Log'!$L$4:$L$503,$A240,'Trade Log'!$E$4:$E$503,"SHORT"))</f>
        <v>0</v>
      </c>
      <c r="F240" s="40" t="n">
        <f aca="false">IF($A240="","",$D240+$E240)</f>
        <v>0</v>
      </c>
      <c r="G240" s="40" t="n">
        <f aca="false">IF($A240="","",SUMIFS('Trade Log'!$Y$4:$Y$503,'Trade Log'!$L$4:$L$503,$A240))</f>
        <v>0</v>
      </c>
      <c r="H240" s="40" t="str">
        <f aca="false">IF($A240="","",IF($C240=0,"",$F240-$G240))</f>
        <v/>
      </c>
      <c r="I240" s="40" t="n">
        <f aca="false">IF($A240="","",$I239+IF($H240="",0,$H240))</f>
        <v>23918.5521880349</v>
      </c>
      <c r="J240" s="40" t="n">
        <f aca="false">IF($A240="","",Config!$B$4+$I240)</f>
        <v>1023918.55218803</v>
      </c>
      <c r="K240" s="40" t="n">
        <f aca="false">IF($A240="","",MAX($J$4:$J240))</f>
        <v>1023918.55218803</v>
      </c>
      <c r="L240" s="40" t="n">
        <f aca="false">IF($A240="","",$J240-$K240)</f>
        <v>0</v>
      </c>
      <c r="M240" s="42" t="n">
        <f aca="false">IF(OR($A240="",$K240=0),"",$L240/$K240)</f>
        <v>0</v>
      </c>
      <c r="N240" s="40" t="n">
        <f aca="false">IF($A240="","",SUMIFS('Trade Log'!$K$4:$K$503,'Trade Log'!$H$4:$H$503,$A240))</f>
        <v>0</v>
      </c>
      <c r="O240" s="42" t="str">
        <f aca="false">IF(OR($A240="",$H240="",Config!$B$4=0),"",$H240/Config!$B$4)</f>
        <v/>
      </c>
      <c r="P240" s="40" t="n">
        <f aca="false">IF($A240="","",SUM($H$221:$H240))</f>
        <v>0</v>
      </c>
      <c r="Q240" s="53" t="str">
        <f aca="false">IF($A240="","",IFERROR((AVERAGE($O$221:$O240)-Config!$B$7/Config!$B$6)/STDEV($O$221:$O240)*SQRT(Config!$B$6),""))</f>
        <v/>
      </c>
      <c r="R240" s="53" t="str">
        <f aca="false">IF($A240="","",IFERROR((AVERAGE($O$181:$O240)-Config!$B$7/Config!$B$6)/STDEV($O$181:$O240)*SQRT(Config!$B$6),""))</f>
        <v/>
      </c>
      <c r="S240" s="47" t="n">
        <f aca="false">IF($H240="",$S239,IF($H240&gt;0,$S239+1,0))</f>
        <v>1</v>
      </c>
      <c r="T240" s="47" t="n">
        <f aca="false">IF($H240="",$T239,IF($H240&lt;0,$T239+1,0))</f>
        <v>0</v>
      </c>
    </row>
    <row r="241" customFormat="false" ht="15" hidden="false" customHeight="false" outlineLevel="0" collapsed="false">
      <c r="A241" s="54" t="n">
        <f aca="false">IF($A240="","",$A240+1)</f>
        <v>46472</v>
      </c>
      <c r="B241" s="5" t="str">
        <f aca="false">IF($A241="","",TEXT($A241,"ddd"))</f>
        <v>Fri</v>
      </c>
      <c r="C241" s="41" t="n">
        <f aca="false">IF($A241="","",COUNTIFS('Trade Log'!$L$4:$L$503,$A241))</f>
        <v>0</v>
      </c>
      <c r="D241" s="40" t="n">
        <f aca="false">IF($A241="","",SUMIFS('Trade Log'!$Q$4:$Q$503,'Trade Log'!$L$4:$L$503,$A241,'Trade Log'!$E$4:$E$503,"LONG"))</f>
        <v>0</v>
      </c>
      <c r="E241" s="40" t="n">
        <f aca="false">IF($A241="","",SUMIFS('Trade Log'!$Q$4:$Q$503,'Trade Log'!$L$4:$L$503,$A241,'Trade Log'!$E$4:$E$503,"SHORT"))</f>
        <v>0</v>
      </c>
      <c r="F241" s="40" t="n">
        <f aca="false">IF($A241="","",$D241+$E241)</f>
        <v>0</v>
      </c>
      <c r="G241" s="40" t="n">
        <f aca="false">IF($A241="","",SUMIFS('Trade Log'!$Y$4:$Y$503,'Trade Log'!$L$4:$L$503,$A241))</f>
        <v>0</v>
      </c>
      <c r="H241" s="40" t="str">
        <f aca="false">IF($A241="","",IF($C241=0,"",$F241-$G241))</f>
        <v/>
      </c>
      <c r="I241" s="40" t="n">
        <f aca="false">IF($A241="","",$I240+IF($H241="",0,$H241))</f>
        <v>23918.5521880349</v>
      </c>
      <c r="J241" s="40" t="n">
        <f aca="false">IF($A241="","",Config!$B$4+$I241)</f>
        <v>1023918.55218803</v>
      </c>
      <c r="K241" s="40" t="n">
        <f aca="false">IF($A241="","",MAX($J$4:$J241))</f>
        <v>1023918.55218803</v>
      </c>
      <c r="L241" s="40" t="n">
        <f aca="false">IF($A241="","",$J241-$K241)</f>
        <v>0</v>
      </c>
      <c r="M241" s="42" t="n">
        <f aca="false">IF(OR($A241="",$K241=0),"",$L241/$K241)</f>
        <v>0</v>
      </c>
      <c r="N241" s="40" t="n">
        <f aca="false">IF($A241="","",SUMIFS('Trade Log'!$K$4:$K$503,'Trade Log'!$H$4:$H$503,$A241))</f>
        <v>0</v>
      </c>
      <c r="O241" s="42" t="str">
        <f aca="false">IF(OR($A241="",$H241="",Config!$B$4=0),"",$H241/Config!$B$4)</f>
        <v/>
      </c>
      <c r="P241" s="40" t="n">
        <f aca="false">IF($A241="","",SUM($H$222:$H241))</f>
        <v>0</v>
      </c>
      <c r="Q241" s="53" t="str">
        <f aca="false">IF($A241="","",IFERROR((AVERAGE($O$222:$O241)-Config!$B$7/Config!$B$6)/STDEV($O$222:$O241)*SQRT(Config!$B$6),""))</f>
        <v/>
      </c>
      <c r="R241" s="53" t="str">
        <f aca="false">IF($A241="","",IFERROR((AVERAGE($O$182:$O241)-Config!$B$7/Config!$B$6)/STDEV($O$182:$O241)*SQRT(Config!$B$6),""))</f>
        <v/>
      </c>
      <c r="S241" s="47" t="n">
        <f aca="false">IF($H241="",$S240,IF($H241&gt;0,$S240+1,0))</f>
        <v>1</v>
      </c>
      <c r="T241" s="47" t="n">
        <f aca="false">IF($H241="",$T240,IF($H241&lt;0,$T240+1,0))</f>
        <v>0</v>
      </c>
    </row>
    <row r="242" customFormat="false" ht="15" hidden="false" customHeight="false" outlineLevel="0" collapsed="false">
      <c r="A242" s="54" t="n">
        <f aca="false">IF($A241="","",$A241+1)</f>
        <v>46473</v>
      </c>
      <c r="B242" s="5" t="str">
        <f aca="false">IF($A242="","",TEXT($A242,"ddd"))</f>
        <v>Sat</v>
      </c>
      <c r="C242" s="41" t="n">
        <f aca="false">IF($A242="","",COUNTIFS('Trade Log'!$L$4:$L$503,$A242))</f>
        <v>0</v>
      </c>
      <c r="D242" s="40" t="n">
        <f aca="false">IF($A242="","",SUMIFS('Trade Log'!$Q$4:$Q$503,'Trade Log'!$L$4:$L$503,$A242,'Trade Log'!$E$4:$E$503,"LONG"))</f>
        <v>0</v>
      </c>
      <c r="E242" s="40" t="n">
        <f aca="false">IF($A242="","",SUMIFS('Trade Log'!$Q$4:$Q$503,'Trade Log'!$L$4:$L$503,$A242,'Trade Log'!$E$4:$E$503,"SHORT"))</f>
        <v>0</v>
      </c>
      <c r="F242" s="40" t="n">
        <f aca="false">IF($A242="","",$D242+$E242)</f>
        <v>0</v>
      </c>
      <c r="G242" s="40" t="n">
        <f aca="false">IF($A242="","",SUMIFS('Trade Log'!$Y$4:$Y$503,'Trade Log'!$L$4:$L$503,$A242))</f>
        <v>0</v>
      </c>
      <c r="H242" s="40" t="str">
        <f aca="false">IF($A242="","",IF($C242=0,"",$F242-$G242))</f>
        <v/>
      </c>
      <c r="I242" s="40" t="n">
        <f aca="false">IF($A242="","",$I241+IF($H242="",0,$H242))</f>
        <v>23918.5521880349</v>
      </c>
      <c r="J242" s="40" t="n">
        <f aca="false">IF($A242="","",Config!$B$4+$I242)</f>
        <v>1023918.55218803</v>
      </c>
      <c r="K242" s="40" t="n">
        <f aca="false">IF($A242="","",MAX($J$4:$J242))</f>
        <v>1023918.55218803</v>
      </c>
      <c r="L242" s="40" t="n">
        <f aca="false">IF($A242="","",$J242-$K242)</f>
        <v>0</v>
      </c>
      <c r="M242" s="42" t="n">
        <f aca="false">IF(OR($A242="",$K242=0),"",$L242/$K242)</f>
        <v>0</v>
      </c>
      <c r="N242" s="40" t="n">
        <f aca="false">IF($A242="","",SUMIFS('Trade Log'!$K$4:$K$503,'Trade Log'!$H$4:$H$503,$A242))</f>
        <v>0</v>
      </c>
      <c r="O242" s="42" t="str">
        <f aca="false">IF(OR($A242="",$H242="",Config!$B$4=0),"",$H242/Config!$B$4)</f>
        <v/>
      </c>
      <c r="P242" s="40" t="n">
        <f aca="false">IF($A242="","",SUM($H$223:$H242))</f>
        <v>0</v>
      </c>
      <c r="Q242" s="53" t="str">
        <f aca="false">IF($A242="","",IFERROR((AVERAGE($O$223:$O242)-Config!$B$7/Config!$B$6)/STDEV($O$223:$O242)*SQRT(Config!$B$6),""))</f>
        <v/>
      </c>
      <c r="R242" s="53" t="str">
        <f aca="false">IF($A242="","",IFERROR((AVERAGE($O$183:$O242)-Config!$B$7/Config!$B$6)/STDEV($O$183:$O242)*SQRT(Config!$B$6),""))</f>
        <v/>
      </c>
      <c r="S242" s="47" t="n">
        <f aca="false">IF($H242="",$S241,IF($H242&gt;0,$S241+1,0))</f>
        <v>1</v>
      </c>
      <c r="T242" s="47" t="n">
        <f aca="false">IF($H242="",$T241,IF($H242&lt;0,$T241+1,0))</f>
        <v>0</v>
      </c>
    </row>
    <row r="243" customFormat="false" ht="15" hidden="false" customHeight="false" outlineLevel="0" collapsed="false">
      <c r="A243" s="54" t="n">
        <f aca="false">IF($A242="","",$A242+1)</f>
        <v>46474</v>
      </c>
      <c r="B243" s="5" t="str">
        <f aca="false">IF($A243="","",TEXT($A243,"ddd"))</f>
        <v>Sun</v>
      </c>
      <c r="C243" s="41" t="n">
        <f aca="false">IF($A243="","",COUNTIFS('Trade Log'!$L$4:$L$503,$A243))</f>
        <v>0</v>
      </c>
      <c r="D243" s="40" t="n">
        <f aca="false">IF($A243="","",SUMIFS('Trade Log'!$Q$4:$Q$503,'Trade Log'!$L$4:$L$503,$A243,'Trade Log'!$E$4:$E$503,"LONG"))</f>
        <v>0</v>
      </c>
      <c r="E243" s="40" t="n">
        <f aca="false">IF($A243="","",SUMIFS('Trade Log'!$Q$4:$Q$503,'Trade Log'!$L$4:$L$503,$A243,'Trade Log'!$E$4:$E$503,"SHORT"))</f>
        <v>0</v>
      </c>
      <c r="F243" s="40" t="n">
        <f aca="false">IF($A243="","",$D243+$E243)</f>
        <v>0</v>
      </c>
      <c r="G243" s="40" t="n">
        <f aca="false">IF($A243="","",SUMIFS('Trade Log'!$Y$4:$Y$503,'Trade Log'!$L$4:$L$503,$A243))</f>
        <v>0</v>
      </c>
      <c r="H243" s="40" t="str">
        <f aca="false">IF($A243="","",IF($C243=0,"",$F243-$G243))</f>
        <v/>
      </c>
      <c r="I243" s="40" t="n">
        <f aca="false">IF($A243="","",$I242+IF($H243="",0,$H243))</f>
        <v>23918.5521880349</v>
      </c>
      <c r="J243" s="40" t="n">
        <f aca="false">IF($A243="","",Config!$B$4+$I243)</f>
        <v>1023918.55218803</v>
      </c>
      <c r="K243" s="40" t="n">
        <f aca="false">IF($A243="","",MAX($J$4:$J243))</f>
        <v>1023918.55218803</v>
      </c>
      <c r="L243" s="40" t="n">
        <f aca="false">IF($A243="","",$J243-$K243)</f>
        <v>0</v>
      </c>
      <c r="M243" s="42" t="n">
        <f aca="false">IF(OR($A243="",$K243=0),"",$L243/$K243)</f>
        <v>0</v>
      </c>
      <c r="N243" s="40" t="n">
        <f aca="false">IF($A243="","",SUMIFS('Trade Log'!$K$4:$K$503,'Trade Log'!$H$4:$H$503,$A243))</f>
        <v>0</v>
      </c>
      <c r="O243" s="42" t="str">
        <f aca="false">IF(OR($A243="",$H243="",Config!$B$4=0),"",$H243/Config!$B$4)</f>
        <v/>
      </c>
      <c r="P243" s="40" t="n">
        <f aca="false">IF($A243="","",SUM($H$224:$H243))</f>
        <v>0</v>
      </c>
      <c r="Q243" s="53" t="str">
        <f aca="false">IF($A243="","",IFERROR((AVERAGE($O$224:$O243)-Config!$B$7/Config!$B$6)/STDEV($O$224:$O243)*SQRT(Config!$B$6),""))</f>
        <v/>
      </c>
      <c r="R243" s="53" t="str">
        <f aca="false">IF($A243="","",IFERROR((AVERAGE($O$184:$O243)-Config!$B$7/Config!$B$6)/STDEV($O$184:$O243)*SQRT(Config!$B$6),""))</f>
        <v/>
      </c>
      <c r="S243" s="47" t="n">
        <f aca="false">IF($H243="",$S242,IF($H243&gt;0,$S242+1,0))</f>
        <v>1</v>
      </c>
      <c r="T243" s="47" t="n">
        <f aca="false">IF($H243="",$T242,IF($H243&lt;0,$T242+1,0))</f>
        <v>0</v>
      </c>
    </row>
    <row r="244" customFormat="false" ht="15" hidden="false" customHeight="false" outlineLevel="0" collapsed="false">
      <c r="A244" s="54" t="n">
        <f aca="false">IF($A243="","",$A243+1)</f>
        <v>46475</v>
      </c>
      <c r="B244" s="5" t="str">
        <f aca="false">IF($A244="","",TEXT($A244,"ddd"))</f>
        <v>Mon</v>
      </c>
      <c r="C244" s="41" t="n">
        <f aca="false">IF($A244="","",COUNTIFS('Trade Log'!$L$4:$L$503,$A244))</f>
        <v>0</v>
      </c>
      <c r="D244" s="40" t="n">
        <f aca="false">IF($A244="","",SUMIFS('Trade Log'!$Q$4:$Q$503,'Trade Log'!$L$4:$L$503,$A244,'Trade Log'!$E$4:$E$503,"LONG"))</f>
        <v>0</v>
      </c>
      <c r="E244" s="40" t="n">
        <f aca="false">IF($A244="","",SUMIFS('Trade Log'!$Q$4:$Q$503,'Trade Log'!$L$4:$L$503,$A244,'Trade Log'!$E$4:$E$503,"SHORT"))</f>
        <v>0</v>
      </c>
      <c r="F244" s="40" t="n">
        <f aca="false">IF($A244="","",$D244+$E244)</f>
        <v>0</v>
      </c>
      <c r="G244" s="40" t="n">
        <f aca="false">IF($A244="","",SUMIFS('Trade Log'!$Y$4:$Y$503,'Trade Log'!$L$4:$L$503,$A244))</f>
        <v>0</v>
      </c>
      <c r="H244" s="40" t="str">
        <f aca="false">IF($A244="","",IF($C244=0,"",$F244-$G244))</f>
        <v/>
      </c>
      <c r="I244" s="40" t="n">
        <f aca="false">IF($A244="","",$I243+IF($H244="",0,$H244))</f>
        <v>23918.5521880349</v>
      </c>
      <c r="J244" s="40" t="n">
        <f aca="false">IF($A244="","",Config!$B$4+$I244)</f>
        <v>1023918.55218803</v>
      </c>
      <c r="K244" s="40" t="n">
        <f aca="false">IF($A244="","",MAX($J$4:$J244))</f>
        <v>1023918.55218803</v>
      </c>
      <c r="L244" s="40" t="n">
        <f aca="false">IF($A244="","",$J244-$K244)</f>
        <v>0</v>
      </c>
      <c r="M244" s="42" t="n">
        <f aca="false">IF(OR($A244="",$K244=0),"",$L244/$K244)</f>
        <v>0</v>
      </c>
      <c r="N244" s="40" t="n">
        <f aca="false">IF($A244="","",SUMIFS('Trade Log'!$K$4:$K$503,'Trade Log'!$H$4:$H$503,$A244))</f>
        <v>0</v>
      </c>
      <c r="O244" s="42" t="str">
        <f aca="false">IF(OR($A244="",$H244="",Config!$B$4=0),"",$H244/Config!$B$4)</f>
        <v/>
      </c>
      <c r="P244" s="40" t="n">
        <f aca="false">IF($A244="","",SUM($H$225:$H244))</f>
        <v>0</v>
      </c>
      <c r="Q244" s="53" t="str">
        <f aca="false">IF($A244="","",IFERROR((AVERAGE($O$225:$O244)-Config!$B$7/Config!$B$6)/STDEV($O$225:$O244)*SQRT(Config!$B$6),""))</f>
        <v/>
      </c>
      <c r="R244" s="53" t="str">
        <f aca="false">IF($A244="","",IFERROR((AVERAGE($O$185:$O244)-Config!$B$7/Config!$B$6)/STDEV($O$185:$O244)*SQRT(Config!$B$6),""))</f>
        <v/>
      </c>
      <c r="S244" s="47" t="n">
        <f aca="false">IF($H244="",$S243,IF($H244&gt;0,$S243+1,0))</f>
        <v>1</v>
      </c>
      <c r="T244" s="47" t="n">
        <f aca="false">IF($H244="",$T243,IF($H244&lt;0,$T243+1,0))</f>
        <v>0</v>
      </c>
    </row>
    <row r="245" customFormat="false" ht="15" hidden="false" customHeight="false" outlineLevel="0" collapsed="false">
      <c r="A245" s="54" t="n">
        <f aca="false">IF($A244="","",$A244+1)</f>
        <v>46476</v>
      </c>
      <c r="B245" s="5" t="str">
        <f aca="false">IF($A245="","",TEXT($A245,"ddd"))</f>
        <v>Tue</v>
      </c>
      <c r="C245" s="41" t="n">
        <f aca="false">IF($A245="","",COUNTIFS('Trade Log'!$L$4:$L$503,$A245))</f>
        <v>0</v>
      </c>
      <c r="D245" s="40" t="n">
        <f aca="false">IF($A245="","",SUMIFS('Trade Log'!$Q$4:$Q$503,'Trade Log'!$L$4:$L$503,$A245,'Trade Log'!$E$4:$E$503,"LONG"))</f>
        <v>0</v>
      </c>
      <c r="E245" s="40" t="n">
        <f aca="false">IF($A245="","",SUMIFS('Trade Log'!$Q$4:$Q$503,'Trade Log'!$L$4:$L$503,$A245,'Trade Log'!$E$4:$E$503,"SHORT"))</f>
        <v>0</v>
      </c>
      <c r="F245" s="40" t="n">
        <f aca="false">IF($A245="","",$D245+$E245)</f>
        <v>0</v>
      </c>
      <c r="G245" s="40" t="n">
        <f aca="false">IF($A245="","",SUMIFS('Trade Log'!$Y$4:$Y$503,'Trade Log'!$L$4:$L$503,$A245))</f>
        <v>0</v>
      </c>
      <c r="H245" s="40" t="str">
        <f aca="false">IF($A245="","",IF($C245=0,"",$F245-$G245))</f>
        <v/>
      </c>
      <c r="I245" s="40" t="n">
        <f aca="false">IF($A245="","",$I244+IF($H245="",0,$H245))</f>
        <v>23918.5521880349</v>
      </c>
      <c r="J245" s="40" t="n">
        <f aca="false">IF($A245="","",Config!$B$4+$I245)</f>
        <v>1023918.55218803</v>
      </c>
      <c r="K245" s="40" t="n">
        <f aca="false">IF($A245="","",MAX($J$4:$J245))</f>
        <v>1023918.55218803</v>
      </c>
      <c r="L245" s="40" t="n">
        <f aca="false">IF($A245="","",$J245-$K245)</f>
        <v>0</v>
      </c>
      <c r="M245" s="42" t="n">
        <f aca="false">IF(OR($A245="",$K245=0),"",$L245/$K245)</f>
        <v>0</v>
      </c>
      <c r="N245" s="40" t="n">
        <f aca="false">IF($A245="","",SUMIFS('Trade Log'!$K$4:$K$503,'Trade Log'!$H$4:$H$503,$A245))</f>
        <v>0</v>
      </c>
      <c r="O245" s="42" t="str">
        <f aca="false">IF(OR($A245="",$H245="",Config!$B$4=0),"",$H245/Config!$B$4)</f>
        <v/>
      </c>
      <c r="P245" s="40" t="n">
        <f aca="false">IF($A245="","",SUM($H$226:$H245))</f>
        <v>0</v>
      </c>
      <c r="Q245" s="53" t="str">
        <f aca="false">IF($A245="","",IFERROR((AVERAGE($O$226:$O245)-Config!$B$7/Config!$B$6)/STDEV($O$226:$O245)*SQRT(Config!$B$6),""))</f>
        <v/>
      </c>
      <c r="R245" s="53" t="str">
        <f aca="false">IF($A245="","",IFERROR((AVERAGE($O$186:$O245)-Config!$B$7/Config!$B$6)/STDEV($O$186:$O245)*SQRT(Config!$B$6),""))</f>
        <v/>
      </c>
      <c r="S245" s="47" t="n">
        <f aca="false">IF($H245="",$S244,IF($H245&gt;0,$S244+1,0))</f>
        <v>1</v>
      </c>
      <c r="T245" s="47" t="n">
        <f aca="false">IF($H245="",$T244,IF($H245&lt;0,$T244+1,0))</f>
        <v>0</v>
      </c>
    </row>
    <row r="246" customFormat="false" ht="15" hidden="false" customHeight="false" outlineLevel="0" collapsed="false">
      <c r="A246" s="54" t="n">
        <f aca="false">IF($A245="","",$A245+1)</f>
        <v>46477</v>
      </c>
      <c r="B246" s="5" t="str">
        <f aca="false">IF($A246="","",TEXT($A246,"ddd"))</f>
        <v>Wed</v>
      </c>
      <c r="C246" s="41" t="n">
        <f aca="false">IF($A246="","",COUNTIFS('Trade Log'!$L$4:$L$503,$A246))</f>
        <v>0</v>
      </c>
      <c r="D246" s="40" t="n">
        <f aca="false">IF($A246="","",SUMIFS('Trade Log'!$Q$4:$Q$503,'Trade Log'!$L$4:$L$503,$A246,'Trade Log'!$E$4:$E$503,"LONG"))</f>
        <v>0</v>
      </c>
      <c r="E246" s="40" t="n">
        <f aca="false">IF($A246="","",SUMIFS('Trade Log'!$Q$4:$Q$503,'Trade Log'!$L$4:$L$503,$A246,'Trade Log'!$E$4:$E$503,"SHORT"))</f>
        <v>0</v>
      </c>
      <c r="F246" s="40" t="n">
        <f aca="false">IF($A246="","",$D246+$E246)</f>
        <v>0</v>
      </c>
      <c r="G246" s="40" t="n">
        <f aca="false">IF($A246="","",SUMIFS('Trade Log'!$Y$4:$Y$503,'Trade Log'!$L$4:$L$503,$A246))</f>
        <v>0</v>
      </c>
      <c r="H246" s="40" t="str">
        <f aca="false">IF($A246="","",IF($C246=0,"",$F246-$G246))</f>
        <v/>
      </c>
      <c r="I246" s="40" t="n">
        <f aca="false">IF($A246="","",$I245+IF($H246="",0,$H246))</f>
        <v>23918.5521880349</v>
      </c>
      <c r="J246" s="40" t="n">
        <f aca="false">IF($A246="","",Config!$B$4+$I246)</f>
        <v>1023918.55218803</v>
      </c>
      <c r="K246" s="40" t="n">
        <f aca="false">IF($A246="","",MAX($J$4:$J246))</f>
        <v>1023918.55218803</v>
      </c>
      <c r="L246" s="40" t="n">
        <f aca="false">IF($A246="","",$J246-$K246)</f>
        <v>0</v>
      </c>
      <c r="M246" s="42" t="n">
        <f aca="false">IF(OR($A246="",$K246=0),"",$L246/$K246)</f>
        <v>0</v>
      </c>
      <c r="N246" s="40" t="n">
        <f aca="false">IF($A246="","",SUMIFS('Trade Log'!$K$4:$K$503,'Trade Log'!$H$4:$H$503,$A246))</f>
        <v>0</v>
      </c>
      <c r="O246" s="42" t="str">
        <f aca="false">IF(OR($A246="",$H246="",Config!$B$4=0),"",$H246/Config!$B$4)</f>
        <v/>
      </c>
      <c r="P246" s="40" t="n">
        <f aca="false">IF($A246="","",SUM($H$227:$H246))</f>
        <v>0</v>
      </c>
      <c r="Q246" s="53" t="str">
        <f aca="false">IF($A246="","",IFERROR((AVERAGE($O$227:$O246)-Config!$B$7/Config!$B$6)/STDEV($O$227:$O246)*SQRT(Config!$B$6),""))</f>
        <v/>
      </c>
      <c r="R246" s="53" t="str">
        <f aca="false">IF($A246="","",IFERROR((AVERAGE($O$187:$O246)-Config!$B$7/Config!$B$6)/STDEV($O$187:$O246)*SQRT(Config!$B$6),""))</f>
        <v/>
      </c>
      <c r="S246" s="47" t="n">
        <f aca="false">IF($H246="",$S245,IF($H246&gt;0,$S245+1,0))</f>
        <v>1</v>
      </c>
      <c r="T246" s="47" t="n">
        <f aca="false">IF($H246="",$T245,IF($H246&lt;0,$T245+1,0))</f>
        <v>0</v>
      </c>
    </row>
    <row r="247" customFormat="false" ht="15" hidden="false" customHeight="false" outlineLevel="0" collapsed="false">
      <c r="A247" s="54" t="n">
        <f aca="false">IF($A246="","",$A246+1)</f>
        <v>46478</v>
      </c>
      <c r="B247" s="5" t="str">
        <f aca="false">IF($A247="","",TEXT($A247,"ddd"))</f>
        <v>Thu</v>
      </c>
      <c r="C247" s="41" t="n">
        <f aca="false">IF($A247="","",COUNTIFS('Trade Log'!$L$4:$L$503,$A247))</f>
        <v>0</v>
      </c>
      <c r="D247" s="40" t="n">
        <f aca="false">IF($A247="","",SUMIFS('Trade Log'!$Q$4:$Q$503,'Trade Log'!$L$4:$L$503,$A247,'Trade Log'!$E$4:$E$503,"LONG"))</f>
        <v>0</v>
      </c>
      <c r="E247" s="40" t="n">
        <f aca="false">IF($A247="","",SUMIFS('Trade Log'!$Q$4:$Q$503,'Trade Log'!$L$4:$L$503,$A247,'Trade Log'!$E$4:$E$503,"SHORT"))</f>
        <v>0</v>
      </c>
      <c r="F247" s="40" t="n">
        <f aca="false">IF($A247="","",$D247+$E247)</f>
        <v>0</v>
      </c>
      <c r="G247" s="40" t="n">
        <f aca="false">IF($A247="","",SUMIFS('Trade Log'!$Y$4:$Y$503,'Trade Log'!$L$4:$L$503,$A247))</f>
        <v>0</v>
      </c>
      <c r="H247" s="40" t="str">
        <f aca="false">IF($A247="","",IF($C247=0,"",$F247-$G247))</f>
        <v/>
      </c>
      <c r="I247" s="40" t="n">
        <f aca="false">IF($A247="","",$I246+IF($H247="",0,$H247))</f>
        <v>23918.5521880349</v>
      </c>
      <c r="J247" s="40" t="n">
        <f aca="false">IF($A247="","",Config!$B$4+$I247)</f>
        <v>1023918.55218803</v>
      </c>
      <c r="K247" s="40" t="n">
        <f aca="false">IF($A247="","",MAX($J$4:$J247))</f>
        <v>1023918.55218803</v>
      </c>
      <c r="L247" s="40" t="n">
        <f aca="false">IF($A247="","",$J247-$K247)</f>
        <v>0</v>
      </c>
      <c r="M247" s="42" t="n">
        <f aca="false">IF(OR($A247="",$K247=0),"",$L247/$K247)</f>
        <v>0</v>
      </c>
      <c r="N247" s="40" t="n">
        <f aca="false">IF($A247="","",SUMIFS('Trade Log'!$K$4:$K$503,'Trade Log'!$H$4:$H$503,$A247))</f>
        <v>0</v>
      </c>
      <c r="O247" s="42" t="str">
        <f aca="false">IF(OR($A247="",$H247="",Config!$B$4=0),"",$H247/Config!$B$4)</f>
        <v/>
      </c>
      <c r="P247" s="40" t="n">
        <f aca="false">IF($A247="","",SUM($H$228:$H247))</f>
        <v>0</v>
      </c>
      <c r="Q247" s="53" t="str">
        <f aca="false">IF($A247="","",IFERROR((AVERAGE($O$228:$O247)-Config!$B$7/Config!$B$6)/STDEV($O$228:$O247)*SQRT(Config!$B$6),""))</f>
        <v/>
      </c>
      <c r="R247" s="53" t="str">
        <f aca="false">IF($A247="","",IFERROR((AVERAGE($O$188:$O247)-Config!$B$7/Config!$B$6)/STDEV($O$188:$O247)*SQRT(Config!$B$6),""))</f>
        <v/>
      </c>
      <c r="S247" s="47" t="n">
        <f aca="false">IF($H247="",$S246,IF($H247&gt;0,$S246+1,0))</f>
        <v>1</v>
      </c>
      <c r="T247" s="47" t="n">
        <f aca="false">IF($H247="",$T246,IF($H247&lt;0,$T246+1,0))</f>
        <v>0</v>
      </c>
    </row>
    <row r="248" customFormat="false" ht="15" hidden="false" customHeight="false" outlineLevel="0" collapsed="false">
      <c r="A248" s="54" t="n">
        <f aca="false">IF($A247="","",$A247+1)</f>
        <v>46479</v>
      </c>
      <c r="B248" s="5" t="str">
        <f aca="false">IF($A248="","",TEXT($A248,"ddd"))</f>
        <v>Fri</v>
      </c>
      <c r="C248" s="41" t="n">
        <f aca="false">IF($A248="","",COUNTIFS('Trade Log'!$L$4:$L$503,$A248))</f>
        <v>0</v>
      </c>
      <c r="D248" s="40" t="n">
        <f aca="false">IF($A248="","",SUMIFS('Trade Log'!$Q$4:$Q$503,'Trade Log'!$L$4:$L$503,$A248,'Trade Log'!$E$4:$E$503,"LONG"))</f>
        <v>0</v>
      </c>
      <c r="E248" s="40" t="n">
        <f aca="false">IF($A248="","",SUMIFS('Trade Log'!$Q$4:$Q$503,'Trade Log'!$L$4:$L$503,$A248,'Trade Log'!$E$4:$E$503,"SHORT"))</f>
        <v>0</v>
      </c>
      <c r="F248" s="40" t="n">
        <f aca="false">IF($A248="","",$D248+$E248)</f>
        <v>0</v>
      </c>
      <c r="G248" s="40" t="n">
        <f aca="false">IF($A248="","",SUMIFS('Trade Log'!$Y$4:$Y$503,'Trade Log'!$L$4:$L$503,$A248))</f>
        <v>0</v>
      </c>
      <c r="H248" s="40" t="str">
        <f aca="false">IF($A248="","",IF($C248=0,"",$F248-$G248))</f>
        <v/>
      </c>
      <c r="I248" s="40" t="n">
        <f aca="false">IF($A248="","",$I247+IF($H248="",0,$H248))</f>
        <v>23918.5521880349</v>
      </c>
      <c r="J248" s="40" t="n">
        <f aca="false">IF($A248="","",Config!$B$4+$I248)</f>
        <v>1023918.55218803</v>
      </c>
      <c r="K248" s="40" t="n">
        <f aca="false">IF($A248="","",MAX($J$4:$J248))</f>
        <v>1023918.55218803</v>
      </c>
      <c r="L248" s="40" t="n">
        <f aca="false">IF($A248="","",$J248-$K248)</f>
        <v>0</v>
      </c>
      <c r="M248" s="42" t="n">
        <f aca="false">IF(OR($A248="",$K248=0),"",$L248/$K248)</f>
        <v>0</v>
      </c>
      <c r="N248" s="40" t="n">
        <f aca="false">IF($A248="","",SUMIFS('Trade Log'!$K$4:$K$503,'Trade Log'!$H$4:$H$503,$A248))</f>
        <v>0</v>
      </c>
      <c r="O248" s="42" t="str">
        <f aca="false">IF(OR($A248="",$H248="",Config!$B$4=0),"",$H248/Config!$B$4)</f>
        <v/>
      </c>
      <c r="P248" s="40" t="n">
        <f aca="false">IF($A248="","",SUM($H$229:$H248))</f>
        <v>0</v>
      </c>
      <c r="Q248" s="53" t="str">
        <f aca="false">IF($A248="","",IFERROR((AVERAGE($O$229:$O248)-Config!$B$7/Config!$B$6)/STDEV($O$229:$O248)*SQRT(Config!$B$6),""))</f>
        <v/>
      </c>
      <c r="R248" s="53" t="str">
        <f aca="false">IF($A248="","",IFERROR((AVERAGE($O$189:$O248)-Config!$B$7/Config!$B$6)/STDEV($O$189:$O248)*SQRT(Config!$B$6),""))</f>
        <v/>
      </c>
      <c r="S248" s="47" t="n">
        <f aca="false">IF($H248="",$S247,IF($H248&gt;0,$S247+1,0))</f>
        <v>1</v>
      </c>
      <c r="T248" s="47" t="n">
        <f aca="false">IF($H248="",$T247,IF($H248&lt;0,$T247+1,0))</f>
        <v>0</v>
      </c>
    </row>
    <row r="249" customFormat="false" ht="15" hidden="false" customHeight="false" outlineLevel="0" collapsed="false">
      <c r="A249" s="54" t="n">
        <f aca="false">IF($A248="","",$A248+1)</f>
        <v>46480</v>
      </c>
      <c r="B249" s="5" t="str">
        <f aca="false">IF($A249="","",TEXT($A249,"ddd"))</f>
        <v>Sat</v>
      </c>
      <c r="C249" s="41" t="n">
        <f aca="false">IF($A249="","",COUNTIFS('Trade Log'!$L$4:$L$503,$A249))</f>
        <v>0</v>
      </c>
      <c r="D249" s="40" t="n">
        <f aca="false">IF($A249="","",SUMIFS('Trade Log'!$Q$4:$Q$503,'Trade Log'!$L$4:$L$503,$A249,'Trade Log'!$E$4:$E$503,"LONG"))</f>
        <v>0</v>
      </c>
      <c r="E249" s="40" t="n">
        <f aca="false">IF($A249="","",SUMIFS('Trade Log'!$Q$4:$Q$503,'Trade Log'!$L$4:$L$503,$A249,'Trade Log'!$E$4:$E$503,"SHORT"))</f>
        <v>0</v>
      </c>
      <c r="F249" s="40" t="n">
        <f aca="false">IF($A249="","",$D249+$E249)</f>
        <v>0</v>
      </c>
      <c r="G249" s="40" t="n">
        <f aca="false">IF($A249="","",SUMIFS('Trade Log'!$Y$4:$Y$503,'Trade Log'!$L$4:$L$503,$A249))</f>
        <v>0</v>
      </c>
      <c r="H249" s="40" t="str">
        <f aca="false">IF($A249="","",IF($C249=0,"",$F249-$G249))</f>
        <v/>
      </c>
      <c r="I249" s="40" t="n">
        <f aca="false">IF($A249="","",$I248+IF($H249="",0,$H249))</f>
        <v>23918.5521880349</v>
      </c>
      <c r="J249" s="40" t="n">
        <f aca="false">IF($A249="","",Config!$B$4+$I249)</f>
        <v>1023918.55218803</v>
      </c>
      <c r="K249" s="40" t="n">
        <f aca="false">IF($A249="","",MAX($J$4:$J249))</f>
        <v>1023918.55218803</v>
      </c>
      <c r="L249" s="40" t="n">
        <f aca="false">IF($A249="","",$J249-$K249)</f>
        <v>0</v>
      </c>
      <c r="M249" s="42" t="n">
        <f aca="false">IF(OR($A249="",$K249=0),"",$L249/$K249)</f>
        <v>0</v>
      </c>
      <c r="N249" s="40" t="n">
        <f aca="false">IF($A249="","",SUMIFS('Trade Log'!$K$4:$K$503,'Trade Log'!$H$4:$H$503,$A249))</f>
        <v>0</v>
      </c>
      <c r="O249" s="42" t="str">
        <f aca="false">IF(OR($A249="",$H249="",Config!$B$4=0),"",$H249/Config!$B$4)</f>
        <v/>
      </c>
      <c r="P249" s="40" t="n">
        <f aca="false">IF($A249="","",SUM($H$230:$H249))</f>
        <v>0</v>
      </c>
      <c r="Q249" s="53" t="str">
        <f aca="false">IF($A249="","",IFERROR((AVERAGE($O$230:$O249)-Config!$B$7/Config!$B$6)/STDEV($O$230:$O249)*SQRT(Config!$B$6),""))</f>
        <v/>
      </c>
      <c r="R249" s="53" t="str">
        <f aca="false">IF($A249="","",IFERROR((AVERAGE($O$190:$O249)-Config!$B$7/Config!$B$6)/STDEV($O$190:$O249)*SQRT(Config!$B$6),""))</f>
        <v/>
      </c>
      <c r="S249" s="47" t="n">
        <f aca="false">IF($H249="",$S248,IF($H249&gt;0,$S248+1,0))</f>
        <v>1</v>
      </c>
      <c r="T249" s="47" t="n">
        <f aca="false">IF($H249="",$T248,IF($H249&lt;0,$T248+1,0))</f>
        <v>0</v>
      </c>
    </row>
    <row r="250" customFormat="false" ht="15" hidden="false" customHeight="false" outlineLevel="0" collapsed="false">
      <c r="A250" s="54" t="n">
        <f aca="false">IF($A249="","",$A249+1)</f>
        <v>46481</v>
      </c>
      <c r="B250" s="5" t="str">
        <f aca="false">IF($A250="","",TEXT($A250,"ddd"))</f>
        <v>Sun</v>
      </c>
      <c r="C250" s="41" t="n">
        <f aca="false">IF($A250="","",COUNTIFS('Trade Log'!$L$4:$L$503,$A250))</f>
        <v>0</v>
      </c>
      <c r="D250" s="40" t="n">
        <f aca="false">IF($A250="","",SUMIFS('Trade Log'!$Q$4:$Q$503,'Trade Log'!$L$4:$L$503,$A250,'Trade Log'!$E$4:$E$503,"LONG"))</f>
        <v>0</v>
      </c>
      <c r="E250" s="40" t="n">
        <f aca="false">IF($A250="","",SUMIFS('Trade Log'!$Q$4:$Q$503,'Trade Log'!$L$4:$L$503,$A250,'Trade Log'!$E$4:$E$503,"SHORT"))</f>
        <v>0</v>
      </c>
      <c r="F250" s="40" t="n">
        <f aca="false">IF($A250="","",$D250+$E250)</f>
        <v>0</v>
      </c>
      <c r="G250" s="40" t="n">
        <f aca="false">IF($A250="","",SUMIFS('Trade Log'!$Y$4:$Y$503,'Trade Log'!$L$4:$L$503,$A250))</f>
        <v>0</v>
      </c>
      <c r="H250" s="40" t="str">
        <f aca="false">IF($A250="","",IF($C250=0,"",$F250-$G250))</f>
        <v/>
      </c>
      <c r="I250" s="40" t="n">
        <f aca="false">IF($A250="","",$I249+IF($H250="",0,$H250))</f>
        <v>23918.5521880349</v>
      </c>
      <c r="J250" s="40" t="n">
        <f aca="false">IF($A250="","",Config!$B$4+$I250)</f>
        <v>1023918.55218803</v>
      </c>
      <c r="K250" s="40" t="n">
        <f aca="false">IF($A250="","",MAX($J$4:$J250))</f>
        <v>1023918.55218803</v>
      </c>
      <c r="L250" s="40" t="n">
        <f aca="false">IF($A250="","",$J250-$K250)</f>
        <v>0</v>
      </c>
      <c r="M250" s="42" t="n">
        <f aca="false">IF(OR($A250="",$K250=0),"",$L250/$K250)</f>
        <v>0</v>
      </c>
      <c r="N250" s="40" t="n">
        <f aca="false">IF($A250="","",SUMIFS('Trade Log'!$K$4:$K$503,'Trade Log'!$H$4:$H$503,$A250))</f>
        <v>0</v>
      </c>
      <c r="O250" s="42" t="str">
        <f aca="false">IF(OR($A250="",$H250="",Config!$B$4=0),"",$H250/Config!$B$4)</f>
        <v/>
      </c>
      <c r="P250" s="40" t="n">
        <f aca="false">IF($A250="","",SUM($H$231:$H250))</f>
        <v>0</v>
      </c>
      <c r="Q250" s="53" t="str">
        <f aca="false">IF($A250="","",IFERROR((AVERAGE($O$231:$O250)-Config!$B$7/Config!$B$6)/STDEV($O$231:$O250)*SQRT(Config!$B$6),""))</f>
        <v/>
      </c>
      <c r="R250" s="53" t="str">
        <f aca="false">IF($A250="","",IFERROR((AVERAGE($O$191:$O250)-Config!$B$7/Config!$B$6)/STDEV($O$191:$O250)*SQRT(Config!$B$6),""))</f>
        <v/>
      </c>
      <c r="S250" s="47" t="n">
        <f aca="false">IF($H250="",$S249,IF($H250&gt;0,$S249+1,0))</f>
        <v>1</v>
      </c>
      <c r="T250" s="47" t="n">
        <f aca="false">IF($H250="",$T249,IF($H250&lt;0,$T249+1,0))</f>
        <v>0</v>
      </c>
    </row>
    <row r="251" customFormat="false" ht="15" hidden="false" customHeight="false" outlineLevel="0" collapsed="false">
      <c r="A251" s="54" t="n">
        <f aca="false">IF($A250="","",$A250+1)</f>
        <v>46482</v>
      </c>
      <c r="B251" s="5" t="str">
        <f aca="false">IF($A251="","",TEXT($A251,"ddd"))</f>
        <v>Mon</v>
      </c>
      <c r="C251" s="41" t="n">
        <f aca="false">IF($A251="","",COUNTIFS('Trade Log'!$L$4:$L$503,$A251))</f>
        <v>0</v>
      </c>
      <c r="D251" s="40" t="n">
        <f aca="false">IF($A251="","",SUMIFS('Trade Log'!$Q$4:$Q$503,'Trade Log'!$L$4:$L$503,$A251,'Trade Log'!$E$4:$E$503,"LONG"))</f>
        <v>0</v>
      </c>
      <c r="E251" s="40" t="n">
        <f aca="false">IF($A251="","",SUMIFS('Trade Log'!$Q$4:$Q$503,'Trade Log'!$L$4:$L$503,$A251,'Trade Log'!$E$4:$E$503,"SHORT"))</f>
        <v>0</v>
      </c>
      <c r="F251" s="40" t="n">
        <f aca="false">IF($A251="","",$D251+$E251)</f>
        <v>0</v>
      </c>
      <c r="G251" s="40" t="n">
        <f aca="false">IF($A251="","",SUMIFS('Trade Log'!$Y$4:$Y$503,'Trade Log'!$L$4:$L$503,$A251))</f>
        <v>0</v>
      </c>
      <c r="H251" s="40" t="str">
        <f aca="false">IF($A251="","",IF($C251=0,"",$F251-$G251))</f>
        <v/>
      </c>
      <c r="I251" s="40" t="n">
        <f aca="false">IF($A251="","",$I250+IF($H251="",0,$H251))</f>
        <v>23918.5521880349</v>
      </c>
      <c r="J251" s="40" t="n">
        <f aca="false">IF($A251="","",Config!$B$4+$I251)</f>
        <v>1023918.55218803</v>
      </c>
      <c r="K251" s="40" t="n">
        <f aca="false">IF($A251="","",MAX($J$4:$J251))</f>
        <v>1023918.55218803</v>
      </c>
      <c r="L251" s="40" t="n">
        <f aca="false">IF($A251="","",$J251-$K251)</f>
        <v>0</v>
      </c>
      <c r="M251" s="42" t="n">
        <f aca="false">IF(OR($A251="",$K251=0),"",$L251/$K251)</f>
        <v>0</v>
      </c>
      <c r="N251" s="40" t="n">
        <f aca="false">IF($A251="","",SUMIFS('Trade Log'!$K$4:$K$503,'Trade Log'!$H$4:$H$503,$A251))</f>
        <v>0</v>
      </c>
      <c r="O251" s="42" t="str">
        <f aca="false">IF(OR($A251="",$H251="",Config!$B$4=0),"",$H251/Config!$B$4)</f>
        <v/>
      </c>
      <c r="P251" s="40" t="n">
        <f aca="false">IF($A251="","",SUM($H$232:$H251))</f>
        <v>0</v>
      </c>
      <c r="Q251" s="53" t="str">
        <f aca="false">IF($A251="","",IFERROR((AVERAGE($O$232:$O251)-Config!$B$7/Config!$B$6)/STDEV($O$232:$O251)*SQRT(Config!$B$6),""))</f>
        <v/>
      </c>
      <c r="R251" s="53" t="str">
        <f aca="false">IF($A251="","",IFERROR((AVERAGE($O$192:$O251)-Config!$B$7/Config!$B$6)/STDEV($O$192:$O251)*SQRT(Config!$B$6),""))</f>
        <v/>
      </c>
      <c r="S251" s="47" t="n">
        <f aca="false">IF($H251="",$S250,IF($H251&gt;0,$S250+1,0))</f>
        <v>1</v>
      </c>
      <c r="T251" s="47" t="n">
        <f aca="false">IF($H251="",$T250,IF($H251&lt;0,$T250+1,0))</f>
        <v>0</v>
      </c>
    </row>
    <row r="252" customFormat="false" ht="15" hidden="false" customHeight="false" outlineLevel="0" collapsed="false">
      <c r="A252" s="54" t="n">
        <f aca="false">IF($A251="","",$A251+1)</f>
        <v>46483</v>
      </c>
      <c r="B252" s="5" t="str">
        <f aca="false">IF($A252="","",TEXT($A252,"ddd"))</f>
        <v>Tue</v>
      </c>
      <c r="C252" s="41" t="n">
        <f aca="false">IF($A252="","",COUNTIFS('Trade Log'!$L$4:$L$503,$A252))</f>
        <v>0</v>
      </c>
      <c r="D252" s="40" t="n">
        <f aca="false">IF($A252="","",SUMIFS('Trade Log'!$Q$4:$Q$503,'Trade Log'!$L$4:$L$503,$A252,'Trade Log'!$E$4:$E$503,"LONG"))</f>
        <v>0</v>
      </c>
      <c r="E252" s="40" t="n">
        <f aca="false">IF($A252="","",SUMIFS('Trade Log'!$Q$4:$Q$503,'Trade Log'!$L$4:$L$503,$A252,'Trade Log'!$E$4:$E$503,"SHORT"))</f>
        <v>0</v>
      </c>
      <c r="F252" s="40" t="n">
        <f aca="false">IF($A252="","",$D252+$E252)</f>
        <v>0</v>
      </c>
      <c r="G252" s="40" t="n">
        <f aca="false">IF($A252="","",SUMIFS('Trade Log'!$Y$4:$Y$503,'Trade Log'!$L$4:$L$503,$A252))</f>
        <v>0</v>
      </c>
      <c r="H252" s="40" t="str">
        <f aca="false">IF($A252="","",IF($C252=0,"",$F252-$G252))</f>
        <v/>
      </c>
      <c r="I252" s="40" t="n">
        <f aca="false">IF($A252="","",$I251+IF($H252="",0,$H252))</f>
        <v>23918.5521880349</v>
      </c>
      <c r="J252" s="40" t="n">
        <f aca="false">IF($A252="","",Config!$B$4+$I252)</f>
        <v>1023918.55218803</v>
      </c>
      <c r="K252" s="40" t="n">
        <f aca="false">IF($A252="","",MAX($J$4:$J252))</f>
        <v>1023918.55218803</v>
      </c>
      <c r="L252" s="40" t="n">
        <f aca="false">IF($A252="","",$J252-$K252)</f>
        <v>0</v>
      </c>
      <c r="M252" s="42" t="n">
        <f aca="false">IF(OR($A252="",$K252=0),"",$L252/$K252)</f>
        <v>0</v>
      </c>
      <c r="N252" s="40" t="n">
        <f aca="false">IF($A252="","",SUMIFS('Trade Log'!$K$4:$K$503,'Trade Log'!$H$4:$H$503,$A252))</f>
        <v>0</v>
      </c>
      <c r="O252" s="42" t="str">
        <f aca="false">IF(OR($A252="",$H252="",Config!$B$4=0),"",$H252/Config!$B$4)</f>
        <v/>
      </c>
      <c r="P252" s="40" t="n">
        <f aca="false">IF($A252="","",SUM($H$233:$H252))</f>
        <v>0</v>
      </c>
      <c r="Q252" s="53" t="str">
        <f aca="false">IF($A252="","",IFERROR((AVERAGE($O$233:$O252)-Config!$B$7/Config!$B$6)/STDEV($O$233:$O252)*SQRT(Config!$B$6),""))</f>
        <v/>
      </c>
      <c r="R252" s="53" t="str">
        <f aca="false">IF($A252="","",IFERROR((AVERAGE($O$193:$O252)-Config!$B$7/Config!$B$6)/STDEV($O$193:$O252)*SQRT(Config!$B$6),""))</f>
        <v/>
      </c>
      <c r="S252" s="47" t="n">
        <f aca="false">IF($H252="",$S251,IF($H252&gt;0,$S251+1,0))</f>
        <v>1</v>
      </c>
      <c r="T252" s="47" t="n">
        <f aca="false">IF($H252="",$T251,IF($H252&lt;0,$T251+1,0))</f>
        <v>0</v>
      </c>
    </row>
    <row r="253" customFormat="false" ht="15" hidden="false" customHeight="false" outlineLevel="0" collapsed="false">
      <c r="A253" s="54" t="n">
        <f aca="false">IF($A252="","",$A252+1)</f>
        <v>46484</v>
      </c>
      <c r="B253" s="5" t="str">
        <f aca="false">IF($A253="","",TEXT($A253,"ddd"))</f>
        <v>Wed</v>
      </c>
      <c r="C253" s="41" t="n">
        <f aca="false">IF($A253="","",COUNTIFS('Trade Log'!$L$4:$L$503,$A253))</f>
        <v>0</v>
      </c>
      <c r="D253" s="40" t="n">
        <f aca="false">IF($A253="","",SUMIFS('Trade Log'!$Q$4:$Q$503,'Trade Log'!$L$4:$L$503,$A253,'Trade Log'!$E$4:$E$503,"LONG"))</f>
        <v>0</v>
      </c>
      <c r="E253" s="40" t="n">
        <f aca="false">IF($A253="","",SUMIFS('Trade Log'!$Q$4:$Q$503,'Trade Log'!$L$4:$L$503,$A253,'Trade Log'!$E$4:$E$503,"SHORT"))</f>
        <v>0</v>
      </c>
      <c r="F253" s="40" t="n">
        <f aca="false">IF($A253="","",$D253+$E253)</f>
        <v>0</v>
      </c>
      <c r="G253" s="40" t="n">
        <f aca="false">IF($A253="","",SUMIFS('Trade Log'!$Y$4:$Y$503,'Trade Log'!$L$4:$L$503,$A253))</f>
        <v>0</v>
      </c>
      <c r="H253" s="40" t="str">
        <f aca="false">IF($A253="","",IF($C253=0,"",$F253-$G253))</f>
        <v/>
      </c>
      <c r="I253" s="40" t="n">
        <f aca="false">IF($A253="","",$I252+IF($H253="",0,$H253))</f>
        <v>23918.5521880349</v>
      </c>
      <c r="J253" s="40" t="n">
        <f aca="false">IF($A253="","",Config!$B$4+$I253)</f>
        <v>1023918.55218803</v>
      </c>
      <c r="K253" s="40" t="n">
        <f aca="false">IF($A253="","",MAX($J$4:$J253))</f>
        <v>1023918.55218803</v>
      </c>
      <c r="L253" s="40" t="n">
        <f aca="false">IF($A253="","",$J253-$K253)</f>
        <v>0</v>
      </c>
      <c r="M253" s="42" t="n">
        <f aca="false">IF(OR($A253="",$K253=0),"",$L253/$K253)</f>
        <v>0</v>
      </c>
      <c r="N253" s="40" t="n">
        <f aca="false">IF($A253="","",SUMIFS('Trade Log'!$K$4:$K$503,'Trade Log'!$H$4:$H$503,$A253))</f>
        <v>0</v>
      </c>
      <c r="O253" s="42" t="str">
        <f aca="false">IF(OR($A253="",$H253="",Config!$B$4=0),"",$H253/Config!$B$4)</f>
        <v/>
      </c>
      <c r="P253" s="40" t="n">
        <f aca="false">IF($A253="","",SUM($H$234:$H253))</f>
        <v>0</v>
      </c>
      <c r="Q253" s="53" t="str">
        <f aca="false">IF($A253="","",IFERROR((AVERAGE($O$234:$O253)-Config!$B$7/Config!$B$6)/STDEV($O$234:$O253)*SQRT(Config!$B$6),""))</f>
        <v/>
      </c>
      <c r="R253" s="53" t="str">
        <f aca="false">IF($A253="","",IFERROR((AVERAGE($O$194:$O253)-Config!$B$7/Config!$B$6)/STDEV($O$194:$O253)*SQRT(Config!$B$6),""))</f>
        <v/>
      </c>
      <c r="S253" s="47" t="n">
        <f aca="false">IF($H253="",$S252,IF($H253&gt;0,$S252+1,0))</f>
        <v>1</v>
      </c>
      <c r="T253" s="47" t="n">
        <f aca="false">IF($H253="",$T252,IF($H253&lt;0,$T252+1,0))</f>
        <v>0</v>
      </c>
    </row>
    <row r="254" customFormat="false" ht="15" hidden="false" customHeight="false" outlineLevel="0" collapsed="false">
      <c r="A254" s="54" t="n">
        <f aca="false">IF($A253="","",$A253+1)</f>
        <v>46485</v>
      </c>
      <c r="B254" s="5" t="str">
        <f aca="false">IF($A254="","",TEXT($A254,"ddd"))</f>
        <v>Thu</v>
      </c>
      <c r="C254" s="41" t="n">
        <f aca="false">IF($A254="","",COUNTIFS('Trade Log'!$L$4:$L$503,$A254))</f>
        <v>0</v>
      </c>
      <c r="D254" s="40" t="n">
        <f aca="false">IF($A254="","",SUMIFS('Trade Log'!$Q$4:$Q$503,'Trade Log'!$L$4:$L$503,$A254,'Trade Log'!$E$4:$E$503,"LONG"))</f>
        <v>0</v>
      </c>
      <c r="E254" s="40" t="n">
        <f aca="false">IF($A254="","",SUMIFS('Trade Log'!$Q$4:$Q$503,'Trade Log'!$L$4:$L$503,$A254,'Trade Log'!$E$4:$E$503,"SHORT"))</f>
        <v>0</v>
      </c>
      <c r="F254" s="40" t="n">
        <f aca="false">IF($A254="","",$D254+$E254)</f>
        <v>0</v>
      </c>
      <c r="G254" s="40" t="n">
        <f aca="false">IF($A254="","",SUMIFS('Trade Log'!$Y$4:$Y$503,'Trade Log'!$L$4:$L$503,$A254))</f>
        <v>0</v>
      </c>
      <c r="H254" s="40" t="str">
        <f aca="false">IF($A254="","",IF($C254=0,"",$F254-$G254))</f>
        <v/>
      </c>
      <c r="I254" s="40" t="n">
        <f aca="false">IF($A254="","",$I253+IF($H254="",0,$H254))</f>
        <v>23918.5521880349</v>
      </c>
      <c r="J254" s="40" t="n">
        <f aca="false">IF($A254="","",Config!$B$4+$I254)</f>
        <v>1023918.55218803</v>
      </c>
      <c r="K254" s="40" t="n">
        <f aca="false">IF($A254="","",MAX($J$4:$J254))</f>
        <v>1023918.55218803</v>
      </c>
      <c r="L254" s="40" t="n">
        <f aca="false">IF($A254="","",$J254-$K254)</f>
        <v>0</v>
      </c>
      <c r="M254" s="42" t="n">
        <f aca="false">IF(OR($A254="",$K254=0),"",$L254/$K254)</f>
        <v>0</v>
      </c>
      <c r="N254" s="40" t="n">
        <f aca="false">IF($A254="","",SUMIFS('Trade Log'!$K$4:$K$503,'Trade Log'!$H$4:$H$503,$A254))</f>
        <v>0</v>
      </c>
      <c r="O254" s="42" t="str">
        <f aca="false">IF(OR($A254="",$H254="",Config!$B$4=0),"",$H254/Config!$B$4)</f>
        <v/>
      </c>
      <c r="P254" s="40" t="n">
        <f aca="false">IF($A254="","",SUM($H$235:$H254))</f>
        <v>0</v>
      </c>
      <c r="Q254" s="53" t="str">
        <f aca="false">IF($A254="","",IFERROR((AVERAGE($O$235:$O254)-Config!$B$7/Config!$B$6)/STDEV($O$235:$O254)*SQRT(Config!$B$6),""))</f>
        <v/>
      </c>
      <c r="R254" s="53" t="str">
        <f aca="false">IF($A254="","",IFERROR((AVERAGE($O$195:$O254)-Config!$B$7/Config!$B$6)/STDEV($O$195:$O254)*SQRT(Config!$B$6),""))</f>
        <v/>
      </c>
      <c r="S254" s="47" t="n">
        <f aca="false">IF($H254="",$S253,IF($H254&gt;0,$S253+1,0))</f>
        <v>1</v>
      </c>
      <c r="T254" s="47" t="n">
        <f aca="false">IF($H254="",$T253,IF($H254&lt;0,$T253+1,0))</f>
        <v>0</v>
      </c>
    </row>
    <row r="255" customFormat="false" ht="15" hidden="false" customHeight="false" outlineLevel="0" collapsed="false">
      <c r="A255" s="54" t="n">
        <f aca="false">IF($A254="","",$A254+1)</f>
        <v>46486</v>
      </c>
      <c r="B255" s="5" t="str">
        <f aca="false">IF($A255="","",TEXT($A255,"ddd"))</f>
        <v>Fri</v>
      </c>
      <c r="C255" s="41" t="n">
        <f aca="false">IF($A255="","",COUNTIFS('Trade Log'!$L$4:$L$503,$A255))</f>
        <v>0</v>
      </c>
      <c r="D255" s="40" t="n">
        <f aca="false">IF($A255="","",SUMIFS('Trade Log'!$Q$4:$Q$503,'Trade Log'!$L$4:$L$503,$A255,'Trade Log'!$E$4:$E$503,"LONG"))</f>
        <v>0</v>
      </c>
      <c r="E255" s="40" t="n">
        <f aca="false">IF($A255="","",SUMIFS('Trade Log'!$Q$4:$Q$503,'Trade Log'!$L$4:$L$503,$A255,'Trade Log'!$E$4:$E$503,"SHORT"))</f>
        <v>0</v>
      </c>
      <c r="F255" s="40" t="n">
        <f aca="false">IF($A255="","",$D255+$E255)</f>
        <v>0</v>
      </c>
      <c r="G255" s="40" t="n">
        <f aca="false">IF($A255="","",SUMIFS('Trade Log'!$Y$4:$Y$503,'Trade Log'!$L$4:$L$503,$A255))</f>
        <v>0</v>
      </c>
      <c r="H255" s="40" t="str">
        <f aca="false">IF($A255="","",IF($C255=0,"",$F255-$G255))</f>
        <v/>
      </c>
      <c r="I255" s="40" t="n">
        <f aca="false">IF($A255="","",$I254+IF($H255="",0,$H255))</f>
        <v>23918.5521880349</v>
      </c>
      <c r="J255" s="40" t="n">
        <f aca="false">IF($A255="","",Config!$B$4+$I255)</f>
        <v>1023918.55218803</v>
      </c>
      <c r="K255" s="40" t="n">
        <f aca="false">IF($A255="","",MAX($J$4:$J255))</f>
        <v>1023918.55218803</v>
      </c>
      <c r="L255" s="40" t="n">
        <f aca="false">IF($A255="","",$J255-$K255)</f>
        <v>0</v>
      </c>
      <c r="M255" s="42" t="n">
        <f aca="false">IF(OR($A255="",$K255=0),"",$L255/$K255)</f>
        <v>0</v>
      </c>
      <c r="N255" s="40" t="n">
        <f aca="false">IF($A255="","",SUMIFS('Trade Log'!$K$4:$K$503,'Trade Log'!$H$4:$H$503,$A255))</f>
        <v>0</v>
      </c>
      <c r="O255" s="42" t="str">
        <f aca="false">IF(OR($A255="",$H255="",Config!$B$4=0),"",$H255/Config!$B$4)</f>
        <v/>
      </c>
      <c r="P255" s="40" t="n">
        <f aca="false">IF($A255="","",SUM($H$236:$H255))</f>
        <v>0</v>
      </c>
      <c r="Q255" s="53" t="str">
        <f aca="false">IF($A255="","",IFERROR((AVERAGE($O$236:$O255)-Config!$B$7/Config!$B$6)/STDEV($O$236:$O255)*SQRT(Config!$B$6),""))</f>
        <v/>
      </c>
      <c r="R255" s="53" t="str">
        <f aca="false">IF($A255="","",IFERROR((AVERAGE($O$196:$O255)-Config!$B$7/Config!$B$6)/STDEV($O$196:$O255)*SQRT(Config!$B$6),""))</f>
        <v/>
      </c>
      <c r="S255" s="47" t="n">
        <f aca="false">IF($H255="",$S254,IF($H255&gt;0,$S254+1,0))</f>
        <v>1</v>
      </c>
      <c r="T255" s="47" t="n">
        <f aca="false">IF($H255="",$T254,IF($H255&lt;0,$T254+1,0))</f>
        <v>0</v>
      </c>
    </row>
    <row r="256" customFormat="false" ht="15" hidden="false" customHeight="false" outlineLevel="0" collapsed="false">
      <c r="A256" s="54" t="n">
        <f aca="false">IF($A255="","",$A255+1)</f>
        <v>46487</v>
      </c>
      <c r="B256" s="5" t="str">
        <f aca="false">IF($A256="","",TEXT($A256,"ddd"))</f>
        <v>Sat</v>
      </c>
      <c r="C256" s="41" t="n">
        <f aca="false">IF($A256="","",COUNTIFS('Trade Log'!$L$4:$L$503,$A256))</f>
        <v>0</v>
      </c>
      <c r="D256" s="40" t="n">
        <f aca="false">IF($A256="","",SUMIFS('Trade Log'!$Q$4:$Q$503,'Trade Log'!$L$4:$L$503,$A256,'Trade Log'!$E$4:$E$503,"LONG"))</f>
        <v>0</v>
      </c>
      <c r="E256" s="40" t="n">
        <f aca="false">IF($A256="","",SUMIFS('Trade Log'!$Q$4:$Q$503,'Trade Log'!$L$4:$L$503,$A256,'Trade Log'!$E$4:$E$503,"SHORT"))</f>
        <v>0</v>
      </c>
      <c r="F256" s="40" t="n">
        <f aca="false">IF($A256="","",$D256+$E256)</f>
        <v>0</v>
      </c>
      <c r="G256" s="40" t="n">
        <f aca="false">IF($A256="","",SUMIFS('Trade Log'!$Y$4:$Y$503,'Trade Log'!$L$4:$L$503,$A256))</f>
        <v>0</v>
      </c>
      <c r="H256" s="40" t="str">
        <f aca="false">IF($A256="","",IF($C256=0,"",$F256-$G256))</f>
        <v/>
      </c>
      <c r="I256" s="40" t="n">
        <f aca="false">IF($A256="","",$I255+IF($H256="",0,$H256))</f>
        <v>23918.5521880349</v>
      </c>
      <c r="J256" s="40" t="n">
        <f aca="false">IF($A256="","",Config!$B$4+$I256)</f>
        <v>1023918.55218803</v>
      </c>
      <c r="K256" s="40" t="n">
        <f aca="false">IF($A256="","",MAX($J$4:$J256))</f>
        <v>1023918.55218803</v>
      </c>
      <c r="L256" s="40" t="n">
        <f aca="false">IF($A256="","",$J256-$K256)</f>
        <v>0</v>
      </c>
      <c r="M256" s="42" t="n">
        <f aca="false">IF(OR($A256="",$K256=0),"",$L256/$K256)</f>
        <v>0</v>
      </c>
      <c r="N256" s="40" t="n">
        <f aca="false">IF($A256="","",SUMIFS('Trade Log'!$K$4:$K$503,'Trade Log'!$H$4:$H$503,$A256))</f>
        <v>0</v>
      </c>
      <c r="O256" s="42" t="str">
        <f aca="false">IF(OR($A256="",$H256="",Config!$B$4=0),"",$H256/Config!$B$4)</f>
        <v/>
      </c>
      <c r="P256" s="40" t="n">
        <f aca="false">IF($A256="","",SUM($H$237:$H256))</f>
        <v>0</v>
      </c>
      <c r="Q256" s="53" t="str">
        <f aca="false">IF($A256="","",IFERROR((AVERAGE($O$237:$O256)-Config!$B$7/Config!$B$6)/STDEV($O$237:$O256)*SQRT(Config!$B$6),""))</f>
        <v/>
      </c>
      <c r="R256" s="53" t="str">
        <f aca="false">IF($A256="","",IFERROR((AVERAGE($O$197:$O256)-Config!$B$7/Config!$B$6)/STDEV($O$197:$O256)*SQRT(Config!$B$6),""))</f>
        <v/>
      </c>
      <c r="S256" s="47" t="n">
        <f aca="false">IF($H256="",$S255,IF($H256&gt;0,$S255+1,0))</f>
        <v>1</v>
      </c>
      <c r="T256" s="47" t="n">
        <f aca="false">IF($H256="",$T255,IF($H256&lt;0,$T255+1,0))</f>
        <v>0</v>
      </c>
    </row>
    <row r="257" customFormat="false" ht="15" hidden="false" customHeight="false" outlineLevel="0" collapsed="false">
      <c r="A257" s="54" t="n">
        <f aca="false">IF($A256="","",$A256+1)</f>
        <v>46488</v>
      </c>
      <c r="B257" s="5" t="str">
        <f aca="false">IF($A257="","",TEXT($A257,"ddd"))</f>
        <v>Sun</v>
      </c>
      <c r="C257" s="41" t="n">
        <f aca="false">IF($A257="","",COUNTIFS('Trade Log'!$L$4:$L$503,$A257))</f>
        <v>0</v>
      </c>
      <c r="D257" s="40" t="n">
        <f aca="false">IF($A257="","",SUMIFS('Trade Log'!$Q$4:$Q$503,'Trade Log'!$L$4:$L$503,$A257,'Trade Log'!$E$4:$E$503,"LONG"))</f>
        <v>0</v>
      </c>
      <c r="E257" s="40" t="n">
        <f aca="false">IF($A257="","",SUMIFS('Trade Log'!$Q$4:$Q$503,'Trade Log'!$L$4:$L$503,$A257,'Trade Log'!$E$4:$E$503,"SHORT"))</f>
        <v>0</v>
      </c>
      <c r="F257" s="40" t="n">
        <f aca="false">IF($A257="","",$D257+$E257)</f>
        <v>0</v>
      </c>
      <c r="G257" s="40" t="n">
        <f aca="false">IF($A257="","",SUMIFS('Trade Log'!$Y$4:$Y$503,'Trade Log'!$L$4:$L$503,$A257))</f>
        <v>0</v>
      </c>
      <c r="H257" s="40" t="str">
        <f aca="false">IF($A257="","",IF($C257=0,"",$F257-$G257))</f>
        <v/>
      </c>
      <c r="I257" s="40" t="n">
        <f aca="false">IF($A257="","",$I256+IF($H257="",0,$H257))</f>
        <v>23918.5521880349</v>
      </c>
      <c r="J257" s="40" t="n">
        <f aca="false">IF($A257="","",Config!$B$4+$I257)</f>
        <v>1023918.55218803</v>
      </c>
      <c r="K257" s="40" t="n">
        <f aca="false">IF($A257="","",MAX($J$4:$J257))</f>
        <v>1023918.55218803</v>
      </c>
      <c r="L257" s="40" t="n">
        <f aca="false">IF($A257="","",$J257-$K257)</f>
        <v>0</v>
      </c>
      <c r="M257" s="42" t="n">
        <f aca="false">IF(OR($A257="",$K257=0),"",$L257/$K257)</f>
        <v>0</v>
      </c>
      <c r="N257" s="40" t="n">
        <f aca="false">IF($A257="","",SUMIFS('Trade Log'!$K$4:$K$503,'Trade Log'!$H$4:$H$503,$A257))</f>
        <v>0</v>
      </c>
      <c r="O257" s="42" t="str">
        <f aca="false">IF(OR($A257="",$H257="",Config!$B$4=0),"",$H257/Config!$B$4)</f>
        <v/>
      </c>
      <c r="P257" s="40" t="n">
        <f aca="false">IF($A257="","",SUM($H$238:$H257))</f>
        <v>0</v>
      </c>
      <c r="Q257" s="53" t="str">
        <f aca="false">IF($A257="","",IFERROR((AVERAGE($O$238:$O257)-Config!$B$7/Config!$B$6)/STDEV($O$238:$O257)*SQRT(Config!$B$6),""))</f>
        <v/>
      </c>
      <c r="R257" s="53" t="str">
        <f aca="false">IF($A257="","",IFERROR((AVERAGE($O$198:$O257)-Config!$B$7/Config!$B$6)/STDEV($O$198:$O257)*SQRT(Config!$B$6),""))</f>
        <v/>
      </c>
      <c r="S257" s="47" t="n">
        <f aca="false">IF($H257="",$S256,IF($H257&gt;0,$S256+1,0))</f>
        <v>1</v>
      </c>
      <c r="T257" s="47" t="n">
        <f aca="false">IF($H257="",$T256,IF($H257&lt;0,$T256+1,0))</f>
        <v>0</v>
      </c>
    </row>
    <row r="258" customFormat="false" ht="15" hidden="false" customHeight="false" outlineLevel="0" collapsed="false">
      <c r="A258" s="54" t="n">
        <f aca="false">IF($A257="","",$A257+1)</f>
        <v>46489</v>
      </c>
      <c r="B258" s="5" t="str">
        <f aca="false">IF($A258="","",TEXT($A258,"ddd"))</f>
        <v>Mon</v>
      </c>
      <c r="C258" s="41" t="n">
        <f aca="false">IF($A258="","",COUNTIFS('Trade Log'!$L$4:$L$503,$A258))</f>
        <v>0</v>
      </c>
      <c r="D258" s="40" t="n">
        <f aca="false">IF($A258="","",SUMIFS('Trade Log'!$Q$4:$Q$503,'Trade Log'!$L$4:$L$503,$A258,'Trade Log'!$E$4:$E$503,"LONG"))</f>
        <v>0</v>
      </c>
      <c r="E258" s="40" t="n">
        <f aca="false">IF($A258="","",SUMIFS('Trade Log'!$Q$4:$Q$503,'Trade Log'!$L$4:$L$503,$A258,'Trade Log'!$E$4:$E$503,"SHORT"))</f>
        <v>0</v>
      </c>
      <c r="F258" s="40" t="n">
        <f aca="false">IF($A258="","",$D258+$E258)</f>
        <v>0</v>
      </c>
      <c r="G258" s="40" t="n">
        <f aca="false">IF($A258="","",SUMIFS('Trade Log'!$Y$4:$Y$503,'Trade Log'!$L$4:$L$503,$A258))</f>
        <v>0</v>
      </c>
      <c r="H258" s="40" t="str">
        <f aca="false">IF($A258="","",IF($C258=0,"",$F258-$G258))</f>
        <v/>
      </c>
      <c r="I258" s="40" t="n">
        <f aca="false">IF($A258="","",$I257+IF($H258="",0,$H258))</f>
        <v>23918.5521880349</v>
      </c>
      <c r="J258" s="40" t="n">
        <f aca="false">IF($A258="","",Config!$B$4+$I258)</f>
        <v>1023918.55218803</v>
      </c>
      <c r="K258" s="40" t="n">
        <f aca="false">IF($A258="","",MAX($J$4:$J258))</f>
        <v>1023918.55218803</v>
      </c>
      <c r="L258" s="40" t="n">
        <f aca="false">IF($A258="","",$J258-$K258)</f>
        <v>0</v>
      </c>
      <c r="M258" s="42" t="n">
        <f aca="false">IF(OR($A258="",$K258=0),"",$L258/$K258)</f>
        <v>0</v>
      </c>
      <c r="N258" s="40" t="n">
        <f aca="false">IF($A258="","",SUMIFS('Trade Log'!$K$4:$K$503,'Trade Log'!$H$4:$H$503,$A258))</f>
        <v>0</v>
      </c>
      <c r="O258" s="42" t="str">
        <f aca="false">IF(OR($A258="",$H258="",Config!$B$4=0),"",$H258/Config!$B$4)</f>
        <v/>
      </c>
      <c r="P258" s="40" t="n">
        <f aca="false">IF($A258="","",SUM($H$239:$H258))</f>
        <v>0</v>
      </c>
      <c r="Q258" s="53" t="str">
        <f aca="false">IF($A258="","",IFERROR((AVERAGE($O$239:$O258)-Config!$B$7/Config!$B$6)/STDEV($O$239:$O258)*SQRT(Config!$B$6),""))</f>
        <v/>
      </c>
      <c r="R258" s="53" t="str">
        <f aca="false">IF($A258="","",IFERROR((AVERAGE($O$199:$O258)-Config!$B$7/Config!$B$6)/STDEV($O$199:$O258)*SQRT(Config!$B$6),""))</f>
        <v/>
      </c>
      <c r="S258" s="47" t="n">
        <f aca="false">IF($H258="",$S257,IF($H258&gt;0,$S257+1,0))</f>
        <v>1</v>
      </c>
      <c r="T258" s="47" t="n">
        <f aca="false">IF($H258="",$T257,IF($H258&lt;0,$T257+1,0))</f>
        <v>0</v>
      </c>
    </row>
    <row r="259" customFormat="false" ht="15" hidden="false" customHeight="false" outlineLevel="0" collapsed="false">
      <c r="A259" s="54" t="n">
        <f aca="false">IF($A258="","",$A258+1)</f>
        <v>46490</v>
      </c>
      <c r="B259" s="5" t="str">
        <f aca="false">IF($A259="","",TEXT($A259,"ddd"))</f>
        <v>Tue</v>
      </c>
      <c r="C259" s="41" t="n">
        <f aca="false">IF($A259="","",COUNTIFS('Trade Log'!$L$4:$L$503,$A259))</f>
        <v>0</v>
      </c>
      <c r="D259" s="40" t="n">
        <f aca="false">IF($A259="","",SUMIFS('Trade Log'!$Q$4:$Q$503,'Trade Log'!$L$4:$L$503,$A259,'Trade Log'!$E$4:$E$503,"LONG"))</f>
        <v>0</v>
      </c>
      <c r="E259" s="40" t="n">
        <f aca="false">IF($A259="","",SUMIFS('Trade Log'!$Q$4:$Q$503,'Trade Log'!$L$4:$L$503,$A259,'Trade Log'!$E$4:$E$503,"SHORT"))</f>
        <v>0</v>
      </c>
      <c r="F259" s="40" t="n">
        <f aca="false">IF($A259="","",$D259+$E259)</f>
        <v>0</v>
      </c>
      <c r="G259" s="40" t="n">
        <f aca="false">IF($A259="","",SUMIFS('Trade Log'!$Y$4:$Y$503,'Trade Log'!$L$4:$L$503,$A259))</f>
        <v>0</v>
      </c>
      <c r="H259" s="40" t="str">
        <f aca="false">IF($A259="","",IF($C259=0,"",$F259-$G259))</f>
        <v/>
      </c>
      <c r="I259" s="40" t="n">
        <f aca="false">IF($A259="","",$I258+IF($H259="",0,$H259))</f>
        <v>23918.5521880349</v>
      </c>
      <c r="J259" s="40" t="n">
        <f aca="false">IF($A259="","",Config!$B$4+$I259)</f>
        <v>1023918.55218803</v>
      </c>
      <c r="K259" s="40" t="n">
        <f aca="false">IF($A259="","",MAX($J$4:$J259))</f>
        <v>1023918.55218803</v>
      </c>
      <c r="L259" s="40" t="n">
        <f aca="false">IF($A259="","",$J259-$K259)</f>
        <v>0</v>
      </c>
      <c r="M259" s="42" t="n">
        <f aca="false">IF(OR($A259="",$K259=0),"",$L259/$K259)</f>
        <v>0</v>
      </c>
      <c r="N259" s="40" t="n">
        <f aca="false">IF($A259="","",SUMIFS('Trade Log'!$K$4:$K$503,'Trade Log'!$H$4:$H$503,$A259))</f>
        <v>0</v>
      </c>
      <c r="O259" s="42" t="str">
        <f aca="false">IF(OR($A259="",$H259="",Config!$B$4=0),"",$H259/Config!$B$4)</f>
        <v/>
      </c>
      <c r="P259" s="40" t="n">
        <f aca="false">IF($A259="","",SUM($H$240:$H259))</f>
        <v>0</v>
      </c>
      <c r="Q259" s="53" t="str">
        <f aca="false">IF($A259="","",IFERROR((AVERAGE($O$240:$O259)-Config!$B$7/Config!$B$6)/STDEV($O$240:$O259)*SQRT(Config!$B$6),""))</f>
        <v/>
      </c>
      <c r="R259" s="53" t="str">
        <f aca="false">IF($A259="","",IFERROR((AVERAGE($O$200:$O259)-Config!$B$7/Config!$B$6)/STDEV($O$200:$O259)*SQRT(Config!$B$6),""))</f>
        <v/>
      </c>
      <c r="S259" s="47" t="n">
        <f aca="false">IF($H259="",$S258,IF($H259&gt;0,$S258+1,0))</f>
        <v>1</v>
      </c>
      <c r="T259" s="47" t="n">
        <f aca="false">IF($H259="",$T258,IF($H259&lt;0,$T258+1,0))</f>
        <v>0</v>
      </c>
    </row>
    <row r="260" customFormat="false" ht="15" hidden="false" customHeight="false" outlineLevel="0" collapsed="false">
      <c r="A260" s="54" t="n">
        <f aca="false">IF($A259="","",$A259+1)</f>
        <v>46491</v>
      </c>
      <c r="B260" s="5" t="str">
        <f aca="false">IF($A260="","",TEXT($A260,"ddd"))</f>
        <v>Wed</v>
      </c>
      <c r="C260" s="41" t="n">
        <f aca="false">IF($A260="","",COUNTIFS('Trade Log'!$L$4:$L$503,$A260))</f>
        <v>0</v>
      </c>
      <c r="D260" s="40" t="n">
        <f aca="false">IF($A260="","",SUMIFS('Trade Log'!$Q$4:$Q$503,'Trade Log'!$L$4:$L$503,$A260,'Trade Log'!$E$4:$E$503,"LONG"))</f>
        <v>0</v>
      </c>
      <c r="E260" s="40" t="n">
        <f aca="false">IF($A260="","",SUMIFS('Trade Log'!$Q$4:$Q$503,'Trade Log'!$L$4:$L$503,$A260,'Trade Log'!$E$4:$E$503,"SHORT"))</f>
        <v>0</v>
      </c>
      <c r="F260" s="40" t="n">
        <f aca="false">IF($A260="","",$D260+$E260)</f>
        <v>0</v>
      </c>
      <c r="G260" s="40" t="n">
        <f aca="false">IF($A260="","",SUMIFS('Trade Log'!$Y$4:$Y$503,'Trade Log'!$L$4:$L$503,$A260))</f>
        <v>0</v>
      </c>
      <c r="H260" s="40" t="str">
        <f aca="false">IF($A260="","",IF($C260=0,"",$F260-$G260))</f>
        <v/>
      </c>
      <c r="I260" s="40" t="n">
        <f aca="false">IF($A260="","",$I259+IF($H260="",0,$H260))</f>
        <v>23918.5521880349</v>
      </c>
      <c r="J260" s="40" t="n">
        <f aca="false">IF($A260="","",Config!$B$4+$I260)</f>
        <v>1023918.55218803</v>
      </c>
      <c r="K260" s="40" t="n">
        <f aca="false">IF($A260="","",MAX($J$4:$J260))</f>
        <v>1023918.55218803</v>
      </c>
      <c r="L260" s="40" t="n">
        <f aca="false">IF($A260="","",$J260-$K260)</f>
        <v>0</v>
      </c>
      <c r="M260" s="42" t="n">
        <f aca="false">IF(OR($A260="",$K260=0),"",$L260/$K260)</f>
        <v>0</v>
      </c>
      <c r="N260" s="40" t="n">
        <f aca="false">IF($A260="","",SUMIFS('Trade Log'!$K$4:$K$503,'Trade Log'!$H$4:$H$503,$A260))</f>
        <v>0</v>
      </c>
      <c r="O260" s="42" t="str">
        <f aca="false">IF(OR($A260="",$H260="",Config!$B$4=0),"",$H260/Config!$B$4)</f>
        <v/>
      </c>
      <c r="P260" s="40" t="n">
        <f aca="false">IF($A260="","",SUM($H$241:$H260))</f>
        <v>0</v>
      </c>
      <c r="Q260" s="53" t="str">
        <f aca="false">IF($A260="","",IFERROR((AVERAGE($O$241:$O260)-Config!$B$7/Config!$B$6)/STDEV($O$241:$O260)*SQRT(Config!$B$6),""))</f>
        <v/>
      </c>
      <c r="R260" s="53" t="str">
        <f aca="false">IF($A260="","",IFERROR((AVERAGE($O$201:$O260)-Config!$B$7/Config!$B$6)/STDEV($O$201:$O260)*SQRT(Config!$B$6),""))</f>
        <v/>
      </c>
      <c r="S260" s="47" t="n">
        <f aca="false">IF($H260="",$S259,IF($H260&gt;0,$S259+1,0))</f>
        <v>1</v>
      </c>
      <c r="T260" s="47" t="n">
        <f aca="false">IF($H260="",$T259,IF($H260&lt;0,$T259+1,0))</f>
        <v>0</v>
      </c>
    </row>
    <row r="261" customFormat="false" ht="15" hidden="false" customHeight="false" outlineLevel="0" collapsed="false">
      <c r="A261" s="54" t="n">
        <f aca="false">IF($A260="","",$A260+1)</f>
        <v>46492</v>
      </c>
      <c r="B261" s="5" t="str">
        <f aca="false">IF($A261="","",TEXT($A261,"ddd"))</f>
        <v>Thu</v>
      </c>
      <c r="C261" s="41" t="n">
        <f aca="false">IF($A261="","",COUNTIFS('Trade Log'!$L$4:$L$503,$A261))</f>
        <v>0</v>
      </c>
      <c r="D261" s="40" t="n">
        <f aca="false">IF($A261="","",SUMIFS('Trade Log'!$Q$4:$Q$503,'Trade Log'!$L$4:$L$503,$A261,'Trade Log'!$E$4:$E$503,"LONG"))</f>
        <v>0</v>
      </c>
      <c r="E261" s="40" t="n">
        <f aca="false">IF($A261="","",SUMIFS('Trade Log'!$Q$4:$Q$503,'Trade Log'!$L$4:$L$503,$A261,'Trade Log'!$E$4:$E$503,"SHORT"))</f>
        <v>0</v>
      </c>
      <c r="F261" s="40" t="n">
        <f aca="false">IF($A261="","",$D261+$E261)</f>
        <v>0</v>
      </c>
      <c r="G261" s="40" t="n">
        <f aca="false">IF($A261="","",SUMIFS('Trade Log'!$Y$4:$Y$503,'Trade Log'!$L$4:$L$503,$A261))</f>
        <v>0</v>
      </c>
      <c r="H261" s="40" t="str">
        <f aca="false">IF($A261="","",IF($C261=0,"",$F261-$G261))</f>
        <v/>
      </c>
      <c r="I261" s="40" t="n">
        <f aca="false">IF($A261="","",$I260+IF($H261="",0,$H261))</f>
        <v>23918.5521880349</v>
      </c>
      <c r="J261" s="40" t="n">
        <f aca="false">IF($A261="","",Config!$B$4+$I261)</f>
        <v>1023918.55218803</v>
      </c>
      <c r="K261" s="40" t="n">
        <f aca="false">IF($A261="","",MAX($J$4:$J261))</f>
        <v>1023918.55218803</v>
      </c>
      <c r="L261" s="40" t="n">
        <f aca="false">IF($A261="","",$J261-$K261)</f>
        <v>0</v>
      </c>
      <c r="M261" s="42" t="n">
        <f aca="false">IF(OR($A261="",$K261=0),"",$L261/$K261)</f>
        <v>0</v>
      </c>
      <c r="N261" s="40" t="n">
        <f aca="false">IF($A261="","",SUMIFS('Trade Log'!$K$4:$K$503,'Trade Log'!$H$4:$H$503,$A261))</f>
        <v>0</v>
      </c>
      <c r="O261" s="42" t="str">
        <f aca="false">IF(OR($A261="",$H261="",Config!$B$4=0),"",$H261/Config!$B$4)</f>
        <v/>
      </c>
      <c r="P261" s="40" t="n">
        <f aca="false">IF($A261="","",SUM($H$242:$H261))</f>
        <v>0</v>
      </c>
      <c r="Q261" s="53" t="str">
        <f aca="false">IF($A261="","",IFERROR((AVERAGE($O$242:$O261)-Config!$B$7/Config!$B$6)/STDEV($O$242:$O261)*SQRT(Config!$B$6),""))</f>
        <v/>
      </c>
      <c r="R261" s="53" t="str">
        <f aca="false">IF($A261="","",IFERROR((AVERAGE($O$202:$O261)-Config!$B$7/Config!$B$6)/STDEV($O$202:$O261)*SQRT(Config!$B$6),""))</f>
        <v/>
      </c>
      <c r="S261" s="47" t="n">
        <f aca="false">IF($H261="",$S260,IF($H261&gt;0,$S260+1,0))</f>
        <v>1</v>
      </c>
      <c r="T261" s="47" t="n">
        <f aca="false">IF($H261="",$T260,IF($H261&lt;0,$T260+1,0))</f>
        <v>0</v>
      </c>
    </row>
    <row r="262" customFormat="false" ht="15" hidden="false" customHeight="false" outlineLevel="0" collapsed="false">
      <c r="A262" s="54" t="n">
        <f aca="false">IF($A261="","",$A261+1)</f>
        <v>46493</v>
      </c>
      <c r="B262" s="5" t="str">
        <f aca="false">IF($A262="","",TEXT($A262,"ddd"))</f>
        <v>Fri</v>
      </c>
      <c r="C262" s="41" t="n">
        <f aca="false">IF($A262="","",COUNTIFS('Trade Log'!$L$4:$L$503,$A262))</f>
        <v>0</v>
      </c>
      <c r="D262" s="40" t="n">
        <f aca="false">IF($A262="","",SUMIFS('Trade Log'!$Q$4:$Q$503,'Trade Log'!$L$4:$L$503,$A262,'Trade Log'!$E$4:$E$503,"LONG"))</f>
        <v>0</v>
      </c>
      <c r="E262" s="40" t="n">
        <f aca="false">IF($A262="","",SUMIFS('Trade Log'!$Q$4:$Q$503,'Trade Log'!$L$4:$L$503,$A262,'Trade Log'!$E$4:$E$503,"SHORT"))</f>
        <v>0</v>
      </c>
      <c r="F262" s="40" t="n">
        <f aca="false">IF($A262="","",$D262+$E262)</f>
        <v>0</v>
      </c>
      <c r="G262" s="40" t="n">
        <f aca="false">IF($A262="","",SUMIFS('Trade Log'!$Y$4:$Y$503,'Trade Log'!$L$4:$L$503,$A262))</f>
        <v>0</v>
      </c>
      <c r="H262" s="40" t="str">
        <f aca="false">IF($A262="","",IF($C262=0,"",$F262-$G262))</f>
        <v/>
      </c>
      <c r="I262" s="40" t="n">
        <f aca="false">IF($A262="","",$I261+IF($H262="",0,$H262))</f>
        <v>23918.5521880349</v>
      </c>
      <c r="J262" s="40" t="n">
        <f aca="false">IF($A262="","",Config!$B$4+$I262)</f>
        <v>1023918.55218803</v>
      </c>
      <c r="K262" s="40" t="n">
        <f aca="false">IF($A262="","",MAX($J$4:$J262))</f>
        <v>1023918.55218803</v>
      </c>
      <c r="L262" s="40" t="n">
        <f aca="false">IF($A262="","",$J262-$K262)</f>
        <v>0</v>
      </c>
      <c r="M262" s="42" t="n">
        <f aca="false">IF(OR($A262="",$K262=0),"",$L262/$K262)</f>
        <v>0</v>
      </c>
      <c r="N262" s="40" t="n">
        <f aca="false">IF($A262="","",SUMIFS('Trade Log'!$K$4:$K$503,'Trade Log'!$H$4:$H$503,$A262))</f>
        <v>0</v>
      </c>
      <c r="O262" s="42" t="str">
        <f aca="false">IF(OR($A262="",$H262="",Config!$B$4=0),"",$H262/Config!$B$4)</f>
        <v/>
      </c>
      <c r="P262" s="40" t="n">
        <f aca="false">IF($A262="","",SUM($H$243:$H262))</f>
        <v>0</v>
      </c>
      <c r="Q262" s="53" t="str">
        <f aca="false">IF($A262="","",IFERROR((AVERAGE($O$243:$O262)-Config!$B$7/Config!$B$6)/STDEV($O$243:$O262)*SQRT(Config!$B$6),""))</f>
        <v/>
      </c>
      <c r="R262" s="53" t="str">
        <f aca="false">IF($A262="","",IFERROR((AVERAGE($O$203:$O262)-Config!$B$7/Config!$B$6)/STDEV($O$203:$O262)*SQRT(Config!$B$6),""))</f>
        <v/>
      </c>
      <c r="S262" s="47" t="n">
        <f aca="false">IF($H262="",$S261,IF($H262&gt;0,$S261+1,0))</f>
        <v>1</v>
      </c>
      <c r="T262" s="47" t="n">
        <f aca="false">IF($H262="",$T261,IF($H262&lt;0,$T261+1,0))</f>
        <v>0</v>
      </c>
    </row>
    <row r="263" customFormat="false" ht="15" hidden="false" customHeight="false" outlineLevel="0" collapsed="false">
      <c r="A263" s="54" t="n">
        <f aca="false">IF($A262="","",$A262+1)</f>
        <v>46494</v>
      </c>
      <c r="B263" s="5" t="str">
        <f aca="false">IF($A263="","",TEXT($A263,"ddd"))</f>
        <v>Sat</v>
      </c>
      <c r="C263" s="41" t="n">
        <f aca="false">IF($A263="","",COUNTIFS('Trade Log'!$L$4:$L$503,$A263))</f>
        <v>0</v>
      </c>
      <c r="D263" s="40" t="n">
        <f aca="false">IF($A263="","",SUMIFS('Trade Log'!$Q$4:$Q$503,'Trade Log'!$L$4:$L$503,$A263,'Trade Log'!$E$4:$E$503,"LONG"))</f>
        <v>0</v>
      </c>
      <c r="E263" s="40" t="n">
        <f aca="false">IF($A263="","",SUMIFS('Trade Log'!$Q$4:$Q$503,'Trade Log'!$L$4:$L$503,$A263,'Trade Log'!$E$4:$E$503,"SHORT"))</f>
        <v>0</v>
      </c>
      <c r="F263" s="40" t="n">
        <f aca="false">IF($A263="","",$D263+$E263)</f>
        <v>0</v>
      </c>
      <c r="G263" s="40" t="n">
        <f aca="false">IF($A263="","",SUMIFS('Trade Log'!$Y$4:$Y$503,'Trade Log'!$L$4:$L$503,$A263))</f>
        <v>0</v>
      </c>
      <c r="H263" s="40" t="str">
        <f aca="false">IF($A263="","",IF($C263=0,"",$F263-$G263))</f>
        <v/>
      </c>
      <c r="I263" s="40" t="n">
        <f aca="false">IF($A263="","",$I262+IF($H263="",0,$H263))</f>
        <v>23918.5521880349</v>
      </c>
      <c r="J263" s="40" t="n">
        <f aca="false">IF($A263="","",Config!$B$4+$I263)</f>
        <v>1023918.55218803</v>
      </c>
      <c r="K263" s="40" t="n">
        <f aca="false">IF($A263="","",MAX($J$4:$J263))</f>
        <v>1023918.55218803</v>
      </c>
      <c r="L263" s="40" t="n">
        <f aca="false">IF($A263="","",$J263-$K263)</f>
        <v>0</v>
      </c>
      <c r="M263" s="42" t="n">
        <f aca="false">IF(OR($A263="",$K263=0),"",$L263/$K263)</f>
        <v>0</v>
      </c>
      <c r="N263" s="40" t="n">
        <f aca="false">IF($A263="","",SUMIFS('Trade Log'!$K$4:$K$503,'Trade Log'!$H$4:$H$503,$A263))</f>
        <v>0</v>
      </c>
      <c r="O263" s="42" t="str">
        <f aca="false">IF(OR($A263="",$H263="",Config!$B$4=0),"",$H263/Config!$B$4)</f>
        <v/>
      </c>
      <c r="P263" s="40" t="n">
        <f aca="false">IF($A263="","",SUM($H$244:$H263))</f>
        <v>0</v>
      </c>
      <c r="Q263" s="53" t="str">
        <f aca="false">IF($A263="","",IFERROR((AVERAGE($O$244:$O263)-Config!$B$7/Config!$B$6)/STDEV($O$244:$O263)*SQRT(Config!$B$6),""))</f>
        <v/>
      </c>
      <c r="R263" s="53" t="str">
        <f aca="false">IF($A263="","",IFERROR((AVERAGE($O$204:$O263)-Config!$B$7/Config!$B$6)/STDEV($O$204:$O263)*SQRT(Config!$B$6),""))</f>
        <v/>
      </c>
      <c r="S263" s="47" t="n">
        <f aca="false">IF($H263="",$S262,IF($H263&gt;0,$S262+1,0))</f>
        <v>1</v>
      </c>
      <c r="T263" s="47" t="n">
        <f aca="false">IF($H263="",$T262,IF($H263&lt;0,$T262+1,0))</f>
        <v>0</v>
      </c>
    </row>
    <row r="264" customFormat="false" ht="15" hidden="false" customHeight="false" outlineLevel="0" collapsed="false">
      <c r="A264" s="54" t="n">
        <f aca="false">IF($A263="","",$A263+1)</f>
        <v>46495</v>
      </c>
      <c r="B264" s="5" t="str">
        <f aca="false">IF($A264="","",TEXT($A264,"ddd"))</f>
        <v>Sun</v>
      </c>
      <c r="C264" s="41" t="n">
        <f aca="false">IF($A264="","",COUNTIFS('Trade Log'!$L$4:$L$503,$A264))</f>
        <v>0</v>
      </c>
      <c r="D264" s="40" t="n">
        <f aca="false">IF($A264="","",SUMIFS('Trade Log'!$Q$4:$Q$503,'Trade Log'!$L$4:$L$503,$A264,'Trade Log'!$E$4:$E$503,"LONG"))</f>
        <v>0</v>
      </c>
      <c r="E264" s="40" t="n">
        <f aca="false">IF($A264="","",SUMIFS('Trade Log'!$Q$4:$Q$503,'Trade Log'!$L$4:$L$503,$A264,'Trade Log'!$E$4:$E$503,"SHORT"))</f>
        <v>0</v>
      </c>
      <c r="F264" s="40" t="n">
        <f aca="false">IF($A264="","",$D264+$E264)</f>
        <v>0</v>
      </c>
      <c r="G264" s="40" t="n">
        <f aca="false">IF($A264="","",SUMIFS('Trade Log'!$Y$4:$Y$503,'Trade Log'!$L$4:$L$503,$A264))</f>
        <v>0</v>
      </c>
      <c r="H264" s="40" t="str">
        <f aca="false">IF($A264="","",IF($C264=0,"",$F264-$G264))</f>
        <v/>
      </c>
      <c r="I264" s="40" t="n">
        <f aca="false">IF($A264="","",$I263+IF($H264="",0,$H264))</f>
        <v>23918.5521880349</v>
      </c>
      <c r="J264" s="40" t="n">
        <f aca="false">IF($A264="","",Config!$B$4+$I264)</f>
        <v>1023918.55218803</v>
      </c>
      <c r="K264" s="40" t="n">
        <f aca="false">IF($A264="","",MAX($J$4:$J264))</f>
        <v>1023918.55218803</v>
      </c>
      <c r="L264" s="40" t="n">
        <f aca="false">IF($A264="","",$J264-$K264)</f>
        <v>0</v>
      </c>
      <c r="M264" s="42" t="n">
        <f aca="false">IF(OR($A264="",$K264=0),"",$L264/$K264)</f>
        <v>0</v>
      </c>
      <c r="N264" s="40" t="n">
        <f aca="false">IF($A264="","",SUMIFS('Trade Log'!$K$4:$K$503,'Trade Log'!$H$4:$H$503,$A264))</f>
        <v>0</v>
      </c>
      <c r="O264" s="42" t="str">
        <f aca="false">IF(OR($A264="",$H264="",Config!$B$4=0),"",$H264/Config!$B$4)</f>
        <v/>
      </c>
      <c r="P264" s="40" t="n">
        <f aca="false">IF($A264="","",SUM($H$245:$H264))</f>
        <v>0</v>
      </c>
      <c r="Q264" s="53" t="str">
        <f aca="false">IF($A264="","",IFERROR((AVERAGE($O$245:$O264)-Config!$B$7/Config!$B$6)/STDEV($O$245:$O264)*SQRT(Config!$B$6),""))</f>
        <v/>
      </c>
      <c r="R264" s="53" t="str">
        <f aca="false">IF($A264="","",IFERROR((AVERAGE($O$205:$O264)-Config!$B$7/Config!$B$6)/STDEV($O$205:$O264)*SQRT(Config!$B$6),""))</f>
        <v/>
      </c>
      <c r="S264" s="47" t="n">
        <f aca="false">IF($H264="",$S263,IF($H264&gt;0,$S263+1,0))</f>
        <v>1</v>
      </c>
      <c r="T264" s="47" t="n">
        <f aca="false">IF($H264="",$T263,IF($H264&lt;0,$T263+1,0))</f>
        <v>0</v>
      </c>
    </row>
    <row r="265" customFormat="false" ht="15" hidden="false" customHeight="false" outlineLevel="0" collapsed="false">
      <c r="A265" s="54" t="n">
        <f aca="false">IF($A264="","",$A264+1)</f>
        <v>46496</v>
      </c>
      <c r="B265" s="5" t="str">
        <f aca="false">IF($A265="","",TEXT($A265,"ddd"))</f>
        <v>Mon</v>
      </c>
      <c r="C265" s="41" t="n">
        <f aca="false">IF($A265="","",COUNTIFS('Trade Log'!$L$4:$L$503,$A265))</f>
        <v>0</v>
      </c>
      <c r="D265" s="40" t="n">
        <f aca="false">IF($A265="","",SUMIFS('Trade Log'!$Q$4:$Q$503,'Trade Log'!$L$4:$L$503,$A265,'Trade Log'!$E$4:$E$503,"LONG"))</f>
        <v>0</v>
      </c>
      <c r="E265" s="40" t="n">
        <f aca="false">IF($A265="","",SUMIFS('Trade Log'!$Q$4:$Q$503,'Trade Log'!$L$4:$L$503,$A265,'Trade Log'!$E$4:$E$503,"SHORT"))</f>
        <v>0</v>
      </c>
      <c r="F265" s="40" t="n">
        <f aca="false">IF($A265="","",$D265+$E265)</f>
        <v>0</v>
      </c>
      <c r="G265" s="40" t="n">
        <f aca="false">IF($A265="","",SUMIFS('Trade Log'!$Y$4:$Y$503,'Trade Log'!$L$4:$L$503,$A265))</f>
        <v>0</v>
      </c>
      <c r="H265" s="40" t="str">
        <f aca="false">IF($A265="","",IF($C265=0,"",$F265-$G265))</f>
        <v/>
      </c>
      <c r="I265" s="40" t="n">
        <f aca="false">IF($A265="","",$I264+IF($H265="",0,$H265))</f>
        <v>23918.5521880349</v>
      </c>
      <c r="J265" s="40" t="n">
        <f aca="false">IF($A265="","",Config!$B$4+$I265)</f>
        <v>1023918.55218803</v>
      </c>
      <c r="K265" s="40" t="n">
        <f aca="false">IF($A265="","",MAX($J$4:$J265))</f>
        <v>1023918.55218803</v>
      </c>
      <c r="L265" s="40" t="n">
        <f aca="false">IF($A265="","",$J265-$K265)</f>
        <v>0</v>
      </c>
      <c r="M265" s="42" t="n">
        <f aca="false">IF(OR($A265="",$K265=0),"",$L265/$K265)</f>
        <v>0</v>
      </c>
      <c r="N265" s="40" t="n">
        <f aca="false">IF($A265="","",SUMIFS('Trade Log'!$K$4:$K$503,'Trade Log'!$H$4:$H$503,$A265))</f>
        <v>0</v>
      </c>
      <c r="O265" s="42" t="str">
        <f aca="false">IF(OR($A265="",$H265="",Config!$B$4=0),"",$H265/Config!$B$4)</f>
        <v/>
      </c>
      <c r="P265" s="40" t="n">
        <f aca="false">IF($A265="","",SUM($H$246:$H265))</f>
        <v>0</v>
      </c>
      <c r="Q265" s="53" t="str">
        <f aca="false">IF($A265="","",IFERROR((AVERAGE($O$246:$O265)-Config!$B$7/Config!$B$6)/STDEV($O$246:$O265)*SQRT(Config!$B$6),""))</f>
        <v/>
      </c>
      <c r="R265" s="53" t="str">
        <f aca="false">IF($A265="","",IFERROR((AVERAGE($O$206:$O265)-Config!$B$7/Config!$B$6)/STDEV($O$206:$O265)*SQRT(Config!$B$6),""))</f>
        <v/>
      </c>
      <c r="S265" s="47" t="n">
        <f aca="false">IF($H265="",$S264,IF($H265&gt;0,$S264+1,0))</f>
        <v>1</v>
      </c>
      <c r="T265" s="47" t="n">
        <f aca="false">IF($H265="",$T264,IF($H265&lt;0,$T264+1,0))</f>
        <v>0</v>
      </c>
    </row>
    <row r="266" customFormat="false" ht="15" hidden="false" customHeight="false" outlineLevel="0" collapsed="false">
      <c r="A266" s="54" t="n">
        <f aca="false">IF($A265="","",$A265+1)</f>
        <v>46497</v>
      </c>
      <c r="B266" s="5" t="str">
        <f aca="false">IF($A266="","",TEXT($A266,"ddd"))</f>
        <v>Tue</v>
      </c>
      <c r="C266" s="41" t="n">
        <f aca="false">IF($A266="","",COUNTIFS('Trade Log'!$L$4:$L$503,$A266))</f>
        <v>0</v>
      </c>
      <c r="D266" s="40" t="n">
        <f aca="false">IF($A266="","",SUMIFS('Trade Log'!$Q$4:$Q$503,'Trade Log'!$L$4:$L$503,$A266,'Trade Log'!$E$4:$E$503,"LONG"))</f>
        <v>0</v>
      </c>
      <c r="E266" s="40" t="n">
        <f aca="false">IF($A266="","",SUMIFS('Trade Log'!$Q$4:$Q$503,'Trade Log'!$L$4:$L$503,$A266,'Trade Log'!$E$4:$E$503,"SHORT"))</f>
        <v>0</v>
      </c>
      <c r="F266" s="40" t="n">
        <f aca="false">IF($A266="","",$D266+$E266)</f>
        <v>0</v>
      </c>
      <c r="G266" s="40" t="n">
        <f aca="false">IF($A266="","",SUMIFS('Trade Log'!$Y$4:$Y$503,'Trade Log'!$L$4:$L$503,$A266))</f>
        <v>0</v>
      </c>
      <c r="H266" s="40" t="str">
        <f aca="false">IF($A266="","",IF($C266=0,"",$F266-$G266))</f>
        <v/>
      </c>
      <c r="I266" s="40" t="n">
        <f aca="false">IF($A266="","",$I265+IF($H266="",0,$H266))</f>
        <v>23918.5521880349</v>
      </c>
      <c r="J266" s="40" t="n">
        <f aca="false">IF($A266="","",Config!$B$4+$I266)</f>
        <v>1023918.55218803</v>
      </c>
      <c r="K266" s="40" t="n">
        <f aca="false">IF($A266="","",MAX($J$4:$J266))</f>
        <v>1023918.55218803</v>
      </c>
      <c r="L266" s="40" t="n">
        <f aca="false">IF($A266="","",$J266-$K266)</f>
        <v>0</v>
      </c>
      <c r="M266" s="42" t="n">
        <f aca="false">IF(OR($A266="",$K266=0),"",$L266/$K266)</f>
        <v>0</v>
      </c>
      <c r="N266" s="40" t="n">
        <f aca="false">IF($A266="","",SUMIFS('Trade Log'!$K$4:$K$503,'Trade Log'!$H$4:$H$503,$A266))</f>
        <v>0</v>
      </c>
      <c r="O266" s="42" t="str">
        <f aca="false">IF(OR($A266="",$H266="",Config!$B$4=0),"",$H266/Config!$B$4)</f>
        <v/>
      </c>
      <c r="P266" s="40" t="n">
        <f aca="false">IF($A266="","",SUM($H$247:$H266))</f>
        <v>0</v>
      </c>
      <c r="Q266" s="53" t="str">
        <f aca="false">IF($A266="","",IFERROR((AVERAGE($O$247:$O266)-Config!$B$7/Config!$B$6)/STDEV($O$247:$O266)*SQRT(Config!$B$6),""))</f>
        <v/>
      </c>
      <c r="R266" s="53" t="str">
        <f aca="false">IF($A266="","",IFERROR((AVERAGE($O$207:$O266)-Config!$B$7/Config!$B$6)/STDEV($O$207:$O266)*SQRT(Config!$B$6),""))</f>
        <v/>
      </c>
      <c r="S266" s="47" t="n">
        <f aca="false">IF($H266="",$S265,IF($H266&gt;0,$S265+1,0))</f>
        <v>1</v>
      </c>
      <c r="T266" s="47" t="n">
        <f aca="false">IF($H266="",$T265,IF($H266&lt;0,$T265+1,0))</f>
        <v>0</v>
      </c>
    </row>
    <row r="267" customFormat="false" ht="15" hidden="false" customHeight="false" outlineLevel="0" collapsed="false">
      <c r="A267" s="54" t="n">
        <f aca="false">IF($A266="","",$A266+1)</f>
        <v>46498</v>
      </c>
      <c r="B267" s="5" t="str">
        <f aca="false">IF($A267="","",TEXT($A267,"ddd"))</f>
        <v>Wed</v>
      </c>
      <c r="C267" s="41" t="n">
        <f aca="false">IF($A267="","",COUNTIFS('Trade Log'!$L$4:$L$503,$A267))</f>
        <v>0</v>
      </c>
      <c r="D267" s="40" t="n">
        <f aca="false">IF($A267="","",SUMIFS('Trade Log'!$Q$4:$Q$503,'Trade Log'!$L$4:$L$503,$A267,'Trade Log'!$E$4:$E$503,"LONG"))</f>
        <v>0</v>
      </c>
      <c r="E267" s="40" t="n">
        <f aca="false">IF($A267="","",SUMIFS('Trade Log'!$Q$4:$Q$503,'Trade Log'!$L$4:$L$503,$A267,'Trade Log'!$E$4:$E$503,"SHORT"))</f>
        <v>0</v>
      </c>
      <c r="F267" s="40" t="n">
        <f aca="false">IF($A267="","",$D267+$E267)</f>
        <v>0</v>
      </c>
      <c r="G267" s="40" t="n">
        <f aca="false">IF($A267="","",SUMIFS('Trade Log'!$Y$4:$Y$503,'Trade Log'!$L$4:$L$503,$A267))</f>
        <v>0</v>
      </c>
      <c r="H267" s="40" t="str">
        <f aca="false">IF($A267="","",IF($C267=0,"",$F267-$G267))</f>
        <v/>
      </c>
      <c r="I267" s="40" t="n">
        <f aca="false">IF($A267="","",$I266+IF($H267="",0,$H267))</f>
        <v>23918.5521880349</v>
      </c>
      <c r="J267" s="40" t="n">
        <f aca="false">IF($A267="","",Config!$B$4+$I267)</f>
        <v>1023918.55218803</v>
      </c>
      <c r="K267" s="40" t="n">
        <f aca="false">IF($A267="","",MAX($J$4:$J267))</f>
        <v>1023918.55218803</v>
      </c>
      <c r="L267" s="40" t="n">
        <f aca="false">IF($A267="","",$J267-$K267)</f>
        <v>0</v>
      </c>
      <c r="M267" s="42" t="n">
        <f aca="false">IF(OR($A267="",$K267=0),"",$L267/$K267)</f>
        <v>0</v>
      </c>
      <c r="N267" s="40" t="n">
        <f aca="false">IF($A267="","",SUMIFS('Trade Log'!$K$4:$K$503,'Trade Log'!$H$4:$H$503,$A267))</f>
        <v>0</v>
      </c>
      <c r="O267" s="42" t="str">
        <f aca="false">IF(OR($A267="",$H267="",Config!$B$4=0),"",$H267/Config!$B$4)</f>
        <v/>
      </c>
      <c r="P267" s="40" t="n">
        <f aca="false">IF($A267="","",SUM($H$248:$H267))</f>
        <v>0</v>
      </c>
      <c r="Q267" s="53" t="str">
        <f aca="false">IF($A267="","",IFERROR((AVERAGE($O$248:$O267)-Config!$B$7/Config!$B$6)/STDEV($O$248:$O267)*SQRT(Config!$B$6),""))</f>
        <v/>
      </c>
      <c r="R267" s="53" t="str">
        <f aca="false">IF($A267="","",IFERROR((AVERAGE($O$208:$O267)-Config!$B$7/Config!$B$6)/STDEV($O$208:$O267)*SQRT(Config!$B$6),""))</f>
        <v/>
      </c>
      <c r="S267" s="47" t="n">
        <f aca="false">IF($H267="",$S266,IF($H267&gt;0,$S266+1,0))</f>
        <v>1</v>
      </c>
      <c r="T267" s="47" t="n">
        <f aca="false">IF($H267="",$T266,IF($H267&lt;0,$T266+1,0))</f>
        <v>0</v>
      </c>
    </row>
    <row r="268" customFormat="false" ht="15" hidden="false" customHeight="false" outlineLevel="0" collapsed="false">
      <c r="A268" s="54" t="n">
        <f aca="false">IF($A267="","",$A267+1)</f>
        <v>46499</v>
      </c>
      <c r="B268" s="5" t="str">
        <f aca="false">IF($A268="","",TEXT($A268,"ddd"))</f>
        <v>Thu</v>
      </c>
      <c r="C268" s="41" t="n">
        <f aca="false">IF($A268="","",COUNTIFS('Trade Log'!$L$4:$L$503,$A268))</f>
        <v>0</v>
      </c>
      <c r="D268" s="40" t="n">
        <f aca="false">IF($A268="","",SUMIFS('Trade Log'!$Q$4:$Q$503,'Trade Log'!$L$4:$L$503,$A268,'Trade Log'!$E$4:$E$503,"LONG"))</f>
        <v>0</v>
      </c>
      <c r="E268" s="40" t="n">
        <f aca="false">IF($A268="","",SUMIFS('Trade Log'!$Q$4:$Q$503,'Trade Log'!$L$4:$L$503,$A268,'Trade Log'!$E$4:$E$503,"SHORT"))</f>
        <v>0</v>
      </c>
      <c r="F268" s="40" t="n">
        <f aca="false">IF($A268="","",$D268+$E268)</f>
        <v>0</v>
      </c>
      <c r="G268" s="40" t="n">
        <f aca="false">IF($A268="","",SUMIFS('Trade Log'!$Y$4:$Y$503,'Trade Log'!$L$4:$L$503,$A268))</f>
        <v>0</v>
      </c>
      <c r="H268" s="40" t="str">
        <f aca="false">IF($A268="","",IF($C268=0,"",$F268-$G268))</f>
        <v/>
      </c>
      <c r="I268" s="40" t="n">
        <f aca="false">IF($A268="","",$I267+IF($H268="",0,$H268))</f>
        <v>23918.5521880349</v>
      </c>
      <c r="J268" s="40" t="n">
        <f aca="false">IF($A268="","",Config!$B$4+$I268)</f>
        <v>1023918.55218803</v>
      </c>
      <c r="K268" s="40" t="n">
        <f aca="false">IF($A268="","",MAX($J$4:$J268))</f>
        <v>1023918.55218803</v>
      </c>
      <c r="L268" s="40" t="n">
        <f aca="false">IF($A268="","",$J268-$K268)</f>
        <v>0</v>
      </c>
      <c r="M268" s="42" t="n">
        <f aca="false">IF(OR($A268="",$K268=0),"",$L268/$K268)</f>
        <v>0</v>
      </c>
      <c r="N268" s="40" t="n">
        <f aca="false">IF($A268="","",SUMIFS('Trade Log'!$K$4:$K$503,'Trade Log'!$H$4:$H$503,$A268))</f>
        <v>0</v>
      </c>
      <c r="O268" s="42" t="str">
        <f aca="false">IF(OR($A268="",$H268="",Config!$B$4=0),"",$H268/Config!$B$4)</f>
        <v/>
      </c>
      <c r="P268" s="40" t="n">
        <f aca="false">IF($A268="","",SUM($H$249:$H268))</f>
        <v>0</v>
      </c>
      <c r="Q268" s="53" t="str">
        <f aca="false">IF($A268="","",IFERROR((AVERAGE($O$249:$O268)-Config!$B$7/Config!$B$6)/STDEV($O$249:$O268)*SQRT(Config!$B$6),""))</f>
        <v/>
      </c>
      <c r="R268" s="53" t="str">
        <f aca="false">IF($A268="","",IFERROR((AVERAGE($O$209:$O268)-Config!$B$7/Config!$B$6)/STDEV($O$209:$O268)*SQRT(Config!$B$6),""))</f>
        <v/>
      </c>
      <c r="S268" s="47" t="n">
        <f aca="false">IF($H268="",$S267,IF($H268&gt;0,$S267+1,0))</f>
        <v>1</v>
      </c>
      <c r="T268" s="47" t="n">
        <f aca="false">IF($H268="",$T267,IF($H268&lt;0,$T267+1,0))</f>
        <v>0</v>
      </c>
    </row>
    <row r="269" customFormat="false" ht="15" hidden="false" customHeight="false" outlineLevel="0" collapsed="false">
      <c r="A269" s="54" t="n">
        <f aca="false">IF($A268="","",$A268+1)</f>
        <v>46500</v>
      </c>
      <c r="B269" s="5" t="str">
        <f aca="false">IF($A269="","",TEXT($A269,"ddd"))</f>
        <v>Fri</v>
      </c>
      <c r="C269" s="41" t="n">
        <f aca="false">IF($A269="","",COUNTIFS('Trade Log'!$L$4:$L$503,$A269))</f>
        <v>0</v>
      </c>
      <c r="D269" s="40" t="n">
        <f aca="false">IF($A269="","",SUMIFS('Trade Log'!$Q$4:$Q$503,'Trade Log'!$L$4:$L$503,$A269,'Trade Log'!$E$4:$E$503,"LONG"))</f>
        <v>0</v>
      </c>
      <c r="E269" s="40" t="n">
        <f aca="false">IF($A269="","",SUMIFS('Trade Log'!$Q$4:$Q$503,'Trade Log'!$L$4:$L$503,$A269,'Trade Log'!$E$4:$E$503,"SHORT"))</f>
        <v>0</v>
      </c>
      <c r="F269" s="40" t="n">
        <f aca="false">IF($A269="","",$D269+$E269)</f>
        <v>0</v>
      </c>
      <c r="G269" s="40" t="n">
        <f aca="false">IF($A269="","",SUMIFS('Trade Log'!$Y$4:$Y$503,'Trade Log'!$L$4:$L$503,$A269))</f>
        <v>0</v>
      </c>
      <c r="H269" s="40" t="str">
        <f aca="false">IF($A269="","",IF($C269=0,"",$F269-$G269))</f>
        <v/>
      </c>
      <c r="I269" s="40" t="n">
        <f aca="false">IF($A269="","",$I268+IF($H269="",0,$H269))</f>
        <v>23918.5521880349</v>
      </c>
      <c r="J269" s="40" t="n">
        <f aca="false">IF($A269="","",Config!$B$4+$I269)</f>
        <v>1023918.55218803</v>
      </c>
      <c r="K269" s="40" t="n">
        <f aca="false">IF($A269="","",MAX($J$4:$J269))</f>
        <v>1023918.55218803</v>
      </c>
      <c r="L269" s="40" t="n">
        <f aca="false">IF($A269="","",$J269-$K269)</f>
        <v>0</v>
      </c>
      <c r="M269" s="42" t="n">
        <f aca="false">IF(OR($A269="",$K269=0),"",$L269/$K269)</f>
        <v>0</v>
      </c>
      <c r="N269" s="40" t="n">
        <f aca="false">IF($A269="","",SUMIFS('Trade Log'!$K$4:$K$503,'Trade Log'!$H$4:$H$503,$A269))</f>
        <v>0</v>
      </c>
      <c r="O269" s="42" t="str">
        <f aca="false">IF(OR($A269="",$H269="",Config!$B$4=0),"",$H269/Config!$B$4)</f>
        <v/>
      </c>
      <c r="P269" s="40" t="n">
        <f aca="false">IF($A269="","",SUM($H$250:$H269))</f>
        <v>0</v>
      </c>
      <c r="Q269" s="53" t="str">
        <f aca="false">IF($A269="","",IFERROR((AVERAGE($O$250:$O269)-Config!$B$7/Config!$B$6)/STDEV($O$250:$O269)*SQRT(Config!$B$6),""))</f>
        <v/>
      </c>
      <c r="R269" s="53" t="str">
        <f aca="false">IF($A269="","",IFERROR((AVERAGE($O$210:$O269)-Config!$B$7/Config!$B$6)/STDEV($O$210:$O269)*SQRT(Config!$B$6),""))</f>
        <v/>
      </c>
      <c r="S269" s="47" t="n">
        <f aca="false">IF($H269="",$S268,IF($H269&gt;0,$S268+1,0))</f>
        <v>1</v>
      </c>
      <c r="T269" s="47" t="n">
        <f aca="false">IF($H269="",$T268,IF($H269&lt;0,$T268+1,0))</f>
        <v>0</v>
      </c>
    </row>
    <row r="270" customFormat="false" ht="15" hidden="false" customHeight="false" outlineLevel="0" collapsed="false">
      <c r="A270" s="54" t="n">
        <f aca="false">IF($A269="","",$A269+1)</f>
        <v>46501</v>
      </c>
      <c r="B270" s="5" t="str">
        <f aca="false">IF($A270="","",TEXT($A270,"ddd"))</f>
        <v>Sat</v>
      </c>
      <c r="C270" s="41" t="n">
        <f aca="false">IF($A270="","",COUNTIFS('Trade Log'!$L$4:$L$503,$A270))</f>
        <v>0</v>
      </c>
      <c r="D270" s="40" t="n">
        <f aca="false">IF($A270="","",SUMIFS('Trade Log'!$Q$4:$Q$503,'Trade Log'!$L$4:$L$503,$A270,'Trade Log'!$E$4:$E$503,"LONG"))</f>
        <v>0</v>
      </c>
      <c r="E270" s="40" t="n">
        <f aca="false">IF($A270="","",SUMIFS('Trade Log'!$Q$4:$Q$503,'Trade Log'!$L$4:$L$503,$A270,'Trade Log'!$E$4:$E$503,"SHORT"))</f>
        <v>0</v>
      </c>
      <c r="F270" s="40" t="n">
        <f aca="false">IF($A270="","",$D270+$E270)</f>
        <v>0</v>
      </c>
      <c r="G270" s="40" t="n">
        <f aca="false">IF($A270="","",SUMIFS('Trade Log'!$Y$4:$Y$503,'Trade Log'!$L$4:$L$503,$A270))</f>
        <v>0</v>
      </c>
      <c r="H270" s="40" t="str">
        <f aca="false">IF($A270="","",IF($C270=0,"",$F270-$G270))</f>
        <v/>
      </c>
      <c r="I270" s="40" t="n">
        <f aca="false">IF($A270="","",$I269+IF($H270="",0,$H270))</f>
        <v>23918.5521880349</v>
      </c>
      <c r="J270" s="40" t="n">
        <f aca="false">IF($A270="","",Config!$B$4+$I270)</f>
        <v>1023918.55218803</v>
      </c>
      <c r="K270" s="40" t="n">
        <f aca="false">IF($A270="","",MAX($J$4:$J270))</f>
        <v>1023918.55218803</v>
      </c>
      <c r="L270" s="40" t="n">
        <f aca="false">IF($A270="","",$J270-$K270)</f>
        <v>0</v>
      </c>
      <c r="M270" s="42" t="n">
        <f aca="false">IF(OR($A270="",$K270=0),"",$L270/$K270)</f>
        <v>0</v>
      </c>
      <c r="N270" s="40" t="n">
        <f aca="false">IF($A270="","",SUMIFS('Trade Log'!$K$4:$K$503,'Trade Log'!$H$4:$H$503,$A270))</f>
        <v>0</v>
      </c>
      <c r="O270" s="42" t="str">
        <f aca="false">IF(OR($A270="",$H270="",Config!$B$4=0),"",$H270/Config!$B$4)</f>
        <v/>
      </c>
      <c r="P270" s="40" t="n">
        <f aca="false">IF($A270="","",SUM($H$251:$H270))</f>
        <v>0</v>
      </c>
      <c r="Q270" s="53" t="str">
        <f aca="false">IF($A270="","",IFERROR((AVERAGE($O$251:$O270)-Config!$B$7/Config!$B$6)/STDEV($O$251:$O270)*SQRT(Config!$B$6),""))</f>
        <v/>
      </c>
      <c r="R270" s="53" t="str">
        <f aca="false">IF($A270="","",IFERROR((AVERAGE($O$211:$O270)-Config!$B$7/Config!$B$6)/STDEV($O$211:$O270)*SQRT(Config!$B$6),""))</f>
        <v/>
      </c>
      <c r="S270" s="47" t="n">
        <f aca="false">IF($H270="",$S269,IF($H270&gt;0,$S269+1,0))</f>
        <v>1</v>
      </c>
      <c r="T270" s="47" t="n">
        <f aca="false">IF($H270="",$T269,IF($H270&lt;0,$T269+1,0))</f>
        <v>0</v>
      </c>
    </row>
    <row r="271" customFormat="false" ht="15" hidden="false" customHeight="false" outlineLevel="0" collapsed="false">
      <c r="A271" s="54" t="n">
        <f aca="false">IF($A270="","",$A270+1)</f>
        <v>46502</v>
      </c>
      <c r="B271" s="5" t="str">
        <f aca="false">IF($A271="","",TEXT($A271,"ddd"))</f>
        <v>Sun</v>
      </c>
      <c r="C271" s="41" t="n">
        <f aca="false">IF($A271="","",COUNTIFS('Trade Log'!$L$4:$L$503,$A271))</f>
        <v>0</v>
      </c>
      <c r="D271" s="40" t="n">
        <f aca="false">IF($A271="","",SUMIFS('Trade Log'!$Q$4:$Q$503,'Trade Log'!$L$4:$L$503,$A271,'Trade Log'!$E$4:$E$503,"LONG"))</f>
        <v>0</v>
      </c>
      <c r="E271" s="40" t="n">
        <f aca="false">IF($A271="","",SUMIFS('Trade Log'!$Q$4:$Q$503,'Trade Log'!$L$4:$L$503,$A271,'Trade Log'!$E$4:$E$503,"SHORT"))</f>
        <v>0</v>
      </c>
      <c r="F271" s="40" t="n">
        <f aca="false">IF($A271="","",$D271+$E271)</f>
        <v>0</v>
      </c>
      <c r="G271" s="40" t="n">
        <f aca="false">IF($A271="","",SUMIFS('Trade Log'!$Y$4:$Y$503,'Trade Log'!$L$4:$L$503,$A271))</f>
        <v>0</v>
      </c>
      <c r="H271" s="40" t="str">
        <f aca="false">IF($A271="","",IF($C271=0,"",$F271-$G271))</f>
        <v/>
      </c>
      <c r="I271" s="40" t="n">
        <f aca="false">IF($A271="","",$I270+IF($H271="",0,$H271))</f>
        <v>23918.5521880349</v>
      </c>
      <c r="J271" s="40" t="n">
        <f aca="false">IF($A271="","",Config!$B$4+$I271)</f>
        <v>1023918.55218803</v>
      </c>
      <c r="K271" s="40" t="n">
        <f aca="false">IF($A271="","",MAX($J$4:$J271))</f>
        <v>1023918.55218803</v>
      </c>
      <c r="L271" s="40" t="n">
        <f aca="false">IF($A271="","",$J271-$K271)</f>
        <v>0</v>
      </c>
      <c r="M271" s="42" t="n">
        <f aca="false">IF(OR($A271="",$K271=0),"",$L271/$K271)</f>
        <v>0</v>
      </c>
      <c r="N271" s="40" t="n">
        <f aca="false">IF($A271="","",SUMIFS('Trade Log'!$K$4:$K$503,'Trade Log'!$H$4:$H$503,$A271))</f>
        <v>0</v>
      </c>
      <c r="O271" s="42" t="str">
        <f aca="false">IF(OR($A271="",$H271="",Config!$B$4=0),"",$H271/Config!$B$4)</f>
        <v/>
      </c>
      <c r="P271" s="40" t="n">
        <f aca="false">IF($A271="","",SUM($H$252:$H271))</f>
        <v>0</v>
      </c>
      <c r="Q271" s="53" t="str">
        <f aca="false">IF($A271="","",IFERROR((AVERAGE($O$252:$O271)-Config!$B$7/Config!$B$6)/STDEV($O$252:$O271)*SQRT(Config!$B$6),""))</f>
        <v/>
      </c>
      <c r="R271" s="53" t="str">
        <f aca="false">IF($A271="","",IFERROR((AVERAGE($O$212:$O271)-Config!$B$7/Config!$B$6)/STDEV($O$212:$O271)*SQRT(Config!$B$6),""))</f>
        <v/>
      </c>
      <c r="S271" s="47" t="n">
        <f aca="false">IF($H271="",$S270,IF($H271&gt;0,$S270+1,0))</f>
        <v>1</v>
      </c>
      <c r="T271" s="47" t="n">
        <f aca="false">IF($H271="",$T270,IF($H271&lt;0,$T270+1,0))</f>
        <v>0</v>
      </c>
    </row>
    <row r="272" customFormat="false" ht="15" hidden="false" customHeight="false" outlineLevel="0" collapsed="false">
      <c r="A272" s="54" t="n">
        <f aca="false">IF($A271="","",$A271+1)</f>
        <v>46503</v>
      </c>
      <c r="B272" s="5" t="str">
        <f aca="false">IF($A272="","",TEXT($A272,"ddd"))</f>
        <v>Mon</v>
      </c>
      <c r="C272" s="41" t="n">
        <f aca="false">IF($A272="","",COUNTIFS('Trade Log'!$L$4:$L$503,$A272))</f>
        <v>0</v>
      </c>
      <c r="D272" s="40" t="n">
        <f aca="false">IF($A272="","",SUMIFS('Trade Log'!$Q$4:$Q$503,'Trade Log'!$L$4:$L$503,$A272,'Trade Log'!$E$4:$E$503,"LONG"))</f>
        <v>0</v>
      </c>
      <c r="E272" s="40" t="n">
        <f aca="false">IF($A272="","",SUMIFS('Trade Log'!$Q$4:$Q$503,'Trade Log'!$L$4:$L$503,$A272,'Trade Log'!$E$4:$E$503,"SHORT"))</f>
        <v>0</v>
      </c>
      <c r="F272" s="40" t="n">
        <f aca="false">IF($A272="","",$D272+$E272)</f>
        <v>0</v>
      </c>
      <c r="G272" s="40" t="n">
        <f aca="false">IF($A272="","",SUMIFS('Trade Log'!$Y$4:$Y$503,'Trade Log'!$L$4:$L$503,$A272))</f>
        <v>0</v>
      </c>
      <c r="H272" s="40" t="str">
        <f aca="false">IF($A272="","",IF($C272=0,"",$F272-$G272))</f>
        <v/>
      </c>
      <c r="I272" s="40" t="n">
        <f aca="false">IF($A272="","",$I271+IF($H272="",0,$H272))</f>
        <v>23918.5521880349</v>
      </c>
      <c r="J272" s="40" t="n">
        <f aca="false">IF($A272="","",Config!$B$4+$I272)</f>
        <v>1023918.55218803</v>
      </c>
      <c r="K272" s="40" t="n">
        <f aca="false">IF($A272="","",MAX($J$4:$J272))</f>
        <v>1023918.55218803</v>
      </c>
      <c r="L272" s="40" t="n">
        <f aca="false">IF($A272="","",$J272-$K272)</f>
        <v>0</v>
      </c>
      <c r="M272" s="42" t="n">
        <f aca="false">IF(OR($A272="",$K272=0),"",$L272/$K272)</f>
        <v>0</v>
      </c>
      <c r="N272" s="40" t="n">
        <f aca="false">IF($A272="","",SUMIFS('Trade Log'!$K$4:$K$503,'Trade Log'!$H$4:$H$503,$A272))</f>
        <v>0</v>
      </c>
      <c r="O272" s="42" t="str">
        <f aca="false">IF(OR($A272="",$H272="",Config!$B$4=0),"",$H272/Config!$B$4)</f>
        <v/>
      </c>
      <c r="P272" s="40" t="n">
        <f aca="false">IF($A272="","",SUM($H$253:$H272))</f>
        <v>0</v>
      </c>
      <c r="Q272" s="53" t="str">
        <f aca="false">IF($A272="","",IFERROR((AVERAGE($O$253:$O272)-Config!$B$7/Config!$B$6)/STDEV($O$253:$O272)*SQRT(Config!$B$6),""))</f>
        <v/>
      </c>
      <c r="R272" s="53" t="str">
        <f aca="false">IF($A272="","",IFERROR((AVERAGE($O$213:$O272)-Config!$B$7/Config!$B$6)/STDEV($O$213:$O272)*SQRT(Config!$B$6),""))</f>
        <v/>
      </c>
      <c r="S272" s="47" t="n">
        <f aca="false">IF($H272="",$S271,IF($H272&gt;0,$S271+1,0))</f>
        <v>1</v>
      </c>
      <c r="T272" s="47" t="n">
        <f aca="false">IF($H272="",$T271,IF($H272&lt;0,$T271+1,0))</f>
        <v>0</v>
      </c>
    </row>
    <row r="273" customFormat="false" ht="15" hidden="false" customHeight="false" outlineLevel="0" collapsed="false">
      <c r="A273" s="54" t="n">
        <f aca="false">IF($A272="","",$A272+1)</f>
        <v>46504</v>
      </c>
      <c r="B273" s="5" t="str">
        <f aca="false">IF($A273="","",TEXT($A273,"ddd"))</f>
        <v>Tue</v>
      </c>
      <c r="C273" s="41" t="n">
        <f aca="false">IF($A273="","",COUNTIFS('Trade Log'!$L$4:$L$503,$A273))</f>
        <v>0</v>
      </c>
      <c r="D273" s="40" t="n">
        <f aca="false">IF($A273="","",SUMIFS('Trade Log'!$Q$4:$Q$503,'Trade Log'!$L$4:$L$503,$A273,'Trade Log'!$E$4:$E$503,"LONG"))</f>
        <v>0</v>
      </c>
      <c r="E273" s="40" t="n">
        <f aca="false">IF($A273="","",SUMIFS('Trade Log'!$Q$4:$Q$503,'Trade Log'!$L$4:$L$503,$A273,'Trade Log'!$E$4:$E$503,"SHORT"))</f>
        <v>0</v>
      </c>
      <c r="F273" s="40" t="n">
        <f aca="false">IF($A273="","",$D273+$E273)</f>
        <v>0</v>
      </c>
      <c r="G273" s="40" t="n">
        <f aca="false">IF($A273="","",SUMIFS('Trade Log'!$Y$4:$Y$503,'Trade Log'!$L$4:$L$503,$A273))</f>
        <v>0</v>
      </c>
      <c r="H273" s="40" t="str">
        <f aca="false">IF($A273="","",IF($C273=0,"",$F273-$G273))</f>
        <v/>
      </c>
      <c r="I273" s="40" t="n">
        <f aca="false">IF($A273="","",$I272+IF($H273="",0,$H273))</f>
        <v>23918.5521880349</v>
      </c>
      <c r="J273" s="40" t="n">
        <f aca="false">IF($A273="","",Config!$B$4+$I273)</f>
        <v>1023918.55218803</v>
      </c>
      <c r="K273" s="40" t="n">
        <f aca="false">IF($A273="","",MAX($J$4:$J273))</f>
        <v>1023918.55218803</v>
      </c>
      <c r="L273" s="40" t="n">
        <f aca="false">IF($A273="","",$J273-$K273)</f>
        <v>0</v>
      </c>
      <c r="M273" s="42" t="n">
        <f aca="false">IF(OR($A273="",$K273=0),"",$L273/$K273)</f>
        <v>0</v>
      </c>
      <c r="N273" s="40" t="n">
        <f aca="false">IF($A273="","",SUMIFS('Trade Log'!$K$4:$K$503,'Trade Log'!$H$4:$H$503,$A273))</f>
        <v>0</v>
      </c>
      <c r="O273" s="42" t="str">
        <f aca="false">IF(OR($A273="",$H273="",Config!$B$4=0),"",$H273/Config!$B$4)</f>
        <v/>
      </c>
      <c r="P273" s="40" t="n">
        <f aca="false">IF($A273="","",SUM($H$254:$H273))</f>
        <v>0</v>
      </c>
      <c r="Q273" s="53" t="str">
        <f aca="false">IF($A273="","",IFERROR((AVERAGE($O$254:$O273)-Config!$B$7/Config!$B$6)/STDEV($O$254:$O273)*SQRT(Config!$B$6),""))</f>
        <v/>
      </c>
      <c r="R273" s="53" t="str">
        <f aca="false">IF($A273="","",IFERROR((AVERAGE($O$214:$O273)-Config!$B$7/Config!$B$6)/STDEV($O$214:$O273)*SQRT(Config!$B$6),""))</f>
        <v/>
      </c>
      <c r="S273" s="47" t="n">
        <f aca="false">IF($H273="",$S272,IF($H273&gt;0,$S272+1,0))</f>
        <v>1</v>
      </c>
      <c r="T273" s="47" t="n">
        <f aca="false">IF($H273="",$T272,IF($H273&lt;0,$T272+1,0))</f>
        <v>0</v>
      </c>
    </row>
    <row r="274" customFormat="false" ht="15" hidden="false" customHeight="false" outlineLevel="0" collapsed="false">
      <c r="A274" s="54" t="n">
        <f aca="false">IF($A273="","",$A273+1)</f>
        <v>46505</v>
      </c>
      <c r="B274" s="5" t="str">
        <f aca="false">IF($A274="","",TEXT($A274,"ddd"))</f>
        <v>Wed</v>
      </c>
      <c r="C274" s="41" t="n">
        <f aca="false">IF($A274="","",COUNTIFS('Trade Log'!$L$4:$L$503,$A274))</f>
        <v>0</v>
      </c>
      <c r="D274" s="40" t="n">
        <f aca="false">IF($A274="","",SUMIFS('Trade Log'!$Q$4:$Q$503,'Trade Log'!$L$4:$L$503,$A274,'Trade Log'!$E$4:$E$503,"LONG"))</f>
        <v>0</v>
      </c>
      <c r="E274" s="40" t="n">
        <f aca="false">IF($A274="","",SUMIFS('Trade Log'!$Q$4:$Q$503,'Trade Log'!$L$4:$L$503,$A274,'Trade Log'!$E$4:$E$503,"SHORT"))</f>
        <v>0</v>
      </c>
      <c r="F274" s="40" t="n">
        <f aca="false">IF($A274="","",$D274+$E274)</f>
        <v>0</v>
      </c>
      <c r="G274" s="40" t="n">
        <f aca="false">IF($A274="","",SUMIFS('Trade Log'!$Y$4:$Y$503,'Trade Log'!$L$4:$L$503,$A274))</f>
        <v>0</v>
      </c>
      <c r="H274" s="40" t="str">
        <f aca="false">IF($A274="","",IF($C274=0,"",$F274-$G274))</f>
        <v/>
      </c>
      <c r="I274" s="40" t="n">
        <f aca="false">IF($A274="","",$I273+IF($H274="",0,$H274))</f>
        <v>23918.5521880349</v>
      </c>
      <c r="J274" s="40" t="n">
        <f aca="false">IF($A274="","",Config!$B$4+$I274)</f>
        <v>1023918.55218803</v>
      </c>
      <c r="K274" s="40" t="n">
        <f aca="false">IF($A274="","",MAX($J$4:$J274))</f>
        <v>1023918.55218803</v>
      </c>
      <c r="L274" s="40" t="n">
        <f aca="false">IF($A274="","",$J274-$K274)</f>
        <v>0</v>
      </c>
      <c r="M274" s="42" t="n">
        <f aca="false">IF(OR($A274="",$K274=0),"",$L274/$K274)</f>
        <v>0</v>
      </c>
      <c r="N274" s="40" t="n">
        <f aca="false">IF($A274="","",SUMIFS('Trade Log'!$K$4:$K$503,'Trade Log'!$H$4:$H$503,$A274))</f>
        <v>0</v>
      </c>
      <c r="O274" s="42" t="str">
        <f aca="false">IF(OR($A274="",$H274="",Config!$B$4=0),"",$H274/Config!$B$4)</f>
        <v/>
      </c>
      <c r="P274" s="40" t="n">
        <f aca="false">IF($A274="","",SUM($H$255:$H274))</f>
        <v>0</v>
      </c>
      <c r="Q274" s="53" t="str">
        <f aca="false">IF($A274="","",IFERROR((AVERAGE($O$255:$O274)-Config!$B$7/Config!$B$6)/STDEV($O$255:$O274)*SQRT(Config!$B$6),""))</f>
        <v/>
      </c>
      <c r="R274" s="53" t="str">
        <f aca="false">IF($A274="","",IFERROR((AVERAGE($O$215:$O274)-Config!$B$7/Config!$B$6)/STDEV($O$215:$O274)*SQRT(Config!$B$6),""))</f>
        <v/>
      </c>
      <c r="S274" s="47" t="n">
        <f aca="false">IF($H274="",$S273,IF($H274&gt;0,$S273+1,0))</f>
        <v>1</v>
      </c>
      <c r="T274" s="47" t="n">
        <f aca="false">IF($H274="",$T273,IF($H274&lt;0,$T273+1,0))</f>
        <v>0</v>
      </c>
    </row>
    <row r="275" customFormat="false" ht="15" hidden="false" customHeight="false" outlineLevel="0" collapsed="false">
      <c r="A275" s="54" t="n">
        <f aca="false">IF($A274="","",$A274+1)</f>
        <v>46506</v>
      </c>
      <c r="B275" s="5" t="str">
        <f aca="false">IF($A275="","",TEXT($A275,"ddd"))</f>
        <v>Thu</v>
      </c>
      <c r="C275" s="41" t="n">
        <f aca="false">IF($A275="","",COUNTIFS('Trade Log'!$L$4:$L$503,$A275))</f>
        <v>0</v>
      </c>
      <c r="D275" s="40" t="n">
        <f aca="false">IF($A275="","",SUMIFS('Trade Log'!$Q$4:$Q$503,'Trade Log'!$L$4:$L$503,$A275,'Trade Log'!$E$4:$E$503,"LONG"))</f>
        <v>0</v>
      </c>
      <c r="E275" s="40" t="n">
        <f aca="false">IF($A275="","",SUMIFS('Trade Log'!$Q$4:$Q$503,'Trade Log'!$L$4:$L$503,$A275,'Trade Log'!$E$4:$E$503,"SHORT"))</f>
        <v>0</v>
      </c>
      <c r="F275" s="40" t="n">
        <f aca="false">IF($A275="","",$D275+$E275)</f>
        <v>0</v>
      </c>
      <c r="G275" s="40" t="n">
        <f aca="false">IF($A275="","",SUMIFS('Trade Log'!$Y$4:$Y$503,'Trade Log'!$L$4:$L$503,$A275))</f>
        <v>0</v>
      </c>
      <c r="H275" s="40" t="str">
        <f aca="false">IF($A275="","",IF($C275=0,"",$F275-$G275))</f>
        <v/>
      </c>
      <c r="I275" s="40" t="n">
        <f aca="false">IF($A275="","",$I274+IF($H275="",0,$H275))</f>
        <v>23918.5521880349</v>
      </c>
      <c r="J275" s="40" t="n">
        <f aca="false">IF($A275="","",Config!$B$4+$I275)</f>
        <v>1023918.55218803</v>
      </c>
      <c r="K275" s="40" t="n">
        <f aca="false">IF($A275="","",MAX($J$4:$J275))</f>
        <v>1023918.55218803</v>
      </c>
      <c r="L275" s="40" t="n">
        <f aca="false">IF($A275="","",$J275-$K275)</f>
        <v>0</v>
      </c>
      <c r="M275" s="42" t="n">
        <f aca="false">IF(OR($A275="",$K275=0),"",$L275/$K275)</f>
        <v>0</v>
      </c>
      <c r="N275" s="40" t="n">
        <f aca="false">IF($A275="","",SUMIFS('Trade Log'!$K$4:$K$503,'Trade Log'!$H$4:$H$503,$A275))</f>
        <v>0</v>
      </c>
      <c r="O275" s="42" t="str">
        <f aca="false">IF(OR($A275="",$H275="",Config!$B$4=0),"",$H275/Config!$B$4)</f>
        <v/>
      </c>
      <c r="P275" s="40" t="n">
        <f aca="false">IF($A275="","",SUM($H$256:$H275))</f>
        <v>0</v>
      </c>
      <c r="Q275" s="53" t="str">
        <f aca="false">IF($A275="","",IFERROR((AVERAGE($O$256:$O275)-Config!$B$7/Config!$B$6)/STDEV($O$256:$O275)*SQRT(Config!$B$6),""))</f>
        <v/>
      </c>
      <c r="R275" s="53" t="str">
        <f aca="false">IF($A275="","",IFERROR((AVERAGE($O$216:$O275)-Config!$B$7/Config!$B$6)/STDEV($O$216:$O275)*SQRT(Config!$B$6),""))</f>
        <v/>
      </c>
      <c r="S275" s="47" t="n">
        <f aca="false">IF($H275="",$S274,IF($H275&gt;0,$S274+1,0))</f>
        <v>1</v>
      </c>
      <c r="T275" s="47" t="n">
        <f aca="false">IF($H275="",$T274,IF($H275&lt;0,$T274+1,0))</f>
        <v>0</v>
      </c>
    </row>
    <row r="276" customFormat="false" ht="15" hidden="false" customHeight="false" outlineLevel="0" collapsed="false">
      <c r="A276" s="54" t="n">
        <f aca="false">IF($A275="","",$A275+1)</f>
        <v>46507</v>
      </c>
      <c r="B276" s="5" t="str">
        <f aca="false">IF($A276="","",TEXT($A276,"ddd"))</f>
        <v>Fri</v>
      </c>
      <c r="C276" s="41" t="n">
        <f aca="false">IF($A276="","",COUNTIFS('Trade Log'!$L$4:$L$503,$A276))</f>
        <v>0</v>
      </c>
      <c r="D276" s="40" t="n">
        <f aca="false">IF($A276="","",SUMIFS('Trade Log'!$Q$4:$Q$503,'Trade Log'!$L$4:$L$503,$A276,'Trade Log'!$E$4:$E$503,"LONG"))</f>
        <v>0</v>
      </c>
      <c r="E276" s="40" t="n">
        <f aca="false">IF($A276="","",SUMIFS('Trade Log'!$Q$4:$Q$503,'Trade Log'!$L$4:$L$503,$A276,'Trade Log'!$E$4:$E$503,"SHORT"))</f>
        <v>0</v>
      </c>
      <c r="F276" s="40" t="n">
        <f aca="false">IF($A276="","",$D276+$E276)</f>
        <v>0</v>
      </c>
      <c r="G276" s="40" t="n">
        <f aca="false">IF($A276="","",SUMIFS('Trade Log'!$Y$4:$Y$503,'Trade Log'!$L$4:$L$503,$A276))</f>
        <v>0</v>
      </c>
      <c r="H276" s="40" t="str">
        <f aca="false">IF($A276="","",IF($C276=0,"",$F276-$G276))</f>
        <v/>
      </c>
      <c r="I276" s="40" t="n">
        <f aca="false">IF($A276="","",$I275+IF($H276="",0,$H276))</f>
        <v>23918.5521880349</v>
      </c>
      <c r="J276" s="40" t="n">
        <f aca="false">IF($A276="","",Config!$B$4+$I276)</f>
        <v>1023918.55218803</v>
      </c>
      <c r="K276" s="40" t="n">
        <f aca="false">IF($A276="","",MAX($J$4:$J276))</f>
        <v>1023918.55218803</v>
      </c>
      <c r="L276" s="40" t="n">
        <f aca="false">IF($A276="","",$J276-$K276)</f>
        <v>0</v>
      </c>
      <c r="M276" s="42" t="n">
        <f aca="false">IF(OR($A276="",$K276=0),"",$L276/$K276)</f>
        <v>0</v>
      </c>
      <c r="N276" s="40" t="n">
        <f aca="false">IF($A276="","",SUMIFS('Trade Log'!$K$4:$K$503,'Trade Log'!$H$4:$H$503,$A276))</f>
        <v>0</v>
      </c>
      <c r="O276" s="42" t="str">
        <f aca="false">IF(OR($A276="",$H276="",Config!$B$4=0),"",$H276/Config!$B$4)</f>
        <v/>
      </c>
      <c r="P276" s="40" t="n">
        <f aca="false">IF($A276="","",SUM($H$257:$H276))</f>
        <v>0</v>
      </c>
      <c r="Q276" s="53" t="str">
        <f aca="false">IF($A276="","",IFERROR((AVERAGE($O$257:$O276)-Config!$B$7/Config!$B$6)/STDEV($O$257:$O276)*SQRT(Config!$B$6),""))</f>
        <v/>
      </c>
      <c r="R276" s="53" t="str">
        <f aca="false">IF($A276="","",IFERROR((AVERAGE($O$217:$O276)-Config!$B$7/Config!$B$6)/STDEV($O$217:$O276)*SQRT(Config!$B$6),""))</f>
        <v/>
      </c>
      <c r="S276" s="47" t="n">
        <f aca="false">IF($H276="",$S275,IF($H276&gt;0,$S275+1,0))</f>
        <v>1</v>
      </c>
      <c r="T276" s="47" t="n">
        <f aca="false">IF($H276="",$T275,IF($H276&lt;0,$T275+1,0))</f>
        <v>0</v>
      </c>
    </row>
    <row r="277" customFormat="false" ht="15" hidden="false" customHeight="false" outlineLevel="0" collapsed="false">
      <c r="A277" s="54" t="n">
        <f aca="false">IF($A276="","",$A276+1)</f>
        <v>46508</v>
      </c>
      <c r="B277" s="5" t="str">
        <f aca="false">IF($A277="","",TEXT($A277,"ddd"))</f>
        <v>Sat</v>
      </c>
      <c r="C277" s="41" t="n">
        <f aca="false">IF($A277="","",COUNTIFS('Trade Log'!$L$4:$L$503,$A277))</f>
        <v>0</v>
      </c>
      <c r="D277" s="40" t="n">
        <f aca="false">IF($A277="","",SUMIFS('Trade Log'!$Q$4:$Q$503,'Trade Log'!$L$4:$L$503,$A277,'Trade Log'!$E$4:$E$503,"LONG"))</f>
        <v>0</v>
      </c>
      <c r="E277" s="40" t="n">
        <f aca="false">IF($A277="","",SUMIFS('Trade Log'!$Q$4:$Q$503,'Trade Log'!$L$4:$L$503,$A277,'Trade Log'!$E$4:$E$503,"SHORT"))</f>
        <v>0</v>
      </c>
      <c r="F277" s="40" t="n">
        <f aca="false">IF($A277="","",$D277+$E277)</f>
        <v>0</v>
      </c>
      <c r="G277" s="40" t="n">
        <f aca="false">IF($A277="","",SUMIFS('Trade Log'!$Y$4:$Y$503,'Trade Log'!$L$4:$L$503,$A277))</f>
        <v>0</v>
      </c>
      <c r="H277" s="40" t="str">
        <f aca="false">IF($A277="","",IF($C277=0,"",$F277-$G277))</f>
        <v/>
      </c>
      <c r="I277" s="40" t="n">
        <f aca="false">IF($A277="","",$I276+IF($H277="",0,$H277))</f>
        <v>23918.5521880349</v>
      </c>
      <c r="J277" s="40" t="n">
        <f aca="false">IF($A277="","",Config!$B$4+$I277)</f>
        <v>1023918.55218803</v>
      </c>
      <c r="K277" s="40" t="n">
        <f aca="false">IF($A277="","",MAX($J$4:$J277))</f>
        <v>1023918.55218803</v>
      </c>
      <c r="L277" s="40" t="n">
        <f aca="false">IF($A277="","",$J277-$K277)</f>
        <v>0</v>
      </c>
      <c r="M277" s="42" t="n">
        <f aca="false">IF(OR($A277="",$K277=0),"",$L277/$K277)</f>
        <v>0</v>
      </c>
      <c r="N277" s="40" t="n">
        <f aca="false">IF($A277="","",SUMIFS('Trade Log'!$K$4:$K$503,'Trade Log'!$H$4:$H$503,$A277))</f>
        <v>0</v>
      </c>
      <c r="O277" s="42" t="str">
        <f aca="false">IF(OR($A277="",$H277="",Config!$B$4=0),"",$H277/Config!$B$4)</f>
        <v/>
      </c>
      <c r="P277" s="40" t="n">
        <f aca="false">IF($A277="","",SUM($H$258:$H277))</f>
        <v>0</v>
      </c>
      <c r="Q277" s="53" t="str">
        <f aca="false">IF($A277="","",IFERROR((AVERAGE($O$258:$O277)-Config!$B$7/Config!$B$6)/STDEV($O$258:$O277)*SQRT(Config!$B$6),""))</f>
        <v/>
      </c>
      <c r="R277" s="53" t="str">
        <f aca="false">IF($A277="","",IFERROR((AVERAGE($O$218:$O277)-Config!$B$7/Config!$B$6)/STDEV($O$218:$O277)*SQRT(Config!$B$6),""))</f>
        <v/>
      </c>
      <c r="S277" s="47" t="n">
        <f aca="false">IF($H277="",$S276,IF($H277&gt;0,$S276+1,0))</f>
        <v>1</v>
      </c>
      <c r="T277" s="47" t="n">
        <f aca="false">IF($H277="",$T276,IF($H277&lt;0,$T276+1,0))</f>
        <v>0</v>
      </c>
    </row>
    <row r="278" customFormat="false" ht="15" hidden="false" customHeight="false" outlineLevel="0" collapsed="false">
      <c r="A278" s="54" t="n">
        <f aca="false">IF($A277="","",$A277+1)</f>
        <v>46509</v>
      </c>
      <c r="B278" s="5" t="str">
        <f aca="false">IF($A278="","",TEXT($A278,"ddd"))</f>
        <v>Sun</v>
      </c>
      <c r="C278" s="41" t="n">
        <f aca="false">IF($A278="","",COUNTIFS('Trade Log'!$L$4:$L$503,$A278))</f>
        <v>0</v>
      </c>
      <c r="D278" s="40" t="n">
        <f aca="false">IF($A278="","",SUMIFS('Trade Log'!$Q$4:$Q$503,'Trade Log'!$L$4:$L$503,$A278,'Trade Log'!$E$4:$E$503,"LONG"))</f>
        <v>0</v>
      </c>
      <c r="E278" s="40" t="n">
        <f aca="false">IF($A278="","",SUMIFS('Trade Log'!$Q$4:$Q$503,'Trade Log'!$L$4:$L$503,$A278,'Trade Log'!$E$4:$E$503,"SHORT"))</f>
        <v>0</v>
      </c>
      <c r="F278" s="40" t="n">
        <f aca="false">IF($A278="","",$D278+$E278)</f>
        <v>0</v>
      </c>
      <c r="G278" s="40" t="n">
        <f aca="false">IF($A278="","",SUMIFS('Trade Log'!$Y$4:$Y$503,'Trade Log'!$L$4:$L$503,$A278))</f>
        <v>0</v>
      </c>
      <c r="H278" s="40" t="str">
        <f aca="false">IF($A278="","",IF($C278=0,"",$F278-$G278))</f>
        <v/>
      </c>
      <c r="I278" s="40" t="n">
        <f aca="false">IF($A278="","",$I277+IF($H278="",0,$H278))</f>
        <v>23918.5521880349</v>
      </c>
      <c r="J278" s="40" t="n">
        <f aca="false">IF($A278="","",Config!$B$4+$I278)</f>
        <v>1023918.55218803</v>
      </c>
      <c r="K278" s="40" t="n">
        <f aca="false">IF($A278="","",MAX($J$4:$J278))</f>
        <v>1023918.55218803</v>
      </c>
      <c r="L278" s="40" t="n">
        <f aca="false">IF($A278="","",$J278-$K278)</f>
        <v>0</v>
      </c>
      <c r="M278" s="42" t="n">
        <f aca="false">IF(OR($A278="",$K278=0),"",$L278/$K278)</f>
        <v>0</v>
      </c>
      <c r="N278" s="40" t="n">
        <f aca="false">IF($A278="","",SUMIFS('Trade Log'!$K$4:$K$503,'Trade Log'!$H$4:$H$503,$A278))</f>
        <v>0</v>
      </c>
      <c r="O278" s="42" t="str">
        <f aca="false">IF(OR($A278="",$H278="",Config!$B$4=0),"",$H278/Config!$B$4)</f>
        <v/>
      </c>
      <c r="P278" s="40" t="n">
        <f aca="false">IF($A278="","",SUM($H$259:$H278))</f>
        <v>0</v>
      </c>
      <c r="Q278" s="53" t="str">
        <f aca="false">IF($A278="","",IFERROR((AVERAGE($O$259:$O278)-Config!$B$7/Config!$B$6)/STDEV($O$259:$O278)*SQRT(Config!$B$6),""))</f>
        <v/>
      </c>
      <c r="R278" s="53" t="str">
        <f aca="false">IF($A278="","",IFERROR((AVERAGE($O$219:$O278)-Config!$B$7/Config!$B$6)/STDEV($O$219:$O278)*SQRT(Config!$B$6),""))</f>
        <v/>
      </c>
      <c r="S278" s="47" t="n">
        <f aca="false">IF($H278="",$S277,IF($H278&gt;0,$S277+1,0))</f>
        <v>1</v>
      </c>
      <c r="T278" s="47" t="n">
        <f aca="false">IF($H278="",$T277,IF($H278&lt;0,$T277+1,0))</f>
        <v>0</v>
      </c>
    </row>
    <row r="279" customFormat="false" ht="15" hidden="false" customHeight="false" outlineLevel="0" collapsed="false">
      <c r="A279" s="54" t="n">
        <f aca="false">IF($A278="","",$A278+1)</f>
        <v>46510</v>
      </c>
      <c r="B279" s="5" t="str">
        <f aca="false">IF($A279="","",TEXT($A279,"ddd"))</f>
        <v>Mon</v>
      </c>
      <c r="C279" s="41" t="n">
        <f aca="false">IF($A279="","",COUNTIFS('Trade Log'!$L$4:$L$503,$A279))</f>
        <v>0</v>
      </c>
      <c r="D279" s="40" t="n">
        <f aca="false">IF($A279="","",SUMIFS('Trade Log'!$Q$4:$Q$503,'Trade Log'!$L$4:$L$503,$A279,'Trade Log'!$E$4:$E$503,"LONG"))</f>
        <v>0</v>
      </c>
      <c r="E279" s="40" t="n">
        <f aca="false">IF($A279="","",SUMIFS('Trade Log'!$Q$4:$Q$503,'Trade Log'!$L$4:$L$503,$A279,'Trade Log'!$E$4:$E$503,"SHORT"))</f>
        <v>0</v>
      </c>
      <c r="F279" s="40" t="n">
        <f aca="false">IF($A279="","",$D279+$E279)</f>
        <v>0</v>
      </c>
      <c r="G279" s="40" t="n">
        <f aca="false">IF($A279="","",SUMIFS('Trade Log'!$Y$4:$Y$503,'Trade Log'!$L$4:$L$503,$A279))</f>
        <v>0</v>
      </c>
      <c r="H279" s="40" t="str">
        <f aca="false">IF($A279="","",IF($C279=0,"",$F279-$G279))</f>
        <v/>
      </c>
      <c r="I279" s="40" t="n">
        <f aca="false">IF($A279="","",$I278+IF($H279="",0,$H279))</f>
        <v>23918.5521880349</v>
      </c>
      <c r="J279" s="40" t="n">
        <f aca="false">IF($A279="","",Config!$B$4+$I279)</f>
        <v>1023918.55218803</v>
      </c>
      <c r="K279" s="40" t="n">
        <f aca="false">IF($A279="","",MAX($J$4:$J279))</f>
        <v>1023918.55218803</v>
      </c>
      <c r="L279" s="40" t="n">
        <f aca="false">IF($A279="","",$J279-$K279)</f>
        <v>0</v>
      </c>
      <c r="M279" s="42" t="n">
        <f aca="false">IF(OR($A279="",$K279=0),"",$L279/$K279)</f>
        <v>0</v>
      </c>
      <c r="N279" s="40" t="n">
        <f aca="false">IF($A279="","",SUMIFS('Trade Log'!$K$4:$K$503,'Trade Log'!$H$4:$H$503,$A279))</f>
        <v>0</v>
      </c>
      <c r="O279" s="42" t="str">
        <f aca="false">IF(OR($A279="",$H279="",Config!$B$4=0),"",$H279/Config!$B$4)</f>
        <v/>
      </c>
      <c r="P279" s="40" t="n">
        <f aca="false">IF($A279="","",SUM($H$260:$H279))</f>
        <v>0</v>
      </c>
      <c r="Q279" s="53" t="str">
        <f aca="false">IF($A279="","",IFERROR((AVERAGE($O$260:$O279)-Config!$B$7/Config!$B$6)/STDEV($O$260:$O279)*SQRT(Config!$B$6),""))</f>
        <v/>
      </c>
      <c r="R279" s="53" t="str">
        <f aca="false">IF($A279="","",IFERROR((AVERAGE($O$220:$O279)-Config!$B$7/Config!$B$6)/STDEV($O$220:$O279)*SQRT(Config!$B$6),""))</f>
        <v/>
      </c>
      <c r="S279" s="47" t="n">
        <f aca="false">IF($H279="",$S278,IF($H279&gt;0,$S278+1,0))</f>
        <v>1</v>
      </c>
      <c r="T279" s="47" t="n">
        <f aca="false">IF($H279="",$T278,IF($H279&lt;0,$T278+1,0))</f>
        <v>0</v>
      </c>
    </row>
    <row r="280" customFormat="false" ht="15" hidden="false" customHeight="false" outlineLevel="0" collapsed="false">
      <c r="A280" s="54" t="n">
        <f aca="false">IF($A279="","",$A279+1)</f>
        <v>46511</v>
      </c>
      <c r="B280" s="5" t="str">
        <f aca="false">IF($A280="","",TEXT($A280,"ddd"))</f>
        <v>Tue</v>
      </c>
      <c r="C280" s="41" t="n">
        <f aca="false">IF($A280="","",COUNTIFS('Trade Log'!$L$4:$L$503,$A280))</f>
        <v>0</v>
      </c>
      <c r="D280" s="40" t="n">
        <f aca="false">IF($A280="","",SUMIFS('Trade Log'!$Q$4:$Q$503,'Trade Log'!$L$4:$L$503,$A280,'Trade Log'!$E$4:$E$503,"LONG"))</f>
        <v>0</v>
      </c>
      <c r="E280" s="40" t="n">
        <f aca="false">IF($A280="","",SUMIFS('Trade Log'!$Q$4:$Q$503,'Trade Log'!$L$4:$L$503,$A280,'Trade Log'!$E$4:$E$503,"SHORT"))</f>
        <v>0</v>
      </c>
      <c r="F280" s="40" t="n">
        <f aca="false">IF($A280="","",$D280+$E280)</f>
        <v>0</v>
      </c>
      <c r="G280" s="40" t="n">
        <f aca="false">IF($A280="","",SUMIFS('Trade Log'!$Y$4:$Y$503,'Trade Log'!$L$4:$L$503,$A280))</f>
        <v>0</v>
      </c>
      <c r="H280" s="40" t="str">
        <f aca="false">IF($A280="","",IF($C280=0,"",$F280-$G280))</f>
        <v/>
      </c>
      <c r="I280" s="40" t="n">
        <f aca="false">IF($A280="","",$I279+IF($H280="",0,$H280))</f>
        <v>23918.5521880349</v>
      </c>
      <c r="J280" s="40" t="n">
        <f aca="false">IF($A280="","",Config!$B$4+$I280)</f>
        <v>1023918.55218803</v>
      </c>
      <c r="K280" s="40" t="n">
        <f aca="false">IF($A280="","",MAX($J$4:$J280))</f>
        <v>1023918.55218803</v>
      </c>
      <c r="L280" s="40" t="n">
        <f aca="false">IF($A280="","",$J280-$K280)</f>
        <v>0</v>
      </c>
      <c r="M280" s="42" t="n">
        <f aca="false">IF(OR($A280="",$K280=0),"",$L280/$K280)</f>
        <v>0</v>
      </c>
      <c r="N280" s="40" t="n">
        <f aca="false">IF($A280="","",SUMIFS('Trade Log'!$K$4:$K$503,'Trade Log'!$H$4:$H$503,$A280))</f>
        <v>0</v>
      </c>
      <c r="O280" s="42" t="str">
        <f aca="false">IF(OR($A280="",$H280="",Config!$B$4=0),"",$H280/Config!$B$4)</f>
        <v/>
      </c>
      <c r="P280" s="40" t="n">
        <f aca="false">IF($A280="","",SUM($H$261:$H280))</f>
        <v>0</v>
      </c>
      <c r="Q280" s="53" t="str">
        <f aca="false">IF($A280="","",IFERROR((AVERAGE($O$261:$O280)-Config!$B$7/Config!$B$6)/STDEV($O$261:$O280)*SQRT(Config!$B$6),""))</f>
        <v/>
      </c>
      <c r="R280" s="53" t="str">
        <f aca="false">IF($A280="","",IFERROR((AVERAGE($O$221:$O280)-Config!$B$7/Config!$B$6)/STDEV($O$221:$O280)*SQRT(Config!$B$6),""))</f>
        <v/>
      </c>
      <c r="S280" s="47" t="n">
        <f aca="false">IF($H280="",$S279,IF($H280&gt;0,$S279+1,0))</f>
        <v>1</v>
      </c>
      <c r="T280" s="47" t="n">
        <f aca="false">IF($H280="",$T279,IF($H280&lt;0,$T279+1,0))</f>
        <v>0</v>
      </c>
    </row>
    <row r="281" customFormat="false" ht="15" hidden="false" customHeight="false" outlineLevel="0" collapsed="false">
      <c r="A281" s="54" t="n">
        <f aca="false">IF($A280="","",$A280+1)</f>
        <v>46512</v>
      </c>
      <c r="B281" s="5" t="str">
        <f aca="false">IF($A281="","",TEXT($A281,"ddd"))</f>
        <v>Wed</v>
      </c>
      <c r="C281" s="41" t="n">
        <f aca="false">IF($A281="","",COUNTIFS('Trade Log'!$L$4:$L$503,$A281))</f>
        <v>0</v>
      </c>
      <c r="D281" s="40" t="n">
        <f aca="false">IF($A281="","",SUMIFS('Trade Log'!$Q$4:$Q$503,'Trade Log'!$L$4:$L$503,$A281,'Trade Log'!$E$4:$E$503,"LONG"))</f>
        <v>0</v>
      </c>
      <c r="E281" s="40" t="n">
        <f aca="false">IF($A281="","",SUMIFS('Trade Log'!$Q$4:$Q$503,'Trade Log'!$L$4:$L$503,$A281,'Trade Log'!$E$4:$E$503,"SHORT"))</f>
        <v>0</v>
      </c>
      <c r="F281" s="40" t="n">
        <f aca="false">IF($A281="","",$D281+$E281)</f>
        <v>0</v>
      </c>
      <c r="G281" s="40" t="n">
        <f aca="false">IF($A281="","",SUMIFS('Trade Log'!$Y$4:$Y$503,'Trade Log'!$L$4:$L$503,$A281))</f>
        <v>0</v>
      </c>
      <c r="H281" s="40" t="str">
        <f aca="false">IF($A281="","",IF($C281=0,"",$F281-$G281))</f>
        <v/>
      </c>
      <c r="I281" s="40" t="n">
        <f aca="false">IF($A281="","",$I280+IF($H281="",0,$H281))</f>
        <v>23918.5521880349</v>
      </c>
      <c r="J281" s="40" t="n">
        <f aca="false">IF($A281="","",Config!$B$4+$I281)</f>
        <v>1023918.55218803</v>
      </c>
      <c r="K281" s="40" t="n">
        <f aca="false">IF($A281="","",MAX($J$4:$J281))</f>
        <v>1023918.55218803</v>
      </c>
      <c r="L281" s="40" t="n">
        <f aca="false">IF($A281="","",$J281-$K281)</f>
        <v>0</v>
      </c>
      <c r="M281" s="42" t="n">
        <f aca="false">IF(OR($A281="",$K281=0),"",$L281/$K281)</f>
        <v>0</v>
      </c>
      <c r="N281" s="40" t="n">
        <f aca="false">IF($A281="","",SUMIFS('Trade Log'!$K$4:$K$503,'Trade Log'!$H$4:$H$503,$A281))</f>
        <v>0</v>
      </c>
      <c r="O281" s="42" t="str">
        <f aca="false">IF(OR($A281="",$H281="",Config!$B$4=0),"",$H281/Config!$B$4)</f>
        <v/>
      </c>
      <c r="P281" s="40" t="n">
        <f aca="false">IF($A281="","",SUM($H$262:$H281))</f>
        <v>0</v>
      </c>
      <c r="Q281" s="53" t="str">
        <f aca="false">IF($A281="","",IFERROR((AVERAGE($O$262:$O281)-Config!$B$7/Config!$B$6)/STDEV($O$262:$O281)*SQRT(Config!$B$6),""))</f>
        <v/>
      </c>
      <c r="R281" s="53" t="str">
        <f aca="false">IF($A281="","",IFERROR((AVERAGE($O$222:$O281)-Config!$B$7/Config!$B$6)/STDEV($O$222:$O281)*SQRT(Config!$B$6),""))</f>
        <v/>
      </c>
      <c r="S281" s="47" t="n">
        <f aca="false">IF($H281="",$S280,IF($H281&gt;0,$S280+1,0))</f>
        <v>1</v>
      </c>
      <c r="T281" s="47" t="n">
        <f aca="false">IF($H281="",$T280,IF($H281&lt;0,$T280+1,0))</f>
        <v>0</v>
      </c>
    </row>
    <row r="282" customFormat="false" ht="15" hidden="false" customHeight="false" outlineLevel="0" collapsed="false">
      <c r="A282" s="54" t="n">
        <f aca="false">IF($A281="","",$A281+1)</f>
        <v>46513</v>
      </c>
      <c r="B282" s="5" t="str">
        <f aca="false">IF($A282="","",TEXT($A282,"ddd"))</f>
        <v>Thu</v>
      </c>
      <c r="C282" s="41" t="n">
        <f aca="false">IF($A282="","",COUNTIFS('Trade Log'!$L$4:$L$503,$A282))</f>
        <v>0</v>
      </c>
      <c r="D282" s="40" t="n">
        <f aca="false">IF($A282="","",SUMIFS('Trade Log'!$Q$4:$Q$503,'Trade Log'!$L$4:$L$503,$A282,'Trade Log'!$E$4:$E$503,"LONG"))</f>
        <v>0</v>
      </c>
      <c r="E282" s="40" t="n">
        <f aca="false">IF($A282="","",SUMIFS('Trade Log'!$Q$4:$Q$503,'Trade Log'!$L$4:$L$503,$A282,'Trade Log'!$E$4:$E$503,"SHORT"))</f>
        <v>0</v>
      </c>
      <c r="F282" s="40" t="n">
        <f aca="false">IF($A282="","",$D282+$E282)</f>
        <v>0</v>
      </c>
      <c r="G282" s="40" t="n">
        <f aca="false">IF($A282="","",SUMIFS('Trade Log'!$Y$4:$Y$503,'Trade Log'!$L$4:$L$503,$A282))</f>
        <v>0</v>
      </c>
      <c r="H282" s="40" t="str">
        <f aca="false">IF($A282="","",IF($C282=0,"",$F282-$G282))</f>
        <v/>
      </c>
      <c r="I282" s="40" t="n">
        <f aca="false">IF($A282="","",$I281+IF($H282="",0,$H282))</f>
        <v>23918.5521880349</v>
      </c>
      <c r="J282" s="40" t="n">
        <f aca="false">IF($A282="","",Config!$B$4+$I282)</f>
        <v>1023918.55218803</v>
      </c>
      <c r="K282" s="40" t="n">
        <f aca="false">IF($A282="","",MAX($J$4:$J282))</f>
        <v>1023918.55218803</v>
      </c>
      <c r="L282" s="40" t="n">
        <f aca="false">IF($A282="","",$J282-$K282)</f>
        <v>0</v>
      </c>
      <c r="M282" s="42" t="n">
        <f aca="false">IF(OR($A282="",$K282=0),"",$L282/$K282)</f>
        <v>0</v>
      </c>
      <c r="N282" s="40" t="n">
        <f aca="false">IF($A282="","",SUMIFS('Trade Log'!$K$4:$K$503,'Trade Log'!$H$4:$H$503,$A282))</f>
        <v>0</v>
      </c>
      <c r="O282" s="42" t="str">
        <f aca="false">IF(OR($A282="",$H282="",Config!$B$4=0),"",$H282/Config!$B$4)</f>
        <v/>
      </c>
      <c r="P282" s="40" t="n">
        <f aca="false">IF($A282="","",SUM($H$263:$H282))</f>
        <v>0</v>
      </c>
      <c r="Q282" s="53" t="str">
        <f aca="false">IF($A282="","",IFERROR((AVERAGE($O$263:$O282)-Config!$B$7/Config!$B$6)/STDEV($O$263:$O282)*SQRT(Config!$B$6),""))</f>
        <v/>
      </c>
      <c r="R282" s="53" t="str">
        <f aca="false">IF($A282="","",IFERROR((AVERAGE($O$223:$O282)-Config!$B$7/Config!$B$6)/STDEV($O$223:$O282)*SQRT(Config!$B$6),""))</f>
        <v/>
      </c>
      <c r="S282" s="47" t="n">
        <f aca="false">IF($H282="",$S281,IF($H282&gt;0,$S281+1,0))</f>
        <v>1</v>
      </c>
      <c r="T282" s="47" t="n">
        <f aca="false">IF($H282="",$T281,IF($H282&lt;0,$T281+1,0))</f>
        <v>0</v>
      </c>
    </row>
    <row r="283" customFormat="false" ht="15" hidden="false" customHeight="false" outlineLevel="0" collapsed="false">
      <c r="A283" s="54" t="n">
        <f aca="false">IF($A282="","",$A282+1)</f>
        <v>46514</v>
      </c>
      <c r="B283" s="5" t="str">
        <f aca="false">IF($A283="","",TEXT($A283,"ddd"))</f>
        <v>Fri</v>
      </c>
      <c r="C283" s="41" t="n">
        <f aca="false">IF($A283="","",COUNTIFS('Trade Log'!$L$4:$L$503,$A283))</f>
        <v>0</v>
      </c>
      <c r="D283" s="40" t="n">
        <f aca="false">IF($A283="","",SUMIFS('Trade Log'!$Q$4:$Q$503,'Trade Log'!$L$4:$L$503,$A283,'Trade Log'!$E$4:$E$503,"LONG"))</f>
        <v>0</v>
      </c>
      <c r="E283" s="40" t="n">
        <f aca="false">IF($A283="","",SUMIFS('Trade Log'!$Q$4:$Q$503,'Trade Log'!$L$4:$L$503,$A283,'Trade Log'!$E$4:$E$503,"SHORT"))</f>
        <v>0</v>
      </c>
      <c r="F283" s="40" t="n">
        <f aca="false">IF($A283="","",$D283+$E283)</f>
        <v>0</v>
      </c>
      <c r="G283" s="40" t="n">
        <f aca="false">IF($A283="","",SUMIFS('Trade Log'!$Y$4:$Y$503,'Trade Log'!$L$4:$L$503,$A283))</f>
        <v>0</v>
      </c>
      <c r="H283" s="40" t="str">
        <f aca="false">IF($A283="","",IF($C283=0,"",$F283-$G283))</f>
        <v/>
      </c>
      <c r="I283" s="40" t="n">
        <f aca="false">IF($A283="","",$I282+IF($H283="",0,$H283))</f>
        <v>23918.5521880349</v>
      </c>
      <c r="J283" s="40" t="n">
        <f aca="false">IF($A283="","",Config!$B$4+$I283)</f>
        <v>1023918.55218803</v>
      </c>
      <c r="K283" s="40" t="n">
        <f aca="false">IF($A283="","",MAX($J$4:$J283))</f>
        <v>1023918.55218803</v>
      </c>
      <c r="L283" s="40" t="n">
        <f aca="false">IF($A283="","",$J283-$K283)</f>
        <v>0</v>
      </c>
      <c r="M283" s="42" t="n">
        <f aca="false">IF(OR($A283="",$K283=0),"",$L283/$K283)</f>
        <v>0</v>
      </c>
      <c r="N283" s="40" t="n">
        <f aca="false">IF($A283="","",SUMIFS('Trade Log'!$K$4:$K$503,'Trade Log'!$H$4:$H$503,$A283))</f>
        <v>0</v>
      </c>
      <c r="O283" s="42" t="str">
        <f aca="false">IF(OR($A283="",$H283="",Config!$B$4=0),"",$H283/Config!$B$4)</f>
        <v/>
      </c>
      <c r="P283" s="40" t="n">
        <f aca="false">IF($A283="","",SUM($H$264:$H283))</f>
        <v>0</v>
      </c>
      <c r="Q283" s="53" t="str">
        <f aca="false">IF($A283="","",IFERROR((AVERAGE($O$264:$O283)-Config!$B$7/Config!$B$6)/STDEV($O$264:$O283)*SQRT(Config!$B$6),""))</f>
        <v/>
      </c>
      <c r="R283" s="53" t="str">
        <f aca="false">IF($A283="","",IFERROR((AVERAGE($O$224:$O283)-Config!$B$7/Config!$B$6)/STDEV($O$224:$O283)*SQRT(Config!$B$6),""))</f>
        <v/>
      </c>
      <c r="S283" s="47" t="n">
        <f aca="false">IF($H283="",$S282,IF($H283&gt;0,$S282+1,0))</f>
        <v>1</v>
      </c>
      <c r="T283" s="47" t="n">
        <f aca="false">IF($H283="",$T282,IF($H283&lt;0,$T282+1,0))</f>
        <v>0</v>
      </c>
    </row>
    <row r="284" customFormat="false" ht="15" hidden="false" customHeight="false" outlineLevel="0" collapsed="false">
      <c r="A284" s="54" t="n">
        <f aca="false">IF($A283="","",$A283+1)</f>
        <v>46515</v>
      </c>
      <c r="B284" s="5" t="str">
        <f aca="false">IF($A284="","",TEXT($A284,"ddd"))</f>
        <v>Sat</v>
      </c>
      <c r="C284" s="41" t="n">
        <f aca="false">IF($A284="","",COUNTIFS('Trade Log'!$L$4:$L$503,$A284))</f>
        <v>0</v>
      </c>
      <c r="D284" s="40" t="n">
        <f aca="false">IF($A284="","",SUMIFS('Trade Log'!$Q$4:$Q$503,'Trade Log'!$L$4:$L$503,$A284,'Trade Log'!$E$4:$E$503,"LONG"))</f>
        <v>0</v>
      </c>
      <c r="E284" s="40" t="n">
        <f aca="false">IF($A284="","",SUMIFS('Trade Log'!$Q$4:$Q$503,'Trade Log'!$L$4:$L$503,$A284,'Trade Log'!$E$4:$E$503,"SHORT"))</f>
        <v>0</v>
      </c>
      <c r="F284" s="40" t="n">
        <f aca="false">IF($A284="","",$D284+$E284)</f>
        <v>0</v>
      </c>
      <c r="G284" s="40" t="n">
        <f aca="false">IF($A284="","",SUMIFS('Trade Log'!$Y$4:$Y$503,'Trade Log'!$L$4:$L$503,$A284))</f>
        <v>0</v>
      </c>
      <c r="H284" s="40" t="str">
        <f aca="false">IF($A284="","",IF($C284=0,"",$F284-$G284))</f>
        <v/>
      </c>
      <c r="I284" s="40" t="n">
        <f aca="false">IF($A284="","",$I283+IF($H284="",0,$H284))</f>
        <v>23918.5521880349</v>
      </c>
      <c r="J284" s="40" t="n">
        <f aca="false">IF($A284="","",Config!$B$4+$I284)</f>
        <v>1023918.55218803</v>
      </c>
      <c r="K284" s="40" t="n">
        <f aca="false">IF($A284="","",MAX($J$4:$J284))</f>
        <v>1023918.55218803</v>
      </c>
      <c r="L284" s="40" t="n">
        <f aca="false">IF($A284="","",$J284-$K284)</f>
        <v>0</v>
      </c>
      <c r="M284" s="42" t="n">
        <f aca="false">IF(OR($A284="",$K284=0),"",$L284/$K284)</f>
        <v>0</v>
      </c>
      <c r="N284" s="40" t="n">
        <f aca="false">IF($A284="","",SUMIFS('Trade Log'!$K$4:$K$503,'Trade Log'!$H$4:$H$503,$A284))</f>
        <v>0</v>
      </c>
      <c r="O284" s="42" t="str">
        <f aca="false">IF(OR($A284="",$H284="",Config!$B$4=0),"",$H284/Config!$B$4)</f>
        <v/>
      </c>
      <c r="P284" s="40" t="n">
        <f aca="false">IF($A284="","",SUM($H$265:$H284))</f>
        <v>0</v>
      </c>
      <c r="Q284" s="53" t="str">
        <f aca="false">IF($A284="","",IFERROR((AVERAGE($O$265:$O284)-Config!$B$7/Config!$B$6)/STDEV($O$265:$O284)*SQRT(Config!$B$6),""))</f>
        <v/>
      </c>
      <c r="R284" s="53" t="str">
        <f aca="false">IF($A284="","",IFERROR((AVERAGE($O$225:$O284)-Config!$B$7/Config!$B$6)/STDEV($O$225:$O284)*SQRT(Config!$B$6),""))</f>
        <v/>
      </c>
      <c r="S284" s="47" t="n">
        <f aca="false">IF($H284="",$S283,IF($H284&gt;0,$S283+1,0))</f>
        <v>1</v>
      </c>
      <c r="T284" s="47" t="n">
        <f aca="false">IF($H284="",$T283,IF($H284&lt;0,$T283+1,0))</f>
        <v>0</v>
      </c>
    </row>
    <row r="285" customFormat="false" ht="15" hidden="false" customHeight="false" outlineLevel="0" collapsed="false">
      <c r="A285" s="54" t="n">
        <f aca="false">IF($A284="","",$A284+1)</f>
        <v>46516</v>
      </c>
      <c r="B285" s="5" t="str">
        <f aca="false">IF($A285="","",TEXT($A285,"ddd"))</f>
        <v>Sun</v>
      </c>
      <c r="C285" s="41" t="n">
        <f aca="false">IF($A285="","",COUNTIFS('Trade Log'!$L$4:$L$503,$A285))</f>
        <v>0</v>
      </c>
      <c r="D285" s="40" t="n">
        <f aca="false">IF($A285="","",SUMIFS('Trade Log'!$Q$4:$Q$503,'Trade Log'!$L$4:$L$503,$A285,'Trade Log'!$E$4:$E$503,"LONG"))</f>
        <v>0</v>
      </c>
      <c r="E285" s="40" t="n">
        <f aca="false">IF($A285="","",SUMIFS('Trade Log'!$Q$4:$Q$503,'Trade Log'!$L$4:$L$503,$A285,'Trade Log'!$E$4:$E$503,"SHORT"))</f>
        <v>0</v>
      </c>
      <c r="F285" s="40" t="n">
        <f aca="false">IF($A285="","",$D285+$E285)</f>
        <v>0</v>
      </c>
      <c r="G285" s="40" t="n">
        <f aca="false">IF($A285="","",SUMIFS('Trade Log'!$Y$4:$Y$503,'Trade Log'!$L$4:$L$503,$A285))</f>
        <v>0</v>
      </c>
      <c r="H285" s="40" t="str">
        <f aca="false">IF($A285="","",IF($C285=0,"",$F285-$G285))</f>
        <v/>
      </c>
      <c r="I285" s="40" t="n">
        <f aca="false">IF($A285="","",$I284+IF($H285="",0,$H285))</f>
        <v>23918.5521880349</v>
      </c>
      <c r="J285" s="40" t="n">
        <f aca="false">IF($A285="","",Config!$B$4+$I285)</f>
        <v>1023918.55218803</v>
      </c>
      <c r="K285" s="40" t="n">
        <f aca="false">IF($A285="","",MAX($J$4:$J285))</f>
        <v>1023918.55218803</v>
      </c>
      <c r="L285" s="40" t="n">
        <f aca="false">IF($A285="","",$J285-$K285)</f>
        <v>0</v>
      </c>
      <c r="M285" s="42" t="n">
        <f aca="false">IF(OR($A285="",$K285=0),"",$L285/$K285)</f>
        <v>0</v>
      </c>
      <c r="N285" s="40" t="n">
        <f aca="false">IF($A285="","",SUMIFS('Trade Log'!$K$4:$K$503,'Trade Log'!$H$4:$H$503,$A285))</f>
        <v>0</v>
      </c>
      <c r="O285" s="42" t="str">
        <f aca="false">IF(OR($A285="",$H285="",Config!$B$4=0),"",$H285/Config!$B$4)</f>
        <v/>
      </c>
      <c r="P285" s="40" t="n">
        <f aca="false">IF($A285="","",SUM($H$266:$H285))</f>
        <v>0</v>
      </c>
      <c r="Q285" s="53" t="str">
        <f aca="false">IF($A285="","",IFERROR((AVERAGE($O$266:$O285)-Config!$B$7/Config!$B$6)/STDEV($O$266:$O285)*SQRT(Config!$B$6),""))</f>
        <v/>
      </c>
      <c r="R285" s="53" t="str">
        <f aca="false">IF($A285="","",IFERROR((AVERAGE($O$226:$O285)-Config!$B$7/Config!$B$6)/STDEV($O$226:$O285)*SQRT(Config!$B$6),""))</f>
        <v/>
      </c>
      <c r="S285" s="47" t="n">
        <f aca="false">IF($H285="",$S284,IF($H285&gt;0,$S284+1,0))</f>
        <v>1</v>
      </c>
      <c r="T285" s="47" t="n">
        <f aca="false">IF($H285="",$T284,IF($H285&lt;0,$T284+1,0))</f>
        <v>0</v>
      </c>
    </row>
    <row r="286" customFormat="false" ht="15" hidden="false" customHeight="false" outlineLevel="0" collapsed="false">
      <c r="A286" s="54" t="n">
        <f aca="false">IF($A285="","",$A285+1)</f>
        <v>46517</v>
      </c>
      <c r="B286" s="5" t="str">
        <f aca="false">IF($A286="","",TEXT($A286,"ddd"))</f>
        <v>Mon</v>
      </c>
      <c r="C286" s="41" t="n">
        <f aca="false">IF($A286="","",COUNTIFS('Trade Log'!$L$4:$L$503,$A286))</f>
        <v>0</v>
      </c>
      <c r="D286" s="40" t="n">
        <f aca="false">IF($A286="","",SUMIFS('Trade Log'!$Q$4:$Q$503,'Trade Log'!$L$4:$L$503,$A286,'Trade Log'!$E$4:$E$503,"LONG"))</f>
        <v>0</v>
      </c>
      <c r="E286" s="40" t="n">
        <f aca="false">IF($A286="","",SUMIFS('Trade Log'!$Q$4:$Q$503,'Trade Log'!$L$4:$L$503,$A286,'Trade Log'!$E$4:$E$503,"SHORT"))</f>
        <v>0</v>
      </c>
      <c r="F286" s="40" t="n">
        <f aca="false">IF($A286="","",$D286+$E286)</f>
        <v>0</v>
      </c>
      <c r="G286" s="40" t="n">
        <f aca="false">IF($A286="","",SUMIFS('Trade Log'!$Y$4:$Y$503,'Trade Log'!$L$4:$L$503,$A286))</f>
        <v>0</v>
      </c>
      <c r="H286" s="40" t="str">
        <f aca="false">IF($A286="","",IF($C286=0,"",$F286-$G286))</f>
        <v/>
      </c>
      <c r="I286" s="40" t="n">
        <f aca="false">IF($A286="","",$I285+IF($H286="",0,$H286))</f>
        <v>23918.5521880349</v>
      </c>
      <c r="J286" s="40" t="n">
        <f aca="false">IF($A286="","",Config!$B$4+$I286)</f>
        <v>1023918.55218803</v>
      </c>
      <c r="K286" s="40" t="n">
        <f aca="false">IF($A286="","",MAX($J$4:$J286))</f>
        <v>1023918.55218803</v>
      </c>
      <c r="L286" s="40" t="n">
        <f aca="false">IF($A286="","",$J286-$K286)</f>
        <v>0</v>
      </c>
      <c r="M286" s="42" t="n">
        <f aca="false">IF(OR($A286="",$K286=0),"",$L286/$K286)</f>
        <v>0</v>
      </c>
      <c r="N286" s="40" t="n">
        <f aca="false">IF($A286="","",SUMIFS('Trade Log'!$K$4:$K$503,'Trade Log'!$H$4:$H$503,$A286))</f>
        <v>0</v>
      </c>
      <c r="O286" s="42" t="str">
        <f aca="false">IF(OR($A286="",$H286="",Config!$B$4=0),"",$H286/Config!$B$4)</f>
        <v/>
      </c>
      <c r="P286" s="40" t="n">
        <f aca="false">IF($A286="","",SUM($H$267:$H286))</f>
        <v>0</v>
      </c>
      <c r="Q286" s="53" t="str">
        <f aca="false">IF($A286="","",IFERROR((AVERAGE($O$267:$O286)-Config!$B$7/Config!$B$6)/STDEV($O$267:$O286)*SQRT(Config!$B$6),""))</f>
        <v/>
      </c>
      <c r="R286" s="53" t="str">
        <f aca="false">IF($A286="","",IFERROR((AVERAGE($O$227:$O286)-Config!$B$7/Config!$B$6)/STDEV($O$227:$O286)*SQRT(Config!$B$6),""))</f>
        <v/>
      </c>
      <c r="S286" s="47" t="n">
        <f aca="false">IF($H286="",$S285,IF($H286&gt;0,$S285+1,0))</f>
        <v>1</v>
      </c>
      <c r="T286" s="47" t="n">
        <f aca="false">IF($H286="",$T285,IF($H286&lt;0,$T285+1,0))</f>
        <v>0</v>
      </c>
    </row>
    <row r="287" customFormat="false" ht="15" hidden="false" customHeight="false" outlineLevel="0" collapsed="false">
      <c r="A287" s="54" t="n">
        <f aca="false">IF($A286="","",$A286+1)</f>
        <v>46518</v>
      </c>
      <c r="B287" s="5" t="str">
        <f aca="false">IF($A287="","",TEXT($A287,"ddd"))</f>
        <v>Tue</v>
      </c>
      <c r="C287" s="41" t="n">
        <f aca="false">IF($A287="","",COUNTIFS('Trade Log'!$L$4:$L$503,$A287))</f>
        <v>0</v>
      </c>
      <c r="D287" s="40" t="n">
        <f aca="false">IF($A287="","",SUMIFS('Trade Log'!$Q$4:$Q$503,'Trade Log'!$L$4:$L$503,$A287,'Trade Log'!$E$4:$E$503,"LONG"))</f>
        <v>0</v>
      </c>
      <c r="E287" s="40" t="n">
        <f aca="false">IF($A287="","",SUMIFS('Trade Log'!$Q$4:$Q$503,'Trade Log'!$L$4:$L$503,$A287,'Trade Log'!$E$4:$E$503,"SHORT"))</f>
        <v>0</v>
      </c>
      <c r="F287" s="40" t="n">
        <f aca="false">IF($A287="","",$D287+$E287)</f>
        <v>0</v>
      </c>
      <c r="G287" s="40" t="n">
        <f aca="false">IF($A287="","",SUMIFS('Trade Log'!$Y$4:$Y$503,'Trade Log'!$L$4:$L$503,$A287))</f>
        <v>0</v>
      </c>
      <c r="H287" s="40" t="str">
        <f aca="false">IF($A287="","",IF($C287=0,"",$F287-$G287))</f>
        <v/>
      </c>
      <c r="I287" s="40" t="n">
        <f aca="false">IF($A287="","",$I286+IF($H287="",0,$H287))</f>
        <v>23918.5521880349</v>
      </c>
      <c r="J287" s="40" t="n">
        <f aca="false">IF($A287="","",Config!$B$4+$I287)</f>
        <v>1023918.55218803</v>
      </c>
      <c r="K287" s="40" t="n">
        <f aca="false">IF($A287="","",MAX($J$4:$J287))</f>
        <v>1023918.55218803</v>
      </c>
      <c r="L287" s="40" t="n">
        <f aca="false">IF($A287="","",$J287-$K287)</f>
        <v>0</v>
      </c>
      <c r="M287" s="42" t="n">
        <f aca="false">IF(OR($A287="",$K287=0),"",$L287/$K287)</f>
        <v>0</v>
      </c>
      <c r="N287" s="40" t="n">
        <f aca="false">IF($A287="","",SUMIFS('Trade Log'!$K$4:$K$503,'Trade Log'!$H$4:$H$503,$A287))</f>
        <v>0</v>
      </c>
      <c r="O287" s="42" t="str">
        <f aca="false">IF(OR($A287="",$H287="",Config!$B$4=0),"",$H287/Config!$B$4)</f>
        <v/>
      </c>
      <c r="P287" s="40" t="n">
        <f aca="false">IF($A287="","",SUM($H$268:$H287))</f>
        <v>0</v>
      </c>
      <c r="Q287" s="53" t="str">
        <f aca="false">IF($A287="","",IFERROR((AVERAGE($O$268:$O287)-Config!$B$7/Config!$B$6)/STDEV($O$268:$O287)*SQRT(Config!$B$6),""))</f>
        <v/>
      </c>
      <c r="R287" s="53" t="str">
        <f aca="false">IF($A287="","",IFERROR((AVERAGE($O$228:$O287)-Config!$B$7/Config!$B$6)/STDEV($O$228:$O287)*SQRT(Config!$B$6),""))</f>
        <v/>
      </c>
      <c r="S287" s="47" t="n">
        <f aca="false">IF($H287="",$S286,IF($H287&gt;0,$S286+1,0))</f>
        <v>1</v>
      </c>
      <c r="T287" s="47" t="n">
        <f aca="false">IF($H287="",$T286,IF($H287&lt;0,$T286+1,0))</f>
        <v>0</v>
      </c>
    </row>
    <row r="288" customFormat="false" ht="15" hidden="false" customHeight="false" outlineLevel="0" collapsed="false">
      <c r="A288" s="54" t="n">
        <f aca="false">IF($A287="","",$A287+1)</f>
        <v>46519</v>
      </c>
      <c r="B288" s="5" t="str">
        <f aca="false">IF($A288="","",TEXT($A288,"ddd"))</f>
        <v>Wed</v>
      </c>
      <c r="C288" s="41" t="n">
        <f aca="false">IF($A288="","",COUNTIFS('Trade Log'!$L$4:$L$503,$A288))</f>
        <v>0</v>
      </c>
      <c r="D288" s="40" t="n">
        <f aca="false">IF($A288="","",SUMIFS('Trade Log'!$Q$4:$Q$503,'Trade Log'!$L$4:$L$503,$A288,'Trade Log'!$E$4:$E$503,"LONG"))</f>
        <v>0</v>
      </c>
      <c r="E288" s="40" t="n">
        <f aca="false">IF($A288="","",SUMIFS('Trade Log'!$Q$4:$Q$503,'Trade Log'!$L$4:$L$503,$A288,'Trade Log'!$E$4:$E$503,"SHORT"))</f>
        <v>0</v>
      </c>
      <c r="F288" s="40" t="n">
        <f aca="false">IF($A288="","",$D288+$E288)</f>
        <v>0</v>
      </c>
      <c r="G288" s="40" t="n">
        <f aca="false">IF($A288="","",SUMIFS('Trade Log'!$Y$4:$Y$503,'Trade Log'!$L$4:$L$503,$A288))</f>
        <v>0</v>
      </c>
      <c r="H288" s="40" t="str">
        <f aca="false">IF($A288="","",IF($C288=0,"",$F288-$G288))</f>
        <v/>
      </c>
      <c r="I288" s="40" t="n">
        <f aca="false">IF($A288="","",$I287+IF($H288="",0,$H288))</f>
        <v>23918.5521880349</v>
      </c>
      <c r="J288" s="40" t="n">
        <f aca="false">IF($A288="","",Config!$B$4+$I288)</f>
        <v>1023918.55218803</v>
      </c>
      <c r="K288" s="40" t="n">
        <f aca="false">IF($A288="","",MAX($J$4:$J288))</f>
        <v>1023918.55218803</v>
      </c>
      <c r="L288" s="40" t="n">
        <f aca="false">IF($A288="","",$J288-$K288)</f>
        <v>0</v>
      </c>
      <c r="M288" s="42" t="n">
        <f aca="false">IF(OR($A288="",$K288=0),"",$L288/$K288)</f>
        <v>0</v>
      </c>
      <c r="N288" s="40" t="n">
        <f aca="false">IF($A288="","",SUMIFS('Trade Log'!$K$4:$K$503,'Trade Log'!$H$4:$H$503,$A288))</f>
        <v>0</v>
      </c>
      <c r="O288" s="42" t="str">
        <f aca="false">IF(OR($A288="",$H288="",Config!$B$4=0),"",$H288/Config!$B$4)</f>
        <v/>
      </c>
      <c r="P288" s="40" t="n">
        <f aca="false">IF($A288="","",SUM($H$269:$H288))</f>
        <v>0</v>
      </c>
      <c r="Q288" s="53" t="str">
        <f aca="false">IF($A288="","",IFERROR((AVERAGE($O$269:$O288)-Config!$B$7/Config!$B$6)/STDEV($O$269:$O288)*SQRT(Config!$B$6),""))</f>
        <v/>
      </c>
      <c r="R288" s="53" t="str">
        <f aca="false">IF($A288="","",IFERROR((AVERAGE($O$229:$O288)-Config!$B$7/Config!$B$6)/STDEV($O$229:$O288)*SQRT(Config!$B$6),""))</f>
        <v/>
      </c>
      <c r="S288" s="47" t="n">
        <f aca="false">IF($H288="",$S287,IF($H288&gt;0,$S287+1,0))</f>
        <v>1</v>
      </c>
      <c r="T288" s="47" t="n">
        <f aca="false">IF($H288="",$T287,IF($H288&lt;0,$T287+1,0))</f>
        <v>0</v>
      </c>
    </row>
    <row r="289" customFormat="false" ht="15" hidden="false" customHeight="false" outlineLevel="0" collapsed="false">
      <c r="A289" s="54" t="n">
        <f aca="false">IF($A288="","",$A288+1)</f>
        <v>46520</v>
      </c>
      <c r="B289" s="5" t="str">
        <f aca="false">IF($A289="","",TEXT($A289,"ddd"))</f>
        <v>Thu</v>
      </c>
      <c r="C289" s="41" t="n">
        <f aca="false">IF($A289="","",COUNTIFS('Trade Log'!$L$4:$L$503,$A289))</f>
        <v>0</v>
      </c>
      <c r="D289" s="40" t="n">
        <f aca="false">IF($A289="","",SUMIFS('Trade Log'!$Q$4:$Q$503,'Trade Log'!$L$4:$L$503,$A289,'Trade Log'!$E$4:$E$503,"LONG"))</f>
        <v>0</v>
      </c>
      <c r="E289" s="40" t="n">
        <f aca="false">IF($A289="","",SUMIFS('Trade Log'!$Q$4:$Q$503,'Trade Log'!$L$4:$L$503,$A289,'Trade Log'!$E$4:$E$503,"SHORT"))</f>
        <v>0</v>
      </c>
      <c r="F289" s="40" t="n">
        <f aca="false">IF($A289="","",$D289+$E289)</f>
        <v>0</v>
      </c>
      <c r="G289" s="40" t="n">
        <f aca="false">IF($A289="","",SUMIFS('Trade Log'!$Y$4:$Y$503,'Trade Log'!$L$4:$L$503,$A289))</f>
        <v>0</v>
      </c>
      <c r="H289" s="40" t="str">
        <f aca="false">IF($A289="","",IF($C289=0,"",$F289-$G289))</f>
        <v/>
      </c>
      <c r="I289" s="40" t="n">
        <f aca="false">IF($A289="","",$I288+IF($H289="",0,$H289))</f>
        <v>23918.5521880349</v>
      </c>
      <c r="J289" s="40" t="n">
        <f aca="false">IF($A289="","",Config!$B$4+$I289)</f>
        <v>1023918.55218803</v>
      </c>
      <c r="K289" s="40" t="n">
        <f aca="false">IF($A289="","",MAX($J$4:$J289))</f>
        <v>1023918.55218803</v>
      </c>
      <c r="L289" s="40" t="n">
        <f aca="false">IF($A289="","",$J289-$K289)</f>
        <v>0</v>
      </c>
      <c r="M289" s="42" t="n">
        <f aca="false">IF(OR($A289="",$K289=0),"",$L289/$K289)</f>
        <v>0</v>
      </c>
      <c r="N289" s="40" t="n">
        <f aca="false">IF($A289="","",SUMIFS('Trade Log'!$K$4:$K$503,'Trade Log'!$H$4:$H$503,$A289))</f>
        <v>0</v>
      </c>
      <c r="O289" s="42" t="str">
        <f aca="false">IF(OR($A289="",$H289="",Config!$B$4=0),"",$H289/Config!$B$4)</f>
        <v/>
      </c>
      <c r="P289" s="40" t="n">
        <f aca="false">IF($A289="","",SUM($H$270:$H289))</f>
        <v>0</v>
      </c>
      <c r="Q289" s="53" t="str">
        <f aca="false">IF($A289="","",IFERROR((AVERAGE($O$270:$O289)-Config!$B$7/Config!$B$6)/STDEV($O$270:$O289)*SQRT(Config!$B$6),""))</f>
        <v/>
      </c>
      <c r="R289" s="53" t="str">
        <f aca="false">IF($A289="","",IFERROR((AVERAGE($O$230:$O289)-Config!$B$7/Config!$B$6)/STDEV($O$230:$O289)*SQRT(Config!$B$6),""))</f>
        <v/>
      </c>
      <c r="S289" s="47" t="n">
        <f aca="false">IF($H289="",$S288,IF($H289&gt;0,$S288+1,0))</f>
        <v>1</v>
      </c>
      <c r="T289" s="47" t="n">
        <f aca="false">IF($H289="",$T288,IF($H289&lt;0,$T288+1,0))</f>
        <v>0</v>
      </c>
    </row>
    <row r="290" customFormat="false" ht="15" hidden="false" customHeight="false" outlineLevel="0" collapsed="false">
      <c r="A290" s="54" t="n">
        <f aca="false">IF($A289="","",$A289+1)</f>
        <v>46521</v>
      </c>
      <c r="B290" s="5" t="str">
        <f aca="false">IF($A290="","",TEXT($A290,"ddd"))</f>
        <v>Fri</v>
      </c>
      <c r="C290" s="41" t="n">
        <f aca="false">IF($A290="","",COUNTIFS('Trade Log'!$L$4:$L$503,$A290))</f>
        <v>0</v>
      </c>
      <c r="D290" s="40" t="n">
        <f aca="false">IF($A290="","",SUMIFS('Trade Log'!$Q$4:$Q$503,'Trade Log'!$L$4:$L$503,$A290,'Trade Log'!$E$4:$E$503,"LONG"))</f>
        <v>0</v>
      </c>
      <c r="E290" s="40" t="n">
        <f aca="false">IF($A290="","",SUMIFS('Trade Log'!$Q$4:$Q$503,'Trade Log'!$L$4:$L$503,$A290,'Trade Log'!$E$4:$E$503,"SHORT"))</f>
        <v>0</v>
      </c>
      <c r="F290" s="40" t="n">
        <f aca="false">IF($A290="","",$D290+$E290)</f>
        <v>0</v>
      </c>
      <c r="G290" s="40" t="n">
        <f aca="false">IF($A290="","",SUMIFS('Trade Log'!$Y$4:$Y$503,'Trade Log'!$L$4:$L$503,$A290))</f>
        <v>0</v>
      </c>
      <c r="H290" s="40" t="str">
        <f aca="false">IF($A290="","",IF($C290=0,"",$F290-$G290))</f>
        <v/>
      </c>
      <c r="I290" s="40" t="n">
        <f aca="false">IF($A290="","",$I289+IF($H290="",0,$H290))</f>
        <v>23918.5521880349</v>
      </c>
      <c r="J290" s="40" t="n">
        <f aca="false">IF($A290="","",Config!$B$4+$I290)</f>
        <v>1023918.55218803</v>
      </c>
      <c r="K290" s="40" t="n">
        <f aca="false">IF($A290="","",MAX($J$4:$J290))</f>
        <v>1023918.55218803</v>
      </c>
      <c r="L290" s="40" t="n">
        <f aca="false">IF($A290="","",$J290-$K290)</f>
        <v>0</v>
      </c>
      <c r="M290" s="42" t="n">
        <f aca="false">IF(OR($A290="",$K290=0),"",$L290/$K290)</f>
        <v>0</v>
      </c>
      <c r="N290" s="40" t="n">
        <f aca="false">IF($A290="","",SUMIFS('Trade Log'!$K$4:$K$503,'Trade Log'!$H$4:$H$503,$A290))</f>
        <v>0</v>
      </c>
      <c r="O290" s="42" t="str">
        <f aca="false">IF(OR($A290="",$H290="",Config!$B$4=0),"",$H290/Config!$B$4)</f>
        <v/>
      </c>
      <c r="P290" s="40" t="n">
        <f aca="false">IF($A290="","",SUM($H$271:$H290))</f>
        <v>0</v>
      </c>
      <c r="Q290" s="53" t="str">
        <f aca="false">IF($A290="","",IFERROR((AVERAGE($O$271:$O290)-Config!$B$7/Config!$B$6)/STDEV($O$271:$O290)*SQRT(Config!$B$6),""))</f>
        <v/>
      </c>
      <c r="R290" s="53" t="str">
        <f aca="false">IF($A290="","",IFERROR((AVERAGE($O$231:$O290)-Config!$B$7/Config!$B$6)/STDEV($O$231:$O290)*SQRT(Config!$B$6),""))</f>
        <v/>
      </c>
      <c r="S290" s="47" t="n">
        <f aca="false">IF($H290="",$S289,IF($H290&gt;0,$S289+1,0))</f>
        <v>1</v>
      </c>
      <c r="T290" s="47" t="n">
        <f aca="false">IF($H290="",$T289,IF($H290&lt;0,$T289+1,0))</f>
        <v>0</v>
      </c>
    </row>
    <row r="291" customFormat="false" ht="15" hidden="false" customHeight="false" outlineLevel="0" collapsed="false">
      <c r="A291" s="54" t="n">
        <f aca="false">IF($A290="","",$A290+1)</f>
        <v>46522</v>
      </c>
      <c r="B291" s="5" t="str">
        <f aca="false">IF($A291="","",TEXT($A291,"ddd"))</f>
        <v>Sat</v>
      </c>
      <c r="C291" s="41" t="n">
        <f aca="false">IF($A291="","",COUNTIFS('Trade Log'!$L$4:$L$503,$A291))</f>
        <v>0</v>
      </c>
      <c r="D291" s="40" t="n">
        <f aca="false">IF($A291="","",SUMIFS('Trade Log'!$Q$4:$Q$503,'Trade Log'!$L$4:$L$503,$A291,'Trade Log'!$E$4:$E$503,"LONG"))</f>
        <v>0</v>
      </c>
      <c r="E291" s="40" t="n">
        <f aca="false">IF($A291="","",SUMIFS('Trade Log'!$Q$4:$Q$503,'Trade Log'!$L$4:$L$503,$A291,'Trade Log'!$E$4:$E$503,"SHORT"))</f>
        <v>0</v>
      </c>
      <c r="F291" s="40" t="n">
        <f aca="false">IF($A291="","",$D291+$E291)</f>
        <v>0</v>
      </c>
      <c r="G291" s="40" t="n">
        <f aca="false">IF($A291="","",SUMIFS('Trade Log'!$Y$4:$Y$503,'Trade Log'!$L$4:$L$503,$A291))</f>
        <v>0</v>
      </c>
      <c r="H291" s="40" t="str">
        <f aca="false">IF($A291="","",IF($C291=0,"",$F291-$G291))</f>
        <v/>
      </c>
      <c r="I291" s="40" t="n">
        <f aca="false">IF($A291="","",$I290+IF($H291="",0,$H291))</f>
        <v>23918.5521880349</v>
      </c>
      <c r="J291" s="40" t="n">
        <f aca="false">IF($A291="","",Config!$B$4+$I291)</f>
        <v>1023918.55218803</v>
      </c>
      <c r="K291" s="40" t="n">
        <f aca="false">IF($A291="","",MAX($J$4:$J291))</f>
        <v>1023918.55218803</v>
      </c>
      <c r="L291" s="40" t="n">
        <f aca="false">IF($A291="","",$J291-$K291)</f>
        <v>0</v>
      </c>
      <c r="M291" s="42" t="n">
        <f aca="false">IF(OR($A291="",$K291=0),"",$L291/$K291)</f>
        <v>0</v>
      </c>
      <c r="N291" s="40" t="n">
        <f aca="false">IF($A291="","",SUMIFS('Trade Log'!$K$4:$K$503,'Trade Log'!$H$4:$H$503,$A291))</f>
        <v>0</v>
      </c>
      <c r="O291" s="42" t="str">
        <f aca="false">IF(OR($A291="",$H291="",Config!$B$4=0),"",$H291/Config!$B$4)</f>
        <v/>
      </c>
      <c r="P291" s="40" t="n">
        <f aca="false">IF($A291="","",SUM($H$272:$H291))</f>
        <v>0</v>
      </c>
      <c r="Q291" s="53" t="str">
        <f aca="false">IF($A291="","",IFERROR((AVERAGE($O$272:$O291)-Config!$B$7/Config!$B$6)/STDEV($O$272:$O291)*SQRT(Config!$B$6),""))</f>
        <v/>
      </c>
      <c r="R291" s="53" t="str">
        <f aca="false">IF($A291="","",IFERROR((AVERAGE($O$232:$O291)-Config!$B$7/Config!$B$6)/STDEV($O$232:$O291)*SQRT(Config!$B$6),""))</f>
        <v/>
      </c>
      <c r="S291" s="47" t="n">
        <f aca="false">IF($H291="",$S290,IF($H291&gt;0,$S290+1,0))</f>
        <v>1</v>
      </c>
      <c r="T291" s="47" t="n">
        <f aca="false">IF($H291="",$T290,IF($H291&lt;0,$T290+1,0))</f>
        <v>0</v>
      </c>
    </row>
    <row r="292" customFormat="false" ht="15" hidden="false" customHeight="false" outlineLevel="0" collapsed="false">
      <c r="A292" s="54" t="n">
        <f aca="false">IF($A291="","",$A291+1)</f>
        <v>46523</v>
      </c>
      <c r="B292" s="5" t="str">
        <f aca="false">IF($A292="","",TEXT($A292,"ddd"))</f>
        <v>Sun</v>
      </c>
      <c r="C292" s="41" t="n">
        <f aca="false">IF($A292="","",COUNTIFS('Trade Log'!$L$4:$L$503,$A292))</f>
        <v>0</v>
      </c>
      <c r="D292" s="40" t="n">
        <f aca="false">IF($A292="","",SUMIFS('Trade Log'!$Q$4:$Q$503,'Trade Log'!$L$4:$L$503,$A292,'Trade Log'!$E$4:$E$503,"LONG"))</f>
        <v>0</v>
      </c>
      <c r="E292" s="40" t="n">
        <f aca="false">IF($A292="","",SUMIFS('Trade Log'!$Q$4:$Q$503,'Trade Log'!$L$4:$L$503,$A292,'Trade Log'!$E$4:$E$503,"SHORT"))</f>
        <v>0</v>
      </c>
      <c r="F292" s="40" t="n">
        <f aca="false">IF($A292="","",$D292+$E292)</f>
        <v>0</v>
      </c>
      <c r="G292" s="40" t="n">
        <f aca="false">IF($A292="","",SUMIFS('Trade Log'!$Y$4:$Y$503,'Trade Log'!$L$4:$L$503,$A292))</f>
        <v>0</v>
      </c>
      <c r="H292" s="40" t="str">
        <f aca="false">IF($A292="","",IF($C292=0,"",$F292-$G292))</f>
        <v/>
      </c>
      <c r="I292" s="40" t="n">
        <f aca="false">IF($A292="","",$I291+IF($H292="",0,$H292))</f>
        <v>23918.5521880349</v>
      </c>
      <c r="J292" s="40" t="n">
        <f aca="false">IF($A292="","",Config!$B$4+$I292)</f>
        <v>1023918.55218803</v>
      </c>
      <c r="K292" s="40" t="n">
        <f aca="false">IF($A292="","",MAX($J$4:$J292))</f>
        <v>1023918.55218803</v>
      </c>
      <c r="L292" s="40" t="n">
        <f aca="false">IF($A292="","",$J292-$K292)</f>
        <v>0</v>
      </c>
      <c r="M292" s="42" t="n">
        <f aca="false">IF(OR($A292="",$K292=0),"",$L292/$K292)</f>
        <v>0</v>
      </c>
      <c r="N292" s="40" t="n">
        <f aca="false">IF($A292="","",SUMIFS('Trade Log'!$K$4:$K$503,'Trade Log'!$H$4:$H$503,$A292))</f>
        <v>0</v>
      </c>
      <c r="O292" s="42" t="str">
        <f aca="false">IF(OR($A292="",$H292="",Config!$B$4=0),"",$H292/Config!$B$4)</f>
        <v/>
      </c>
      <c r="P292" s="40" t="n">
        <f aca="false">IF($A292="","",SUM($H$273:$H292))</f>
        <v>0</v>
      </c>
      <c r="Q292" s="53" t="str">
        <f aca="false">IF($A292="","",IFERROR((AVERAGE($O$273:$O292)-Config!$B$7/Config!$B$6)/STDEV($O$273:$O292)*SQRT(Config!$B$6),""))</f>
        <v/>
      </c>
      <c r="R292" s="53" t="str">
        <f aca="false">IF($A292="","",IFERROR((AVERAGE($O$233:$O292)-Config!$B$7/Config!$B$6)/STDEV($O$233:$O292)*SQRT(Config!$B$6),""))</f>
        <v/>
      </c>
      <c r="S292" s="47" t="n">
        <f aca="false">IF($H292="",$S291,IF($H292&gt;0,$S291+1,0))</f>
        <v>1</v>
      </c>
      <c r="T292" s="47" t="n">
        <f aca="false">IF($H292="",$T291,IF($H292&lt;0,$T291+1,0))</f>
        <v>0</v>
      </c>
    </row>
    <row r="293" customFormat="false" ht="15" hidden="false" customHeight="false" outlineLevel="0" collapsed="false">
      <c r="A293" s="54" t="n">
        <f aca="false">IF($A292="","",$A292+1)</f>
        <v>46524</v>
      </c>
      <c r="B293" s="5" t="str">
        <f aca="false">IF($A293="","",TEXT($A293,"ddd"))</f>
        <v>Mon</v>
      </c>
      <c r="C293" s="41" t="n">
        <f aca="false">IF($A293="","",COUNTIFS('Trade Log'!$L$4:$L$503,$A293))</f>
        <v>0</v>
      </c>
      <c r="D293" s="40" t="n">
        <f aca="false">IF($A293="","",SUMIFS('Trade Log'!$Q$4:$Q$503,'Trade Log'!$L$4:$L$503,$A293,'Trade Log'!$E$4:$E$503,"LONG"))</f>
        <v>0</v>
      </c>
      <c r="E293" s="40" t="n">
        <f aca="false">IF($A293="","",SUMIFS('Trade Log'!$Q$4:$Q$503,'Trade Log'!$L$4:$L$503,$A293,'Trade Log'!$E$4:$E$503,"SHORT"))</f>
        <v>0</v>
      </c>
      <c r="F293" s="40" t="n">
        <f aca="false">IF($A293="","",$D293+$E293)</f>
        <v>0</v>
      </c>
      <c r="G293" s="40" t="n">
        <f aca="false">IF($A293="","",SUMIFS('Trade Log'!$Y$4:$Y$503,'Trade Log'!$L$4:$L$503,$A293))</f>
        <v>0</v>
      </c>
      <c r="H293" s="40" t="str">
        <f aca="false">IF($A293="","",IF($C293=0,"",$F293-$G293))</f>
        <v/>
      </c>
      <c r="I293" s="40" t="n">
        <f aca="false">IF($A293="","",$I292+IF($H293="",0,$H293))</f>
        <v>23918.5521880349</v>
      </c>
      <c r="J293" s="40" t="n">
        <f aca="false">IF($A293="","",Config!$B$4+$I293)</f>
        <v>1023918.55218803</v>
      </c>
      <c r="K293" s="40" t="n">
        <f aca="false">IF($A293="","",MAX($J$4:$J293))</f>
        <v>1023918.55218803</v>
      </c>
      <c r="L293" s="40" t="n">
        <f aca="false">IF($A293="","",$J293-$K293)</f>
        <v>0</v>
      </c>
      <c r="M293" s="42" t="n">
        <f aca="false">IF(OR($A293="",$K293=0),"",$L293/$K293)</f>
        <v>0</v>
      </c>
      <c r="N293" s="40" t="n">
        <f aca="false">IF($A293="","",SUMIFS('Trade Log'!$K$4:$K$503,'Trade Log'!$H$4:$H$503,$A293))</f>
        <v>0</v>
      </c>
      <c r="O293" s="42" t="str">
        <f aca="false">IF(OR($A293="",$H293="",Config!$B$4=0),"",$H293/Config!$B$4)</f>
        <v/>
      </c>
      <c r="P293" s="40" t="n">
        <f aca="false">IF($A293="","",SUM($H$274:$H293))</f>
        <v>0</v>
      </c>
      <c r="Q293" s="53" t="str">
        <f aca="false">IF($A293="","",IFERROR((AVERAGE($O$274:$O293)-Config!$B$7/Config!$B$6)/STDEV($O$274:$O293)*SQRT(Config!$B$6),""))</f>
        <v/>
      </c>
      <c r="R293" s="53" t="str">
        <f aca="false">IF($A293="","",IFERROR((AVERAGE($O$234:$O293)-Config!$B$7/Config!$B$6)/STDEV($O$234:$O293)*SQRT(Config!$B$6),""))</f>
        <v/>
      </c>
      <c r="S293" s="47" t="n">
        <f aca="false">IF($H293="",$S292,IF($H293&gt;0,$S292+1,0))</f>
        <v>1</v>
      </c>
      <c r="T293" s="47" t="n">
        <f aca="false">IF($H293="",$T292,IF($H293&lt;0,$T292+1,0))</f>
        <v>0</v>
      </c>
    </row>
    <row r="294" customFormat="false" ht="15" hidden="false" customHeight="false" outlineLevel="0" collapsed="false">
      <c r="A294" s="54" t="n">
        <f aca="false">IF($A293="","",$A293+1)</f>
        <v>46525</v>
      </c>
      <c r="B294" s="5" t="str">
        <f aca="false">IF($A294="","",TEXT($A294,"ddd"))</f>
        <v>Tue</v>
      </c>
      <c r="C294" s="41" t="n">
        <f aca="false">IF($A294="","",COUNTIFS('Trade Log'!$L$4:$L$503,$A294))</f>
        <v>0</v>
      </c>
      <c r="D294" s="40" t="n">
        <f aca="false">IF($A294="","",SUMIFS('Trade Log'!$Q$4:$Q$503,'Trade Log'!$L$4:$L$503,$A294,'Trade Log'!$E$4:$E$503,"LONG"))</f>
        <v>0</v>
      </c>
      <c r="E294" s="40" t="n">
        <f aca="false">IF($A294="","",SUMIFS('Trade Log'!$Q$4:$Q$503,'Trade Log'!$L$4:$L$503,$A294,'Trade Log'!$E$4:$E$503,"SHORT"))</f>
        <v>0</v>
      </c>
      <c r="F294" s="40" t="n">
        <f aca="false">IF($A294="","",$D294+$E294)</f>
        <v>0</v>
      </c>
      <c r="G294" s="40" t="n">
        <f aca="false">IF($A294="","",SUMIFS('Trade Log'!$Y$4:$Y$503,'Trade Log'!$L$4:$L$503,$A294))</f>
        <v>0</v>
      </c>
      <c r="H294" s="40" t="str">
        <f aca="false">IF($A294="","",IF($C294=0,"",$F294-$G294))</f>
        <v/>
      </c>
      <c r="I294" s="40" t="n">
        <f aca="false">IF($A294="","",$I293+IF($H294="",0,$H294))</f>
        <v>23918.5521880349</v>
      </c>
      <c r="J294" s="40" t="n">
        <f aca="false">IF($A294="","",Config!$B$4+$I294)</f>
        <v>1023918.55218803</v>
      </c>
      <c r="K294" s="40" t="n">
        <f aca="false">IF($A294="","",MAX($J$4:$J294))</f>
        <v>1023918.55218803</v>
      </c>
      <c r="L294" s="40" t="n">
        <f aca="false">IF($A294="","",$J294-$K294)</f>
        <v>0</v>
      </c>
      <c r="M294" s="42" t="n">
        <f aca="false">IF(OR($A294="",$K294=0),"",$L294/$K294)</f>
        <v>0</v>
      </c>
      <c r="N294" s="40" t="n">
        <f aca="false">IF($A294="","",SUMIFS('Trade Log'!$K$4:$K$503,'Trade Log'!$H$4:$H$503,$A294))</f>
        <v>0</v>
      </c>
      <c r="O294" s="42" t="str">
        <f aca="false">IF(OR($A294="",$H294="",Config!$B$4=0),"",$H294/Config!$B$4)</f>
        <v/>
      </c>
      <c r="P294" s="40" t="n">
        <f aca="false">IF($A294="","",SUM($H$275:$H294))</f>
        <v>0</v>
      </c>
      <c r="Q294" s="53" t="str">
        <f aca="false">IF($A294="","",IFERROR((AVERAGE($O$275:$O294)-Config!$B$7/Config!$B$6)/STDEV($O$275:$O294)*SQRT(Config!$B$6),""))</f>
        <v/>
      </c>
      <c r="R294" s="53" t="str">
        <f aca="false">IF($A294="","",IFERROR((AVERAGE($O$235:$O294)-Config!$B$7/Config!$B$6)/STDEV($O$235:$O294)*SQRT(Config!$B$6),""))</f>
        <v/>
      </c>
      <c r="S294" s="47" t="n">
        <f aca="false">IF($H294="",$S293,IF($H294&gt;0,$S293+1,0))</f>
        <v>1</v>
      </c>
      <c r="T294" s="47" t="n">
        <f aca="false">IF($H294="",$T293,IF($H294&lt;0,$T293+1,0))</f>
        <v>0</v>
      </c>
    </row>
    <row r="295" customFormat="false" ht="15" hidden="false" customHeight="false" outlineLevel="0" collapsed="false">
      <c r="A295" s="54" t="n">
        <f aca="false">IF($A294="","",$A294+1)</f>
        <v>46526</v>
      </c>
      <c r="B295" s="5" t="str">
        <f aca="false">IF($A295="","",TEXT($A295,"ddd"))</f>
        <v>Wed</v>
      </c>
      <c r="C295" s="41" t="n">
        <f aca="false">IF($A295="","",COUNTIFS('Trade Log'!$L$4:$L$503,$A295))</f>
        <v>0</v>
      </c>
      <c r="D295" s="40" t="n">
        <f aca="false">IF($A295="","",SUMIFS('Trade Log'!$Q$4:$Q$503,'Trade Log'!$L$4:$L$503,$A295,'Trade Log'!$E$4:$E$503,"LONG"))</f>
        <v>0</v>
      </c>
      <c r="E295" s="40" t="n">
        <f aca="false">IF($A295="","",SUMIFS('Trade Log'!$Q$4:$Q$503,'Trade Log'!$L$4:$L$503,$A295,'Trade Log'!$E$4:$E$503,"SHORT"))</f>
        <v>0</v>
      </c>
      <c r="F295" s="40" t="n">
        <f aca="false">IF($A295="","",$D295+$E295)</f>
        <v>0</v>
      </c>
      <c r="G295" s="40" t="n">
        <f aca="false">IF($A295="","",SUMIFS('Trade Log'!$Y$4:$Y$503,'Trade Log'!$L$4:$L$503,$A295))</f>
        <v>0</v>
      </c>
      <c r="H295" s="40" t="str">
        <f aca="false">IF($A295="","",IF($C295=0,"",$F295-$G295))</f>
        <v/>
      </c>
      <c r="I295" s="40" t="n">
        <f aca="false">IF($A295="","",$I294+IF($H295="",0,$H295))</f>
        <v>23918.5521880349</v>
      </c>
      <c r="J295" s="40" t="n">
        <f aca="false">IF($A295="","",Config!$B$4+$I295)</f>
        <v>1023918.55218803</v>
      </c>
      <c r="K295" s="40" t="n">
        <f aca="false">IF($A295="","",MAX($J$4:$J295))</f>
        <v>1023918.55218803</v>
      </c>
      <c r="L295" s="40" t="n">
        <f aca="false">IF($A295="","",$J295-$K295)</f>
        <v>0</v>
      </c>
      <c r="M295" s="42" t="n">
        <f aca="false">IF(OR($A295="",$K295=0),"",$L295/$K295)</f>
        <v>0</v>
      </c>
      <c r="N295" s="40" t="n">
        <f aca="false">IF($A295="","",SUMIFS('Trade Log'!$K$4:$K$503,'Trade Log'!$H$4:$H$503,$A295))</f>
        <v>0</v>
      </c>
      <c r="O295" s="42" t="str">
        <f aca="false">IF(OR($A295="",$H295="",Config!$B$4=0),"",$H295/Config!$B$4)</f>
        <v/>
      </c>
      <c r="P295" s="40" t="n">
        <f aca="false">IF($A295="","",SUM($H$276:$H295))</f>
        <v>0</v>
      </c>
      <c r="Q295" s="53" t="str">
        <f aca="false">IF($A295="","",IFERROR((AVERAGE($O$276:$O295)-Config!$B$7/Config!$B$6)/STDEV($O$276:$O295)*SQRT(Config!$B$6),""))</f>
        <v/>
      </c>
      <c r="R295" s="53" t="str">
        <f aca="false">IF($A295="","",IFERROR((AVERAGE($O$236:$O295)-Config!$B$7/Config!$B$6)/STDEV($O$236:$O295)*SQRT(Config!$B$6),""))</f>
        <v/>
      </c>
      <c r="S295" s="47" t="n">
        <f aca="false">IF($H295="",$S294,IF($H295&gt;0,$S294+1,0))</f>
        <v>1</v>
      </c>
      <c r="T295" s="47" t="n">
        <f aca="false">IF($H295="",$T294,IF($H295&lt;0,$T294+1,0))</f>
        <v>0</v>
      </c>
    </row>
    <row r="296" customFormat="false" ht="15" hidden="false" customHeight="false" outlineLevel="0" collapsed="false">
      <c r="A296" s="54" t="n">
        <f aca="false">IF($A295="","",$A295+1)</f>
        <v>46527</v>
      </c>
      <c r="B296" s="5" t="str">
        <f aca="false">IF($A296="","",TEXT($A296,"ddd"))</f>
        <v>Thu</v>
      </c>
      <c r="C296" s="41" t="n">
        <f aca="false">IF($A296="","",COUNTIFS('Trade Log'!$L$4:$L$503,$A296))</f>
        <v>0</v>
      </c>
      <c r="D296" s="40" t="n">
        <f aca="false">IF($A296="","",SUMIFS('Trade Log'!$Q$4:$Q$503,'Trade Log'!$L$4:$L$503,$A296,'Trade Log'!$E$4:$E$503,"LONG"))</f>
        <v>0</v>
      </c>
      <c r="E296" s="40" t="n">
        <f aca="false">IF($A296="","",SUMIFS('Trade Log'!$Q$4:$Q$503,'Trade Log'!$L$4:$L$503,$A296,'Trade Log'!$E$4:$E$503,"SHORT"))</f>
        <v>0</v>
      </c>
      <c r="F296" s="40" t="n">
        <f aca="false">IF($A296="","",$D296+$E296)</f>
        <v>0</v>
      </c>
      <c r="G296" s="40" t="n">
        <f aca="false">IF($A296="","",SUMIFS('Trade Log'!$Y$4:$Y$503,'Trade Log'!$L$4:$L$503,$A296))</f>
        <v>0</v>
      </c>
      <c r="H296" s="40" t="str">
        <f aca="false">IF($A296="","",IF($C296=0,"",$F296-$G296))</f>
        <v/>
      </c>
      <c r="I296" s="40" t="n">
        <f aca="false">IF($A296="","",$I295+IF($H296="",0,$H296))</f>
        <v>23918.5521880349</v>
      </c>
      <c r="J296" s="40" t="n">
        <f aca="false">IF($A296="","",Config!$B$4+$I296)</f>
        <v>1023918.55218803</v>
      </c>
      <c r="K296" s="40" t="n">
        <f aca="false">IF($A296="","",MAX($J$4:$J296))</f>
        <v>1023918.55218803</v>
      </c>
      <c r="L296" s="40" t="n">
        <f aca="false">IF($A296="","",$J296-$K296)</f>
        <v>0</v>
      </c>
      <c r="M296" s="42" t="n">
        <f aca="false">IF(OR($A296="",$K296=0),"",$L296/$K296)</f>
        <v>0</v>
      </c>
      <c r="N296" s="40" t="n">
        <f aca="false">IF($A296="","",SUMIFS('Trade Log'!$K$4:$K$503,'Trade Log'!$H$4:$H$503,$A296))</f>
        <v>0</v>
      </c>
      <c r="O296" s="42" t="str">
        <f aca="false">IF(OR($A296="",$H296="",Config!$B$4=0),"",$H296/Config!$B$4)</f>
        <v/>
      </c>
      <c r="P296" s="40" t="n">
        <f aca="false">IF($A296="","",SUM($H$277:$H296))</f>
        <v>0</v>
      </c>
      <c r="Q296" s="53" t="str">
        <f aca="false">IF($A296="","",IFERROR((AVERAGE($O$277:$O296)-Config!$B$7/Config!$B$6)/STDEV($O$277:$O296)*SQRT(Config!$B$6),""))</f>
        <v/>
      </c>
      <c r="R296" s="53" t="str">
        <f aca="false">IF($A296="","",IFERROR((AVERAGE($O$237:$O296)-Config!$B$7/Config!$B$6)/STDEV($O$237:$O296)*SQRT(Config!$B$6),""))</f>
        <v/>
      </c>
      <c r="S296" s="47" t="n">
        <f aca="false">IF($H296="",$S295,IF($H296&gt;0,$S295+1,0))</f>
        <v>1</v>
      </c>
      <c r="T296" s="47" t="n">
        <f aca="false">IF($H296="",$T295,IF($H296&lt;0,$T295+1,0))</f>
        <v>0</v>
      </c>
    </row>
    <row r="297" customFormat="false" ht="15" hidden="false" customHeight="false" outlineLevel="0" collapsed="false">
      <c r="A297" s="54" t="n">
        <f aca="false">IF($A296="","",$A296+1)</f>
        <v>46528</v>
      </c>
      <c r="B297" s="5" t="str">
        <f aca="false">IF($A297="","",TEXT($A297,"ddd"))</f>
        <v>Fri</v>
      </c>
      <c r="C297" s="41" t="n">
        <f aca="false">IF($A297="","",COUNTIFS('Trade Log'!$L$4:$L$503,$A297))</f>
        <v>0</v>
      </c>
      <c r="D297" s="40" t="n">
        <f aca="false">IF($A297="","",SUMIFS('Trade Log'!$Q$4:$Q$503,'Trade Log'!$L$4:$L$503,$A297,'Trade Log'!$E$4:$E$503,"LONG"))</f>
        <v>0</v>
      </c>
      <c r="E297" s="40" t="n">
        <f aca="false">IF($A297="","",SUMIFS('Trade Log'!$Q$4:$Q$503,'Trade Log'!$L$4:$L$503,$A297,'Trade Log'!$E$4:$E$503,"SHORT"))</f>
        <v>0</v>
      </c>
      <c r="F297" s="40" t="n">
        <f aca="false">IF($A297="","",$D297+$E297)</f>
        <v>0</v>
      </c>
      <c r="G297" s="40" t="n">
        <f aca="false">IF($A297="","",SUMIFS('Trade Log'!$Y$4:$Y$503,'Trade Log'!$L$4:$L$503,$A297))</f>
        <v>0</v>
      </c>
      <c r="H297" s="40" t="str">
        <f aca="false">IF($A297="","",IF($C297=0,"",$F297-$G297))</f>
        <v/>
      </c>
      <c r="I297" s="40" t="n">
        <f aca="false">IF($A297="","",$I296+IF($H297="",0,$H297))</f>
        <v>23918.5521880349</v>
      </c>
      <c r="J297" s="40" t="n">
        <f aca="false">IF($A297="","",Config!$B$4+$I297)</f>
        <v>1023918.55218803</v>
      </c>
      <c r="K297" s="40" t="n">
        <f aca="false">IF($A297="","",MAX($J$4:$J297))</f>
        <v>1023918.55218803</v>
      </c>
      <c r="L297" s="40" t="n">
        <f aca="false">IF($A297="","",$J297-$K297)</f>
        <v>0</v>
      </c>
      <c r="M297" s="42" t="n">
        <f aca="false">IF(OR($A297="",$K297=0),"",$L297/$K297)</f>
        <v>0</v>
      </c>
      <c r="N297" s="40" t="n">
        <f aca="false">IF($A297="","",SUMIFS('Trade Log'!$K$4:$K$503,'Trade Log'!$H$4:$H$503,$A297))</f>
        <v>0</v>
      </c>
      <c r="O297" s="42" t="str">
        <f aca="false">IF(OR($A297="",$H297="",Config!$B$4=0),"",$H297/Config!$B$4)</f>
        <v/>
      </c>
      <c r="P297" s="40" t="n">
        <f aca="false">IF($A297="","",SUM($H$278:$H297))</f>
        <v>0</v>
      </c>
      <c r="Q297" s="53" t="str">
        <f aca="false">IF($A297="","",IFERROR((AVERAGE($O$278:$O297)-Config!$B$7/Config!$B$6)/STDEV($O$278:$O297)*SQRT(Config!$B$6),""))</f>
        <v/>
      </c>
      <c r="R297" s="53" t="str">
        <f aca="false">IF($A297="","",IFERROR((AVERAGE($O$238:$O297)-Config!$B$7/Config!$B$6)/STDEV($O$238:$O297)*SQRT(Config!$B$6),""))</f>
        <v/>
      </c>
      <c r="S297" s="47" t="n">
        <f aca="false">IF($H297="",$S296,IF($H297&gt;0,$S296+1,0))</f>
        <v>1</v>
      </c>
      <c r="T297" s="47" t="n">
        <f aca="false">IF($H297="",$T296,IF($H297&lt;0,$T296+1,0))</f>
        <v>0</v>
      </c>
    </row>
    <row r="298" customFormat="false" ht="15" hidden="false" customHeight="false" outlineLevel="0" collapsed="false">
      <c r="A298" s="54" t="n">
        <f aca="false">IF($A297="","",$A297+1)</f>
        <v>46529</v>
      </c>
      <c r="B298" s="5" t="str">
        <f aca="false">IF($A298="","",TEXT($A298,"ddd"))</f>
        <v>Sat</v>
      </c>
      <c r="C298" s="41" t="n">
        <f aca="false">IF($A298="","",COUNTIFS('Trade Log'!$L$4:$L$503,$A298))</f>
        <v>0</v>
      </c>
      <c r="D298" s="40" t="n">
        <f aca="false">IF($A298="","",SUMIFS('Trade Log'!$Q$4:$Q$503,'Trade Log'!$L$4:$L$503,$A298,'Trade Log'!$E$4:$E$503,"LONG"))</f>
        <v>0</v>
      </c>
      <c r="E298" s="40" t="n">
        <f aca="false">IF($A298="","",SUMIFS('Trade Log'!$Q$4:$Q$503,'Trade Log'!$L$4:$L$503,$A298,'Trade Log'!$E$4:$E$503,"SHORT"))</f>
        <v>0</v>
      </c>
      <c r="F298" s="40" t="n">
        <f aca="false">IF($A298="","",$D298+$E298)</f>
        <v>0</v>
      </c>
      <c r="G298" s="40" t="n">
        <f aca="false">IF($A298="","",SUMIFS('Trade Log'!$Y$4:$Y$503,'Trade Log'!$L$4:$L$503,$A298))</f>
        <v>0</v>
      </c>
      <c r="H298" s="40" t="str">
        <f aca="false">IF($A298="","",IF($C298=0,"",$F298-$G298))</f>
        <v/>
      </c>
      <c r="I298" s="40" t="n">
        <f aca="false">IF($A298="","",$I297+IF($H298="",0,$H298))</f>
        <v>23918.5521880349</v>
      </c>
      <c r="J298" s="40" t="n">
        <f aca="false">IF($A298="","",Config!$B$4+$I298)</f>
        <v>1023918.55218803</v>
      </c>
      <c r="K298" s="40" t="n">
        <f aca="false">IF($A298="","",MAX($J$4:$J298))</f>
        <v>1023918.55218803</v>
      </c>
      <c r="L298" s="40" t="n">
        <f aca="false">IF($A298="","",$J298-$K298)</f>
        <v>0</v>
      </c>
      <c r="M298" s="42" t="n">
        <f aca="false">IF(OR($A298="",$K298=0),"",$L298/$K298)</f>
        <v>0</v>
      </c>
      <c r="N298" s="40" t="n">
        <f aca="false">IF($A298="","",SUMIFS('Trade Log'!$K$4:$K$503,'Trade Log'!$H$4:$H$503,$A298))</f>
        <v>0</v>
      </c>
      <c r="O298" s="42" t="str">
        <f aca="false">IF(OR($A298="",$H298="",Config!$B$4=0),"",$H298/Config!$B$4)</f>
        <v/>
      </c>
      <c r="P298" s="40" t="n">
        <f aca="false">IF($A298="","",SUM($H$279:$H298))</f>
        <v>0</v>
      </c>
      <c r="Q298" s="53" t="str">
        <f aca="false">IF($A298="","",IFERROR((AVERAGE($O$279:$O298)-Config!$B$7/Config!$B$6)/STDEV($O$279:$O298)*SQRT(Config!$B$6),""))</f>
        <v/>
      </c>
      <c r="R298" s="53" t="str">
        <f aca="false">IF($A298="","",IFERROR((AVERAGE($O$239:$O298)-Config!$B$7/Config!$B$6)/STDEV($O$239:$O298)*SQRT(Config!$B$6),""))</f>
        <v/>
      </c>
      <c r="S298" s="47" t="n">
        <f aca="false">IF($H298="",$S297,IF($H298&gt;0,$S297+1,0))</f>
        <v>1</v>
      </c>
      <c r="T298" s="47" t="n">
        <f aca="false">IF($H298="",$T297,IF($H298&lt;0,$T297+1,0))</f>
        <v>0</v>
      </c>
    </row>
    <row r="299" customFormat="false" ht="15" hidden="false" customHeight="false" outlineLevel="0" collapsed="false">
      <c r="A299" s="54" t="n">
        <f aca="false">IF($A298="","",$A298+1)</f>
        <v>46530</v>
      </c>
      <c r="B299" s="5" t="str">
        <f aca="false">IF($A299="","",TEXT($A299,"ddd"))</f>
        <v>Sun</v>
      </c>
      <c r="C299" s="41" t="n">
        <f aca="false">IF($A299="","",COUNTIFS('Trade Log'!$L$4:$L$503,$A299))</f>
        <v>0</v>
      </c>
      <c r="D299" s="40" t="n">
        <f aca="false">IF($A299="","",SUMIFS('Trade Log'!$Q$4:$Q$503,'Trade Log'!$L$4:$L$503,$A299,'Trade Log'!$E$4:$E$503,"LONG"))</f>
        <v>0</v>
      </c>
      <c r="E299" s="40" t="n">
        <f aca="false">IF($A299="","",SUMIFS('Trade Log'!$Q$4:$Q$503,'Trade Log'!$L$4:$L$503,$A299,'Trade Log'!$E$4:$E$503,"SHORT"))</f>
        <v>0</v>
      </c>
      <c r="F299" s="40" t="n">
        <f aca="false">IF($A299="","",$D299+$E299)</f>
        <v>0</v>
      </c>
      <c r="G299" s="40" t="n">
        <f aca="false">IF($A299="","",SUMIFS('Trade Log'!$Y$4:$Y$503,'Trade Log'!$L$4:$L$503,$A299))</f>
        <v>0</v>
      </c>
      <c r="H299" s="40" t="str">
        <f aca="false">IF($A299="","",IF($C299=0,"",$F299-$G299))</f>
        <v/>
      </c>
      <c r="I299" s="40" t="n">
        <f aca="false">IF($A299="","",$I298+IF($H299="",0,$H299))</f>
        <v>23918.5521880349</v>
      </c>
      <c r="J299" s="40" t="n">
        <f aca="false">IF($A299="","",Config!$B$4+$I299)</f>
        <v>1023918.55218803</v>
      </c>
      <c r="K299" s="40" t="n">
        <f aca="false">IF($A299="","",MAX($J$4:$J299))</f>
        <v>1023918.55218803</v>
      </c>
      <c r="L299" s="40" t="n">
        <f aca="false">IF($A299="","",$J299-$K299)</f>
        <v>0</v>
      </c>
      <c r="M299" s="42" t="n">
        <f aca="false">IF(OR($A299="",$K299=0),"",$L299/$K299)</f>
        <v>0</v>
      </c>
      <c r="N299" s="40" t="n">
        <f aca="false">IF($A299="","",SUMIFS('Trade Log'!$K$4:$K$503,'Trade Log'!$H$4:$H$503,$A299))</f>
        <v>0</v>
      </c>
      <c r="O299" s="42" t="str">
        <f aca="false">IF(OR($A299="",$H299="",Config!$B$4=0),"",$H299/Config!$B$4)</f>
        <v/>
      </c>
      <c r="P299" s="40" t="n">
        <f aca="false">IF($A299="","",SUM($H$280:$H299))</f>
        <v>0</v>
      </c>
      <c r="Q299" s="53" t="str">
        <f aca="false">IF($A299="","",IFERROR((AVERAGE($O$280:$O299)-Config!$B$7/Config!$B$6)/STDEV($O$280:$O299)*SQRT(Config!$B$6),""))</f>
        <v/>
      </c>
      <c r="R299" s="53" t="str">
        <f aca="false">IF($A299="","",IFERROR((AVERAGE($O$240:$O299)-Config!$B$7/Config!$B$6)/STDEV($O$240:$O299)*SQRT(Config!$B$6),""))</f>
        <v/>
      </c>
      <c r="S299" s="47" t="n">
        <f aca="false">IF($H299="",$S298,IF($H299&gt;0,$S298+1,0))</f>
        <v>1</v>
      </c>
      <c r="T299" s="47" t="n">
        <f aca="false">IF($H299="",$T298,IF($H299&lt;0,$T298+1,0))</f>
        <v>0</v>
      </c>
    </row>
    <row r="300" customFormat="false" ht="15" hidden="false" customHeight="false" outlineLevel="0" collapsed="false">
      <c r="A300" s="54" t="n">
        <f aca="false">IF($A299="","",$A299+1)</f>
        <v>46531</v>
      </c>
      <c r="B300" s="5" t="str">
        <f aca="false">IF($A300="","",TEXT($A300,"ddd"))</f>
        <v>Mon</v>
      </c>
      <c r="C300" s="41" t="n">
        <f aca="false">IF($A300="","",COUNTIFS('Trade Log'!$L$4:$L$503,$A300))</f>
        <v>0</v>
      </c>
      <c r="D300" s="40" t="n">
        <f aca="false">IF($A300="","",SUMIFS('Trade Log'!$Q$4:$Q$503,'Trade Log'!$L$4:$L$503,$A300,'Trade Log'!$E$4:$E$503,"LONG"))</f>
        <v>0</v>
      </c>
      <c r="E300" s="40" t="n">
        <f aca="false">IF($A300="","",SUMIFS('Trade Log'!$Q$4:$Q$503,'Trade Log'!$L$4:$L$503,$A300,'Trade Log'!$E$4:$E$503,"SHORT"))</f>
        <v>0</v>
      </c>
      <c r="F300" s="40" t="n">
        <f aca="false">IF($A300="","",$D300+$E300)</f>
        <v>0</v>
      </c>
      <c r="G300" s="40" t="n">
        <f aca="false">IF($A300="","",SUMIFS('Trade Log'!$Y$4:$Y$503,'Trade Log'!$L$4:$L$503,$A300))</f>
        <v>0</v>
      </c>
      <c r="H300" s="40" t="str">
        <f aca="false">IF($A300="","",IF($C300=0,"",$F300-$G300))</f>
        <v/>
      </c>
      <c r="I300" s="40" t="n">
        <f aca="false">IF($A300="","",$I299+IF($H300="",0,$H300))</f>
        <v>23918.5521880349</v>
      </c>
      <c r="J300" s="40" t="n">
        <f aca="false">IF($A300="","",Config!$B$4+$I300)</f>
        <v>1023918.55218803</v>
      </c>
      <c r="K300" s="40" t="n">
        <f aca="false">IF($A300="","",MAX($J$4:$J300))</f>
        <v>1023918.55218803</v>
      </c>
      <c r="L300" s="40" t="n">
        <f aca="false">IF($A300="","",$J300-$K300)</f>
        <v>0</v>
      </c>
      <c r="M300" s="42" t="n">
        <f aca="false">IF(OR($A300="",$K300=0),"",$L300/$K300)</f>
        <v>0</v>
      </c>
      <c r="N300" s="40" t="n">
        <f aca="false">IF($A300="","",SUMIFS('Trade Log'!$K$4:$K$503,'Trade Log'!$H$4:$H$503,$A300))</f>
        <v>0</v>
      </c>
      <c r="O300" s="42" t="str">
        <f aca="false">IF(OR($A300="",$H300="",Config!$B$4=0),"",$H300/Config!$B$4)</f>
        <v/>
      </c>
      <c r="P300" s="40" t="n">
        <f aca="false">IF($A300="","",SUM($H$281:$H300))</f>
        <v>0</v>
      </c>
      <c r="Q300" s="53" t="str">
        <f aca="false">IF($A300="","",IFERROR((AVERAGE($O$281:$O300)-Config!$B$7/Config!$B$6)/STDEV($O$281:$O300)*SQRT(Config!$B$6),""))</f>
        <v/>
      </c>
      <c r="R300" s="53" t="str">
        <f aca="false">IF($A300="","",IFERROR((AVERAGE($O$241:$O300)-Config!$B$7/Config!$B$6)/STDEV($O$241:$O300)*SQRT(Config!$B$6),""))</f>
        <v/>
      </c>
      <c r="S300" s="47" t="n">
        <f aca="false">IF($H300="",$S299,IF($H300&gt;0,$S299+1,0))</f>
        <v>1</v>
      </c>
      <c r="T300" s="47" t="n">
        <f aca="false">IF($H300="",$T299,IF($H300&lt;0,$T299+1,0))</f>
        <v>0</v>
      </c>
    </row>
    <row r="301" customFormat="false" ht="15" hidden="false" customHeight="false" outlineLevel="0" collapsed="false">
      <c r="A301" s="54" t="n">
        <f aca="false">IF($A300="","",$A300+1)</f>
        <v>46532</v>
      </c>
      <c r="B301" s="5" t="str">
        <f aca="false">IF($A301="","",TEXT($A301,"ddd"))</f>
        <v>Tue</v>
      </c>
      <c r="C301" s="41" t="n">
        <f aca="false">IF($A301="","",COUNTIFS('Trade Log'!$L$4:$L$503,$A301))</f>
        <v>0</v>
      </c>
      <c r="D301" s="40" t="n">
        <f aca="false">IF($A301="","",SUMIFS('Trade Log'!$Q$4:$Q$503,'Trade Log'!$L$4:$L$503,$A301,'Trade Log'!$E$4:$E$503,"LONG"))</f>
        <v>0</v>
      </c>
      <c r="E301" s="40" t="n">
        <f aca="false">IF($A301="","",SUMIFS('Trade Log'!$Q$4:$Q$503,'Trade Log'!$L$4:$L$503,$A301,'Trade Log'!$E$4:$E$503,"SHORT"))</f>
        <v>0</v>
      </c>
      <c r="F301" s="40" t="n">
        <f aca="false">IF($A301="","",$D301+$E301)</f>
        <v>0</v>
      </c>
      <c r="G301" s="40" t="n">
        <f aca="false">IF($A301="","",SUMIFS('Trade Log'!$Y$4:$Y$503,'Trade Log'!$L$4:$L$503,$A301))</f>
        <v>0</v>
      </c>
      <c r="H301" s="40" t="str">
        <f aca="false">IF($A301="","",IF($C301=0,"",$F301-$G301))</f>
        <v/>
      </c>
      <c r="I301" s="40" t="n">
        <f aca="false">IF($A301="","",$I300+IF($H301="",0,$H301))</f>
        <v>23918.5521880349</v>
      </c>
      <c r="J301" s="40" t="n">
        <f aca="false">IF($A301="","",Config!$B$4+$I301)</f>
        <v>1023918.55218803</v>
      </c>
      <c r="K301" s="40" t="n">
        <f aca="false">IF($A301="","",MAX($J$4:$J301))</f>
        <v>1023918.55218803</v>
      </c>
      <c r="L301" s="40" t="n">
        <f aca="false">IF($A301="","",$J301-$K301)</f>
        <v>0</v>
      </c>
      <c r="M301" s="42" t="n">
        <f aca="false">IF(OR($A301="",$K301=0),"",$L301/$K301)</f>
        <v>0</v>
      </c>
      <c r="N301" s="40" t="n">
        <f aca="false">IF($A301="","",SUMIFS('Trade Log'!$K$4:$K$503,'Trade Log'!$H$4:$H$503,$A301))</f>
        <v>0</v>
      </c>
      <c r="O301" s="42" t="str">
        <f aca="false">IF(OR($A301="",$H301="",Config!$B$4=0),"",$H301/Config!$B$4)</f>
        <v/>
      </c>
      <c r="P301" s="40" t="n">
        <f aca="false">IF($A301="","",SUM($H$282:$H301))</f>
        <v>0</v>
      </c>
      <c r="Q301" s="53" t="str">
        <f aca="false">IF($A301="","",IFERROR((AVERAGE($O$282:$O301)-Config!$B$7/Config!$B$6)/STDEV($O$282:$O301)*SQRT(Config!$B$6),""))</f>
        <v/>
      </c>
      <c r="R301" s="53" t="str">
        <f aca="false">IF($A301="","",IFERROR((AVERAGE($O$242:$O301)-Config!$B$7/Config!$B$6)/STDEV($O$242:$O301)*SQRT(Config!$B$6),""))</f>
        <v/>
      </c>
      <c r="S301" s="47" t="n">
        <f aca="false">IF($H301="",$S300,IF($H301&gt;0,$S300+1,0))</f>
        <v>1</v>
      </c>
      <c r="T301" s="47" t="n">
        <f aca="false">IF($H301="",$T300,IF($H301&lt;0,$T300+1,0))</f>
        <v>0</v>
      </c>
    </row>
    <row r="302" customFormat="false" ht="15" hidden="false" customHeight="false" outlineLevel="0" collapsed="false">
      <c r="A302" s="54" t="n">
        <f aca="false">IF($A301="","",$A301+1)</f>
        <v>46533</v>
      </c>
      <c r="B302" s="5" t="str">
        <f aca="false">IF($A302="","",TEXT($A302,"ddd"))</f>
        <v>Wed</v>
      </c>
      <c r="C302" s="41" t="n">
        <f aca="false">IF($A302="","",COUNTIFS('Trade Log'!$L$4:$L$503,$A302))</f>
        <v>0</v>
      </c>
      <c r="D302" s="40" t="n">
        <f aca="false">IF($A302="","",SUMIFS('Trade Log'!$Q$4:$Q$503,'Trade Log'!$L$4:$L$503,$A302,'Trade Log'!$E$4:$E$503,"LONG"))</f>
        <v>0</v>
      </c>
      <c r="E302" s="40" t="n">
        <f aca="false">IF($A302="","",SUMIFS('Trade Log'!$Q$4:$Q$503,'Trade Log'!$L$4:$L$503,$A302,'Trade Log'!$E$4:$E$503,"SHORT"))</f>
        <v>0</v>
      </c>
      <c r="F302" s="40" t="n">
        <f aca="false">IF($A302="","",$D302+$E302)</f>
        <v>0</v>
      </c>
      <c r="G302" s="40" t="n">
        <f aca="false">IF($A302="","",SUMIFS('Trade Log'!$Y$4:$Y$503,'Trade Log'!$L$4:$L$503,$A302))</f>
        <v>0</v>
      </c>
      <c r="H302" s="40" t="str">
        <f aca="false">IF($A302="","",IF($C302=0,"",$F302-$G302))</f>
        <v/>
      </c>
      <c r="I302" s="40" t="n">
        <f aca="false">IF($A302="","",$I301+IF($H302="",0,$H302))</f>
        <v>23918.5521880349</v>
      </c>
      <c r="J302" s="40" t="n">
        <f aca="false">IF($A302="","",Config!$B$4+$I302)</f>
        <v>1023918.55218803</v>
      </c>
      <c r="K302" s="40" t="n">
        <f aca="false">IF($A302="","",MAX($J$4:$J302))</f>
        <v>1023918.55218803</v>
      </c>
      <c r="L302" s="40" t="n">
        <f aca="false">IF($A302="","",$J302-$K302)</f>
        <v>0</v>
      </c>
      <c r="M302" s="42" t="n">
        <f aca="false">IF(OR($A302="",$K302=0),"",$L302/$K302)</f>
        <v>0</v>
      </c>
      <c r="N302" s="40" t="n">
        <f aca="false">IF($A302="","",SUMIFS('Trade Log'!$K$4:$K$503,'Trade Log'!$H$4:$H$503,$A302))</f>
        <v>0</v>
      </c>
      <c r="O302" s="42" t="str">
        <f aca="false">IF(OR($A302="",$H302="",Config!$B$4=0),"",$H302/Config!$B$4)</f>
        <v/>
      </c>
      <c r="P302" s="40" t="n">
        <f aca="false">IF($A302="","",SUM($H$283:$H302))</f>
        <v>0</v>
      </c>
      <c r="Q302" s="53" t="str">
        <f aca="false">IF($A302="","",IFERROR((AVERAGE($O$283:$O302)-Config!$B$7/Config!$B$6)/STDEV($O$283:$O302)*SQRT(Config!$B$6),""))</f>
        <v/>
      </c>
      <c r="R302" s="53" t="str">
        <f aca="false">IF($A302="","",IFERROR((AVERAGE($O$243:$O302)-Config!$B$7/Config!$B$6)/STDEV($O$243:$O302)*SQRT(Config!$B$6),""))</f>
        <v/>
      </c>
      <c r="S302" s="47" t="n">
        <f aca="false">IF($H302="",$S301,IF($H302&gt;0,$S301+1,0))</f>
        <v>1</v>
      </c>
      <c r="T302" s="47" t="n">
        <f aca="false">IF($H302="",$T301,IF($H302&lt;0,$T301+1,0))</f>
        <v>0</v>
      </c>
    </row>
    <row r="303" customFormat="false" ht="15" hidden="false" customHeight="false" outlineLevel="0" collapsed="false">
      <c r="A303" s="54" t="n">
        <f aca="false">IF($A302="","",$A302+1)</f>
        <v>46534</v>
      </c>
      <c r="B303" s="5" t="str">
        <f aca="false">IF($A303="","",TEXT($A303,"ddd"))</f>
        <v>Thu</v>
      </c>
      <c r="C303" s="41" t="n">
        <f aca="false">IF($A303="","",COUNTIFS('Trade Log'!$L$4:$L$503,$A303))</f>
        <v>0</v>
      </c>
      <c r="D303" s="40" t="n">
        <f aca="false">IF($A303="","",SUMIFS('Trade Log'!$Q$4:$Q$503,'Trade Log'!$L$4:$L$503,$A303,'Trade Log'!$E$4:$E$503,"LONG"))</f>
        <v>0</v>
      </c>
      <c r="E303" s="40" t="n">
        <f aca="false">IF($A303="","",SUMIFS('Trade Log'!$Q$4:$Q$503,'Trade Log'!$L$4:$L$503,$A303,'Trade Log'!$E$4:$E$503,"SHORT"))</f>
        <v>0</v>
      </c>
      <c r="F303" s="40" t="n">
        <f aca="false">IF($A303="","",$D303+$E303)</f>
        <v>0</v>
      </c>
      <c r="G303" s="40" t="n">
        <f aca="false">IF($A303="","",SUMIFS('Trade Log'!$Y$4:$Y$503,'Trade Log'!$L$4:$L$503,$A303))</f>
        <v>0</v>
      </c>
      <c r="H303" s="40" t="str">
        <f aca="false">IF($A303="","",IF($C303=0,"",$F303-$G303))</f>
        <v/>
      </c>
      <c r="I303" s="40" t="n">
        <f aca="false">IF($A303="","",$I302+IF($H303="",0,$H303))</f>
        <v>23918.5521880349</v>
      </c>
      <c r="J303" s="40" t="n">
        <f aca="false">IF($A303="","",Config!$B$4+$I303)</f>
        <v>1023918.55218803</v>
      </c>
      <c r="K303" s="40" t="n">
        <f aca="false">IF($A303="","",MAX($J$4:$J303))</f>
        <v>1023918.55218803</v>
      </c>
      <c r="L303" s="40" t="n">
        <f aca="false">IF($A303="","",$J303-$K303)</f>
        <v>0</v>
      </c>
      <c r="M303" s="42" t="n">
        <f aca="false">IF(OR($A303="",$K303=0),"",$L303/$K303)</f>
        <v>0</v>
      </c>
      <c r="N303" s="40" t="n">
        <f aca="false">IF($A303="","",SUMIFS('Trade Log'!$K$4:$K$503,'Trade Log'!$H$4:$H$503,$A303))</f>
        <v>0</v>
      </c>
      <c r="O303" s="42" t="str">
        <f aca="false">IF(OR($A303="",$H303="",Config!$B$4=0),"",$H303/Config!$B$4)</f>
        <v/>
      </c>
      <c r="P303" s="40" t="n">
        <f aca="false">IF($A303="","",SUM($H$284:$H303))</f>
        <v>0</v>
      </c>
      <c r="Q303" s="53" t="str">
        <f aca="false">IF($A303="","",IFERROR((AVERAGE($O$284:$O303)-Config!$B$7/Config!$B$6)/STDEV($O$284:$O303)*SQRT(Config!$B$6),""))</f>
        <v/>
      </c>
      <c r="R303" s="53" t="str">
        <f aca="false">IF($A303="","",IFERROR((AVERAGE($O$244:$O303)-Config!$B$7/Config!$B$6)/STDEV($O$244:$O303)*SQRT(Config!$B$6),""))</f>
        <v/>
      </c>
      <c r="S303" s="47" t="n">
        <f aca="false">IF($H303="",$S302,IF($H303&gt;0,$S302+1,0))</f>
        <v>1</v>
      </c>
      <c r="T303" s="47" t="n">
        <f aca="false">IF($H303="",$T302,IF($H303&lt;0,$T302+1,0))</f>
        <v>0</v>
      </c>
    </row>
    <row r="304" customFormat="false" ht="15" hidden="false" customHeight="false" outlineLevel="0" collapsed="false">
      <c r="A304" s="54" t="n">
        <f aca="false">IF($A303="","",$A303+1)</f>
        <v>46535</v>
      </c>
      <c r="B304" s="5" t="str">
        <f aca="false">IF($A304="","",TEXT($A304,"ddd"))</f>
        <v>Fri</v>
      </c>
      <c r="C304" s="41" t="n">
        <f aca="false">IF($A304="","",COUNTIFS('Trade Log'!$L$4:$L$503,$A304))</f>
        <v>0</v>
      </c>
      <c r="D304" s="40" t="n">
        <f aca="false">IF($A304="","",SUMIFS('Trade Log'!$Q$4:$Q$503,'Trade Log'!$L$4:$L$503,$A304,'Trade Log'!$E$4:$E$503,"LONG"))</f>
        <v>0</v>
      </c>
      <c r="E304" s="40" t="n">
        <f aca="false">IF($A304="","",SUMIFS('Trade Log'!$Q$4:$Q$503,'Trade Log'!$L$4:$L$503,$A304,'Trade Log'!$E$4:$E$503,"SHORT"))</f>
        <v>0</v>
      </c>
      <c r="F304" s="40" t="n">
        <f aca="false">IF($A304="","",$D304+$E304)</f>
        <v>0</v>
      </c>
      <c r="G304" s="40" t="n">
        <f aca="false">IF($A304="","",SUMIFS('Trade Log'!$Y$4:$Y$503,'Trade Log'!$L$4:$L$503,$A304))</f>
        <v>0</v>
      </c>
      <c r="H304" s="40" t="str">
        <f aca="false">IF($A304="","",IF($C304=0,"",$F304-$G304))</f>
        <v/>
      </c>
      <c r="I304" s="40" t="n">
        <f aca="false">IF($A304="","",$I303+IF($H304="",0,$H304))</f>
        <v>23918.5521880349</v>
      </c>
      <c r="J304" s="40" t="n">
        <f aca="false">IF($A304="","",Config!$B$4+$I304)</f>
        <v>1023918.55218803</v>
      </c>
      <c r="K304" s="40" t="n">
        <f aca="false">IF($A304="","",MAX($J$4:$J304))</f>
        <v>1023918.55218803</v>
      </c>
      <c r="L304" s="40" t="n">
        <f aca="false">IF($A304="","",$J304-$K304)</f>
        <v>0</v>
      </c>
      <c r="M304" s="42" t="n">
        <f aca="false">IF(OR($A304="",$K304=0),"",$L304/$K304)</f>
        <v>0</v>
      </c>
      <c r="N304" s="40" t="n">
        <f aca="false">IF($A304="","",SUMIFS('Trade Log'!$K$4:$K$503,'Trade Log'!$H$4:$H$503,$A304))</f>
        <v>0</v>
      </c>
      <c r="O304" s="42" t="str">
        <f aca="false">IF(OR($A304="",$H304="",Config!$B$4=0),"",$H304/Config!$B$4)</f>
        <v/>
      </c>
      <c r="P304" s="40" t="n">
        <f aca="false">IF($A304="","",SUM($H$285:$H304))</f>
        <v>0</v>
      </c>
      <c r="Q304" s="53" t="str">
        <f aca="false">IF($A304="","",IFERROR((AVERAGE($O$285:$O304)-Config!$B$7/Config!$B$6)/STDEV($O$285:$O304)*SQRT(Config!$B$6),""))</f>
        <v/>
      </c>
      <c r="R304" s="53" t="str">
        <f aca="false">IF($A304="","",IFERROR((AVERAGE($O$245:$O304)-Config!$B$7/Config!$B$6)/STDEV($O$245:$O304)*SQRT(Config!$B$6),""))</f>
        <v/>
      </c>
      <c r="S304" s="47" t="n">
        <f aca="false">IF($H304="",$S303,IF($H304&gt;0,$S303+1,0))</f>
        <v>1</v>
      </c>
      <c r="T304" s="47" t="n">
        <f aca="false">IF($H304="",$T303,IF($H304&lt;0,$T303+1,0))</f>
        <v>0</v>
      </c>
    </row>
    <row r="305" customFormat="false" ht="15" hidden="false" customHeight="false" outlineLevel="0" collapsed="false">
      <c r="A305" s="54" t="n">
        <f aca="false">IF($A304="","",$A304+1)</f>
        <v>46536</v>
      </c>
      <c r="B305" s="5" t="str">
        <f aca="false">IF($A305="","",TEXT($A305,"ddd"))</f>
        <v>Sat</v>
      </c>
      <c r="C305" s="41" t="n">
        <f aca="false">IF($A305="","",COUNTIFS('Trade Log'!$L$4:$L$503,$A305))</f>
        <v>0</v>
      </c>
      <c r="D305" s="40" t="n">
        <f aca="false">IF($A305="","",SUMIFS('Trade Log'!$Q$4:$Q$503,'Trade Log'!$L$4:$L$503,$A305,'Trade Log'!$E$4:$E$503,"LONG"))</f>
        <v>0</v>
      </c>
      <c r="E305" s="40" t="n">
        <f aca="false">IF($A305="","",SUMIFS('Trade Log'!$Q$4:$Q$503,'Trade Log'!$L$4:$L$503,$A305,'Trade Log'!$E$4:$E$503,"SHORT"))</f>
        <v>0</v>
      </c>
      <c r="F305" s="40" t="n">
        <f aca="false">IF($A305="","",$D305+$E305)</f>
        <v>0</v>
      </c>
      <c r="G305" s="40" t="n">
        <f aca="false">IF($A305="","",SUMIFS('Trade Log'!$Y$4:$Y$503,'Trade Log'!$L$4:$L$503,$A305))</f>
        <v>0</v>
      </c>
      <c r="H305" s="40" t="str">
        <f aca="false">IF($A305="","",IF($C305=0,"",$F305-$G305))</f>
        <v/>
      </c>
      <c r="I305" s="40" t="n">
        <f aca="false">IF($A305="","",$I304+IF($H305="",0,$H305))</f>
        <v>23918.5521880349</v>
      </c>
      <c r="J305" s="40" t="n">
        <f aca="false">IF($A305="","",Config!$B$4+$I305)</f>
        <v>1023918.55218803</v>
      </c>
      <c r="K305" s="40" t="n">
        <f aca="false">IF($A305="","",MAX($J$4:$J305))</f>
        <v>1023918.55218803</v>
      </c>
      <c r="L305" s="40" t="n">
        <f aca="false">IF($A305="","",$J305-$K305)</f>
        <v>0</v>
      </c>
      <c r="M305" s="42" t="n">
        <f aca="false">IF(OR($A305="",$K305=0),"",$L305/$K305)</f>
        <v>0</v>
      </c>
      <c r="N305" s="40" t="n">
        <f aca="false">IF($A305="","",SUMIFS('Trade Log'!$K$4:$K$503,'Trade Log'!$H$4:$H$503,$A305))</f>
        <v>0</v>
      </c>
      <c r="O305" s="42" t="str">
        <f aca="false">IF(OR($A305="",$H305="",Config!$B$4=0),"",$H305/Config!$B$4)</f>
        <v/>
      </c>
      <c r="P305" s="40" t="n">
        <f aca="false">IF($A305="","",SUM($H$286:$H305))</f>
        <v>0</v>
      </c>
      <c r="Q305" s="53" t="str">
        <f aca="false">IF($A305="","",IFERROR((AVERAGE($O$286:$O305)-Config!$B$7/Config!$B$6)/STDEV($O$286:$O305)*SQRT(Config!$B$6),""))</f>
        <v/>
      </c>
      <c r="R305" s="53" t="str">
        <f aca="false">IF($A305="","",IFERROR((AVERAGE($O$246:$O305)-Config!$B$7/Config!$B$6)/STDEV($O$246:$O305)*SQRT(Config!$B$6),""))</f>
        <v/>
      </c>
      <c r="S305" s="47" t="n">
        <f aca="false">IF($H305="",$S304,IF($H305&gt;0,$S304+1,0))</f>
        <v>1</v>
      </c>
      <c r="T305" s="47" t="n">
        <f aca="false">IF($H305="",$T304,IF($H305&lt;0,$T304+1,0))</f>
        <v>0</v>
      </c>
    </row>
    <row r="306" customFormat="false" ht="15" hidden="false" customHeight="false" outlineLevel="0" collapsed="false">
      <c r="A306" s="54" t="n">
        <f aca="false">IF($A305="","",$A305+1)</f>
        <v>46537</v>
      </c>
      <c r="B306" s="5" t="str">
        <f aca="false">IF($A306="","",TEXT($A306,"ddd"))</f>
        <v>Sun</v>
      </c>
      <c r="C306" s="41" t="n">
        <f aca="false">IF($A306="","",COUNTIFS('Trade Log'!$L$4:$L$503,$A306))</f>
        <v>0</v>
      </c>
      <c r="D306" s="40" t="n">
        <f aca="false">IF($A306="","",SUMIFS('Trade Log'!$Q$4:$Q$503,'Trade Log'!$L$4:$L$503,$A306,'Trade Log'!$E$4:$E$503,"LONG"))</f>
        <v>0</v>
      </c>
      <c r="E306" s="40" t="n">
        <f aca="false">IF($A306="","",SUMIFS('Trade Log'!$Q$4:$Q$503,'Trade Log'!$L$4:$L$503,$A306,'Trade Log'!$E$4:$E$503,"SHORT"))</f>
        <v>0</v>
      </c>
      <c r="F306" s="40" t="n">
        <f aca="false">IF($A306="","",$D306+$E306)</f>
        <v>0</v>
      </c>
      <c r="G306" s="40" t="n">
        <f aca="false">IF($A306="","",SUMIFS('Trade Log'!$Y$4:$Y$503,'Trade Log'!$L$4:$L$503,$A306))</f>
        <v>0</v>
      </c>
      <c r="H306" s="40" t="str">
        <f aca="false">IF($A306="","",IF($C306=0,"",$F306-$G306))</f>
        <v/>
      </c>
      <c r="I306" s="40" t="n">
        <f aca="false">IF($A306="","",$I305+IF($H306="",0,$H306))</f>
        <v>23918.5521880349</v>
      </c>
      <c r="J306" s="40" t="n">
        <f aca="false">IF($A306="","",Config!$B$4+$I306)</f>
        <v>1023918.55218803</v>
      </c>
      <c r="K306" s="40" t="n">
        <f aca="false">IF($A306="","",MAX($J$4:$J306))</f>
        <v>1023918.55218803</v>
      </c>
      <c r="L306" s="40" t="n">
        <f aca="false">IF($A306="","",$J306-$K306)</f>
        <v>0</v>
      </c>
      <c r="M306" s="42" t="n">
        <f aca="false">IF(OR($A306="",$K306=0),"",$L306/$K306)</f>
        <v>0</v>
      </c>
      <c r="N306" s="40" t="n">
        <f aca="false">IF($A306="","",SUMIFS('Trade Log'!$K$4:$K$503,'Trade Log'!$H$4:$H$503,$A306))</f>
        <v>0</v>
      </c>
      <c r="O306" s="42" t="str">
        <f aca="false">IF(OR($A306="",$H306="",Config!$B$4=0),"",$H306/Config!$B$4)</f>
        <v/>
      </c>
      <c r="P306" s="40" t="n">
        <f aca="false">IF($A306="","",SUM($H$287:$H306))</f>
        <v>0</v>
      </c>
      <c r="Q306" s="53" t="str">
        <f aca="false">IF($A306="","",IFERROR((AVERAGE($O$287:$O306)-Config!$B$7/Config!$B$6)/STDEV($O$287:$O306)*SQRT(Config!$B$6),""))</f>
        <v/>
      </c>
      <c r="R306" s="53" t="str">
        <f aca="false">IF($A306="","",IFERROR((AVERAGE($O$247:$O306)-Config!$B$7/Config!$B$6)/STDEV($O$247:$O306)*SQRT(Config!$B$6),""))</f>
        <v/>
      </c>
      <c r="S306" s="47" t="n">
        <f aca="false">IF($H306="",$S305,IF($H306&gt;0,$S305+1,0))</f>
        <v>1</v>
      </c>
      <c r="T306" s="47" t="n">
        <f aca="false">IF($H306="",$T305,IF($H306&lt;0,$T305+1,0))</f>
        <v>0</v>
      </c>
    </row>
    <row r="307" customFormat="false" ht="15" hidden="false" customHeight="false" outlineLevel="0" collapsed="false">
      <c r="A307" s="54" t="n">
        <f aca="false">IF($A306="","",$A306+1)</f>
        <v>46538</v>
      </c>
      <c r="B307" s="5" t="str">
        <f aca="false">IF($A307="","",TEXT($A307,"ddd"))</f>
        <v>Mon</v>
      </c>
      <c r="C307" s="41" t="n">
        <f aca="false">IF($A307="","",COUNTIFS('Trade Log'!$L$4:$L$503,$A307))</f>
        <v>0</v>
      </c>
      <c r="D307" s="40" t="n">
        <f aca="false">IF($A307="","",SUMIFS('Trade Log'!$Q$4:$Q$503,'Trade Log'!$L$4:$L$503,$A307,'Trade Log'!$E$4:$E$503,"LONG"))</f>
        <v>0</v>
      </c>
      <c r="E307" s="40" t="n">
        <f aca="false">IF($A307="","",SUMIFS('Trade Log'!$Q$4:$Q$503,'Trade Log'!$L$4:$L$503,$A307,'Trade Log'!$E$4:$E$503,"SHORT"))</f>
        <v>0</v>
      </c>
      <c r="F307" s="40" t="n">
        <f aca="false">IF($A307="","",$D307+$E307)</f>
        <v>0</v>
      </c>
      <c r="G307" s="40" t="n">
        <f aca="false">IF($A307="","",SUMIFS('Trade Log'!$Y$4:$Y$503,'Trade Log'!$L$4:$L$503,$A307))</f>
        <v>0</v>
      </c>
      <c r="H307" s="40" t="str">
        <f aca="false">IF($A307="","",IF($C307=0,"",$F307-$G307))</f>
        <v/>
      </c>
      <c r="I307" s="40" t="n">
        <f aca="false">IF($A307="","",$I306+IF($H307="",0,$H307))</f>
        <v>23918.5521880349</v>
      </c>
      <c r="J307" s="40" t="n">
        <f aca="false">IF($A307="","",Config!$B$4+$I307)</f>
        <v>1023918.55218803</v>
      </c>
      <c r="K307" s="40" t="n">
        <f aca="false">IF($A307="","",MAX($J$4:$J307))</f>
        <v>1023918.55218803</v>
      </c>
      <c r="L307" s="40" t="n">
        <f aca="false">IF($A307="","",$J307-$K307)</f>
        <v>0</v>
      </c>
      <c r="M307" s="42" t="n">
        <f aca="false">IF(OR($A307="",$K307=0),"",$L307/$K307)</f>
        <v>0</v>
      </c>
      <c r="N307" s="40" t="n">
        <f aca="false">IF($A307="","",SUMIFS('Trade Log'!$K$4:$K$503,'Trade Log'!$H$4:$H$503,$A307))</f>
        <v>0</v>
      </c>
      <c r="O307" s="42" t="str">
        <f aca="false">IF(OR($A307="",$H307="",Config!$B$4=0),"",$H307/Config!$B$4)</f>
        <v/>
      </c>
      <c r="P307" s="40" t="n">
        <f aca="false">IF($A307="","",SUM($H$288:$H307))</f>
        <v>0</v>
      </c>
      <c r="Q307" s="53" t="str">
        <f aca="false">IF($A307="","",IFERROR((AVERAGE($O$288:$O307)-Config!$B$7/Config!$B$6)/STDEV($O$288:$O307)*SQRT(Config!$B$6),""))</f>
        <v/>
      </c>
      <c r="R307" s="53" t="str">
        <f aca="false">IF($A307="","",IFERROR((AVERAGE($O$248:$O307)-Config!$B$7/Config!$B$6)/STDEV($O$248:$O307)*SQRT(Config!$B$6),""))</f>
        <v/>
      </c>
      <c r="S307" s="47" t="n">
        <f aca="false">IF($H307="",$S306,IF($H307&gt;0,$S306+1,0))</f>
        <v>1</v>
      </c>
      <c r="T307" s="47" t="n">
        <f aca="false">IF($H307="",$T306,IF($H307&lt;0,$T306+1,0))</f>
        <v>0</v>
      </c>
    </row>
    <row r="308" customFormat="false" ht="15" hidden="false" customHeight="false" outlineLevel="0" collapsed="false">
      <c r="A308" s="54" t="n">
        <f aca="false">IF($A307="","",$A307+1)</f>
        <v>46539</v>
      </c>
      <c r="B308" s="5" t="str">
        <f aca="false">IF($A308="","",TEXT($A308,"ddd"))</f>
        <v>Tue</v>
      </c>
      <c r="C308" s="41" t="n">
        <f aca="false">IF($A308="","",COUNTIFS('Trade Log'!$L$4:$L$503,$A308))</f>
        <v>0</v>
      </c>
      <c r="D308" s="40" t="n">
        <f aca="false">IF($A308="","",SUMIFS('Trade Log'!$Q$4:$Q$503,'Trade Log'!$L$4:$L$503,$A308,'Trade Log'!$E$4:$E$503,"LONG"))</f>
        <v>0</v>
      </c>
      <c r="E308" s="40" t="n">
        <f aca="false">IF($A308="","",SUMIFS('Trade Log'!$Q$4:$Q$503,'Trade Log'!$L$4:$L$503,$A308,'Trade Log'!$E$4:$E$503,"SHORT"))</f>
        <v>0</v>
      </c>
      <c r="F308" s="40" t="n">
        <f aca="false">IF($A308="","",$D308+$E308)</f>
        <v>0</v>
      </c>
      <c r="G308" s="40" t="n">
        <f aca="false">IF($A308="","",SUMIFS('Trade Log'!$Y$4:$Y$503,'Trade Log'!$L$4:$L$503,$A308))</f>
        <v>0</v>
      </c>
      <c r="H308" s="40" t="str">
        <f aca="false">IF($A308="","",IF($C308=0,"",$F308-$G308))</f>
        <v/>
      </c>
      <c r="I308" s="40" t="n">
        <f aca="false">IF($A308="","",$I307+IF($H308="",0,$H308))</f>
        <v>23918.5521880349</v>
      </c>
      <c r="J308" s="40" t="n">
        <f aca="false">IF($A308="","",Config!$B$4+$I308)</f>
        <v>1023918.55218803</v>
      </c>
      <c r="K308" s="40" t="n">
        <f aca="false">IF($A308="","",MAX($J$4:$J308))</f>
        <v>1023918.55218803</v>
      </c>
      <c r="L308" s="40" t="n">
        <f aca="false">IF($A308="","",$J308-$K308)</f>
        <v>0</v>
      </c>
      <c r="M308" s="42" t="n">
        <f aca="false">IF(OR($A308="",$K308=0),"",$L308/$K308)</f>
        <v>0</v>
      </c>
      <c r="N308" s="40" t="n">
        <f aca="false">IF($A308="","",SUMIFS('Trade Log'!$K$4:$K$503,'Trade Log'!$H$4:$H$503,$A308))</f>
        <v>0</v>
      </c>
      <c r="O308" s="42" t="str">
        <f aca="false">IF(OR($A308="",$H308="",Config!$B$4=0),"",$H308/Config!$B$4)</f>
        <v/>
      </c>
      <c r="P308" s="40" t="n">
        <f aca="false">IF($A308="","",SUM($H$289:$H308))</f>
        <v>0</v>
      </c>
      <c r="Q308" s="53" t="str">
        <f aca="false">IF($A308="","",IFERROR((AVERAGE($O$289:$O308)-Config!$B$7/Config!$B$6)/STDEV($O$289:$O308)*SQRT(Config!$B$6),""))</f>
        <v/>
      </c>
      <c r="R308" s="53" t="str">
        <f aca="false">IF($A308="","",IFERROR((AVERAGE($O$249:$O308)-Config!$B$7/Config!$B$6)/STDEV($O$249:$O308)*SQRT(Config!$B$6),""))</f>
        <v/>
      </c>
      <c r="S308" s="47" t="n">
        <f aca="false">IF($H308="",$S307,IF($H308&gt;0,$S307+1,0))</f>
        <v>1</v>
      </c>
      <c r="T308" s="47" t="n">
        <f aca="false">IF($H308="",$T307,IF($H308&lt;0,$T307+1,0))</f>
        <v>0</v>
      </c>
    </row>
    <row r="309" customFormat="false" ht="15" hidden="false" customHeight="false" outlineLevel="0" collapsed="false">
      <c r="A309" s="54" t="n">
        <f aca="false">IF($A308="","",$A308+1)</f>
        <v>46540</v>
      </c>
      <c r="B309" s="5" t="str">
        <f aca="false">IF($A309="","",TEXT($A309,"ddd"))</f>
        <v>Wed</v>
      </c>
      <c r="C309" s="41" t="n">
        <f aca="false">IF($A309="","",COUNTIFS('Trade Log'!$L$4:$L$503,$A309))</f>
        <v>0</v>
      </c>
      <c r="D309" s="40" t="n">
        <f aca="false">IF($A309="","",SUMIFS('Trade Log'!$Q$4:$Q$503,'Trade Log'!$L$4:$L$503,$A309,'Trade Log'!$E$4:$E$503,"LONG"))</f>
        <v>0</v>
      </c>
      <c r="E309" s="40" t="n">
        <f aca="false">IF($A309="","",SUMIFS('Trade Log'!$Q$4:$Q$503,'Trade Log'!$L$4:$L$503,$A309,'Trade Log'!$E$4:$E$503,"SHORT"))</f>
        <v>0</v>
      </c>
      <c r="F309" s="40" t="n">
        <f aca="false">IF($A309="","",$D309+$E309)</f>
        <v>0</v>
      </c>
      <c r="G309" s="40" t="n">
        <f aca="false">IF($A309="","",SUMIFS('Trade Log'!$Y$4:$Y$503,'Trade Log'!$L$4:$L$503,$A309))</f>
        <v>0</v>
      </c>
      <c r="H309" s="40" t="str">
        <f aca="false">IF($A309="","",IF($C309=0,"",$F309-$G309))</f>
        <v/>
      </c>
      <c r="I309" s="40" t="n">
        <f aca="false">IF($A309="","",$I308+IF($H309="",0,$H309))</f>
        <v>23918.5521880349</v>
      </c>
      <c r="J309" s="40" t="n">
        <f aca="false">IF($A309="","",Config!$B$4+$I309)</f>
        <v>1023918.55218803</v>
      </c>
      <c r="K309" s="40" t="n">
        <f aca="false">IF($A309="","",MAX($J$4:$J309))</f>
        <v>1023918.55218803</v>
      </c>
      <c r="L309" s="40" t="n">
        <f aca="false">IF($A309="","",$J309-$K309)</f>
        <v>0</v>
      </c>
      <c r="M309" s="42" t="n">
        <f aca="false">IF(OR($A309="",$K309=0),"",$L309/$K309)</f>
        <v>0</v>
      </c>
      <c r="N309" s="40" t="n">
        <f aca="false">IF($A309="","",SUMIFS('Trade Log'!$K$4:$K$503,'Trade Log'!$H$4:$H$503,$A309))</f>
        <v>0</v>
      </c>
      <c r="O309" s="42" t="str">
        <f aca="false">IF(OR($A309="",$H309="",Config!$B$4=0),"",$H309/Config!$B$4)</f>
        <v/>
      </c>
      <c r="P309" s="40" t="n">
        <f aca="false">IF($A309="","",SUM($H$290:$H309))</f>
        <v>0</v>
      </c>
      <c r="Q309" s="53" t="str">
        <f aca="false">IF($A309="","",IFERROR((AVERAGE($O$290:$O309)-Config!$B$7/Config!$B$6)/STDEV($O$290:$O309)*SQRT(Config!$B$6),""))</f>
        <v/>
      </c>
      <c r="R309" s="53" t="str">
        <f aca="false">IF($A309="","",IFERROR((AVERAGE($O$250:$O309)-Config!$B$7/Config!$B$6)/STDEV($O$250:$O309)*SQRT(Config!$B$6),""))</f>
        <v/>
      </c>
      <c r="S309" s="47" t="n">
        <f aca="false">IF($H309="",$S308,IF($H309&gt;0,$S308+1,0))</f>
        <v>1</v>
      </c>
      <c r="T309" s="47" t="n">
        <f aca="false">IF($H309="",$T308,IF($H309&lt;0,$T308+1,0))</f>
        <v>0</v>
      </c>
    </row>
    <row r="310" customFormat="false" ht="15" hidden="false" customHeight="false" outlineLevel="0" collapsed="false">
      <c r="A310" s="54" t="n">
        <f aca="false">IF($A309="","",$A309+1)</f>
        <v>46541</v>
      </c>
      <c r="B310" s="5" t="str">
        <f aca="false">IF($A310="","",TEXT($A310,"ddd"))</f>
        <v>Thu</v>
      </c>
      <c r="C310" s="41" t="n">
        <f aca="false">IF($A310="","",COUNTIFS('Trade Log'!$L$4:$L$503,$A310))</f>
        <v>0</v>
      </c>
      <c r="D310" s="40" t="n">
        <f aca="false">IF($A310="","",SUMIFS('Trade Log'!$Q$4:$Q$503,'Trade Log'!$L$4:$L$503,$A310,'Trade Log'!$E$4:$E$503,"LONG"))</f>
        <v>0</v>
      </c>
      <c r="E310" s="40" t="n">
        <f aca="false">IF($A310="","",SUMIFS('Trade Log'!$Q$4:$Q$503,'Trade Log'!$L$4:$L$503,$A310,'Trade Log'!$E$4:$E$503,"SHORT"))</f>
        <v>0</v>
      </c>
      <c r="F310" s="40" t="n">
        <f aca="false">IF($A310="","",$D310+$E310)</f>
        <v>0</v>
      </c>
      <c r="G310" s="40" t="n">
        <f aca="false">IF($A310="","",SUMIFS('Trade Log'!$Y$4:$Y$503,'Trade Log'!$L$4:$L$503,$A310))</f>
        <v>0</v>
      </c>
      <c r="H310" s="40" t="str">
        <f aca="false">IF($A310="","",IF($C310=0,"",$F310-$G310))</f>
        <v/>
      </c>
      <c r="I310" s="40" t="n">
        <f aca="false">IF($A310="","",$I309+IF($H310="",0,$H310))</f>
        <v>23918.5521880349</v>
      </c>
      <c r="J310" s="40" t="n">
        <f aca="false">IF($A310="","",Config!$B$4+$I310)</f>
        <v>1023918.55218803</v>
      </c>
      <c r="K310" s="40" t="n">
        <f aca="false">IF($A310="","",MAX($J$4:$J310))</f>
        <v>1023918.55218803</v>
      </c>
      <c r="L310" s="40" t="n">
        <f aca="false">IF($A310="","",$J310-$K310)</f>
        <v>0</v>
      </c>
      <c r="M310" s="42" t="n">
        <f aca="false">IF(OR($A310="",$K310=0),"",$L310/$K310)</f>
        <v>0</v>
      </c>
      <c r="N310" s="40" t="n">
        <f aca="false">IF($A310="","",SUMIFS('Trade Log'!$K$4:$K$503,'Trade Log'!$H$4:$H$503,$A310))</f>
        <v>0</v>
      </c>
      <c r="O310" s="42" t="str">
        <f aca="false">IF(OR($A310="",$H310="",Config!$B$4=0),"",$H310/Config!$B$4)</f>
        <v/>
      </c>
      <c r="P310" s="40" t="n">
        <f aca="false">IF($A310="","",SUM($H$291:$H310))</f>
        <v>0</v>
      </c>
      <c r="Q310" s="53" t="str">
        <f aca="false">IF($A310="","",IFERROR((AVERAGE($O$291:$O310)-Config!$B$7/Config!$B$6)/STDEV($O$291:$O310)*SQRT(Config!$B$6),""))</f>
        <v/>
      </c>
      <c r="R310" s="53" t="str">
        <f aca="false">IF($A310="","",IFERROR((AVERAGE($O$251:$O310)-Config!$B$7/Config!$B$6)/STDEV($O$251:$O310)*SQRT(Config!$B$6),""))</f>
        <v/>
      </c>
      <c r="S310" s="47" t="n">
        <f aca="false">IF($H310="",$S309,IF($H310&gt;0,$S309+1,0))</f>
        <v>1</v>
      </c>
      <c r="T310" s="47" t="n">
        <f aca="false">IF($H310="",$T309,IF($H310&lt;0,$T309+1,0))</f>
        <v>0</v>
      </c>
    </row>
    <row r="311" customFormat="false" ht="15" hidden="false" customHeight="false" outlineLevel="0" collapsed="false">
      <c r="A311" s="54" t="n">
        <f aca="false">IF($A310="","",$A310+1)</f>
        <v>46542</v>
      </c>
      <c r="B311" s="5" t="str">
        <f aca="false">IF($A311="","",TEXT($A311,"ddd"))</f>
        <v>Fri</v>
      </c>
      <c r="C311" s="41" t="n">
        <f aca="false">IF($A311="","",COUNTIFS('Trade Log'!$L$4:$L$503,$A311))</f>
        <v>0</v>
      </c>
      <c r="D311" s="40" t="n">
        <f aca="false">IF($A311="","",SUMIFS('Trade Log'!$Q$4:$Q$503,'Trade Log'!$L$4:$L$503,$A311,'Trade Log'!$E$4:$E$503,"LONG"))</f>
        <v>0</v>
      </c>
      <c r="E311" s="40" t="n">
        <f aca="false">IF($A311="","",SUMIFS('Trade Log'!$Q$4:$Q$503,'Trade Log'!$L$4:$L$503,$A311,'Trade Log'!$E$4:$E$503,"SHORT"))</f>
        <v>0</v>
      </c>
      <c r="F311" s="40" t="n">
        <f aca="false">IF($A311="","",$D311+$E311)</f>
        <v>0</v>
      </c>
      <c r="G311" s="40" t="n">
        <f aca="false">IF($A311="","",SUMIFS('Trade Log'!$Y$4:$Y$503,'Trade Log'!$L$4:$L$503,$A311))</f>
        <v>0</v>
      </c>
      <c r="H311" s="40" t="str">
        <f aca="false">IF($A311="","",IF($C311=0,"",$F311-$G311))</f>
        <v/>
      </c>
      <c r="I311" s="40" t="n">
        <f aca="false">IF($A311="","",$I310+IF($H311="",0,$H311))</f>
        <v>23918.5521880349</v>
      </c>
      <c r="J311" s="40" t="n">
        <f aca="false">IF($A311="","",Config!$B$4+$I311)</f>
        <v>1023918.55218803</v>
      </c>
      <c r="K311" s="40" t="n">
        <f aca="false">IF($A311="","",MAX($J$4:$J311))</f>
        <v>1023918.55218803</v>
      </c>
      <c r="L311" s="40" t="n">
        <f aca="false">IF($A311="","",$J311-$K311)</f>
        <v>0</v>
      </c>
      <c r="M311" s="42" t="n">
        <f aca="false">IF(OR($A311="",$K311=0),"",$L311/$K311)</f>
        <v>0</v>
      </c>
      <c r="N311" s="40" t="n">
        <f aca="false">IF($A311="","",SUMIFS('Trade Log'!$K$4:$K$503,'Trade Log'!$H$4:$H$503,$A311))</f>
        <v>0</v>
      </c>
      <c r="O311" s="42" t="str">
        <f aca="false">IF(OR($A311="",$H311="",Config!$B$4=0),"",$H311/Config!$B$4)</f>
        <v/>
      </c>
      <c r="P311" s="40" t="n">
        <f aca="false">IF($A311="","",SUM($H$292:$H311))</f>
        <v>0</v>
      </c>
      <c r="Q311" s="53" t="str">
        <f aca="false">IF($A311="","",IFERROR((AVERAGE($O$292:$O311)-Config!$B$7/Config!$B$6)/STDEV($O$292:$O311)*SQRT(Config!$B$6),""))</f>
        <v/>
      </c>
      <c r="R311" s="53" t="str">
        <f aca="false">IF($A311="","",IFERROR((AVERAGE($O$252:$O311)-Config!$B$7/Config!$B$6)/STDEV($O$252:$O311)*SQRT(Config!$B$6),""))</f>
        <v/>
      </c>
      <c r="S311" s="47" t="n">
        <f aca="false">IF($H311="",$S310,IF($H311&gt;0,$S310+1,0))</f>
        <v>1</v>
      </c>
      <c r="T311" s="47" t="n">
        <f aca="false">IF($H311="",$T310,IF($H311&lt;0,$T310+1,0))</f>
        <v>0</v>
      </c>
    </row>
    <row r="312" customFormat="false" ht="15" hidden="false" customHeight="false" outlineLevel="0" collapsed="false">
      <c r="A312" s="54" t="n">
        <f aca="false">IF($A311="","",$A311+1)</f>
        <v>46543</v>
      </c>
      <c r="B312" s="5" t="str">
        <f aca="false">IF($A312="","",TEXT($A312,"ddd"))</f>
        <v>Sat</v>
      </c>
      <c r="C312" s="41" t="n">
        <f aca="false">IF($A312="","",COUNTIFS('Trade Log'!$L$4:$L$503,$A312))</f>
        <v>0</v>
      </c>
      <c r="D312" s="40" t="n">
        <f aca="false">IF($A312="","",SUMIFS('Trade Log'!$Q$4:$Q$503,'Trade Log'!$L$4:$L$503,$A312,'Trade Log'!$E$4:$E$503,"LONG"))</f>
        <v>0</v>
      </c>
      <c r="E312" s="40" t="n">
        <f aca="false">IF($A312="","",SUMIFS('Trade Log'!$Q$4:$Q$503,'Trade Log'!$L$4:$L$503,$A312,'Trade Log'!$E$4:$E$503,"SHORT"))</f>
        <v>0</v>
      </c>
      <c r="F312" s="40" t="n">
        <f aca="false">IF($A312="","",$D312+$E312)</f>
        <v>0</v>
      </c>
      <c r="G312" s="40" t="n">
        <f aca="false">IF($A312="","",SUMIFS('Trade Log'!$Y$4:$Y$503,'Trade Log'!$L$4:$L$503,$A312))</f>
        <v>0</v>
      </c>
      <c r="H312" s="40" t="str">
        <f aca="false">IF($A312="","",IF($C312=0,"",$F312-$G312))</f>
        <v/>
      </c>
      <c r="I312" s="40" t="n">
        <f aca="false">IF($A312="","",$I311+IF($H312="",0,$H312))</f>
        <v>23918.5521880349</v>
      </c>
      <c r="J312" s="40" t="n">
        <f aca="false">IF($A312="","",Config!$B$4+$I312)</f>
        <v>1023918.55218803</v>
      </c>
      <c r="K312" s="40" t="n">
        <f aca="false">IF($A312="","",MAX($J$4:$J312))</f>
        <v>1023918.55218803</v>
      </c>
      <c r="L312" s="40" t="n">
        <f aca="false">IF($A312="","",$J312-$K312)</f>
        <v>0</v>
      </c>
      <c r="M312" s="42" t="n">
        <f aca="false">IF(OR($A312="",$K312=0),"",$L312/$K312)</f>
        <v>0</v>
      </c>
      <c r="N312" s="40" t="n">
        <f aca="false">IF($A312="","",SUMIFS('Trade Log'!$K$4:$K$503,'Trade Log'!$H$4:$H$503,$A312))</f>
        <v>0</v>
      </c>
      <c r="O312" s="42" t="str">
        <f aca="false">IF(OR($A312="",$H312="",Config!$B$4=0),"",$H312/Config!$B$4)</f>
        <v/>
      </c>
      <c r="P312" s="40" t="n">
        <f aca="false">IF($A312="","",SUM($H$293:$H312))</f>
        <v>0</v>
      </c>
      <c r="Q312" s="53" t="str">
        <f aca="false">IF($A312="","",IFERROR((AVERAGE($O$293:$O312)-Config!$B$7/Config!$B$6)/STDEV($O$293:$O312)*SQRT(Config!$B$6),""))</f>
        <v/>
      </c>
      <c r="R312" s="53" t="str">
        <f aca="false">IF($A312="","",IFERROR((AVERAGE($O$253:$O312)-Config!$B$7/Config!$B$6)/STDEV($O$253:$O312)*SQRT(Config!$B$6),""))</f>
        <v/>
      </c>
      <c r="S312" s="47" t="n">
        <f aca="false">IF($H312="",$S311,IF($H312&gt;0,$S311+1,0))</f>
        <v>1</v>
      </c>
      <c r="T312" s="47" t="n">
        <f aca="false">IF($H312="",$T311,IF($H312&lt;0,$T311+1,0))</f>
        <v>0</v>
      </c>
    </row>
    <row r="313" customFormat="false" ht="15" hidden="false" customHeight="false" outlineLevel="0" collapsed="false">
      <c r="A313" s="54" t="n">
        <f aca="false">IF($A312="","",$A312+1)</f>
        <v>46544</v>
      </c>
      <c r="B313" s="5" t="str">
        <f aca="false">IF($A313="","",TEXT($A313,"ddd"))</f>
        <v>Sun</v>
      </c>
      <c r="C313" s="41" t="n">
        <f aca="false">IF($A313="","",COUNTIFS('Trade Log'!$L$4:$L$503,$A313))</f>
        <v>0</v>
      </c>
      <c r="D313" s="40" t="n">
        <f aca="false">IF($A313="","",SUMIFS('Trade Log'!$Q$4:$Q$503,'Trade Log'!$L$4:$L$503,$A313,'Trade Log'!$E$4:$E$503,"LONG"))</f>
        <v>0</v>
      </c>
      <c r="E313" s="40" t="n">
        <f aca="false">IF($A313="","",SUMIFS('Trade Log'!$Q$4:$Q$503,'Trade Log'!$L$4:$L$503,$A313,'Trade Log'!$E$4:$E$503,"SHORT"))</f>
        <v>0</v>
      </c>
      <c r="F313" s="40" t="n">
        <f aca="false">IF($A313="","",$D313+$E313)</f>
        <v>0</v>
      </c>
      <c r="G313" s="40" t="n">
        <f aca="false">IF($A313="","",SUMIFS('Trade Log'!$Y$4:$Y$503,'Trade Log'!$L$4:$L$503,$A313))</f>
        <v>0</v>
      </c>
      <c r="H313" s="40" t="str">
        <f aca="false">IF($A313="","",IF($C313=0,"",$F313-$G313))</f>
        <v/>
      </c>
      <c r="I313" s="40" t="n">
        <f aca="false">IF($A313="","",$I312+IF($H313="",0,$H313))</f>
        <v>23918.5521880349</v>
      </c>
      <c r="J313" s="40" t="n">
        <f aca="false">IF($A313="","",Config!$B$4+$I313)</f>
        <v>1023918.55218803</v>
      </c>
      <c r="K313" s="40" t="n">
        <f aca="false">IF($A313="","",MAX($J$4:$J313))</f>
        <v>1023918.55218803</v>
      </c>
      <c r="L313" s="40" t="n">
        <f aca="false">IF($A313="","",$J313-$K313)</f>
        <v>0</v>
      </c>
      <c r="M313" s="42" t="n">
        <f aca="false">IF(OR($A313="",$K313=0),"",$L313/$K313)</f>
        <v>0</v>
      </c>
      <c r="N313" s="40" t="n">
        <f aca="false">IF($A313="","",SUMIFS('Trade Log'!$K$4:$K$503,'Trade Log'!$H$4:$H$503,$A313))</f>
        <v>0</v>
      </c>
      <c r="O313" s="42" t="str">
        <f aca="false">IF(OR($A313="",$H313="",Config!$B$4=0),"",$H313/Config!$B$4)</f>
        <v/>
      </c>
      <c r="P313" s="40" t="n">
        <f aca="false">IF($A313="","",SUM($H$294:$H313))</f>
        <v>0</v>
      </c>
      <c r="Q313" s="53" t="str">
        <f aca="false">IF($A313="","",IFERROR((AVERAGE($O$294:$O313)-Config!$B$7/Config!$B$6)/STDEV($O$294:$O313)*SQRT(Config!$B$6),""))</f>
        <v/>
      </c>
      <c r="R313" s="53" t="str">
        <f aca="false">IF($A313="","",IFERROR((AVERAGE($O$254:$O313)-Config!$B$7/Config!$B$6)/STDEV($O$254:$O313)*SQRT(Config!$B$6),""))</f>
        <v/>
      </c>
      <c r="S313" s="47" t="n">
        <f aca="false">IF($H313="",$S312,IF($H313&gt;0,$S312+1,0))</f>
        <v>1</v>
      </c>
      <c r="T313" s="47" t="n">
        <f aca="false">IF($H313="",$T312,IF($H313&lt;0,$T312+1,0))</f>
        <v>0</v>
      </c>
    </row>
    <row r="314" customFormat="false" ht="15" hidden="false" customHeight="false" outlineLevel="0" collapsed="false">
      <c r="A314" s="54" t="n">
        <f aca="false">IF($A313="","",$A313+1)</f>
        <v>46545</v>
      </c>
      <c r="B314" s="5" t="str">
        <f aca="false">IF($A314="","",TEXT($A314,"ddd"))</f>
        <v>Mon</v>
      </c>
      <c r="C314" s="41" t="n">
        <f aca="false">IF($A314="","",COUNTIFS('Trade Log'!$L$4:$L$503,$A314))</f>
        <v>0</v>
      </c>
      <c r="D314" s="40" t="n">
        <f aca="false">IF($A314="","",SUMIFS('Trade Log'!$Q$4:$Q$503,'Trade Log'!$L$4:$L$503,$A314,'Trade Log'!$E$4:$E$503,"LONG"))</f>
        <v>0</v>
      </c>
      <c r="E314" s="40" t="n">
        <f aca="false">IF($A314="","",SUMIFS('Trade Log'!$Q$4:$Q$503,'Trade Log'!$L$4:$L$503,$A314,'Trade Log'!$E$4:$E$503,"SHORT"))</f>
        <v>0</v>
      </c>
      <c r="F314" s="40" t="n">
        <f aca="false">IF($A314="","",$D314+$E314)</f>
        <v>0</v>
      </c>
      <c r="G314" s="40" t="n">
        <f aca="false">IF($A314="","",SUMIFS('Trade Log'!$Y$4:$Y$503,'Trade Log'!$L$4:$L$503,$A314))</f>
        <v>0</v>
      </c>
      <c r="H314" s="40" t="str">
        <f aca="false">IF($A314="","",IF($C314=0,"",$F314-$G314))</f>
        <v/>
      </c>
      <c r="I314" s="40" t="n">
        <f aca="false">IF($A314="","",$I313+IF($H314="",0,$H314))</f>
        <v>23918.5521880349</v>
      </c>
      <c r="J314" s="40" t="n">
        <f aca="false">IF($A314="","",Config!$B$4+$I314)</f>
        <v>1023918.55218803</v>
      </c>
      <c r="K314" s="40" t="n">
        <f aca="false">IF($A314="","",MAX($J$4:$J314))</f>
        <v>1023918.55218803</v>
      </c>
      <c r="L314" s="40" t="n">
        <f aca="false">IF($A314="","",$J314-$K314)</f>
        <v>0</v>
      </c>
      <c r="M314" s="42" t="n">
        <f aca="false">IF(OR($A314="",$K314=0),"",$L314/$K314)</f>
        <v>0</v>
      </c>
      <c r="N314" s="40" t="n">
        <f aca="false">IF($A314="","",SUMIFS('Trade Log'!$K$4:$K$503,'Trade Log'!$H$4:$H$503,$A314))</f>
        <v>0</v>
      </c>
      <c r="O314" s="42" t="str">
        <f aca="false">IF(OR($A314="",$H314="",Config!$B$4=0),"",$H314/Config!$B$4)</f>
        <v/>
      </c>
      <c r="P314" s="40" t="n">
        <f aca="false">IF($A314="","",SUM($H$295:$H314))</f>
        <v>0</v>
      </c>
      <c r="Q314" s="53" t="str">
        <f aca="false">IF($A314="","",IFERROR((AVERAGE($O$295:$O314)-Config!$B$7/Config!$B$6)/STDEV($O$295:$O314)*SQRT(Config!$B$6),""))</f>
        <v/>
      </c>
      <c r="R314" s="53" t="str">
        <f aca="false">IF($A314="","",IFERROR((AVERAGE($O$255:$O314)-Config!$B$7/Config!$B$6)/STDEV($O$255:$O314)*SQRT(Config!$B$6),""))</f>
        <v/>
      </c>
      <c r="S314" s="47" t="n">
        <f aca="false">IF($H314="",$S313,IF($H314&gt;0,$S313+1,0))</f>
        <v>1</v>
      </c>
      <c r="T314" s="47" t="n">
        <f aca="false">IF($H314="",$T313,IF($H314&lt;0,$T313+1,0))</f>
        <v>0</v>
      </c>
    </row>
    <row r="315" customFormat="false" ht="15" hidden="false" customHeight="false" outlineLevel="0" collapsed="false">
      <c r="A315" s="54" t="n">
        <f aca="false">IF($A314="","",$A314+1)</f>
        <v>46546</v>
      </c>
      <c r="B315" s="5" t="str">
        <f aca="false">IF($A315="","",TEXT($A315,"ddd"))</f>
        <v>Tue</v>
      </c>
      <c r="C315" s="41" t="n">
        <f aca="false">IF($A315="","",COUNTIFS('Trade Log'!$L$4:$L$503,$A315))</f>
        <v>0</v>
      </c>
      <c r="D315" s="40" t="n">
        <f aca="false">IF($A315="","",SUMIFS('Trade Log'!$Q$4:$Q$503,'Trade Log'!$L$4:$L$503,$A315,'Trade Log'!$E$4:$E$503,"LONG"))</f>
        <v>0</v>
      </c>
      <c r="E315" s="40" t="n">
        <f aca="false">IF($A315="","",SUMIFS('Trade Log'!$Q$4:$Q$503,'Trade Log'!$L$4:$L$503,$A315,'Trade Log'!$E$4:$E$503,"SHORT"))</f>
        <v>0</v>
      </c>
      <c r="F315" s="40" t="n">
        <f aca="false">IF($A315="","",$D315+$E315)</f>
        <v>0</v>
      </c>
      <c r="G315" s="40" t="n">
        <f aca="false">IF($A315="","",SUMIFS('Trade Log'!$Y$4:$Y$503,'Trade Log'!$L$4:$L$503,$A315))</f>
        <v>0</v>
      </c>
      <c r="H315" s="40" t="str">
        <f aca="false">IF($A315="","",IF($C315=0,"",$F315-$G315))</f>
        <v/>
      </c>
      <c r="I315" s="40" t="n">
        <f aca="false">IF($A315="","",$I314+IF($H315="",0,$H315))</f>
        <v>23918.5521880349</v>
      </c>
      <c r="J315" s="40" t="n">
        <f aca="false">IF($A315="","",Config!$B$4+$I315)</f>
        <v>1023918.55218803</v>
      </c>
      <c r="K315" s="40" t="n">
        <f aca="false">IF($A315="","",MAX($J$4:$J315))</f>
        <v>1023918.55218803</v>
      </c>
      <c r="L315" s="40" t="n">
        <f aca="false">IF($A315="","",$J315-$K315)</f>
        <v>0</v>
      </c>
      <c r="M315" s="42" t="n">
        <f aca="false">IF(OR($A315="",$K315=0),"",$L315/$K315)</f>
        <v>0</v>
      </c>
      <c r="N315" s="40" t="n">
        <f aca="false">IF($A315="","",SUMIFS('Trade Log'!$K$4:$K$503,'Trade Log'!$H$4:$H$503,$A315))</f>
        <v>0</v>
      </c>
      <c r="O315" s="42" t="str">
        <f aca="false">IF(OR($A315="",$H315="",Config!$B$4=0),"",$H315/Config!$B$4)</f>
        <v/>
      </c>
      <c r="P315" s="40" t="n">
        <f aca="false">IF($A315="","",SUM($H$296:$H315))</f>
        <v>0</v>
      </c>
      <c r="Q315" s="53" t="str">
        <f aca="false">IF($A315="","",IFERROR((AVERAGE($O$296:$O315)-Config!$B$7/Config!$B$6)/STDEV($O$296:$O315)*SQRT(Config!$B$6),""))</f>
        <v/>
      </c>
      <c r="R315" s="53" t="str">
        <f aca="false">IF($A315="","",IFERROR((AVERAGE($O$256:$O315)-Config!$B$7/Config!$B$6)/STDEV($O$256:$O315)*SQRT(Config!$B$6),""))</f>
        <v/>
      </c>
      <c r="S315" s="47" t="n">
        <f aca="false">IF($H315="",$S314,IF($H315&gt;0,$S314+1,0))</f>
        <v>1</v>
      </c>
      <c r="T315" s="47" t="n">
        <f aca="false">IF($H315="",$T314,IF($H315&lt;0,$T314+1,0))</f>
        <v>0</v>
      </c>
    </row>
    <row r="316" customFormat="false" ht="15" hidden="false" customHeight="false" outlineLevel="0" collapsed="false">
      <c r="A316" s="54" t="n">
        <f aca="false">IF($A315="","",$A315+1)</f>
        <v>46547</v>
      </c>
      <c r="B316" s="5" t="str">
        <f aca="false">IF($A316="","",TEXT($A316,"ddd"))</f>
        <v>Wed</v>
      </c>
      <c r="C316" s="41" t="n">
        <f aca="false">IF($A316="","",COUNTIFS('Trade Log'!$L$4:$L$503,$A316))</f>
        <v>0</v>
      </c>
      <c r="D316" s="40" t="n">
        <f aca="false">IF($A316="","",SUMIFS('Trade Log'!$Q$4:$Q$503,'Trade Log'!$L$4:$L$503,$A316,'Trade Log'!$E$4:$E$503,"LONG"))</f>
        <v>0</v>
      </c>
      <c r="E316" s="40" t="n">
        <f aca="false">IF($A316="","",SUMIFS('Trade Log'!$Q$4:$Q$503,'Trade Log'!$L$4:$L$503,$A316,'Trade Log'!$E$4:$E$503,"SHORT"))</f>
        <v>0</v>
      </c>
      <c r="F316" s="40" t="n">
        <f aca="false">IF($A316="","",$D316+$E316)</f>
        <v>0</v>
      </c>
      <c r="G316" s="40" t="n">
        <f aca="false">IF($A316="","",SUMIFS('Trade Log'!$Y$4:$Y$503,'Trade Log'!$L$4:$L$503,$A316))</f>
        <v>0</v>
      </c>
      <c r="H316" s="40" t="str">
        <f aca="false">IF($A316="","",IF($C316=0,"",$F316-$G316))</f>
        <v/>
      </c>
      <c r="I316" s="40" t="n">
        <f aca="false">IF($A316="","",$I315+IF($H316="",0,$H316))</f>
        <v>23918.5521880349</v>
      </c>
      <c r="J316" s="40" t="n">
        <f aca="false">IF($A316="","",Config!$B$4+$I316)</f>
        <v>1023918.55218803</v>
      </c>
      <c r="K316" s="40" t="n">
        <f aca="false">IF($A316="","",MAX($J$4:$J316))</f>
        <v>1023918.55218803</v>
      </c>
      <c r="L316" s="40" t="n">
        <f aca="false">IF($A316="","",$J316-$K316)</f>
        <v>0</v>
      </c>
      <c r="M316" s="42" t="n">
        <f aca="false">IF(OR($A316="",$K316=0),"",$L316/$K316)</f>
        <v>0</v>
      </c>
      <c r="N316" s="40" t="n">
        <f aca="false">IF($A316="","",SUMIFS('Trade Log'!$K$4:$K$503,'Trade Log'!$H$4:$H$503,$A316))</f>
        <v>0</v>
      </c>
      <c r="O316" s="42" t="str">
        <f aca="false">IF(OR($A316="",$H316="",Config!$B$4=0),"",$H316/Config!$B$4)</f>
        <v/>
      </c>
      <c r="P316" s="40" t="n">
        <f aca="false">IF($A316="","",SUM($H$297:$H316))</f>
        <v>0</v>
      </c>
      <c r="Q316" s="53" t="str">
        <f aca="false">IF($A316="","",IFERROR((AVERAGE($O$297:$O316)-Config!$B$7/Config!$B$6)/STDEV($O$297:$O316)*SQRT(Config!$B$6),""))</f>
        <v/>
      </c>
      <c r="R316" s="53" t="str">
        <f aca="false">IF($A316="","",IFERROR((AVERAGE($O$257:$O316)-Config!$B$7/Config!$B$6)/STDEV($O$257:$O316)*SQRT(Config!$B$6),""))</f>
        <v/>
      </c>
      <c r="S316" s="47" t="n">
        <f aca="false">IF($H316="",$S315,IF($H316&gt;0,$S315+1,0))</f>
        <v>1</v>
      </c>
      <c r="T316" s="47" t="n">
        <f aca="false">IF($H316="",$T315,IF($H316&lt;0,$T315+1,0))</f>
        <v>0</v>
      </c>
    </row>
    <row r="317" customFormat="false" ht="15" hidden="false" customHeight="false" outlineLevel="0" collapsed="false">
      <c r="A317" s="54" t="n">
        <f aca="false">IF($A316="","",$A316+1)</f>
        <v>46548</v>
      </c>
      <c r="B317" s="5" t="str">
        <f aca="false">IF($A317="","",TEXT($A317,"ddd"))</f>
        <v>Thu</v>
      </c>
      <c r="C317" s="41" t="n">
        <f aca="false">IF($A317="","",COUNTIFS('Trade Log'!$L$4:$L$503,$A317))</f>
        <v>0</v>
      </c>
      <c r="D317" s="40" t="n">
        <f aca="false">IF($A317="","",SUMIFS('Trade Log'!$Q$4:$Q$503,'Trade Log'!$L$4:$L$503,$A317,'Trade Log'!$E$4:$E$503,"LONG"))</f>
        <v>0</v>
      </c>
      <c r="E317" s="40" t="n">
        <f aca="false">IF($A317="","",SUMIFS('Trade Log'!$Q$4:$Q$503,'Trade Log'!$L$4:$L$503,$A317,'Trade Log'!$E$4:$E$503,"SHORT"))</f>
        <v>0</v>
      </c>
      <c r="F317" s="40" t="n">
        <f aca="false">IF($A317="","",$D317+$E317)</f>
        <v>0</v>
      </c>
      <c r="G317" s="40" t="n">
        <f aca="false">IF($A317="","",SUMIFS('Trade Log'!$Y$4:$Y$503,'Trade Log'!$L$4:$L$503,$A317))</f>
        <v>0</v>
      </c>
      <c r="H317" s="40" t="str">
        <f aca="false">IF($A317="","",IF($C317=0,"",$F317-$G317))</f>
        <v/>
      </c>
      <c r="I317" s="40" t="n">
        <f aca="false">IF($A317="","",$I316+IF($H317="",0,$H317))</f>
        <v>23918.5521880349</v>
      </c>
      <c r="J317" s="40" t="n">
        <f aca="false">IF($A317="","",Config!$B$4+$I317)</f>
        <v>1023918.55218803</v>
      </c>
      <c r="K317" s="40" t="n">
        <f aca="false">IF($A317="","",MAX($J$4:$J317))</f>
        <v>1023918.55218803</v>
      </c>
      <c r="L317" s="40" t="n">
        <f aca="false">IF($A317="","",$J317-$K317)</f>
        <v>0</v>
      </c>
      <c r="M317" s="42" t="n">
        <f aca="false">IF(OR($A317="",$K317=0),"",$L317/$K317)</f>
        <v>0</v>
      </c>
      <c r="N317" s="40" t="n">
        <f aca="false">IF($A317="","",SUMIFS('Trade Log'!$K$4:$K$503,'Trade Log'!$H$4:$H$503,$A317))</f>
        <v>0</v>
      </c>
      <c r="O317" s="42" t="str">
        <f aca="false">IF(OR($A317="",$H317="",Config!$B$4=0),"",$H317/Config!$B$4)</f>
        <v/>
      </c>
      <c r="P317" s="40" t="n">
        <f aca="false">IF($A317="","",SUM($H$298:$H317))</f>
        <v>0</v>
      </c>
      <c r="Q317" s="53" t="str">
        <f aca="false">IF($A317="","",IFERROR((AVERAGE($O$298:$O317)-Config!$B$7/Config!$B$6)/STDEV($O$298:$O317)*SQRT(Config!$B$6),""))</f>
        <v/>
      </c>
      <c r="R317" s="53" t="str">
        <f aca="false">IF($A317="","",IFERROR((AVERAGE($O$258:$O317)-Config!$B$7/Config!$B$6)/STDEV($O$258:$O317)*SQRT(Config!$B$6),""))</f>
        <v/>
      </c>
      <c r="S317" s="47" t="n">
        <f aca="false">IF($H317="",$S316,IF($H317&gt;0,$S316+1,0))</f>
        <v>1</v>
      </c>
      <c r="T317" s="47" t="n">
        <f aca="false">IF($H317="",$T316,IF($H317&lt;0,$T316+1,0))</f>
        <v>0</v>
      </c>
    </row>
    <row r="318" customFormat="false" ht="15" hidden="false" customHeight="false" outlineLevel="0" collapsed="false">
      <c r="A318" s="54" t="n">
        <f aca="false">IF($A317="","",$A317+1)</f>
        <v>46549</v>
      </c>
      <c r="B318" s="5" t="str">
        <f aca="false">IF($A318="","",TEXT($A318,"ddd"))</f>
        <v>Fri</v>
      </c>
      <c r="C318" s="41" t="n">
        <f aca="false">IF($A318="","",COUNTIFS('Trade Log'!$L$4:$L$503,$A318))</f>
        <v>0</v>
      </c>
      <c r="D318" s="40" t="n">
        <f aca="false">IF($A318="","",SUMIFS('Trade Log'!$Q$4:$Q$503,'Trade Log'!$L$4:$L$503,$A318,'Trade Log'!$E$4:$E$503,"LONG"))</f>
        <v>0</v>
      </c>
      <c r="E318" s="40" t="n">
        <f aca="false">IF($A318="","",SUMIFS('Trade Log'!$Q$4:$Q$503,'Trade Log'!$L$4:$L$503,$A318,'Trade Log'!$E$4:$E$503,"SHORT"))</f>
        <v>0</v>
      </c>
      <c r="F318" s="40" t="n">
        <f aca="false">IF($A318="","",$D318+$E318)</f>
        <v>0</v>
      </c>
      <c r="G318" s="40" t="n">
        <f aca="false">IF($A318="","",SUMIFS('Trade Log'!$Y$4:$Y$503,'Trade Log'!$L$4:$L$503,$A318))</f>
        <v>0</v>
      </c>
      <c r="H318" s="40" t="str">
        <f aca="false">IF($A318="","",IF($C318=0,"",$F318-$G318))</f>
        <v/>
      </c>
      <c r="I318" s="40" t="n">
        <f aca="false">IF($A318="","",$I317+IF($H318="",0,$H318))</f>
        <v>23918.5521880349</v>
      </c>
      <c r="J318" s="40" t="n">
        <f aca="false">IF($A318="","",Config!$B$4+$I318)</f>
        <v>1023918.55218803</v>
      </c>
      <c r="K318" s="40" t="n">
        <f aca="false">IF($A318="","",MAX($J$4:$J318))</f>
        <v>1023918.55218803</v>
      </c>
      <c r="L318" s="40" t="n">
        <f aca="false">IF($A318="","",$J318-$K318)</f>
        <v>0</v>
      </c>
      <c r="M318" s="42" t="n">
        <f aca="false">IF(OR($A318="",$K318=0),"",$L318/$K318)</f>
        <v>0</v>
      </c>
      <c r="N318" s="40" t="n">
        <f aca="false">IF($A318="","",SUMIFS('Trade Log'!$K$4:$K$503,'Trade Log'!$H$4:$H$503,$A318))</f>
        <v>0</v>
      </c>
      <c r="O318" s="42" t="str">
        <f aca="false">IF(OR($A318="",$H318="",Config!$B$4=0),"",$H318/Config!$B$4)</f>
        <v/>
      </c>
      <c r="P318" s="40" t="n">
        <f aca="false">IF($A318="","",SUM($H$299:$H318))</f>
        <v>0</v>
      </c>
      <c r="Q318" s="53" t="str">
        <f aca="false">IF($A318="","",IFERROR((AVERAGE($O$299:$O318)-Config!$B$7/Config!$B$6)/STDEV($O$299:$O318)*SQRT(Config!$B$6),""))</f>
        <v/>
      </c>
      <c r="R318" s="53" t="str">
        <f aca="false">IF($A318="","",IFERROR((AVERAGE($O$259:$O318)-Config!$B$7/Config!$B$6)/STDEV($O$259:$O318)*SQRT(Config!$B$6),""))</f>
        <v/>
      </c>
      <c r="S318" s="47" t="n">
        <f aca="false">IF($H318="",$S317,IF($H318&gt;0,$S317+1,0))</f>
        <v>1</v>
      </c>
      <c r="T318" s="47" t="n">
        <f aca="false">IF($H318="",$T317,IF($H318&lt;0,$T317+1,0))</f>
        <v>0</v>
      </c>
    </row>
    <row r="319" customFormat="false" ht="15" hidden="false" customHeight="false" outlineLevel="0" collapsed="false">
      <c r="A319" s="54" t="n">
        <f aca="false">IF($A318="","",$A318+1)</f>
        <v>46550</v>
      </c>
      <c r="B319" s="5" t="str">
        <f aca="false">IF($A319="","",TEXT($A319,"ddd"))</f>
        <v>Sat</v>
      </c>
      <c r="C319" s="41" t="n">
        <f aca="false">IF($A319="","",COUNTIFS('Trade Log'!$L$4:$L$503,$A319))</f>
        <v>0</v>
      </c>
      <c r="D319" s="40" t="n">
        <f aca="false">IF($A319="","",SUMIFS('Trade Log'!$Q$4:$Q$503,'Trade Log'!$L$4:$L$503,$A319,'Trade Log'!$E$4:$E$503,"LONG"))</f>
        <v>0</v>
      </c>
      <c r="E319" s="40" t="n">
        <f aca="false">IF($A319="","",SUMIFS('Trade Log'!$Q$4:$Q$503,'Trade Log'!$L$4:$L$503,$A319,'Trade Log'!$E$4:$E$503,"SHORT"))</f>
        <v>0</v>
      </c>
      <c r="F319" s="40" t="n">
        <f aca="false">IF($A319="","",$D319+$E319)</f>
        <v>0</v>
      </c>
      <c r="G319" s="40" t="n">
        <f aca="false">IF($A319="","",SUMIFS('Trade Log'!$Y$4:$Y$503,'Trade Log'!$L$4:$L$503,$A319))</f>
        <v>0</v>
      </c>
      <c r="H319" s="40" t="str">
        <f aca="false">IF($A319="","",IF($C319=0,"",$F319-$G319))</f>
        <v/>
      </c>
      <c r="I319" s="40" t="n">
        <f aca="false">IF($A319="","",$I318+IF($H319="",0,$H319))</f>
        <v>23918.5521880349</v>
      </c>
      <c r="J319" s="40" t="n">
        <f aca="false">IF($A319="","",Config!$B$4+$I319)</f>
        <v>1023918.55218803</v>
      </c>
      <c r="K319" s="40" t="n">
        <f aca="false">IF($A319="","",MAX($J$4:$J319))</f>
        <v>1023918.55218803</v>
      </c>
      <c r="L319" s="40" t="n">
        <f aca="false">IF($A319="","",$J319-$K319)</f>
        <v>0</v>
      </c>
      <c r="M319" s="42" t="n">
        <f aca="false">IF(OR($A319="",$K319=0),"",$L319/$K319)</f>
        <v>0</v>
      </c>
      <c r="N319" s="40" t="n">
        <f aca="false">IF($A319="","",SUMIFS('Trade Log'!$K$4:$K$503,'Trade Log'!$H$4:$H$503,$A319))</f>
        <v>0</v>
      </c>
      <c r="O319" s="42" t="str">
        <f aca="false">IF(OR($A319="",$H319="",Config!$B$4=0),"",$H319/Config!$B$4)</f>
        <v/>
      </c>
      <c r="P319" s="40" t="n">
        <f aca="false">IF($A319="","",SUM($H$300:$H319))</f>
        <v>0</v>
      </c>
      <c r="Q319" s="53" t="str">
        <f aca="false">IF($A319="","",IFERROR((AVERAGE($O$300:$O319)-Config!$B$7/Config!$B$6)/STDEV($O$300:$O319)*SQRT(Config!$B$6),""))</f>
        <v/>
      </c>
      <c r="R319" s="53" t="str">
        <f aca="false">IF($A319="","",IFERROR((AVERAGE($O$260:$O319)-Config!$B$7/Config!$B$6)/STDEV($O$260:$O319)*SQRT(Config!$B$6),""))</f>
        <v/>
      </c>
      <c r="S319" s="47" t="n">
        <f aca="false">IF($H319="",$S318,IF($H319&gt;0,$S318+1,0))</f>
        <v>1</v>
      </c>
      <c r="T319" s="47" t="n">
        <f aca="false">IF($H319="",$T318,IF($H319&lt;0,$T318+1,0))</f>
        <v>0</v>
      </c>
    </row>
    <row r="320" customFormat="false" ht="15" hidden="false" customHeight="false" outlineLevel="0" collapsed="false">
      <c r="A320" s="54" t="n">
        <f aca="false">IF($A319="","",$A319+1)</f>
        <v>46551</v>
      </c>
      <c r="B320" s="5" t="str">
        <f aca="false">IF($A320="","",TEXT($A320,"ddd"))</f>
        <v>Sun</v>
      </c>
      <c r="C320" s="41" t="n">
        <f aca="false">IF($A320="","",COUNTIFS('Trade Log'!$L$4:$L$503,$A320))</f>
        <v>0</v>
      </c>
      <c r="D320" s="40" t="n">
        <f aca="false">IF($A320="","",SUMIFS('Trade Log'!$Q$4:$Q$503,'Trade Log'!$L$4:$L$503,$A320,'Trade Log'!$E$4:$E$503,"LONG"))</f>
        <v>0</v>
      </c>
      <c r="E320" s="40" t="n">
        <f aca="false">IF($A320="","",SUMIFS('Trade Log'!$Q$4:$Q$503,'Trade Log'!$L$4:$L$503,$A320,'Trade Log'!$E$4:$E$503,"SHORT"))</f>
        <v>0</v>
      </c>
      <c r="F320" s="40" t="n">
        <f aca="false">IF($A320="","",$D320+$E320)</f>
        <v>0</v>
      </c>
      <c r="G320" s="40" t="n">
        <f aca="false">IF($A320="","",SUMIFS('Trade Log'!$Y$4:$Y$503,'Trade Log'!$L$4:$L$503,$A320))</f>
        <v>0</v>
      </c>
      <c r="H320" s="40" t="str">
        <f aca="false">IF($A320="","",IF($C320=0,"",$F320-$G320))</f>
        <v/>
      </c>
      <c r="I320" s="40" t="n">
        <f aca="false">IF($A320="","",$I319+IF($H320="",0,$H320))</f>
        <v>23918.5521880349</v>
      </c>
      <c r="J320" s="40" t="n">
        <f aca="false">IF($A320="","",Config!$B$4+$I320)</f>
        <v>1023918.55218803</v>
      </c>
      <c r="K320" s="40" t="n">
        <f aca="false">IF($A320="","",MAX($J$4:$J320))</f>
        <v>1023918.55218803</v>
      </c>
      <c r="L320" s="40" t="n">
        <f aca="false">IF($A320="","",$J320-$K320)</f>
        <v>0</v>
      </c>
      <c r="M320" s="42" t="n">
        <f aca="false">IF(OR($A320="",$K320=0),"",$L320/$K320)</f>
        <v>0</v>
      </c>
      <c r="N320" s="40" t="n">
        <f aca="false">IF($A320="","",SUMIFS('Trade Log'!$K$4:$K$503,'Trade Log'!$H$4:$H$503,$A320))</f>
        <v>0</v>
      </c>
      <c r="O320" s="42" t="str">
        <f aca="false">IF(OR($A320="",$H320="",Config!$B$4=0),"",$H320/Config!$B$4)</f>
        <v/>
      </c>
      <c r="P320" s="40" t="n">
        <f aca="false">IF($A320="","",SUM($H$301:$H320))</f>
        <v>0</v>
      </c>
      <c r="Q320" s="53" t="str">
        <f aca="false">IF($A320="","",IFERROR((AVERAGE($O$301:$O320)-Config!$B$7/Config!$B$6)/STDEV($O$301:$O320)*SQRT(Config!$B$6),""))</f>
        <v/>
      </c>
      <c r="R320" s="53" t="str">
        <f aca="false">IF($A320="","",IFERROR((AVERAGE($O$261:$O320)-Config!$B$7/Config!$B$6)/STDEV($O$261:$O320)*SQRT(Config!$B$6),""))</f>
        <v/>
      </c>
      <c r="S320" s="47" t="n">
        <f aca="false">IF($H320="",$S319,IF($H320&gt;0,$S319+1,0))</f>
        <v>1</v>
      </c>
      <c r="T320" s="47" t="n">
        <f aca="false">IF($H320="",$T319,IF($H320&lt;0,$T319+1,0))</f>
        <v>0</v>
      </c>
    </row>
    <row r="321" customFormat="false" ht="15" hidden="false" customHeight="false" outlineLevel="0" collapsed="false">
      <c r="A321" s="54" t="n">
        <f aca="false">IF($A320="","",$A320+1)</f>
        <v>46552</v>
      </c>
      <c r="B321" s="5" t="str">
        <f aca="false">IF($A321="","",TEXT($A321,"ddd"))</f>
        <v>Mon</v>
      </c>
      <c r="C321" s="41" t="n">
        <f aca="false">IF($A321="","",COUNTIFS('Trade Log'!$L$4:$L$503,$A321))</f>
        <v>0</v>
      </c>
      <c r="D321" s="40" t="n">
        <f aca="false">IF($A321="","",SUMIFS('Trade Log'!$Q$4:$Q$503,'Trade Log'!$L$4:$L$503,$A321,'Trade Log'!$E$4:$E$503,"LONG"))</f>
        <v>0</v>
      </c>
      <c r="E321" s="40" t="n">
        <f aca="false">IF($A321="","",SUMIFS('Trade Log'!$Q$4:$Q$503,'Trade Log'!$L$4:$L$503,$A321,'Trade Log'!$E$4:$E$503,"SHORT"))</f>
        <v>0</v>
      </c>
      <c r="F321" s="40" t="n">
        <f aca="false">IF($A321="","",$D321+$E321)</f>
        <v>0</v>
      </c>
      <c r="G321" s="40" t="n">
        <f aca="false">IF($A321="","",SUMIFS('Trade Log'!$Y$4:$Y$503,'Trade Log'!$L$4:$L$503,$A321))</f>
        <v>0</v>
      </c>
      <c r="H321" s="40" t="str">
        <f aca="false">IF($A321="","",IF($C321=0,"",$F321-$G321))</f>
        <v/>
      </c>
      <c r="I321" s="40" t="n">
        <f aca="false">IF($A321="","",$I320+IF($H321="",0,$H321))</f>
        <v>23918.5521880349</v>
      </c>
      <c r="J321" s="40" t="n">
        <f aca="false">IF($A321="","",Config!$B$4+$I321)</f>
        <v>1023918.55218803</v>
      </c>
      <c r="K321" s="40" t="n">
        <f aca="false">IF($A321="","",MAX($J$4:$J321))</f>
        <v>1023918.55218803</v>
      </c>
      <c r="L321" s="40" t="n">
        <f aca="false">IF($A321="","",$J321-$K321)</f>
        <v>0</v>
      </c>
      <c r="M321" s="42" t="n">
        <f aca="false">IF(OR($A321="",$K321=0),"",$L321/$K321)</f>
        <v>0</v>
      </c>
      <c r="N321" s="40" t="n">
        <f aca="false">IF($A321="","",SUMIFS('Trade Log'!$K$4:$K$503,'Trade Log'!$H$4:$H$503,$A321))</f>
        <v>0</v>
      </c>
      <c r="O321" s="42" t="str">
        <f aca="false">IF(OR($A321="",$H321="",Config!$B$4=0),"",$H321/Config!$B$4)</f>
        <v/>
      </c>
      <c r="P321" s="40" t="n">
        <f aca="false">IF($A321="","",SUM($H$302:$H321))</f>
        <v>0</v>
      </c>
      <c r="Q321" s="53" t="str">
        <f aca="false">IF($A321="","",IFERROR((AVERAGE($O$302:$O321)-Config!$B$7/Config!$B$6)/STDEV($O$302:$O321)*SQRT(Config!$B$6),""))</f>
        <v/>
      </c>
      <c r="R321" s="53" t="str">
        <f aca="false">IF($A321="","",IFERROR((AVERAGE($O$262:$O321)-Config!$B$7/Config!$B$6)/STDEV($O$262:$O321)*SQRT(Config!$B$6),""))</f>
        <v/>
      </c>
      <c r="S321" s="47" t="n">
        <f aca="false">IF($H321="",$S320,IF($H321&gt;0,$S320+1,0))</f>
        <v>1</v>
      </c>
      <c r="T321" s="47" t="n">
        <f aca="false">IF($H321="",$T320,IF($H321&lt;0,$T320+1,0))</f>
        <v>0</v>
      </c>
    </row>
    <row r="322" customFormat="false" ht="15" hidden="false" customHeight="false" outlineLevel="0" collapsed="false">
      <c r="A322" s="54" t="n">
        <f aca="false">IF($A321="","",$A321+1)</f>
        <v>46553</v>
      </c>
      <c r="B322" s="5" t="str">
        <f aca="false">IF($A322="","",TEXT($A322,"ddd"))</f>
        <v>Tue</v>
      </c>
      <c r="C322" s="41" t="n">
        <f aca="false">IF($A322="","",COUNTIFS('Trade Log'!$L$4:$L$503,$A322))</f>
        <v>0</v>
      </c>
      <c r="D322" s="40" t="n">
        <f aca="false">IF($A322="","",SUMIFS('Trade Log'!$Q$4:$Q$503,'Trade Log'!$L$4:$L$503,$A322,'Trade Log'!$E$4:$E$503,"LONG"))</f>
        <v>0</v>
      </c>
      <c r="E322" s="40" t="n">
        <f aca="false">IF($A322="","",SUMIFS('Trade Log'!$Q$4:$Q$503,'Trade Log'!$L$4:$L$503,$A322,'Trade Log'!$E$4:$E$503,"SHORT"))</f>
        <v>0</v>
      </c>
      <c r="F322" s="40" t="n">
        <f aca="false">IF($A322="","",$D322+$E322)</f>
        <v>0</v>
      </c>
      <c r="G322" s="40" t="n">
        <f aca="false">IF($A322="","",SUMIFS('Trade Log'!$Y$4:$Y$503,'Trade Log'!$L$4:$L$503,$A322))</f>
        <v>0</v>
      </c>
      <c r="H322" s="40" t="str">
        <f aca="false">IF($A322="","",IF($C322=0,"",$F322-$G322))</f>
        <v/>
      </c>
      <c r="I322" s="40" t="n">
        <f aca="false">IF($A322="","",$I321+IF($H322="",0,$H322))</f>
        <v>23918.5521880349</v>
      </c>
      <c r="J322" s="40" t="n">
        <f aca="false">IF($A322="","",Config!$B$4+$I322)</f>
        <v>1023918.55218803</v>
      </c>
      <c r="K322" s="40" t="n">
        <f aca="false">IF($A322="","",MAX($J$4:$J322))</f>
        <v>1023918.55218803</v>
      </c>
      <c r="L322" s="40" t="n">
        <f aca="false">IF($A322="","",$J322-$K322)</f>
        <v>0</v>
      </c>
      <c r="M322" s="42" t="n">
        <f aca="false">IF(OR($A322="",$K322=0),"",$L322/$K322)</f>
        <v>0</v>
      </c>
      <c r="N322" s="40" t="n">
        <f aca="false">IF($A322="","",SUMIFS('Trade Log'!$K$4:$K$503,'Trade Log'!$H$4:$H$503,$A322))</f>
        <v>0</v>
      </c>
      <c r="O322" s="42" t="str">
        <f aca="false">IF(OR($A322="",$H322="",Config!$B$4=0),"",$H322/Config!$B$4)</f>
        <v/>
      </c>
      <c r="P322" s="40" t="n">
        <f aca="false">IF($A322="","",SUM($H$303:$H322))</f>
        <v>0</v>
      </c>
      <c r="Q322" s="53" t="str">
        <f aca="false">IF($A322="","",IFERROR((AVERAGE($O$303:$O322)-Config!$B$7/Config!$B$6)/STDEV($O$303:$O322)*SQRT(Config!$B$6),""))</f>
        <v/>
      </c>
      <c r="R322" s="53" t="str">
        <f aca="false">IF($A322="","",IFERROR((AVERAGE($O$263:$O322)-Config!$B$7/Config!$B$6)/STDEV($O$263:$O322)*SQRT(Config!$B$6),""))</f>
        <v/>
      </c>
      <c r="S322" s="47" t="n">
        <f aca="false">IF($H322="",$S321,IF($H322&gt;0,$S321+1,0))</f>
        <v>1</v>
      </c>
      <c r="T322" s="47" t="n">
        <f aca="false">IF($H322="",$T321,IF($H322&lt;0,$T321+1,0))</f>
        <v>0</v>
      </c>
    </row>
    <row r="323" customFormat="false" ht="15" hidden="false" customHeight="false" outlineLevel="0" collapsed="false">
      <c r="A323" s="54" t="n">
        <f aca="false">IF($A322="","",$A322+1)</f>
        <v>46554</v>
      </c>
      <c r="B323" s="5" t="str">
        <f aca="false">IF($A323="","",TEXT($A323,"ddd"))</f>
        <v>Wed</v>
      </c>
      <c r="C323" s="41" t="n">
        <f aca="false">IF($A323="","",COUNTIFS('Trade Log'!$L$4:$L$503,$A323))</f>
        <v>0</v>
      </c>
      <c r="D323" s="40" t="n">
        <f aca="false">IF($A323="","",SUMIFS('Trade Log'!$Q$4:$Q$503,'Trade Log'!$L$4:$L$503,$A323,'Trade Log'!$E$4:$E$503,"LONG"))</f>
        <v>0</v>
      </c>
      <c r="E323" s="40" t="n">
        <f aca="false">IF($A323="","",SUMIFS('Trade Log'!$Q$4:$Q$503,'Trade Log'!$L$4:$L$503,$A323,'Trade Log'!$E$4:$E$503,"SHORT"))</f>
        <v>0</v>
      </c>
      <c r="F323" s="40" t="n">
        <f aca="false">IF($A323="","",$D323+$E323)</f>
        <v>0</v>
      </c>
      <c r="G323" s="40" t="n">
        <f aca="false">IF($A323="","",SUMIFS('Trade Log'!$Y$4:$Y$503,'Trade Log'!$L$4:$L$503,$A323))</f>
        <v>0</v>
      </c>
      <c r="H323" s="40" t="str">
        <f aca="false">IF($A323="","",IF($C323=0,"",$F323-$G323))</f>
        <v/>
      </c>
      <c r="I323" s="40" t="n">
        <f aca="false">IF($A323="","",$I322+IF($H323="",0,$H323))</f>
        <v>23918.5521880349</v>
      </c>
      <c r="J323" s="40" t="n">
        <f aca="false">IF($A323="","",Config!$B$4+$I323)</f>
        <v>1023918.55218803</v>
      </c>
      <c r="K323" s="40" t="n">
        <f aca="false">IF($A323="","",MAX($J$4:$J323))</f>
        <v>1023918.55218803</v>
      </c>
      <c r="L323" s="40" t="n">
        <f aca="false">IF($A323="","",$J323-$K323)</f>
        <v>0</v>
      </c>
      <c r="M323" s="42" t="n">
        <f aca="false">IF(OR($A323="",$K323=0),"",$L323/$K323)</f>
        <v>0</v>
      </c>
      <c r="N323" s="40" t="n">
        <f aca="false">IF($A323="","",SUMIFS('Trade Log'!$K$4:$K$503,'Trade Log'!$H$4:$H$503,$A323))</f>
        <v>0</v>
      </c>
      <c r="O323" s="42" t="str">
        <f aca="false">IF(OR($A323="",$H323="",Config!$B$4=0),"",$H323/Config!$B$4)</f>
        <v/>
      </c>
      <c r="P323" s="40" t="n">
        <f aca="false">IF($A323="","",SUM($H$304:$H323))</f>
        <v>0</v>
      </c>
      <c r="Q323" s="53" t="str">
        <f aca="false">IF($A323="","",IFERROR((AVERAGE($O$304:$O323)-Config!$B$7/Config!$B$6)/STDEV($O$304:$O323)*SQRT(Config!$B$6),""))</f>
        <v/>
      </c>
      <c r="R323" s="53" t="str">
        <f aca="false">IF($A323="","",IFERROR((AVERAGE($O$264:$O323)-Config!$B$7/Config!$B$6)/STDEV($O$264:$O323)*SQRT(Config!$B$6),""))</f>
        <v/>
      </c>
      <c r="S323" s="47" t="n">
        <f aca="false">IF($H323="",$S322,IF($H323&gt;0,$S322+1,0))</f>
        <v>1</v>
      </c>
      <c r="T323" s="47" t="n">
        <f aca="false">IF($H323="",$T322,IF($H323&lt;0,$T322+1,0))</f>
        <v>0</v>
      </c>
    </row>
    <row r="324" customFormat="false" ht="15" hidden="false" customHeight="false" outlineLevel="0" collapsed="false">
      <c r="A324" s="54" t="n">
        <f aca="false">IF($A323="","",$A323+1)</f>
        <v>46555</v>
      </c>
      <c r="B324" s="5" t="str">
        <f aca="false">IF($A324="","",TEXT($A324,"ddd"))</f>
        <v>Thu</v>
      </c>
      <c r="C324" s="41" t="n">
        <f aca="false">IF($A324="","",COUNTIFS('Trade Log'!$L$4:$L$503,$A324))</f>
        <v>0</v>
      </c>
      <c r="D324" s="40" t="n">
        <f aca="false">IF($A324="","",SUMIFS('Trade Log'!$Q$4:$Q$503,'Trade Log'!$L$4:$L$503,$A324,'Trade Log'!$E$4:$E$503,"LONG"))</f>
        <v>0</v>
      </c>
      <c r="E324" s="40" t="n">
        <f aca="false">IF($A324="","",SUMIFS('Trade Log'!$Q$4:$Q$503,'Trade Log'!$L$4:$L$503,$A324,'Trade Log'!$E$4:$E$503,"SHORT"))</f>
        <v>0</v>
      </c>
      <c r="F324" s="40" t="n">
        <f aca="false">IF($A324="","",$D324+$E324)</f>
        <v>0</v>
      </c>
      <c r="G324" s="40" t="n">
        <f aca="false">IF($A324="","",SUMIFS('Trade Log'!$Y$4:$Y$503,'Trade Log'!$L$4:$L$503,$A324))</f>
        <v>0</v>
      </c>
      <c r="H324" s="40" t="str">
        <f aca="false">IF($A324="","",IF($C324=0,"",$F324-$G324))</f>
        <v/>
      </c>
      <c r="I324" s="40" t="n">
        <f aca="false">IF($A324="","",$I323+IF($H324="",0,$H324))</f>
        <v>23918.5521880349</v>
      </c>
      <c r="J324" s="40" t="n">
        <f aca="false">IF($A324="","",Config!$B$4+$I324)</f>
        <v>1023918.55218803</v>
      </c>
      <c r="K324" s="40" t="n">
        <f aca="false">IF($A324="","",MAX($J$4:$J324))</f>
        <v>1023918.55218803</v>
      </c>
      <c r="L324" s="40" t="n">
        <f aca="false">IF($A324="","",$J324-$K324)</f>
        <v>0</v>
      </c>
      <c r="M324" s="42" t="n">
        <f aca="false">IF(OR($A324="",$K324=0),"",$L324/$K324)</f>
        <v>0</v>
      </c>
      <c r="N324" s="40" t="n">
        <f aca="false">IF($A324="","",SUMIFS('Trade Log'!$K$4:$K$503,'Trade Log'!$H$4:$H$503,$A324))</f>
        <v>0</v>
      </c>
      <c r="O324" s="42" t="str">
        <f aca="false">IF(OR($A324="",$H324="",Config!$B$4=0),"",$H324/Config!$B$4)</f>
        <v/>
      </c>
      <c r="P324" s="40" t="n">
        <f aca="false">IF($A324="","",SUM($H$305:$H324))</f>
        <v>0</v>
      </c>
      <c r="Q324" s="53" t="str">
        <f aca="false">IF($A324="","",IFERROR((AVERAGE($O$305:$O324)-Config!$B$7/Config!$B$6)/STDEV($O$305:$O324)*SQRT(Config!$B$6),""))</f>
        <v/>
      </c>
      <c r="R324" s="53" t="str">
        <f aca="false">IF($A324="","",IFERROR((AVERAGE($O$265:$O324)-Config!$B$7/Config!$B$6)/STDEV($O$265:$O324)*SQRT(Config!$B$6),""))</f>
        <v/>
      </c>
      <c r="S324" s="47" t="n">
        <f aca="false">IF($H324="",$S323,IF($H324&gt;0,$S323+1,0))</f>
        <v>1</v>
      </c>
      <c r="T324" s="47" t="n">
        <f aca="false">IF($H324="",$T323,IF($H324&lt;0,$T323+1,0))</f>
        <v>0</v>
      </c>
    </row>
    <row r="325" customFormat="false" ht="15" hidden="false" customHeight="false" outlineLevel="0" collapsed="false">
      <c r="A325" s="54" t="n">
        <f aca="false">IF($A324="","",$A324+1)</f>
        <v>46556</v>
      </c>
      <c r="B325" s="5" t="str">
        <f aca="false">IF($A325="","",TEXT($A325,"ddd"))</f>
        <v>Fri</v>
      </c>
      <c r="C325" s="41" t="n">
        <f aca="false">IF($A325="","",COUNTIFS('Trade Log'!$L$4:$L$503,$A325))</f>
        <v>0</v>
      </c>
      <c r="D325" s="40" t="n">
        <f aca="false">IF($A325="","",SUMIFS('Trade Log'!$Q$4:$Q$503,'Trade Log'!$L$4:$L$503,$A325,'Trade Log'!$E$4:$E$503,"LONG"))</f>
        <v>0</v>
      </c>
      <c r="E325" s="40" t="n">
        <f aca="false">IF($A325="","",SUMIFS('Trade Log'!$Q$4:$Q$503,'Trade Log'!$L$4:$L$503,$A325,'Trade Log'!$E$4:$E$503,"SHORT"))</f>
        <v>0</v>
      </c>
      <c r="F325" s="40" t="n">
        <f aca="false">IF($A325="","",$D325+$E325)</f>
        <v>0</v>
      </c>
      <c r="G325" s="40" t="n">
        <f aca="false">IF($A325="","",SUMIFS('Trade Log'!$Y$4:$Y$503,'Trade Log'!$L$4:$L$503,$A325))</f>
        <v>0</v>
      </c>
      <c r="H325" s="40" t="str">
        <f aca="false">IF($A325="","",IF($C325=0,"",$F325-$G325))</f>
        <v/>
      </c>
      <c r="I325" s="40" t="n">
        <f aca="false">IF($A325="","",$I324+IF($H325="",0,$H325))</f>
        <v>23918.5521880349</v>
      </c>
      <c r="J325" s="40" t="n">
        <f aca="false">IF($A325="","",Config!$B$4+$I325)</f>
        <v>1023918.55218803</v>
      </c>
      <c r="K325" s="40" t="n">
        <f aca="false">IF($A325="","",MAX($J$4:$J325))</f>
        <v>1023918.55218803</v>
      </c>
      <c r="L325" s="40" t="n">
        <f aca="false">IF($A325="","",$J325-$K325)</f>
        <v>0</v>
      </c>
      <c r="M325" s="42" t="n">
        <f aca="false">IF(OR($A325="",$K325=0),"",$L325/$K325)</f>
        <v>0</v>
      </c>
      <c r="N325" s="40" t="n">
        <f aca="false">IF($A325="","",SUMIFS('Trade Log'!$K$4:$K$503,'Trade Log'!$H$4:$H$503,$A325))</f>
        <v>0</v>
      </c>
      <c r="O325" s="42" t="str">
        <f aca="false">IF(OR($A325="",$H325="",Config!$B$4=0),"",$H325/Config!$B$4)</f>
        <v/>
      </c>
      <c r="P325" s="40" t="n">
        <f aca="false">IF($A325="","",SUM($H$306:$H325))</f>
        <v>0</v>
      </c>
      <c r="Q325" s="53" t="str">
        <f aca="false">IF($A325="","",IFERROR((AVERAGE($O$306:$O325)-Config!$B$7/Config!$B$6)/STDEV($O$306:$O325)*SQRT(Config!$B$6),""))</f>
        <v/>
      </c>
      <c r="R325" s="53" t="str">
        <f aca="false">IF($A325="","",IFERROR((AVERAGE($O$266:$O325)-Config!$B$7/Config!$B$6)/STDEV($O$266:$O325)*SQRT(Config!$B$6),""))</f>
        <v/>
      </c>
      <c r="S325" s="47" t="n">
        <f aca="false">IF($H325="",$S324,IF($H325&gt;0,$S324+1,0))</f>
        <v>1</v>
      </c>
      <c r="T325" s="47" t="n">
        <f aca="false">IF($H325="",$T324,IF($H325&lt;0,$T324+1,0))</f>
        <v>0</v>
      </c>
    </row>
    <row r="326" customFormat="false" ht="15" hidden="false" customHeight="false" outlineLevel="0" collapsed="false">
      <c r="A326" s="54" t="n">
        <f aca="false">IF($A325="","",$A325+1)</f>
        <v>46557</v>
      </c>
      <c r="B326" s="5" t="str">
        <f aca="false">IF($A326="","",TEXT($A326,"ddd"))</f>
        <v>Sat</v>
      </c>
      <c r="C326" s="41" t="n">
        <f aca="false">IF($A326="","",COUNTIFS('Trade Log'!$L$4:$L$503,$A326))</f>
        <v>0</v>
      </c>
      <c r="D326" s="40" t="n">
        <f aca="false">IF($A326="","",SUMIFS('Trade Log'!$Q$4:$Q$503,'Trade Log'!$L$4:$L$503,$A326,'Trade Log'!$E$4:$E$503,"LONG"))</f>
        <v>0</v>
      </c>
      <c r="E326" s="40" t="n">
        <f aca="false">IF($A326="","",SUMIFS('Trade Log'!$Q$4:$Q$503,'Trade Log'!$L$4:$L$503,$A326,'Trade Log'!$E$4:$E$503,"SHORT"))</f>
        <v>0</v>
      </c>
      <c r="F326" s="40" t="n">
        <f aca="false">IF($A326="","",$D326+$E326)</f>
        <v>0</v>
      </c>
      <c r="G326" s="40" t="n">
        <f aca="false">IF($A326="","",SUMIFS('Trade Log'!$Y$4:$Y$503,'Trade Log'!$L$4:$L$503,$A326))</f>
        <v>0</v>
      </c>
      <c r="H326" s="40" t="str">
        <f aca="false">IF($A326="","",IF($C326=0,"",$F326-$G326))</f>
        <v/>
      </c>
      <c r="I326" s="40" t="n">
        <f aca="false">IF($A326="","",$I325+IF($H326="",0,$H326))</f>
        <v>23918.5521880349</v>
      </c>
      <c r="J326" s="40" t="n">
        <f aca="false">IF($A326="","",Config!$B$4+$I326)</f>
        <v>1023918.55218803</v>
      </c>
      <c r="K326" s="40" t="n">
        <f aca="false">IF($A326="","",MAX($J$4:$J326))</f>
        <v>1023918.55218803</v>
      </c>
      <c r="L326" s="40" t="n">
        <f aca="false">IF($A326="","",$J326-$K326)</f>
        <v>0</v>
      </c>
      <c r="M326" s="42" t="n">
        <f aca="false">IF(OR($A326="",$K326=0),"",$L326/$K326)</f>
        <v>0</v>
      </c>
      <c r="N326" s="40" t="n">
        <f aca="false">IF($A326="","",SUMIFS('Trade Log'!$K$4:$K$503,'Trade Log'!$H$4:$H$503,$A326))</f>
        <v>0</v>
      </c>
      <c r="O326" s="42" t="str">
        <f aca="false">IF(OR($A326="",$H326="",Config!$B$4=0),"",$H326/Config!$B$4)</f>
        <v/>
      </c>
      <c r="P326" s="40" t="n">
        <f aca="false">IF($A326="","",SUM($H$307:$H326))</f>
        <v>0</v>
      </c>
      <c r="Q326" s="53" t="str">
        <f aca="false">IF($A326="","",IFERROR((AVERAGE($O$307:$O326)-Config!$B$7/Config!$B$6)/STDEV($O$307:$O326)*SQRT(Config!$B$6),""))</f>
        <v/>
      </c>
      <c r="R326" s="53" t="str">
        <f aca="false">IF($A326="","",IFERROR((AVERAGE($O$267:$O326)-Config!$B$7/Config!$B$6)/STDEV($O$267:$O326)*SQRT(Config!$B$6),""))</f>
        <v/>
      </c>
      <c r="S326" s="47" t="n">
        <f aca="false">IF($H326="",$S325,IF($H326&gt;0,$S325+1,0))</f>
        <v>1</v>
      </c>
      <c r="T326" s="47" t="n">
        <f aca="false">IF($H326="",$T325,IF($H326&lt;0,$T325+1,0))</f>
        <v>0</v>
      </c>
    </row>
    <row r="327" customFormat="false" ht="15" hidden="false" customHeight="false" outlineLevel="0" collapsed="false">
      <c r="A327" s="54" t="n">
        <f aca="false">IF($A326="","",$A326+1)</f>
        <v>46558</v>
      </c>
      <c r="B327" s="5" t="str">
        <f aca="false">IF($A327="","",TEXT($A327,"ddd"))</f>
        <v>Sun</v>
      </c>
      <c r="C327" s="41" t="n">
        <f aca="false">IF($A327="","",COUNTIFS('Trade Log'!$L$4:$L$503,$A327))</f>
        <v>0</v>
      </c>
      <c r="D327" s="40" t="n">
        <f aca="false">IF($A327="","",SUMIFS('Trade Log'!$Q$4:$Q$503,'Trade Log'!$L$4:$L$503,$A327,'Trade Log'!$E$4:$E$503,"LONG"))</f>
        <v>0</v>
      </c>
      <c r="E327" s="40" t="n">
        <f aca="false">IF($A327="","",SUMIFS('Trade Log'!$Q$4:$Q$503,'Trade Log'!$L$4:$L$503,$A327,'Trade Log'!$E$4:$E$503,"SHORT"))</f>
        <v>0</v>
      </c>
      <c r="F327" s="40" t="n">
        <f aca="false">IF($A327="","",$D327+$E327)</f>
        <v>0</v>
      </c>
      <c r="G327" s="40" t="n">
        <f aca="false">IF($A327="","",SUMIFS('Trade Log'!$Y$4:$Y$503,'Trade Log'!$L$4:$L$503,$A327))</f>
        <v>0</v>
      </c>
      <c r="H327" s="40" t="str">
        <f aca="false">IF($A327="","",IF($C327=0,"",$F327-$G327))</f>
        <v/>
      </c>
      <c r="I327" s="40" t="n">
        <f aca="false">IF($A327="","",$I326+IF($H327="",0,$H327))</f>
        <v>23918.5521880349</v>
      </c>
      <c r="J327" s="40" t="n">
        <f aca="false">IF($A327="","",Config!$B$4+$I327)</f>
        <v>1023918.55218803</v>
      </c>
      <c r="K327" s="40" t="n">
        <f aca="false">IF($A327="","",MAX($J$4:$J327))</f>
        <v>1023918.55218803</v>
      </c>
      <c r="L327" s="40" t="n">
        <f aca="false">IF($A327="","",$J327-$K327)</f>
        <v>0</v>
      </c>
      <c r="M327" s="42" t="n">
        <f aca="false">IF(OR($A327="",$K327=0),"",$L327/$K327)</f>
        <v>0</v>
      </c>
      <c r="N327" s="40" t="n">
        <f aca="false">IF($A327="","",SUMIFS('Trade Log'!$K$4:$K$503,'Trade Log'!$H$4:$H$503,$A327))</f>
        <v>0</v>
      </c>
      <c r="O327" s="42" t="str">
        <f aca="false">IF(OR($A327="",$H327="",Config!$B$4=0),"",$H327/Config!$B$4)</f>
        <v/>
      </c>
      <c r="P327" s="40" t="n">
        <f aca="false">IF($A327="","",SUM($H$308:$H327))</f>
        <v>0</v>
      </c>
      <c r="Q327" s="53" t="str">
        <f aca="false">IF($A327="","",IFERROR((AVERAGE($O$308:$O327)-Config!$B$7/Config!$B$6)/STDEV($O$308:$O327)*SQRT(Config!$B$6),""))</f>
        <v/>
      </c>
      <c r="R327" s="53" t="str">
        <f aca="false">IF($A327="","",IFERROR((AVERAGE($O$268:$O327)-Config!$B$7/Config!$B$6)/STDEV($O$268:$O327)*SQRT(Config!$B$6),""))</f>
        <v/>
      </c>
      <c r="S327" s="47" t="n">
        <f aca="false">IF($H327="",$S326,IF($H327&gt;0,$S326+1,0))</f>
        <v>1</v>
      </c>
      <c r="T327" s="47" t="n">
        <f aca="false">IF($H327="",$T326,IF($H327&lt;0,$T326+1,0))</f>
        <v>0</v>
      </c>
    </row>
    <row r="328" customFormat="false" ht="15" hidden="false" customHeight="false" outlineLevel="0" collapsed="false">
      <c r="A328" s="54" t="n">
        <f aca="false">IF($A327="","",$A327+1)</f>
        <v>46559</v>
      </c>
      <c r="B328" s="5" t="str">
        <f aca="false">IF($A328="","",TEXT($A328,"ddd"))</f>
        <v>Mon</v>
      </c>
      <c r="C328" s="41" t="n">
        <f aca="false">IF($A328="","",COUNTIFS('Trade Log'!$L$4:$L$503,$A328))</f>
        <v>0</v>
      </c>
      <c r="D328" s="40" t="n">
        <f aca="false">IF($A328="","",SUMIFS('Trade Log'!$Q$4:$Q$503,'Trade Log'!$L$4:$L$503,$A328,'Trade Log'!$E$4:$E$503,"LONG"))</f>
        <v>0</v>
      </c>
      <c r="E328" s="40" t="n">
        <f aca="false">IF($A328="","",SUMIFS('Trade Log'!$Q$4:$Q$503,'Trade Log'!$L$4:$L$503,$A328,'Trade Log'!$E$4:$E$503,"SHORT"))</f>
        <v>0</v>
      </c>
      <c r="F328" s="40" t="n">
        <f aca="false">IF($A328="","",$D328+$E328)</f>
        <v>0</v>
      </c>
      <c r="G328" s="40" t="n">
        <f aca="false">IF($A328="","",SUMIFS('Trade Log'!$Y$4:$Y$503,'Trade Log'!$L$4:$L$503,$A328))</f>
        <v>0</v>
      </c>
      <c r="H328" s="40" t="str">
        <f aca="false">IF($A328="","",IF($C328=0,"",$F328-$G328))</f>
        <v/>
      </c>
      <c r="I328" s="40" t="n">
        <f aca="false">IF($A328="","",$I327+IF($H328="",0,$H328))</f>
        <v>23918.5521880349</v>
      </c>
      <c r="J328" s="40" t="n">
        <f aca="false">IF($A328="","",Config!$B$4+$I328)</f>
        <v>1023918.55218803</v>
      </c>
      <c r="K328" s="40" t="n">
        <f aca="false">IF($A328="","",MAX($J$4:$J328))</f>
        <v>1023918.55218803</v>
      </c>
      <c r="L328" s="40" t="n">
        <f aca="false">IF($A328="","",$J328-$K328)</f>
        <v>0</v>
      </c>
      <c r="M328" s="42" t="n">
        <f aca="false">IF(OR($A328="",$K328=0),"",$L328/$K328)</f>
        <v>0</v>
      </c>
      <c r="N328" s="40" t="n">
        <f aca="false">IF($A328="","",SUMIFS('Trade Log'!$K$4:$K$503,'Trade Log'!$H$4:$H$503,$A328))</f>
        <v>0</v>
      </c>
      <c r="O328" s="42" t="str">
        <f aca="false">IF(OR($A328="",$H328="",Config!$B$4=0),"",$H328/Config!$B$4)</f>
        <v/>
      </c>
      <c r="P328" s="40" t="n">
        <f aca="false">IF($A328="","",SUM($H$309:$H328))</f>
        <v>0</v>
      </c>
      <c r="Q328" s="53" t="str">
        <f aca="false">IF($A328="","",IFERROR((AVERAGE($O$309:$O328)-Config!$B$7/Config!$B$6)/STDEV($O$309:$O328)*SQRT(Config!$B$6),""))</f>
        <v/>
      </c>
      <c r="R328" s="53" t="str">
        <f aca="false">IF($A328="","",IFERROR((AVERAGE($O$269:$O328)-Config!$B$7/Config!$B$6)/STDEV($O$269:$O328)*SQRT(Config!$B$6),""))</f>
        <v/>
      </c>
      <c r="S328" s="47" t="n">
        <f aca="false">IF($H328="",$S327,IF($H328&gt;0,$S327+1,0))</f>
        <v>1</v>
      </c>
      <c r="T328" s="47" t="n">
        <f aca="false">IF($H328="",$T327,IF($H328&lt;0,$T327+1,0))</f>
        <v>0</v>
      </c>
    </row>
    <row r="329" customFormat="false" ht="15" hidden="false" customHeight="false" outlineLevel="0" collapsed="false">
      <c r="A329" s="54" t="n">
        <f aca="false">IF($A328="","",$A328+1)</f>
        <v>46560</v>
      </c>
      <c r="B329" s="5" t="str">
        <f aca="false">IF($A329="","",TEXT($A329,"ddd"))</f>
        <v>Tue</v>
      </c>
      <c r="C329" s="41" t="n">
        <f aca="false">IF($A329="","",COUNTIFS('Trade Log'!$L$4:$L$503,$A329))</f>
        <v>0</v>
      </c>
      <c r="D329" s="40" t="n">
        <f aca="false">IF($A329="","",SUMIFS('Trade Log'!$Q$4:$Q$503,'Trade Log'!$L$4:$L$503,$A329,'Trade Log'!$E$4:$E$503,"LONG"))</f>
        <v>0</v>
      </c>
      <c r="E329" s="40" t="n">
        <f aca="false">IF($A329="","",SUMIFS('Trade Log'!$Q$4:$Q$503,'Trade Log'!$L$4:$L$503,$A329,'Trade Log'!$E$4:$E$503,"SHORT"))</f>
        <v>0</v>
      </c>
      <c r="F329" s="40" t="n">
        <f aca="false">IF($A329="","",$D329+$E329)</f>
        <v>0</v>
      </c>
      <c r="G329" s="40" t="n">
        <f aca="false">IF($A329="","",SUMIFS('Trade Log'!$Y$4:$Y$503,'Trade Log'!$L$4:$L$503,$A329))</f>
        <v>0</v>
      </c>
      <c r="H329" s="40" t="str">
        <f aca="false">IF($A329="","",IF($C329=0,"",$F329-$G329))</f>
        <v/>
      </c>
      <c r="I329" s="40" t="n">
        <f aca="false">IF($A329="","",$I328+IF($H329="",0,$H329))</f>
        <v>23918.5521880349</v>
      </c>
      <c r="J329" s="40" t="n">
        <f aca="false">IF($A329="","",Config!$B$4+$I329)</f>
        <v>1023918.55218803</v>
      </c>
      <c r="K329" s="40" t="n">
        <f aca="false">IF($A329="","",MAX($J$4:$J329))</f>
        <v>1023918.55218803</v>
      </c>
      <c r="L329" s="40" t="n">
        <f aca="false">IF($A329="","",$J329-$K329)</f>
        <v>0</v>
      </c>
      <c r="M329" s="42" t="n">
        <f aca="false">IF(OR($A329="",$K329=0),"",$L329/$K329)</f>
        <v>0</v>
      </c>
      <c r="N329" s="40" t="n">
        <f aca="false">IF($A329="","",SUMIFS('Trade Log'!$K$4:$K$503,'Trade Log'!$H$4:$H$503,$A329))</f>
        <v>0</v>
      </c>
      <c r="O329" s="42" t="str">
        <f aca="false">IF(OR($A329="",$H329="",Config!$B$4=0),"",$H329/Config!$B$4)</f>
        <v/>
      </c>
      <c r="P329" s="40" t="n">
        <f aca="false">IF($A329="","",SUM($H$310:$H329))</f>
        <v>0</v>
      </c>
      <c r="Q329" s="53" t="str">
        <f aca="false">IF($A329="","",IFERROR((AVERAGE($O$310:$O329)-Config!$B$7/Config!$B$6)/STDEV($O$310:$O329)*SQRT(Config!$B$6),""))</f>
        <v/>
      </c>
      <c r="R329" s="53" t="str">
        <f aca="false">IF($A329="","",IFERROR((AVERAGE($O$270:$O329)-Config!$B$7/Config!$B$6)/STDEV($O$270:$O329)*SQRT(Config!$B$6),""))</f>
        <v/>
      </c>
      <c r="S329" s="47" t="n">
        <f aca="false">IF($H329="",$S328,IF($H329&gt;0,$S328+1,0))</f>
        <v>1</v>
      </c>
      <c r="T329" s="47" t="n">
        <f aca="false">IF($H329="",$T328,IF($H329&lt;0,$T328+1,0))</f>
        <v>0</v>
      </c>
    </row>
    <row r="330" customFormat="false" ht="15" hidden="false" customHeight="false" outlineLevel="0" collapsed="false">
      <c r="A330" s="54" t="n">
        <f aca="false">IF($A329="","",$A329+1)</f>
        <v>46561</v>
      </c>
      <c r="B330" s="5" t="str">
        <f aca="false">IF($A330="","",TEXT($A330,"ddd"))</f>
        <v>Wed</v>
      </c>
      <c r="C330" s="41" t="n">
        <f aca="false">IF($A330="","",COUNTIFS('Trade Log'!$L$4:$L$503,$A330))</f>
        <v>0</v>
      </c>
      <c r="D330" s="40" t="n">
        <f aca="false">IF($A330="","",SUMIFS('Trade Log'!$Q$4:$Q$503,'Trade Log'!$L$4:$L$503,$A330,'Trade Log'!$E$4:$E$503,"LONG"))</f>
        <v>0</v>
      </c>
      <c r="E330" s="40" t="n">
        <f aca="false">IF($A330="","",SUMIFS('Trade Log'!$Q$4:$Q$503,'Trade Log'!$L$4:$L$503,$A330,'Trade Log'!$E$4:$E$503,"SHORT"))</f>
        <v>0</v>
      </c>
      <c r="F330" s="40" t="n">
        <f aca="false">IF($A330="","",$D330+$E330)</f>
        <v>0</v>
      </c>
      <c r="G330" s="40" t="n">
        <f aca="false">IF($A330="","",SUMIFS('Trade Log'!$Y$4:$Y$503,'Trade Log'!$L$4:$L$503,$A330))</f>
        <v>0</v>
      </c>
      <c r="H330" s="40" t="str">
        <f aca="false">IF($A330="","",IF($C330=0,"",$F330-$G330))</f>
        <v/>
      </c>
      <c r="I330" s="40" t="n">
        <f aca="false">IF($A330="","",$I329+IF($H330="",0,$H330))</f>
        <v>23918.5521880349</v>
      </c>
      <c r="J330" s="40" t="n">
        <f aca="false">IF($A330="","",Config!$B$4+$I330)</f>
        <v>1023918.55218803</v>
      </c>
      <c r="K330" s="40" t="n">
        <f aca="false">IF($A330="","",MAX($J$4:$J330))</f>
        <v>1023918.55218803</v>
      </c>
      <c r="L330" s="40" t="n">
        <f aca="false">IF($A330="","",$J330-$K330)</f>
        <v>0</v>
      </c>
      <c r="M330" s="42" t="n">
        <f aca="false">IF(OR($A330="",$K330=0),"",$L330/$K330)</f>
        <v>0</v>
      </c>
      <c r="N330" s="40" t="n">
        <f aca="false">IF($A330="","",SUMIFS('Trade Log'!$K$4:$K$503,'Trade Log'!$H$4:$H$503,$A330))</f>
        <v>0</v>
      </c>
      <c r="O330" s="42" t="str">
        <f aca="false">IF(OR($A330="",$H330="",Config!$B$4=0),"",$H330/Config!$B$4)</f>
        <v/>
      </c>
      <c r="P330" s="40" t="n">
        <f aca="false">IF($A330="","",SUM($H$311:$H330))</f>
        <v>0</v>
      </c>
      <c r="Q330" s="53" t="str">
        <f aca="false">IF($A330="","",IFERROR((AVERAGE($O$311:$O330)-Config!$B$7/Config!$B$6)/STDEV($O$311:$O330)*SQRT(Config!$B$6),""))</f>
        <v/>
      </c>
      <c r="R330" s="53" t="str">
        <f aca="false">IF($A330="","",IFERROR((AVERAGE($O$271:$O330)-Config!$B$7/Config!$B$6)/STDEV($O$271:$O330)*SQRT(Config!$B$6),""))</f>
        <v/>
      </c>
      <c r="S330" s="47" t="n">
        <f aca="false">IF($H330="",$S329,IF($H330&gt;0,$S329+1,0))</f>
        <v>1</v>
      </c>
      <c r="T330" s="47" t="n">
        <f aca="false">IF($H330="",$T329,IF($H330&lt;0,$T329+1,0))</f>
        <v>0</v>
      </c>
    </row>
    <row r="331" customFormat="false" ht="15" hidden="false" customHeight="false" outlineLevel="0" collapsed="false">
      <c r="A331" s="54" t="n">
        <f aca="false">IF($A330="","",$A330+1)</f>
        <v>46562</v>
      </c>
      <c r="B331" s="5" t="str">
        <f aca="false">IF($A331="","",TEXT($A331,"ddd"))</f>
        <v>Thu</v>
      </c>
      <c r="C331" s="41" t="n">
        <f aca="false">IF($A331="","",COUNTIFS('Trade Log'!$L$4:$L$503,$A331))</f>
        <v>0</v>
      </c>
      <c r="D331" s="40" t="n">
        <f aca="false">IF($A331="","",SUMIFS('Trade Log'!$Q$4:$Q$503,'Trade Log'!$L$4:$L$503,$A331,'Trade Log'!$E$4:$E$503,"LONG"))</f>
        <v>0</v>
      </c>
      <c r="E331" s="40" t="n">
        <f aca="false">IF($A331="","",SUMIFS('Trade Log'!$Q$4:$Q$503,'Trade Log'!$L$4:$L$503,$A331,'Trade Log'!$E$4:$E$503,"SHORT"))</f>
        <v>0</v>
      </c>
      <c r="F331" s="40" t="n">
        <f aca="false">IF($A331="","",$D331+$E331)</f>
        <v>0</v>
      </c>
      <c r="G331" s="40" t="n">
        <f aca="false">IF($A331="","",SUMIFS('Trade Log'!$Y$4:$Y$503,'Trade Log'!$L$4:$L$503,$A331))</f>
        <v>0</v>
      </c>
      <c r="H331" s="40" t="str">
        <f aca="false">IF($A331="","",IF($C331=0,"",$F331-$G331))</f>
        <v/>
      </c>
      <c r="I331" s="40" t="n">
        <f aca="false">IF($A331="","",$I330+IF($H331="",0,$H331))</f>
        <v>23918.5521880349</v>
      </c>
      <c r="J331" s="40" t="n">
        <f aca="false">IF($A331="","",Config!$B$4+$I331)</f>
        <v>1023918.55218803</v>
      </c>
      <c r="K331" s="40" t="n">
        <f aca="false">IF($A331="","",MAX($J$4:$J331))</f>
        <v>1023918.55218803</v>
      </c>
      <c r="L331" s="40" t="n">
        <f aca="false">IF($A331="","",$J331-$K331)</f>
        <v>0</v>
      </c>
      <c r="M331" s="42" t="n">
        <f aca="false">IF(OR($A331="",$K331=0),"",$L331/$K331)</f>
        <v>0</v>
      </c>
      <c r="N331" s="40" t="n">
        <f aca="false">IF($A331="","",SUMIFS('Trade Log'!$K$4:$K$503,'Trade Log'!$H$4:$H$503,$A331))</f>
        <v>0</v>
      </c>
      <c r="O331" s="42" t="str">
        <f aca="false">IF(OR($A331="",$H331="",Config!$B$4=0),"",$H331/Config!$B$4)</f>
        <v/>
      </c>
      <c r="P331" s="40" t="n">
        <f aca="false">IF($A331="","",SUM($H$312:$H331))</f>
        <v>0</v>
      </c>
      <c r="Q331" s="53" t="str">
        <f aca="false">IF($A331="","",IFERROR((AVERAGE($O$312:$O331)-Config!$B$7/Config!$B$6)/STDEV($O$312:$O331)*SQRT(Config!$B$6),""))</f>
        <v/>
      </c>
      <c r="R331" s="53" t="str">
        <f aca="false">IF($A331="","",IFERROR((AVERAGE($O$272:$O331)-Config!$B$7/Config!$B$6)/STDEV($O$272:$O331)*SQRT(Config!$B$6),""))</f>
        <v/>
      </c>
      <c r="S331" s="47" t="n">
        <f aca="false">IF($H331="",$S330,IF($H331&gt;0,$S330+1,0))</f>
        <v>1</v>
      </c>
      <c r="T331" s="47" t="n">
        <f aca="false">IF($H331="",$T330,IF($H331&lt;0,$T330+1,0))</f>
        <v>0</v>
      </c>
    </row>
    <row r="332" customFormat="false" ht="15" hidden="false" customHeight="false" outlineLevel="0" collapsed="false">
      <c r="A332" s="54" t="n">
        <f aca="false">IF($A331="","",$A331+1)</f>
        <v>46563</v>
      </c>
      <c r="B332" s="5" t="str">
        <f aca="false">IF($A332="","",TEXT($A332,"ddd"))</f>
        <v>Fri</v>
      </c>
      <c r="C332" s="41" t="n">
        <f aca="false">IF($A332="","",COUNTIFS('Trade Log'!$L$4:$L$503,$A332))</f>
        <v>0</v>
      </c>
      <c r="D332" s="40" t="n">
        <f aca="false">IF($A332="","",SUMIFS('Trade Log'!$Q$4:$Q$503,'Trade Log'!$L$4:$L$503,$A332,'Trade Log'!$E$4:$E$503,"LONG"))</f>
        <v>0</v>
      </c>
      <c r="E332" s="40" t="n">
        <f aca="false">IF($A332="","",SUMIFS('Trade Log'!$Q$4:$Q$503,'Trade Log'!$L$4:$L$503,$A332,'Trade Log'!$E$4:$E$503,"SHORT"))</f>
        <v>0</v>
      </c>
      <c r="F332" s="40" t="n">
        <f aca="false">IF($A332="","",$D332+$E332)</f>
        <v>0</v>
      </c>
      <c r="G332" s="40" t="n">
        <f aca="false">IF($A332="","",SUMIFS('Trade Log'!$Y$4:$Y$503,'Trade Log'!$L$4:$L$503,$A332))</f>
        <v>0</v>
      </c>
      <c r="H332" s="40" t="str">
        <f aca="false">IF($A332="","",IF($C332=0,"",$F332-$G332))</f>
        <v/>
      </c>
      <c r="I332" s="40" t="n">
        <f aca="false">IF($A332="","",$I331+IF($H332="",0,$H332))</f>
        <v>23918.5521880349</v>
      </c>
      <c r="J332" s="40" t="n">
        <f aca="false">IF($A332="","",Config!$B$4+$I332)</f>
        <v>1023918.55218803</v>
      </c>
      <c r="K332" s="40" t="n">
        <f aca="false">IF($A332="","",MAX($J$4:$J332))</f>
        <v>1023918.55218803</v>
      </c>
      <c r="L332" s="40" t="n">
        <f aca="false">IF($A332="","",$J332-$K332)</f>
        <v>0</v>
      </c>
      <c r="M332" s="42" t="n">
        <f aca="false">IF(OR($A332="",$K332=0),"",$L332/$K332)</f>
        <v>0</v>
      </c>
      <c r="N332" s="40" t="n">
        <f aca="false">IF($A332="","",SUMIFS('Trade Log'!$K$4:$K$503,'Trade Log'!$H$4:$H$503,$A332))</f>
        <v>0</v>
      </c>
      <c r="O332" s="42" t="str">
        <f aca="false">IF(OR($A332="",$H332="",Config!$B$4=0),"",$H332/Config!$B$4)</f>
        <v/>
      </c>
      <c r="P332" s="40" t="n">
        <f aca="false">IF($A332="","",SUM($H$313:$H332))</f>
        <v>0</v>
      </c>
      <c r="Q332" s="53" t="str">
        <f aca="false">IF($A332="","",IFERROR((AVERAGE($O$313:$O332)-Config!$B$7/Config!$B$6)/STDEV($O$313:$O332)*SQRT(Config!$B$6),""))</f>
        <v/>
      </c>
      <c r="R332" s="53" t="str">
        <f aca="false">IF($A332="","",IFERROR((AVERAGE($O$273:$O332)-Config!$B$7/Config!$B$6)/STDEV($O$273:$O332)*SQRT(Config!$B$6),""))</f>
        <v/>
      </c>
      <c r="S332" s="47" t="n">
        <f aca="false">IF($H332="",$S331,IF($H332&gt;0,$S331+1,0))</f>
        <v>1</v>
      </c>
      <c r="T332" s="47" t="n">
        <f aca="false">IF($H332="",$T331,IF($H332&lt;0,$T331+1,0))</f>
        <v>0</v>
      </c>
    </row>
    <row r="333" customFormat="false" ht="15" hidden="false" customHeight="false" outlineLevel="0" collapsed="false">
      <c r="A333" s="54" t="n">
        <f aca="false">IF($A332="","",$A332+1)</f>
        <v>46564</v>
      </c>
      <c r="B333" s="5" t="str">
        <f aca="false">IF($A333="","",TEXT($A333,"ddd"))</f>
        <v>Sat</v>
      </c>
      <c r="C333" s="41" t="n">
        <f aca="false">IF($A333="","",COUNTIFS('Trade Log'!$L$4:$L$503,$A333))</f>
        <v>0</v>
      </c>
      <c r="D333" s="40" t="n">
        <f aca="false">IF($A333="","",SUMIFS('Trade Log'!$Q$4:$Q$503,'Trade Log'!$L$4:$L$503,$A333,'Trade Log'!$E$4:$E$503,"LONG"))</f>
        <v>0</v>
      </c>
      <c r="E333" s="40" t="n">
        <f aca="false">IF($A333="","",SUMIFS('Trade Log'!$Q$4:$Q$503,'Trade Log'!$L$4:$L$503,$A333,'Trade Log'!$E$4:$E$503,"SHORT"))</f>
        <v>0</v>
      </c>
      <c r="F333" s="40" t="n">
        <f aca="false">IF($A333="","",$D333+$E333)</f>
        <v>0</v>
      </c>
      <c r="G333" s="40" t="n">
        <f aca="false">IF($A333="","",SUMIFS('Trade Log'!$Y$4:$Y$503,'Trade Log'!$L$4:$L$503,$A333))</f>
        <v>0</v>
      </c>
      <c r="H333" s="40" t="str">
        <f aca="false">IF($A333="","",IF($C333=0,"",$F333-$G333))</f>
        <v/>
      </c>
      <c r="I333" s="40" t="n">
        <f aca="false">IF($A333="","",$I332+IF($H333="",0,$H333))</f>
        <v>23918.5521880349</v>
      </c>
      <c r="J333" s="40" t="n">
        <f aca="false">IF($A333="","",Config!$B$4+$I333)</f>
        <v>1023918.55218803</v>
      </c>
      <c r="K333" s="40" t="n">
        <f aca="false">IF($A333="","",MAX($J$4:$J333))</f>
        <v>1023918.55218803</v>
      </c>
      <c r="L333" s="40" t="n">
        <f aca="false">IF($A333="","",$J333-$K333)</f>
        <v>0</v>
      </c>
      <c r="M333" s="42" t="n">
        <f aca="false">IF(OR($A333="",$K333=0),"",$L333/$K333)</f>
        <v>0</v>
      </c>
      <c r="N333" s="40" t="n">
        <f aca="false">IF($A333="","",SUMIFS('Trade Log'!$K$4:$K$503,'Trade Log'!$H$4:$H$503,$A333))</f>
        <v>0</v>
      </c>
      <c r="O333" s="42" t="str">
        <f aca="false">IF(OR($A333="",$H333="",Config!$B$4=0),"",$H333/Config!$B$4)</f>
        <v/>
      </c>
      <c r="P333" s="40" t="n">
        <f aca="false">IF($A333="","",SUM($H$314:$H333))</f>
        <v>0</v>
      </c>
      <c r="Q333" s="53" t="str">
        <f aca="false">IF($A333="","",IFERROR((AVERAGE($O$314:$O333)-Config!$B$7/Config!$B$6)/STDEV($O$314:$O333)*SQRT(Config!$B$6),""))</f>
        <v/>
      </c>
      <c r="R333" s="53" t="str">
        <f aca="false">IF($A333="","",IFERROR((AVERAGE($O$274:$O333)-Config!$B$7/Config!$B$6)/STDEV($O$274:$O333)*SQRT(Config!$B$6),""))</f>
        <v/>
      </c>
      <c r="S333" s="47" t="n">
        <f aca="false">IF($H333="",$S332,IF($H333&gt;0,$S332+1,0))</f>
        <v>1</v>
      </c>
      <c r="T333" s="47" t="n">
        <f aca="false">IF($H333="",$T332,IF($H333&lt;0,$T332+1,0))</f>
        <v>0</v>
      </c>
    </row>
    <row r="334" customFormat="false" ht="15" hidden="false" customHeight="false" outlineLevel="0" collapsed="false">
      <c r="A334" s="54" t="n">
        <f aca="false">IF($A333="","",$A333+1)</f>
        <v>46565</v>
      </c>
      <c r="B334" s="5" t="str">
        <f aca="false">IF($A334="","",TEXT($A334,"ddd"))</f>
        <v>Sun</v>
      </c>
      <c r="C334" s="41" t="n">
        <f aca="false">IF($A334="","",COUNTIFS('Trade Log'!$L$4:$L$503,$A334))</f>
        <v>0</v>
      </c>
      <c r="D334" s="40" t="n">
        <f aca="false">IF($A334="","",SUMIFS('Trade Log'!$Q$4:$Q$503,'Trade Log'!$L$4:$L$503,$A334,'Trade Log'!$E$4:$E$503,"LONG"))</f>
        <v>0</v>
      </c>
      <c r="E334" s="40" t="n">
        <f aca="false">IF($A334="","",SUMIFS('Trade Log'!$Q$4:$Q$503,'Trade Log'!$L$4:$L$503,$A334,'Trade Log'!$E$4:$E$503,"SHORT"))</f>
        <v>0</v>
      </c>
      <c r="F334" s="40" t="n">
        <f aca="false">IF($A334="","",$D334+$E334)</f>
        <v>0</v>
      </c>
      <c r="G334" s="40" t="n">
        <f aca="false">IF($A334="","",SUMIFS('Trade Log'!$Y$4:$Y$503,'Trade Log'!$L$4:$L$503,$A334))</f>
        <v>0</v>
      </c>
      <c r="H334" s="40" t="str">
        <f aca="false">IF($A334="","",IF($C334=0,"",$F334-$G334))</f>
        <v/>
      </c>
      <c r="I334" s="40" t="n">
        <f aca="false">IF($A334="","",$I333+IF($H334="",0,$H334))</f>
        <v>23918.5521880349</v>
      </c>
      <c r="J334" s="40" t="n">
        <f aca="false">IF($A334="","",Config!$B$4+$I334)</f>
        <v>1023918.55218803</v>
      </c>
      <c r="K334" s="40" t="n">
        <f aca="false">IF($A334="","",MAX($J$4:$J334))</f>
        <v>1023918.55218803</v>
      </c>
      <c r="L334" s="40" t="n">
        <f aca="false">IF($A334="","",$J334-$K334)</f>
        <v>0</v>
      </c>
      <c r="M334" s="42" t="n">
        <f aca="false">IF(OR($A334="",$K334=0),"",$L334/$K334)</f>
        <v>0</v>
      </c>
      <c r="N334" s="40" t="n">
        <f aca="false">IF($A334="","",SUMIFS('Trade Log'!$K$4:$K$503,'Trade Log'!$H$4:$H$503,$A334))</f>
        <v>0</v>
      </c>
      <c r="O334" s="42" t="str">
        <f aca="false">IF(OR($A334="",$H334="",Config!$B$4=0),"",$H334/Config!$B$4)</f>
        <v/>
      </c>
      <c r="P334" s="40" t="n">
        <f aca="false">IF($A334="","",SUM($H$315:$H334))</f>
        <v>0</v>
      </c>
      <c r="Q334" s="53" t="str">
        <f aca="false">IF($A334="","",IFERROR((AVERAGE($O$315:$O334)-Config!$B$7/Config!$B$6)/STDEV($O$315:$O334)*SQRT(Config!$B$6),""))</f>
        <v/>
      </c>
      <c r="R334" s="53" t="str">
        <f aca="false">IF($A334="","",IFERROR((AVERAGE($O$275:$O334)-Config!$B$7/Config!$B$6)/STDEV($O$275:$O334)*SQRT(Config!$B$6),""))</f>
        <v/>
      </c>
      <c r="S334" s="47" t="n">
        <f aca="false">IF($H334="",$S333,IF($H334&gt;0,$S333+1,0))</f>
        <v>1</v>
      </c>
      <c r="T334" s="47" t="n">
        <f aca="false">IF($H334="",$T333,IF($H334&lt;0,$T333+1,0))</f>
        <v>0</v>
      </c>
    </row>
    <row r="335" customFormat="false" ht="15" hidden="false" customHeight="false" outlineLevel="0" collapsed="false">
      <c r="A335" s="54" t="n">
        <f aca="false">IF($A334="","",$A334+1)</f>
        <v>46566</v>
      </c>
      <c r="B335" s="5" t="str">
        <f aca="false">IF($A335="","",TEXT($A335,"ddd"))</f>
        <v>Mon</v>
      </c>
      <c r="C335" s="41" t="n">
        <f aca="false">IF($A335="","",COUNTIFS('Trade Log'!$L$4:$L$503,$A335))</f>
        <v>0</v>
      </c>
      <c r="D335" s="40" t="n">
        <f aca="false">IF($A335="","",SUMIFS('Trade Log'!$Q$4:$Q$503,'Trade Log'!$L$4:$L$503,$A335,'Trade Log'!$E$4:$E$503,"LONG"))</f>
        <v>0</v>
      </c>
      <c r="E335" s="40" t="n">
        <f aca="false">IF($A335="","",SUMIFS('Trade Log'!$Q$4:$Q$503,'Trade Log'!$L$4:$L$503,$A335,'Trade Log'!$E$4:$E$503,"SHORT"))</f>
        <v>0</v>
      </c>
      <c r="F335" s="40" t="n">
        <f aca="false">IF($A335="","",$D335+$E335)</f>
        <v>0</v>
      </c>
      <c r="G335" s="40" t="n">
        <f aca="false">IF($A335="","",SUMIFS('Trade Log'!$Y$4:$Y$503,'Trade Log'!$L$4:$L$503,$A335))</f>
        <v>0</v>
      </c>
      <c r="H335" s="40" t="str">
        <f aca="false">IF($A335="","",IF($C335=0,"",$F335-$G335))</f>
        <v/>
      </c>
      <c r="I335" s="40" t="n">
        <f aca="false">IF($A335="","",$I334+IF($H335="",0,$H335))</f>
        <v>23918.5521880349</v>
      </c>
      <c r="J335" s="40" t="n">
        <f aca="false">IF($A335="","",Config!$B$4+$I335)</f>
        <v>1023918.55218803</v>
      </c>
      <c r="K335" s="40" t="n">
        <f aca="false">IF($A335="","",MAX($J$4:$J335))</f>
        <v>1023918.55218803</v>
      </c>
      <c r="L335" s="40" t="n">
        <f aca="false">IF($A335="","",$J335-$K335)</f>
        <v>0</v>
      </c>
      <c r="M335" s="42" t="n">
        <f aca="false">IF(OR($A335="",$K335=0),"",$L335/$K335)</f>
        <v>0</v>
      </c>
      <c r="N335" s="40" t="n">
        <f aca="false">IF($A335="","",SUMIFS('Trade Log'!$K$4:$K$503,'Trade Log'!$H$4:$H$503,$A335))</f>
        <v>0</v>
      </c>
      <c r="O335" s="42" t="str">
        <f aca="false">IF(OR($A335="",$H335="",Config!$B$4=0),"",$H335/Config!$B$4)</f>
        <v/>
      </c>
      <c r="P335" s="40" t="n">
        <f aca="false">IF($A335="","",SUM($H$316:$H335))</f>
        <v>0</v>
      </c>
      <c r="Q335" s="53" t="str">
        <f aca="false">IF($A335="","",IFERROR((AVERAGE($O$316:$O335)-Config!$B$7/Config!$B$6)/STDEV($O$316:$O335)*SQRT(Config!$B$6),""))</f>
        <v/>
      </c>
      <c r="R335" s="53" t="str">
        <f aca="false">IF($A335="","",IFERROR((AVERAGE($O$276:$O335)-Config!$B$7/Config!$B$6)/STDEV($O$276:$O335)*SQRT(Config!$B$6),""))</f>
        <v/>
      </c>
      <c r="S335" s="47" t="n">
        <f aca="false">IF($H335="",$S334,IF($H335&gt;0,$S334+1,0))</f>
        <v>1</v>
      </c>
      <c r="T335" s="47" t="n">
        <f aca="false">IF($H335="",$T334,IF($H335&lt;0,$T334+1,0))</f>
        <v>0</v>
      </c>
    </row>
    <row r="336" customFormat="false" ht="15" hidden="false" customHeight="false" outlineLevel="0" collapsed="false">
      <c r="A336" s="54" t="n">
        <f aca="false">IF($A335="","",$A335+1)</f>
        <v>46567</v>
      </c>
      <c r="B336" s="5" t="str">
        <f aca="false">IF($A336="","",TEXT($A336,"ddd"))</f>
        <v>Tue</v>
      </c>
      <c r="C336" s="41" t="n">
        <f aca="false">IF($A336="","",COUNTIFS('Trade Log'!$L$4:$L$503,$A336))</f>
        <v>0</v>
      </c>
      <c r="D336" s="40" t="n">
        <f aca="false">IF($A336="","",SUMIFS('Trade Log'!$Q$4:$Q$503,'Trade Log'!$L$4:$L$503,$A336,'Trade Log'!$E$4:$E$503,"LONG"))</f>
        <v>0</v>
      </c>
      <c r="E336" s="40" t="n">
        <f aca="false">IF($A336="","",SUMIFS('Trade Log'!$Q$4:$Q$503,'Trade Log'!$L$4:$L$503,$A336,'Trade Log'!$E$4:$E$503,"SHORT"))</f>
        <v>0</v>
      </c>
      <c r="F336" s="40" t="n">
        <f aca="false">IF($A336="","",$D336+$E336)</f>
        <v>0</v>
      </c>
      <c r="G336" s="40" t="n">
        <f aca="false">IF($A336="","",SUMIFS('Trade Log'!$Y$4:$Y$503,'Trade Log'!$L$4:$L$503,$A336))</f>
        <v>0</v>
      </c>
      <c r="H336" s="40" t="str">
        <f aca="false">IF($A336="","",IF($C336=0,"",$F336-$G336))</f>
        <v/>
      </c>
      <c r="I336" s="40" t="n">
        <f aca="false">IF($A336="","",$I335+IF($H336="",0,$H336))</f>
        <v>23918.5521880349</v>
      </c>
      <c r="J336" s="40" t="n">
        <f aca="false">IF($A336="","",Config!$B$4+$I336)</f>
        <v>1023918.55218803</v>
      </c>
      <c r="K336" s="40" t="n">
        <f aca="false">IF($A336="","",MAX($J$4:$J336))</f>
        <v>1023918.55218803</v>
      </c>
      <c r="L336" s="40" t="n">
        <f aca="false">IF($A336="","",$J336-$K336)</f>
        <v>0</v>
      </c>
      <c r="M336" s="42" t="n">
        <f aca="false">IF(OR($A336="",$K336=0),"",$L336/$K336)</f>
        <v>0</v>
      </c>
      <c r="N336" s="40" t="n">
        <f aca="false">IF($A336="","",SUMIFS('Trade Log'!$K$4:$K$503,'Trade Log'!$H$4:$H$503,$A336))</f>
        <v>0</v>
      </c>
      <c r="O336" s="42" t="str">
        <f aca="false">IF(OR($A336="",$H336="",Config!$B$4=0),"",$H336/Config!$B$4)</f>
        <v/>
      </c>
      <c r="P336" s="40" t="n">
        <f aca="false">IF($A336="","",SUM($H$317:$H336))</f>
        <v>0</v>
      </c>
      <c r="Q336" s="53" t="str">
        <f aca="false">IF($A336="","",IFERROR((AVERAGE($O$317:$O336)-Config!$B$7/Config!$B$6)/STDEV($O$317:$O336)*SQRT(Config!$B$6),""))</f>
        <v/>
      </c>
      <c r="R336" s="53" t="str">
        <f aca="false">IF($A336="","",IFERROR((AVERAGE($O$277:$O336)-Config!$B$7/Config!$B$6)/STDEV($O$277:$O336)*SQRT(Config!$B$6),""))</f>
        <v/>
      </c>
      <c r="S336" s="47" t="n">
        <f aca="false">IF($H336="",$S335,IF($H336&gt;0,$S335+1,0))</f>
        <v>1</v>
      </c>
      <c r="T336" s="47" t="n">
        <f aca="false">IF($H336="",$T335,IF($H336&lt;0,$T335+1,0))</f>
        <v>0</v>
      </c>
    </row>
    <row r="337" customFormat="false" ht="15" hidden="false" customHeight="false" outlineLevel="0" collapsed="false">
      <c r="A337" s="54" t="n">
        <f aca="false">IF($A336="","",$A336+1)</f>
        <v>46568</v>
      </c>
      <c r="B337" s="5" t="str">
        <f aca="false">IF($A337="","",TEXT($A337,"ddd"))</f>
        <v>Wed</v>
      </c>
      <c r="C337" s="41" t="n">
        <f aca="false">IF($A337="","",COUNTIFS('Trade Log'!$L$4:$L$503,$A337))</f>
        <v>0</v>
      </c>
      <c r="D337" s="40" t="n">
        <f aca="false">IF($A337="","",SUMIFS('Trade Log'!$Q$4:$Q$503,'Trade Log'!$L$4:$L$503,$A337,'Trade Log'!$E$4:$E$503,"LONG"))</f>
        <v>0</v>
      </c>
      <c r="E337" s="40" t="n">
        <f aca="false">IF($A337="","",SUMIFS('Trade Log'!$Q$4:$Q$503,'Trade Log'!$L$4:$L$503,$A337,'Trade Log'!$E$4:$E$503,"SHORT"))</f>
        <v>0</v>
      </c>
      <c r="F337" s="40" t="n">
        <f aca="false">IF($A337="","",$D337+$E337)</f>
        <v>0</v>
      </c>
      <c r="G337" s="40" t="n">
        <f aca="false">IF($A337="","",SUMIFS('Trade Log'!$Y$4:$Y$503,'Trade Log'!$L$4:$L$503,$A337))</f>
        <v>0</v>
      </c>
      <c r="H337" s="40" t="str">
        <f aca="false">IF($A337="","",IF($C337=0,"",$F337-$G337))</f>
        <v/>
      </c>
      <c r="I337" s="40" t="n">
        <f aca="false">IF($A337="","",$I336+IF($H337="",0,$H337))</f>
        <v>23918.5521880349</v>
      </c>
      <c r="J337" s="40" t="n">
        <f aca="false">IF($A337="","",Config!$B$4+$I337)</f>
        <v>1023918.55218803</v>
      </c>
      <c r="K337" s="40" t="n">
        <f aca="false">IF($A337="","",MAX($J$4:$J337))</f>
        <v>1023918.55218803</v>
      </c>
      <c r="L337" s="40" t="n">
        <f aca="false">IF($A337="","",$J337-$K337)</f>
        <v>0</v>
      </c>
      <c r="M337" s="42" t="n">
        <f aca="false">IF(OR($A337="",$K337=0),"",$L337/$K337)</f>
        <v>0</v>
      </c>
      <c r="N337" s="40" t="n">
        <f aca="false">IF($A337="","",SUMIFS('Trade Log'!$K$4:$K$503,'Trade Log'!$H$4:$H$503,$A337))</f>
        <v>0</v>
      </c>
      <c r="O337" s="42" t="str">
        <f aca="false">IF(OR($A337="",$H337="",Config!$B$4=0),"",$H337/Config!$B$4)</f>
        <v/>
      </c>
      <c r="P337" s="40" t="n">
        <f aca="false">IF($A337="","",SUM($H$318:$H337))</f>
        <v>0</v>
      </c>
      <c r="Q337" s="53" t="str">
        <f aca="false">IF($A337="","",IFERROR((AVERAGE($O$318:$O337)-Config!$B$7/Config!$B$6)/STDEV($O$318:$O337)*SQRT(Config!$B$6),""))</f>
        <v/>
      </c>
      <c r="R337" s="53" t="str">
        <f aca="false">IF($A337="","",IFERROR((AVERAGE($O$278:$O337)-Config!$B$7/Config!$B$6)/STDEV($O$278:$O337)*SQRT(Config!$B$6),""))</f>
        <v/>
      </c>
      <c r="S337" s="47" t="n">
        <f aca="false">IF($H337="",$S336,IF($H337&gt;0,$S336+1,0))</f>
        <v>1</v>
      </c>
      <c r="T337" s="47" t="n">
        <f aca="false">IF($H337="",$T336,IF($H337&lt;0,$T336+1,0))</f>
        <v>0</v>
      </c>
    </row>
    <row r="338" customFormat="false" ht="15" hidden="false" customHeight="false" outlineLevel="0" collapsed="false">
      <c r="A338" s="54" t="n">
        <f aca="false">IF($A337="","",$A337+1)</f>
        <v>46569</v>
      </c>
      <c r="B338" s="5" t="str">
        <f aca="false">IF($A338="","",TEXT($A338,"ddd"))</f>
        <v>Thu</v>
      </c>
      <c r="C338" s="41" t="n">
        <f aca="false">IF($A338="","",COUNTIFS('Trade Log'!$L$4:$L$503,$A338))</f>
        <v>0</v>
      </c>
      <c r="D338" s="40" t="n">
        <f aca="false">IF($A338="","",SUMIFS('Trade Log'!$Q$4:$Q$503,'Trade Log'!$L$4:$L$503,$A338,'Trade Log'!$E$4:$E$503,"LONG"))</f>
        <v>0</v>
      </c>
      <c r="E338" s="40" t="n">
        <f aca="false">IF($A338="","",SUMIFS('Trade Log'!$Q$4:$Q$503,'Trade Log'!$L$4:$L$503,$A338,'Trade Log'!$E$4:$E$503,"SHORT"))</f>
        <v>0</v>
      </c>
      <c r="F338" s="40" t="n">
        <f aca="false">IF($A338="","",$D338+$E338)</f>
        <v>0</v>
      </c>
      <c r="G338" s="40" t="n">
        <f aca="false">IF($A338="","",SUMIFS('Trade Log'!$Y$4:$Y$503,'Trade Log'!$L$4:$L$503,$A338))</f>
        <v>0</v>
      </c>
      <c r="H338" s="40" t="str">
        <f aca="false">IF($A338="","",IF($C338=0,"",$F338-$G338))</f>
        <v/>
      </c>
      <c r="I338" s="40" t="n">
        <f aca="false">IF($A338="","",$I337+IF($H338="",0,$H338))</f>
        <v>23918.5521880349</v>
      </c>
      <c r="J338" s="40" t="n">
        <f aca="false">IF($A338="","",Config!$B$4+$I338)</f>
        <v>1023918.55218803</v>
      </c>
      <c r="K338" s="40" t="n">
        <f aca="false">IF($A338="","",MAX($J$4:$J338))</f>
        <v>1023918.55218803</v>
      </c>
      <c r="L338" s="40" t="n">
        <f aca="false">IF($A338="","",$J338-$K338)</f>
        <v>0</v>
      </c>
      <c r="M338" s="42" t="n">
        <f aca="false">IF(OR($A338="",$K338=0),"",$L338/$K338)</f>
        <v>0</v>
      </c>
      <c r="N338" s="40" t="n">
        <f aca="false">IF($A338="","",SUMIFS('Trade Log'!$K$4:$K$503,'Trade Log'!$H$4:$H$503,$A338))</f>
        <v>0</v>
      </c>
      <c r="O338" s="42" t="str">
        <f aca="false">IF(OR($A338="",$H338="",Config!$B$4=0),"",$H338/Config!$B$4)</f>
        <v/>
      </c>
      <c r="P338" s="40" t="n">
        <f aca="false">IF($A338="","",SUM($H$319:$H338))</f>
        <v>0</v>
      </c>
      <c r="Q338" s="53" t="str">
        <f aca="false">IF($A338="","",IFERROR((AVERAGE($O$319:$O338)-Config!$B$7/Config!$B$6)/STDEV($O$319:$O338)*SQRT(Config!$B$6),""))</f>
        <v/>
      </c>
      <c r="R338" s="53" t="str">
        <f aca="false">IF($A338="","",IFERROR((AVERAGE($O$279:$O338)-Config!$B$7/Config!$B$6)/STDEV($O$279:$O338)*SQRT(Config!$B$6),""))</f>
        <v/>
      </c>
      <c r="S338" s="47" t="n">
        <f aca="false">IF($H338="",$S337,IF($H338&gt;0,$S337+1,0))</f>
        <v>1</v>
      </c>
      <c r="T338" s="47" t="n">
        <f aca="false">IF($H338="",$T337,IF($H338&lt;0,$T337+1,0))</f>
        <v>0</v>
      </c>
    </row>
    <row r="339" customFormat="false" ht="15" hidden="false" customHeight="false" outlineLevel="0" collapsed="false">
      <c r="A339" s="54" t="n">
        <f aca="false">IF($A338="","",$A338+1)</f>
        <v>46570</v>
      </c>
      <c r="B339" s="5" t="str">
        <f aca="false">IF($A339="","",TEXT($A339,"ddd"))</f>
        <v>Fri</v>
      </c>
      <c r="C339" s="41" t="n">
        <f aca="false">IF($A339="","",COUNTIFS('Trade Log'!$L$4:$L$503,$A339))</f>
        <v>0</v>
      </c>
      <c r="D339" s="40" t="n">
        <f aca="false">IF($A339="","",SUMIFS('Trade Log'!$Q$4:$Q$503,'Trade Log'!$L$4:$L$503,$A339,'Trade Log'!$E$4:$E$503,"LONG"))</f>
        <v>0</v>
      </c>
      <c r="E339" s="40" t="n">
        <f aca="false">IF($A339="","",SUMIFS('Trade Log'!$Q$4:$Q$503,'Trade Log'!$L$4:$L$503,$A339,'Trade Log'!$E$4:$E$503,"SHORT"))</f>
        <v>0</v>
      </c>
      <c r="F339" s="40" t="n">
        <f aca="false">IF($A339="","",$D339+$E339)</f>
        <v>0</v>
      </c>
      <c r="G339" s="40" t="n">
        <f aca="false">IF($A339="","",SUMIFS('Trade Log'!$Y$4:$Y$503,'Trade Log'!$L$4:$L$503,$A339))</f>
        <v>0</v>
      </c>
      <c r="H339" s="40" t="str">
        <f aca="false">IF($A339="","",IF($C339=0,"",$F339-$G339))</f>
        <v/>
      </c>
      <c r="I339" s="40" t="n">
        <f aca="false">IF($A339="","",$I338+IF($H339="",0,$H339))</f>
        <v>23918.5521880349</v>
      </c>
      <c r="J339" s="40" t="n">
        <f aca="false">IF($A339="","",Config!$B$4+$I339)</f>
        <v>1023918.55218803</v>
      </c>
      <c r="K339" s="40" t="n">
        <f aca="false">IF($A339="","",MAX($J$4:$J339))</f>
        <v>1023918.55218803</v>
      </c>
      <c r="L339" s="40" t="n">
        <f aca="false">IF($A339="","",$J339-$K339)</f>
        <v>0</v>
      </c>
      <c r="M339" s="42" t="n">
        <f aca="false">IF(OR($A339="",$K339=0),"",$L339/$K339)</f>
        <v>0</v>
      </c>
      <c r="N339" s="40" t="n">
        <f aca="false">IF($A339="","",SUMIFS('Trade Log'!$K$4:$K$503,'Trade Log'!$H$4:$H$503,$A339))</f>
        <v>0</v>
      </c>
      <c r="O339" s="42" t="str">
        <f aca="false">IF(OR($A339="",$H339="",Config!$B$4=0),"",$H339/Config!$B$4)</f>
        <v/>
      </c>
      <c r="P339" s="40" t="n">
        <f aca="false">IF($A339="","",SUM($H$320:$H339))</f>
        <v>0</v>
      </c>
      <c r="Q339" s="53" t="str">
        <f aca="false">IF($A339="","",IFERROR((AVERAGE($O$320:$O339)-Config!$B$7/Config!$B$6)/STDEV($O$320:$O339)*SQRT(Config!$B$6),""))</f>
        <v/>
      </c>
      <c r="R339" s="53" t="str">
        <f aca="false">IF($A339="","",IFERROR((AVERAGE($O$280:$O339)-Config!$B$7/Config!$B$6)/STDEV($O$280:$O339)*SQRT(Config!$B$6),""))</f>
        <v/>
      </c>
      <c r="S339" s="47" t="n">
        <f aca="false">IF($H339="",$S338,IF($H339&gt;0,$S338+1,0))</f>
        <v>1</v>
      </c>
      <c r="T339" s="47" t="n">
        <f aca="false">IF($H339="",$T338,IF($H339&lt;0,$T338+1,0))</f>
        <v>0</v>
      </c>
    </row>
    <row r="340" customFormat="false" ht="15" hidden="false" customHeight="false" outlineLevel="0" collapsed="false">
      <c r="A340" s="54" t="n">
        <f aca="false">IF($A339="","",$A339+1)</f>
        <v>46571</v>
      </c>
      <c r="B340" s="5" t="str">
        <f aca="false">IF($A340="","",TEXT($A340,"ddd"))</f>
        <v>Sat</v>
      </c>
      <c r="C340" s="41" t="n">
        <f aca="false">IF($A340="","",COUNTIFS('Trade Log'!$L$4:$L$503,$A340))</f>
        <v>0</v>
      </c>
      <c r="D340" s="40" t="n">
        <f aca="false">IF($A340="","",SUMIFS('Trade Log'!$Q$4:$Q$503,'Trade Log'!$L$4:$L$503,$A340,'Trade Log'!$E$4:$E$503,"LONG"))</f>
        <v>0</v>
      </c>
      <c r="E340" s="40" t="n">
        <f aca="false">IF($A340="","",SUMIFS('Trade Log'!$Q$4:$Q$503,'Trade Log'!$L$4:$L$503,$A340,'Trade Log'!$E$4:$E$503,"SHORT"))</f>
        <v>0</v>
      </c>
      <c r="F340" s="40" t="n">
        <f aca="false">IF($A340="","",$D340+$E340)</f>
        <v>0</v>
      </c>
      <c r="G340" s="40" t="n">
        <f aca="false">IF($A340="","",SUMIFS('Trade Log'!$Y$4:$Y$503,'Trade Log'!$L$4:$L$503,$A340))</f>
        <v>0</v>
      </c>
      <c r="H340" s="40" t="str">
        <f aca="false">IF($A340="","",IF($C340=0,"",$F340-$G340))</f>
        <v/>
      </c>
      <c r="I340" s="40" t="n">
        <f aca="false">IF($A340="","",$I339+IF($H340="",0,$H340))</f>
        <v>23918.5521880349</v>
      </c>
      <c r="J340" s="40" t="n">
        <f aca="false">IF($A340="","",Config!$B$4+$I340)</f>
        <v>1023918.55218803</v>
      </c>
      <c r="K340" s="40" t="n">
        <f aca="false">IF($A340="","",MAX($J$4:$J340))</f>
        <v>1023918.55218803</v>
      </c>
      <c r="L340" s="40" t="n">
        <f aca="false">IF($A340="","",$J340-$K340)</f>
        <v>0</v>
      </c>
      <c r="M340" s="42" t="n">
        <f aca="false">IF(OR($A340="",$K340=0),"",$L340/$K340)</f>
        <v>0</v>
      </c>
      <c r="N340" s="40" t="n">
        <f aca="false">IF($A340="","",SUMIFS('Trade Log'!$K$4:$K$503,'Trade Log'!$H$4:$H$503,$A340))</f>
        <v>0</v>
      </c>
      <c r="O340" s="42" t="str">
        <f aca="false">IF(OR($A340="",$H340="",Config!$B$4=0),"",$H340/Config!$B$4)</f>
        <v/>
      </c>
      <c r="P340" s="40" t="n">
        <f aca="false">IF($A340="","",SUM($H$321:$H340))</f>
        <v>0</v>
      </c>
      <c r="Q340" s="53" t="str">
        <f aca="false">IF($A340="","",IFERROR((AVERAGE($O$321:$O340)-Config!$B$7/Config!$B$6)/STDEV($O$321:$O340)*SQRT(Config!$B$6),""))</f>
        <v/>
      </c>
      <c r="R340" s="53" t="str">
        <f aca="false">IF($A340="","",IFERROR((AVERAGE($O$281:$O340)-Config!$B$7/Config!$B$6)/STDEV($O$281:$O340)*SQRT(Config!$B$6),""))</f>
        <v/>
      </c>
      <c r="S340" s="47" t="n">
        <f aca="false">IF($H340="",$S339,IF($H340&gt;0,$S339+1,0))</f>
        <v>1</v>
      </c>
      <c r="T340" s="47" t="n">
        <f aca="false">IF($H340="",$T339,IF($H340&lt;0,$T339+1,0))</f>
        <v>0</v>
      </c>
    </row>
    <row r="341" customFormat="false" ht="15" hidden="false" customHeight="false" outlineLevel="0" collapsed="false">
      <c r="A341" s="54" t="n">
        <f aca="false">IF($A340="","",$A340+1)</f>
        <v>46572</v>
      </c>
      <c r="B341" s="5" t="str">
        <f aca="false">IF($A341="","",TEXT($A341,"ddd"))</f>
        <v>Sun</v>
      </c>
      <c r="C341" s="41" t="n">
        <f aca="false">IF($A341="","",COUNTIFS('Trade Log'!$L$4:$L$503,$A341))</f>
        <v>0</v>
      </c>
      <c r="D341" s="40" t="n">
        <f aca="false">IF($A341="","",SUMIFS('Trade Log'!$Q$4:$Q$503,'Trade Log'!$L$4:$L$503,$A341,'Trade Log'!$E$4:$E$503,"LONG"))</f>
        <v>0</v>
      </c>
      <c r="E341" s="40" t="n">
        <f aca="false">IF($A341="","",SUMIFS('Trade Log'!$Q$4:$Q$503,'Trade Log'!$L$4:$L$503,$A341,'Trade Log'!$E$4:$E$503,"SHORT"))</f>
        <v>0</v>
      </c>
      <c r="F341" s="40" t="n">
        <f aca="false">IF($A341="","",$D341+$E341)</f>
        <v>0</v>
      </c>
      <c r="G341" s="40" t="n">
        <f aca="false">IF($A341="","",SUMIFS('Trade Log'!$Y$4:$Y$503,'Trade Log'!$L$4:$L$503,$A341))</f>
        <v>0</v>
      </c>
      <c r="H341" s="40" t="str">
        <f aca="false">IF($A341="","",IF($C341=0,"",$F341-$G341))</f>
        <v/>
      </c>
      <c r="I341" s="40" t="n">
        <f aca="false">IF($A341="","",$I340+IF($H341="",0,$H341))</f>
        <v>23918.5521880349</v>
      </c>
      <c r="J341" s="40" t="n">
        <f aca="false">IF($A341="","",Config!$B$4+$I341)</f>
        <v>1023918.55218803</v>
      </c>
      <c r="K341" s="40" t="n">
        <f aca="false">IF($A341="","",MAX($J$4:$J341))</f>
        <v>1023918.55218803</v>
      </c>
      <c r="L341" s="40" t="n">
        <f aca="false">IF($A341="","",$J341-$K341)</f>
        <v>0</v>
      </c>
      <c r="M341" s="42" t="n">
        <f aca="false">IF(OR($A341="",$K341=0),"",$L341/$K341)</f>
        <v>0</v>
      </c>
      <c r="N341" s="40" t="n">
        <f aca="false">IF($A341="","",SUMIFS('Trade Log'!$K$4:$K$503,'Trade Log'!$H$4:$H$503,$A341))</f>
        <v>0</v>
      </c>
      <c r="O341" s="42" t="str">
        <f aca="false">IF(OR($A341="",$H341="",Config!$B$4=0),"",$H341/Config!$B$4)</f>
        <v/>
      </c>
      <c r="P341" s="40" t="n">
        <f aca="false">IF($A341="","",SUM($H$322:$H341))</f>
        <v>0</v>
      </c>
      <c r="Q341" s="53" t="str">
        <f aca="false">IF($A341="","",IFERROR((AVERAGE($O$322:$O341)-Config!$B$7/Config!$B$6)/STDEV($O$322:$O341)*SQRT(Config!$B$6),""))</f>
        <v/>
      </c>
      <c r="R341" s="53" t="str">
        <f aca="false">IF($A341="","",IFERROR((AVERAGE($O$282:$O341)-Config!$B$7/Config!$B$6)/STDEV($O$282:$O341)*SQRT(Config!$B$6),""))</f>
        <v/>
      </c>
      <c r="S341" s="47" t="n">
        <f aca="false">IF($H341="",$S340,IF($H341&gt;0,$S340+1,0))</f>
        <v>1</v>
      </c>
      <c r="T341" s="47" t="n">
        <f aca="false">IF($H341="",$T340,IF($H341&lt;0,$T340+1,0))</f>
        <v>0</v>
      </c>
    </row>
    <row r="342" customFormat="false" ht="15" hidden="false" customHeight="false" outlineLevel="0" collapsed="false">
      <c r="A342" s="54" t="n">
        <f aca="false">IF($A341="","",$A341+1)</f>
        <v>46573</v>
      </c>
      <c r="B342" s="5" t="str">
        <f aca="false">IF($A342="","",TEXT($A342,"ddd"))</f>
        <v>Mon</v>
      </c>
      <c r="C342" s="41" t="n">
        <f aca="false">IF($A342="","",COUNTIFS('Trade Log'!$L$4:$L$503,$A342))</f>
        <v>0</v>
      </c>
      <c r="D342" s="40" t="n">
        <f aca="false">IF($A342="","",SUMIFS('Trade Log'!$Q$4:$Q$503,'Trade Log'!$L$4:$L$503,$A342,'Trade Log'!$E$4:$E$503,"LONG"))</f>
        <v>0</v>
      </c>
      <c r="E342" s="40" t="n">
        <f aca="false">IF($A342="","",SUMIFS('Trade Log'!$Q$4:$Q$503,'Trade Log'!$L$4:$L$503,$A342,'Trade Log'!$E$4:$E$503,"SHORT"))</f>
        <v>0</v>
      </c>
      <c r="F342" s="40" t="n">
        <f aca="false">IF($A342="","",$D342+$E342)</f>
        <v>0</v>
      </c>
      <c r="G342" s="40" t="n">
        <f aca="false">IF($A342="","",SUMIFS('Trade Log'!$Y$4:$Y$503,'Trade Log'!$L$4:$L$503,$A342))</f>
        <v>0</v>
      </c>
      <c r="H342" s="40" t="str">
        <f aca="false">IF($A342="","",IF($C342=0,"",$F342-$G342))</f>
        <v/>
      </c>
      <c r="I342" s="40" t="n">
        <f aca="false">IF($A342="","",$I341+IF($H342="",0,$H342))</f>
        <v>23918.5521880349</v>
      </c>
      <c r="J342" s="40" t="n">
        <f aca="false">IF($A342="","",Config!$B$4+$I342)</f>
        <v>1023918.55218803</v>
      </c>
      <c r="K342" s="40" t="n">
        <f aca="false">IF($A342="","",MAX($J$4:$J342))</f>
        <v>1023918.55218803</v>
      </c>
      <c r="L342" s="40" t="n">
        <f aca="false">IF($A342="","",$J342-$K342)</f>
        <v>0</v>
      </c>
      <c r="M342" s="42" t="n">
        <f aca="false">IF(OR($A342="",$K342=0),"",$L342/$K342)</f>
        <v>0</v>
      </c>
      <c r="N342" s="40" t="n">
        <f aca="false">IF($A342="","",SUMIFS('Trade Log'!$K$4:$K$503,'Trade Log'!$H$4:$H$503,$A342))</f>
        <v>0</v>
      </c>
      <c r="O342" s="42" t="str">
        <f aca="false">IF(OR($A342="",$H342="",Config!$B$4=0),"",$H342/Config!$B$4)</f>
        <v/>
      </c>
      <c r="P342" s="40" t="n">
        <f aca="false">IF($A342="","",SUM($H$323:$H342))</f>
        <v>0</v>
      </c>
      <c r="Q342" s="53" t="str">
        <f aca="false">IF($A342="","",IFERROR((AVERAGE($O$323:$O342)-Config!$B$7/Config!$B$6)/STDEV($O$323:$O342)*SQRT(Config!$B$6),""))</f>
        <v/>
      </c>
      <c r="R342" s="53" t="str">
        <f aca="false">IF($A342="","",IFERROR((AVERAGE($O$283:$O342)-Config!$B$7/Config!$B$6)/STDEV($O$283:$O342)*SQRT(Config!$B$6),""))</f>
        <v/>
      </c>
      <c r="S342" s="47" t="n">
        <f aca="false">IF($H342="",$S341,IF($H342&gt;0,$S341+1,0))</f>
        <v>1</v>
      </c>
      <c r="T342" s="47" t="n">
        <f aca="false">IF($H342="",$T341,IF($H342&lt;0,$T341+1,0))</f>
        <v>0</v>
      </c>
    </row>
    <row r="343" customFormat="false" ht="15" hidden="false" customHeight="false" outlineLevel="0" collapsed="false">
      <c r="A343" s="54" t="n">
        <f aca="false">IF($A342="","",$A342+1)</f>
        <v>46574</v>
      </c>
      <c r="B343" s="5" t="str">
        <f aca="false">IF($A343="","",TEXT($A343,"ddd"))</f>
        <v>Tue</v>
      </c>
      <c r="C343" s="41" t="n">
        <f aca="false">IF($A343="","",COUNTIFS('Trade Log'!$L$4:$L$503,$A343))</f>
        <v>0</v>
      </c>
      <c r="D343" s="40" t="n">
        <f aca="false">IF($A343="","",SUMIFS('Trade Log'!$Q$4:$Q$503,'Trade Log'!$L$4:$L$503,$A343,'Trade Log'!$E$4:$E$503,"LONG"))</f>
        <v>0</v>
      </c>
      <c r="E343" s="40" t="n">
        <f aca="false">IF($A343="","",SUMIFS('Trade Log'!$Q$4:$Q$503,'Trade Log'!$L$4:$L$503,$A343,'Trade Log'!$E$4:$E$503,"SHORT"))</f>
        <v>0</v>
      </c>
      <c r="F343" s="40" t="n">
        <f aca="false">IF($A343="","",$D343+$E343)</f>
        <v>0</v>
      </c>
      <c r="G343" s="40" t="n">
        <f aca="false">IF($A343="","",SUMIFS('Trade Log'!$Y$4:$Y$503,'Trade Log'!$L$4:$L$503,$A343))</f>
        <v>0</v>
      </c>
      <c r="H343" s="40" t="str">
        <f aca="false">IF($A343="","",IF($C343=0,"",$F343-$G343))</f>
        <v/>
      </c>
      <c r="I343" s="40" t="n">
        <f aca="false">IF($A343="","",$I342+IF($H343="",0,$H343))</f>
        <v>23918.5521880349</v>
      </c>
      <c r="J343" s="40" t="n">
        <f aca="false">IF($A343="","",Config!$B$4+$I343)</f>
        <v>1023918.55218803</v>
      </c>
      <c r="K343" s="40" t="n">
        <f aca="false">IF($A343="","",MAX($J$4:$J343))</f>
        <v>1023918.55218803</v>
      </c>
      <c r="L343" s="40" t="n">
        <f aca="false">IF($A343="","",$J343-$K343)</f>
        <v>0</v>
      </c>
      <c r="M343" s="42" t="n">
        <f aca="false">IF(OR($A343="",$K343=0),"",$L343/$K343)</f>
        <v>0</v>
      </c>
      <c r="N343" s="40" t="n">
        <f aca="false">IF($A343="","",SUMIFS('Trade Log'!$K$4:$K$503,'Trade Log'!$H$4:$H$503,$A343))</f>
        <v>0</v>
      </c>
      <c r="O343" s="42" t="str">
        <f aca="false">IF(OR($A343="",$H343="",Config!$B$4=0),"",$H343/Config!$B$4)</f>
        <v/>
      </c>
      <c r="P343" s="40" t="n">
        <f aca="false">IF($A343="","",SUM($H$324:$H343))</f>
        <v>0</v>
      </c>
      <c r="Q343" s="53" t="str">
        <f aca="false">IF($A343="","",IFERROR((AVERAGE($O$324:$O343)-Config!$B$7/Config!$B$6)/STDEV($O$324:$O343)*SQRT(Config!$B$6),""))</f>
        <v/>
      </c>
      <c r="R343" s="53" t="str">
        <f aca="false">IF($A343="","",IFERROR((AVERAGE($O$284:$O343)-Config!$B$7/Config!$B$6)/STDEV($O$284:$O343)*SQRT(Config!$B$6),""))</f>
        <v/>
      </c>
      <c r="S343" s="47" t="n">
        <f aca="false">IF($H343="",$S342,IF($H343&gt;0,$S342+1,0))</f>
        <v>1</v>
      </c>
      <c r="T343" s="47" t="n">
        <f aca="false">IF($H343="",$T342,IF($H343&lt;0,$T342+1,0))</f>
        <v>0</v>
      </c>
    </row>
    <row r="344" customFormat="false" ht="15" hidden="false" customHeight="false" outlineLevel="0" collapsed="false">
      <c r="A344" s="54" t="n">
        <f aca="false">IF($A343="","",$A343+1)</f>
        <v>46575</v>
      </c>
      <c r="B344" s="5" t="str">
        <f aca="false">IF($A344="","",TEXT($A344,"ddd"))</f>
        <v>Wed</v>
      </c>
      <c r="C344" s="41" t="n">
        <f aca="false">IF($A344="","",COUNTIFS('Trade Log'!$L$4:$L$503,$A344))</f>
        <v>0</v>
      </c>
      <c r="D344" s="40" t="n">
        <f aca="false">IF($A344="","",SUMIFS('Trade Log'!$Q$4:$Q$503,'Trade Log'!$L$4:$L$503,$A344,'Trade Log'!$E$4:$E$503,"LONG"))</f>
        <v>0</v>
      </c>
      <c r="E344" s="40" t="n">
        <f aca="false">IF($A344="","",SUMIFS('Trade Log'!$Q$4:$Q$503,'Trade Log'!$L$4:$L$503,$A344,'Trade Log'!$E$4:$E$503,"SHORT"))</f>
        <v>0</v>
      </c>
      <c r="F344" s="40" t="n">
        <f aca="false">IF($A344="","",$D344+$E344)</f>
        <v>0</v>
      </c>
      <c r="G344" s="40" t="n">
        <f aca="false">IF($A344="","",SUMIFS('Trade Log'!$Y$4:$Y$503,'Trade Log'!$L$4:$L$503,$A344))</f>
        <v>0</v>
      </c>
      <c r="H344" s="40" t="str">
        <f aca="false">IF($A344="","",IF($C344=0,"",$F344-$G344))</f>
        <v/>
      </c>
      <c r="I344" s="40" t="n">
        <f aca="false">IF($A344="","",$I343+IF($H344="",0,$H344))</f>
        <v>23918.5521880349</v>
      </c>
      <c r="J344" s="40" t="n">
        <f aca="false">IF($A344="","",Config!$B$4+$I344)</f>
        <v>1023918.55218803</v>
      </c>
      <c r="K344" s="40" t="n">
        <f aca="false">IF($A344="","",MAX($J$4:$J344))</f>
        <v>1023918.55218803</v>
      </c>
      <c r="L344" s="40" t="n">
        <f aca="false">IF($A344="","",$J344-$K344)</f>
        <v>0</v>
      </c>
      <c r="M344" s="42" t="n">
        <f aca="false">IF(OR($A344="",$K344=0),"",$L344/$K344)</f>
        <v>0</v>
      </c>
      <c r="N344" s="40" t="n">
        <f aca="false">IF($A344="","",SUMIFS('Trade Log'!$K$4:$K$503,'Trade Log'!$H$4:$H$503,$A344))</f>
        <v>0</v>
      </c>
      <c r="O344" s="42" t="str">
        <f aca="false">IF(OR($A344="",$H344="",Config!$B$4=0),"",$H344/Config!$B$4)</f>
        <v/>
      </c>
      <c r="P344" s="40" t="n">
        <f aca="false">IF($A344="","",SUM($H$325:$H344))</f>
        <v>0</v>
      </c>
      <c r="Q344" s="53" t="str">
        <f aca="false">IF($A344="","",IFERROR((AVERAGE($O$325:$O344)-Config!$B$7/Config!$B$6)/STDEV($O$325:$O344)*SQRT(Config!$B$6),""))</f>
        <v/>
      </c>
      <c r="R344" s="53" t="str">
        <f aca="false">IF($A344="","",IFERROR((AVERAGE($O$285:$O344)-Config!$B$7/Config!$B$6)/STDEV($O$285:$O344)*SQRT(Config!$B$6),""))</f>
        <v/>
      </c>
      <c r="S344" s="47" t="n">
        <f aca="false">IF($H344="",$S343,IF($H344&gt;0,$S343+1,0))</f>
        <v>1</v>
      </c>
      <c r="T344" s="47" t="n">
        <f aca="false">IF($H344="",$T343,IF($H344&lt;0,$T343+1,0))</f>
        <v>0</v>
      </c>
    </row>
    <row r="345" customFormat="false" ht="15" hidden="false" customHeight="false" outlineLevel="0" collapsed="false">
      <c r="A345" s="54" t="n">
        <f aca="false">IF($A344="","",$A344+1)</f>
        <v>46576</v>
      </c>
      <c r="B345" s="5" t="str">
        <f aca="false">IF($A345="","",TEXT($A345,"ddd"))</f>
        <v>Thu</v>
      </c>
      <c r="C345" s="41" t="n">
        <f aca="false">IF($A345="","",COUNTIFS('Trade Log'!$L$4:$L$503,$A345))</f>
        <v>0</v>
      </c>
      <c r="D345" s="40" t="n">
        <f aca="false">IF($A345="","",SUMIFS('Trade Log'!$Q$4:$Q$503,'Trade Log'!$L$4:$L$503,$A345,'Trade Log'!$E$4:$E$503,"LONG"))</f>
        <v>0</v>
      </c>
      <c r="E345" s="40" t="n">
        <f aca="false">IF($A345="","",SUMIFS('Trade Log'!$Q$4:$Q$503,'Trade Log'!$L$4:$L$503,$A345,'Trade Log'!$E$4:$E$503,"SHORT"))</f>
        <v>0</v>
      </c>
      <c r="F345" s="40" t="n">
        <f aca="false">IF($A345="","",$D345+$E345)</f>
        <v>0</v>
      </c>
      <c r="G345" s="40" t="n">
        <f aca="false">IF($A345="","",SUMIFS('Trade Log'!$Y$4:$Y$503,'Trade Log'!$L$4:$L$503,$A345))</f>
        <v>0</v>
      </c>
      <c r="H345" s="40" t="str">
        <f aca="false">IF($A345="","",IF($C345=0,"",$F345-$G345))</f>
        <v/>
      </c>
      <c r="I345" s="40" t="n">
        <f aca="false">IF($A345="","",$I344+IF($H345="",0,$H345))</f>
        <v>23918.5521880349</v>
      </c>
      <c r="J345" s="40" t="n">
        <f aca="false">IF($A345="","",Config!$B$4+$I345)</f>
        <v>1023918.55218803</v>
      </c>
      <c r="K345" s="40" t="n">
        <f aca="false">IF($A345="","",MAX($J$4:$J345))</f>
        <v>1023918.55218803</v>
      </c>
      <c r="L345" s="40" t="n">
        <f aca="false">IF($A345="","",$J345-$K345)</f>
        <v>0</v>
      </c>
      <c r="M345" s="42" t="n">
        <f aca="false">IF(OR($A345="",$K345=0),"",$L345/$K345)</f>
        <v>0</v>
      </c>
      <c r="N345" s="40" t="n">
        <f aca="false">IF($A345="","",SUMIFS('Trade Log'!$K$4:$K$503,'Trade Log'!$H$4:$H$503,$A345))</f>
        <v>0</v>
      </c>
      <c r="O345" s="42" t="str">
        <f aca="false">IF(OR($A345="",$H345="",Config!$B$4=0),"",$H345/Config!$B$4)</f>
        <v/>
      </c>
      <c r="P345" s="40" t="n">
        <f aca="false">IF($A345="","",SUM($H$326:$H345))</f>
        <v>0</v>
      </c>
      <c r="Q345" s="53" t="str">
        <f aca="false">IF($A345="","",IFERROR((AVERAGE($O$326:$O345)-Config!$B$7/Config!$B$6)/STDEV($O$326:$O345)*SQRT(Config!$B$6),""))</f>
        <v/>
      </c>
      <c r="R345" s="53" t="str">
        <f aca="false">IF($A345="","",IFERROR((AVERAGE($O$286:$O345)-Config!$B$7/Config!$B$6)/STDEV($O$286:$O345)*SQRT(Config!$B$6),""))</f>
        <v/>
      </c>
      <c r="S345" s="47" t="n">
        <f aca="false">IF($H345="",$S344,IF($H345&gt;0,$S344+1,0))</f>
        <v>1</v>
      </c>
      <c r="T345" s="47" t="n">
        <f aca="false">IF($H345="",$T344,IF($H345&lt;0,$T344+1,0))</f>
        <v>0</v>
      </c>
    </row>
    <row r="346" customFormat="false" ht="15" hidden="false" customHeight="false" outlineLevel="0" collapsed="false">
      <c r="A346" s="54" t="n">
        <f aca="false">IF($A345="","",$A345+1)</f>
        <v>46577</v>
      </c>
      <c r="B346" s="5" t="str">
        <f aca="false">IF($A346="","",TEXT($A346,"ddd"))</f>
        <v>Fri</v>
      </c>
      <c r="C346" s="41" t="n">
        <f aca="false">IF($A346="","",COUNTIFS('Trade Log'!$L$4:$L$503,$A346))</f>
        <v>0</v>
      </c>
      <c r="D346" s="40" t="n">
        <f aca="false">IF($A346="","",SUMIFS('Trade Log'!$Q$4:$Q$503,'Trade Log'!$L$4:$L$503,$A346,'Trade Log'!$E$4:$E$503,"LONG"))</f>
        <v>0</v>
      </c>
      <c r="E346" s="40" t="n">
        <f aca="false">IF($A346="","",SUMIFS('Trade Log'!$Q$4:$Q$503,'Trade Log'!$L$4:$L$503,$A346,'Trade Log'!$E$4:$E$503,"SHORT"))</f>
        <v>0</v>
      </c>
      <c r="F346" s="40" t="n">
        <f aca="false">IF($A346="","",$D346+$E346)</f>
        <v>0</v>
      </c>
      <c r="G346" s="40" t="n">
        <f aca="false">IF($A346="","",SUMIFS('Trade Log'!$Y$4:$Y$503,'Trade Log'!$L$4:$L$503,$A346))</f>
        <v>0</v>
      </c>
      <c r="H346" s="40" t="str">
        <f aca="false">IF($A346="","",IF($C346=0,"",$F346-$G346))</f>
        <v/>
      </c>
      <c r="I346" s="40" t="n">
        <f aca="false">IF($A346="","",$I345+IF($H346="",0,$H346))</f>
        <v>23918.5521880349</v>
      </c>
      <c r="J346" s="40" t="n">
        <f aca="false">IF($A346="","",Config!$B$4+$I346)</f>
        <v>1023918.55218803</v>
      </c>
      <c r="K346" s="40" t="n">
        <f aca="false">IF($A346="","",MAX($J$4:$J346))</f>
        <v>1023918.55218803</v>
      </c>
      <c r="L346" s="40" t="n">
        <f aca="false">IF($A346="","",$J346-$K346)</f>
        <v>0</v>
      </c>
      <c r="M346" s="42" t="n">
        <f aca="false">IF(OR($A346="",$K346=0),"",$L346/$K346)</f>
        <v>0</v>
      </c>
      <c r="N346" s="40" t="n">
        <f aca="false">IF($A346="","",SUMIFS('Trade Log'!$K$4:$K$503,'Trade Log'!$H$4:$H$503,$A346))</f>
        <v>0</v>
      </c>
      <c r="O346" s="42" t="str">
        <f aca="false">IF(OR($A346="",$H346="",Config!$B$4=0),"",$H346/Config!$B$4)</f>
        <v/>
      </c>
      <c r="P346" s="40" t="n">
        <f aca="false">IF($A346="","",SUM($H$327:$H346))</f>
        <v>0</v>
      </c>
      <c r="Q346" s="53" t="str">
        <f aca="false">IF($A346="","",IFERROR((AVERAGE($O$327:$O346)-Config!$B$7/Config!$B$6)/STDEV($O$327:$O346)*SQRT(Config!$B$6),""))</f>
        <v/>
      </c>
      <c r="R346" s="53" t="str">
        <f aca="false">IF($A346="","",IFERROR((AVERAGE($O$287:$O346)-Config!$B$7/Config!$B$6)/STDEV($O$287:$O346)*SQRT(Config!$B$6),""))</f>
        <v/>
      </c>
      <c r="S346" s="47" t="n">
        <f aca="false">IF($H346="",$S345,IF($H346&gt;0,$S345+1,0))</f>
        <v>1</v>
      </c>
      <c r="T346" s="47" t="n">
        <f aca="false">IF($H346="",$T345,IF($H346&lt;0,$T345+1,0))</f>
        <v>0</v>
      </c>
    </row>
    <row r="347" customFormat="false" ht="15" hidden="false" customHeight="false" outlineLevel="0" collapsed="false">
      <c r="A347" s="54" t="n">
        <f aca="false">IF($A346="","",$A346+1)</f>
        <v>46578</v>
      </c>
      <c r="B347" s="5" t="str">
        <f aca="false">IF($A347="","",TEXT($A347,"ddd"))</f>
        <v>Sat</v>
      </c>
      <c r="C347" s="41" t="n">
        <f aca="false">IF($A347="","",COUNTIFS('Trade Log'!$L$4:$L$503,$A347))</f>
        <v>0</v>
      </c>
      <c r="D347" s="40" t="n">
        <f aca="false">IF($A347="","",SUMIFS('Trade Log'!$Q$4:$Q$503,'Trade Log'!$L$4:$L$503,$A347,'Trade Log'!$E$4:$E$503,"LONG"))</f>
        <v>0</v>
      </c>
      <c r="E347" s="40" t="n">
        <f aca="false">IF($A347="","",SUMIFS('Trade Log'!$Q$4:$Q$503,'Trade Log'!$L$4:$L$503,$A347,'Trade Log'!$E$4:$E$503,"SHORT"))</f>
        <v>0</v>
      </c>
      <c r="F347" s="40" t="n">
        <f aca="false">IF($A347="","",$D347+$E347)</f>
        <v>0</v>
      </c>
      <c r="G347" s="40" t="n">
        <f aca="false">IF($A347="","",SUMIFS('Trade Log'!$Y$4:$Y$503,'Trade Log'!$L$4:$L$503,$A347))</f>
        <v>0</v>
      </c>
      <c r="H347" s="40" t="str">
        <f aca="false">IF($A347="","",IF($C347=0,"",$F347-$G347))</f>
        <v/>
      </c>
      <c r="I347" s="40" t="n">
        <f aca="false">IF($A347="","",$I346+IF($H347="",0,$H347))</f>
        <v>23918.5521880349</v>
      </c>
      <c r="J347" s="40" t="n">
        <f aca="false">IF($A347="","",Config!$B$4+$I347)</f>
        <v>1023918.55218803</v>
      </c>
      <c r="K347" s="40" t="n">
        <f aca="false">IF($A347="","",MAX($J$4:$J347))</f>
        <v>1023918.55218803</v>
      </c>
      <c r="L347" s="40" t="n">
        <f aca="false">IF($A347="","",$J347-$K347)</f>
        <v>0</v>
      </c>
      <c r="M347" s="42" t="n">
        <f aca="false">IF(OR($A347="",$K347=0),"",$L347/$K347)</f>
        <v>0</v>
      </c>
      <c r="N347" s="40" t="n">
        <f aca="false">IF($A347="","",SUMIFS('Trade Log'!$K$4:$K$503,'Trade Log'!$H$4:$H$503,$A347))</f>
        <v>0</v>
      </c>
      <c r="O347" s="42" t="str">
        <f aca="false">IF(OR($A347="",$H347="",Config!$B$4=0),"",$H347/Config!$B$4)</f>
        <v/>
      </c>
      <c r="P347" s="40" t="n">
        <f aca="false">IF($A347="","",SUM($H$328:$H347))</f>
        <v>0</v>
      </c>
      <c r="Q347" s="53" t="str">
        <f aca="false">IF($A347="","",IFERROR((AVERAGE($O$328:$O347)-Config!$B$7/Config!$B$6)/STDEV($O$328:$O347)*SQRT(Config!$B$6),""))</f>
        <v/>
      </c>
      <c r="R347" s="53" t="str">
        <f aca="false">IF($A347="","",IFERROR((AVERAGE($O$288:$O347)-Config!$B$7/Config!$B$6)/STDEV($O$288:$O347)*SQRT(Config!$B$6),""))</f>
        <v/>
      </c>
      <c r="S347" s="47" t="n">
        <f aca="false">IF($H347="",$S346,IF($H347&gt;0,$S346+1,0))</f>
        <v>1</v>
      </c>
      <c r="T347" s="47" t="n">
        <f aca="false">IF($H347="",$T346,IF($H347&lt;0,$T346+1,0))</f>
        <v>0</v>
      </c>
    </row>
    <row r="348" customFormat="false" ht="15" hidden="false" customHeight="false" outlineLevel="0" collapsed="false">
      <c r="A348" s="54" t="n">
        <f aca="false">IF($A347="","",$A347+1)</f>
        <v>46579</v>
      </c>
      <c r="B348" s="5" t="str">
        <f aca="false">IF($A348="","",TEXT($A348,"ddd"))</f>
        <v>Sun</v>
      </c>
      <c r="C348" s="41" t="n">
        <f aca="false">IF($A348="","",COUNTIFS('Trade Log'!$L$4:$L$503,$A348))</f>
        <v>0</v>
      </c>
      <c r="D348" s="40" t="n">
        <f aca="false">IF($A348="","",SUMIFS('Trade Log'!$Q$4:$Q$503,'Trade Log'!$L$4:$L$503,$A348,'Trade Log'!$E$4:$E$503,"LONG"))</f>
        <v>0</v>
      </c>
      <c r="E348" s="40" t="n">
        <f aca="false">IF($A348="","",SUMIFS('Trade Log'!$Q$4:$Q$503,'Trade Log'!$L$4:$L$503,$A348,'Trade Log'!$E$4:$E$503,"SHORT"))</f>
        <v>0</v>
      </c>
      <c r="F348" s="40" t="n">
        <f aca="false">IF($A348="","",$D348+$E348)</f>
        <v>0</v>
      </c>
      <c r="G348" s="40" t="n">
        <f aca="false">IF($A348="","",SUMIFS('Trade Log'!$Y$4:$Y$503,'Trade Log'!$L$4:$L$503,$A348))</f>
        <v>0</v>
      </c>
      <c r="H348" s="40" t="str">
        <f aca="false">IF($A348="","",IF($C348=0,"",$F348-$G348))</f>
        <v/>
      </c>
      <c r="I348" s="40" t="n">
        <f aca="false">IF($A348="","",$I347+IF($H348="",0,$H348))</f>
        <v>23918.5521880349</v>
      </c>
      <c r="J348" s="40" t="n">
        <f aca="false">IF($A348="","",Config!$B$4+$I348)</f>
        <v>1023918.55218803</v>
      </c>
      <c r="K348" s="40" t="n">
        <f aca="false">IF($A348="","",MAX($J$4:$J348))</f>
        <v>1023918.55218803</v>
      </c>
      <c r="L348" s="40" t="n">
        <f aca="false">IF($A348="","",$J348-$K348)</f>
        <v>0</v>
      </c>
      <c r="M348" s="42" t="n">
        <f aca="false">IF(OR($A348="",$K348=0),"",$L348/$K348)</f>
        <v>0</v>
      </c>
      <c r="N348" s="40" t="n">
        <f aca="false">IF($A348="","",SUMIFS('Trade Log'!$K$4:$K$503,'Trade Log'!$H$4:$H$503,$A348))</f>
        <v>0</v>
      </c>
      <c r="O348" s="42" t="str">
        <f aca="false">IF(OR($A348="",$H348="",Config!$B$4=0),"",$H348/Config!$B$4)</f>
        <v/>
      </c>
      <c r="P348" s="40" t="n">
        <f aca="false">IF($A348="","",SUM($H$329:$H348))</f>
        <v>0</v>
      </c>
      <c r="Q348" s="53" t="str">
        <f aca="false">IF($A348="","",IFERROR((AVERAGE($O$329:$O348)-Config!$B$7/Config!$B$6)/STDEV($O$329:$O348)*SQRT(Config!$B$6),""))</f>
        <v/>
      </c>
      <c r="R348" s="53" t="str">
        <f aca="false">IF($A348="","",IFERROR((AVERAGE($O$289:$O348)-Config!$B$7/Config!$B$6)/STDEV($O$289:$O348)*SQRT(Config!$B$6),""))</f>
        <v/>
      </c>
      <c r="S348" s="47" t="n">
        <f aca="false">IF($H348="",$S347,IF($H348&gt;0,$S347+1,0))</f>
        <v>1</v>
      </c>
      <c r="T348" s="47" t="n">
        <f aca="false">IF($H348="",$T347,IF($H348&lt;0,$T347+1,0))</f>
        <v>0</v>
      </c>
    </row>
    <row r="349" customFormat="false" ht="15" hidden="false" customHeight="false" outlineLevel="0" collapsed="false">
      <c r="A349" s="54" t="n">
        <f aca="false">IF($A348="","",$A348+1)</f>
        <v>46580</v>
      </c>
      <c r="B349" s="5" t="str">
        <f aca="false">IF($A349="","",TEXT($A349,"ddd"))</f>
        <v>Mon</v>
      </c>
      <c r="C349" s="41" t="n">
        <f aca="false">IF($A349="","",COUNTIFS('Trade Log'!$L$4:$L$503,$A349))</f>
        <v>0</v>
      </c>
      <c r="D349" s="40" t="n">
        <f aca="false">IF($A349="","",SUMIFS('Trade Log'!$Q$4:$Q$503,'Trade Log'!$L$4:$L$503,$A349,'Trade Log'!$E$4:$E$503,"LONG"))</f>
        <v>0</v>
      </c>
      <c r="E349" s="40" t="n">
        <f aca="false">IF($A349="","",SUMIFS('Trade Log'!$Q$4:$Q$503,'Trade Log'!$L$4:$L$503,$A349,'Trade Log'!$E$4:$E$503,"SHORT"))</f>
        <v>0</v>
      </c>
      <c r="F349" s="40" t="n">
        <f aca="false">IF($A349="","",$D349+$E349)</f>
        <v>0</v>
      </c>
      <c r="G349" s="40" t="n">
        <f aca="false">IF($A349="","",SUMIFS('Trade Log'!$Y$4:$Y$503,'Trade Log'!$L$4:$L$503,$A349))</f>
        <v>0</v>
      </c>
      <c r="H349" s="40" t="str">
        <f aca="false">IF($A349="","",IF($C349=0,"",$F349-$G349))</f>
        <v/>
      </c>
      <c r="I349" s="40" t="n">
        <f aca="false">IF($A349="","",$I348+IF($H349="",0,$H349))</f>
        <v>23918.5521880349</v>
      </c>
      <c r="J349" s="40" t="n">
        <f aca="false">IF($A349="","",Config!$B$4+$I349)</f>
        <v>1023918.55218803</v>
      </c>
      <c r="K349" s="40" t="n">
        <f aca="false">IF($A349="","",MAX($J$4:$J349))</f>
        <v>1023918.55218803</v>
      </c>
      <c r="L349" s="40" t="n">
        <f aca="false">IF($A349="","",$J349-$K349)</f>
        <v>0</v>
      </c>
      <c r="M349" s="42" t="n">
        <f aca="false">IF(OR($A349="",$K349=0),"",$L349/$K349)</f>
        <v>0</v>
      </c>
      <c r="N349" s="40" t="n">
        <f aca="false">IF($A349="","",SUMIFS('Trade Log'!$K$4:$K$503,'Trade Log'!$H$4:$H$503,$A349))</f>
        <v>0</v>
      </c>
      <c r="O349" s="42" t="str">
        <f aca="false">IF(OR($A349="",$H349="",Config!$B$4=0),"",$H349/Config!$B$4)</f>
        <v/>
      </c>
      <c r="P349" s="40" t="n">
        <f aca="false">IF($A349="","",SUM($H$330:$H349))</f>
        <v>0</v>
      </c>
      <c r="Q349" s="53" t="str">
        <f aca="false">IF($A349="","",IFERROR((AVERAGE($O$330:$O349)-Config!$B$7/Config!$B$6)/STDEV($O$330:$O349)*SQRT(Config!$B$6),""))</f>
        <v/>
      </c>
      <c r="R349" s="53" t="str">
        <f aca="false">IF($A349="","",IFERROR((AVERAGE($O$290:$O349)-Config!$B$7/Config!$B$6)/STDEV($O$290:$O349)*SQRT(Config!$B$6),""))</f>
        <v/>
      </c>
      <c r="S349" s="47" t="n">
        <f aca="false">IF($H349="",$S348,IF($H349&gt;0,$S348+1,0))</f>
        <v>1</v>
      </c>
      <c r="T349" s="47" t="n">
        <f aca="false">IF($H349="",$T348,IF($H349&lt;0,$T348+1,0))</f>
        <v>0</v>
      </c>
    </row>
    <row r="350" customFormat="false" ht="15" hidden="false" customHeight="false" outlineLevel="0" collapsed="false">
      <c r="A350" s="54" t="n">
        <f aca="false">IF($A349="","",$A349+1)</f>
        <v>46581</v>
      </c>
      <c r="B350" s="5" t="str">
        <f aca="false">IF($A350="","",TEXT($A350,"ddd"))</f>
        <v>Tue</v>
      </c>
      <c r="C350" s="41" t="n">
        <f aca="false">IF($A350="","",COUNTIFS('Trade Log'!$L$4:$L$503,$A350))</f>
        <v>0</v>
      </c>
      <c r="D350" s="40" t="n">
        <f aca="false">IF($A350="","",SUMIFS('Trade Log'!$Q$4:$Q$503,'Trade Log'!$L$4:$L$503,$A350,'Trade Log'!$E$4:$E$503,"LONG"))</f>
        <v>0</v>
      </c>
      <c r="E350" s="40" t="n">
        <f aca="false">IF($A350="","",SUMIFS('Trade Log'!$Q$4:$Q$503,'Trade Log'!$L$4:$L$503,$A350,'Trade Log'!$E$4:$E$503,"SHORT"))</f>
        <v>0</v>
      </c>
      <c r="F350" s="40" t="n">
        <f aca="false">IF($A350="","",$D350+$E350)</f>
        <v>0</v>
      </c>
      <c r="G350" s="40" t="n">
        <f aca="false">IF($A350="","",SUMIFS('Trade Log'!$Y$4:$Y$503,'Trade Log'!$L$4:$L$503,$A350))</f>
        <v>0</v>
      </c>
      <c r="H350" s="40" t="str">
        <f aca="false">IF($A350="","",IF($C350=0,"",$F350-$G350))</f>
        <v/>
      </c>
      <c r="I350" s="40" t="n">
        <f aca="false">IF($A350="","",$I349+IF($H350="",0,$H350))</f>
        <v>23918.5521880349</v>
      </c>
      <c r="J350" s="40" t="n">
        <f aca="false">IF($A350="","",Config!$B$4+$I350)</f>
        <v>1023918.55218803</v>
      </c>
      <c r="K350" s="40" t="n">
        <f aca="false">IF($A350="","",MAX($J$4:$J350))</f>
        <v>1023918.55218803</v>
      </c>
      <c r="L350" s="40" t="n">
        <f aca="false">IF($A350="","",$J350-$K350)</f>
        <v>0</v>
      </c>
      <c r="M350" s="42" t="n">
        <f aca="false">IF(OR($A350="",$K350=0),"",$L350/$K350)</f>
        <v>0</v>
      </c>
      <c r="N350" s="40" t="n">
        <f aca="false">IF($A350="","",SUMIFS('Trade Log'!$K$4:$K$503,'Trade Log'!$H$4:$H$503,$A350))</f>
        <v>0</v>
      </c>
      <c r="O350" s="42" t="str">
        <f aca="false">IF(OR($A350="",$H350="",Config!$B$4=0),"",$H350/Config!$B$4)</f>
        <v/>
      </c>
      <c r="P350" s="40" t="n">
        <f aca="false">IF($A350="","",SUM($H$331:$H350))</f>
        <v>0</v>
      </c>
      <c r="Q350" s="53" t="str">
        <f aca="false">IF($A350="","",IFERROR((AVERAGE($O$331:$O350)-Config!$B$7/Config!$B$6)/STDEV($O$331:$O350)*SQRT(Config!$B$6),""))</f>
        <v/>
      </c>
      <c r="R350" s="53" t="str">
        <f aca="false">IF($A350="","",IFERROR((AVERAGE($O$291:$O350)-Config!$B$7/Config!$B$6)/STDEV($O$291:$O350)*SQRT(Config!$B$6),""))</f>
        <v/>
      </c>
      <c r="S350" s="47" t="n">
        <f aca="false">IF($H350="",$S349,IF($H350&gt;0,$S349+1,0))</f>
        <v>1</v>
      </c>
      <c r="T350" s="47" t="n">
        <f aca="false">IF($H350="",$T349,IF($H350&lt;0,$T349+1,0))</f>
        <v>0</v>
      </c>
    </row>
    <row r="351" customFormat="false" ht="15" hidden="false" customHeight="false" outlineLevel="0" collapsed="false">
      <c r="A351" s="54" t="n">
        <f aca="false">IF($A350="","",$A350+1)</f>
        <v>46582</v>
      </c>
      <c r="B351" s="5" t="str">
        <f aca="false">IF($A351="","",TEXT($A351,"ddd"))</f>
        <v>Wed</v>
      </c>
      <c r="C351" s="41" t="n">
        <f aca="false">IF($A351="","",COUNTIFS('Trade Log'!$L$4:$L$503,$A351))</f>
        <v>0</v>
      </c>
      <c r="D351" s="40" t="n">
        <f aca="false">IF($A351="","",SUMIFS('Trade Log'!$Q$4:$Q$503,'Trade Log'!$L$4:$L$503,$A351,'Trade Log'!$E$4:$E$503,"LONG"))</f>
        <v>0</v>
      </c>
      <c r="E351" s="40" t="n">
        <f aca="false">IF($A351="","",SUMIFS('Trade Log'!$Q$4:$Q$503,'Trade Log'!$L$4:$L$503,$A351,'Trade Log'!$E$4:$E$503,"SHORT"))</f>
        <v>0</v>
      </c>
      <c r="F351" s="40" t="n">
        <f aca="false">IF($A351="","",$D351+$E351)</f>
        <v>0</v>
      </c>
      <c r="G351" s="40" t="n">
        <f aca="false">IF($A351="","",SUMIFS('Trade Log'!$Y$4:$Y$503,'Trade Log'!$L$4:$L$503,$A351))</f>
        <v>0</v>
      </c>
      <c r="H351" s="40" t="str">
        <f aca="false">IF($A351="","",IF($C351=0,"",$F351-$G351))</f>
        <v/>
      </c>
      <c r="I351" s="40" t="n">
        <f aca="false">IF($A351="","",$I350+IF($H351="",0,$H351))</f>
        <v>23918.5521880349</v>
      </c>
      <c r="J351" s="40" t="n">
        <f aca="false">IF($A351="","",Config!$B$4+$I351)</f>
        <v>1023918.55218803</v>
      </c>
      <c r="K351" s="40" t="n">
        <f aca="false">IF($A351="","",MAX($J$4:$J351))</f>
        <v>1023918.55218803</v>
      </c>
      <c r="L351" s="40" t="n">
        <f aca="false">IF($A351="","",$J351-$K351)</f>
        <v>0</v>
      </c>
      <c r="M351" s="42" t="n">
        <f aca="false">IF(OR($A351="",$K351=0),"",$L351/$K351)</f>
        <v>0</v>
      </c>
      <c r="N351" s="40" t="n">
        <f aca="false">IF($A351="","",SUMIFS('Trade Log'!$K$4:$K$503,'Trade Log'!$H$4:$H$503,$A351))</f>
        <v>0</v>
      </c>
      <c r="O351" s="42" t="str">
        <f aca="false">IF(OR($A351="",$H351="",Config!$B$4=0),"",$H351/Config!$B$4)</f>
        <v/>
      </c>
      <c r="P351" s="40" t="n">
        <f aca="false">IF($A351="","",SUM($H$332:$H351))</f>
        <v>0</v>
      </c>
      <c r="Q351" s="53" t="str">
        <f aca="false">IF($A351="","",IFERROR((AVERAGE($O$332:$O351)-Config!$B$7/Config!$B$6)/STDEV($O$332:$O351)*SQRT(Config!$B$6),""))</f>
        <v/>
      </c>
      <c r="R351" s="53" t="str">
        <f aca="false">IF($A351="","",IFERROR((AVERAGE($O$292:$O351)-Config!$B$7/Config!$B$6)/STDEV($O$292:$O351)*SQRT(Config!$B$6),""))</f>
        <v/>
      </c>
      <c r="S351" s="47" t="n">
        <f aca="false">IF($H351="",$S350,IF($H351&gt;0,$S350+1,0))</f>
        <v>1</v>
      </c>
      <c r="T351" s="47" t="n">
        <f aca="false">IF($H351="",$T350,IF($H351&lt;0,$T350+1,0))</f>
        <v>0</v>
      </c>
    </row>
    <row r="352" customFormat="false" ht="15" hidden="false" customHeight="false" outlineLevel="0" collapsed="false">
      <c r="A352" s="54" t="n">
        <f aca="false">IF($A351="","",$A351+1)</f>
        <v>46583</v>
      </c>
      <c r="B352" s="5" t="str">
        <f aca="false">IF($A352="","",TEXT($A352,"ddd"))</f>
        <v>Thu</v>
      </c>
      <c r="C352" s="41" t="n">
        <f aca="false">IF($A352="","",COUNTIFS('Trade Log'!$L$4:$L$503,$A352))</f>
        <v>0</v>
      </c>
      <c r="D352" s="40" t="n">
        <f aca="false">IF($A352="","",SUMIFS('Trade Log'!$Q$4:$Q$503,'Trade Log'!$L$4:$L$503,$A352,'Trade Log'!$E$4:$E$503,"LONG"))</f>
        <v>0</v>
      </c>
      <c r="E352" s="40" t="n">
        <f aca="false">IF($A352="","",SUMIFS('Trade Log'!$Q$4:$Q$503,'Trade Log'!$L$4:$L$503,$A352,'Trade Log'!$E$4:$E$503,"SHORT"))</f>
        <v>0</v>
      </c>
      <c r="F352" s="40" t="n">
        <f aca="false">IF($A352="","",$D352+$E352)</f>
        <v>0</v>
      </c>
      <c r="G352" s="40" t="n">
        <f aca="false">IF($A352="","",SUMIFS('Trade Log'!$Y$4:$Y$503,'Trade Log'!$L$4:$L$503,$A352))</f>
        <v>0</v>
      </c>
      <c r="H352" s="40" t="str">
        <f aca="false">IF($A352="","",IF($C352=0,"",$F352-$G352))</f>
        <v/>
      </c>
      <c r="I352" s="40" t="n">
        <f aca="false">IF($A352="","",$I351+IF($H352="",0,$H352))</f>
        <v>23918.5521880349</v>
      </c>
      <c r="J352" s="40" t="n">
        <f aca="false">IF($A352="","",Config!$B$4+$I352)</f>
        <v>1023918.55218803</v>
      </c>
      <c r="K352" s="40" t="n">
        <f aca="false">IF($A352="","",MAX($J$4:$J352))</f>
        <v>1023918.55218803</v>
      </c>
      <c r="L352" s="40" t="n">
        <f aca="false">IF($A352="","",$J352-$K352)</f>
        <v>0</v>
      </c>
      <c r="M352" s="42" t="n">
        <f aca="false">IF(OR($A352="",$K352=0),"",$L352/$K352)</f>
        <v>0</v>
      </c>
      <c r="N352" s="40" t="n">
        <f aca="false">IF($A352="","",SUMIFS('Trade Log'!$K$4:$K$503,'Trade Log'!$H$4:$H$503,$A352))</f>
        <v>0</v>
      </c>
      <c r="O352" s="42" t="str">
        <f aca="false">IF(OR($A352="",$H352="",Config!$B$4=0),"",$H352/Config!$B$4)</f>
        <v/>
      </c>
      <c r="P352" s="40" t="n">
        <f aca="false">IF($A352="","",SUM($H$333:$H352))</f>
        <v>0</v>
      </c>
      <c r="Q352" s="53" t="str">
        <f aca="false">IF($A352="","",IFERROR((AVERAGE($O$333:$O352)-Config!$B$7/Config!$B$6)/STDEV($O$333:$O352)*SQRT(Config!$B$6),""))</f>
        <v/>
      </c>
      <c r="R352" s="53" t="str">
        <f aca="false">IF($A352="","",IFERROR((AVERAGE($O$293:$O352)-Config!$B$7/Config!$B$6)/STDEV($O$293:$O352)*SQRT(Config!$B$6),""))</f>
        <v/>
      </c>
      <c r="S352" s="47" t="n">
        <f aca="false">IF($H352="",$S351,IF($H352&gt;0,$S351+1,0))</f>
        <v>1</v>
      </c>
      <c r="T352" s="47" t="n">
        <f aca="false">IF($H352="",$T351,IF($H352&lt;0,$T351+1,0))</f>
        <v>0</v>
      </c>
    </row>
    <row r="353" customFormat="false" ht="15" hidden="false" customHeight="false" outlineLevel="0" collapsed="false">
      <c r="A353" s="54" t="n">
        <f aca="false">IF($A352="","",$A352+1)</f>
        <v>46584</v>
      </c>
      <c r="B353" s="5" t="str">
        <f aca="false">IF($A353="","",TEXT($A353,"ddd"))</f>
        <v>Fri</v>
      </c>
      <c r="C353" s="41" t="n">
        <f aca="false">IF($A353="","",COUNTIFS('Trade Log'!$L$4:$L$503,$A353))</f>
        <v>0</v>
      </c>
      <c r="D353" s="40" t="n">
        <f aca="false">IF($A353="","",SUMIFS('Trade Log'!$Q$4:$Q$503,'Trade Log'!$L$4:$L$503,$A353,'Trade Log'!$E$4:$E$503,"LONG"))</f>
        <v>0</v>
      </c>
      <c r="E353" s="40" t="n">
        <f aca="false">IF($A353="","",SUMIFS('Trade Log'!$Q$4:$Q$503,'Trade Log'!$L$4:$L$503,$A353,'Trade Log'!$E$4:$E$503,"SHORT"))</f>
        <v>0</v>
      </c>
      <c r="F353" s="40" t="n">
        <f aca="false">IF($A353="","",$D353+$E353)</f>
        <v>0</v>
      </c>
      <c r="G353" s="40" t="n">
        <f aca="false">IF($A353="","",SUMIFS('Trade Log'!$Y$4:$Y$503,'Trade Log'!$L$4:$L$503,$A353))</f>
        <v>0</v>
      </c>
      <c r="H353" s="40" t="str">
        <f aca="false">IF($A353="","",IF($C353=0,"",$F353-$G353))</f>
        <v/>
      </c>
      <c r="I353" s="40" t="n">
        <f aca="false">IF($A353="","",$I352+IF($H353="",0,$H353))</f>
        <v>23918.5521880349</v>
      </c>
      <c r="J353" s="40" t="n">
        <f aca="false">IF($A353="","",Config!$B$4+$I353)</f>
        <v>1023918.55218803</v>
      </c>
      <c r="K353" s="40" t="n">
        <f aca="false">IF($A353="","",MAX($J$4:$J353))</f>
        <v>1023918.55218803</v>
      </c>
      <c r="L353" s="40" t="n">
        <f aca="false">IF($A353="","",$J353-$K353)</f>
        <v>0</v>
      </c>
      <c r="M353" s="42" t="n">
        <f aca="false">IF(OR($A353="",$K353=0),"",$L353/$K353)</f>
        <v>0</v>
      </c>
      <c r="N353" s="40" t="n">
        <f aca="false">IF($A353="","",SUMIFS('Trade Log'!$K$4:$K$503,'Trade Log'!$H$4:$H$503,$A353))</f>
        <v>0</v>
      </c>
      <c r="O353" s="42" t="str">
        <f aca="false">IF(OR($A353="",$H353="",Config!$B$4=0),"",$H353/Config!$B$4)</f>
        <v/>
      </c>
      <c r="P353" s="40" t="n">
        <f aca="false">IF($A353="","",SUM($H$334:$H353))</f>
        <v>0</v>
      </c>
      <c r="Q353" s="53" t="str">
        <f aca="false">IF($A353="","",IFERROR((AVERAGE($O$334:$O353)-Config!$B$7/Config!$B$6)/STDEV($O$334:$O353)*SQRT(Config!$B$6),""))</f>
        <v/>
      </c>
      <c r="R353" s="53" t="str">
        <f aca="false">IF($A353="","",IFERROR((AVERAGE($O$294:$O353)-Config!$B$7/Config!$B$6)/STDEV($O$294:$O353)*SQRT(Config!$B$6),""))</f>
        <v/>
      </c>
      <c r="S353" s="47" t="n">
        <f aca="false">IF($H353="",$S352,IF($H353&gt;0,$S352+1,0))</f>
        <v>1</v>
      </c>
      <c r="T353" s="47" t="n">
        <f aca="false">IF($H353="",$T352,IF($H353&lt;0,$T352+1,0))</f>
        <v>0</v>
      </c>
    </row>
    <row r="354" customFormat="false" ht="15" hidden="false" customHeight="false" outlineLevel="0" collapsed="false">
      <c r="A354" s="54" t="n">
        <f aca="false">IF($A353="","",$A353+1)</f>
        <v>46585</v>
      </c>
      <c r="B354" s="5" t="str">
        <f aca="false">IF($A354="","",TEXT($A354,"ddd"))</f>
        <v>Sat</v>
      </c>
      <c r="C354" s="41" t="n">
        <f aca="false">IF($A354="","",COUNTIFS('Trade Log'!$L$4:$L$503,$A354))</f>
        <v>0</v>
      </c>
      <c r="D354" s="40" t="n">
        <f aca="false">IF($A354="","",SUMIFS('Trade Log'!$Q$4:$Q$503,'Trade Log'!$L$4:$L$503,$A354,'Trade Log'!$E$4:$E$503,"LONG"))</f>
        <v>0</v>
      </c>
      <c r="E354" s="40" t="n">
        <f aca="false">IF($A354="","",SUMIFS('Trade Log'!$Q$4:$Q$503,'Trade Log'!$L$4:$L$503,$A354,'Trade Log'!$E$4:$E$503,"SHORT"))</f>
        <v>0</v>
      </c>
      <c r="F354" s="40" t="n">
        <f aca="false">IF($A354="","",$D354+$E354)</f>
        <v>0</v>
      </c>
      <c r="G354" s="40" t="n">
        <f aca="false">IF($A354="","",SUMIFS('Trade Log'!$Y$4:$Y$503,'Trade Log'!$L$4:$L$503,$A354))</f>
        <v>0</v>
      </c>
      <c r="H354" s="40" t="str">
        <f aca="false">IF($A354="","",IF($C354=0,"",$F354-$G354))</f>
        <v/>
      </c>
      <c r="I354" s="40" t="n">
        <f aca="false">IF($A354="","",$I353+IF($H354="",0,$H354))</f>
        <v>23918.5521880349</v>
      </c>
      <c r="J354" s="40" t="n">
        <f aca="false">IF($A354="","",Config!$B$4+$I354)</f>
        <v>1023918.55218803</v>
      </c>
      <c r="K354" s="40" t="n">
        <f aca="false">IF($A354="","",MAX($J$4:$J354))</f>
        <v>1023918.55218803</v>
      </c>
      <c r="L354" s="40" t="n">
        <f aca="false">IF($A354="","",$J354-$K354)</f>
        <v>0</v>
      </c>
      <c r="M354" s="42" t="n">
        <f aca="false">IF(OR($A354="",$K354=0),"",$L354/$K354)</f>
        <v>0</v>
      </c>
      <c r="N354" s="40" t="n">
        <f aca="false">IF($A354="","",SUMIFS('Trade Log'!$K$4:$K$503,'Trade Log'!$H$4:$H$503,$A354))</f>
        <v>0</v>
      </c>
      <c r="O354" s="42" t="str">
        <f aca="false">IF(OR($A354="",$H354="",Config!$B$4=0),"",$H354/Config!$B$4)</f>
        <v/>
      </c>
      <c r="P354" s="40" t="n">
        <f aca="false">IF($A354="","",SUM($H$335:$H354))</f>
        <v>0</v>
      </c>
      <c r="Q354" s="53" t="str">
        <f aca="false">IF($A354="","",IFERROR((AVERAGE($O$335:$O354)-Config!$B$7/Config!$B$6)/STDEV($O$335:$O354)*SQRT(Config!$B$6),""))</f>
        <v/>
      </c>
      <c r="R354" s="53" t="str">
        <f aca="false">IF($A354="","",IFERROR((AVERAGE($O$295:$O354)-Config!$B$7/Config!$B$6)/STDEV($O$295:$O354)*SQRT(Config!$B$6),""))</f>
        <v/>
      </c>
      <c r="S354" s="47" t="n">
        <f aca="false">IF($H354="",$S353,IF($H354&gt;0,$S353+1,0))</f>
        <v>1</v>
      </c>
      <c r="T354" s="47" t="n">
        <f aca="false">IF($H354="",$T353,IF($H354&lt;0,$T353+1,0))</f>
        <v>0</v>
      </c>
    </row>
    <row r="355" customFormat="false" ht="15" hidden="false" customHeight="false" outlineLevel="0" collapsed="false">
      <c r="A355" s="54" t="n">
        <f aca="false">IF($A354="","",$A354+1)</f>
        <v>46586</v>
      </c>
      <c r="B355" s="5" t="str">
        <f aca="false">IF($A355="","",TEXT($A355,"ddd"))</f>
        <v>Sun</v>
      </c>
      <c r="C355" s="41" t="n">
        <f aca="false">IF($A355="","",COUNTIFS('Trade Log'!$L$4:$L$503,$A355))</f>
        <v>0</v>
      </c>
      <c r="D355" s="40" t="n">
        <f aca="false">IF($A355="","",SUMIFS('Trade Log'!$Q$4:$Q$503,'Trade Log'!$L$4:$L$503,$A355,'Trade Log'!$E$4:$E$503,"LONG"))</f>
        <v>0</v>
      </c>
      <c r="E355" s="40" t="n">
        <f aca="false">IF($A355="","",SUMIFS('Trade Log'!$Q$4:$Q$503,'Trade Log'!$L$4:$L$503,$A355,'Trade Log'!$E$4:$E$503,"SHORT"))</f>
        <v>0</v>
      </c>
      <c r="F355" s="40" t="n">
        <f aca="false">IF($A355="","",$D355+$E355)</f>
        <v>0</v>
      </c>
      <c r="G355" s="40" t="n">
        <f aca="false">IF($A355="","",SUMIFS('Trade Log'!$Y$4:$Y$503,'Trade Log'!$L$4:$L$503,$A355))</f>
        <v>0</v>
      </c>
      <c r="H355" s="40" t="str">
        <f aca="false">IF($A355="","",IF($C355=0,"",$F355-$G355))</f>
        <v/>
      </c>
      <c r="I355" s="40" t="n">
        <f aca="false">IF($A355="","",$I354+IF($H355="",0,$H355))</f>
        <v>23918.5521880349</v>
      </c>
      <c r="J355" s="40" t="n">
        <f aca="false">IF($A355="","",Config!$B$4+$I355)</f>
        <v>1023918.55218803</v>
      </c>
      <c r="K355" s="40" t="n">
        <f aca="false">IF($A355="","",MAX($J$4:$J355))</f>
        <v>1023918.55218803</v>
      </c>
      <c r="L355" s="40" t="n">
        <f aca="false">IF($A355="","",$J355-$K355)</f>
        <v>0</v>
      </c>
      <c r="M355" s="42" t="n">
        <f aca="false">IF(OR($A355="",$K355=0),"",$L355/$K355)</f>
        <v>0</v>
      </c>
      <c r="N355" s="40" t="n">
        <f aca="false">IF($A355="","",SUMIFS('Trade Log'!$K$4:$K$503,'Trade Log'!$H$4:$H$503,$A355))</f>
        <v>0</v>
      </c>
      <c r="O355" s="42" t="str">
        <f aca="false">IF(OR($A355="",$H355="",Config!$B$4=0),"",$H355/Config!$B$4)</f>
        <v/>
      </c>
      <c r="P355" s="40" t="n">
        <f aca="false">IF($A355="","",SUM($H$336:$H355))</f>
        <v>0</v>
      </c>
      <c r="Q355" s="53" t="str">
        <f aca="false">IF($A355="","",IFERROR((AVERAGE($O$336:$O355)-Config!$B$7/Config!$B$6)/STDEV($O$336:$O355)*SQRT(Config!$B$6),""))</f>
        <v/>
      </c>
      <c r="R355" s="53" t="str">
        <f aca="false">IF($A355="","",IFERROR((AVERAGE($O$296:$O355)-Config!$B$7/Config!$B$6)/STDEV($O$296:$O355)*SQRT(Config!$B$6),""))</f>
        <v/>
      </c>
      <c r="S355" s="47" t="n">
        <f aca="false">IF($H355="",$S354,IF($H355&gt;0,$S354+1,0))</f>
        <v>1</v>
      </c>
      <c r="T355" s="47" t="n">
        <f aca="false">IF($H355="",$T354,IF($H355&lt;0,$T354+1,0))</f>
        <v>0</v>
      </c>
    </row>
    <row r="356" customFormat="false" ht="15" hidden="false" customHeight="false" outlineLevel="0" collapsed="false">
      <c r="A356" s="54" t="n">
        <f aca="false">IF($A355="","",$A355+1)</f>
        <v>46587</v>
      </c>
      <c r="B356" s="5" t="str">
        <f aca="false">IF($A356="","",TEXT($A356,"ddd"))</f>
        <v>Mon</v>
      </c>
      <c r="C356" s="41" t="n">
        <f aca="false">IF($A356="","",COUNTIFS('Trade Log'!$L$4:$L$503,$A356))</f>
        <v>0</v>
      </c>
      <c r="D356" s="40" t="n">
        <f aca="false">IF($A356="","",SUMIFS('Trade Log'!$Q$4:$Q$503,'Trade Log'!$L$4:$L$503,$A356,'Trade Log'!$E$4:$E$503,"LONG"))</f>
        <v>0</v>
      </c>
      <c r="E356" s="40" t="n">
        <f aca="false">IF($A356="","",SUMIFS('Trade Log'!$Q$4:$Q$503,'Trade Log'!$L$4:$L$503,$A356,'Trade Log'!$E$4:$E$503,"SHORT"))</f>
        <v>0</v>
      </c>
      <c r="F356" s="40" t="n">
        <f aca="false">IF($A356="","",$D356+$E356)</f>
        <v>0</v>
      </c>
      <c r="G356" s="40" t="n">
        <f aca="false">IF($A356="","",SUMIFS('Trade Log'!$Y$4:$Y$503,'Trade Log'!$L$4:$L$503,$A356))</f>
        <v>0</v>
      </c>
      <c r="H356" s="40" t="str">
        <f aca="false">IF($A356="","",IF($C356=0,"",$F356-$G356))</f>
        <v/>
      </c>
      <c r="I356" s="40" t="n">
        <f aca="false">IF($A356="","",$I355+IF($H356="",0,$H356))</f>
        <v>23918.5521880349</v>
      </c>
      <c r="J356" s="40" t="n">
        <f aca="false">IF($A356="","",Config!$B$4+$I356)</f>
        <v>1023918.55218803</v>
      </c>
      <c r="K356" s="40" t="n">
        <f aca="false">IF($A356="","",MAX($J$4:$J356))</f>
        <v>1023918.55218803</v>
      </c>
      <c r="L356" s="40" t="n">
        <f aca="false">IF($A356="","",$J356-$K356)</f>
        <v>0</v>
      </c>
      <c r="M356" s="42" t="n">
        <f aca="false">IF(OR($A356="",$K356=0),"",$L356/$K356)</f>
        <v>0</v>
      </c>
      <c r="N356" s="40" t="n">
        <f aca="false">IF($A356="","",SUMIFS('Trade Log'!$K$4:$K$503,'Trade Log'!$H$4:$H$503,$A356))</f>
        <v>0</v>
      </c>
      <c r="O356" s="42" t="str">
        <f aca="false">IF(OR($A356="",$H356="",Config!$B$4=0),"",$H356/Config!$B$4)</f>
        <v/>
      </c>
      <c r="P356" s="40" t="n">
        <f aca="false">IF($A356="","",SUM($H$337:$H356))</f>
        <v>0</v>
      </c>
      <c r="Q356" s="53" t="str">
        <f aca="false">IF($A356="","",IFERROR((AVERAGE($O$337:$O356)-Config!$B$7/Config!$B$6)/STDEV($O$337:$O356)*SQRT(Config!$B$6),""))</f>
        <v/>
      </c>
      <c r="R356" s="53" t="str">
        <f aca="false">IF($A356="","",IFERROR((AVERAGE($O$297:$O356)-Config!$B$7/Config!$B$6)/STDEV($O$297:$O356)*SQRT(Config!$B$6),""))</f>
        <v/>
      </c>
      <c r="S356" s="47" t="n">
        <f aca="false">IF($H356="",$S355,IF($H356&gt;0,$S355+1,0))</f>
        <v>1</v>
      </c>
      <c r="T356" s="47" t="n">
        <f aca="false">IF($H356="",$T355,IF($H356&lt;0,$T355+1,0))</f>
        <v>0</v>
      </c>
    </row>
    <row r="357" customFormat="false" ht="15" hidden="false" customHeight="false" outlineLevel="0" collapsed="false">
      <c r="A357" s="54" t="n">
        <f aca="false">IF($A356="","",$A356+1)</f>
        <v>46588</v>
      </c>
      <c r="B357" s="5" t="str">
        <f aca="false">IF($A357="","",TEXT($A357,"ddd"))</f>
        <v>Tue</v>
      </c>
      <c r="C357" s="41" t="n">
        <f aca="false">IF($A357="","",COUNTIFS('Trade Log'!$L$4:$L$503,$A357))</f>
        <v>0</v>
      </c>
      <c r="D357" s="40" t="n">
        <f aca="false">IF($A357="","",SUMIFS('Trade Log'!$Q$4:$Q$503,'Trade Log'!$L$4:$L$503,$A357,'Trade Log'!$E$4:$E$503,"LONG"))</f>
        <v>0</v>
      </c>
      <c r="E357" s="40" t="n">
        <f aca="false">IF($A357="","",SUMIFS('Trade Log'!$Q$4:$Q$503,'Trade Log'!$L$4:$L$503,$A357,'Trade Log'!$E$4:$E$503,"SHORT"))</f>
        <v>0</v>
      </c>
      <c r="F357" s="40" t="n">
        <f aca="false">IF($A357="","",$D357+$E357)</f>
        <v>0</v>
      </c>
      <c r="G357" s="40" t="n">
        <f aca="false">IF($A357="","",SUMIFS('Trade Log'!$Y$4:$Y$503,'Trade Log'!$L$4:$L$503,$A357))</f>
        <v>0</v>
      </c>
      <c r="H357" s="40" t="str">
        <f aca="false">IF($A357="","",IF($C357=0,"",$F357-$G357))</f>
        <v/>
      </c>
      <c r="I357" s="40" t="n">
        <f aca="false">IF($A357="","",$I356+IF($H357="",0,$H357))</f>
        <v>23918.5521880349</v>
      </c>
      <c r="J357" s="40" t="n">
        <f aca="false">IF($A357="","",Config!$B$4+$I357)</f>
        <v>1023918.55218803</v>
      </c>
      <c r="K357" s="40" t="n">
        <f aca="false">IF($A357="","",MAX($J$4:$J357))</f>
        <v>1023918.55218803</v>
      </c>
      <c r="L357" s="40" t="n">
        <f aca="false">IF($A357="","",$J357-$K357)</f>
        <v>0</v>
      </c>
      <c r="M357" s="42" t="n">
        <f aca="false">IF(OR($A357="",$K357=0),"",$L357/$K357)</f>
        <v>0</v>
      </c>
      <c r="N357" s="40" t="n">
        <f aca="false">IF($A357="","",SUMIFS('Trade Log'!$K$4:$K$503,'Trade Log'!$H$4:$H$503,$A357))</f>
        <v>0</v>
      </c>
      <c r="O357" s="42" t="str">
        <f aca="false">IF(OR($A357="",$H357="",Config!$B$4=0),"",$H357/Config!$B$4)</f>
        <v/>
      </c>
      <c r="P357" s="40" t="n">
        <f aca="false">IF($A357="","",SUM($H$338:$H357))</f>
        <v>0</v>
      </c>
      <c r="Q357" s="53" t="str">
        <f aca="false">IF($A357="","",IFERROR((AVERAGE($O$338:$O357)-Config!$B$7/Config!$B$6)/STDEV($O$338:$O357)*SQRT(Config!$B$6),""))</f>
        <v/>
      </c>
      <c r="R357" s="53" t="str">
        <f aca="false">IF($A357="","",IFERROR((AVERAGE($O$298:$O357)-Config!$B$7/Config!$B$6)/STDEV($O$298:$O357)*SQRT(Config!$B$6),""))</f>
        <v/>
      </c>
      <c r="S357" s="47" t="n">
        <f aca="false">IF($H357="",$S356,IF($H357&gt;0,$S356+1,0))</f>
        <v>1</v>
      </c>
      <c r="T357" s="47" t="n">
        <f aca="false">IF($H357="",$T356,IF($H357&lt;0,$T356+1,0))</f>
        <v>0</v>
      </c>
    </row>
    <row r="358" customFormat="false" ht="15" hidden="false" customHeight="false" outlineLevel="0" collapsed="false">
      <c r="A358" s="54" t="n">
        <f aca="false">IF($A357="","",$A357+1)</f>
        <v>46589</v>
      </c>
      <c r="B358" s="5" t="str">
        <f aca="false">IF($A358="","",TEXT($A358,"ddd"))</f>
        <v>Wed</v>
      </c>
      <c r="C358" s="41" t="n">
        <f aca="false">IF($A358="","",COUNTIFS('Trade Log'!$L$4:$L$503,$A358))</f>
        <v>0</v>
      </c>
      <c r="D358" s="40" t="n">
        <f aca="false">IF($A358="","",SUMIFS('Trade Log'!$Q$4:$Q$503,'Trade Log'!$L$4:$L$503,$A358,'Trade Log'!$E$4:$E$503,"LONG"))</f>
        <v>0</v>
      </c>
      <c r="E358" s="40" t="n">
        <f aca="false">IF($A358="","",SUMIFS('Trade Log'!$Q$4:$Q$503,'Trade Log'!$L$4:$L$503,$A358,'Trade Log'!$E$4:$E$503,"SHORT"))</f>
        <v>0</v>
      </c>
      <c r="F358" s="40" t="n">
        <f aca="false">IF($A358="","",$D358+$E358)</f>
        <v>0</v>
      </c>
      <c r="G358" s="40" t="n">
        <f aca="false">IF($A358="","",SUMIFS('Trade Log'!$Y$4:$Y$503,'Trade Log'!$L$4:$L$503,$A358))</f>
        <v>0</v>
      </c>
      <c r="H358" s="40" t="str">
        <f aca="false">IF($A358="","",IF($C358=0,"",$F358-$G358))</f>
        <v/>
      </c>
      <c r="I358" s="40" t="n">
        <f aca="false">IF($A358="","",$I357+IF($H358="",0,$H358))</f>
        <v>23918.5521880349</v>
      </c>
      <c r="J358" s="40" t="n">
        <f aca="false">IF($A358="","",Config!$B$4+$I358)</f>
        <v>1023918.55218803</v>
      </c>
      <c r="K358" s="40" t="n">
        <f aca="false">IF($A358="","",MAX($J$4:$J358))</f>
        <v>1023918.55218803</v>
      </c>
      <c r="L358" s="40" t="n">
        <f aca="false">IF($A358="","",$J358-$K358)</f>
        <v>0</v>
      </c>
      <c r="M358" s="42" t="n">
        <f aca="false">IF(OR($A358="",$K358=0),"",$L358/$K358)</f>
        <v>0</v>
      </c>
      <c r="N358" s="40" t="n">
        <f aca="false">IF($A358="","",SUMIFS('Trade Log'!$K$4:$K$503,'Trade Log'!$H$4:$H$503,$A358))</f>
        <v>0</v>
      </c>
      <c r="O358" s="42" t="str">
        <f aca="false">IF(OR($A358="",$H358="",Config!$B$4=0),"",$H358/Config!$B$4)</f>
        <v/>
      </c>
      <c r="P358" s="40" t="n">
        <f aca="false">IF($A358="","",SUM($H$339:$H358))</f>
        <v>0</v>
      </c>
      <c r="Q358" s="53" t="str">
        <f aca="false">IF($A358="","",IFERROR((AVERAGE($O$339:$O358)-Config!$B$7/Config!$B$6)/STDEV($O$339:$O358)*SQRT(Config!$B$6),""))</f>
        <v/>
      </c>
      <c r="R358" s="53" t="str">
        <f aca="false">IF($A358="","",IFERROR((AVERAGE($O$299:$O358)-Config!$B$7/Config!$B$6)/STDEV($O$299:$O358)*SQRT(Config!$B$6),""))</f>
        <v/>
      </c>
      <c r="S358" s="47" t="n">
        <f aca="false">IF($H358="",$S357,IF($H358&gt;0,$S357+1,0))</f>
        <v>1</v>
      </c>
      <c r="T358" s="47" t="n">
        <f aca="false">IF($H358="",$T357,IF($H358&lt;0,$T357+1,0))</f>
        <v>0</v>
      </c>
    </row>
    <row r="359" customFormat="false" ht="15" hidden="false" customHeight="false" outlineLevel="0" collapsed="false">
      <c r="A359" s="54" t="n">
        <f aca="false">IF($A358="","",$A358+1)</f>
        <v>46590</v>
      </c>
      <c r="B359" s="5" t="str">
        <f aca="false">IF($A359="","",TEXT($A359,"ddd"))</f>
        <v>Thu</v>
      </c>
      <c r="C359" s="41" t="n">
        <f aca="false">IF($A359="","",COUNTIFS('Trade Log'!$L$4:$L$503,$A359))</f>
        <v>0</v>
      </c>
      <c r="D359" s="40" t="n">
        <f aca="false">IF($A359="","",SUMIFS('Trade Log'!$Q$4:$Q$503,'Trade Log'!$L$4:$L$503,$A359,'Trade Log'!$E$4:$E$503,"LONG"))</f>
        <v>0</v>
      </c>
      <c r="E359" s="40" t="n">
        <f aca="false">IF($A359="","",SUMIFS('Trade Log'!$Q$4:$Q$503,'Trade Log'!$L$4:$L$503,$A359,'Trade Log'!$E$4:$E$503,"SHORT"))</f>
        <v>0</v>
      </c>
      <c r="F359" s="40" t="n">
        <f aca="false">IF($A359="","",$D359+$E359)</f>
        <v>0</v>
      </c>
      <c r="G359" s="40" t="n">
        <f aca="false">IF($A359="","",SUMIFS('Trade Log'!$Y$4:$Y$503,'Trade Log'!$L$4:$L$503,$A359))</f>
        <v>0</v>
      </c>
      <c r="H359" s="40" t="str">
        <f aca="false">IF($A359="","",IF($C359=0,"",$F359-$G359))</f>
        <v/>
      </c>
      <c r="I359" s="40" t="n">
        <f aca="false">IF($A359="","",$I358+IF($H359="",0,$H359))</f>
        <v>23918.5521880349</v>
      </c>
      <c r="J359" s="40" t="n">
        <f aca="false">IF($A359="","",Config!$B$4+$I359)</f>
        <v>1023918.55218803</v>
      </c>
      <c r="K359" s="40" t="n">
        <f aca="false">IF($A359="","",MAX($J$4:$J359))</f>
        <v>1023918.55218803</v>
      </c>
      <c r="L359" s="40" t="n">
        <f aca="false">IF($A359="","",$J359-$K359)</f>
        <v>0</v>
      </c>
      <c r="M359" s="42" t="n">
        <f aca="false">IF(OR($A359="",$K359=0),"",$L359/$K359)</f>
        <v>0</v>
      </c>
      <c r="N359" s="40" t="n">
        <f aca="false">IF($A359="","",SUMIFS('Trade Log'!$K$4:$K$503,'Trade Log'!$H$4:$H$503,$A359))</f>
        <v>0</v>
      </c>
      <c r="O359" s="42" t="str">
        <f aca="false">IF(OR($A359="",$H359="",Config!$B$4=0),"",$H359/Config!$B$4)</f>
        <v/>
      </c>
      <c r="P359" s="40" t="n">
        <f aca="false">IF($A359="","",SUM($H$340:$H359))</f>
        <v>0</v>
      </c>
      <c r="Q359" s="53" t="str">
        <f aca="false">IF($A359="","",IFERROR((AVERAGE($O$340:$O359)-Config!$B$7/Config!$B$6)/STDEV($O$340:$O359)*SQRT(Config!$B$6),""))</f>
        <v/>
      </c>
      <c r="R359" s="53" t="str">
        <f aca="false">IF($A359="","",IFERROR((AVERAGE($O$300:$O359)-Config!$B$7/Config!$B$6)/STDEV($O$300:$O359)*SQRT(Config!$B$6),""))</f>
        <v/>
      </c>
      <c r="S359" s="47" t="n">
        <f aca="false">IF($H359="",$S358,IF($H359&gt;0,$S358+1,0))</f>
        <v>1</v>
      </c>
      <c r="T359" s="47" t="n">
        <f aca="false">IF($H359="",$T358,IF($H359&lt;0,$T358+1,0))</f>
        <v>0</v>
      </c>
    </row>
    <row r="360" customFormat="false" ht="15" hidden="false" customHeight="false" outlineLevel="0" collapsed="false">
      <c r="A360" s="54" t="n">
        <f aca="false">IF($A359="","",$A359+1)</f>
        <v>46591</v>
      </c>
      <c r="B360" s="5" t="str">
        <f aca="false">IF($A360="","",TEXT($A360,"ddd"))</f>
        <v>Fri</v>
      </c>
      <c r="C360" s="41" t="n">
        <f aca="false">IF($A360="","",COUNTIFS('Trade Log'!$L$4:$L$503,$A360))</f>
        <v>0</v>
      </c>
      <c r="D360" s="40" t="n">
        <f aca="false">IF($A360="","",SUMIFS('Trade Log'!$Q$4:$Q$503,'Trade Log'!$L$4:$L$503,$A360,'Trade Log'!$E$4:$E$503,"LONG"))</f>
        <v>0</v>
      </c>
      <c r="E360" s="40" t="n">
        <f aca="false">IF($A360="","",SUMIFS('Trade Log'!$Q$4:$Q$503,'Trade Log'!$L$4:$L$503,$A360,'Trade Log'!$E$4:$E$503,"SHORT"))</f>
        <v>0</v>
      </c>
      <c r="F360" s="40" t="n">
        <f aca="false">IF($A360="","",$D360+$E360)</f>
        <v>0</v>
      </c>
      <c r="G360" s="40" t="n">
        <f aca="false">IF($A360="","",SUMIFS('Trade Log'!$Y$4:$Y$503,'Trade Log'!$L$4:$L$503,$A360))</f>
        <v>0</v>
      </c>
      <c r="H360" s="40" t="str">
        <f aca="false">IF($A360="","",IF($C360=0,"",$F360-$G360))</f>
        <v/>
      </c>
      <c r="I360" s="40" t="n">
        <f aca="false">IF($A360="","",$I359+IF($H360="",0,$H360))</f>
        <v>23918.5521880349</v>
      </c>
      <c r="J360" s="40" t="n">
        <f aca="false">IF($A360="","",Config!$B$4+$I360)</f>
        <v>1023918.55218803</v>
      </c>
      <c r="K360" s="40" t="n">
        <f aca="false">IF($A360="","",MAX($J$4:$J360))</f>
        <v>1023918.55218803</v>
      </c>
      <c r="L360" s="40" t="n">
        <f aca="false">IF($A360="","",$J360-$K360)</f>
        <v>0</v>
      </c>
      <c r="M360" s="42" t="n">
        <f aca="false">IF(OR($A360="",$K360=0),"",$L360/$K360)</f>
        <v>0</v>
      </c>
      <c r="N360" s="40" t="n">
        <f aca="false">IF($A360="","",SUMIFS('Trade Log'!$K$4:$K$503,'Trade Log'!$H$4:$H$503,$A360))</f>
        <v>0</v>
      </c>
      <c r="O360" s="42" t="str">
        <f aca="false">IF(OR($A360="",$H360="",Config!$B$4=0),"",$H360/Config!$B$4)</f>
        <v/>
      </c>
      <c r="P360" s="40" t="n">
        <f aca="false">IF($A360="","",SUM($H$341:$H360))</f>
        <v>0</v>
      </c>
      <c r="Q360" s="53" t="str">
        <f aca="false">IF($A360="","",IFERROR((AVERAGE($O$341:$O360)-Config!$B$7/Config!$B$6)/STDEV($O$341:$O360)*SQRT(Config!$B$6),""))</f>
        <v/>
      </c>
      <c r="R360" s="53" t="str">
        <f aca="false">IF($A360="","",IFERROR((AVERAGE($O$301:$O360)-Config!$B$7/Config!$B$6)/STDEV($O$301:$O360)*SQRT(Config!$B$6),""))</f>
        <v/>
      </c>
      <c r="S360" s="47" t="n">
        <f aca="false">IF($H360="",$S359,IF($H360&gt;0,$S359+1,0))</f>
        <v>1</v>
      </c>
      <c r="T360" s="47" t="n">
        <f aca="false">IF($H360="",$T359,IF($H360&lt;0,$T359+1,0))</f>
        <v>0</v>
      </c>
    </row>
    <row r="361" customFormat="false" ht="15" hidden="false" customHeight="false" outlineLevel="0" collapsed="false">
      <c r="A361" s="54" t="n">
        <f aca="false">IF($A360="","",$A360+1)</f>
        <v>46592</v>
      </c>
      <c r="B361" s="5" t="str">
        <f aca="false">IF($A361="","",TEXT($A361,"ddd"))</f>
        <v>Sat</v>
      </c>
      <c r="C361" s="41" t="n">
        <f aca="false">IF($A361="","",COUNTIFS('Trade Log'!$L$4:$L$503,$A361))</f>
        <v>0</v>
      </c>
      <c r="D361" s="40" t="n">
        <f aca="false">IF($A361="","",SUMIFS('Trade Log'!$Q$4:$Q$503,'Trade Log'!$L$4:$L$503,$A361,'Trade Log'!$E$4:$E$503,"LONG"))</f>
        <v>0</v>
      </c>
      <c r="E361" s="40" t="n">
        <f aca="false">IF($A361="","",SUMIFS('Trade Log'!$Q$4:$Q$503,'Trade Log'!$L$4:$L$503,$A361,'Trade Log'!$E$4:$E$503,"SHORT"))</f>
        <v>0</v>
      </c>
      <c r="F361" s="40" t="n">
        <f aca="false">IF($A361="","",$D361+$E361)</f>
        <v>0</v>
      </c>
      <c r="G361" s="40" t="n">
        <f aca="false">IF($A361="","",SUMIFS('Trade Log'!$Y$4:$Y$503,'Trade Log'!$L$4:$L$503,$A361))</f>
        <v>0</v>
      </c>
      <c r="H361" s="40" t="str">
        <f aca="false">IF($A361="","",IF($C361=0,"",$F361-$G361))</f>
        <v/>
      </c>
      <c r="I361" s="40" t="n">
        <f aca="false">IF($A361="","",$I360+IF($H361="",0,$H361))</f>
        <v>23918.5521880349</v>
      </c>
      <c r="J361" s="40" t="n">
        <f aca="false">IF($A361="","",Config!$B$4+$I361)</f>
        <v>1023918.55218803</v>
      </c>
      <c r="K361" s="40" t="n">
        <f aca="false">IF($A361="","",MAX($J$4:$J361))</f>
        <v>1023918.55218803</v>
      </c>
      <c r="L361" s="40" t="n">
        <f aca="false">IF($A361="","",$J361-$K361)</f>
        <v>0</v>
      </c>
      <c r="M361" s="42" t="n">
        <f aca="false">IF(OR($A361="",$K361=0),"",$L361/$K361)</f>
        <v>0</v>
      </c>
      <c r="N361" s="40" t="n">
        <f aca="false">IF($A361="","",SUMIFS('Trade Log'!$K$4:$K$503,'Trade Log'!$H$4:$H$503,$A361))</f>
        <v>0</v>
      </c>
      <c r="O361" s="42" t="str">
        <f aca="false">IF(OR($A361="",$H361="",Config!$B$4=0),"",$H361/Config!$B$4)</f>
        <v/>
      </c>
      <c r="P361" s="40" t="n">
        <f aca="false">IF($A361="","",SUM($H$342:$H361))</f>
        <v>0</v>
      </c>
      <c r="Q361" s="53" t="str">
        <f aca="false">IF($A361="","",IFERROR((AVERAGE($O$342:$O361)-Config!$B$7/Config!$B$6)/STDEV($O$342:$O361)*SQRT(Config!$B$6),""))</f>
        <v/>
      </c>
      <c r="R361" s="53" t="str">
        <f aca="false">IF($A361="","",IFERROR((AVERAGE($O$302:$O361)-Config!$B$7/Config!$B$6)/STDEV($O$302:$O361)*SQRT(Config!$B$6),""))</f>
        <v/>
      </c>
      <c r="S361" s="47" t="n">
        <f aca="false">IF($H361="",$S360,IF($H361&gt;0,$S360+1,0))</f>
        <v>1</v>
      </c>
      <c r="T361" s="47" t="n">
        <f aca="false">IF($H361="",$T360,IF($H361&lt;0,$T360+1,0))</f>
        <v>0</v>
      </c>
    </row>
    <row r="362" customFormat="false" ht="15" hidden="false" customHeight="false" outlineLevel="0" collapsed="false">
      <c r="A362" s="54" t="n">
        <f aca="false">IF($A361="","",$A361+1)</f>
        <v>46593</v>
      </c>
      <c r="B362" s="5" t="str">
        <f aca="false">IF($A362="","",TEXT($A362,"ddd"))</f>
        <v>Sun</v>
      </c>
      <c r="C362" s="41" t="n">
        <f aca="false">IF($A362="","",COUNTIFS('Trade Log'!$L$4:$L$503,$A362))</f>
        <v>0</v>
      </c>
      <c r="D362" s="40" t="n">
        <f aca="false">IF($A362="","",SUMIFS('Trade Log'!$Q$4:$Q$503,'Trade Log'!$L$4:$L$503,$A362,'Trade Log'!$E$4:$E$503,"LONG"))</f>
        <v>0</v>
      </c>
      <c r="E362" s="40" t="n">
        <f aca="false">IF($A362="","",SUMIFS('Trade Log'!$Q$4:$Q$503,'Trade Log'!$L$4:$L$503,$A362,'Trade Log'!$E$4:$E$503,"SHORT"))</f>
        <v>0</v>
      </c>
      <c r="F362" s="40" t="n">
        <f aca="false">IF($A362="","",$D362+$E362)</f>
        <v>0</v>
      </c>
      <c r="G362" s="40" t="n">
        <f aca="false">IF($A362="","",SUMIFS('Trade Log'!$Y$4:$Y$503,'Trade Log'!$L$4:$L$503,$A362))</f>
        <v>0</v>
      </c>
      <c r="H362" s="40" t="str">
        <f aca="false">IF($A362="","",IF($C362=0,"",$F362-$G362))</f>
        <v/>
      </c>
      <c r="I362" s="40" t="n">
        <f aca="false">IF($A362="","",$I361+IF($H362="",0,$H362))</f>
        <v>23918.5521880349</v>
      </c>
      <c r="J362" s="40" t="n">
        <f aca="false">IF($A362="","",Config!$B$4+$I362)</f>
        <v>1023918.55218803</v>
      </c>
      <c r="K362" s="40" t="n">
        <f aca="false">IF($A362="","",MAX($J$4:$J362))</f>
        <v>1023918.55218803</v>
      </c>
      <c r="L362" s="40" t="n">
        <f aca="false">IF($A362="","",$J362-$K362)</f>
        <v>0</v>
      </c>
      <c r="M362" s="42" t="n">
        <f aca="false">IF(OR($A362="",$K362=0),"",$L362/$K362)</f>
        <v>0</v>
      </c>
      <c r="N362" s="40" t="n">
        <f aca="false">IF($A362="","",SUMIFS('Trade Log'!$K$4:$K$503,'Trade Log'!$H$4:$H$503,$A362))</f>
        <v>0</v>
      </c>
      <c r="O362" s="42" t="str">
        <f aca="false">IF(OR($A362="",$H362="",Config!$B$4=0),"",$H362/Config!$B$4)</f>
        <v/>
      </c>
      <c r="P362" s="40" t="n">
        <f aca="false">IF($A362="","",SUM($H$343:$H362))</f>
        <v>0</v>
      </c>
      <c r="Q362" s="53" t="str">
        <f aca="false">IF($A362="","",IFERROR((AVERAGE($O$343:$O362)-Config!$B$7/Config!$B$6)/STDEV($O$343:$O362)*SQRT(Config!$B$6),""))</f>
        <v/>
      </c>
      <c r="R362" s="53" t="str">
        <f aca="false">IF($A362="","",IFERROR((AVERAGE($O$303:$O362)-Config!$B$7/Config!$B$6)/STDEV($O$303:$O362)*SQRT(Config!$B$6),""))</f>
        <v/>
      </c>
      <c r="S362" s="47" t="n">
        <f aca="false">IF($H362="",$S361,IF($H362&gt;0,$S361+1,0))</f>
        <v>1</v>
      </c>
      <c r="T362" s="47" t="n">
        <f aca="false">IF($H362="",$T361,IF($H362&lt;0,$T361+1,0))</f>
        <v>0</v>
      </c>
    </row>
    <row r="363" customFormat="false" ht="15" hidden="false" customHeight="false" outlineLevel="0" collapsed="false">
      <c r="A363" s="54" t="n">
        <f aca="false">IF($A362="","",$A362+1)</f>
        <v>46594</v>
      </c>
      <c r="B363" s="5" t="str">
        <f aca="false">IF($A363="","",TEXT($A363,"ddd"))</f>
        <v>Mon</v>
      </c>
      <c r="C363" s="41" t="n">
        <f aca="false">IF($A363="","",COUNTIFS('Trade Log'!$L$4:$L$503,$A363))</f>
        <v>0</v>
      </c>
      <c r="D363" s="40" t="n">
        <f aca="false">IF($A363="","",SUMIFS('Trade Log'!$Q$4:$Q$503,'Trade Log'!$L$4:$L$503,$A363,'Trade Log'!$E$4:$E$503,"LONG"))</f>
        <v>0</v>
      </c>
      <c r="E363" s="40" t="n">
        <f aca="false">IF($A363="","",SUMIFS('Trade Log'!$Q$4:$Q$503,'Trade Log'!$L$4:$L$503,$A363,'Trade Log'!$E$4:$E$503,"SHORT"))</f>
        <v>0</v>
      </c>
      <c r="F363" s="40" t="n">
        <f aca="false">IF($A363="","",$D363+$E363)</f>
        <v>0</v>
      </c>
      <c r="G363" s="40" t="n">
        <f aca="false">IF($A363="","",SUMIFS('Trade Log'!$Y$4:$Y$503,'Trade Log'!$L$4:$L$503,$A363))</f>
        <v>0</v>
      </c>
      <c r="H363" s="40" t="str">
        <f aca="false">IF($A363="","",IF($C363=0,"",$F363-$G363))</f>
        <v/>
      </c>
      <c r="I363" s="40" t="n">
        <f aca="false">IF($A363="","",$I362+IF($H363="",0,$H363))</f>
        <v>23918.5521880349</v>
      </c>
      <c r="J363" s="40" t="n">
        <f aca="false">IF($A363="","",Config!$B$4+$I363)</f>
        <v>1023918.55218803</v>
      </c>
      <c r="K363" s="40" t="n">
        <f aca="false">IF($A363="","",MAX($J$4:$J363))</f>
        <v>1023918.55218803</v>
      </c>
      <c r="L363" s="40" t="n">
        <f aca="false">IF($A363="","",$J363-$K363)</f>
        <v>0</v>
      </c>
      <c r="M363" s="42" t="n">
        <f aca="false">IF(OR($A363="",$K363=0),"",$L363/$K363)</f>
        <v>0</v>
      </c>
      <c r="N363" s="40" t="n">
        <f aca="false">IF($A363="","",SUMIFS('Trade Log'!$K$4:$K$503,'Trade Log'!$H$4:$H$503,$A363))</f>
        <v>0</v>
      </c>
      <c r="O363" s="42" t="str">
        <f aca="false">IF(OR($A363="",$H363="",Config!$B$4=0),"",$H363/Config!$B$4)</f>
        <v/>
      </c>
      <c r="P363" s="40" t="n">
        <f aca="false">IF($A363="","",SUM($H$344:$H363))</f>
        <v>0</v>
      </c>
      <c r="Q363" s="53" t="str">
        <f aca="false">IF($A363="","",IFERROR((AVERAGE($O$344:$O363)-Config!$B$7/Config!$B$6)/STDEV($O$344:$O363)*SQRT(Config!$B$6),""))</f>
        <v/>
      </c>
      <c r="R363" s="53" t="str">
        <f aca="false">IF($A363="","",IFERROR((AVERAGE($O$304:$O363)-Config!$B$7/Config!$B$6)/STDEV($O$304:$O363)*SQRT(Config!$B$6),""))</f>
        <v/>
      </c>
      <c r="S363" s="47" t="n">
        <f aca="false">IF($H363="",$S362,IF($H363&gt;0,$S362+1,0))</f>
        <v>1</v>
      </c>
      <c r="T363" s="47" t="n">
        <f aca="false">IF($H363="",$T362,IF($H363&lt;0,$T362+1,0))</f>
        <v>0</v>
      </c>
    </row>
    <row r="364" customFormat="false" ht="15" hidden="false" customHeight="false" outlineLevel="0" collapsed="false">
      <c r="A364" s="54" t="n">
        <f aca="false">IF($A363="","",$A363+1)</f>
        <v>46595</v>
      </c>
      <c r="B364" s="5" t="str">
        <f aca="false">IF($A364="","",TEXT($A364,"ddd"))</f>
        <v>Tue</v>
      </c>
      <c r="C364" s="41" t="n">
        <f aca="false">IF($A364="","",COUNTIFS('Trade Log'!$L$4:$L$503,$A364))</f>
        <v>0</v>
      </c>
      <c r="D364" s="40" t="n">
        <f aca="false">IF($A364="","",SUMIFS('Trade Log'!$Q$4:$Q$503,'Trade Log'!$L$4:$L$503,$A364,'Trade Log'!$E$4:$E$503,"LONG"))</f>
        <v>0</v>
      </c>
      <c r="E364" s="40" t="n">
        <f aca="false">IF($A364="","",SUMIFS('Trade Log'!$Q$4:$Q$503,'Trade Log'!$L$4:$L$503,$A364,'Trade Log'!$E$4:$E$503,"SHORT"))</f>
        <v>0</v>
      </c>
      <c r="F364" s="40" t="n">
        <f aca="false">IF($A364="","",$D364+$E364)</f>
        <v>0</v>
      </c>
      <c r="G364" s="40" t="n">
        <f aca="false">IF($A364="","",SUMIFS('Trade Log'!$Y$4:$Y$503,'Trade Log'!$L$4:$L$503,$A364))</f>
        <v>0</v>
      </c>
      <c r="H364" s="40" t="str">
        <f aca="false">IF($A364="","",IF($C364=0,"",$F364-$G364))</f>
        <v/>
      </c>
      <c r="I364" s="40" t="n">
        <f aca="false">IF($A364="","",$I363+IF($H364="",0,$H364))</f>
        <v>23918.5521880349</v>
      </c>
      <c r="J364" s="40" t="n">
        <f aca="false">IF($A364="","",Config!$B$4+$I364)</f>
        <v>1023918.55218803</v>
      </c>
      <c r="K364" s="40" t="n">
        <f aca="false">IF($A364="","",MAX($J$4:$J364))</f>
        <v>1023918.55218803</v>
      </c>
      <c r="L364" s="40" t="n">
        <f aca="false">IF($A364="","",$J364-$K364)</f>
        <v>0</v>
      </c>
      <c r="M364" s="42" t="n">
        <f aca="false">IF(OR($A364="",$K364=0),"",$L364/$K364)</f>
        <v>0</v>
      </c>
      <c r="N364" s="40" t="n">
        <f aca="false">IF($A364="","",SUMIFS('Trade Log'!$K$4:$K$503,'Trade Log'!$H$4:$H$503,$A364))</f>
        <v>0</v>
      </c>
      <c r="O364" s="42" t="str">
        <f aca="false">IF(OR($A364="",$H364="",Config!$B$4=0),"",$H364/Config!$B$4)</f>
        <v/>
      </c>
      <c r="P364" s="40" t="n">
        <f aca="false">IF($A364="","",SUM($H$345:$H364))</f>
        <v>0</v>
      </c>
      <c r="Q364" s="53" t="str">
        <f aca="false">IF($A364="","",IFERROR((AVERAGE($O$345:$O364)-Config!$B$7/Config!$B$6)/STDEV($O$345:$O364)*SQRT(Config!$B$6),""))</f>
        <v/>
      </c>
      <c r="R364" s="53" t="str">
        <f aca="false">IF($A364="","",IFERROR((AVERAGE($O$305:$O364)-Config!$B$7/Config!$B$6)/STDEV($O$305:$O364)*SQRT(Config!$B$6),""))</f>
        <v/>
      </c>
      <c r="S364" s="47" t="n">
        <f aca="false">IF($H364="",$S363,IF($H364&gt;0,$S363+1,0))</f>
        <v>1</v>
      </c>
      <c r="T364" s="47" t="n">
        <f aca="false">IF($H364="",$T363,IF($H364&lt;0,$T363+1,0))</f>
        <v>0</v>
      </c>
    </row>
    <row r="365" customFormat="false" ht="15" hidden="false" customHeight="false" outlineLevel="0" collapsed="false">
      <c r="A365" s="54" t="n">
        <f aca="false">IF($A364="","",$A364+1)</f>
        <v>46596</v>
      </c>
      <c r="B365" s="5" t="str">
        <f aca="false">IF($A365="","",TEXT($A365,"ddd"))</f>
        <v>Wed</v>
      </c>
      <c r="C365" s="41" t="n">
        <f aca="false">IF($A365="","",COUNTIFS('Trade Log'!$L$4:$L$503,$A365))</f>
        <v>0</v>
      </c>
      <c r="D365" s="40" t="n">
        <f aca="false">IF($A365="","",SUMIFS('Trade Log'!$Q$4:$Q$503,'Trade Log'!$L$4:$L$503,$A365,'Trade Log'!$E$4:$E$503,"LONG"))</f>
        <v>0</v>
      </c>
      <c r="E365" s="40" t="n">
        <f aca="false">IF($A365="","",SUMIFS('Trade Log'!$Q$4:$Q$503,'Trade Log'!$L$4:$L$503,$A365,'Trade Log'!$E$4:$E$503,"SHORT"))</f>
        <v>0</v>
      </c>
      <c r="F365" s="40" t="n">
        <f aca="false">IF($A365="","",$D365+$E365)</f>
        <v>0</v>
      </c>
      <c r="G365" s="40" t="n">
        <f aca="false">IF($A365="","",SUMIFS('Trade Log'!$Y$4:$Y$503,'Trade Log'!$L$4:$L$503,$A365))</f>
        <v>0</v>
      </c>
      <c r="H365" s="40" t="str">
        <f aca="false">IF($A365="","",IF($C365=0,"",$F365-$G365))</f>
        <v/>
      </c>
      <c r="I365" s="40" t="n">
        <f aca="false">IF($A365="","",$I364+IF($H365="",0,$H365))</f>
        <v>23918.5521880349</v>
      </c>
      <c r="J365" s="40" t="n">
        <f aca="false">IF($A365="","",Config!$B$4+$I365)</f>
        <v>1023918.55218803</v>
      </c>
      <c r="K365" s="40" t="n">
        <f aca="false">IF($A365="","",MAX($J$4:$J365))</f>
        <v>1023918.55218803</v>
      </c>
      <c r="L365" s="40" t="n">
        <f aca="false">IF($A365="","",$J365-$K365)</f>
        <v>0</v>
      </c>
      <c r="M365" s="42" t="n">
        <f aca="false">IF(OR($A365="",$K365=0),"",$L365/$K365)</f>
        <v>0</v>
      </c>
      <c r="N365" s="40" t="n">
        <f aca="false">IF($A365="","",SUMIFS('Trade Log'!$K$4:$K$503,'Trade Log'!$H$4:$H$503,$A365))</f>
        <v>0</v>
      </c>
      <c r="O365" s="42" t="str">
        <f aca="false">IF(OR($A365="",$H365="",Config!$B$4=0),"",$H365/Config!$B$4)</f>
        <v/>
      </c>
      <c r="P365" s="40" t="n">
        <f aca="false">IF($A365="","",SUM($H$346:$H365))</f>
        <v>0</v>
      </c>
      <c r="Q365" s="53" t="str">
        <f aca="false">IF($A365="","",IFERROR((AVERAGE($O$346:$O365)-Config!$B$7/Config!$B$6)/STDEV($O$346:$O365)*SQRT(Config!$B$6),""))</f>
        <v/>
      </c>
      <c r="R365" s="53" t="str">
        <f aca="false">IF($A365="","",IFERROR((AVERAGE($O$306:$O365)-Config!$B$7/Config!$B$6)/STDEV($O$306:$O365)*SQRT(Config!$B$6),""))</f>
        <v/>
      </c>
      <c r="S365" s="47" t="n">
        <f aca="false">IF($H365="",$S364,IF($H365&gt;0,$S364+1,0))</f>
        <v>1</v>
      </c>
      <c r="T365" s="47" t="n">
        <f aca="false">IF($H365="",$T364,IF($H365&lt;0,$T364+1,0))</f>
        <v>0</v>
      </c>
    </row>
    <row r="366" customFormat="false" ht="15" hidden="false" customHeight="false" outlineLevel="0" collapsed="false">
      <c r="A366" s="54" t="n">
        <f aca="false">IF($A365="","",$A365+1)</f>
        <v>46597</v>
      </c>
      <c r="B366" s="5" t="str">
        <f aca="false">IF($A366="","",TEXT($A366,"ddd"))</f>
        <v>Thu</v>
      </c>
      <c r="C366" s="41" t="n">
        <f aca="false">IF($A366="","",COUNTIFS('Trade Log'!$L$4:$L$503,$A366))</f>
        <v>0</v>
      </c>
      <c r="D366" s="40" t="n">
        <f aca="false">IF($A366="","",SUMIFS('Trade Log'!$Q$4:$Q$503,'Trade Log'!$L$4:$L$503,$A366,'Trade Log'!$E$4:$E$503,"LONG"))</f>
        <v>0</v>
      </c>
      <c r="E366" s="40" t="n">
        <f aca="false">IF($A366="","",SUMIFS('Trade Log'!$Q$4:$Q$503,'Trade Log'!$L$4:$L$503,$A366,'Trade Log'!$E$4:$E$503,"SHORT"))</f>
        <v>0</v>
      </c>
      <c r="F366" s="40" t="n">
        <f aca="false">IF($A366="","",$D366+$E366)</f>
        <v>0</v>
      </c>
      <c r="G366" s="40" t="n">
        <f aca="false">IF($A366="","",SUMIFS('Trade Log'!$Y$4:$Y$503,'Trade Log'!$L$4:$L$503,$A366))</f>
        <v>0</v>
      </c>
      <c r="H366" s="40" t="str">
        <f aca="false">IF($A366="","",IF($C366=0,"",$F366-$G366))</f>
        <v/>
      </c>
      <c r="I366" s="40" t="n">
        <f aca="false">IF($A366="","",$I365+IF($H366="",0,$H366))</f>
        <v>23918.5521880349</v>
      </c>
      <c r="J366" s="40" t="n">
        <f aca="false">IF($A366="","",Config!$B$4+$I366)</f>
        <v>1023918.55218803</v>
      </c>
      <c r="K366" s="40" t="n">
        <f aca="false">IF($A366="","",MAX($J$4:$J366))</f>
        <v>1023918.55218803</v>
      </c>
      <c r="L366" s="40" t="n">
        <f aca="false">IF($A366="","",$J366-$K366)</f>
        <v>0</v>
      </c>
      <c r="M366" s="42" t="n">
        <f aca="false">IF(OR($A366="",$K366=0),"",$L366/$K366)</f>
        <v>0</v>
      </c>
      <c r="N366" s="40" t="n">
        <f aca="false">IF($A366="","",SUMIFS('Trade Log'!$K$4:$K$503,'Trade Log'!$H$4:$H$503,$A366))</f>
        <v>0</v>
      </c>
      <c r="O366" s="42" t="str">
        <f aca="false">IF(OR($A366="",$H366="",Config!$B$4=0),"",$H366/Config!$B$4)</f>
        <v/>
      </c>
      <c r="P366" s="40" t="n">
        <f aca="false">IF($A366="","",SUM($H$347:$H366))</f>
        <v>0</v>
      </c>
      <c r="Q366" s="53" t="str">
        <f aca="false">IF($A366="","",IFERROR((AVERAGE($O$347:$O366)-Config!$B$7/Config!$B$6)/STDEV($O$347:$O366)*SQRT(Config!$B$6),""))</f>
        <v/>
      </c>
      <c r="R366" s="53" t="str">
        <f aca="false">IF($A366="","",IFERROR((AVERAGE($O$307:$O366)-Config!$B$7/Config!$B$6)/STDEV($O$307:$O366)*SQRT(Config!$B$6),""))</f>
        <v/>
      </c>
      <c r="S366" s="47" t="n">
        <f aca="false">IF($H366="",$S365,IF($H366&gt;0,$S365+1,0))</f>
        <v>1</v>
      </c>
      <c r="T366" s="47" t="n">
        <f aca="false">IF($H366="",$T365,IF($H366&lt;0,$T365+1,0))</f>
        <v>0</v>
      </c>
    </row>
    <row r="367" customFormat="false" ht="15" hidden="false" customHeight="false" outlineLevel="0" collapsed="false">
      <c r="A367" s="54" t="n">
        <f aca="false">IF($A366="","",$A366+1)</f>
        <v>46598</v>
      </c>
      <c r="B367" s="5" t="str">
        <f aca="false">IF($A367="","",TEXT($A367,"ddd"))</f>
        <v>Fri</v>
      </c>
      <c r="C367" s="41" t="n">
        <f aca="false">IF($A367="","",COUNTIFS('Trade Log'!$L$4:$L$503,$A367))</f>
        <v>0</v>
      </c>
      <c r="D367" s="40" t="n">
        <f aca="false">IF($A367="","",SUMIFS('Trade Log'!$Q$4:$Q$503,'Trade Log'!$L$4:$L$503,$A367,'Trade Log'!$E$4:$E$503,"LONG"))</f>
        <v>0</v>
      </c>
      <c r="E367" s="40" t="n">
        <f aca="false">IF($A367="","",SUMIFS('Trade Log'!$Q$4:$Q$503,'Trade Log'!$L$4:$L$503,$A367,'Trade Log'!$E$4:$E$503,"SHORT"))</f>
        <v>0</v>
      </c>
      <c r="F367" s="40" t="n">
        <f aca="false">IF($A367="","",$D367+$E367)</f>
        <v>0</v>
      </c>
      <c r="G367" s="40" t="n">
        <f aca="false">IF($A367="","",SUMIFS('Trade Log'!$Y$4:$Y$503,'Trade Log'!$L$4:$L$503,$A367))</f>
        <v>0</v>
      </c>
      <c r="H367" s="40" t="str">
        <f aca="false">IF($A367="","",IF($C367=0,"",$F367-$G367))</f>
        <v/>
      </c>
      <c r="I367" s="40" t="n">
        <f aca="false">IF($A367="","",$I366+IF($H367="",0,$H367))</f>
        <v>23918.5521880349</v>
      </c>
      <c r="J367" s="40" t="n">
        <f aca="false">IF($A367="","",Config!$B$4+$I367)</f>
        <v>1023918.55218803</v>
      </c>
      <c r="K367" s="40" t="n">
        <f aca="false">IF($A367="","",MAX($J$4:$J367))</f>
        <v>1023918.55218803</v>
      </c>
      <c r="L367" s="40" t="n">
        <f aca="false">IF($A367="","",$J367-$K367)</f>
        <v>0</v>
      </c>
      <c r="M367" s="42" t="n">
        <f aca="false">IF(OR($A367="",$K367=0),"",$L367/$K367)</f>
        <v>0</v>
      </c>
      <c r="N367" s="40" t="n">
        <f aca="false">IF($A367="","",SUMIFS('Trade Log'!$K$4:$K$503,'Trade Log'!$H$4:$H$503,$A367))</f>
        <v>0</v>
      </c>
      <c r="O367" s="42" t="str">
        <f aca="false">IF(OR($A367="",$H367="",Config!$B$4=0),"",$H367/Config!$B$4)</f>
        <v/>
      </c>
      <c r="P367" s="40" t="n">
        <f aca="false">IF($A367="","",SUM($H$348:$H367))</f>
        <v>0</v>
      </c>
      <c r="Q367" s="53" t="str">
        <f aca="false">IF($A367="","",IFERROR((AVERAGE($O$348:$O367)-Config!$B$7/Config!$B$6)/STDEV($O$348:$O367)*SQRT(Config!$B$6),""))</f>
        <v/>
      </c>
      <c r="R367" s="53" t="str">
        <f aca="false">IF($A367="","",IFERROR((AVERAGE($O$308:$O367)-Config!$B$7/Config!$B$6)/STDEV($O$308:$O367)*SQRT(Config!$B$6),""))</f>
        <v/>
      </c>
      <c r="S367" s="47" t="n">
        <f aca="false">IF($H367="",$S366,IF($H367&gt;0,$S366+1,0))</f>
        <v>1</v>
      </c>
      <c r="T367" s="47" t="n">
        <f aca="false">IF($H367="",$T366,IF($H367&lt;0,$T366+1,0))</f>
        <v>0</v>
      </c>
    </row>
    <row r="368" customFormat="false" ht="15" hidden="false" customHeight="false" outlineLevel="0" collapsed="false">
      <c r="A368" s="54" t="n">
        <f aca="false">IF($A367="","",$A367+1)</f>
        <v>46599</v>
      </c>
      <c r="B368" s="5" t="str">
        <f aca="false">IF($A368="","",TEXT($A368,"ddd"))</f>
        <v>Sat</v>
      </c>
      <c r="C368" s="41" t="n">
        <f aca="false">IF($A368="","",COUNTIFS('Trade Log'!$L$4:$L$503,$A368))</f>
        <v>0</v>
      </c>
      <c r="D368" s="40" t="n">
        <f aca="false">IF($A368="","",SUMIFS('Trade Log'!$Q$4:$Q$503,'Trade Log'!$L$4:$L$503,$A368,'Trade Log'!$E$4:$E$503,"LONG"))</f>
        <v>0</v>
      </c>
      <c r="E368" s="40" t="n">
        <f aca="false">IF($A368="","",SUMIFS('Trade Log'!$Q$4:$Q$503,'Trade Log'!$L$4:$L$503,$A368,'Trade Log'!$E$4:$E$503,"SHORT"))</f>
        <v>0</v>
      </c>
      <c r="F368" s="40" t="n">
        <f aca="false">IF($A368="","",$D368+$E368)</f>
        <v>0</v>
      </c>
      <c r="G368" s="40" t="n">
        <f aca="false">IF($A368="","",SUMIFS('Trade Log'!$Y$4:$Y$503,'Trade Log'!$L$4:$L$503,$A368))</f>
        <v>0</v>
      </c>
      <c r="H368" s="40" t="str">
        <f aca="false">IF($A368="","",IF($C368=0,"",$F368-$G368))</f>
        <v/>
      </c>
      <c r="I368" s="40" t="n">
        <f aca="false">IF($A368="","",$I367+IF($H368="",0,$H368))</f>
        <v>23918.5521880349</v>
      </c>
      <c r="J368" s="40" t="n">
        <f aca="false">IF($A368="","",Config!$B$4+$I368)</f>
        <v>1023918.55218803</v>
      </c>
      <c r="K368" s="40" t="n">
        <f aca="false">IF($A368="","",MAX($J$4:$J368))</f>
        <v>1023918.55218803</v>
      </c>
      <c r="L368" s="40" t="n">
        <f aca="false">IF($A368="","",$J368-$K368)</f>
        <v>0</v>
      </c>
      <c r="M368" s="42" t="n">
        <f aca="false">IF(OR($A368="",$K368=0),"",$L368/$K368)</f>
        <v>0</v>
      </c>
      <c r="N368" s="40" t="n">
        <f aca="false">IF($A368="","",SUMIFS('Trade Log'!$K$4:$K$503,'Trade Log'!$H$4:$H$503,$A368))</f>
        <v>0</v>
      </c>
      <c r="O368" s="42" t="str">
        <f aca="false">IF(OR($A368="",$H368="",Config!$B$4=0),"",$H368/Config!$B$4)</f>
        <v/>
      </c>
      <c r="P368" s="40" t="n">
        <f aca="false">IF($A368="","",SUM($H$349:$H368))</f>
        <v>0</v>
      </c>
      <c r="Q368" s="53" t="str">
        <f aca="false">IF($A368="","",IFERROR((AVERAGE($O$349:$O368)-Config!$B$7/Config!$B$6)/STDEV($O$349:$O368)*SQRT(Config!$B$6),""))</f>
        <v/>
      </c>
      <c r="R368" s="53" t="str">
        <f aca="false">IF($A368="","",IFERROR((AVERAGE($O$309:$O368)-Config!$B$7/Config!$B$6)/STDEV($O$309:$O368)*SQRT(Config!$B$6),""))</f>
        <v/>
      </c>
      <c r="S368" s="47" t="n">
        <f aca="false">IF($H368="",$S367,IF($H368&gt;0,$S367+1,0))</f>
        <v>1</v>
      </c>
      <c r="T368" s="47" t="n">
        <f aca="false">IF($H368="",$T367,IF($H368&lt;0,$T367+1,0))</f>
        <v>0</v>
      </c>
    </row>
    <row r="369" customFormat="false" ht="15" hidden="false" customHeight="false" outlineLevel="0" collapsed="false">
      <c r="A369" s="54" t="n">
        <f aca="false">IF($A368="","",$A368+1)</f>
        <v>46600</v>
      </c>
      <c r="B369" s="5" t="str">
        <f aca="false">IF($A369="","",TEXT($A369,"ddd"))</f>
        <v>Sun</v>
      </c>
      <c r="C369" s="41" t="n">
        <f aca="false">IF($A369="","",COUNTIFS('Trade Log'!$L$4:$L$503,$A369))</f>
        <v>0</v>
      </c>
      <c r="D369" s="40" t="n">
        <f aca="false">IF($A369="","",SUMIFS('Trade Log'!$Q$4:$Q$503,'Trade Log'!$L$4:$L$503,$A369,'Trade Log'!$E$4:$E$503,"LONG"))</f>
        <v>0</v>
      </c>
      <c r="E369" s="40" t="n">
        <f aca="false">IF($A369="","",SUMIFS('Trade Log'!$Q$4:$Q$503,'Trade Log'!$L$4:$L$503,$A369,'Trade Log'!$E$4:$E$503,"SHORT"))</f>
        <v>0</v>
      </c>
      <c r="F369" s="40" t="n">
        <f aca="false">IF($A369="","",$D369+$E369)</f>
        <v>0</v>
      </c>
      <c r="G369" s="40" t="n">
        <f aca="false">IF($A369="","",SUMIFS('Trade Log'!$Y$4:$Y$503,'Trade Log'!$L$4:$L$503,$A369))</f>
        <v>0</v>
      </c>
      <c r="H369" s="40" t="str">
        <f aca="false">IF($A369="","",IF($C369=0,"",$F369-$G369))</f>
        <v/>
      </c>
      <c r="I369" s="40" t="n">
        <f aca="false">IF($A369="","",$I368+IF($H369="",0,$H369))</f>
        <v>23918.5521880349</v>
      </c>
      <c r="J369" s="40" t="n">
        <f aca="false">IF($A369="","",Config!$B$4+$I369)</f>
        <v>1023918.55218803</v>
      </c>
      <c r="K369" s="40" t="n">
        <f aca="false">IF($A369="","",MAX($J$4:$J369))</f>
        <v>1023918.55218803</v>
      </c>
      <c r="L369" s="40" t="n">
        <f aca="false">IF($A369="","",$J369-$K369)</f>
        <v>0</v>
      </c>
      <c r="M369" s="42" t="n">
        <f aca="false">IF(OR($A369="",$K369=0),"",$L369/$K369)</f>
        <v>0</v>
      </c>
      <c r="N369" s="40" t="n">
        <f aca="false">IF($A369="","",SUMIFS('Trade Log'!$K$4:$K$503,'Trade Log'!$H$4:$H$503,$A369))</f>
        <v>0</v>
      </c>
      <c r="O369" s="42" t="str">
        <f aca="false">IF(OR($A369="",$H369="",Config!$B$4=0),"",$H369/Config!$B$4)</f>
        <v/>
      </c>
      <c r="P369" s="40" t="n">
        <f aca="false">IF($A369="","",SUM($H$350:$H369))</f>
        <v>0</v>
      </c>
      <c r="Q369" s="53" t="str">
        <f aca="false">IF($A369="","",IFERROR((AVERAGE($O$350:$O369)-Config!$B$7/Config!$B$6)/STDEV($O$350:$O369)*SQRT(Config!$B$6),""))</f>
        <v/>
      </c>
      <c r="R369" s="53" t="str">
        <f aca="false">IF($A369="","",IFERROR((AVERAGE($O$310:$O369)-Config!$B$7/Config!$B$6)/STDEV($O$310:$O369)*SQRT(Config!$B$6),""))</f>
        <v/>
      </c>
      <c r="S369" s="47" t="n">
        <f aca="false">IF($H369="",$S368,IF($H369&gt;0,$S368+1,0))</f>
        <v>1</v>
      </c>
      <c r="T369" s="47" t="n">
        <f aca="false">IF($H369="",$T368,IF($H369&lt;0,$T368+1,0))</f>
        <v>0</v>
      </c>
    </row>
    <row r="370" customFormat="false" ht="15" hidden="false" customHeight="false" outlineLevel="0" collapsed="false">
      <c r="A370" s="54" t="n">
        <f aca="false">IF($A369="","",$A369+1)</f>
        <v>46601</v>
      </c>
      <c r="B370" s="5" t="str">
        <f aca="false">IF($A370="","",TEXT($A370,"ddd"))</f>
        <v>Mon</v>
      </c>
      <c r="C370" s="41" t="n">
        <f aca="false">IF($A370="","",COUNTIFS('Trade Log'!$L$4:$L$503,$A370))</f>
        <v>0</v>
      </c>
      <c r="D370" s="40" t="n">
        <f aca="false">IF($A370="","",SUMIFS('Trade Log'!$Q$4:$Q$503,'Trade Log'!$L$4:$L$503,$A370,'Trade Log'!$E$4:$E$503,"LONG"))</f>
        <v>0</v>
      </c>
      <c r="E370" s="40" t="n">
        <f aca="false">IF($A370="","",SUMIFS('Trade Log'!$Q$4:$Q$503,'Trade Log'!$L$4:$L$503,$A370,'Trade Log'!$E$4:$E$503,"SHORT"))</f>
        <v>0</v>
      </c>
      <c r="F370" s="40" t="n">
        <f aca="false">IF($A370="","",$D370+$E370)</f>
        <v>0</v>
      </c>
      <c r="G370" s="40" t="n">
        <f aca="false">IF($A370="","",SUMIFS('Trade Log'!$Y$4:$Y$503,'Trade Log'!$L$4:$L$503,$A370))</f>
        <v>0</v>
      </c>
      <c r="H370" s="40" t="str">
        <f aca="false">IF($A370="","",IF($C370=0,"",$F370-$G370))</f>
        <v/>
      </c>
      <c r="I370" s="40" t="n">
        <f aca="false">IF($A370="","",$I369+IF($H370="",0,$H370))</f>
        <v>23918.5521880349</v>
      </c>
      <c r="J370" s="40" t="n">
        <f aca="false">IF($A370="","",Config!$B$4+$I370)</f>
        <v>1023918.55218803</v>
      </c>
      <c r="K370" s="40" t="n">
        <f aca="false">IF($A370="","",MAX($J$4:$J370))</f>
        <v>1023918.55218803</v>
      </c>
      <c r="L370" s="40" t="n">
        <f aca="false">IF($A370="","",$J370-$K370)</f>
        <v>0</v>
      </c>
      <c r="M370" s="42" t="n">
        <f aca="false">IF(OR($A370="",$K370=0),"",$L370/$K370)</f>
        <v>0</v>
      </c>
      <c r="N370" s="40" t="n">
        <f aca="false">IF($A370="","",SUMIFS('Trade Log'!$K$4:$K$503,'Trade Log'!$H$4:$H$503,$A370))</f>
        <v>0</v>
      </c>
      <c r="O370" s="42" t="str">
        <f aca="false">IF(OR($A370="",$H370="",Config!$B$4=0),"",$H370/Config!$B$4)</f>
        <v/>
      </c>
      <c r="P370" s="40" t="n">
        <f aca="false">IF($A370="","",SUM($H$351:$H370))</f>
        <v>0</v>
      </c>
      <c r="Q370" s="53" t="str">
        <f aca="false">IF($A370="","",IFERROR((AVERAGE($O$351:$O370)-Config!$B$7/Config!$B$6)/STDEV($O$351:$O370)*SQRT(Config!$B$6),""))</f>
        <v/>
      </c>
      <c r="R370" s="53" t="str">
        <f aca="false">IF($A370="","",IFERROR((AVERAGE($O$311:$O370)-Config!$B$7/Config!$B$6)/STDEV($O$311:$O370)*SQRT(Config!$B$6),""))</f>
        <v/>
      </c>
      <c r="S370" s="47" t="n">
        <f aca="false">IF($H370="",$S369,IF($H370&gt;0,$S369+1,0))</f>
        <v>1</v>
      </c>
      <c r="T370" s="47" t="n">
        <f aca="false">IF($H370="",$T369,IF($H370&lt;0,$T369+1,0))</f>
        <v>0</v>
      </c>
    </row>
    <row r="371" customFormat="false" ht="15" hidden="false" customHeight="false" outlineLevel="0" collapsed="false">
      <c r="A371" s="54" t="n">
        <f aca="false">IF($A370="","",$A370+1)</f>
        <v>46602</v>
      </c>
      <c r="B371" s="5" t="str">
        <f aca="false">IF($A371="","",TEXT($A371,"ddd"))</f>
        <v>Tue</v>
      </c>
      <c r="C371" s="41" t="n">
        <f aca="false">IF($A371="","",COUNTIFS('Trade Log'!$L$4:$L$503,$A371))</f>
        <v>0</v>
      </c>
      <c r="D371" s="40" t="n">
        <f aca="false">IF($A371="","",SUMIFS('Trade Log'!$Q$4:$Q$503,'Trade Log'!$L$4:$L$503,$A371,'Trade Log'!$E$4:$E$503,"LONG"))</f>
        <v>0</v>
      </c>
      <c r="E371" s="40" t="n">
        <f aca="false">IF($A371="","",SUMIFS('Trade Log'!$Q$4:$Q$503,'Trade Log'!$L$4:$L$503,$A371,'Trade Log'!$E$4:$E$503,"SHORT"))</f>
        <v>0</v>
      </c>
      <c r="F371" s="40" t="n">
        <f aca="false">IF($A371="","",$D371+$E371)</f>
        <v>0</v>
      </c>
      <c r="G371" s="40" t="n">
        <f aca="false">IF($A371="","",SUMIFS('Trade Log'!$Y$4:$Y$503,'Trade Log'!$L$4:$L$503,$A371))</f>
        <v>0</v>
      </c>
      <c r="H371" s="40" t="str">
        <f aca="false">IF($A371="","",IF($C371=0,"",$F371-$G371))</f>
        <v/>
      </c>
      <c r="I371" s="40" t="n">
        <f aca="false">IF($A371="","",$I370+IF($H371="",0,$H371))</f>
        <v>23918.5521880349</v>
      </c>
      <c r="J371" s="40" t="n">
        <f aca="false">IF($A371="","",Config!$B$4+$I371)</f>
        <v>1023918.55218803</v>
      </c>
      <c r="K371" s="40" t="n">
        <f aca="false">IF($A371="","",MAX($J$4:$J371))</f>
        <v>1023918.55218803</v>
      </c>
      <c r="L371" s="40" t="n">
        <f aca="false">IF($A371="","",$J371-$K371)</f>
        <v>0</v>
      </c>
      <c r="M371" s="42" t="n">
        <f aca="false">IF(OR($A371="",$K371=0),"",$L371/$K371)</f>
        <v>0</v>
      </c>
      <c r="N371" s="40" t="n">
        <f aca="false">IF($A371="","",SUMIFS('Trade Log'!$K$4:$K$503,'Trade Log'!$H$4:$H$503,$A371))</f>
        <v>0</v>
      </c>
      <c r="O371" s="42" t="str">
        <f aca="false">IF(OR($A371="",$H371="",Config!$B$4=0),"",$H371/Config!$B$4)</f>
        <v/>
      </c>
      <c r="P371" s="40" t="n">
        <f aca="false">IF($A371="","",SUM($H$352:$H371))</f>
        <v>0</v>
      </c>
      <c r="Q371" s="53" t="str">
        <f aca="false">IF($A371="","",IFERROR((AVERAGE($O$352:$O371)-Config!$B$7/Config!$B$6)/STDEV($O$352:$O371)*SQRT(Config!$B$6),""))</f>
        <v/>
      </c>
      <c r="R371" s="53" t="str">
        <f aca="false">IF($A371="","",IFERROR((AVERAGE($O$312:$O371)-Config!$B$7/Config!$B$6)/STDEV($O$312:$O371)*SQRT(Config!$B$6),""))</f>
        <v/>
      </c>
      <c r="S371" s="47" t="n">
        <f aca="false">IF($H371="",$S370,IF($H371&gt;0,$S370+1,0))</f>
        <v>1</v>
      </c>
      <c r="T371" s="47" t="n">
        <f aca="false">IF($H371="",$T370,IF($H371&lt;0,$T370+1,0))</f>
        <v>0</v>
      </c>
    </row>
    <row r="372" customFormat="false" ht="15" hidden="false" customHeight="false" outlineLevel="0" collapsed="false">
      <c r="A372" s="54" t="n">
        <f aca="false">IF($A371="","",$A371+1)</f>
        <v>46603</v>
      </c>
      <c r="B372" s="5" t="str">
        <f aca="false">IF($A372="","",TEXT($A372,"ddd"))</f>
        <v>Wed</v>
      </c>
      <c r="C372" s="41" t="n">
        <f aca="false">IF($A372="","",COUNTIFS('Trade Log'!$L$4:$L$503,$A372))</f>
        <v>0</v>
      </c>
      <c r="D372" s="40" t="n">
        <f aca="false">IF($A372="","",SUMIFS('Trade Log'!$Q$4:$Q$503,'Trade Log'!$L$4:$L$503,$A372,'Trade Log'!$E$4:$E$503,"LONG"))</f>
        <v>0</v>
      </c>
      <c r="E372" s="40" t="n">
        <f aca="false">IF($A372="","",SUMIFS('Trade Log'!$Q$4:$Q$503,'Trade Log'!$L$4:$L$503,$A372,'Trade Log'!$E$4:$E$503,"SHORT"))</f>
        <v>0</v>
      </c>
      <c r="F372" s="40" t="n">
        <f aca="false">IF($A372="","",$D372+$E372)</f>
        <v>0</v>
      </c>
      <c r="G372" s="40" t="n">
        <f aca="false">IF($A372="","",SUMIFS('Trade Log'!$Y$4:$Y$503,'Trade Log'!$L$4:$L$503,$A372))</f>
        <v>0</v>
      </c>
      <c r="H372" s="40" t="str">
        <f aca="false">IF($A372="","",IF($C372=0,"",$F372-$G372))</f>
        <v/>
      </c>
      <c r="I372" s="40" t="n">
        <f aca="false">IF($A372="","",$I371+IF($H372="",0,$H372))</f>
        <v>23918.5521880349</v>
      </c>
      <c r="J372" s="40" t="n">
        <f aca="false">IF($A372="","",Config!$B$4+$I372)</f>
        <v>1023918.55218803</v>
      </c>
      <c r="K372" s="40" t="n">
        <f aca="false">IF($A372="","",MAX($J$4:$J372))</f>
        <v>1023918.55218803</v>
      </c>
      <c r="L372" s="40" t="n">
        <f aca="false">IF($A372="","",$J372-$K372)</f>
        <v>0</v>
      </c>
      <c r="M372" s="42" t="n">
        <f aca="false">IF(OR($A372="",$K372=0),"",$L372/$K372)</f>
        <v>0</v>
      </c>
      <c r="N372" s="40" t="n">
        <f aca="false">IF($A372="","",SUMIFS('Trade Log'!$K$4:$K$503,'Trade Log'!$H$4:$H$503,$A372))</f>
        <v>0</v>
      </c>
      <c r="O372" s="42" t="str">
        <f aca="false">IF(OR($A372="",$H372="",Config!$B$4=0),"",$H372/Config!$B$4)</f>
        <v/>
      </c>
      <c r="P372" s="40" t="n">
        <f aca="false">IF($A372="","",SUM($H$353:$H372))</f>
        <v>0</v>
      </c>
      <c r="Q372" s="53" t="str">
        <f aca="false">IF($A372="","",IFERROR((AVERAGE($O$353:$O372)-Config!$B$7/Config!$B$6)/STDEV($O$353:$O372)*SQRT(Config!$B$6),""))</f>
        <v/>
      </c>
      <c r="R372" s="53" t="str">
        <f aca="false">IF($A372="","",IFERROR((AVERAGE($O$313:$O372)-Config!$B$7/Config!$B$6)/STDEV($O$313:$O372)*SQRT(Config!$B$6),""))</f>
        <v/>
      </c>
      <c r="S372" s="47" t="n">
        <f aca="false">IF($H372="",$S371,IF($H372&gt;0,$S371+1,0))</f>
        <v>1</v>
      </c>
      <c r="T372" s="47" t="n">
        <f aca="false">IF($H372="",$T371,IF($H372&lt;0,$T371+1,0))</f>
        <v>0</v>
      </c>
    </row>
    <row r="373" customFormat="false" ht="15" hidden="false" customHeight="false" outlineLevel="0" collapsed="false">
      <c r="A373" s="54" t="n">
        <f aca="false">IF($A372="","",$A372+1)</f>
        <v>46604</v>
      </c>
      <c r="B373" s="5" t="str">
        <f aca="false">IF($A373="","",TEXT($A373,"ddd"))</f>
        <v>Thu</v>
      </c>
      <c r="C373" s="41" t="n">
        <f aca="false">IF($A373="","",COUNTIFS('Trade Log'!$L$4:$L$503,$A373))</f>
        <v>0</v>
      </c>
      <c r="D373" s="40" t="n">
        <f aca="false">IF($A373="","",SUMIFS('Trade Log'!$Q$4:$Q$503,'Trade Log'!$L$4:$L$503,$A373,'Trade Log'!$E$4:$E$503,"LONG"))</f>
        <v>0</v>
      </c>
      <c r="E373" s="40" t="n">
        <f aca="false">IF($A373="","",SUMIFS('Trade Log'!$Q$4:$Q$503,'Trade Log'!$L$4:$L$503,$A373,'Trade Log'!$E$4:$E$503,"SHORT"))</f>
        <v>0</v>
      </c>
      <c r="F373" s="40" t="n">
        <f aca="false">IF($A373="","",$D373+$E373)</f>
        <v>0</v>
      </c>
      <c r="G373" s="40" t="n">
        <f aca="false">IF($A373="","",SUMIFS('Trade Log'!$Y$4:$Y$503,'Trade Log'!$L$4:$L$503,$A373))</f>
        <v>0</v>
      </c>
      <c r="H373" s="40" t="str">
        <f aca="false">IF($A373="","",IF($C373=0,"",$F373-$G373))</f>
        <v/>
      </c>
      <c r="I373" s="40" t="n">
        <f aca="false">IF($A373="","",$I372+IF($H373="",0,$H373))</f>
        <v>23918.5521880349</v>
      </c>
      <c r="J373" s="40" t="n">
        <f aca="false">IF($A373="","",Config!$B$4+$I373)</f>
        <v>1023918.55218803</v>
      </c>
      <c r="K373" s="40" t="n">
        <f aca="false">IF($A373="","",MAX($J$4:$J373))</f>
        <v>1023918.55218803</v>
      </c>
      <c r="L373" s="40" t="n">
        <f aca="false">IF($A373="","",$J373-$K373)</f>
        <v>0</v>
      </c>
      <c r="M373" s="42" t="n">
        <f aca="false">IF(OR($A373="",$K373=0),"",$L373/$K373)</f>
        <v>0</v>
      </c>
      <c r="N373" s="40" t="n">
        <f aca="false">IF($A373="","",SUMIFS('Trade Log'!$K$4:$K$503,'Trade Log'!$H$4:$H$503,$A373))</f>
        <v>0</v>
      </c>
      <c r="O373" s="42" t="str">
        <f aca="false">IF(OR($A373="",$H373="",Config!$B$4=0),"",$H373/Config!$B$4)</f>
        <v/>
      </c>
      <c r="P373" s="40" t="n">
        <f aca="false">IF($A373="","",SUM($H$354:$H373))</f>
        <v>0</v>
      </c>
      <c r="Q373" s="53" t="str">
        <f aca="false">IF($A373="","",IFERROR((AVERAGE($O$354:$O373)-Config!$B$7/Config!$B$6)/STDEV($O$354:$O373)*SQRT(Config!$B$6),""))</f>
        <v/>
      </c>
      <c r="R373" s="53" t="str">
        <f aca="false">IF($A373="","",IFERROR((AVERAGE($O$314:$O373)-Config!$B$7/Config!$B$6)/STDEV($O$314:$O373)*SQRT(Config!$B$6),""))</f>
        <v/>
      </c>
      <c r="S373" s="47" t="n">
        <f aca="false">IF($H373="",$S372,IF($H373&gt;0,$S372+1,0))</f>
        <v>1</v>
      </c>
      <c r="T373" s="47" t="n">
        <f aca="false">IF($H373="",$T372,IF($H373&lt;0,$T372+1,0))</f>
        <v>0</v>
      </c>
    </row>
    <row r="374" customFormat="false" ht="15" hidden="false" customHeight="false" outlineLevel="0" collapsed="false">
      <c r="A374" s="54" t="n">
        <f aca="false">IF($A373="","",$A373+1)</f>
        <v>46605</v>
      </c>
      <c r="B374" s="5" t="str">
        <f aca="false">IF($A374="","",TEXT($A374,"ddd"))</f>
        <v>Fri</v>
      </c>
      <c r="C374" s="41" t="n">
        <f aca="false">IF($A374="","",COUNTIFS('Trade Log'!$L$4:$L$503,$A374))</f>
        <v>0</v>
      </c>
      <c r="D374" s="40" t="n">
        <f aca="false">IF($A374="","",SUMIFS('Trade Log'!$Q$4:$Q$503,'Trade Log'!$L$4:$L$503,$A374,'Trade Log'!$E$4:$E$503,"LONG"))</f>
        <v>0</v>
      </c>
      <c r="E374" s="40" t="n">
        <f aca="false">IF($A374="","",SUMIFS('Trade Log'!$Q$4:$Q$503,'Trade Log'!$L$4:$L$503,$A374,'Trade Log'!$E$4:$E$503,"SHORT"))</f>
        <v>0</v>
      </c>
      <c r="F374" s="40" t="n">
        <f aca="false">IF($A374="","",$D374+$E374)</f>
        <v>0</v>
      </c>
      <c r="G374" s="40" t="n">
        <f aca="false">IF($A374="","",SUMIFS('Trade Log'!$Y$4:$Y$503,'Trade Log'!$L$4:$L$503,$A374))</f>
        <v>0</v>
      </c>
      <c r="H374" s="40" t="str">
        <f aca="false">IF($A374="","",IF($C374=0,"",$F374-$G374))</f>
        <v/>
      </c>
      <c r="I374" s="40" t="n">
        <f aca="false">IF($A374="","",$I373+IF($H374="",0,$H374))</f>
        <v>23918.5521880349</v>
      </c>
      <c r="J374" s="40" t="n">
        <f aca="false">IF($A374="","",Config!$B$4+$I374)</f>
        <v>1023918.55218803</v>
      </c>
      <c r="K374" s="40" t="n">
        <f aca="false">IF($A374="","",MAX($J$4:$J374))</f>
        <v>1023918.55218803</v>
      </c>
      <c r="L374" s="40" t="n">
        <f aca="false">IF($A374="","",$J374-$K374)</f>
        <v>0</v>
      </c>
      <c r="M374" s="42" t="n">
        <f aca="false">IF(OR($A374="",$K374=0),"",$L374/$K374)</f>
        <v>0</v>
      </c>
      <c r="N374" s="40" t="n">
        <f aca="false">IF($A374="","",SUMIFS('Trade Log'!$K$4:$K$503,'Trade Log'!$H$4:$H$503,$A374))</f>
        <v>0</v>
      </c>
      <c r="O374" s="42" t="str">
        <f aca="false">IF(OR($A374="",$H374="",Config!$B$4=0),"",$H374/Config!$B$4)</f>
        <v/>
      </c>
      <c r="P374" s="40" t="n">
        <f aca="false">IF($A374="","",SUM($H$355:$H374))</f>
        <v>0</v>
      </c>
      <c r="Q374" s="53" t="str">
        <f aca="false">IF($A374="","",IFERROR((AVERAGE($O$355:$O374)-Config!$B$7/Config!$B$6)/STDEV($O$355:$O374)*SQRT(Config!$B$6),""))</f>
        <v/>
      </c>
      <c r="R374" s="53" t="str">
        <f aca="false">IF($A374="","",IFERROR((AVERAGE($O$315:$O374)-Config!$B$7/Config!$B$6)/STDEV($O$315:$O374)*SQRT(Config!$B$6),""))</f>
        <v/>
      </c>
      <c r="S374" s="47" t="n">
        <f aca="false">IF($H374="",$S373,IF($H374&gt;0,$S373+1,0))</f>
        <v>1</v>
      </c>
      <c r="T374" s="47" t="n">
        <f aca="false">IF($H374="",$T373,IF($H374&lt;0,$T373+1,0))</f>
        <v>0</v>
      </c>
    </row>
    <row r="375" customFormat="false" ht="15" hidden="false" customHeight="false" outlineLevel="0" collapsed="false">
      <c r="A375" s="54" t="n">
        <f aca="false">IF($A374="","",$A374+1)</f>
        <v>46606</v>
      </c>
      <c r="B375" s="5" t="str">
        <f aca="false">IF($A375="","",TEXT($A375,"ddd"))</f>
        <v>Sat</v>
      </c>
      <c r="C375" s="41" t="n">
        <f aca="false">IF($A375="","",COUNTIFS('Trade Log'!$L$4:$L$503,$A375))</f>
        <v>0</v>
      </c>
      <c r="D375" s="40" t="n">
        <f aca="false">IF($A375="","",SUMIFS('Trade Log'!$Q$4:$Q$503,'Trade Log'!$L$4:$L$503,$A375,'Trade Log'!$E$4:$E$503,"LONG"))</f>
        <v>0</v>
      </c>
      <c r="E375" s="40" t="n">
        <f aca="false">IF($A375="","",SUMIFS('Trade Log'!$Q$4:$Q$503,'Trade Log'!$L$4:$L$503,$A375,'Trade Log'!$E$4:$E$503,"SHORT"))</f>
        <v>0</v>
      </c>
      <c r="F375" s="40" t="n">
        <f aca="false">IF($A375="","",$D375+$E375)</f>
        <v>0</v>
      </c>
      <c r="G375" s="40" t="n">
        <f aca="false">IF($A375="","",SUMIFS('Trade Log'!$Y$4:$Y$503,'Trade Log'!$L$4:$L$503,$A375))</f>
        <v>0</v>
      </c>
      <c r="H375" s="40" t="str">
        <f aca="false">IF($A375="","",IF($C375=0,"",$F375-$G375))</f>
        <v/>
      </c>
      <c r="I375" s="40" t="n">
        <f aca="false">IF($A375="","",$I374+IF($H375="",0,$H375))</f>
        <v>23918.5521880349</v>
      </c>
      <c r="J375" s="40" t="n">
        <f aca="false">IF($A375="","",Config!$B$4+$I375)</f>
        <v>1023918.55218803</v>
      </c>
      <c r="K375" s="40" t="n">
        <f aca="false">IF($A375="","",MAX($J$4:$J375))</f>
        <v>1023918.55218803</v>
      </c>
      <c r="L375" s="40" t="n">
        <f aca="false">IF($A375="","",$J375-$K375)</f>
        <v>0</v>
      </c>
      <c r="M375" s="42" t="n">
        <f aca="false">IF(OR($A375="",$K375=0),"",$L375/$K375)</f>
        <v>0</v>
      </c>
      <c r="N375" s="40" t="n">
        <f aca="false">IF($A375="","",SUMIFS('Trade Log'!$K$4:$K$503,'Trade Log'!$H$4:$H$503,$A375))</f>
        <v>0</v>
      </c>
      <c r="O375" s="42" t="str">
        <f aca="false">IF(OR($A375="",$H375="",Config!$B$4=0),"",$H375/Config!$B$4)</f>
        <v/>
      </c>
      <c r="P375" s="40" t="n">
        <f aca="false">IF($A375="","",SUM($H$356:$H375))</f>
        <v>0</v>
      </c>
      <c r="Q375" s="53" t="str">
        <f aca="false">IF($A375="","",IFERROR((AVERAGE($O$356:$O375)-Config!$B$7/Config!$B$6)/STDEV($O$356:$O375)*SQRT(Config!$B$6),""))</f>
        <v/>
      </c>
      <c r="R375" s="53" t="str">
        <f aca="false">IF($A375="","",IFERROR((AVERAGE($O$316:$O375)-Config!$B$7/Config!$B$6)/STDEV($O$316:$O375)*SQRT(Config!$B$6),""))</f>
        <v/>
      </c>
      <c r="S375" s="47" t="n">
        <f aca="false">IF($H375="",$S374,IF($H375&gt;0,$S374+1,0))</f>
        <v>1</v>
      </c>
      <c r="T375" s="47" t="n">
        <f aca="false">IF($H375="",$T374,IF($H375&lt;0,$T374+1,0))</f>
        <v>0</v>
      </c>
    </row>
    <row r="376" customFormat="false" ht="15" hidden="false" customHeight="false" outlineLevel="0" collapsed="false">
      <c r="A376" s="54" t="n">
        <f aca="false">IF($A375="","",$A375+1)</f>
        <v>46607</v>
      </c>
      <c r="B376" s="5" t="str">
        <f aca="false">IF($A376="","",TEXT($A376,"ddd"))</f>
        <v>Sun</v>
      </c>
      <c r="C376" s="41" t="n">
        <f aca="false">IF($A376="","",COUNTIFS('Trade Log'!$L$4:$L$503,$A376))</f>
        <v>0</v>
      </c>
      <c r="D376" s="40" t="n">
        <f aca="false">IF($A376="","",SUMIFS('Trade Log'!$Q$4:$Q$503,'Trade Log'!$L$4:$L$503,$A376,'Trade Log'!$E$4:$E$503,"LONG"))</f>
        <v>0</v>
      </c>
      <c r="E376" s="40" t="n">
        <f aca="false">IF($A376="","",SUMIFS('Trade Log'!$Q$4:$Q$503,'Trade Log'!$L$4:$L$503,$A376,'Trade Log'!$E$4:$E$503,"SHORT"))</f>
        <v>0</v>
      </c>
      <c r="F376" s="40" t="n">
        <f aca="false">IF($A376="","",$D376+$E376)</f>
        <v>0</v>
      </c>
      <c r="G376" s="40" t="n">
        <f aca="false">IF($A376="","",SUMIFS('Trade Log'!$Y$4:$Y$503,'Trade Log'!$L$4:$L$503,$A376))</f>
        <v>0</v>
      </c>
      <c r="H376" s="40" t="str">
        <f aca="false">IF($A376="","",IF($C376=0,"",$F376-$G376))</f>
        <v/>
      </c>
      <c r="I376" s="40" t="n">
        <f aca="false">IF($A376="","",$I375+IF($H376="",0,$H376))</f>
        <v>23918.5521880349</v>
      </c>
      <c r="J376" s="40" t="n">
        <f aca="false">IF($A376="","",Config!$B$4+$I376)</f>
        <v>1023918.55218803</v>
      </c>
      <c r="K376" s="40" t="n">
        <f aca="false">IF($A376="","",MAX($J$4:$J376))</f>
        <v>1023918.55218803</v>
      </c>
      <c r="L376" s="40" t="n">
        <f aca="false">IF($A376="","",$J376-$K376)</f>
        <v>0</v>
      </c>
      <c r="M376" s="42" t="n">
        <f aca="false">IF(OR($A376="",$K376=0),"",$L376/$K376)</f>
        <v>0</v>
      </c>
      <c r="N376" s="40" t="n">
        <f aca="false">IF($A376="","",SUMIFS('Trade Log'!$K$4:$K$503,'Trade Log'!$H$4:$H$503,$A376))</f>
        <v>0</v>
      </c>
      <c r="O376" s="42" t="str">
        <f aca="false">IF(OR($A376="",$H376="",Config!$B$4=0),"",$H376/Config!$B$4)</f>
        <v/>
      </c>
      <c r="P376" s="40" t="n">
        <f aca="false">IF($A376="","",SUM($H$357:$H376))</f>
        <v>0</v>
      </c>
      <c r="Q376" s="53" t="str">
        <f aca="false">IF($A376="","",IFERROR((AVERAGE($O$357:$O376)-Config!$B$7/Config!$B$6)/STDEV($O$357:$O376)*SQRT(Config!$B$6),""))</f>
        <v/>
      </c>
      <c r="R376" s="53" t="str">
        <f aca="false">IF($A376="","",IFERROR((AVERAGE($O$317:$O376)-Config!$B$7/Config!$B$6)/STDEV($O$317:$O376)*SQRT(Config!$B$6),""))</f>
        <v/>
      </c>
      <c r="S376" s="47" t="n">
        <f aca="false">IF($H376="",$S375,IF($H376&gt;0,$S375+1,0))</f>
        <v>1</v>
      </c>
      <c r="T376" s="47" t="n">
        <f aca="false">IF($H376="",$T375,IF($H376&lt;0,$T375+1,0))</f>
        <v>0</v>
      </c>
    </row>
    <row r="377" customFormat="false" ht="15" hidden="false" customHeight="false" outlineLevel="0" collapsed="false">
      <c r="A377" s="54" t="n">
        <f aca="false">IF($A376="","",$A376+1)</f>
        <v>46608</v>
      </c>
      <c r="B377" s="5" t="str">
        <f aca="false">IF($A377="","",TEXT($A377,"ddd"))</f>
        <v>Mon</v>
      </c>
      <c r="C377" s="41" t="n">
        <f aca="false">IF($A377="","",COUNTIFS('Trade Log'!$L$4:$L$503,$A377))</f>
        <v>0</v>
      </c>
      <c r="D377" s="40" t="n">
        <f aca="false">IF($A377="","",SUMIFS('Trade Log'!$Q$4:$Q$503,'Trade Log'!$L$4:$L$503,$A377,'Trade Log'!$E$4:$E$503,"LONG"))</f>
        <v>0</v>
      </c>
      <c r="E377" s="40" t="n">
        <f aca="false">IF($A377="","",SUMIFS('Trade Log'!$Q$4:$Q$503,'Trade Log'!$L$4:$L$503,$A377,'Trade Log'!$E$4:$E$503,"SHORT"))</f>
        <v>0</v>
      </c>
      <c r="F377" s="40" t="n">
        <f aca="false">IF($A377="","",$D377+$E377)</f>
        <v>0</v>
      </c>
      <c r="G377" s="40" t="n">
        <f aca="false">IF($A377="","",SUMIFS('Trade Log'!$Y$4:$Y$503,'Trade Log'!$L$4:$L$503,$A377))</f>
        <v>0</v>
      </c>
      <c r="H377" s="40" t="str">
        <f aca="false">IF($A377="","",IF($C377=0,"",$F377-$G377))</f>
        <v/>
      </c>
      <c r="I377" s="40" t="n">
        <f aca="false">IF($A377="","",$I376+IF($H377="",0,$H377))</f>
        <v>23918.5521880349</v>
      </c>
      <c r="J377" s="40" t="n">
        <f aca="false">IF($A377="","",Config!$B$4+$I377)</f>
        <v>1023918.55218803</v>
      </c>
      <c r="K377" s="40" t="n">
        <f aca="false">IF($A377="","",MAX($J$4:$J377))</f>
        <v>1023918.55218803</v>
      </c>
      <c r="L377" s="40" t="n">
        <f aca="false">IF($A377="","",$J377-$K377)</f>
        <v>0</v>
      </c>
      <c r="M377" s="42" t="n">
        <f aca="false">IF(OR($A377="",$K377=0),"",$L377/$K377)</f>
        <v>0</v>
      </c>
      <c r="N377" s="40" t="n">
        <f aca="false">IF($A377="","",SUMIFS('Trade Log'!$K$4:$K$503,'Trade Log'!$H$4:$H$503,$A377))</f>
        <v>0</v>
      </c>
      <c r="O377" s="42" t="str">
        <f aca="false">IF(OR($A377="",$H377="",Config!$B$4=0),"",$H377/Config!$B$4)</f>
        <v/>
      </c>
      <c r="P377" s="40" t="n">
        <f aca="false">IF($A377="","",SUM($H$358:$H377))</f>
        <v>0</v>
      </c>
      <c r="Q377" s="53" t="str">
        <f aca="false">IF($A377="","",IFERROR((AVERAGE($O$358:$O377)-Config!$B$7/Config!$B$6)/STDEV($O$358:$O377)*SQRT(Config!$B$6),""))</f>
        <v/>
      </c>
      <c r="R377" s="53" t="str">
        <f aca="false">IF($A377="","",IFERROR((AVERAGE($O$318:$O377)-Config!$B$7/Config!$B$6)/STDEV($O$318:$O377)*SQRT(Config!$B$6),""))</f>
        <v/>
      </c>
      <c r="S377" s="47" t="n">
        <f aca="false">IF($H377="",$S376,IF($H377&gt;0,$S376+1,0))</f>
        <v>1</v>
      </c>
      <c r="T377" s="47" t="n">
        <f aca="false">IF($H377="",$T376,IF($H377&lt;0,$T376+1,0))</f>
        <v>0</v>
      </c>
    </row>
    <row r="378" customFormat="false" ht="15" hidden="false" customHeight="false" outlineLevel="0" collapsed="false">
      <c r="A378" s="54" t="n">
        <f aca="false">IF($A377="","",$A377+1)</f>
        <v>46609</v>
      </c>
      <c r="B378" s="5" t="str">
        <f aca="false">IF($A378="","",TEXT($A378,"ddd"))</f>
        <v>Tue</v>
      </c>
      <c r="C378" s="41" t="n">
        <f aca="false">IF($A378="","",COUNTIFS('Trade Log'!$L$4:$L$503,$A378))</f>
        <v>0</v>
      </c>
      <c r="D378" s="40" t="n">
        <f aca="false">IF($A378="","",SUMIFS('Trade Log'!$Q$4:$Q$503,'Trade Log'!$L$4:$L$503,$A378,'Trade Log'!$E$4:$E$503,"LONG"))</f>
        <v>0</v>
      </c>
      <c r="E378" s="40" t="n">
        <f aca="false">IF($A378="","",SUMIFS('Trade Log'!$Q$4:$Q$503,'Trade Log'!$L$4:$L$503,$A378,'Trade Log'!$E$4:$E$503,"SHORT"))</f>
        <v>0</v>
      </c>
      <c r="F378" s="40" t="n">
        <f aca="false">IF($A378="","",$D378+$E378)</f>
        <v>0</v>
      </c>
      <c r="G378" s="40" t="n">
        <f aca="false">IF($A378="","",SUMIFS('Trade Log'!$Y$4:$Y$503,'Trade Log'!$L$4:$L$503,$A378))</f>
        <v>0</v>
      </c>
      <c r="H378" s="40" t="str">
        <f aca="false">IF($A378="","",IF($C378=0,"",$F378-$G378))</f>
        <v/>
      </c>
      <c r="I378" s="40" t="n">
        <f aca="false">IF($A378="","",$I377+IF($H378="",0,$H378))</f>
        <v>23918.5521880349</v>
      </c>
      <c r="J378" s="40" t="n">
        <f aca="false">IF($A378="","",Config!$B$4+$I378)</f>
        <v>1023918.55218803</v>
      </c>
      <c r="K378" s="40" t="n">
        <f aca="false">IF($A378="","",MAX($J$4:$J378))</f>
        <v>1023918.55218803</v>
      </c>
      <c r="L378" s="40" t="n">
        <f aca="false">IF($A378="","",$J378-$K378)</f>
        <v>0</v>
      </c>
      <c r="M378" s="42" t="n">
        <f aca="false">IF(OR($A378="",$K378=0),"",$L378/$K378)</f>
        <v>0</v>
      </c>
      <c r="N378" s="40" t="n">
        <f aca="false">IF($A378="","",SUMIFS('Trade Log'!$K$4:$K$503,'Trade Log'!$H$4:$H$503,$A378))</f>
        <v>0</v>
      </c>
      <c r="O378" s="42" t="str">
        <f aca="false">IF(OR($A378="",$H378="",Config!$B$4=0),"",$H378/Config!$B$4)</f>
        <v/>
      </c>
      <c r="P378" s="40" t="n">
        <f aca="false">IF($A378="","",SUM($H$359:$H378))</f>
        <v>0</v>
      </c>
      <c r="Q378" s="53" t="str">
        <f aca="false">IF($A378="","",IFERROR((AVERAGE($O$359:$O378)-Config!$B$7/Config!$B$6)/STDEV($O$359:$O378)*SQRT(Config!$B$6),""))</f>
        <v/>
      </c>
      <c r="R378" s="53" t="str">
        <f aca="false">IF($A378="","",IFERROR((AVERAGE($O$319:$O378)-Config!$B$7/Config!$B$6)/STDEV($O$319:$O378)*SQRT(Config!$B$6),""))</f>
        <v/>
      </c>
      <c r="S378" s="47" t="n">
        <f aca="false">IF($H378="",$S377,IF($H378&gt;0,$S377+1,0))</f>
        <v>1</v>
      </c>
      <c r="T378" s="47" t="n">
        <f aca="false">IF($H378="",$T377,IF($H378&lt;0,$T377+1,0))</f>
        <v>0</v>
      </c>
    </row>
    <row r="379" customFormat="false" ht="15" hidden="false" customHeight="false" outlineLevel="0" collapsed="false">
      <c r="A379" s="54" t="n">
        <f aca="false">IF($A378="","",$A378+1)</f>
        <v>46610</v>
      </c>
      <c r="B379" s="5" t="str">
        <f aca="false">IF($A379="","",TEXT($A379,"ddd"))</f>
        <v>Wed</v>
      </c>
      <c r="C379" s="41" t="n">
        <f aca="false">IF($A379="","",COUNTIFS('Trade Log'!$L$4:$L$503,$A379))</f>
        <v>0</v>
      </c>
      <c r="D379" s="40" t="n">
        <f aca="false">IF($A379="","",SUMIFS('Trade Log'!$Q$4:$Q$503,'Trade Log'!$L$4:$L$503,$A379,'Trade Log'!$E$4:$E$503,"LONG"))</f>
        <v>0</v>
      </c>
      <c r="E379" s="40" t="n">
        <f aca="false">IF($A379="","",SUMIFS('Trade Log'!$Q$4:$Q$503,'Trade Log'!$L$4:$L$503,$A379,'Trade Log'!$E$4:$E$503,"SHORT"))</f>
        <v>0</v>
      </c>
      <c r="F379" s="40" t="n">
        <f aca="false">IF($A379="","",$D379+$E379)</f>
        <v>0</v>
      </c>
      <c r="G379" s="40" t="n">
        <f aca="false">IF($A379="","",SUMIFS('Trade Log'!$Y$4:$Y$503,'Trade Log'!$L$4:$L$503,$A379))</f>
        <v>0</v>
      </c>
      <c r="H379" s="40" t="str">
        <f aca="false">IF($A379="","",IF($C379=0,"",$F379-$G379))</f>
        <v/>
      </c>
      <c r="I379" s="40" t="n">
        <f aca="false">IF($A379="","",$I378+IF($H379="",0,$H379))</f>
        <v>23918.5521880349</v>
      </c>
      <c r="J379" s="40" t="n">
        <f aca="false">IF($A379="","",Config!$B$4+$I379)</f>
        <v>1023918.55218803</v>
      </c>
      <c r="K379" s="40" t="n">
        <f aca="false">IF($A379="","",MAX($J$4:$J379))</f>
        <v>1023918.55218803</v>
      </c>
      <c r="L379" s="40" t="n">
        <f aca="false">IF($A379="","",$J379-$K379)</f>
        <v>0</v>
      </c>
      <c r="M379" s="42" t="n">
        <f aca="false">IF(OR($A379="",$K379=0),"",$L379/$K379)</f>
        <v>0</v>
      </c>
      <c r="N379" s="40" t="n">
        <f aca="false">IF($A379="","",SUMIFS('Trade Log'!$K$4:$K$503,'Trade Log'!$H$4:$H$503,$A379))</f>
        <v>0</v>
      </c>
      <c r="O379" s="42" t="str">
        <f aca="false">IF(OR($A379="",$H379="",Config!$B$4=0),"",$H379/Config!$B$4)</f>
        <v/>
      </c>
      <c r="P379" s="40" t="n">
        <f aca="false">IF($A379="","",SUM($H$360:$H379))</f>
        <v>0</v>
      </c>
      <c r="Q379" s="53" t="str">
        <f aca="false">IF($A379="","",IFERROR((AVERAGE($O$360:$O379)-Config!$B$7/Config!$B$6)/STDEV($O$360:$O379)*SQRT(Config!$B$6),""))</f>
        <v/>
      </c>
      <c r="R379" s="53" t="str">
        <f aca="false">IF($A379="","",IFERROR((AVERAGE($O$320:$O379)-Config!$B$7/Config!$B$6)/STDEV($O$320:$O379)*SQRT(Config!$B$6),""))</f>
        <v/>
      </c>
      <c r="S379" s="47" t="n">
        <f aca="false">IF($H379="",$S378,IF($H379&gt;0,$S378+1,0))</f>
        <v>1</v>
      </c>
      <c r="T379" s="47" t="n">
        <f aca="false">IF($H379="",$T378,IF($H379&lt;0,$T378+1,0))</f>
        <v>0</v>
      </c>
    </row>
    <row r="380" customFormat="false" ht="15" hidden="false" customHeight="false" outlineLevel="0" collapsed="false">
      <c r="A380" s="54" t="n">
        <f aca="false">IF($A379="","",$A379+1)</f>
        <v>46611</v>
      </c>
      <c r="B380" s="5" t="str">
        <f aca="false">IF($A380="","",TEXT($A380,"ddd"))</f>
        <v>Thu</v>
      </c>
      <c r="C380" s="41" t="n">
        <f aca="false">IF($A380="","",COUNTIFS('Trade Log'!$L$4:$L$503,$A380))</f>
        <v>0</v>
      </c>
      <c r="D380" s="40" t="n">
        <f aca="false">IF($A380="","",SUMIFS('Trade Log'!$Q$4:$Q$503,'Trade Log'!$L$4:$L$503,$A380,'Trade Log'!$E$4:$E$503,"LONG"))</f>
        <v>0</v>
      </c>
      <c r="E380" s="40" t="n">
        <f aca="false">IF($A380="","",SUMIFS('Trade Log'!$Q$4:$Q$503,'Trade Log'!$L$4:$L$503,$A380,'Trade Log'!$E$4:$E$503,"SHORT"))</f>
        <v>0</v>
      </c>
      <c r="F380" s="40" t="n">
        <f aca="false">IF($A380="","",$D380+$E380)</f>
        <v>0</v>
      </c>
      <c r="G380" s="40" t="n">
        <f aca="false">IF($A380="","",SUMIFS('Trade Log'!$Y$4:$Y$503,'Trade Log'!$L$4:$L$503,$A380))</f>
        <v>0</v>
      </c>
      <c r="H380" s="40" t="str">
        <f aca="false">IF($A380="","",IF($C380=0,"",$F380-$G380))</f>
        <v/>
      </c>
      <c r="I380" s="40" t="n">
        <f aca="false">IF($A380="","",$I379+IF($H380="",0,$H380))</f>
        <v>23918.5521880349</v>
      </c>
      <c r="J380" s="40" t="n">
        <f aca="false">IF($A380="","",Config!$B$4+$I380)</f>
        <v>1023918.55218803</v>
      </c>
      <c r="K380" s="40" t="n">
        <f aca="false">IF($A380="","",MAX($J$4:$J380))</f>
        <v>1023918.55218803</v>
      </c>
      <c r="L380" s="40" t="n">
        <f aca="false">IF($A380="","",$J380-$K380)</f>
        <v>0</v>
      </c>
      <c r="M380" s="42" t="n">
        <f aca="false">IF(OR($A380="",$K380=0),"",$L380/$K380)</f>
        <v>0</v>
      </c>
      <c r="N380" s="40" t="n">
        <f aca="false">IF($A380="","",SUMIFS('Trade Log'!$K$4:$K$503,'Trade Log'!$H$4:$H$503,$A380))</f>
        <v>0</v>
      </c>
      <c r="O380" s="42" t="str">
        <f aca="false">IF(OR($A380="",$H380="",Config!$B$4=0),"",$H380/Config!$B$4)</f>
        <v/>
      </c>
      <c r="P380" s="40" t="n">
        <f aca="false">IF($A380="","",SUM($H$361:$H380))</f>
        <v>0</v>
      </c>
      <c r="Q380" s="53" t="str">
        <f aca="false">IF($A380="","",IFERROR((AVERAGE($O$361:$O380)-Config!$B$7/Config!$B$6)/STDEV($O$361:$O380)*SQRT(Config!$B$6),""))</f>
        <v/>
      </c>
      <c r="R380" s="53" t="str">
        <f aca="false">IF($A380="","",IFERROR((AVERAGE($O$321:$O380)-Config!$B$7/Config!$B$6)/STDEV($O$321:$O380)*SQRT(Config!$B$6),""))</f>
        <v/>
      </c>
      <c r="S380" s="47" t="n">
        <f aca="false">IF($H380="",$S379,IF($H380&gt;0,$S379+1,0))</f>
        <v>1</v>
      </c>
      <c r="T380" s="47" t="n">
        <f aca="false">IF($H380="",$T379,IF($H380&lt;0,$T379+1,0))</f>
        <v>0</v>
      </c>
    </row>
    <row r="381" customFormat="false" ht="15" hidden="false" customHeight="false" outlineLevel="0" collapsed="false">
      <c r="A381" s="54" t="n">
        <f aca="false">IF($A380="","",$A380+1)</f>
        <v>46612</v>
      </c>
      <c r="B381" s="5" t="str">
        <f aca="false">IF($A381="","",TEXT($A381,"ddd"))</f>
        <v>Fri</v>
      </c>
      <c r="C381" s="41" t="n">
        <f aca="false">IF($A381="","",COUNTIFS('Trade Log'!$L$4:$L$503,$A381))</f>
        <v>0</v>
      </c>
      <c r="D381" s="40" t="n">
        <f aca="false">IF($A381="","",SUMIFS('Trade Log'!$Q$4:$Q$503,'Trade Log'!$L$4:$L$503,$A381,'Trade Log'!$E$4:$E$503,"LONG"))</f>
        <v>0</v>
      </c>
      <c r="E381" s="40" t="n">
        <f aca="false">IF($A381="","",SUMIFS('Trade Log'!$Q$4:$Q$503,'Trade Log'!$L$4:$L$503,$A381,'Trade Log'!$E$4:$E$503,"SHORT"))</f>
        <v>0</v>
      </c>
      <c r="F381" s="40" t="n">
        <f aca="false">IF($A381="","",$D381+$E381)</f>
        <v>0</v>
      </c>
      <c r="G381" s="40" t="n">
        <f aca="false">IF($A381="","",SUMIFS('Trade Log'!$Y$4:$Y$503,'Trade Log'!$L$4:$L$503,$A381))</f>
        <v>0</v>
      </c>
      <c r="H381" s="40" t="str">
        <f aca="false">IF($A381="","",IF($C381=0,"",$F381-$G381))</f>
        <v/>
      </c>
      <c r="I381" s="40" t="n">
        <f aca="false">IF($A381="","",$I380+IF($H381="",0,$H381))</f>
        <v>23918.5521880349</v>
      </c>
      <c r="J381" s="40" t="n">
        <f aca="false">IF($A381="","",Config!$B$4+$I381)</f>
        <v>1023918.55218803</v>
      </c>
      <c r="K381" s="40" t="n">
        <f aca="false">IF($A381="","",MAX($J$4:$J381))</f>
        <v>1023918.55218803</v>
      </c>
      <c r="L381" s="40" t="n">
        <f aca="false">IF($A381="","",$J381-$K381)</f>
        <v>0</v>
      </c>
      <c r="M381" s="42" t="n">
        <f aca="false">IF(OR($A381="",$K381=0),"",$L381/$K381)</f>
        <v>0</v>
      </c>
      <c r="N381" s="40" t="n">
        <f aca="false">IF($A381="","",SUMIFS('Trade Log'!$K$4:$K$503,'Trade Log'!$H$4:$H$503,$A381))</f>
        <v>0</v>
      </c>
      <c r="O381" s="42" t="str">
        <f aca="false">IF(OR($A381="",$H381="",Config!$B$4=0),"",$H381/Config!$B$4)</f>
        <v/>
      </c>
      <c r="P381" s="40" t="n">
        <f aca="false">IF($A381="","",SUM($H$362:$H381))</f>
        <v>0</v>
      </c>
      <c r="Q381" s="53" t="str">
        <f aca="false">IF($A381="","",IFERROR((AVERAGE($O$362:$O381)-Config!$B$7/Config!$B$6)/STDEV($O$362:$O381)*SQRT(Config!$B$6),""))</f>
        <v/>
      </c>
      <c r="R381" s="53" t="str">
        <f aca="false">IF($A381="","",IFERROR((AVERAGE($O$322:$O381)-Config!$B$7/Config!$B$6)/STDEV($O$322:$O381)*SQRT(Config!$B$6),""))</f>
        <v/>
      </c>
      <c r="S381" s="47" t="n">
        <f aca="false">IF($H381="",$S380,IF($H381&gt;0,$S380+1,0))</f>
        <v>1</v>
      </c>
      <c r="T381" s="47" t="n">
        <f aca="false">IF($H381="",$T380,IF($H381&lt;0,$T380+1,0))</f>
        <v>0</v>
      </c>
    </row>
    <row r="382" customFormat="false" ht="15" hidden="false" customHeight="false" outlineLevel="0" collapsed="false">
      <c r="A382" s="54" t="n">
        <f aca="false">IF($A381="","",$A381+1)</f>
        <v>46613</v>
      </c>
      <c r="B382" s="5" t="str">
        <f aca="false">IF($A382="","",TEXT($A382,"ddd"))</f>
        <v>Sat</v>
      </c>
      <c r="C382" s="41" t="n">
        <f aca="false">IF($A382="","",COUNTIFS('Trade Log'!$L$4:$L$503,$A382))</f>
        <v>0</v>
      </c>
      <c r="D382" s="40" t="n">
        <f aca="false">IF($A382="","",SUMIFS('Trade Log'!$Q$4:$Q$503,'Trade Log'!$L$4:$L$503,$A382,'Trade Log'!$E$4:$E$503,"LONG"))</f>
        <v>0</v>
      </c>
      <c r="E382" s="40" t="n">
        <f aca="false">IF($A382="","",SUMIFS('Trade Log'!$Q$4:$Q$503,'Trade Log'!$L$4:$L$503,$A382,'Trade Log'!$E$4:$E$503,"SHORT"))</f>
        <v>0</v>
      </c>
      <c r="F382" s="40" t="n">
        <f aca="false">IF($A382="","",$D382+$E382)</f>
        <v>0</v>
      </c>
      <c r="G382" s="40" t="n">
        <f aca="false">IF($A382="","",SUMIFS('Trade Log'!$Y$4:$Y$503,'Trade Log'!$L$4:$L$503,$A382))</f>
        <v>0</v>
      </c>
      <c r="H382" s="40" t="str">
        <f aca="false">IF($A382="","",IF($C382=0,"",$F382-$G382))</f>
        <v/>
      </c>
      <c r="I382" s="40" t="n">
        <f aca="false">IF($A382="","",$I381+IF($H382="",0,$H382))</f>
        <v>23918.5521880349</v>
      </c>
      <c r="J382" s="40" t="n">
        <f aca="false">IF($A382="","",Config!$B$4+$I382)</f>
        <v>1023918.55218803</v>
      </c>
      <c r="K382" s="40" t="n">
        <f aca="false">IF($A382="","",MAX($J$4:$J382))</f>
        <v>1023918.55218803</v>
      </c>
      <c r="L382" s="40" t="n">
        <f aca="false">IF($A382="","",$J382-$K382)</f>
        <v>0</v>
      </c>
      <c r="M382" s="42" t="n">
        <f aca="false">IF(OR($A382="",$K382=0),"",$L382/$K382)</f>
        <v>0</v>
      </c>
      <c r="N382" s="40" t="n">
        <f aca="false">IF($A382="","",SUMIFS('Trade Log'!$K$4:$K$503,'Trade Log'!$H$4:$H$503,$A382))</f>
        <v>0</v>
      </c>
      <c r="O382" s="42" t="str">
        <f aca="false">IF(OR($A382="",$H382="",Config!$B$4=0),"",$H382/Config!$B$4)</f>
        <v/>
      </c>
      <c r="P382" s="40" t="n">
        <f aca="false">IF($A382="","",SUM($H$363:$H382))</f>
        <v>0</v>
      </c>
      <c r="Q382" s="53" t="str">
        <f aca="false">IF($A382="","",IFERROR((AVERAGE($O$363:$O382)-Config!$B$7/Config!$B$6)/STDEV($O$363:$O382)*SQRT(Config!$B$6),""))</f>
        <v/>
      </c>
      <c r="R382" s="53" t="str">
        <f aca="false">IF($A382="","",IFERROR((AVERAGE($O$323:$O382)-Config!$B$7/Config!$B$6)/STDEV($O$323:$O382)*SQRT(Config!$B$6),""))</f>
        <v/>
      </c>
      <c r="S382" s="47" t="n">
        <f aca="false">IF($H382="",$S381,IF($H382&gt;0,$S381+1,0))</f>
        <v>1</v>
      </c>
      <c r="T382" s="47" t="n">
        <f aca="false">IF($H382="",$T381,IF($H382&lt;0,$T381+1,0))</f>
        <v>0</v>
      </c>
    </row>
    <row r="383" customFormat="false" ht="15" hidden="false" customHeight="false" outlineLevel="0" collapsed="false">
      <c r="A383" s="54" t="n">
        <f aca="false">IF($A382="","",$A382+1)</f>
        <v>46614</v>
      </c>
      <c r="B383" s="5" t="str">
        <f aca="false">IF($A383="","",TEXT($A383,"ddd"))</f>
        <v>Sun</v>
      </c>
      <c r="C383" s="41" t="n">
        <f aca="false">IF($A383="","",COUNTIFS('Trade Log'!$L$4:$L$503,$A383))</f>
        <v>0</v>
      </c>
      <c r="D383" s="40" t="n">
        <f aca="false">IF($A383="","",SUMIFS('Trade Log'!$Q$4:$Q$503,'Trade Log'!$L$4:$L$503,$A383,'Trade Log'!$E$4:$E$503,"LONG"))</f>
        <v>0</v>
      </c>
      <c r="E383" s="40" t="n">
        <f aca="false">IF($A383="","",SUMIFS('Trade Log'!$Q$4:$Q$503,'Trade Log'!$L$4:$L$503,$A383,'Trade Log'!$E$4:$E$503,"SHORT"))</f>
        <v>0</v>
      </c>
      <c r="F383" s="40" t="n">
        <f aca="false">IF($A383="","",$D383+$E383)</f>
        <v>0</v>
      </c>
      <c r="G383" s="40" t="n">
        <f aca="false">IF($A383="","",SUMIFS('Trade Log'!$Y$4:$Y$503,'Trade Log'!$L$4:$L$503,$A383))</f>
        <v>0</v>
      </c>
      <c r="H383" s="40" t="str">
        <f aca="false">IF($A383="","",IF($C383=0,"",$F383-$G383))</f>
        <v/>
      </c>
      <c r="I383" s="40" t="n">
        <f aca="false">IF($A383="","",$I382+IF($H383="",0,$H383))</f>
        <v>23918.5521880349</v>
      </c>
      <c r="J383" s="40" t="n">
        <f aca="false">IF($A383="","",Config!$B$4+$I383)</f>
        <v>1023918.55218803</v>
      </c>
      <c r="K383" s="40" t="n">
        <f aca="false">IF($A383="","",MAX($J$4:$J383))</f>
        <v>1023918.55218803</v>
      </c>
      <c r="L383" s="40" t="n">
        <f aca="false">IF($A383="","",$J383-$K383)</f>
        <v>0</v>
      </c>
      <c r="M383" s="42" t="n">
        <f aca="false">IF(OR($A383="",$K383=0),"",$L383/$K383)</f>
        <v>0</v>
      </c>
      <c r="N383" s="40" t="n">
        <f aca="false">IF($A383="","",SUMIFS('Trade Log'!$K$4:$K$503,'Trade Log'!$H$4:$H$503,$A383))</f>
        <v>0</v>
      </c>
      <c r="O383" s="42" t="str">
        <f aca="false">IF(OR($A383="",$H383="",Config!$B$4=0),"",$H383/Config!$B$4)</f>
        <v/>
      </c>
      <c r="P383" s="40" t="n">
        <f aca="false">IF($A383="","",SUM($H$364:$H383))</f>
        <v>0</v>
      </c>
      <c r="Q383" s="53" t="str">
        <f aca="false">IF($A383="","",IFERROR((AVERAGE($O$364:$O383)-Config!$B$7/Config!$B$6)/STDEV($O$364:$O383)*SQRT(Config!$B$6),""))</f>
        <v/>
      </c>
      <c r="R383" s="53" t="str">
        <f aca="false">IF($A383="","",IFERROR((AVERAGE($O$324:$O383)-Config!$B$7/Config!$B$6)/STDEV($O$324:$O383)*SQRT(Config!$B$6),""))</f>
        <v/>
      </c>
      <c r="S383" s="47" t="n">
        <f aca="false">IF($H383="",$S382,IF($H383&gt;0,$S382+1,0))</f>
        <v>1</v>
      </c>
      <c r="T383" s="47" t="n">
        <f aca="false">IF($H383="",$T382,IF($H383&lt;0,$T382+1,0))</f>
        <v>0</v>
      </c>
    </row>
    <row r="384" customFormat="false" ht="15" hidden="false" customHeight="false" outlineLevel="0" collapsed="false">
      <c r="A384" s="54" t="n">
        <f aca="false">IF($A383="","",$A383+1)</f>
        <v>46615</v>
      </c>
      <c r="B384" s="5" t="str">
        <f aca="false">IF($A384="","",TEXT($A384,"ddd"))</f>
        <v>Mon</v>
      </c>
      <c r="C384" s="41" t="n">
        <f aca="false">IF($A384="","",COUNTIFS('Trade Log'!$L$4:$L$503,$A384))</f>
        <v>0</v>
      </c>
      <c r="D384" s="40" t="n">
        <f aca="false">IF($A384="","",SUMIFS('Trade Log'!$Q$4:$Q$503,'Trade Log'!$L$4:$L$503,$A384,'Trade Log'!$E$4:$E$503,"LONG"))</f>
        <v>0</v>
      </c>
      <c r="E384" s="40" t="n">
        <f aca="false">IF($A384="","",SUMIFS('Trade Log'!$Q$4:$Q$503,'Trade Log'!$L$4:$L$503,$A384,'Trade Log'!$E$4:$E$503,"SHORT"))</f>
        <v>0</v>
      </c>
      <c r="F384" s="40" t="n">
        <f aca="false">IF($A384="","",$D384+$E384)</f>
        <v>0</v>
      </c>
      <c r="G384" s="40" t="n">
        <f aca="false">IF($A384="","",SUMIFS('Trade Log'!$Y$4:$Y$503,'Trade Log'!$L$4:$L$503,$A384))</f>
        <v>0</v>
      </c>
      <c r="H384" s="40" t="str">
        <f aca="false">IF($A384="","",IF($C384=0,"",$F384-$G384))</f>
        <v/>
      </c>
      <c r="I384" s="40" t="n">
        <f aca="false">IF($A384="","",$I383+IF($H384="",0,$H384))</f>
        <v>23918.5521880349</v>
      </c>
      <c r="J384" s="40" t="n">
        <f aca="false">IF($A384="","",Config!$B$4+$I384)</f>
        <v>1023918.55218803</v>
      </c>
      <c r="K384" s="40" t="n">
        <f aca="false">IF($A384="","",MAX($J$4:$J384))</f>
        <v>1023918.55218803</v>
      </c>
      <c r="L384" s="40" t="n">
        <f aca="false">IF($A384="","",$J384-$K384)</f>
        <v>0</v>
      </c>
      <c r="M384" s="42" t="n">
        <f aca="false">IF(OR($A384="",$K384=0),"",$L384/$K384)</f>
        <v>0</v>
      </c>
      <c r="N384" s="40" t="n">
        <f aca="false">IF($A384="","",SUMIFS('Trade Log'!$K$4:$K$503,'Trade Log'!$H$4:$H$503,$A384))</f>
        <v>0</v>
      </c>
      <c r="O384" s="42" t="str">
        <f aca="false">IF(OR($A384="",$H384="",Config!$B$4=0),"",$H384/Config!$B$4)</f>
        <v/>
      </c>
      <c r="P384" s="40" t="n">
        <f aca="false">IF($A384="","",SUM($H$365:$H384))</f>
        <v>0</v>
      </c>
      <c r="Q384" s="53" t="str">
        <f aca="false">IF($A384="","",IFERROR((AVERAGE($O$365:$O384)-Config!$B$7/Config!$B$6)/STDEV($O$365:$O384)*SQRT(Config!$B$6),""))</f>
        <v/>
      </c>
      <c r="R384" s="53" t="str">
        <f aca="false">IF($A384="","",IFERROR((AVERAGE($O$325:$O384)-Config!$B$7/Config!$B$6)/STDEV($O$325:$O384)*SQRT(Config!$B$6),""))</f>
        <v/>
      </c>
      <c r="S384" s="47" t="n">
        <f aca="false">IF($H384="",$S383,IF($H384&gt;0,$S383+1,0))</f>
        <v>1</v>
      </c>
      <c r="T384" s="47" t="n">
        <f aca="false">IF($H384="",$T383,IF($H384&lt;0,$T383+1,0))</f>
        <v>0</v>
      </c>
    </row>
    <row r="385" customFormat="false" ht="15" hidden="false" customHeight="false" outlineLevel="0" collapsed="false">
      <c r="A385" s="54" t="n">
        <f aca="false">IF($A384="","",$A384+1)</f>
        <v>46616</v>
      </c>
      <c r="B385" s="5" t="str">
        <f aca="false">IF($A385="","",TEXT($A385,"ddd"))</f>
        <v>Tue</v>
      </c>
      <c r="C385" s="41" t="n">
        <f aca="false">IF($A385="","",COUNTIFS('Trade Log'!$L$4:$L$503,$A385))</f>
        <v>0</v>
      </c>
      <c r="D385" s="40" t="n">
        <f aca="false">IF($A385="","",SUMIFS('Trade Log'!$Q$4:$Q$503,'Trade Log'!$L$4:$L$503,$A385,'Trade Log'!$E$4:$E$503,"LONG"))</f>
        <v>0</v>
      </c>
      <c r="E385" s="40" t="n">
        <f aca="false">IF($A385="","",SUMIFS('Trade Log'!$Q$4:$Q$503,'Trade Log'!$L$4:$L$503,$A385,'Trade Log'!$E$4:$E$503,"SHORT"))</f>
        <v>0</v>
      </c>
      <c r="F385" s="40" t="n">
        <f aca="false">IF($A385="","",$D385+$E385)</f>
        <v>0</v>
      </c>
      <c r="G385" s="40" t="n">
        <f aca="false">IF($A385="","",SUMIFS('Trade Log'!$Y$4:$Y$503,'Trade Log'!$L$4:$L$503,$A385))</f>
        <v>0</v>
      </c>
      <c r="H385" s="40" t="str">
        <f aca="false">IF($A385="","",IF($C385=0,"",$F385-$G385))</f>
        <v/>
      </c>
      <c r="I385" s="40" t="n">
        <f aca="false">IF($A385="","",$I384+IF($H385="",0,$H385))</f>
        <v>23918.5521880349</v>
      </c>
      <c r="J385" s="40" t="n">
        <f aca="false">IF($A385="","",Config!$B$4+$I385)</f>
        <v>1023918.55218803</v>
      </c>
      <c r="K385" s="40" t="n">
        <f aca="false">IF($A385="","",MAX($J$4:$J385))</f>
        <v>1023918.55218803</v>
      </c>
      <c r="L385" s="40" t="n">
        <f aca="false">IF($A385="","",$J385-$K385)</f>
        <v>0</v>
      </c>
      <c r="M385" s="42" t="n">
        <f aca="false">IF(OR($A385="",$K385=0),"",$L385/$K385)</f>
        <v>0</v>
      </c>
      <c r="N385" s="40" t="n">
        <f aca="false">IF($A385="","",SUMIFS('Trade Log'!$K$4:$K$503,'Trade Log'!$H$4:$H$503,$A385))</f>
        <v>0</v>
      </c>
      <c r="O385" s="42" t="str">
        <f aca="false">IF(OR($A385="",$H385="",Config!$B$4=0),"",$H385/Config!$B$4)</f>
        <v/>
      </c>
      <c r="P385" s="40" t="n">
        <f aca="false">IF($A385="","",SUM($H$366:$H385))</f>
        <v>0</v>
      </c>
      <c r="Q385" s="53" t="str">
        <f aca="false">IF($A385="","",IFERROR((AVERAGE($O$366:$O385)-Config!$B$7/Config!$B$6)/STDEV($O$366:$O385)*SQRT(Config!$B$6),""))</f>
        <v/>
      </c>
      <c r="R385" s="53" t="str">
        <f aca="false">IF($A385="","",IFERROR((AVERAGE($O$326:$O385)-Config!$B$7/Config!$B$6)/STDEV($O$326:$O385)*SQRT(Config!$B$6),""))</f>
        <v/>
      </c>
      <c r="S385" s="47" t="n">
        <f aca="false">IF($H385="",$S384,IF($H385&gt;0,$S384+1,0))</f>
        <v>1</v>
      </c>
      <c r="T385" s="47" t="n">
        <f aca="false">IF($H385="",$T384,IF($H385&lt;0,$T384+1,0))</f>
        <v>0</v>
      </c>
    </row>
    <row r="386" customFormat="false" ht="15" hidden="false" customHeight="false" outlineLevel="0" collapsed="false">
      <c r="A386" s="54" t="n">
        <f aca="false">IF($A385="","",$A385+1)</f>
        <v>46617</v>
      </c>
      <c r="B386" s="5" t="str">
        <f aca="false">IF($A386="","",TEXT($A386,"ddd"))</f>
        <v>Wed</v>
      </c>
      <c r="C386" s="41" t="n">
        <f aca="false">IF($A386="","",COUNTIFS('Trade Log'!$L$4:$L$503,$A386))</f>
        <v>0</v>
      </c>
      <c r="D386" s="40" t="n">
        <f aca="false">IF($A386="","",SUMIFS('Trade Log'!$Q$4:$Q$503,'Trade Log'!$L$4:$L$503,$A386,'Trade Log'!$E$4:$E$503,"LONG"))</f>
        <v>0</v>
      </c>
      <c r="E386" s="40" t="n">
        <f aca="false">IF($A386="","",SUMIFS('Trade Log'!$Q$4:$Q$503,'Trade Log'!$L$4:$L$503,$A386,'Trade Log'!$E$4:$E$503,"SHORT"))</f>
        <v>0</v>
      </c>
      <c r="F386" s="40" t="n">
        <f aca="false">IF($A386="","",$D386+$E386)</f>
        <v>0</v>
      </c>
      <c r="G386" s="40" t="n">
        <f aca="false">IF($A386="","",SUMIFS('Trade Log'!$Y$4:$Y$503,'Trade Log'!$L$4:$L$503,$A386))</f>
        <v>0</v>
      </c>
      <c r="H386" s="40" t="str">
        <f aca="false">IF($A386="","",IF($C386=0,"",$F386-$G386))</f>
        <v/>
      </c>
      <c r="I386" s="40" t="n">
        <f aca="false">IF($A386="","",$I385+IF($H386="",0,$H386))</f>
        <v>23918.5521880349</v>
      </c>
      <c r="J386" s="40" t="n">
        <f aca="false">IF($A386="","",Config!$B$4+$I386)</f>
        <v>1023918.55218803</v>
      </c>
      <c r="K386" s="40" t="n">
        <f aca="false">IF($A386="","",MAX($J$4:$J386))</f>
        <v>1023918.55218803</v>
      </c>
      <c r="L386" s="40" t="n">
        <f aca="false">IF($A386="","",$J386-$K386)</f>
        <v>0</v>
      </c>
      <c r="M386" s="42" t="n">
        <f aca="false">IF(OR($A386="",$K386=0),"",$L386/$K386)</f>
        <v>0</v>
      </c>
      <c r="N386" s="40" t="n">
        <f aca="false">IF($A386="","",SUMIFS('Trade Log'!$K$4:$K$503,'Trade Log'!$H$4:$H$503,$A386))</f>
        <v>0</v>
      </c>
      <c r="O386" s="42" t="str">
        <f aca="false">IF(OR($A386="",$H386="",Config!$B$4=0),"",$H386/Config!$B$4)</f>
        <v/>
      </c>
      <c r="P386" s="40" t="n">
        <f aca="false">IF($A386="","",SUM($H$367:$H386))</f>
        <v>0</v>
      </c>
      <c r="Q386" s="53" t="str">
        <f aca="false">IF($A386="","",IFERROR((AVERAGE($O$367:$O386)-Config!$B$7/Config!$B$6)/STDEV($O$367:$O386)*SQRT(Config!$B$6),""))</f>
        <v/>
      </c>
      <c r="R386" s="53" t="str">
        <f aca="false">IF($A386="","",IFERROR((AVERAGE($O$327:$O386)-Config!$B$7/Config!$B$6)/STDEV($O$327:$O386)*SQRT(Config!$B$6),""))</f>
        <v/>
      </c>
      <c r="S386" s="47" t="n">
        <f aca="false">IF($H386="",$S385,IF($H386&gt;0,$S385+1,0))</f>
        <v>1</v>
      </c>
      <c r="T386" s="47" t="n">
        <f aca="false">IF($H386="",$T385,IF($H386&lt;0,$T385+1,0))</f>
        <v>0</v>
      </c>
    </row>
    <row r="387" customFormat="false" ht="15" hidden="false" customHeight="false" outlineLevel="0" collapsed="false">
      <c r="A387" s="54" t="n">
        <f aca="false">IF($A386="","",$A386+1)</f>
        <v>46618</v>
      </c>
      <c r="B387" s="5" t="str">
        <f aca="false">IF($A387="","",TEXT($A387,"ddd"))</f>
        <v>Thu</v>
      </c>
      <c r="C387" s="41" t="n">
        <f aca="false">IF($A387="","",COUNTIFS('Trade Log'!$L$4:$L$503,$A387))</f>
        <v>0</v>
      </c>
      <c r="D387" s="40" t="n">
        <f aca="false">IF($A387="","",SUMIFS('Trade Log'!$Q$4:$Q$503,'Trade Log'!$L$4:$L$503,$A387,'Trade Log'!$E$4:$E$503,"LONG"))</f>
        <v>0</v>
      </c>
      <c r="E387" s="40" t="n">
        <f aca="false">IF($A387="","",SUMIFS('Trade Log'!$Q$4:$Q$503,'Trade Log'!$L$4:$L$503,$A387,'Trade Log'!$E$4:$E$503,"SHORT"))</f>
        <v>0</v>
      </c>
      <c r="F387" s="40" t="n">
        <f aca="false">IF($A387="","",$D387+$E387)</f>
        <v>0</v>
      </c>
      <c r="G387" s="40" t="n">
        <f aca="false">IF($A387="","",SUMIFS('Trade Log'!$Y$4:$Y$503,'Trade Log'!$L$4:$L$503,$A387))</f>
        <v>0</v>
      </c>
      <c r="H387" s="40" t="str">
        <f aca="false">IF($A387="","",IF($C387=0,"",$F387-$G387))</f>
        <v/>
      </c>
      <c r="I387" s="40" t="n">
        <f aca="false">IF($A387="","",$I386+IF($H387="",0,$H387))</f>
        <v>23918.5521880349</v>
      </c>
      <c r="J387" s="40" t="n">
        <f aca="false">IF($A387="","",Config!$B$4+$I387)</f>
        <v>1023918.55218803</v>
      </c>
      <c r="K387" s="40" t="n">
        <f aca="false">IF($A387="","",MAX($J$4:$J387))</f>
        <v>1023918.55218803</v>
      </c>
      <c r="L387" s="40" t="n">
        <f aca="false">IF($A387="","",$J387-$K387)</f>
        <v>0</v>
      </c>
      <c r="M387" s="42" t="n">
        <f aca="false">IF(OR($A387="",$K387=0),"",$L387/$K387)</f>
        <v>0</v>
      </c>
      <c r="N387" s="40" t="n">
        <f aca="false">IF($A387="","",SUMIFS('Trade Log'!$K$4:$K$503,'Trade Log'!$H$4:$H$503,$A387))</f>
        <v>0</v>
      </c>
      <c r="O387" s="42" t="str">
        <f aca="false">IF(OR($A387="",$H387="",Config!$B$4=0),"",$H387/Config!$B$4)</f>
        <v/>
      </c>
      <c r="P387" s="40" t="n">
        <f aca="false">IF($A387="","",SUM($H$368:$H387))</f>
        <v>0</v>
      </c>
      <c r="Q387" s="53" t="str">
        <f aca="false">IF($A387="","",IFERROR((AVERAGE($O$368:$O387)-Config!$B$7/Config!$B$6)/STDEV($O$368:$O387)*SQRT(Config!$B$6),""))</f>
        <v/>
      </c>
      <c r="R387" s="53" t="str">
        <f aca="false">IF($A387="","",IFERROR((AVERAGE($O$328:$O387)-Config!$B$7/Config!$B$6)/STDEV($O$328:$O387)*SQRT(Config!$B$6),""))</f>
        <v/>
      </c>
      <c r="S387" s="47" t="n">
        <f aca="false">IF($H387="",$S386,IF($H387&gt;0,$S386+1,0))</f>
        <v>1</v>
      </c>
      <c r="T387" s="47" t="n">
        <f aca="false">IF($H387="",$T386,IF($H387&lt;0,$T386+1,0))</f>
        <v>0</v>
      </c>
    </row>
    <row r="388" customFormat="false" ht="15" hidden="false" customHeight="false" outlineLevel="0" collapsed="false">
      <c r="A388" s="54" t="n">
        <f aca="false">IF($A387="","",$A387+1)</f>
        <v>46619</v>
      </c>
      <c r="B388" s="5" t="str">
        <f aca="false">IF($A388="","",TEXT($A388,"ddd"))</f>
        <v>Fri</v>
      </c>
      <c r="C388" s="41" t="n">
        <f aca="false">IF($A388="","",COUNTIFS('Trade Log'!$L$4:$L$503,$A388))</f>
        <v>0</v>
      </c>
      <c r="D388" s="40" t="n">
        <f aca="false">IF($A388="","",SUMIFS('Trade Log'!$Q$4:$Q$503,'Trade Log'!$L$4:$L$503,$A388,'Trade Log'!$E$4:$E$503,"LONG"))</f>
        <v>0</v>
      </c>
      <c r="E388" s="40" t="n">
        <f aca="false">IF($A388="","",SUMIFS('Trade Log'!$Q$4:$Q$503,'Trade Log'!$L$4:$L$503,$A388,'Trade Log'!$E$4:$E$503,"SHORT"))</f>
        <v>0</v>
      </c>
      <c r="F388" s="40" t="n">
        <f aca="false">IF($A388="","",$D388+$E388)</f>
        <v>0</v>
      </c>
      <c r="G388" s="40" t="n">
        <f aca="false">IF($A388="","",SUMIFS('Trade Log'!$Y$4:$Y$503,'Trade Log'!$L$4:$L$503,$A388))</f>
        <v>0</v>
      </c>
      <c r="H388" s="40" t="str">
        <f aca="false">IF($A388="","",IF($C388=0,"",$F388-$G388))</f>
        <v/>
      </c>
      <c r="I388" s="40" t="n">
        <f aca="false">IF($A388="","",$I387+IF($H388="",0,$H388))</f>
        <v>23918.5521880349</v>
      </c>
      <c r="J388" s="40" t="n">
        <f aca="false">IF($A388="","",Config!$B$4+$I388)</f>
        <v>1023918.55218803</v>
      </c>
      <c r="K388" s="40" t="n">
        <f aca="false">IF($A388="","",MAX($J$4:$J388))</f>
        <v>1023918.55218803</v>
      </c>
      <c r="L388" s="40" t="n">
        <f aca="false">IF($A388="","",$J388-$K388)</f>
        <v>0</v>
      </c>
      <c r="M388" s="42" t="n">
        <f aca="false">IF(OR($A388="",$K388=0),"",$L388/$K388)</f>
        <v>0</v>
      </c>
      <c r="N388" s="40" t="n">
        <f aca="false">IF($A388="","",SUMIFS('Trade Log'!$K$4:$K$503,'Trade Log'!$H$4:$H$503,$A388))</f>
        <v>0</v>
      </c>
      <c r="O388" s="42" t="str">
        <f aca="false">IF(OR($A388="",$H388="",Config!$B$4=0),"",$H388/Config!$B$4)</f>
        <v/>
      </c>
      <c r="P388" s="40" t="n">
        <f aca="false">IF($A388="","",SUM($H$369:$H388))</f>
        <v>0</v>
      </c>
      <c r="Q388" s="53" t="str">
        <f aca="false">IF($A388="","",IFERROR((AVERAGE($O$369:$O388)-Config!$B$7/Config!$B$6)/STDEV($O$369:$O388)*SQRT(Config!$B$6),""))</f>
        <v/>
      </c>
      <c r="R388" s="53" t="str">
        <f aca="false">IF($A388="","",IFERROR((AVERAGE($O$329:$O388)-Config!$B$7/Config!$B$6)/STDEV($O$329:$O388)*SQRT(Config!$B$6),""))</f>
        <v/>
      </c>
      <c r="S388" s="47" t="n">
        <f aca="false">IF($H388="",$S387,IF($H388&gt;0,$S387+1,0))</f>
        <v>1</v>
      </c>
      <c r="T388" s="47" t="n">
        <f aca="false">IF($H388="",$T387,IF($H388&lt;0,$T387+1,0))</f>
        <v>0</v>
      </c>
    </row>
    <row r="389" customFormat="false" ht="15" hidden="false" customHeight="false" outlineLevel="0" collapsed="false">
      <c r="A389" s="54" t="n">
        <f aca="false">IF($A388="","",$A388+1)</f>
        <v>46620</v>
      </c>
      <c r="B389" s="5" t="str">
        <f aca="false">IF($A389="","",TEXT($A389,"ddd"))</f>
        <v>Sat</v>
      </c>
      <c r="C389" s="41" t="n">
        <f aca="false">IF($A389="","",COUNTIFS('Trade Log'!$L$4:$L$503,$A389))</f>
        <v>0</v>
      </c>
      <c r="D389" s="40" t="n">
        <f aca="false">IF($A389="","",SUMIFS('Trade Log'!$Q$4:$Q$503,'Trade Log'!$L$4:$L$503,$A389,'Trade Log'!$E$4:$E$503,"LONG"))</f>
        <v>0</v>
      </c>
      <c r="E389" s="40" t="n">
        <f aca="false">IF($A389="","",SUMIFS('Trade Log'!$Q$4:$Q$503,'Trade Log'!$L$4:$L$503,$A389,'Trade Log'!$E$4:$E$503,"SHORT"))</f>
        <v>0</v>
      </c>
      <c r="F389" s="40" t="n">
        <f aca="false">IF($A389="","",$D389+$E389)</f>
        <v>0</v>
      </c>
      <c r="G389" s="40" t="n">
        <f aca="false">IF($A389="","",SUMIFS('Trade Log'!$Y$4:$Y$503,'Trade Log'!$L$4:$L$503,$A389))</f>
        <v>0</v>
      </c>
      <c r="H389" s="40" t="str">
        <f aca="false">IF($A389="","",IF($C389=0,"",$F389-$G389))</f>
        <v/>
      </c>
      <c r="I389" s="40" t="n">
        <f aca="false">IF($A389="","",$I388+IF($H389="",0,$H389))</f>
        <v>23918.5521880349</v>
      </c>
      <c r="J389" s="40" t="n">
        <f aca="false">IF($A389="","",Config!$B$4+$I389)</f>
        <v>1023918.55218803</v>
      </c>
      <c r="K389" s="40" t="n">
        <f aca="false">IF($A389="","",MAX($J$4:$J389))</f>
        <v>1023918.55218803</v>
      </c>
      <c r="L389" s="40" t="n">
        <f aca="false">IF($A389="","",$J389-$K389)</f>
        <v>0</v>
      </c>
      <c r="M389" s="42" t="n">
        <f aca="false">IF(OR($A389="",$K389=0),"",$L389/$K389)</f>
        <v>0</v>
      </c>
      <c r="N389" s="40" t="n">
        <f aca="false">IF($A389="","",SUMIFS('Trade Log'!$K$4:$K$503,'Trade Log'!$H$4:$H$503,$A389))</f>
        <v>0</v>
      </c>
      <c r="O389" s="42" t="str">
        <f aca="false">IF(OR($A389="",$H389="",Config!$B$4=0),"",$H389/Config!$B$4)</f>
        <v/>
      </c>
      <c r="P389" s="40" t="n">
        <f aca="false">IF($A389="","",SUM($H$370:$H389))</f>
        <v>0</v>
      </c>
      <c r="Q389" s="53" t="str">
        <f aca="false">IF($A389="","",IFERROR((AVERAGE($O$370:$O389)-Config!$B$7/Config!$B$6)/STDEV($O$370:$O389)*SQRT(Config!$B$6),""))</f>
        <v/>
      </c>
      <c r="R389" s="53" t="str">
        <f aca="false">IF($A389="","",IFERROR((AVERAGE($O$330:$O389)-Config!$B$7/Config!$B$6)/STDEV($O$330:$O389)*SQRT(Config!$B$6),""))</f>
        <v/>
      </c>
      <c r="S389" s="47" t="n">
        <f aca="false">IF($H389="",$S388,IF($H389&gt;0,$S388+1,0))</f>
        <v>1</v>
      </c>
      <c r="T389" s="47" t="n">
        <f aca="false">IF($H389="",$T388,IF($H389&lt;0,$T388+1,0))</f>
        <v>0</v>
      </c>
    </row>
    <row r="390" customFormat="false" ht="15" hidden="false" customHeight="false" outlineLevel="0" collapsed="false">
      <c r="A390" s="54" t="n">
        <f aca="false">IF($A389="","",$A389+1)</f>
        <v>46621</v>
      </c>
      <c r="B390" s="5" t="str">
        <f aca="false">IF($A390="","",TEXT($A390,"ddd"))</f>
        <v>Sun</v>
      </c>
      <c r="C390" s="41" t="n">
        <f aca="false">IF($A390="","",COUNTIFS('Trade Log'!$L$4:$L$503,$A390))</f>
        <v>0</v>
      </c>
      <c r="D390" s="40" t="n">
        <f aca="false">IF($A390="","",SUMIFS('Trade Log'!$Q$4:$Q$503,'Trade Log'!$L$4:$L$503,$A390,'Trade Log'!$E$4:$E$503,"LONG"))</f>
        <v>0</v>
      </c>
      <c r="E390" s="40" t="n">
        <f aca="false">IF($A390="","",SUMIFS('Trade Log'!$Q$4:$Q$503,'Trade Log'!$L$4:$L$503,$A390,'Trade Log'!$E$4:$E$503,"SHORT"))</f>
        <v>0</v>
      </c>
      <c r="F390" s="40" t="n">
        <f aca="false">IF($A390="","",$D390+$E390)</f>
        <v>0</v>
      </c>
      <c r="G390" s="40" t="n">
        <f aca="false">IF($A390="","",SUMIFS('Trade Log'!$Y$4:$Y$503,'Trade Log'!$L$4:$L$503,$A390))</f>
        <v>0</v>
      </c>
      <c r="H390" s="40" t="str">
        <f aca="false">IF($A390="","",IF($C390=0,"",$F390-$G390))</f>
        <v/>
      </c>
      <c r="I390" s="40" t="n">
        <f aca="false">IF($A390="","",$I389+IF($H390="",0,$H390))</f>
        <v>23918.5521880349</v>
      </c>
      <c r="J390" s="40" t="n">
        <f aca="false">IF($A390="","",Config!$B$4+$I390)</f>
        <v>1023918.55218803</v>
      </c>
      <c r="K390" s="40" t="n">
        <f aca="false">IF($A390="","",MAX($J$4:$J390))</f>
        <v>1023918.55218803</v>
      </c>
      <c r="L390" s="40" t="n">
        <f aca="false">IF($A390="","",$J390-$K390)</f>
        <v>0</v>
      </c>
      <c r="M390" s="42" t="n">
        <f aca="false">IF(OR($A390="",$K390=0),"",$L390/$K390)</f>
        <v>0</v>
      </c>
      <c r="N390" s="40" t="n">
        <f aca="false">IF($A390="","",SUMIFS('Trade Log'!$K$4:$K$503,'Trade Log'!$H$4:$H$503,$A390))</f>
        <v>0</v>
      </c>
      <c r="O390" s="42" t="str">
        <f aca="false">IF(OR($A390="",$H390="",Config!$B$4=0),"",$H390/Config!$B$4)</f>
        <v/>
      </c>
      <c r="P390" s="40" t="n">
        <f aca="false">IF($A390="","",SUM($H$371:$H390))</f>
        <v>0</v>
      </c>
      <c r="Q390" s="53" t="str">
        <f aca="false">IF($A390="","",IFERROR((AVERAGE($O$371:$O390)-Config!$B$7/Config!$B$6)/STDEV($O$371:$O390)*SQRT(Config!$B$6),""))</f>
        <v/>
      </c>
      <c r="R390" s="53" t="str">
        <f aca="false">IF($A390="","",IFERROR((AVERAGE($O$331:$O390)-Config!$B$7/Config!$B$6)/STDEV($O$331:$O390)*SQRT(Config!$B$6),""))</f>
        <v/>
      </c>
      <c r="S390" s="47" t="n">
        <f aca="false">IF($H390="",$S389,IF($H390&gt;0,$S389+1,0))</f>
        <v>1</v>
      </c>
      <c r="T390" s="47" t="n">
        <f aca="false">IF($H390="",$T389,IF($H390&lt;0,$T389+1,0))</f>
        <v>0</v>
      </c>
    </row>
    <row r="391" customFormat="false" ht="15" hidden="false" customHeight="false" outlineLevel="0" collapsed="false">
      <c r="A391" s="54" t="n">
        <f aca="false">IF($A390="","",$A390+1)</f>
        <v>46622</v>
      </c>
      <c r="B391" s="5" t="str">
        <f aca="false">IF($A391="","",TEXT($A391,"ddd"))</f>
        <v>Mon</v>
      </c>
      <c r="C391" s="41" t="n">
        <f aca="false">IF($A391="","",COUNTIFS('Trade Log'!$L$4:$L$503,$A391))</f>
        <v>0</v>
      </c>
      <c r="D391" s="40" t="n">
        <f aca="false">IF($A391="","",SUMIFS('Trade Log'!$Q$4:$Q$503,'Trade Log'!$L$4:$L$503,$A391,'Trade Log'!$E$4:$E$503,"LONG"))</f>
        <v>0</v>
      </c>
      <c r="E391" s="40" t="n">
        <f aca="false">IF($A391="","",SUMIFS('Trade Log'!$Q$4:$Q$503,'Trade Log'!$L$4:$L$503,$A391,'Trade Log'!$E$4:$E$503,"SHORT"))</f>
        <v>0</v>
      </c>
      <c r="F391" s="40" t="n">
        <f aca="false">IF($A391="","",$D391+$E391)</f>
        <v>0</v>
      </c>
      <c r="G391" s="40" t="n">
        <f aca="false">IF($A391="","",SUMIFS('Trade Log'!$Y$4:$Y$503,'Trade Log'!$L$4:$L$503,$A391))</f>
        <v>0</v>
      </c>
      <c r="H391" s="40" t="str">
        <f aca="false">IF($A391="","",IF($C391=0,"",$F391-$G391))</f>
        <v/>
      </c>
      <c r="I391" s="40" t="n">
        <f aca="false">IF($A391="","",$I390+IF($H391="",0,$H391))</f>
        <v>23918.5521880349</v>
      </c>
      <c r="J391" s="40" t="n">
        <f aca="false">IF($A391="","",Config!$B$4+$I391)</f>
        <v>1023918.55218803</v>
      </c>
      <c r="K391" s="40" t="n">
        <f aca="false">IF($A391="","",MAX($J$4:$J391))</f>
        <v>1023918.55218803</v>
      </c>
      <c r="L391" s="40" t="n">
        <f aca="false">IF($A391="","",$J391-$K391)</f>
        <v>0</v>
      </c>
      <c r="M391" s="42" t="n">
        <f aca="false">IF(OR($A391="",$K391=0),"",$L391/$K391)</f>
        <v>0</v>
      </c>
      <c r="N391" s="40" t="n">
        <f aca="false">IF($A391="","",SUMIFS('Trade Log'!$K$4:$K$503,'Trade Log'!$H$4:$H$503,$A391))</f>
        <v>0</v>
      </c>
      <c r="O391" s="42" t="str">
        <f aca="false">IF(OR($A391="",$H391="",Config!$B$4=0),"",$H391/Config!$B$4)</f>
        <v/>
      </c>
      <c r="P391" s="40" t="n">
        <f aca="false">IF($A391="","",SUM($H$372:$H391))</f>
        <v>0</v>
      </c>
      <c r="Q391" s="53" t="str">
        <f aca="false">IF($A391="","",IFERROR((AVERAGE($O$372:$O391)-Config!$B$7/Config!$B$6)/STDEV($O$372:$O391)*SQRT(Config!$B$6),""))</f>
        <v/>
      </c>
      <c r="R391" s="53" t="str">
        <f aca="false">IF($A391="","",IFERROR((AVERAGE($O$332:$O391)-Config!$B$7/Config!$B$6)/STDEV($O$332:$O391)*SQRT(Config!$B$6),""))</f>
        <v/>
      </c>
      <c r="S391" s="47" t="n">
        <f aca="false">IF($H391="",$S390,IF($H391&gt;0,$S390+1,0))</f>
        <v>1</v>
      </c>
      <c r="T391" s="47" t="n">
        <f aca="false">IF($H391="",$T390,IF($H391&lt;0,$T390+1,0))</f>
        <v>0</v>
      </c>
    </row>
    <row r="392" customFormat="false" ht="15" hidden="false" customHeight="false" outlineLevel="0" collapsed="false">
      <c r="A392" s="54" t="n">
        <f aca="false">IF($A391="","",$A391+1)</f>
        <v>46623</v>
      </c>
      <c r="B392" s="5" t="str">
        <f aca="false">IF($A392="","",TEXT($A392,"ddd"))</f>
        <v>Tue</v>
      </c>
      <c r="C392" s="41" t="n">
        <f aca="false">IF($A392="","",COUNTIFS('Trade Log'!$L$4:$L$503,$A392))</f>
        <v>0</v>
      </c>
      <c r="D392" s="40" t="n">
        <f aca="false">IF($A392="","",SUMIFS('Trade Log'!$Q$4:$Q$503,'Trade Log'!$L$4:$L$503,$A392,'Trade Log'!$E$4:$E$503,"LONG"))</f>
        <v>0</v>
      </c>
      <c r="E392" s="40" t="n">
        <f aca="false">IF($A392="","",SUMIFS('Trade Log'!$Q$4:$Q$503,'Trade Log'!$L$4:$L$503,$A392,'Trade Log'!$E$4:$E$503,"SHORT"))</f>
        <v>0</v>
      </c>
      <c r="F392" s="40" t="n">
        <f aca="false">IF($A392="","",$D392+$E392)</f>
        <v>0</v>
      </c>
      <c r="G392" s="40" t="n">
        <f aca="false">IF($A392="","",SUMIFS('Trade Log'!$Y$4:$Y$503,'Trade Log'!$L$4:$L$503,$A392))</f>
        <v>0</v>
      </c>
      <c r="H392" s="40" t="str">
        <f aca="false">IF($A392="","",IF($C392=0,"",$F392-$G392))</f>
        <v/>
      </c>
      <c r="I392" s="40" t="n">
        <f aca="false">IF($A392="","",$I391+IF($H392="",0,$H392))</f>
        <v>23918.5521880349</v>
      </c>
      <c r="J392" s="40" t="n">
        <f aca="false">IF($A392="","",Config!$B$4+$I392)</f>
        <v>1023918.55218803</v>
      </c>
      <c r="K392" s="40" t="n">
        <f aca="false">IF($A392="","",MAX($J$4:$J392))</f>
        <v>1023918.55218803</v>
      </c>
      <c r="L392" s="40" t="n">
        <f aca="false">IF($A392="","",$J392-$K392)</f>
        <v>0</v>
      </c>
      <c r="M392" s="42" t="n">
        <f aca="false">IF(OR($A392="",$K392=0),"",$L392/$K392)</f>
        <v>0</v>
      </c>
      <c r="N392" s="40" t="n">
        <f aca="false">IF($A392="","",SUMIFS('Trade Log'!$K$4:$K$503,'Trade Log'!$H$4:$H$503,$A392))</f>
        <v>0</v>
      </c>
      <c r="O392" s="42" t="str">
        <f aca="false">IF(OR($A392="",$H392="",Config!$B$4=0),"",$H392/Config!$B$4)</f>
        <v/>
      </c>
      <c r="P392" s="40" t="n">
        <f aca="false">IF($A392="","",SUM($H$373:$H392))</f>
        <v>0</v>
      </c>
      <c r="Q392" s="53" t="str">
        <f aca="false">IF($A392="","",IFERROR((AVERAGE($O$373:$O392)-Config!$B$7/Config!$B$6)/STDEV($O$373:$O392)*SQRT(Config!$B$6),""))</f>
        <v/>
      </c>
      <c r="R392" s="53" t="str">
        <f aca="false">IF($A392="","",IFERROR((AVERAGE($O$333:$O392)-Config!$B$7/Config!$B$6)/STDEV($O$333:$O392)*SQRT(Config!$B$6),""))</f>
        <v/>
      </c>
      <c r="S392" s="47" t="n">
        <f aca="false">IF($H392="",$S391,IF($H392&gt;0,$S391+1,0))</f>
        <v>1</v>
      </c>
      <c r="T392" s="47" t="n">
        <f aca="false">IF($H392="",$T391,IF($H392&lt;0,$T391+1,0))</f>
        <v>0</v>
      </c>
    </row>
    <row r="393" customFormat="false" ht="15" hidden="false" customHeight="false" outlineLevel="0" collapsed="false">
      <c r="A393" s="54" t="n">
        <f aca="false">IF($A392="","",$A392+1)</f>
        <v>46624</v>
      </c>
      <c r="B393" s="5" t="str">
        <f aca="false">IF($A393="","",TEXT($A393,"ddd"))</f>
        <v>Wed</v>
      </c>
      <c r="C393" s="41" t="n">
        <f aca="false">IF($A393="","",COUNTIFS('Trade Log'!$L$4:$L$503,$A393))</f>
        <v>0</v>
      </c>
      <c r="D393" s="40" t="n">
        <f aca="false">IF($A393="","",SUMIFS('Trade Log'!$Q$4:$Q$503,'Trade Log'!$L$4:$L$503,$A393,'Trade Log'!$E$4:$E$503,"LONG"))</f>
        <v>0</v>
      </c>
      <c r="E393" s="40" t="n">
        <f aca="false">IF($A393="","",SUMIFS('Trade Log'!$Q$4:$Q$503,'Trade Log'!$L$4:$L$503,$A393,'Trade Log'!$E$4:$E$503,"SHORT"))</f>
        <v>0</v>
      </c>
      <c r="F393" s="40" t="n">
        <f aca="false">IF($A393="","",$D393+$E393)</f>
        <v>0</v>
      </c>
      <c r="G393" s="40" t="n">
        <f aca="false">IF($A393="","",SUMIFS('Trade Log'!$Y$4:$Y$503,'Trade Log'!$L$4:$L$503,$A393))</f>
        <v>0</v>
      </c>
      <c r="H393" s="40" t="str">
        <f aca="false">IF($A393="","",IF($C393=0,"",$F393-$G393))</f>
        <v/>
      </c>
      <c r="I393" s="40" t="n">
        <f aca="false">IF($A393="","",$I392+IF($H393="",0,$H393))</f>
        <v>23918.5521880349</v>
      </c>
      <c r="J393" s="40" t="n">
        <f aca="false">IF($A393="","",Config!$B$4+$I393)</f>
        <v>1023918.55218803</v>
      </c>
      <c r="K393" s="40" t="n">
        <f aca="false">IF($A393="","",MAX($J$4:$J393))</f>
        <v>1023918.55218803</v>
      </c>
      <c r="L393" s="40" t="n">
        <f aca="false">IF($A393="","",$J393-$K393)</f>
        <v>0</v>
      </c>
      <c r="M393" s="42" t="n">
        <f aca="false">IF(OR($A393="",$K393=0),"",$L393/$K393)</f>
        <v>0</v>
      </c>
      <c r="N393" s="40" t="n">
        <f aca="false">IF($A393="","",SUMIFS('Trade Log'!$K$4:$K$503,'Trade Log'!$H$4:$H$503,$A393))</f>
        <v>0</v>
      </c>
      <c r="O393" s="42" t="str">
        <f aca="false">IF(OR($A393="",$H393="",Config!$B$4=0),"",$H393/Config!$B$4)</f>
        <v/>
      </c>
      <c r="P393" s="40" t="n">
        <f aca="false">IF($A393="","",SUM($H$374:$H393))</f>
        <v>0</v>
      </c>
      <c r="Q393" s="53" t="str">
        <f aca="false">IF($A393="","",IFERROR((AVERAGE($O$374:$O393)-Config!$B$7/Config!$B$6)/STDEV($O$374:$O393)*SQRT(Config!$B$6),""))</f>
        <v/>
      </c>
      <c r="R393" s="53" t="str">
        <f aca="false">IF($A393="","",IFERROR((AVERAGE($O$334:$O393)-Config!$B$7/Config!$B$6)/STDEV($O$334:$O393)*SQRT(Config!$B$6),""))</f>
        <v/>
      </c>
      <c r="S393" s="47" t="n">
        <f aca="false">IF($H393="",$S392,IF($H393&gt;0,$S392+1,0))</f>
        <v>1</v>
      </c>
      <c r="T393" s="47" t="n">
        <f aca="false">IF($H393="",$T392,IF($H393&lt;0,$T392+1,0))</f>
        <v>0</v>
      </c>
    </row>
    <row r="394" customFormat="false" ht="15" hidden="false" customHeight="false" outlineLevel="0" collapsed="false">
      <c r="A394" s="54" t="n">
        <f aca="false">IF($A393="","",$A393+1)</f>
        <v>46625</v>
      </c>
      <c r="B394" s="5" t="str">
        <f aca="false">IF($A394="","",TEXT($A394,"ddd"))</f>
        <v>Thu</v>
      </c>
      <c r="C394" s="41" t="n">
        <f aca="false">IF($A394="","",COUNTIFS('Trade Log'!$L$4:$L$503,$A394))</f>
        <v>0</v>
      </c>
      <c r="D394" s="40" t="n">
        <f aca="false">IF($A394="","",SUMIFS('Trade Log'!$Q$4:$Q$503,'Trade Log'!$L$4:$L$503,$A394,'Trade Log'!$E$4:$E$503,"LONG"))</f>
        <v>0</v>
      </c>
      <c r="E394" s="40" t="n">
        <f aca="false">IF($A394="","",SUMIFS('Trade Log'!$Q$4:$Q$503,'Trade Log'!$L$4:$L$503,$A394,'Trade Log'!$E$4:$E$503,"SHORT"))</f>
        <v>0</v>
      </c>
      <c r="F394" s="40" t="n">
        <f aca="false">IF($A394="","",$D394+$E394)</f>
        <v>0</v>
      </c>
      <c r="G394" s="40" t="n">
        <f aca="false">IF($A394="","",SUMIFS('Trade Log'!$Y$4:$Y$503,'Trade Log'!$L$4:$L$503,$A394))</f>
        <v>0</v>
      </c>
      <c r="H394" s="40" t="str">
        <f aca="false">IF($A394="","",IF($C394=0,"",$F394-$G394))</f>
        <v/>
      </c>
      <c r="I394" s="40" t="n">
        <f aca="false">IF($A394="","",$I393+IF($H394="",0,$H394))</f>
        <v>23918.5521880349</v>
      </c>
      <c r="J394" s="40" t="n">
        <f aca="false">IF($A394="","",Config!$B$4+$I394)</f>
        <v>1023918.55218803</v>
      </c>
      <c r="K394" s="40" t="n">
        <f aca="false">IF($A394="","",MAX($J$4:$J394))</f>
        <v>1023918.55218803</v>
      </c>
      <c r="L394" s="40" t="n">
        <f aca="false">IF($A394="","",$J394-$K394)</f>
        <v>0</v>
      </c>
      <c r="M394" s="42" t="n">
        <f aca="false">IF(OR($A394="",$K394=0),"",$L394/$K394)</f>
        <v>0</v>
      </c>
      <c r="N394" s="40" t="n">
        <f aca="false">IF($A394="","",SUMIFS('Trade Log'!$K$4:$K$503,'Trade Log'!$H$4:$H$503,$A394))</f>
        <v>0</v>
      </c>
      <c r="O394" s="42" t="str">
        <f aca="false">IF(OR($A394="",$H394="",Config!$B$4=0),"",$H394/Config!$B$4)</f>
        <v/>
      </c>
      <c r="P394" s="40" t="n">
        <f aca="false">IF($A394="","",SUM($H$375:$H394))</f>
        <v>0</v>
      </c>
      <c r="Q394" s="53" t="str">
        <f aca="false">IF($A394="","",IFERROR((AVERAGE($O$375:$O394)-Config!$B$7/Config!$B$6)/STDEV($O$375:$O394)*SQRT(Config!$B$6),""))</f>
        <v/>
      </c>
      <c r="R394" s="53" t="str">
        <f aca="false">IF($A394="","",IFERROR((AVERAGE($O$335:$O394)-Config!$B$7/Config!$B$6)/STDEV($O$335:$O394)*SQRT(Config!$B$6),""))</f>
        <v/>
      </c>
      <c r="S394" s="47" t="n">
        <f aca="false">IF($H394="",$S393,IF($H394&gt;0,$S393+1,0))</f>
        <v>1</v>
      </c>
      <c r="T394" s="47" t="n">
        <f aca="false">IF($H394="",$T393,IF($H394&lt;0,$T393+1,0))</f>
        <v>0</v>
      </c>
    </row>
    <row r="395" customFormat="false" ht="15" hidden="false" customHeight="false" outlineLevel="0" collapsed="false">
      <c r="A395" s="54" t="n">
        <f aca="false">IF($A394="","",$A394+1)</f>
        <v>46626</v>
      </c>
      <c r="B395" s="5" t="str">
        <f aca="false">IF($A395="","",TEXT($A395,"ddd"))</f>
        <v>Fri</v>
      </c>
      <c r="C395" s="41" t="n">
        <f aca="false">IF($A395="","",COUNTIFS('Trade Log'!$L$4:$L$503,$A395))</f>
        <v>0</v>
      </c>
      <c r="D395" s="40" t="n">
        <f aca="false">IF($A395="","",SUMIFS('Trade Log'!$Q$4:$Q$503,'Trade Log'!$L$4:$L$503,$A395,'Trade Log'!$E$4:$E$503,"LONG"))</f>
        <v>0</v>
      </c>
      <c r="E395" s="40" t="n">
        <f aca="false">IF($A395="","",SUMIFS('Trade Log'!$Q$4:$Q$503,'Trade Log'!$L$4:$L$503,$A395,'Trade Log'!$E$4:$E$503,"SHORT"))</f>
        <v>0</v>
      </c>
      <c r="F395" s="40" t="n">
        <f aca="false">IF($A395="","",$D395+$E395)</f>
        <v>0</v>
      </c>
      <c r="G395" s="40" t="n">
        <f aca="false">IF($A395="","",SUMIFS('Trade Log'!$Y$4:$Y$503,'Trade Log'!$L$4:$L$503,$A395))</f>
        <v>0</v>
      </c>
      <c r="H395" s="40" t="str">
        <f aca="false">IF($A395="","",IF($C395=0,"",$F395-$G395))</f>
        <v/>
      </c>
      <c r="I395" s="40" t="n">
        <f aca="false">IF($A395="","",$I394+IF($H395="",0,$H395))</f>
        <v>23918.5521880349</v>
      </c>
      <c r="J395" s="40" t="n">
        <f aca="false">IF($A395="","",Config!$B$4+$I395)</f>
        <v>1023918.55218803</v>
      </c>
      <c r="K395" s="40" t="n">
        <f aca="false">IF($A395="","",MAX($J$4:$J395))</f>
        <v>1023918.55218803</v>
      </c>
      <c r="L395" s="40" t="n">
        <f aca="false">IF($A395="","",$J395-$K395)</f>
        <v>0</v>
      </c>
      <c r="M395" s="42" t="n">
        <f aca="false">IF(OR($A395="",$K395=0),"",$L395/$K395)</f>
        <v>0</v>
      </c>
      <c r="N395" s="40" t="n">
        <f aca="false">IF($A395="","",SUMIFS('Trade Log'!$K$4:$K$503,'Trade Log'!$H$4:$H$503,$A395))</f>
        <v>0</v>
      </c>
      <c r="O395" s="42" t="str">
        <f aca="false">IF(OR($A395="",$H395="",Config!$B$4=0),"",$H395/Config!$B$4)</f>
        <v/>
      </c>
      <c r="P395" s="40" t="n">
        <f aca="false">IF($A395="","",SUM($H$376:$H395))</f>
        <v>0</v>
      </c>
      <c r="Q395" s="53" t="str">
        <f aca="false">IF($A395="","",IFERROR((AVERAGE($O$376:$O395)-Config!$B$7/Config!$B$6)/STDEV($O$376:$O395)*SQRT(Config!$B$6),""))</f>
        <v/>
      </c>
      <c r="R395" s="53" t="str">
        <f aca="false">IF($A395="","",IFERROR((AVERAGE($O$336:$O395)-Config!$B$7/Config!$B$6)/STDEV($O$336:$O395)*SQRT(Config!$B$6),""))</f>
        <v/>
      </c>
      <c r="S395" s="47" t="n">
        <f aca="false">IF($H395="",$S394,IF($H395&gt;0,$S394+1,0))</f>
        <v>1</v>
      </c>
      <c r="T395" s="47" t="n">
        <f aca="false">IF($H395="",$T394,IF($H395&lt;0,$T394+1,0))</f>
        <v>0</v>
      </c>
    </row>
    <row r="396" customFormat="false" ht="15" hidden="false" customHeight="false" outlineLevel="0" collapsed="false">
      <c r="A396" s="54" t="n">
        <f aca="false">IF($A395="","",$A395+1)</f>
        <v>46627</v>
      </c>
      <c r="B396" s="5" t="str">
        <f aca="false">IF($A396="","",TEXT($A396,"ddd"))</f>
        <v>Sat</v>
      </c>
      <c r="C396" s="41" t="n">
        <f aca="false">IF($A396="","",COUNTIFS('Trade Log'!$L$4:$L$503,$A396))</f>
        <v>0</v>
      </c>
      <c r="D396" s="40" t="n">
        <f aca="false">IF($A396="","",SUMIFS('Trade Log'!$Q$4:$Q$503,'Trade Log'!$L$4:$L$503,$A396,'Trade Log'!$E$4:$E$503,"LONG"))</f>
        <v>0</v>
      </c>
      <c r="E396" s="40" t="n">
        <f aca="false">IF($A396="","",SUMIFS('Trade Log'!$Q$4:$Q$503,'Trade Log'!$L$4:$L$503,$A396,'Trade Log'!$E$4:$E$503,"SHORT"))</f>
        <v>0</v>
      </c>
      <c r="F396" s="40" t="n">
        <f aca="false">IF($A396="","",$D396+$E396)</f>
        <v>0</v>
      </c>
      <c r="G396" s="40" t="n">
        <f aca="false">IF($A396="","",SUMIFS('Trade Log'!$Y$4:$Y$503,'Trade Log'!$L$4:$L$503,$A396))</f>
        <v>0</v>
      </c>
      <c r="H396" s="40" t="str">
        <f aca="false">IF($A396="","",IF($C396=0,"",$F396-$G396))</f>
        <v/>
      </c>
      <c r="I396" s="40" t="n">
        <f aca="false">IF($A396="","",$I395+IF($H396="",0,$H396))</f>
        <v>23918.5521880349</v>
      </c>
      <c r="J396" s="40" t="n">
        <f aca="false">IF($A396="","",Config!$B$4+$I396)</f>
        <v>1023918.55218803</v>
      </c>
      <c r="K396" s="40" t="n">
        <f aca="false">IF($A396="","",MAX($J$4:$J396))</f>
        <v>1023918.55218803</v>
      </c>
      <c r="L396" s="40" t="n">
        <f aca="false">IF($A396="","",$J396-$K396)</f>
        <v>0</v>
      </c>
      <c r="M396" s="42" t="n">
        <f aca="false">IF(OR($A396="",$K396=0),"",$L396/$K396)</f>
        <v>0</v>
      </c>
      <c r="N396" s="40" t="n">
        <f aca="false">IF($A396="","",SUMIFS('Trade Log'!$K$4:$K$503,'Trade Log'!$H$4:$H$503,$A396))</f>
        <v>0</v>
      </c>
      <c r="O396" s="42" t="str">
        <f aca="false">IF(OR($A396="",$H396="",Config!$B$4=0),"",$H396/Config!$B$4)</f>
        <v/>
      </c>
      <c r="P396" s="40" t="n">
        <f aca="false">IF($A396="","",SUM($H$377:$H396))</f>
        <v>0</v>
      </c>
      <c r="Q396" s="53" t="str">
        <f aca="false">IF($A396="","",IFERROR((AVERAGE($O$377:$O396)-Config!$B$7/Config!$B$6)/STDEV($O$377:$O396)*SQRT(Config!$B$6),""))</f>
        <v/>
      </c>
      <c r="R396" s="53" t="str">
        <f aca="false">IF($A396="","",IFERROR((AVERAGE($O$337:$O396)-Config!$B$7/Config!$B$6)/STDEV($O$337:$O396)*SQRT(Config!$B$6),""))</f>
        <v/>
      </c>
      <c r="S396" s="47" t="n">
        <f aca="false">IF($H396="",$S395,IF($H396&gt;0,$S395+1,0))</f>
        <v>1</v>
      </c>
      <c r="T396" s="47" t="n">
        <f aca="false">IF($H396="",$T395,IF($H396&lt;0,$T395+1,0))</f>
        <v>0</v>
      </c>
    </row>
    <row r="397" customFormat="false" ht="15" hidden="false" customHeight="false" outlineLevel="0" collapsed="false">
      <c r="A397" s="54" t="n">
        <f aca="false">IF($A396="","",$A396+1)</f>
        <v>46628</v>
      </c>
      <c r="B397" s="5" t="str">
        <f aca="false">IF($A397="","",TEXT($A397,"ddd"))</f>
        <v>Sun</v>
      </c>
      <c r="C397" s="41" t="n">
        <f aca="false">IF($A397="","",COUNTIFS('Trade Log'!$L$4:$L$503,$A397))</f>
        <v>0</v>
      </c>
      <c r="D397" s="40" t="n">
        <f aca="false">IF($A397="","",SUMIFS('Trade Log'!$Q$4:$Q$503,'Trade Log'!$L$4:$L$503,$A397,'Trade Log'!$E$4:$E$503,"LONG"))</f>
        <v>0</v>
      </c>
      <c r="E397" s="40" t="n">
        <f aca="false">IF($A397="","",SUMIFS('Trade Log'!$Q$4:$Q$503,'Trade Log'!$L$4:$L$503,$A397,'Trade Log'!$E$4:$E$503,"SHORT"))</f>
        <v>0</v>
      </c>
      <c r="F397" s="40" t="n">
        <f aca="false">IF($A397="","",$D397+$E397)</f>
        <v>0</v>
      </c>
      <c r="G397" s="40" t="n">
        <f aca="false">IF($A397="","",SUMIFS('Trade Log'!$Y$4:$Y$503,'Trade Log'!$L$4:$L$503,$A397))</f>
        <v>0</v>
      </c>
      <c r="H397" s="40" t="str">
        <f aca="false">IF($A397="","",IF($C397=0,"",$F397-$G397))</f>
        <v/>
      </c>
      <c r="I397" s="40" t="n">
        <f aca="false">IF($A397="","",$I396+IF($H397="",0,$H397))</f>
        <v>23918.5521880349</v>
      </c>
      <c r="J397" s="40" t="n">
        <f aca="false">IF($A397="","",Config!$B$4+$I397)</f>
        <v>1023918.55218803</v>
      </c>
      <c r="K397" s="40" t="n">
        <f aca="false">IF($A397="","",MAX($J$4:$J397))</f>
        <v>1023918.55218803</v>
      </c>
      <c r="L397" s="40" t="n">
        <f aca="false">IF($A397="","",$J397-$K397)</f>
        <v>0</v>
      </c>
      <c r="M397" s="42" t="n">
        <f aca="false">IF(OR($A397="",$K397=0),"",$L397/$K397)</f>
        <v>0</v>
      </c>
      <c r="N397" s="40" t="n">
        <f aca="false">IF($A397="","",SUMIFS('Trade Log'!$K$4:$K$503,'Trade Log'!$H$4:$H$503,$A397))</f>
        <v>0</v>
      </c>
      <c r="O397" s="42" t="str">
        <f aca="false">IF(OR($A397="",$H397="",Config!$B$4=0),"",$H397/Config!$B$4)</f>
        <v/>
      </c>
      <c r="P397" s="40" t="n">
        <f aca="false">IF($A397="","",SUM($H$378:$H397))</f>
        <v>0</v>
      </c>
      <c r="Q397" s="53" t="str">
        <f aca="false">IF($A397="","",IFERROR((AVERAGE($O$378:$O397)-Config!$B$7/Config!$B$6)/STDEV($O$378:$O397)*SQRT(Config!$B$6),""))</f>
        <v/>
      </c>
      <c r="R397" s="53" t="str">
        <f aca="false">IF($A397="","",IFERROR((AVERAGE($O$338:$O397)-Config!$B$7/Config!$B$6)/STDEV($O$338:$O397)*SQRT(Config!$B$6),""))</f>
        <v/>
      </c>
      <c r="S397" s="47" t="n">
        <f aca="false">IF($H397="",$S396,IF($H397&gt;0,$S396+1,0))</f>
        <v>1</v>
      </c>
      <c r="T397" s="47" t="n">
        <f aca="false">IF($H397="",$T396,IF($H397&lt;0,$T396+1,0))</f>
        <v>0</v>
      </c>
    </row>
    <row r="398" customFormat="false" ht="15" hidden="false" customHeight="false" outlineLevel="0" collapsed="false">
      <c r="A398" s="54" t="n">
        <f aca="false">IF($A397="","",$A397+1)</f>
        <v>46629</v>
      </c>
      <c r="B398" s="5" t="str">
        <f aca="false">IF($A398="","",TEXT($A398,"ddd"))</f>
        <v>Mon</v>
      </c>
      <c r="C398" s="41" t="n">
        <f aca="false">IF($A398="","",COUNTIFS('Trade Log'!$L$4:$L$503,$A398))</f>
        <v>0</v>
      </c>
      <c r="D398" s="40" t="n">
        <f aca="false">IF($A398="","",SUMIFS('Trade Log'!$Q$4:$Q$503,'Trade Log'!$L$4:$L$503,$A398,'Trade Log'!$E$4:$E$503,"LONG"))</f>
        <v>0</v>
      </c>
      <c r="E398" s="40" t="n">
        <f aca="false">IF($A398="","",SUMIFS('Trade Log'!$Q$4:$Q$503,'Trade Log'!$L$4:$L$503,$A398,'Trade Log'!$E$4:$E$503,"SHORT"))</f>
        <v>0</v>
      </c>
      <c r="F398" s="40" t="n">
        <f aca="false">IF($A398="","",$D398+$E398)</f>
        <v>0</v>
      </c>
      <c r="G398" s="40" t="n">
        <f aca="false">IF($A398="","",SUMIFS('Trade Log'!$Y$4:$Y$503,'Trade Log'!$L$4:$L$503,$A398))</f>
        <v>0</v>
      </c>
      <c r="H398" s="40" t="str">
        <f aca="false">IF($A398="","",IF($C398=0,"",$F398-$G398))</f>
        <v/>
      </c>
      <c r="I398" s="40" t="n">
        <f aca="false">IF($A398="","",$I397+IF($H398="",0,$H398))</f>
        <v>23918.5521880349</v>
      </c>
      <c r="J398" s="40" t="n">
        <f aca="false">IF($A398="","",Config!$B$4+$I398)</f>
        <v>1023918.55218803</v>
      </c>
      <c r="K398" s="40" t="n">
        <f aca="false">IF($A398="","",MAX($J$4:$J398))</f>
        <v>1023918.55218803</v>
      </c>
      <c r="L398" s="40" t="n">
        <f aca="false">IF($A398="","",$J398-$K398)</f>
        <v>0</v>
      </c>
      <c r="M398" s="42" t="n">
        <f aca="false">IF(OR($A398="",$K398=0),"",$L398/$K398)</f>
        <v>0</v>
      </c>
      <c r="N398" s="40" t="n">
        <f aca="false">IF($A398="","",SUMIFS('Trade Log'!$K$4:$K$503,'Trade Log'!$H$4:$H$503,$A398))</f>
        <v>0</v>
      </c>
      <c r="O398" s="42" t="str">
        <f aca="false">IF(OR($A398="",$H398="",Config!$B$4=0),"",$H398/Config!$B$4)</f>
        <v/>
      </c>
      <c r="P398" s="40" t="n">
        <f aca="false">IF($A398="","",SUM($H$379:$H398))</f>
        <v>0</v>
      </c>
      <c r="Q398" s="53" t="str">
        <f aca="false">IF($A398="","",IFERROR((AVERAGE($O$379:$O398)-Config!$B$7/Config!$B$6)/STDEV($O$379:$O398)*SQRT(Config!$B$6),""))</f>
        <v/>
      </c>
      <c r="R398" s="53" t="str">
        <f aca="false">IF($A398="","",IFERROR((AVERAGE($O$339:$O398)-Config!$B$7/Config!$B$6)/STDEV($O$339:$O398)*SQRT(Config!$B$6),""))</f>
        <v/>
      </c>
      <c r="S398" s="47" t="n">
        <f aca="false">IF($H398="",$S397,IF($H398&gt;0,$S397+1,0))</f>
        <v>1</v>
      </c>
      <c r="T398" s="47" t="n">
        <f aca="false">IF($H398="",$T397,IF($H398&lt;0,$T397+1,0))</f>
        <v>0</v>
      </c>
    </row>
    <row r="399" customFormat="false" ht="15" hidden="false" customHeight="false" outlineLevel="0" collapsed="false">
      <c r="A399" s="54" t="n">
        <f aca="false">IF($A398="","",$A398+1)</f>
        <v>46630</v>
      </c>
      <c r="B399" s="5" t="str">
        <f aca="false">IF($A399="","",TEXT($A399,"ddd"))</f>
        <v>Tue</v>
      </c>
      <c r="C399" s="41" t="n">
        <f aca="false">IF($A399="","",COUNTIFS('Trade Log'!$L$4:$L$503,$A399))</f>
        <v>0</v>
      </c>
      <c r="D399" s="40" t="n">
        <f aca="false">IF($A399="","",SUMIFS('Trade Log'!$Q$4:$Q$503,'Trade Log'!$L$4:$L$503,$A399,'Trade Log'!$E$4:$E$503,"LONG"))</f>
        <v>0</v>
      </c>
      <c r="E399" s="40" t="n">
        <f aca="false">IF($A399="","",SUMIFS('Trade Log'!$Q$4:$Q$503,'Trade Log'!$L$4:$L$503,$A399,'Trade Log'!$E$4:$E$503,"SHORT"))</f>
        <v>0</v>
      </c>
      <c r="F399" s="40" t="n">
        <f aca="false">IF($A399="","",$D399+$E399)</f>
        <v>0</v>
      </c>
      <c r="G399" s="40" t="n">
        <f aca="false">IF($A399="","",SUMIFS('Trade Log'!$Y$4:$Y$503,'Trade Log'!$L$4:$L$503,$A399))</f>
        <v>0</v>
      </c>
      <c r="H399" s="40" t="str">
        <f aca="false">IF($A399="","",IF($C399=0,"",$F399-$G399))</f>
        <v/>
      </c>
      <c r="I399" s="40" t="n">
        <f aca="false">IF($A399="","",$I398+IF($H399="",0,$H399))</f>
        <v>23918.5521880349</v>
      </c>
      <c r="J399" s="40" t="n">
        <f aca="false">IF($A399="","",Config!$B$4+$I399)</f>
        <v>1023918.55218803</v>
      </c>
      <c r="K399" s="40" t="n">
        <f aca="false">IF($A399="","",MAX($J$4:$J399))</f>
        <v>1023918.55218803</v>
      </c>
      <c r="L399" s="40" t="n">
        <f aca="false">IF($A399="","",$J399-$K399)</f>
        <v>0</v>
      </c>
      <c r="M399" s="42" t="n">
        <f aca="false">IF(OR($A399="",$K399=0),"",$L399/$K399)</f>
        <v>0</v>
      </c>
      <c r="N399" s="40" t="n">
        <f aca="false">IF($A399="","",SUMIFS('Trade Log'!$K$4:$K$503,'Trade Log'!$H$4:$H$503,$A399))</f>
        <v>0</v>
      </c>
      <c r="O399" s="42" t="str">
        <f aca="false">IF(OR($A399="",$H399="",Config!$B$4=0),"",$H399/Config!$B$4)</f>
        <v/>
      </c>
      <c r="P399" s="40" t="n">
        <f aca="false">IF($A399="","",SUM($H$380:$H399))</f>
        <v>0</v>
      </c>
      <c r="Q399" s="53" t="str">
        <f aca="false">IF($A399="","",IFERROR((AVERAGE($O$380:$O399)-Config!$B$7/Config!$B$6)/STDEV($O$380:$O399)*SQRT(Config!$B$6),""))</f>
        <v/>
      </c>
      <c r="R399" s="53" t="str">
        <f aca="false">IF($A399="","",IFERROR((AVERAGE($O$340:$O399)-Config!$B$7/Config!$B$6)/STDEV($O$340:$O399)*SQRT(Config!$B$6),""))</f>
        <v/>
      </c>
      <c r="S399" s="47" t="n">
        <f aca="false">IF($H399="",$S398,IF($H399&gt;0,$S398+1,0))</f>
        <v>1</v>
      </c>
      <c r="T399" s="47" t="n">
        <f aca="false">IF($H399="",$T398,IF($H399&lt;0,$T398+1,0))</f>
        <v>0</v>
      </c>
    </row>
    <row r="400" customFormat="false" ht="15" hidden="false" customHeight="false" outlineLevel="0" collapsed="false">
      <c r="A400" s="54" t="n">
        <f aca="false">IF($A399="","",$A399+1)</f>
        <v>46631</v>
      </c>
      <c r="B400" s="5" t="str">
        <f aca="false">IF($A400="","",TEXT($A400,"ddd"))</f>
        <v>Wed</v>
      </c>
      <c r="C400" s="41" t="n">
        <f aca="false">IF($A400="","",COUNTIFS('Trade Log'!$L$4:$L$503,$A400))</f>
        <v>0</v>
      </c>
      <c r="D400" s="40" t="n">
        <f aca="false">IF($A400="","",SUMIFS('Trade Log'!$Q$4:$Q$503,'Trade Log'!$L$4:$L$503,$A400,'Trade Log'!$E$4:$E$503,"LONG"))</f>
        <v>0</v>
      </c>
      <c r="E400" s="40" t="n">
        <f aca="false">IF($A400="","",SUMIFS('Trade Log'!$Q$4:$Q$503,'Trade Log'!$L$4:$L$503,$A400,'Trade Log'!$E$4:$E$503,"SHORT"))</f>
        <v>0</v>
      </c>
      <c r="F400" s="40" t="n">
        <f aca="false">IF($A400="","",$D400+$E400)</f>
        <v>0</v>
      </c>
      <c r="G400" s="40" t="n">
        <f aca="false">IF($A400="","",SUMIFS('Trade Log'!$Y$4:$Y$503,'Trade Log'!$L$4:$L$503,$A400))</f>
        <v>0</v>
      </c>
      <c r="H400" s="40" t="str">
        <f aca="false">IF($A400="","",IF($C400=0,"",$F400-$G400))</f>
        <v/>
      </c>
      <c r="I400" s="40" t="n">
        <f aca="false">IF($A400="","",$I399+IF($H400="",0,$H400))</f>
        <v>23918.5521880349</v>
      </c>
      <c r="J400" s="40" t="n">
        <f aca="false">IF($A400="","",Config!$B$4+$I400)</f>
        <v>1023918.55218803</v>
      </c>
      <c r="K400" s="40" t="n">
        <f aca="false">IF($A400="","",MAX($J$4:$J400))</f>
        <v>1023918.55218803</v>
      </c>
      <c r="L400" s="40" t="n">
        <f aca="false">IF($A400="","",$J400-$K400)</f>
        <v>0</v>
      </c>
      <c r="M400" s="42" t="n">
        <f aca="false">IF(OR($A400="",$K400=0),"",$L400/$K400)</f>
        <v>0</v>
      </c>
      <c r="N400" s="40" t="n">
        <f aca="false">IF($A400="","",SUMIFS('Trade Log'!$K$4:$K$503,'Trade Log'!$H$4:$H$503,$A400))</f>
        <v>0</v>
      </c>
      <c r="O400" s="42" t="str">
        <f aca="false">IF(OR($A400="",$H400="",Config!$B$4=0),"",$H400/Config!$B$4)</f>
        <v/>
      </c>
      <c r="P400" s="40" t="n">
        <f aca="false">IF($A400="","",SUM($H$381:$H400))</f>
        <v>0</v>
      </c>
      <c r="Q400" s="53" t="str">
        <f aca="false">IF($A400="","",IFERROR((AVERAGE($O$381:$O400)-Config!$B$7/Config!$B$6)/STDEV($O$381:$O400)*SQRT(Config!$B$6),""))</f>
        <v/>
      </c>
      <c r="R400" s="53" t="str">
        <f aca="false">IF($A400="","",IFERROR((AVERAGE($O$341:$O400)-Config!$B$7/Config!$B$6)/STDEV($O$341:$O400)*SQRT(Config!$B$6),""))</f>
        <v/>
      </c>
      <c r="S400" s="47" t="n">
        <f aca="false">IF($H400="",$S399,IF($H400&gt;0,$S399+1,0))</f>
        <v>1</v>
      </c>
      <c r="T400" s="47" t="n">
        <f aca="false">IF($H400="",$T399,IF($H400&lt;0,$T399+1,0))</f>
        <v>0</v>
      </c>
    </row>
    <row r="401" customFormat="false" ht="15" hidden="false" customHeight="false" outlineLevel="0" collapsed="false">
      <c r="A401" s="54" t="n">
        <f aca="false">IF($A400="","",$A400+1)</f>
        <v>46632</v>
      </c>
      <c r="B401" s="5" t="str">
        <f aca="false">IF($A401="","",TEXT($A401,"ddd"))</f>
        <v>Thu</v>
      </c>
      <c r="C401" s="41" t="n">
        <f aca="false">IF($A401="","",COUNTIFS('Trade Log'!$L$4:$L$503,$A401))</f>
        <v>0</v>
      </c>
      <c r="D401" s="40" t="n">
        <f aca="false">IF($A401="","",SUMIFS('Trade Log'!$Q$4:$Q$503,'Trade Log'!$L$4:$L$503,$A401,'Trade Log'!$E$4:$E$503,"LONG"))</f>
        <v>0</v>
      </c>
      <c r="E401" s="40" t="n">
        <f aca="false">IF($A401="","",SUMIFS('Trade Log'!$Q$4:$Q$503,'Trade Log'!$L$4:$L$503,$A401,'Trade Log'!$E$4:$E$503,"SHORT"))</f>
        <v>0</v>
      </c>
      <c r="F401" s="40" t="n">
        <f aca="false">IF($A401="","",$D401+$E401)</f>
        <v>0</v>
      </c>
      <c r="G401" s="40" t="n">
        <f aca="false">IF($A401="","",SUMIFS('Trade Log'!$Y$4:$Y$503,'Trade Log'!$L$4:$L$503,$A401))</f>
        <v>0</v>
      </c>
      <c r="H401" s="40" t="str">
        <f aca="false">IF($A401="","",IF($C401=0,"",$F401-$G401))</f>
        <v/>
      </c>
      <c r="I401" s="40" t="n">
        <f aca="false">IF($A401="","",$I400+IF($H401="",0,$H401))</f>
        <v>23918.5521880349</v>
      </c>
      <c r="J401" s="40" t="n">
        <f aca="false">IF($A401="","",Config!$B$4+$I401)</f>
        <v>1023918.55218803</v>
      </c>
      <c r="K401" s="40" t="n">
        <f aca="false">IF($A401="","",MAX($J$4:$J401))</f>
        <v>1023918.55218803</v>
      </c>
      <c r="L401" s="40" t="n">
        <f aca="false">IF($A401="","",$J401-$K401)</f>
        <v>0</v>
      </c>
      <c r="M401" s="42" t="n">
        <f aca="false">IF(OR($A401="",$K401=0),"",$L401/$K401)</f>
        <v>0</v>
      </c>
      <c r="N401" s="40" t="n">
        <f aca="false">IF($A401="","",SUMIFS('Trade Log'!$K$4:$K$503,'Trade Log'!$H$4:$H$503,$A401))</f>
        <v>0</v>
      </c>
      <c r="O401" s="42" t="str">
        <f aca="false">IF(OR($A401="",$H401="",Config!$B$4=0),"",$H401/Config!$B$4)</f>
        <v/>
      </c>
      <c r="P401" s="40" t="n">
        <f aca="false">IF($A401="","",SUM($H$382:$H401))</f>
        <v>0</v>
      </c>
      <c r="Q401" s="53" t="str">
        <f aca="false">IF($A401="","",IFERROR((AVERAGE($O$382:$O401)-Config!$B$7/Config!$B$6)/STDEV($O$382:$O401)*SQRT(Config!$B$6),""))</f>
        <v/>
      </c>
      <c r="R401" s="53" t="str">
        <f aca="false">IF($A401="","",IFERROR((AVERAGE($O$342:$O401)-Config!$B$7/Config!$B$6)/STDEV($O$342:$O401)*SQRT(Config!$B$6),""))</f>
        <v/>
      </c>
      <c r="S401" s="47" t="n">
        <f aca="false">IF($H401="",$S400,IF($H401&gt;0,$S400+1,0))</f>
        <v>1</v>
      </c>
      <c r="T401" s="47" t="n">
        <f aca="false">IF($H401="",$T400,IF($H401&lt;0,$T400+1,0))</f>
        <v>0</v>
      </c>
    </row>
    <row r="402" customFormat="false" ht="15" hidden="false" customHeight="false" outlineLevel="0" collapsed="false">
      <c r="A402" s="54" t="n">
        <f aca="false">IF($A401="","",$A401+1)</f>
        <v>46633</v>
      </c>
      <c r="B402" s="5" t="str">
        <f aca="false">IF($A402="","",TEXT($A402,"ddd"))</f>
        <v>Fri</v>
      </c>
      <c r="C402" s="41" t="n">
        <f aca="false">IF($A402="","",COUNTIFS('Trade Log'!$L$4:$L$503,$A402))</f>
        <v>0</v>
      </c>
      <c r="D402" s="40" t="n">
        <f aca="false">IF($A402="","",SUMIFS('Trade Log'!$Q$4:$Q$503,'Trade Log'!$L$4:$L$503,$A402,'Trade Log'!$E$4:$E$503,"LONG"))</f>
        <v>0</v>
      </c>
      <c r="E402" s="40" t="n">
        <f aca="false">IF($A402="","",SUMIFS('Trade Log'!$Q$4:$Q$503,'Trade Log'!$L$4:$L$503,$A402,'Trade Log'!$E$4:$E$503,"SHORT"))</f>
        <v>0</v>
      </c>
      <c r="F402" s="40" t="n">
        <f aca="false">IF($A402="","",$D402+$E402)</f>
        <v>0</v>
      </c>
      <c r="G402" s="40" t="n">
        <f aca="false">IF($A402="","",SUMIFS('Trade Log'!$Y$4:$Y$503,'Trade Log'!$L$4:$L$503,$A402))</f>
        <v>0</v>
      </c>
      <c r="H402" s="40" t="str">
        <f aca="false">IF($A402="","",IF($C402=0,"",$F402-$G402))</f>
        <v/>
      </c>
      <c r="I402" s="40" t="n">
        <f aca="false">IF($A402="","",$I401+IF($H402="",0,$H402))</f>
        <v>23918.5521880349</v>
      </c>
      <c r="J402" s="40" t="n">
        <f aca="false">IF($A402="","",Config!$B$4+$I402)</f>
        <v>1023918.55218803</v>
      </c>
      <c r="K402" s="40" t="n">
        <f aca="false">IF($A402="","",MAX($J$4:$J402))</f>
        <v>1023918.55218803</v>
      </c>
      <c r="L402" s="40" t="n">
        <f aca="false">IF($A402="","",$J402-$K402)</f>
        <v>0</v>
      </c>
      <c r="M402" s="42" t="n">
        <f aca="false">IF(OR($A402="",$K402=0),"",$L402/$K402)</f>
        <v>0</v>
      </c>
      <c r="N402" s="40" t="n">
        <f aca="false">IF($A402="","",SUMIFS('Trade Log'!$K$4:$K$503,'Trade Log'!$H$4:$H$503,$A402))</f>
        <v>0</v>
      </c>
      <c r="O402" s="42" t="str">
        <f aca="false">IF(OR($A402="",$H402="",Config!$B$4=0),"",$H402/Config!$B$4)</f>
        <v/>
      </c>
      <c r="P402" s="40" t="n">
        <f aca="false">IF($A402="","",SUM($H$383:$H402))</f>
        <v>0</v>
      </c>
      <c r="Q402" s="53" t="str">
        <f aca="false">IF($A402="","",IFERROR((AVERAGE($O$383:$O402)-Config!$B$7/Config!$B$6)/STDEV($O$383:$O402)*SQRT(Config!$B$6),""))</f>
        <v/>
      </c>
      <c r="R402" s="53" t="str">
        <f aca="false">IF($A402="","",IFERROR((AVERAGE($O$343:$O402)-Config!$B$7/Config!$B$6)/STDEV($O$343:$O402)*SQRT(Config!$B$6),""))</f>
        <v/>
      </c>
      <c r="S402" s="47" t="n">
        <f aca="false">IF($H402="",$S401,IF($H402&gt;0,$S401+1,0))</f>
        <v>1</v>
      </c>
      <c r="T402" s="47" t="n">
        <f aca="false">IF($H402="",$T401,IF($H402&lt;0,$T401+1,0))</f>
        <v>0</v>
      </c>
    </row>
    <row r="403" customFormat="false" ht="15" hidden="false" customHeight="false" outlineLevel="0" collapsed="false">
      <c r="A403" s="54" t="n">
        <f aca="false">IF($A402="","",$A402+1)</f>
        <v>46634</v>
      </c>
      <c r="B403" s="5" t="str">
        <f aca="false">IF($A403="","",TEXT($A403,"ddd"))</f>
        <v>Sat</v>
      </c>
      <c r="C403" s="41" t="n">
        <f aca="false">IF($A403="","",COUNTIFS('Trade Log'!$L$4:$L$503,$A403))</f>
        <v>0</v>
      </c>
      <c r="D403" s="40" t="n">
        <f aca="false">IF($A403="","",SUMIFS('Trade Log'!$Q$4:$Q$503,'Trade Log'!$L$4:$L$503,$A403,'Trade Log'!$E$4:$E$503,"LONG"))</f>
        <v>0</v>
      </c>
      <c r="E403" s="40" t="n">
        <f aca="false">IF($A403="","",SUMIFS('Trade Log'!$Q$4:$Q$503,'Trade Log'!$L$4:$L$503,$A403,'Trade Log'!$E$4:$E$503,"SHORT"))</f>
        <v>0</v>
      </c>
      <c r="F403" s="40" t="n">
        <f aca="false">IF($A403="","",$D403+$E403)</f>
        <v>0</v>
      </c>
      <c r="G403" s="40" t="n">
        <f aca="false">IF($A403="","",SUMIFS('Trade Log'!$Y$4:$Y$503,'Trade Log'!$L$4:$L$503,$A403))</f>
        <v>0</v>
      </c>
      <c r="H403" s="40" t="str">
        <f aca="false">IF($A403="","",IF($C403=0,"",$F403-$G403))</f>
        <v/>
      </c>
      <c r="I403" s="40" t="n">
        <f aca="false">IF($A403="","",$I402+IF($H403="",0,$H403))</f>
        <v>23918.5521880349</v>
      </c>
      <c r="J403" s="40" t="n">
        <f aca="false">IF($A403="","",Config!$B$4+$I403)</f>
        <v>1023918.55218803</v>
      </c>
      <c r="K403" s="40" t="n">
        <f aca="false">IF($A403="","",MAX($J$4:$J403))</f>
        <v>1023918.55218803</v>
      </c>
      <c r="L403" s="40" t="n">
        <f aca="false">IF($A403="","",$J403-$K403)</f>
        <v>0</v>
      </c>
      <c r="M403" s="42" t="n">
        <f aca="false">IF(OR($A403="",$K403=0),"",$L403/$K403)</f>
        <v>0</v>
      </c>
      <c r="N403" s="40" t="n">
        <f aca="false">IF($A403="","",SUMIFS('Trade Log'!$K$4:$K$503,'Trade Log'!$H$4:$H$503,$A403))</f>
        <v>0</v>
      </c>
      <c r="O403" s="42" t="str">
        <f aca="false">IF(OR($A403="",$H403="",Config!$B$4=0),"",$H403/Config!$B$4)</f>
        <v/>
      </c>
      <c r="P403" s="40" t="n">
        <f aca="false">IF($A403="","",SUM($H$384:$H403))</f>
        <v>0</v>
      </c>
      <c r="Q403" s="53" t="str">
        <f aca="false">IF($A403="","",IFERROR((AVERAGE($O$384:$O403)-Config!$B$7/Config!$B$6)/STDEV($O$384:$O403)*SQRT(Config!$B$6),""))</f>
        <v/>
      </c>
      <c r="R403" s="53" t="str">
        <f aca="false">IF($A403="","",IFERROR((AVERAGE($O$344:$O403)-Config!$B$7/Config!$B$6)/STDEV($O$344:$O403)*SQRT(Config!$B$6),""))</f>
        <v/>
      </c>
      <c r="S403" s="47" t="n">
        <f aca="false">IF($H403="",$S402,IF($H403&gt;0,$S402+1,0))</f>
        <v>1</v>
      </c>
      <c r="T403" s="47" t="n">
        <f aca="false">IF($H403="",$T402,IF($H403&lt;0,$T402+1,0))</f>
        <v>0</v>
      </c>
    </row>
  </sheetData>
  <conditionalFormatting sqref="H4:H403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7" min="14" style="0" width="12"/>
    <col collapsed="false" customWidth="true" hidden="false" outlineLevel="0" max="20" min="18" style="0" width="11"/>
    <col collapsed="false" customWidth="true" hidden="false" outlineLevel="0" max="21" min="21" style="0" width="7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3" customFormat="false" ht="33.75" hidden="false" customHeight="true" outlineLevel="0" collapsed="false">
      <c r="A3" s="34" t="s">
        <v>184</v>
      </c>
      <c r="B3" s="10" t="s">
        <v>70</v>
      </c>
      <c r="C3" s="10" t="s">
        <v>239</v>
      </c>
      <c r="D3" s="10" t="s">
        <v>240</v>
      </c>
      <c r="E3" s="10" t="s">
        <v>241</v>
      </c>
      <c r="F3" s="10" t="s">
        <v>242</v>
      </c>
      <c r="G3" s="10" t="s">
        <v>243</v>
      </c>
      <c r="H3" s="10" t="s">
        <v>244</v>
      </c>
      <c r="I3" s="10" t="s">
        <v>55</v>
      </c>
      <c r="J3" s="10" t="s">
        <v>245</v>
      </c>
      <c r="K3" s="10" t="s">
        <v>57</v>
      </c>
      <c r="L3" s="10" t="s">
        <v>246</v>
      </c>
      <c r="M3" s="10" t="s">
        <v>247</v>
      </c>
      <c r="N3" s="10" t="s">
        <v>248</v>
      </c>
      <c r="O3" s="10" t="s">
        <v>249</v>
      </c>
      <c r="P3" s="10" t="s">
        <v>250</v>
      </c>
      <c r="Q3" s="10" t="s">
        <v>251</v>
      </c>
      <c r="R3" s="10" t="s">
        <v>252</v>
      </c>
      <c r="S3" s="10" t="s">
        <v>253</v>
      </c>
      <c r="T3" s="10" t="s">
        <v>137</v>
      </c>
      <c r="U3" s="10" t="s">
        <v>254</v>
      </c>
    </row>
    <row r="4" customFormat="false" ht="15" hidden="false" customHeight="false" outlineLevel="0" collapsed="false">
      <c r="A4" s="36" t="s">
        <v>213</v>
      </c>
      <c r="B4" s="41" t="n">
        <f aca="false">IF($A4="","",COUNTIFS('Trade Log'!$D$4:$D$503,$A4))</f>
        <v>2</v>
      </c>
      <c r="C4" s="41" t="n">
        <f aca="false">IF($A4="","",COUNTIFS('Trade Log'!$D$4:$D$503,$A4,'Trade Log'!$E$4:$E$503,"LONG"))</f>
        <v>1</v>
      </c>
      <c r="D4" s="41" t="n">
        <f aca="false">IF($A4="","",COUNTIFS('Trade Log'!$D$4:$D$503,$A4,'Trade Log'!$E$4:$E$503,"SHORT"))</f>
        <v>1</v>
      </c>
      <c r="E4" s="41" t="n">
        <f aca="false">IF($A4="","",COUNTIFS('Trade Log'!$D$4:$D$503,$A4,'Trade Log'!$N$4:$N$503,"&lt;&gt;"))</f>
        <v>2</v>
      </c>
      <c r="F4" s="40" t="n">
        <f aca="false">IF($A4="","",SUMIFS('Trade Log'!$K$4:$K$503,'Trade Log'!$D$4:$D$503,$A4))</f>
        <v>519289.5</v>
      </c>
      <c r="G4" s="40" t="n">
        <f aca="false">IF($A4="","",SUMIFS('Trade Log'!$Z$4:$Z$503,'Trade Log'!$D$4:$D$503,$A4,'Trade Log'!$E$4:$E$503,"LONG"))</f>
        <v>18831.3628052169</v>
      </c>
      <c r="H4" s="40" t="n">
        <f aca="false">IF($A4="","",SUMIFS('Trade Log'!$Z$4:$Z$503,'Trade Log'!$D$4:$D$503,$A4,'Trade Log'!$E$4:$E$503,"SHORT"))</f>
        <v>5087.18938281802</v>
      </c>
      <c r="I4" s="40" t="n">
        <f aca="false">IF($A4="","",SUMIFS('Trade Log'!$Q$4:$Q$503,'Trade Log'!$D$4:$D$503,$A4))</f>
        <v>24775.5</v>
      </c>
      <c r="J4" s="40" t="n">
        <f aca="false">IF($A4="","",SUMIFS('Trade Log'!$Y$4:$Y$503,'Trade Log'!$D$4:$D$503,$A4))</f>
        <v>856.947811965164</v>
      </c>
      <c r="K4" s="40" t="n">
        <f aca="false">IF($A4="","",SUMIFS('Trade Log'!$Z$4:$Z$503,'Trade Log'!$D$4:$D$503,$A4))</f>
        <v>23918.5521880349</v>
      </c>
      <c r="L4" s="41" t="n">
        <f aca="false">IF($A4="","",COUNTIFS('Trade Log'!$D$4:$D$503,$A4,'Trade Log'!$Z$4:$Z$503,"&gt;0"))</f>
        <v>2</v>
      </c>
      <c r="M4" s="55" t="n">
        <f aca="false">IF(OR($A4="",$E4=0),"",$L4/$E4)</f>
        <v>1</v>
      </c>
      <c r="N4" s="40" t="n">
        <f aca="false">IF(OR($A4="",$E4=0),"",$K4/$E4)</f>
        <v>11959.2760940174</v>
      </c>
      <c r="O4" s="40" t="n">
        <f aca="false">IF($A4="","",IFERROR(_xlfn.MAXIFS('Trade Log'!$Z$4:$Z$503,'Trade Log'!$D$4:$D$503,$A4),""))</f>
        <v>18831.3628052169</v>
      </c>
      <c r="P4" s="40" t="n">
        <f aca="false">IF($A4="","",IFERROR(_xlfn.MINIFS('Trade Log'!$Z$4:$Z$503,'Trade Log'!$D$4:$D$503,$A4),""))</f>
        <v>5087.18938281802</v>
      </c>
      <c r="Q4" s="55" t="n">
        <f aca="false">IF($A4="","",IFERROR(AVERAGEIFS('Trade Log'!$AA$4:$AA$503,'Trade Log'!$D$4:$D$503,$A4),""))</f>
        <v>0.0471231660409911</v>
      </c>
      <c r="R4" s="53" t="n">
        <f aca="false">IF($A4="","",IFERROR(AVERAGEIFS('Trade Log'!$P$4:$P$503,'Trade Log'!$D$4:$D$503,$A4),""))</f>
        <v>0.5</v>
      </c>
      <c r="S4" s="44" t="n">
        <f aca="false">IF($A4="","",IFERROR(AVERAGEIFS('Trade Log'!$AC$4:$AC$503,'Trade Log'!$D$4:$D$503,$A4),""))</f>
        <v>17.4999999999997</v>
      </c>
      <c r="T4" s="55" t="n">
        <f aca="false">IF(OR($A4="",Summary!$B$13=0),"",$K4/Summary!$B$13)</f>
        <v>1</v>
      </c>
      <c r="U4" s="41" t="n">
        <f aca="false">IF($A4="","",IFERROR(RANK($K4,$K$4:$K$153),""))</f>
        <v>1</v>
      </c>
    </row>
    <row r="5" customFormat="false" ht="15" hidden="false" customHeight="false" outlineLevel="0" collapsed="false">
      <c r="A5" s="49"/>
      <c r="B5" s="41" t="str">
        <f aca="false">IF($A5="","",COUNTIFS('Trade Log'!$D$4:$D$503,$A5))</f>
        <v/>
      </c>
      <c r="C5" s="41" t="str">
        <f aca="false">IF($A5="","",COUNTIFS('Trade Log'!$D$4:$D$503,$A5,'Trade Log'!$E$4:$E$503,"LONG"))</f>
        <v/>
      </c>
      <c r="D5" s="41" t="str">
        <f aca="false">IF($A5="","",COUNTIFS('Trade Log'!$D$4:$D$503,$A5,'Trade Log'!$E$4:$E$503,"SHORT"))</f>
        <v/>
      </c>
      <c r="E5" s="41" t="str">
        <f aca="false">IF($A5="","",COUNTIFS('Trade Log'!$D$4:$D$503,$A5,'Trade Log'!$N$4:$N$503,"&lt;&gt;"))</f>
        <v/>
      </c>
      <c r="F5" s="40" t="str">
        <f aca="false">IF($A5="","",SUMIFS('Trade Log'!$K$4:$K$503,'Trade Log'!$D$4:$D$503,$A5))</f>
        <v/>
      </c>
      <c r="G5" s="40" t="str">
        <f aca="false">IF($A5="","",SUMIFS('Trade Log'!$Z$4:$Z$503,'Trade Log'!$D$4:$D$503,$A5,'Trade Log'!$E$4:$E$503,"LONG"))</f>
        <v/>
      </c>
      <c r="H5" s="40" t="str">
        <f aca="false">IF($A5="","",SUMIFS('Trade Log'!$Z$4:$Z$503,'Trade Log'!$D$4:$D$503,$A5,'Trade Log'!$E$4:$E$503,"SHORT"))</f>
        <v/>
      </c>
      <c r="I5" s="40" t="str">
        <f aca="false">IF($A5="","",SUMIFS('Trade Log'!$Q$4:$Q$503,'Trade Log'!$D$4:$D$503,$A5))</f>
        <v/>
      </c>
      <c r="J5" s="40" t="str">
        <f aca="false">IF($A5="","",SUMIFS('Trade Log'!$Y$4:$Y$503,'Trade Log'!$D$4:$D$503,$A5))</f>
        <v/>
      </c>
      <c r="K5" s="40" t="str">
        <f aca="false">IF($A5="","",SUMIFS('Trade Log'!$Z$4:$Z$503,'Trade Log'!$D$4:$D$503,$A5))</f>
        <v/>
      </c>
      <c r="L5" s="41" t="str">
        <f aca="false">IF($A5="","",COUNTIFS('Trade Log'!$D$4:$D$503,$A5,'Trade Log'!$Z$4:$Z$503,"&gt;0"))</f>
        <v/>
      </c>
      <c r="M5" s="55" t="str">
        <f aca="false">IF(OR($A5="",$E5=0),"",$L5/$E5)</f>
        <v/>
      </c>
      <c r="N5" s="40" t="str">
        <f aca="false">IF(OR($A5="",$E5=0),"",$K5/$E5)</f>
        <v/>
      </c>
      <c r="O5" s="40" t="str">
        <f aca="false">IF($A5="","",IFERROR(_xlfn.MAXIFS('Trade Log'!$Z$4:$Z$503,'Trade Log'!$D$4:$D$503,$A5),""))</f>
        <v/>
      </c>
      <c r="P5" s="40" t="str">
        <f aca="false">IF($A5="","",IFERROR(_xlfn.MINIFS('Trade Log'!$Z$4:$Z$503,'Trade Log'!$D$4:$D$503,$A5),""))</f>
        <v/>
      </c>
      <c r="Q5" s="55" t="str">
        <f aca="false">IF($A5="","",IFERROR(AVERAGEIFS('Trade Log'!$AA$4:$AA$503,'Trade Log'!$D$4:$D$503,$A5),""))</f>
        <v/>
      </c>
      <c r="R5" s="53" t="str">
        <f aca="false">IF($A5="","",IFERROR(AVERAGEIFS('Trade Log'!$P$4:$P$503,'Trade Log'!$D$4:$D$503,$A5),""))</f>
        <v/>
      </c>
      <c r="S5" s="44" t="str">
        <f aca="false">IF($A5="","",IFERROR(AVERAGEIFS('Trade Log'!$AC$4:$AC$503,'Trade Log'!$D$4:$D$503,$A5),""))</f>
        <v/>
      </c>
      <c r="T5" s="55" t="str">
        <f aca="false">IF(OR($A5="",Summary!$B$13=0),"",$K5/Summary!$B$13)</f>
        <v/>
      </c>
      <c r="U5" s="41" t="str">
        <f aca="false">IF($A5="","",IFERROR(RANK($K5,$K$4:$K$153),""))</f>
        <v/>
      </c>
    </row>
    <row r="6" customFormat="false" ht="15" hidden="false" customHeight="false" outlineLevel="0" collapsed="false">
      <c r="A6" s="49"/>
      <c r="B6" s="41" t="str">
        <f aca="false">IF($A6="","",COUNTIFS('Trade Log'!$D$4:$D$503,$A6))</f>
        <v/>
      </c>
      <c r="C6" s="41" t="str">
        <f aca="false">IF($A6="","",COUNTIFS('Trade Log'!$D$4:$D$503,$A6,'Trade Log'!$E$4:$E$503,"LONG"))</f>
        <v/>
      </c>
      <c r="D6" s="41" t="str">
        <f aca="false">IF($A6="","",COUNTIFS('Trade Log'!$D$4:$D$503,$A6,'Trade Log'!$E$4:$E$503,"SHORT"))</f>
        <v/>
      </c>
      <c r="E6" s="41" t="str">
        <f aca="false">IF($A6="","",COUNTIFS('Trade Log'!$D$4:$D$503,$A6,'Trade Log'!$N$4:$N$503,"&lt;&gt;"))</f>
        <v/>
      </c>
      <c r="F6" s="40" t="str">
        <f aca="false">IF($A6="","",SUMIFS('Trade Log'!$K$4:$K$503,'Trade Log'!$D$4:$D$503,$A6))</f>
        <v/>
      </c>
      <c r="G6" s="40" t="str">
        <f aca="false">IF($A6="","",SUMIFS('Trade Log'!$Z$4:$Z$503,'Trade Log'!$D$4:$D$503,$A6,'Trade Log'!$E$4:$E$503,"LONG"))</f>
        <v/>
      </c>
      <c r="H6" s="40" t="str">
        <f aca="false">IF($A6="","",SUMIFS('Trade Log'!$Z$4:$Z$503,'Trade Log'!$D$4:$D$503,$A6,'Trade Log'!$E$4:$E$503,"SHORT"))</f>
        <v/>
      </c>
      <c r="I6" s="40" t="str">
        <f aca="false">IF($A6="","",SUMIFS('Trade Log'!$Q$4:$Q$503,'Trade Log'!$D$4:$D$503,$A6))</f>
        <v/>
      </c>
      <c r="J6" s="40" t="str">
        <f aca="false">IF($A6="","",SUMIFS('Trade Log'!$Y$4:$Y$503,'Trade Log'!$D$4:$D$503,$A6))</f>
        <v/>
      </c>
      <c r="K6" s="40" t="str">
        <f aca="false">IF($A6="","",SUMIFS('Trade Log'!$Z$4:$Z$503,'Trade Log'!$D$4:$D$503,$A6))</f>
        <v/>
      </c>
      <c r="L6" s="41" t="str">
        <f aca="false">IF($A6="","",COUNTIFS('Trade Log'!$D$4:$D$503,$A6,'Trade Log'!$Z$4:$Z$503,"&gt;0"))</f>
        <v/>
      </c>
      <c r="M6" s="55" t="str">
        <f aca="false">IF(OR($A6="",$E6=0),"",$L6/$E6)</f>
        <v/>
      </c>
      <c r="N6" s="40" t="str">
        <f aca="false">IF(OR($A6="",$E6=0),"",$K6/$E6)</f>
        <v/>
      </c>
      <c r="O6" s="40" t="str">
        <f aca="false">IF($A6="","",IFERROR(_xlfn.MAXIFS('Trade Log'!$Z$4:$Z$503,'Trade Log'!$D$4:$D$503,$A6),""))</f>
        <v/>
      </c>
      <c r="P6" s="40" t="str">
        <f aca="false">IF($A6="","",IFERROR(_xlfn.MINIFS('Trade Log'!$Z$4:$Z$503,'Trade Log'!$D$4:$D$503,$A6),""))</f>
        <v/>
      </c>
      <c r="Q6" s="55" t="str">
        <f aca="false">IF($A6="","",IFERROR(AVERAGEIFS('Trade Log'!$AA$4:$AA$503,'Trade Log'!$D$4:$D$503,$A6),""))</f>
        <v/>
      </c>
      <c r="R6" s="53" t="str">
        <f aca="false">IF($A6="","",IFERROR(AVERAGEIFS('Trade Log'!$P$4:$P$503,'Trade Log'!$D$4:$D$503,$A6),""))</f>
        <v/>
      </c>
      <c r="S6" s="44" t="str">
        <f aca="false">IF($A6="","",IFERROR(AVERAGEIFS('Trade Log'!$AC$4:$AC$503,'Trade Log'!$D$4:$D$503,$A6),""))</f>
        <v/>
      </c>
      <c r="T6" s="55" t="str">
        <f aca="false">IF(OR($A6="",Summary!$B$13=0),"",$K6/Summary!$B$13)</f>
        <v/>
      </c>
      <c r="U6" s="41" t="str">
        <f aca="false">IF($A6="","",IFERROR(RANK($K6,$K$4:$K$153),""))</f>
        <v/>
      </c>
    </row>
    <row r="7" customFormat="false" ht="15" hidden="false" customHeight="false" outlineLevel="0" collapsed="false">
      <c r="A7" s="49"/>
      <c r="B7" s="41" t="str">
        <f aca="false">IF($A7="","",COUNTIFS('Trade Log'!$D$4:$D$503,$A7))</f>
        <v/>
      </c>
      <c r="C7" s="41" t="str">
        <f aca="false">IF($A7="","",COUNTIFS('Trade Log'!$D$4:$D$503,$A7,'Trade Log'!$E$4:$E$503,"LONG"))</f>
        <v/>
      </c>
      <c r="D7" s="41" t="str">
        <f aca="false">IF($A7="","",COUNTIFS('Trade Log'!$D$4:$D$503,$A7,'Trade Log'!$E$4:$E$503,"SHORT"))</f>
        <v/>
      </c>
      <c r="E7" s="41" t="str">
        <f aca="false">IF($A7="","",COUNTIFS('Trade Log'!$D$4:$D$503,$A7,'Trade Log'!$N$4:$N$503,"&lt;&gt;"))</f>
        <v/>
      </c>
      <c r="F7" s="40" t="str">
        <f aca="false">IF($A7="","",SUMIFS('Trade Log'!$K$4:$K$503,'Trade Log'!$D$4:$D$503,$A7))</f>
        <v/>
      </c>
      <c r="G7" s="40" t="str">
        <f aca="false">IF($A7="","",SUMIFS('Trade Log'!$Z$4:$Z$503,'Trade Log'!$D$4:$D$503,$A7,'Trade Log'!$E$4:$E$503,"LONG"))</f>
        <v/>
      </c>
      <c r="H7" s="40" t="str">
        <f aca="false">IF($A7="","",SUMIFS('Trade Log'!$Z$4:$Z$503,'Trade Log'!$D$4:$D$503,$A7,'Trade Log'!$E$4:$E$503,"SHORT"))</f>
        <v/>
      </c>
      <c r="I7" s="40" t="str">
        <f aca="false">IF($A7="","",SUMIFS('Trade Log'!$Q$4:$Q$503,'Trade Log'!$D$4:$D$503,$A7))</f>
        <v/>
      </c>
      <c r="J7" s="40" t="str">
        <f aca="false">IF($A7="","",SUMIFS('Trade Log'!$Y$4:$Y$503,'Trade Log'!$D$4:$D$503,$A7))</f>
        <v/>
      </c>
      <c r="K7" s="40" t="str">
        <f aca="false">IF($A7="","",SUMIFS('Trade Log'!$Z$4:$Z$503,'Trade Log'!$D$4:$D$503,$A7))</f>
        <v/>
      </c>
      <c r="L7" s="41" t="str">
        <f aca="false">IF($A7="","",COUNTIFS('Trade Log'!$D$4:$D$503,$A7,'Trade Log'!$Z$4:$Z$503,"&gt;0"))</f>
        <v/>
      </c>
      <c r="M7" s="55" t="str">
        <f aca="false">IF(OR($A7="",$E7=0),"",$L7/$E7)</f>
        <v/>
      </c>
      <c r="N7" s="40" t="str">
        <f aca="false">IF(OR($A7="",$E7=0),"",$K7/$E7)</f>
        <v/>
      </c>
      <c r="O7" s="40" t="str">
        <f aca="false">IF($A7="","",IFERROR(_xlfn.MAXIFS('Trade Log'!$Z$4:$Z$503,'Trade Log'!$D$4:$D$503,$A7),""))</f>
        <v/>
      </c>
      <c r="P7" s="40" t="str">
        <f aca="false">IF($A7="","",IFERROR(_xlfn.MINIFS('Trade Log'!$Z$4:$Z$503,'Trade Log'!$D$4:$D$503,$A7),""))</f>
        <v/>
      </c>
      <c r="Q7" s="55" t="str">
        <f aca="false">IF($A7="","",IFERROR(AVERAGEIFS('Trade Log'!$AA$4:$AA$503,'Trade Log'!$D$4:$D$503,$A7),""))</f>
        <v/>
      </c>
      <c r="R7" s="53" t="str">
        <f aca="false">IF($A7="","",IFERROR(AVERAGEIFS('Trade Log'!$P$4:$P$503,'Trade Log'!$D$4:$D$503,$A7),""))</f>
        <v/>
      </c>
      <c r="S7" s="44" t="str">
        <f aca="false">IF($A7="","",IFERROR(AVERAGEIFS('Trade Log'!$AC$4:$AC$503,'Trade Log'!$D$4:$D$503,$A7),""))</f>
        <v/>
      </c>
      <c r="T7" s="55" t="str">
        <f aca="false">IF(OR($A7="",Summary!$B$13=0),"",$K7/Summary!$B$13)</f>
        <v/>
      </c>
      <c r="U7" s="41" t="str">
        <f aca="false">IF($A7="","",IFERROR(RANK($K7,$K$4:$K$153),""))</f>
        <v/>
      </c>
    </row>
    <row r="8" customFormat="false" ht="15" hidden="false" customHeight="false" outlineLevel="0" collapsed="false">
      <c r="A8" s="49"/>
      <c r="B8" s="41" t="str">
        <f aca="false">IF($A8="","",COUNTIFS('Trade Log'!$D$4:$D$503,$A8))</f>
        <v/>
      </c>
      <c r="C8" s="41" t="str">
        <f aca="false">IF($A8="","",COUNTIFS('Trade Log'!$D$4:$D$503,$A8,'Trade Log'!$E$4:$E$503,"LONG"))</f>
        <v/>
      </c>
      <c r="D8" s="41" t="str">
        <f aca="false">IF($A8="","",COUNTIFS('Trade Log'!$D$4:$D$503,$A8,'Trade Log'!$E$4:$E$503,"SHORT"))</f>
        <v/>
      </c>
      <c r="E8" s="41" t="str">
        <f aca="false">IF($A8="","",COUNTIFS('Trade Log'!$D$4:$D$503,$A8,'Trade Log'!$N$4:$N$503,"&lt;&gt;"))</f>
        <v/>
      </c>
      <c r="F8" s="40" t="str">
        <f aca="false">IF($A8="","",SUMIFS('Trade Log'!$K$4:$K$503,'Trade Log'!$D$4:$D$503,$A8))</f>
        <v/>
      </c>
      <c r="G8" s="40" t="str">
        <f aca="false">IF($A8="","",SUMIFS('Trade Log'!$Z$4:$Z$503,'Trade Log'!$D$4:$D$503,$A8,'Trade Log'!$E$4:$E$503,"LONG"))</f>
        <v/>
      </c>
      <c r="H8" s="40" t="str">
        <f aca="false">IF($A8="","",SUMIFS('Trade Log'!$Z$4:$Z$503,'Trade Log'!$D$4:$D$503,$A8,'Trade Log'!$E$4:$E$503,"SHORT"))</f>
        <v/>
      </c>
      <c r="I8" s="40" t="str">
        <f aca="false">IF($A8="","",SUMIFS('Trade Log'!$Q$4:$Q$503,'Trade Log'!$D$4:$D$503,$A8))</f>
        <v/>
      </c>
      <c r="J8" s="40" t="str">
        <f aca="false">IF($A8="","",SUMIFS('Trade Log'!$Y$4:$Y$503,'Trade Log'!$D$4:$D$503,$A8))</f>
        <v/>
      </c>
      <c r="K8" s="40" t="str">
        <f aca="false">IF($A8="","",SUMIFS('Trade Log'!$Z$4:$Z$503,'Trade Log'!$D$4:$D$503,$A8))</f>
        <v/>
      </c>
      <c r="L8" s="41" t="str">
        <f aca="false">IF($A8="","",COUNTIFS('Trade Log'!$D$4:$D$503,$A8,'Trade Log'!$Z$4:$Z$503,"&gt;0"))</f>
        <v/>
      </c>
      <c r="M8" s="55" t="str">
        <f aca="false">IF(OR($A8="",$E8=0),"",$L8/$E8)</f>
        <v/>
      </c>
      <c r="N8" s="40" t="str">
        <f aca="false">IF(OR($A8="",$E8=0),"",$K8/$E8)</f>
        <v/>
      </c>
      <c r="O8" s="40" t="str">
        <f aca="false">IF($A8="","",IFERROR(_xlfn.MAXIFS('Trade Log'!$Z$4:$Z$503,'Trade Log'!$D$4:$D$503,$A8),""))</f>
        <v/>
      </c>
      <c r="P8" s="40" t="str">
        <f aca="false">IF($A8="","",IFERROR(_xlfn.MINIFS('Trade Log'!$Z$4:$Z$503,'Trade Log'!$D$4:$D$503,$A8),""))</f>
        <v/>
      </c>
      <c r="Q8" s="55" t="str">
        <f aca="false">IF($A8="","",IFERROR(AVERAGEIFS('Trade Log'!$AA$4:$AA$503,'Trade Log'!$D$4:$D$503,$A8),""))</f>
        <v/>
      </c>
      <c r="R8" s="53" t="str">
        <f aca="false">IF($A8="","",IFERROR(AVERAGEIFS('Trade Log'!$P$4:$P$503,'Trade Log'!$D$4:$D$503,$A8),""))</f>
        <v/>
      </c>
      <c r="S8" s="44" t="str">
        <f aca="false">IF($A8="","",IFERROR(AVERAGEIFS('Trade Log'!$AC$4:$AC$503,'Trade Log'!$D$4:$D$503,$A8),""))</f>
        <v/>
      </c>
      <c r="T8" s="55" t="str">
        <f aca="false">IF(OR($A8="",Summary!$B$13=0),"",$K8/Summary!$B$13)</f>
        <v/>
      </c>
      <c r="U8" s="41" t="str">
        <f aca="false">IF($A8="","",IFERROR(RANK($K8,$K$4:$K$153),""))</f>
        <v/>
      </c>
    </row>
    <row r="9" customFormat="false" ht="15" hidden="false" customHeight="false" outlineLevel="0" collapsed="false">
      <c r="A9" s="49"/>
      <c r="B9" s="41" t="str">
        <f aca="false">IF($A9="","",COUNTIFS('Trade Log'!$D$4:$D$503,$A9))</f>
        <v/>
      </c>
      <c r="C9" s="41" t="str">
        <f aca="false">IF($A9="","",COUNTIFS('Trade Log'!$D$4:$D$503,$A9,'Trade Log'!$E$4:$E$503,"LONG"))</f>
        <v/>
      </c>
      <c r="D9" s="41" t="str">
        <f aca="false">IF($A9="","",COUNTIFS('Trade Log'!$D$4:$D$503,$A9,'Trade Log'!$E$4:$E$503,"SHORT"))</f>
        <v/>
      </c>
      <c r="E9" s="41" t="str">
        <f aca="false">IF($A9="","",COUNTIFS('Trade Log'!$D$4:$D$503,$A9,'Trade Log'!$N$4:$N$503,"&lt;&gt;"))</f>
        <v/>
      </c>
      <c r="F9" s="40" t="str">
        <f aca="false">IF($A9="","",SUMIFS('Trade Log'!$K$4:$K$503,'Trade Log'!$D$4:$D$503,$A9))</f>
        <v/>
      </c>
      <c r="G9" s="40" t="str">
        <f aca="false">IF($A9="","",SUMIFS('Trade Log'!$Z$4:$Z$503,'Trade Log'!$D$4:$D$503,$A9,'Trade Log'!$E$4:$E$503,"LONG"))</f>
        <v/>
      </c>
      <c r="H9" s="40" t="str">
        <f aca="false">IF($A9="","",SUMIFS('Trade Log'!$Z$4:$Z$503,'Trade Log'!$D$4:$D$503,$A9,'Trade Log'!$E$4:$E$503,"SHORT"))</f>
        <v/>
      </c>
      <c r="I9" s="40" t="str">
        <f aca="false">IF($A9="","",SUMIFS('Trade Log'!$Q$4:$Q$503,'Trade Log'!$D$4:$D$503,$A9))</f>
        <v/>
      </c>
      <c r="J9" s="40" t="str">
        <f aca="false">IF($A9="","",SUMIFS('Trade Log'!$Y$4:$Y$503,'Trade Log'!$D$4:$D$503,$A9))</f>
        <v/>
      </c>
      <c r="K9" s="40" t="str">
        <f aca="false">IF($A9="","",SUMIFS('Trade Log'!$Z$4:$Z$503,'Trade Log'!$D$4:$D$503,$A9))</f>
        <v/>
      </c>
      <c r="L9" s="41" t="str">
        <f aca="false">IF($A9="","",COUNTIFS('Trade Log'!$D$4:$D$503,$A9,'Trade Log'!$Z$4:$Z$503,"&gt;0"))</f>
        <v/>
      </c>
      <c r="M9" s="55" t="str">
        <f aca="false">IF(OR($A9="",$E9=0),"",$L9/$E9)</f>
        <v/>
      </c>
      <c r="N9" s="40" t="str">
        <f aca="false">IF(OR($A9="",$E9=0),"",$K9/$E9)</f>
        <v/>
      </c>
      <c r="O9" s="40" t="str">
        <f aca="false">IF($A9="","",IFERROR(_xlfn.MAXIFS('Trade Log'!$Z$4:$Z$503,'Trade Log'!$D$4:$D$503,$A9),""))</f>
        <v/>
      </c>
      <c r="P9" s="40" t="str">
        <f aca="false">IF($A9="","",IFERROR(_xlfn.MINIFS('Trade Log'!$Z$4:$Z$503,'Trade Log'!$D$4:$D$503,$A9),""))</f>
        <v/>
      </c>
      <c r="Q9" s="55" t="str">
        <f aca="false">IF($A9="","",IFERROR(AVERAGEIFS('Trade Log'!$AA$4:$AA$503,'Trade Log'!$D$4:$D$503,$A9),""))</f>
        <v/>
      </c>
      <c r="R9" s="53" t="str">
        <f aca="false">IF($A9="","",IFERROR(AVERAGEIFS('Trade Log'!$P$4:$P$503,'Trade Log'!$D$4:$D$503,$A9),""))</f>
        <v/>
      </c>
      <c r="S9" s="44" t="str">
        <f aca="false">IF($A9="","",IFERROR(AVERAGEIFS('Trade Log'!$AC$4:$AC$503,'Trade Log'!$D$4:$D$503,$A9),""))</f>
        <v/>
      </c>
      <c r="T9" s="55" t="str">
        <f aca="false">IF(OR($A9="",Summary!$B$13=0),"",$K9/Summary!$B$13)</f>
        <v/>
      </c>
      <c r="U9" s="41" t="str">
        <f aca="false">IF($A9="","",IFERROR(RANK($K9,$K$4:$K$153),""))</f>
        <v/>
      </c>
    </row>
    <row r="10" customFormat="false" ht="15" hidden="false" customHeight="false" outlineLevel="0" collapsed="false">
      <c r="A10" s="49"/>
      <c r="B10" s="41" t="str">
        <f aca="false">IF($A10="","",COUNTIFS('Trade Log'!$D$4:$D$503,$A10))</f>
        <v/>
      </c>
      <c r="C10" s="41" t="str">
        <f aca="false">IF($A10="","",COUNTIFS('Trade Log'!$D$4:$D$503,$A10,'Trade Log'!$E$4:$E$503,"LONG"))</f>
        <v/>
      </c>
      <c r="D10" s="41" t="str">
        <f aca="false">IF($A10="","",COUNTIFS('Trade Log'!$D$4:$D$503,$A10,'Trade Log'!$E$4:$E$503,"SHORT"))</f>
        <v/>
      </c>
      <c r="E10" s="41" t="str">
        <f aca="false">IF($A10="","",COUNTIFS('Trade Log'!$D$4:$D$503,$A10,'Trade Log'!$N$4:$N$503,"&lt;&gt;"))</f>
        <v/>
      </c>
      <c r="F10" s="40" t="str">
        <f aca="false">IF($A10="","",SUMIFS('Trade Log'!$K$4:$K$503,'Trade Log'!$D$4:$D$503,$A10))</f>
        <v/>
      </c>
      <c r="G10" s="40" t="str">
        <f aca="false">IF($A10="","",SUMIFS('Trade Log'!$Z$4:$Z$503,'Trade Log'!$D$4:$D$503,$A10,'Trade Log'!$E$4:$E$503,"LONG"))</f>
        <v/>
      </c>
      <c r="H10" s="40" t="str">
        <f aca="false">IF($A10="","",SUMIFS('Trade Log'!$Z$4:$Z$503,'Trade Log'!$D$4:$D$503,$A10,'Trade Log'!$E$4:$E$503,"SHORT"))</f>
        <v/>
      </c>
      <c r="I10" s="40" t="str">
        <f aca="false">IF($A10="","",SUMIFS('Trade Log'!$Q$4:$Q$503,'Trade Log'!$D$4:$D$503,$A10))</f>
        <v/>
      </c>
      <c r="J10" s="40" t="str">
        <f aca="false">IF($A10="","",SUMIFS('Trade Log'!$Y$4:$Y$503,'Trade Log'!$D$4:$D$503,$A10))</f>
        <v/>
      </c>
      <c r="K10" s="40" t="str">
        <f aca="false">IF($A10="","",SUMIFS('Trade Log'!$Z$4:$Z$503,'Trade Log'!$D$4:$D$503,$A10))</f>
        <v/>
      </c>
      <c r="L10" s="41" t="str">
        <f aca="false">IF($A10="","",COUNTIFS('Trade Log'!$D$4:$D$503,$A10,'Trade Log'!$Z$4:$Z$503,"&gt;0"))</f>
        <v/>
      </c>
      <c r="M10" s="55" t="str">
        <f aca="false">IF(OR($A10="",$E10=0),"",$L10/$E10)</f>
        <v/>
      </c>
      <c r="N10" s="40" t="str">
        <f aca="false">IF(OR($A10="",$E10=0),"",$K10/$E10)</f>
        <v/>
      </c>
      <c r="O10" s="40" t="str">
        <f aca="false">IF($A10="","",IFERROR(_xlfn.MAXIFS('Trade Log'!$Z$4:$Z$503,'Trade Log'!$D$4:$D$503,$A10),""))</f>
        <v/>
      </c>
      <c r="P10" s="40" t="str">
        <f aca="false">IF($A10="","",IFERROR(_xlfn.MINIFS('Trade Log'!$Z$4:$Z$503,'Trade Log'!$D$4:$D$503,$A10),""))</f>
        <v/>
      </c>
      <c r="Q10" s="55" t="str">
        <f aca="false">IF($A10="","",IFERROR(AVERAGEIFS('Trade Log'!$AA$4:$AA$503,'Trade Log'!$D$4:$D$503,$A10),""))</f>
        <v/>
      </c>
      <c r="R10" s="53" t="str">
        <f aca="false">IF($A10="","",IFERROR(AVERAGEIFS('Trade Log'!$P$4:$P$503,'Trade Log'!$D$4:$D$503,$A10),""))</f>
        <v/>
      </c>
      <c r="S10" s="44" t="str">
        <f aca="false">IF($A10="","",IFERROR(AVERAGEIFS('Trade Log'!$AC$4:$AC$503,'Trade Log'!$D$4:$D$503,$A10),""))</f>
        <v/>
      </c>
      <c r="T10" s="55" t="str">
        <f aca="false">IF(OR($A10="",Summary!$B$13=0),"",$K10/Summary!$B$13)</f>
        <v/>
      </c>
      <c r="U10" s="41" t="str">
        <f aca="false">IF($A10="","",IFERROR(RANK($K10,$K$4:$K$153),""))</f>
        <v/>
      </c>
    </row>
    <row r="11" customFormat="false" ht="15" hidden="false" customHeight="false" outlineLevel="0" collapsed="false">
      <c r="A11" s="49"/>
      <c r="B11" s="41" t="str">
        <f aca="false">IF($A11="","",COUNTIFS('Trade Log'!$D$4:$D$503,$A11))</f>
        <v/>
      </c>
      <c r="C11" s="41" t="str">
        <f aca="false">IF($A11="","",COUNTIFS('Trade Log'!$D$4:$D$503,$A11,'Trade Log'!$E$4:$E$503,"LONG"))</f>
        <v/>
      </c>
      <c r="D11" s="41" t="str">
        <f aca="false">IF($A11="","",COUNTIFS('Trade Log'!$D$4:$D$503,$A11,'Trade Log'!$E$4:$E$503,"SHORT"))</f>
        <v/>
      </c>
      <c r="E11" s="41" t="str">
        <f aca="false">IF($A11="","",COUNTIFS('Trade Log'!$D$4:$D$503,$A11,'Trade Log'!$N$4:$N$503,"&lt;&gt;"))</f>
        <v/>
      </c>
      <c r="F11" s="40" t="str">
        <f aca="false">IF($A11="","",SUMIFS('Trade Log'!$K$4:$K$503,'Trade Log'!$D$4:$D$503,$A11))</f>
        <v/>
      </c>
      <c r="G11" s="40" t="str">
        <f aca="false">IF($A11="","",SUMIFS('Trade Log'!$Z$4:$Z$503,'Trade Log'!$D$4:$D$503,$A11,'Trade Log'!$E$4:$E$503,"LONG"))</f>
        <v/>
      </c>
      <c r="H11" s="40" t="str">
        <f aca="false">IF($A11="","",SUMIFS('Trade Log'!$Z$4:$Z$503,'Trade Log'!$D$4:$D$503,$A11,'Trade Log'!$E$4:$E$503,"SHORT"))</f>
        <v/>
      </c>
      <c r="I11" s="40" t="str">
        <f aca="false">IF($A11="","",SUMIFS('Trade Log'!$Q$4:$Q$503,'Trade Log'!$D$4:$D$503,$A11))</f>
        <v/>
      </c>
      <c r="J11" s="40" t="str">
        <f aca="false">IF($A11="","",SUMIFS('Trade Log'!$Y$4:$Y$503,'Trade Log'!$D$4:$D$503,$A11))</f>
        <v/>
      </c>
      <c r="K11" s="40" t="str">
        <f aca="false">IF($A11="","",SUMIFS('Trade Log'!$Z$4:$Z$503,'Trade Log'!$D$4:$D$503,$A11))</f>
        <v/>
      </c>
      <c r="L11" s="41" t="str">
        <f aca="false">IF($A11="","",COUNTIFS('Trade Log'!$D$4:$D$503,$A11,'Trade Log'!$Z$4:$Z$503,"&gt;0"))</f>
        <v/>
      </c>
      <c r="M11" s="55" t="str">
        <f aca="false">IF(OR($A11="",$E11=0),"",$L11/$E11)</f>
        <v/>
      </c>
      <c r="N11" s="40" t="str">
        <f aca="false">IF(OR($A11="",$E11=0),"",$K11/$E11)</f>
        <v/>
      </c>
      <c r="O11" s="40" t="str">
        <f aca="false">IF($A11="","",IFERROR(_xlfn.MAXIFS('Trade Log'!$Z$4:$Z$503,'Trade Log'!$D$4:$D$503,$A11),""))</f>
        <v/>
      </c>
      <c r="P11" s="40" t="str">
        <f aca="false">IF($A11="","",IFERROR(_xlfn.MINIFS('Trade Log'!$Z$4:$Z$503,'Trade Log'!$D$4:$D$503,$A11),""))</f>
        <v/>
      </c>
      <c r="Q11" s="55" t="str">
        <f aca="false">IF($A11="","",IFERROR(AVERAGEIFS('Trade Log'!$AA$4:$AA$503,'Trade Log'!$D$4:$D$503,$A11),""))</f>
        <v/>
      </c>
      <c r="R11" s="53" t="str">
        <f aca="false">IF($A11="","",IFERROR(AVERAGEIFS('Trade Log'!$P$4:$P$503,'Trade Log'!$D$4:$D$503,$A11),""))</f>
        <v/>
      </c>
      <c r="S11" s="44" t="str">
        <f aca="false">IF($A11="","",IFERROR(AVERAGEIFS('Trade Log'!$AC$4:$AC$503,'Trade Log'!$D$4:$D$503,$A11),""))</f>
        <v/>
      </c>
      <c r="T11" s="55" t="str">
        <f aca="false">IF(OR($A11="",Summary!$B$13=0),"",$K11/Summary!$B$13)</f>
        <v/>
      </c>
      <c r="U11" s="41" t="str">
        <f aca="false">IF($A11="","",IFERROR(RANK($K11,$K$4:$K$153),""))</f>
        <v/>
      </c>
    </row>
    <row r="12" customFormat="false" ht="15" hidden="false" customHeight="false" outlineLevel="0" collapsed="false">
      <c r="A12" s="49"/>
      <c r="B12" s="41" t="str">
        <f aca="false">IF($A12="","",COUNTIFS('Trade Log'!$D$4:$D$503,$A12))</f>
        <v/>
      </c>
      <c r="C12" s="41" t="str">
        <f aca="false">IF($A12="","",COUNTIFS('Trade Log'!$D$4:$D$503,$A12,'Trade Log'!$E$4:$E$503,"LONG"))</f>
        <v/>
      </c>
      <c r="D12" s="41" t="str">
        <f aca="false">IF($A12="","",COUNTIFS('Trade Log'!$D$4:$D$503,$A12,'Trade Log'!$E$4:$E$503,"SHORT"))</f>
        <v/>
      </c>
      <c r="E12" s="41" t="str">
        <f aca="false">IF($A12="","",COUNTIFS('Trade Log'!$D$4:$D$503,$A12,'Trade Log'!$N$4:$N$503,"&lt;&gt;"))</f>
        <v/>
      </c>
      <c r="F12" s="40" t="str">
        <f aca="false">IF($A12="","",SUMIFS('Trade Log'!$K$4:$K$503,'Trade Log'!$D$4:$D$503,$A12))</f>
        <v/>
      </c>
      <c r="G12" s="40" t="str">
        <f aca="false">IF($A12="","",SUMIFS('Trade Log'!$Z$4:$Z$503,'Trade Log'!$D$4:$D$503,$A12,'Trade Log'!$E$4:$E$503,"LONG"))</f>
        <v/>
      </c>
      <c r="H12" s="40" t="str">
        <f aca="false">IF($A12="","",SUMIFS('Trade Log'!$Z$4:$Z$503,'Trade Log'!$D$4:$D$503,$A12,'Trade Log'!$E$4:$E$503,"SHORT"))</f>
        <v/>
      </c>
      <c r="I12" s="40" t="str">
        <f aca="false">IF($A12="","",SUMIFS('Trade Log'!$Q$4:$Q$503,'Trade Log'!$D$4:$D$503,$A12))</f>
        <v/>
      </c>
      <c r="J12" s="40" t="str">
        <f aca="false">IF($A12="","",SUMIFS('Trade Log'!$Y$4:$Y$503,'Trade Log'!$D$4:$D$503,$A12))</f>
        <v/>
      </c>
      <c r="K12" s="40" t="str">
        <f aca="false">IF($A12="","",SUMIFS('Trade Log'!$Z$4:$Z$503,'Trade Log'!$D$4:$D$503,$A12))</f>
        <v/>
      </c>
      <c r="L12" s="41" t="str">
        <f aca="false">IF($A12="","",COUNTIFS('Trade Log'!$D$4:$D$503,$A12,'Trade Log'!$Z$4:$Z$503,"&gt;0"))</f>
        <v/>
      </c>
      <c r="M12" s="55" t="str">
        <f aca="false">IF(OR($A12="",$E12=0),"",$L12/$E12)</f>
        <v/>
      </c>
      <c r="N12" s="40" t="str">
        <f aca="false">IF(OR($A12="",$E12=0),"",$K12/$E12)</f>
        <v/>
      </c>
      <c r="O12" s="40" t="str">
        <f aca="false">IF($A12="","",IFERROR(_xlfn.MAXIFS('Trade Log'!$Z$4:$Z$503,'Trade Log'!$D$4:$D$503,$A12),""))</f>
        <v/>
      </c>
      <c r="P12" s="40" t="str">
        <f aca="false">IF($A12="","",IFERROR(_xlfn.MINIFS('Trade Log'!$Z$4:$Z$503,'Trade Log'!$D$4:$D$503,$A12),""))</f>
        <v/>
      </c>
      <c r="Q12" s="55" t="str">
        <f aca="false">IF($A12="","",IFERROR(AVERAGEIFS('Trade Log'!$AA$4:$AA$503,'Trade Log'!$D$4:$D$503,$A12),""))</f>
        <v/>
      </c>
      <c r="R12" s="53" t="str">
        <f aca="false">IF($A12="","",IFERROR(AVERAGEIFS('Trade Log'!$P$4:$P$503,'Trade Log'!$D$4:$D$503,$A12),""))</f>
        <v/>
      </c>
      <c r="S12" s="44" t="str">
        <f aca="false">IF($A12="","",IFERROR(AVERAGEIFS('Trade Log'!$AC$4:$AC$503,'Trade Log'!$D$4:$D$503,$A12),""))</f>
        <v/>
      </c>
      <c r="T12" s="55" t="str">
        <f aca="false">IF(OR($A12="",Summary!$B$13=0),"",$K12/Summary!$B$13)</f>
        <v/>
      </c>
      <c r="U12" s="41" t="str">
        <f aca="false">IF($A12="","",IFERROR(RANK($K12,$K$4:$K$153),""))</f>
        <v/>
      </c>
    </row>
    <row r="13" customFormat="false" ht="15" hidden="false" customHeight="false" outlineLevel="0" collapsed="false">
      <c r="A13" s="49"/>
      <c r="B13" s="41" t="str">
        <f aca="false">IF($A13="","",COUNTIFS('Trade Log'!$D$4:$D$503,$A13))</f>
        <v/>
      </c>
      <c r="C13" s="41" t="str">
        <f aca="false">IF($A13="","",COUNTIFS('Trade Log'!$D$4:$D$503,$A13,'Trade Log'!$E$4:$E$503,"LONG"))</f>
        <v/>
      </c>
      <c r="D13" s="41" t="str">
        <f aca="false">IF($A13="","",COUNTIFS('Trade Log'!$D$4:$D$503,$A13,'Trade Log'!$E$4:$E$503,"SHORT"))</f>
        <v/>
      </c>
      <c r="E13" s="41" t="str">
        <f aca="false">IF($A13="","",COUNTIFS('Trade Log'!$D$4:$D$503,$A13,'Trade Log'!$N$4:$N$503,"&lt;&gt;"))</f>
        <v/>
      </c>
      <c r="F13" s="40" t="str">
        <f aca="false">IF($A13="","",SUMIFS('Trade Log'!$K$4:$K$503,'Trade Log'!$D$4:$D$503,$A13))</f>
        <v/>
      </c>
      <c r="G13" s="40" t="str">
        <f aca="false">IF($A13="","",SUMIFS('Trade Log'!$Z$4:$Z$503,'Trade Log'!$D$4:$D$503,$A13,'Trade Log'!$E$4:$E$503,"LONG"))</f>
        <v/>
      </c>
      <c r="H13" s="40" t="str">
        <f aca="false">IF($A13="","",SUMIFS('Trade Log'!$Z$4:$Z$503,'Trade Log'!$D$4:$D$503,$A13,'Trade Log'!$E$4:$E$503,"SHORT"))</f>
        <v/>
      </c>
      <c r="I13" s="40" t="str">
        <f aca="false">IF($A13="","",SUMIFS('Trade Log'!$Q$4:$Q$503,'Trade Log'!$D$4:$D$503,$A13))</f>
        <v/>
      </c>
      <c r="J13" s="40" t="str">
        <f aca="false">IF($A13="","",SUMIFS('Trade Log'!$Y$4:$Y$503,'Trade Log'!$D$4:$D$503,$A13))</f>
        <v/>
      </c>
      <c r="K13" s="40" t="str">
        <f aca="false">IF($A13="","",SUMIFS('Trade Log'!$Z$4:$Z$503,'Trade Log'!$D$4:$D$503,$A13))</f>
        <v/>
      </c>
      <c r="L13" s="41" t="str">
        <f aca="false">IF($A13="","",COUNTIFS('Trade Log'!$D$4:$D$503,$A13,'Trade Log'!$Z$4:$Z$503,"&gt;0"))</f>
        <v/>
      </c>
      <c r="M13" s="55" t="str">
        <f aca="false">IF(OR($A13="",$E13=0),"",$L13/$E13)</f>
        <v/>
      </c>
      <c r="N13" s="40" t="str">
        <f aca="false">IF(OR($A13="",$E13=0),"",$K13/$E13)</f>
        <v/>
      </c>
      <c r="O13" s="40" t="str">
        <f aca="false">IF($A13="","",IFERROR(_xlfn.MAXIFS('Trade Log'!$Z$4:$Z$503,'Trade Log'!$D$4:$D$503,$A13),""))</f>
        <v/>
      </c>
      <c r="P13" s="40" t="str">
        <f aca="false">IF($A13="","",IFERROR(_xlfn.MINIFS('Trade Log'!$Z$4:$Z$503,'Trade Log'!$D$4:$D$503,$A13),""))</f>
        <v/>
      </c>
      <c r="Q13" s="55" t="str">
        <f aca="false">IF($A13="","",IFERROR(AVERAGEIFS('Trade Log'!$AA$4:$AA$503,'Trade Log'!$D$4:$D$503,$A13),""))</f>
        <v/>
      </c>
      <c r="R13" s="53" t="str">
        <f aca="false">IF($A13="","",IFERROR(AVERAGEIFS('Trade Log'!$P$4:$P$503,'Trade Log'!$D$4:$D$503,$A13),""))</f>
        <v/>
      </c>
      <c r="S13" s="44" t="str">
        <f aca="false">IF($A13="","",IFERROR(AVERAGEIFS('Trade Log'!$AC$4:$AC$503,'Trade Log'!$D$4:$D$503,$A13),""))</f>
        <v/>
      </c>
      <c r="T13" s="55" t="str">
        <f aca="false">IF(OR($A13="",Summary!$B$13=0),"",$K13/Summary!$B$13)</f>
        <v/>
      </c>
      <c r="U13" s="41" t="str">
        <f aca="false">IF($A13="","",IFERROR(RANK($K13,$K$4:$K$153),""))</f>
        <v/>
      </c>
    </row>
    <row r="14" customFormat="false" ht="15" hidden="false" customHeight="false" outlineLevel="0" collapsed="false">
      <c r="A14" s="49"/>
      <c r="B14" s="41" t="str">
        <f aca="false">IF($A14="","",COUNTIFS('Trade Log'!$D$4:$D$503,$A14))</f>
        <v/>
      </c>
      <c r="C14" s="41" t="str">
        <f aca="false">IF($A14="","",COUNTIFS('Trade Log'!$D$4:$D$503,$A14,'Trade Log'!$E$4:$E$503,"LONG"))</f>
        <v/>
      </c>
      <c r="D14" s="41" t="str">
        <f aca="false">IF($A14="","",COUNTIFS('Trade Log'!$D$4:$D$503,$A14,'Trade Log'!$E$4:$E$503,"SHORT"))</f>
        <v/>
      </c>
      <c r="E14" s="41" t="str">
        <f aca="false">IF($A14="","",COUNTIFS('Trade Log'!$D$4:$D$503,$A14,'Trade Log'!$N$4:$N$503,"&lt;&gt;"))</f>
        <v/>
      </c>
      <c r="F14" s="40" t="str">
        <f aca="false">IF($A14="","",SUMIFS('Trade Log'!$K$4:$K$503,'Trade Log'!$D$4:$D$503,$A14))</f>
        <v/>
      </c>
      <c r="G14" s="40" t="str">
        <f aca="false">IF($A14="","",SUMIFS('Trade Log'!$Z$4:$Z$503,'Trade Log'!$D$4:$D$503,$A14,'Trade Log'!$E$4:$E$503,"LONG"))</f>
        <v/>
      </c>
      <c r="H14" s="40" t="str">
        <f aca="false">IF($A14="","",SUMIFS('Trade Log'!$Z$4:$Z$503,'Trade Log'!$D$4:$D$503,$A14,'Trade Log'!$E$4:$E$503,"SHORT"))</f>
        <v/>
      </c>
      <c r="I14" s="40" t="str">
        <f aca="false">IF($A14="","",SUMIFS('Trade Log'!$Q$4:$Q$503,'Trade Log'!$D$4:$D$503,$A14))</f>
        <v/>
      </c>
      <c r="J14" s="40" t="str">
        <f aca="false">IF($A14="","",SUMIFS('Trade Log'!$Y$4:$Y$503,'Trade Log'!$D$4:$D$503,$A14))</f>
        <v/>
      </c>
      <c r="K14" s="40" t="str">
        <f aca="false">IF($A14="","",SUMIFS('Trade Log'!$Z$4:$Z$503,'Trade Log'!$D$4:$D$503,$A14))</f>
        <v/>
      </c>
      <c r="L14" s="41" t="str">
        <f aca="false">IF($A14="","",COUNTIFS('Trade Log'!$D$4:$D$503,$A14,'Trade Log'!$Z$4:$Z$503,"&gt;0"))</f>
        <v/>
      </c>
      <c r="M14" s="55" t="str">
        <f aca="false">IF(OR($A14="",$E14=0),"",$L14/$E14)</f>
        <v/>
      </c>
      <c r="N14" s="40" t="str">
        <f aca="false">IF(OR($A14="",$E14=0),"",$K14/$E14)</f>
        <v/>
      </c>
      <c r="O14" s="40" t="str">
        <f aca="false">IF($A14="","",IFERROR(_xlfn.MAXIFS('Trade Log'!$Z$4:$Z$503,'Trade Log'!$D$4:$D$503,$A14),""))</f>
        <v/>
      </c>
      <c r="P14" s="40" t="str">
        <f aca="false">IF($A14="","",IFERROR(_xlfn.MINIFS('Trade Log'!$Z$4:$Z$503,'Trade Log'!$D$4:$D$503,$A14),""))</f>
        <v/>
      </c>
      <c r="Q14" s="55" t="str">
        <f aca="false">IF($A14="","",IFERROR(AVERAGEIFS('Trade Log'!$AA$4:$AA$503,'Trade Log'!$D$4:$D$503,$A14),""))</f>
        <v/>
      </c>
      <c r="R14" s="53" t="str">
        <f aca="false">IF($A14="","",IFERROR(AVERAGEIFS('Trade Log'!$P$4:$P$503,'Trade Log'!$D$4:$D$503,$A14),""))</f>
        <v/>
      </c>
      <c r="S14" s="44" t="str">
        <f aca="false">IF($A14="","",IFERROR(AVERAGEIFS('Trade Log'!$AC$4:$AC$503,'Trade Log'!$D$4:$D$503,$A14),""))</f>
        <v/>
      </c>
      <c r="T14" s="55" t="str">
        <f aca="false">IF(OR($A14="",Summary!$B$13=0),"",$K14/Summary!$B$13)</f>
        <v/>
      </c>
      <c r="U14" s="41" t="str">
        <f aca="false">IF($A14="","",IFERROR(RANK($K14,$K$4:$K$153),""))</f>
        <v/>
      </c>
    </row>
    <row r="15" customFormat="false" ht="15" hidden="false" customHeight="false" outlineLevel="0" collapsed="false">
      <c r="A15" s="49"/>
      <c r="B15" s="41" t="str">
        <f aca="false">IF($A15="","",COUNTIFS('Trade Log'!$D$4:$D$503,$A15))</f>
        <v/>
      </c>
      <c r="C15" s="41" t="str">
        <f aca="false">IF($A15="","",COUNTIFS('Trade Log'!$D$4:$D$503,$A15,'Trade Log'!$E$4:$E$503,"LONG"))</f>
        <v/>
      </c>
      <c r="D15" s="41" t="str">
        <f aca="false">IF($A15="","",COUNTIFS('Trade Log'!$D$4:$D$503,$A15,'Trade Log'!$E$4:$E$503,"SHORT"))</f>
        <v/>
      </c>
      <c r="E15" s="41" t="str">
        <f aca="false">IF($A15="","",COUNTIFS('Trade Log'!$D$4:$D$503,$A15,'Trade Log'!$N$4:$N$503,"&lt;&gt;"))</f>
        <v/>
      </c>
      <c r="F15" s="40" t="str">
        <f aca="false">IF($A15="","",SUMIFS('Trade Log'!$K$4:$K$503,'Trade Log'!$D$4:$D$503,$A15))</f>
        <v/>
      </c>
      <c r="G15" s="40" t="str">
        <f aca="false">IF($A15="","",SUMIFS('Trade Log'!$Z$4:$Z$503,'Trade Log'!$D$4:$D$503,$A15,'Trade Log'!$E$4:$E$503,"LONG"))</f>
        <v/>
      </c>
      <c r="H15" s="40" t="str">
        <f aca="false">IF($A15="","",SUMIFS('Trade Log'!$Z$4:$Z$503,'Trade Log'!$D$4:$D$503,$A15,'Trade Log'!$E$4:$E$503,"SHORT"))</f>
        <v/>
      </c>
      <c r="I15" s="40" t="str">
        <f aca="false">IF($A15="","",SUMIFS('Trade Log'!$Q$4:$Q$503,'Trade Log'!$D$4:$D$503,$A15))</f>
        <v/>
      </c>
      <c r="J15" s="40" t="str">
        <f aca="false">IF($A15="","",SUMIFS('Trade Log'!$Y$4:$Y$503,'Trade Log'!$D$4:$D$503,$A15))</f>
        <v/>
      </c>
      <c r="K15" s="40" t="str">
        <f aca="false">IF($A15="","",SUMIFS('Trade Log'!$Z$4:$Z$503,'Trade Log'!$D$4:$D$503,$A15))</f>
        <v/>
      </c>
      <c r="L15" s="41" t="str">
        <f aca="false">IF($A15="","",COUNTIFS('Trade Log'!$D$4:$D$503,$A15,'Trade Log'!$Z$4:$Z$503,"&gt;0"))</f>
        <v/>
      </c>
      <c r="M15" s="55" t="str">
        <f aca="false">IF(OR($A15="",$E15=0),"",$L15/$E15)</f>
        <v/>
      </c>
      <c r="N15" s="40" t="str">
        <f aca="false">IF(OR($A15="",$E15=0),"",$K15/$E15)</f>
        <v/>
      </c>
      <c r="O15" s="40" t="str">
        <f aca="false">IF($A15="","",IFERROR(_xlfn.MAXIFS('Trade Log'!$Z$4:$Z$503,'Trade Log'!$D$4:$D$503,$A15),""))</f>
        <v/>
      </c>
      <c r="P15" s="40" t="str">
        <f aca="false">IF($A15="","",IFERROR(_xlfn.MINIFS('Trade Log'!$Z$4:$Z$503,'Trade Log'!$D$4:$D$503,$A15),""))</f>
        <v/>
      </c>
      <c r="Q15" s="55" t="str">
        <f aca="false">IF($A15="","",IFERROR(AVERAGEIFS('Trade Log'!$AA$4:$AA$503,'Trade Log'!$D$4:$D$503,$A15),""))</f>
        <v/>
      </c>
      <c r="R15" s="53" t="str">
        <f aca="false">IF($A15="","",IFERROR(AVERAGEIFS('Trade Log'!$P$4:$P$503,'Trade Log'!$D$4:$D$503,$A15),""))</f>
        <v/>
      </c>
      <c r="S15" s="44" t="str">
        <f aca="false">IF($A15="","",IFERROR(AVERAGEIFS('Trade Log'!$AC$4:$AC$503,'Trade Log'!$D$4:$D$503,$A15),""))</f>
        <v/>
      </c>
      <c r="T15" s="55" t="str">
        <f aca="false">IF(OR($A15="",Summary!$B$13=0),"",$K15/Summary!$B$13)</f>
        <v/>
      </c>
      <c r="U15" s="41" t="str">
        <f aca="false">IF($A15="","",IFERROR(RANK($K15,$K$4:$K$153),""))</f>
        <v/>
      </c>
    </row>
    <row r="16" customFormat="false" ht="15" hidden="false" customHeight="false" outlineLevel="0" collapsed="false">
      <c r="A16" s="49"/>
      <c r="B16" s="41" t="str">
        <f aca="false">IF($A16="","",COUNTIFS('Trade Log'!$D$4:$D$503,$A16))</f>
        <v/>
      </c>
      <c r="C16" s="41" t="str">
        <f aca="false">IF($A16="","",COUNTIFS('Trade Log'!$D$4:$D$503,$A16,'Trade Log'!$E$4:$E$503,"LONG"))</f>
        <v/>
      </c>
      <c r="D16" s="41" t="str">
        <f aca="false">IF($A16="","",COUNTIFS('Trade Log'!$D$4:$D$503,$A16,'Trade Log'!$E$4:$E$503,"SHORT"))</f>
        <v/>
      </c>
      <c r="E16" s="41" t="str">
        <f aca="false">IF($A16="","",COUNTIFS('Trade Log'!$D$4:$D$503,$A16,'Trade Log'!$N$4:$N$503,"&lt;&gt;"))</f>
        <v/>
      </c>
      <c r="F16" s="40" t="str">
        <f aca="false">IF($A16="","",SUMIFS('Trade Log'!$K$4:$K$503,'Trade Log'!$D$4:$D$503,$A16))</f>
        <v/>
      </c>
      <c r="G16" s="40" t="str">
        <f aca="false">IF($A16="","",SUMIFS('Trade Log'!$Z$4:$Z$503,'Trade Log'!$D$4:$D$503,$A16,'Trade Log'!$E$4:$E$503,"LONG"))</f>
        <v/>
      </c>
      <c r="H16" s="40" t="str">
        <f aca="false">IF($A16="","",SUMIFS('Trade Log'!$Z$4:$Z$503,'Trade Log'!$D$4:$D$503,$A16,'Trade Log'!$E$4:$E$503,"SHORT"))</f>
        <v/>
      </c>
      <c r="I16" s="40" t="str">
        <f aca="false">IF($A16="","",SUMIFS('Trade Log'!$Q$4:$Q$503,'Trade Log'!$D$4:$D$503,$A16))</f>
        <v/>
      </c>
      <c r="J16" s="40" t="str">
        <f aca="false">IF($A16="","",SUMIFS('Trade Log'!$Y$4:$Y$503,'Trade Log'!$D$4:$D$503,$A16))</f>
        <v/>
      </c>
      <c r="K16" s="40" t="str">
        <f aca="false">IF($A16="","",SUMIFS('Trade Log'!$Z$4:$Z$503,'Trade Log'!$D$4:$D$503,$A16))</f>
        <v/>
      </c>
      <c r="L16" s="41" t="str">
        <f aca="false">IF($A16="","",COUNTIFS('Trade Log'!$D$4:$D$503,$A16,'Trade Log'!$Z$4:$Z$503,"&gt;0"))</f>
        <v/>
      </c>
      <c r="M16" s="55" t="str">
        <f aca="false">IF(OR($A16="",$E16=0),"",$L16/$E16)</f>
        <v/>
      </c>
      <c r="N16" s="40" t="str">
        <f aca="false">IF(OR($A16="",$E16=0),"",$K16/$E16)</f>
        <v/>
      </c>
      <c r="O16" s="40" t="str">
        <f aca="false">IF($A16="","",IFERROR(_xlfn.MAXIFS('Trade Log'!$Z$4:$Z$503,'Trade Log'!$D$4:$D$503,$A16),""))</f>
        <v/>
      </c>
      <c r="P16" s="40" t="str">
        <f aca="false">IF($A16="","",IFERROR(_xlfn.MINIFS('Trade Log'!$Z$4:$Z$503,'Trade Log'!$D$4:$D$503,$A16),""))</f>
        <v/>
      </c>
      <c r="Q16" s="55" t="str">
        <f aca="false">IF($A16="","",IFERROR(AVERAGEIFS('Trade Log'!$AA$4:$AA$503,'Trade Log'!$D$4:$D$503,$A16),""))</f>
        <v/>
      </c>
      <c r="R16" s="53" t="str">
        <f aca="false">IF($A16="","",IFERROR(AVERAGEIFS('Trade Log'!$P$4:$P$503,'Trade Log'!$D$4:$D$503,$A16),""))</f>
        <v/>
      </c>
      <c r="S16" s="44" t="str">
        <f aca="false">IF($A16="","",IFERROR(AVERAGEIFS('Trade Log'!$AC$4:$AC$503,'Trade Log'!$D$4:$D$503,$A16),""))</f>
        <v/>
      </c>
      <c r="T16" s="55" t="str">
        <f aca="false">IF(OR($A16="",Summary!$B$13=0),"",$K16/Summary!$B$13)</f>
        <v/>
      </c>
      <c r="U16" s="41" t="str">
        <f aca="false">IF($A16="","",IFERROR(RANK($K16,$K$4:$K$153),""))</f>
        <v/>
      </c>
    </row>
    <row r="17" customFormat="false" ht="15" hidden="false" customHeight="false" outlineLevel="0" collapsed="false">
      <c r="A17" s="49"/>
      <c r="B17" s="41" t="str">
        <f aca="false">IF($A17="","",COUNTIFS('Trade Log'!$D$4:$D$503,$A17))</f>
        <v/>
      </c>
      <c r="C17" s="41" t="str">
        <f aca="false">IF($A17="","",COUNTIFS('Trade Log'!$D$4:$D$503,$A17,'Trade Log'!$E$4:$E$503,"LONG"))</f>
        <v/>
      </c>
      <c r="D17" s="41" t="str">
        <f aca="false">IF($A17="","",COUNTIFS('Trade Log'!$D$4:$D$503,$A17,'Trade Log'!$E$4:$E$503,"SHORT"))</f>
        <v/>
      </c>
      <c r="E17" s="41" t="str">
        <f aca="false">IF($A17="","",COUNTIFS('Trade Log'!$D$4:$D$503,$A17,'Trade Log'!$N$4:$N$503,"&lt;&gt;"))</f>
        <v/>
      </c>
      <c r="F17" s="40" t="str">
        <f aca="false">IF($A17="","",SUMIFS('Trade Log'!$K$4:$K$503,'Trade Log'!$D$4:$D$503,$A17))</f>
        <v/>
      </c>
      <c r="G17" s="40" t="str">
        <f aca="false">IF($A17="","",SUMIFS('Trade Log'!$Z$4:$Z$503,'Trade Log'!$D$4:$D$503,$A17,'Trade Log'!$E$4:$E$503,"LONG"))</f>
        <v/>
      </c>
      <c r="H17" s="40" t="str">
        <f aca="false">IF($A17="","",SUMIFS('Trade Log'!$Z$4:$Z$503,'Trade Log'!$D$4:$D$503,$A17,'Trade Log'!$E$4:$E$503,"SHORT"))</f>
        <v/>
      </c>
      <c r="I17" s="40" t="str">
        <f aca="false">IF($A17="","",SUMIFS('Trade Log'!$Q$4:$Q$503,'Trade Log'!$D$4:$D$503,$A17))</f>
        <v/>
      </c>
      <c r="J17" s="40" t="str">
        <f aca="false">IF($A17="","",SUMIFS('Trade Log'!$Y$4:$Y$503,'Trade Log'!$D$4:$D$503,$A17))</f>
        <v/>
      </c>
      <c r="K17" s="40" t="str">
        <f aca="false">IF($A17="","",SUMIFS('Trade Log'!$Z$4:$Z$503,'Trade Log'!$D$4:$D$503,$A17))</f>
        <v/>
      </c>
      <c r="L17" s="41" t="str">
        <f aca="false">IF($A17="","",COUNTIFS('Trade Log'!$D$4:$D$503,$A17,'Trade Log'!$Z$4:$Z$503,"&gt;0"))</f>
        <v/>
      </c>
      <c r="M17" s="55" t="str">
        <f aca="false">IF(OR($A17="",$E17=0),"",$L17/$E17)</f>
        <v/>
      </c>
      <c r="N17" s="40" t="str">
        <f aca="false">IF(OR($A17="",$E17=0),"",$K17/$E17)</f>
        <v/>
      </c>
      <c r="O17" s="40" t="str">
        <f aca="false">IF($A17="","",IFERROR(_xlfn.MAXIFS('Trade Log'!$Z$4:$Z$503,'Trade Log'!$D$4:$D$503,$A17),""))</f>
        <v/>
      </c>
      <c r="P17" s="40" t="str">
        <f aca="false">IF($A17="","",IFERROR(_xlfn.MINIFS('Trade Log'!$Z$4:$Z$503,'Trade Log'!$D$4:$D$503,$A17),""))</f>
        <v/>
      </c>
      <c r="Q17" s="55" t="str">
        <f aca="false">IF($A17="","",IFERROR(AVERAGEIFS('Trade Log'!$AA$4:$AA$503,'Trade Log'!$D$4:$D$503,$A17),""))</f>
        <v/>
      </c>
      <c r="R17" s="53" t="str">
        <f aca="false">IF($A17="","",IFERROR(AVERAGEIFS('Trade Log'!$P$4:$P$503,'Trade Log'!$D$4:$D$503,$A17),""))</f>
        <v/>
      </c>
      <c r="S17" s="44" t="str">
        <f aca="false">IF($A17="","",IFERROR(AVERAGEIFS('Trade Log'!$AC$4:$AC$503,'Trade Log'!$D$4:$D$503,$A17),""))</f>
        <v/>
      </c>
      <c r="T17" s="55" t="str">
        <f aca="false">IF(OR($A17="",Summary!$B$13=0),"",$K17/Summary!$B$13)</f>
        <v/>
      </c>
      <c r="U17" s="41" t="str">
        <f aca="false">IF($A17="","",IFERROR(RANK($K17,$K$4:$K$153),""))</f>
        <v/>
      </c>
    </row>
    <row r="18" customFormat="false" ht="15" hidden="false" customHeight="false" outlineLevel="0" collapsed="false">
      <c r="A18" s="49"/>
      <c r="B18" s="41" t="str">
        <f aca="false">IF($A18="","",COUNTIFS('Trade Log'!$D$4:$D$503,$A18))</f>
        <v/>
      </c>
      <c r="C18" s="41" t="str">
        <f aca="false">IF($A18="","",COUNTIFS('Trade Log'!$D$4:$D$503,$A18,'Trade Log'!$E$4:$E$503,"LONG"))</f>
        <v/>
      </c>
      <c r="D18" s="41" t="str">
        <f aca="false">IF($A18="","",COUNTIFS('Trade Log'!$D$4:$D$503,$A18,'Trade Log'!$E$4:$E$503,"SHORT"))</f>
        <v/>
      </c>
      <c r="E18" s="41" t="str">
        <f aca="false">IF($A18="","",COUNTIFS('Trade Log'!$D$4:$D$503,$A18,'Trade Log'!$N$4:$N$503,"&lt;&gt;"))</f>
        <v/>
      </c>
      <c r="F18" s="40" t="str">
        <f aca="false">IF($A18="","",SUMIFS('Trade Log'!$K$4:$K$503,'Trade Log'!$D$4:$D$503,$A18))</f>
        <v/>
      </c>
      <c r="G18" s="40" t="str">
        <f aca="false">IF($A18="","",SUMIFS('Trade Log'!$Z$4:$Z$503,'Trade Log'!$D$4:$D$503,$A18,'Trade Log'!$E$4:$E$503,"LONG"))</f>
        <v/>
      </c>
      <c r="H18" s="40" t="str">
        <f aca="false">IF($A18="","",SUMIFS('Trade Log'!$Z$4:$Z$503,'Trade Log'!$D$4:$D$503,$A18,'Trade Log'!$E$4:$E$503,"SHORT"))</f>
        <v/>
      </c>
      <c r="I18" s="40" t="str">
        <f aca="false">IF($A18="","",SUMIFS('Trade Log'!$Q$4:$Q$503,'Trade Log'!$D$4:$D$503,$A18))</f>
        <v/>
      </c>
      <c r="J18" s="40" t="str">
        <f aca="false">IF($A18="","",SUMIFS('Trade Log'!$Y$4:$Y$503,'Trade Log'!$D$4:$D$503,$A18))</f>
        <v/>
      </c>
      <c r="K18" s="40" t="str">
        <f aca="false">IF($A18="","",SUMIFS('Trade Log'!$Z$4:$Z$503,'Trade Log'!$D$4:$D$503,$A18))</f>
        <v/>
      </c>
      <c r="L18" s="41" t="str">
        <f aca="false">IF($A18="","",COUNTIFS('Trade Log'!$D$4:$D$503,$A18,'Trade Log'!$Z$4:$Z$503,"&gt;0"))</f>
        <v/>
      </c>
      <c r="M18" s="55" t="str">
        <f aca="false">IF(OR($A18="",$E18=0),"",$L18/$E18)</f>
        <v/>
      </c>
      <c r="N18" s="40" t="str">
        <f aca="false">IF(OR($A18="",$E18=0),"",$K18/$E18)</f>
        <v/>
      </c>
      <c r="O18" s="40" t="str">
        <f aca="false">IF($A18="","",IFERROR(_xlfn.MAXIFS('Trade Log'!$Z$4:$Z$503,'Trade Log'!$D$4:$D$503,$A18),""))</f>
        <v/>
      </c>
      <c r="P18" s="40" t="str">
        <f aca="false">IF($A18="","",IFERROR(_xlfn.MINIFS('Trade Log'!$Z$4:$Z$503,'Trade Log'!$D$4:$D$503,$A18),""))</f>
        <v/>
      </c>
      <c r="Q18" s="55" t="str">
        <f aca="false">IF($A18="","",IFERROR(AVERAGEIFS('Trade Log'!$AA$4:$AA$503,'Trade Log'!$D$4:$D$503,$A18),""))</f>
        <v/>
      </c>
      <c r="R18" s="53" t="str">
        <f aca="false">IF($A18="","",IFERROR(AVERAGEIFS('Trade Log'!$P$4:$P$503,'Trade Log'!$D$4:$D$503,$A18),""))</f>
        <v/>
      </c>
      <c r="S18" s="44" t="str">
        <f aca="false">IF($A18="","",IFERROR(AVERAGEIFS('Trade Log'!$AC$4:$AC$503,'Trade Log'!$D$4:$D$503,$A18),""))</f>
        <v/>
      </c>
      <c r="T18" s="55" t="str">
        <f aca="false">IF(OR($A18="",Summary!$B$13=0),"",$K18/Summary!$B$13)</f>
        <v/>
      </c>
      <c r="U18" s="41" t="str">
        <f aca="false">IF($A18="","",IFERROR(RANK($K18,$K$4:$K$153),""))</f>
        <v/>
      </c>
    </row>
    <row r="19" customFormat="false" ht="15" hidden="false" customHeight="false" outlineLevel="0" collapsed="false">
      <c r="A19" s="49"/>
      <c r="B19" s="41" t="str">
        <f aca="false">IF($A19="","",COUNTIFS('Trade Log'!$D$4:$D$503,$A19))</f>
        <v/>
      </c>
      <c r="C19" s="41" t="str">
        <f aca="false">IF($A19="","",COUNTIFS('Trade Log'!$D$4:$D$503,$A19,'Trade Log'!$E$4:$E$503,"LONG"))</f>
        <v/>
      </c>
      <c r="D19" s="41" t="str">
        <f aca="false">IF($A19="","",COUNTIFS('Trade Log'!$D$4:$D$503,$A19,'Trade Log'!$E$4:$E$503,"SHORT"))</f>
        <v/>
      </c>
      <c r="E19" s="41" t="str">
        <f aca="false">IF($A19="","",COUNTIFS('Trade Log'!$D$4:$D$503,$A19,'Trade Log'!$N$4:$N$503,"&lt;&gt;"))</f>
        <v/>
      </c>
      <c r="F19" s="40" t="str">
        <f aca="false">IF($A19="","",SUMIFS('Trade Log'!$K$4:$K$503,'Trade Log'!$D$4:$D$503,$A19))</f>
        <v/>
      </c>
      <c r="G19" s="40" t="str">
        <f aca="false">IF($A19="","",SUMIFS('Trade Log'!$Z$4:$Z$503,'Trade Log'!$D$4:$D$503,$A19,'Trade Log'!$E$4:$E$503,"LONG"))</f>
        <v/>
      </c>
      <c r="H19" s="40" t="str">
        <f aca="false">IF($A19="","",SUMIFS('Trade Log'!$Z$4:$Z$503,'Trade Log'!$D$4:$D$503,$A19,'Trade Log'!$E$4:$E$503,"SHORT"))</f>
        <v/>
      </c>
      <c r="I19" s="40" t="str">
        <f aca="false">IF($A19="","",SUMIFS('Trade Log'!$Q$4:$Q$503,'Trade Log'!$D$4:$D$503,$A19))</f>
        <v/>
      </c>
      <c r="J19" s="40" t="str">
        <f aca="false">IF($A19="","",SUMIFS('Trade Log'!$Y$4:$Y$503,'Trade Log'!$D$4:$D$503,$A19))</f>
        <v/>
      </c>
      <c r="K19" s="40" t="str">
        <f aca="false">IF($A19="","",SUMIFS('Trade Log'!$Z$4:$Z$503,'Trade Log'!$D$4:$D$503,$A19))</f>
        <v/>
      </c>
      <c r="L19" s="41" t="str">
        <f aca="false">IF($A19="","",COUNTIFS('Trade Log'!$D$4:$D$503,$A19,'Trade Log'!$Z$4:$Z$503,"&gt;0"))</f>
        <v/>
      </c>
      <c r="M19" s="55" t="str">
        <f aca="false">IF(OR($A19="",$E19=0),"",$L19/$E19)</f>
        <v/>
      </c>
      <c r="N19" s="40" t="str">
        <f aca="false">IF(OR($A19="",$E19=0),"",$K19/$E19)</f>
        <v/>
      </c>
      <c r="O19" s="40" t="str">
        <f aca="false">IF($A19="","",IFERROR(_xlfn.MAXIFS('Trade Log'!$Z$4:$Z$503,'Trade Log'!$D$4:$D$503,$A19),""))</f>
        <v/>
      </c>
      <c r="P19" s="40" t="str">
        <f aca="false">IF($A19="","",IFERROR(_xlfn.MINIFS('Trade Log'!$Z$4:$Z$503,'Trade Log'!$D$4:$D$503,$A19),""))</f>
        <v/>
      </c>
      <c r="Q19" s="55" t="str">
        <f aca="false">IF($A19="","",IFERROR(AVERAGEIFS('Trade Log'!$AA$4:$AA$503,'Trade Log'!$D$4:$D$503,$A19),""))</f>
        <v/>
      </c>
      <c r="R19" s="53" t="str">
        <f aca="false">IF($A19="","",IFERROR(AVERAGEIFS('Trade Log'!$P$4:$P$503,'Trade Log'!$D$4:$D$503,$A19),""))</f>
        <v/>
      </c>
      <c r="S19" s="44" t="str">
        <f aca="false">IF($A19="","",IFERROR(AVERAGEIFS('Trade Log'!$AC$4:$AC$503,'Trade Log'!$D$4:$D$503,$A19),""))</f>
        <v/>
      </c>
      <c r="T19" s="55" t="str">
        <f aca="false">IF(OR($A19="",Summary!$B$13=0),"",$K19/Summary!$B$13)</f>
        <v/>
      </c>
      <c r="U19" s="41" t="str">
        <f aca="false">IF($A19="","",IFERROR(RANK($K19,$K$4:$K$153),""))</f>
        <v/>
      </c>
    </row>
    <row r="20" customFormat="false" ht="15" hidden="false" customHeight="false" outlineLevel="0" collapsed="false">
      <c r="A20" s="49"/>
      <c r="B20" s="41" t="str">
        <f aca="false">IF($A20="","",COUNTIFS('Trade Log'!$D$4:$D$503,$A20))</f>
        <v/>
      </c>
      <c r="C20" s="41" t="str">
        <f aca="false">IF($A20="","",COUNTIFS('Trade Log'!$D$4:$D$503,$A20,'Trade Log'!$E$4:$E$503,"LONG"))</f>
        <v/>
      </c>
      <c r="D20" s="41" t="str">
        <f aca="false">IF($A20="","",COUNTIFS('Trade Log'!$D$4:$D$503,$A20,'Trade Log'!$E$4:$E$503,"SHORT"))</f>
        <v/>
      </c>
      <c r="E20" s="41" t="str">
        <f aca="false">IF($A20="","",COUNTIFS('Trade Log'!$D$4:$D$503,$A20,'Trade Log'!$N$4:$N$503,"&lt;&gt;"))</f>
        <v/>
      </c>
      <c r="F20" s="40" t="str">
        <f aca="false">IF($A20="","",SUMIFS('Trade Log'!$K$4:$K$503,'Trade Log'!$D$4:$D$503,$A20))</f>
        <v/>
      </c>
      <c r="G20" s="40" t="str">
        <f aca="false">IF($A20="","",SUMIFS('Trade Log'!$Z$4:$Z$503,'Trade Log'!$D$4:$D$503,$A20,'Trade Log'!$E$4:$E$503,"LONG"))</f>
        <v/>
      </c>
      <c r="H20" s="40" t="str">
        <f aca="false">IF($A20="","",SUMIFS('Trade Log'!$Z$4:$Z$503,'Trade Log'!$D$4:$D$503,$A20,'Trade Log'!$E$4:$E$503,"SHORT"))</f>
        <v/>
      </c>
      <c r="I20" s="40" t="str">
        <f aca="false">IF($A20="","",SUMIFS('Trade Log'!$Q$4:$Q$503,'Trade Log'!$D$4:$D$503,$A20))</f>
        <v/>
      </c>
      <c r="J20" s="40" t="str">
        <f aca="false">IF($A20="","",SUMIFS('Trade Log'!$Y$4:$Y$503,'Trade Log'!$D$4:$D$503,$A20))</f>
        <v/>
      </c>
      <c r="K20" s="40" t="str">
        <f aca="false">IF($A20="","",SUMIFS('Trade Log'!$Z$4:$Z$503,'Trade Log'!$D$4:$D$503,$A20))</f>
        <v/>
      </c>
      <c r="L20" s="41" t="str">
        <f aca="false">IF($A20="","",COUNTIFS('Trade Log'!$D$4:$D$503,$A20,'Trade Log'!$Z$4:$Z$503,"&gt;0"))</f>
        <v/>
      </c>
      <c r="M20" s="55" t="str">
        <f aca="false">IF(OR($A20="",$E20=0),"",$L20/$E20)</f>
        <v/>
      </c>
      <c r="N20" s="40" t="str">
        <f aca="false">IF(OR($A20="",$E20=0),"",$K20/$E20)</f>
        <v/>
      </c>
      <c r="O20" s="40" t="str">
        <f aca="false">IF($A20="","",IFERROR(_xlfn.MAXIFS('Trade Log'!$Z$4:$Z$503,'Trade Log'!$D$4:$D$503,$A20),""))</f>
        <v/>
      </c>
      <c r="P20" s="40" t="str">
        <f aca="false">IF($A20="","",IFERROR(_xlfn.MINIFS('Trade Log'!$Z$4:$Z$503,'Trade Log'!$D$4:$D$503,$A20),""))</f>
        <v/>
      </c>
      <c r="Q20" s="55" t="str">
        <f aca="false">IF($A20="","",IFERROR(AVERAGEIFS('Trade Log'!$AA$4:$AA$503,'Trade Log'!$D$4:$D$503,$A20),""))</f>
        <v/>
      </c>
      <c r="R20" s="53" t="str">
        <f aca="false">IF($A20="","",IFERROR(AVERAGEIFS('Trade Log'!$P$4:$P$503,'Trade Log'!$D$4:$D$503,$A20),""))</f>
        <v/>
      </c>
      <c r="S20" s="44" t="str">
        <f aca="false">IF($A20="","",IFERROR(AVERAGEIFS('Trade Log'!$AC$4:$AC$503,'Trade Log'!$D$4:$D$503,$A20),""))</f>
        <v/>
      </c>
      <c r="T20" s="55" t="str">
        <f aca="false">IF(OR($A20="",Summary!$B$13=0),"",$K20/Summary!$B$13)</f>
        <v/>
      </c>
      <c r="U20" s="41" t="str">
        <f aca="false">IF($A20="","",IFERROR(RANK($K20,$K$4:$K$153),""))</f>
        <v/>
      </c>
    </row>
    <row r="21" customFormat="false" ht="15" hidden="false" customHeight="false" outlineLevel="0" collapsed="false">
      <c r="A21" s="49"/>
      <c r="B21" s="41" t="str">
        <f aca="false">IF($A21="","",COUNTIFS('Trade Log'!$D$4:$D$503,$A21))</f>
        <v/>
      </c>
      <c r="C21" s="41" t="str">
        <f aca="false">IF($A21="","",COUNTIFS('Trade Log'!$D$4:$D$503,$A21,'Trade Log'!$E$4:$E$503,"LONG"))</f>
        <v/>
      </c>
      <c r="D21" s="41" t="str">
        <f aca="false">IF($A21="","",COUNTIFS('Trade Log'!$D$4:$D$503,$A21,'Trade Log'!$E$4:$E$503,"SHORT"))</f>
        <v/>
      </c>
      <c r="E21" s="41" t="str">
        <f aca="false">IF($A21="","",COUNTIFS('Trade Log'!$D$4:$D$503,$A21,'Trade Log'!$N$4:$N$503,"&lt;&gt;"))</f>
        <v/>
      </c>
      <c r="F21" s="40" t="str">
        <f aca="false">IF($A21="","",SUMIFS('Trade Log'!$K$4:$K$503,'Trade Log'!$D$4:$D$503,$A21))</f>
        <v/>
      </c>
      <c r="G21" s="40" t="str">
        <f aca="false">IF($A21="","",SUMIFS('Trade Log'!$Z$4:$Z$503,'Trade Log'!$D$4:$D$503,$A21,'Trade Log'!$E$4:$E$503,"LONG"))</f>
        <v/>
      </c>
      <c r="H21" s="40" t="str">
        <f aca="false">IF($A21="","",SUMIFS('Trade Log'!$Z$4:$Z$503,'Trade Log'!$D$4:$D$503,$A21,'Trade Log'!$E$4:$E$503,"SHORT"))</f>
        <v/>
      </c>
      <c r="I21" s="40" t="str">
        <f aca="false">IF($A21="","",SUMIFS('Trade Log'!$Q$4:$Q$503,'Trade Log'!$D$4:$D$503,$A21))</f>
        <v/>
      </c>
      <c r="J21" s="40" t="str">
        <f aca="false">IF($A21="","",SUMIFS('Trade Log'!$Y$4:$Y$503,'Trade Log'!$D$4:$D$503,$A21))</f>
        <v/>
      </c>
      <c r="K21" s="40" t="str">
        <f aca="false">IF($A21="","",SUMIFS('Trade Log'!$Z$4:$Z$503,'Trade Log'!$D$4:$D$503,$A21))</f>
        <v/>
      </c>
      <c r="L21" s="41" t="str">
        <f aca="false">IF($A21="","",COUNTIFS('Trade Log'!$D$4:$D$503,$A21,'Trade Log'!$Z$4:$Z$503,"&gt;0"))</f>
        <v/>
      </c>
      <c r="M21" s="55" t="str">
        <f aca="false">IF(OR($A21="",$E21=0),"",$L21/$E21)</f>
        <v/>
      </c>
      <c r="N21" s="40" t="str">
        <f aca="false">IF(OR($A21="",$E21=0),"",$K21/$E21)</f>
        <v/>
      </c>
      <c r="O21" s="40" t="str">
        <f aca="false">IF($A21="","",IFERROR(_xlfn.MAXIFS('Trade Log'!$Z$4:$Z$503,'Trade Log'!$D$4:$D$503,$A21),""))</f>
        <v/>
      </c>
      <c r="P21" s="40" t="str">
        <f aca="false">IF($A21="","",IFERROR(_xlfn.MINIFS('Trade Log'!$Z$4:$Z$503,'Trade Log'!$D$4:$D$503,$A21),""))</f>
        <v/>
      </c>
      <c r="Q21" s="55" t="str">
        <f aca="false">IF($A21="","",IFERROR(AVERAGEIFS('Trade Log'!$AA$4:$AA$503,'Trade Log'!$D$4:$D$503,$A21),""))</f>
        <v/>
      </c>
      <c r="R21" s="53" t="str">
        <f aca="false">IF($A21="","",IFERROR(AVERAGEIFS('Trade Log'!$P$4:$P$503,'Trade Log'!$D$4:$D$503,$A21),""))</f>
        <v/>
      </c>
      <c r="S21" s="44" t="str">
        <f aca="false">IF($A21="","",IFERROR(AVERAGEIFS('Trade Log'!$AC$4:$AC$503,'Trade Log'!$D$4:$D$503,$A21),""))</f>
        <v/>
      </c>
      <c r="T21" s="55" t="str">
        <f aca="false">IF(OR($A21="",Summary!$B$13=0),"",$K21/Summary!$B$13)</f>
        <v/>
      </c>
      <c r="U21" s="41" t="str">
        <f aca="false">IF($A21="","",IFERROR(RANK($K21,$K$4:$K$153),""))</f>
        <v/>
      </c>
    </row>
    <row r="22" customFormat="false" ht="15" hidden="false" customHeight="false" outlineLevel="0" collapsed="false">
      <c r="A22" s="49"/>
      <c r="B22" s="41" t="str">
        <f aca="false">IF($A22="","",COUNTIFS('Trade Log'!$D$4:$D$503,$A22))</f>
        <v/>
      </c>
      <c r="C22" s="41" t="str">
        <f aca="false">IF($A22="","",COUNTIFS('Trade Log'!$D$4:$D$503,$A22,'Trade Log'!$E$4:$E$503,"LONG"))</f>
        <v/>
      </c>
      <c r="D22" s="41" t="str">
        <f aca="false">IF($A22="","",COUNTIFS('Trade Log'!$D$4:$D$503,$A22,'Trade Log'!$E$4:$E$503,"SHORT"))</f>
        <v/>
      </c>
      <c r="E22" s="41" t="str">
        <f aca="false">IF($A22="","",COUNTIFS('Trade Log'!$D$4:$D$503,$A22,'Trade Log'!$N$4:$N$503,"&lt;&gt;"))</f>
        <v/>
      </c>
      <c r="F22" s="40" t="str">
        <f aca="false">IF($A22="","",SUMIFS('Trade Log'!$K$4:$K$503,'Trade Log'!$D$4:$D$503,$A22))</f>
        <v/>
      </c>
      <c r="G22" s="40" t="str">
        <f aca="false">IF($A22="","",SUMIFS('Trade Log'!$Z$4:$Z$503,'Trade Log'!$D$4:$D$503,$A22,'Trade Log'!$E$4:$E$503,"LONG"))</f>
        <v/>
      </c>
      <c r="H22" s="40" t="str">
        <f aca="false">IF($A22="","",SUMIFS('Trade Log'!$Z$4:$Z$503,'Trade Log'!$D$4:$D$503,$A22,'Trade Log'!$E$4:$E$503,"SHORT"))</f>
        <v/>
      </c>
      <c r="I22" s="40" t="str">
        <f aca="false">IF($A22="","",SUMIFS('Trade Log'!$Q$4:$Q$503,'Trade Log'!$D$4:$D$503,$A22))</f>
        <v/>
      </c>
      <c r="J22" s="40" t="str">
        <f aca="false">IF($A22="","",SUMIFS('Trade Log'!$Y$4:$Y$503,'Trade Log'!$D$4:$D$503,$A22))</f>
        <v/>
      </c>
      <c r="K22" s="40" t="str">
        <f aca="false">IF($A22="","",SUMIFS('Trade Log'!$Z$4:$Z$503,'Trade Log'!$D$4:$D$503,$A22))</f>
        <v/>
      </c>
      <c r="L22" s="41" t="str">
        <f aca="false">IF($A22="","",COUNTIFS('Trade Log'!$D$4:$D$503,$A22,'Trade Log'!$Z$4:$Z$503,"&gt;0"))</f>
        <v/>
      </c>
      <c r="M22" s="55" t="str">
        <f aca="false">IF(OR($A22="",$E22=0),"",$L22/$E22)</f>
        <v/>
      </c>
      <c r="N22" s="40" t="str">
        <f aca="false">IF(OR($A22="",$E22=0),"",$K22/$E22)</f>
        <v/>
      </c>
      <c r="O22" s="40" t="str">
        <f aca="false">IF($A22="","",IFERROR(_xlfn.MAXIFS('Trade Log'!$Z$4:$Z$503,'Trade Log'!$D$4:$D$503,$A22),""))</f>
        <v/>
      </c>
      <c r="P22" s="40" t="str">
        <f aca="false">IF($A22="","",IFERROR(_xlfn.MINIFS('Trade Log'!$Z$4:$Z$503,'Trade Log'!$D$4:$D$503,$A22),""))</f>
        <v/>
      </c>
      <c r="Q22" s="55" t="str">
        <f aca="false">IF($A22="","",IFERROR(AVERAGEIFS('Trade Log'!$AA$4:$AA$503,'Trade Log'!$D$4:$D$503,$A22),""))</f>
        <v/>
      </c>
      <c r="R22" s="53" t="str">
        <f aca="false">IF($A22="","",IFERROR(AVERAGEIFS('Trade Log'!$P$4:$P$503,'Trade Log'!$D$4:$D$503,$A22),""))</f>
        <v/>
      </c>
      <c r="S22" s="44" t="str">
        <f aca="false">IF($A22="","",IFERROR(AVERAGEIFS('Trade Log'!$AC$4:$AC$503,'Trade Log'!$D$4:$D$503,$A22),""))</f>
        <v/>
      </c>
      <c r="T22" s="55" t="str">
        <f aca="false">IF(OR($A22="",Summary!$B$13=0),"",$K22/Summary!$B$13)</f>
        <v/>
      </c>
      <c r="U22" s="41" t="str">
        <f aca="false">IF($A22="","",IFERROR(RANK($K22,$K$4:$K$153),""))</f>
        <v/>
      </c>
    </row>
    <row r="23" customFormat="false" ht="15" hidden="false" customHeight="false" outlineLevel="0" collapsed="false">
      <c r="A23" s="49"/>
      <c r="B23" s="41" t="str">
        <f aca="false">IF($A23="","",COUNTIFS('Trade Log'!$D$4:$D$503,$A23))</f>
        <v/>
      </c>
      <c r="C23" s="41" t="str">
        <f aca="false">IF($A23="","",COUNTIFS('Trade Log'!$D$4:$D$503,$A23,'Trade Log'!$E$4:$E$503,"LONG"))</f>
        <v/>
      </c>
      <c r="D23" s="41" t="str">
        <f aca="false">IF($A23="","",COUNTIFS('Trade Log'!$D$4:$D$503,$A23,'Trade Log'!$E$4:$E$503,"SHORT"))</f>
        <v/>
      </c>
      <c r="E23" s="41" t="str">
        <f aca="false">IF($A23="","",COUNTIFS('Trade Log'!$D$4:$D$503,$A23,'Trade Log'!$N$4:$N$503,"&lt;&gt;"))</f>
        <v/>
      </c>
      <c r="F23" s="40" t="str">
        <f aca="false">IF($A23="","",SUMIFS('Trade Log'!$K$4:$K$503,'Trade Log'!$D$4:$D$503,$A23))</f>
        <v/>
      </c>
      <c r="G23" s="40" t="str">
        <f aca="false">IF($A23="","",SUMIFS('Trade Log'!$Z$4:$Z$503,'Trade Log'!$D$4:$D$503,$A23,'Trade Log'!$E$4:$E$503,"LONG"))</f>
        <v/>
      </c>
      <c r="H23" s="40" t="str">
        <f aca="false">IF($A23="","",SUMIFS('Trade Log'!$Z$4:$Z$503,'Trade Log'!$D$4:$D$503,$A23,'Trade Log'!$E$4:$E$503,"SHORT"))</f>
        <v/>
      </c>
      <c r="I23" s="40" t="str">
        <f aca="false">IF($A23="","",SUMIFS('Trade Log'!$Q$4:$Q$503,'Trade Log'!$D$4:$D$503,$A23))</f>
        <v/>
      </c>
      <c r="J23" s="40" t="str">
        <f aca="false">IF($A23="","",SUMIFS('Trade Log'!$Y$4:$Y$503,'Trade Log'!$D$4:$D$503,$A23))</f>
        <v/>
      </c>
      <c r="K23" s="40" t="str">
        <f aca="false">IF($A23="","",SUMIFS('Trade Log'!$Z$4:$Z$503,'Trade Log'!$D$4:$D$503,$A23))</f>
        <v/>
      </c>
      <c r="L23" s="41" t="str">
        <f aca="false">IF($A23="","",COUNTIFS('Trade Log'!$D$4:$D$503,$A23,'Trade Log'!$Z$4:$Z$503,"&gt;0"))</f>
        <v/>
      </c>
      <c r="M23" s="55" t="str">
        <f aca="false">IF(OR($A23="",$E23=0),"",$L23/$E23)</f>
        <v/>
      </c>
      <c r="N23" s="40" t="str">
        <f aca="false">IF(OR($A23="",$E23=0),"",$K23/$E23)</f>
        <v/>
      </c>
      <c r="O23" s="40" t="str">
        <f aca="false">IF($A23="","",IFERROR(_xlfn.MAXIFS('Trade Log'!$Z$4:$Z$503,'Trade Log'!$D$4:$D$503,$A23),""))</f>
        <v/>
      </c>
      <c r="P23" s="40" t="str">
        <f aca="false">IF($A23="","",IFERROR(_xlfn.MINIFS('Trade Log'!$Z$4:$Z$503,'Trade Log'!$D$4:$D$503,$A23),""))</f>
        <v/>
      </c>
      <c r="Q23" s="55" t="str">
        <f aca="false">IF($A23="","",IFERROR(AVERAGEIFS('Trade Log'!$AA$4:$AA$503,'Trade Log'!$D$4:$D$503,$A23),""))</f>
        <v/>
      </c>
      <c r="R23" s="53" t="str">
        <f aca="false">IF($A23="","",IFERROR(AVERAGEIFS('Trade Log'!$P$4:$P$503,'Trade Log'!$D$4:$D$503,$A23),""))</f>
        <v/>
      </c>
      <c r="S23" s="44" t="str">
        <f aca="false">IF($A23="","",IFERROR(AVERAGEIFS('Trade Log'!$AC$4:$AC$503,'Trade Log'!$D$4:$D$503,$A23),""))</f>
        <v/>
      </c>
      <c r="T23" s="55" t="str">
        <f aca="false">IF(OR($A23="",Summary!$B$13=0),"",$K23/Summary!$B$13)</f>
        <v/>
      </c>
      <c r="U23" s="41" t="str">
        <f aca="false">IF($A23="","",IFERROR(RANK($K23,$K$4:$K$153),""))</f>
        <v/>
      </c>
    </row>
    <row r="24" customFormat="false" ht="15" hidden="false" customHeight="false" outlineLevel="0" collapsed="false">
      <c r="A24" s="49"/>
      <c r="B24" s="41" t="str">
        <f aca="false">IF($A24="","",COUNTIFS('Trade Log'!$D$4:$D$503,$A24))</f>
        <v/>
      </c>
      <c r="C24" s="41" t="str">
        <f aca="false">IF($A24="","",COUNTIFS('Trade Log'!$D$4:$D$503,$A24,'Trade Log'!$E$4:$E$503,"LONG"))</f>
        <v/>
      </c>
      <c r="D24" s="41" t="str">
        <f aca="false">IF($A24="","",COUNTIFS('Trade Log'!$D$4:$D$503,$A24,'Trade Log'!$E$4:$E$503,"SHORT"))</f>
        <v/>
      </c>
      <c r="E24" s="41" t="str">
        <f aca="false">IF($A24="","",COUNTIFS('Trade Log'!$D$4:$D$503,$A24,'Trade Log'!$N$4:$N$503,"&lt;&gt;"))</f>
        <v/>
      </c>
      <c r="F24" s="40" t="str">
        <f aca="false">IF($A24="","",SUMIFS('Trade Log'!$K$4:$K$503,'Trade Log'!$D$4:$D$503,$A24))</f>
        <v/>
      </c>
      <c r="G24" s="40" t="str">
        <f aca="false">IF($A24="","",SUMIFS('Trade Log'!$Z$4:$Z$503,'Trade Log'!$D$4:$D$503,$A24,'Trade Log'!$E$4:$E$503,"LONG"))</f>
        <v/>
      </c>
      <c r="H24" s="40" t="str">
        <f aca="false">IF($A24="","",SUMIFS('Trade Log'!$Z$4:$Z$503,'Trade Log'!$D$4:$D$503,$A24,'Trade Log'!$E$4:$E$503,"SHORT"))</f>
        <v/>
      </c>
      <c r="I24" s="40" t="str">
        <f aca="false">IF($A24="","",SUMIFS('Trade Log'!$Q$4:$Q$503,'Trade Log'!$D$4:$D$503,$A24))</f>
        <v/>
      </c>
      <c r="J24" s="40" t="str">
        <f aca="false">IF($A24="","",SUMIFS('Trade Log'!$Y$4:$Y$503,'Trade Log'!$D$4:$D$503,$A24))</f>
        <v/>
      </c>
      <c r="K24" s="40" t="str">
        <f aca="false">IF($A24="","",SUMIFS('Trade Log'!$Z$4:$Z$503,'Trade Log'!$D$4:$D$503,$A24))</f>
        <v/>
      </c>
      <c r="L24" s="41" t="str">
        <f aca="false">IF($A24="","",COUNTIFS('Trade Log'!$D$4:$D$503,$A24,'Trade Log'!$Z$4:$Z$503,"&gt;0"))</f>
        <v/>
      </c>
      <c r="M24" s="55" t="str">
        <f aca="false">IF(OR($A24="",$E24=0),"",$L24/$E24)</f>
        <v/>
      </c>
      <c r="N24" s="40" t="str">
        <f aca="false">IF(OR($A24="",$E24=0),"",$K24/$E24)</f>
        <v/>
      </c>
      <c r="O24" s="40" t="str">
        <f aca="false">IF($A24="","",IFERROR(_xlfn.MAXIFS('Trade Log'!$Z$4:$Z$503,'Trade Log'!$D$4:$D$503,$A24),""))</f>
        <v/>
      </c>
      <c r="P24" s="40" t="str">
        <f aca="false">IF($A24="","",IFERROR(_xlfn.MINIFS('Trade Log'!$Z$4:$Z$503,'Trade Log'!$D$4:$D$503,$A24),""))</f>
        <v/>
      </c>
      <c r="Q24" s="55" t="str">
        <f aca="false">IF($A24="","",IFERROR(AVERAGEIFS('Trade Log'!$AA$4:$AA$503,'Trade Log'!$D$4:$D$503,$A24),""))</f>
        <v/>
      </c>
      <c r="R24" s="53" t="str">
        <f aca="false">IF($A24="","",IFERROR(AVERAGEIFS('Trade Log'!$P$4:$P$503,'Trade Log'!$D$4:$D$503,$A24),""))</f>
        <v/>
      </c>
      <c r="S24" s="44" t="str">
        <f aca="false">IF($A24="","",IFERROR(AVERAGEIFS('Trade Log'!$AC$4:$AC$503,'Trade Log'!$D$4:$D$503,$A24),""))</f>
        <v/>
      </c>
      <c r="T24" s="55" t="str">
        <f aca="false">IF(OR($A24="",Summary!$B$13=0),"",$K24/Summary!$B$13)</f>
        <v/>
      </c>
      <c r="U24" s="41" t="str">
        <f aca="false">IF($A24="","",IFERROR(RANK($K24,$K$4:$K$153),""))</f>
        <v/>
      </c>
    </row>
    <row r="25" customFormat="false" ht="15" hidden="false" customHeight="false" outlineLevel="0" collapsed="false">
      <c r="A25" s="49"/>
      <c r="B25" s="41" t="str">
        <f aca="false">IF($A25="","",COUNTIFS('Trade Log'!$D$4:$D$503,$A25))</f>
        <v/>
      </c>
      <c r="C25" s="41" t="str">
        <f aca="false">IF($A25="","",COUNTIFS('Trade Log'!$D$4:$D$503,$A25,'Trade Log'!$E$4:$E$503,"LONG"))</f>
        <v/>
      </c>
      <c r="D25" s="41" t="str">
        <f aca="false">IF($A25="","",COUNTIFS('Trade Log'!$D$4:$D$503,$A25,'Trade Log'!$E$4:$E$503,"SHORT"))</f>
        <v/>
      </c>
      <c r="E25" s="41" t="str">
        <f aca="false">IF($A25="","",COUNTIFS('Trade Log'!$D$4:$D$503,$A25,'Trade Log'!$N$4:$N$503,"&lt;&gt;"))</f>
        <v/>
      </c>
      <c r="F25" s="40" t="str">
        <f aca="false">IF($A25="","",SUMIFS('Trade Log'!$K$4:$K$503,'Trade Log'!$D$4:$D$503,$A25))</f>
        <v/>
      </c>
      <c r="G25" s="40" t="str">
        <f aca="false">IF($A25="","",SUMIFS('Trade Log'!$Z$4:$Z$503,'Trade Log'!$D$4:$D$503,$A25,'Trade Log'!$E$4:$E$503,"LONG"))</f>
        <v/>
      </c>
      <c r="H25" s="40" t="str">
        <f aca="false">IF($A25="","",SUMIFS('Trade Log'!$Z$4:$Z$503,'Trade Log'!$D$4:$D$503,$A25,'Trade Log'!$E$4:$E$503,"SHORT"))</f>
        <v/>
      </c>
      <c r="I25" s="40" t="str">
        <f aca="false">IF($A25="","",SUMIFS('Trade Log'!$Q$4:$Q$503,'Trade Log'!$D$4:$D$503,$A25))</f>
        <v/>
      </c>
      <c r="J25" s="40" t="str">
        <f aca="false">IF($A25="","",SUMIFS('Trade Log'!$Y$4:$Y$503,'Trade Log'!$D$4:$D$503,$A25))</f>
        <v/>
      </c>
      <c r="K25" s="40" t="str">
        <f aca="false">IF($A25="","",SUMIFS('Trade Log'!$Z$4:$Z$503,'Trade Log'!$D$4:$D$503,$A25))</f>
        <v/>
      </c>
      <c r="L25" s="41" t="str">
        <f aca="false">IF($A25="","",COUNTIFS('Trade Log'!$D$4:$D$503,$A25,'Trade Log'!$Z$4:$Z$503,"&gt;0"))</f>
        <v/>
      </c>
      <c r="M25" s="55" t="str">
        <f aca="false">IF(OR($A25="",$E25=0),"",$L25/$E25)</f>
        <v/>
      </c>
      <c r="N25" s="40" t="str">
        <f aca="false">IF(OR($A25="",$E25=0),"",$K25/$E25)</f>
        <v/>
      </c>
      <c r="O25" s="40" t="str">
        <f aca="false">IF($A25="","",IFERROR(_xlfn.MAXIFS('Trade Log'!$Z$4:$Z$503,'Trade Log'!$D$4:$D$503,$A25),""))</f>
        <v/>
      </c>
      <c r="P25" s="40" t="str">
        <f aca="false">IF($A25="","",IFERROR(_xlfn.MINIFS('Trade Log'!$Z$4:$Z$503,'Trade Log'!$D$4:$D$503,$A25),""))</f>
        <v/>
      </c>
      <c r="Q25" s="55" t="str">
        <f aca="false">IF($A25="","",IFERROR(AVERAGEIFS('Trade Log'!$AA$4:$AA$503,'Trade Log'!$D$4:$D$503,$A25),""))</f>
        <v/>
      </c>
      <c r="R25" s="53" t="str">
        <f aca="false">IF($A25="","",IFERROR(AVERAGEIFS('Trade Log'!$P$4:$P$503,'Trade Log'!$D$4:$D$503,$A25),""))</f>
        <v/>
      </c>
      <c r="S25" s="44" t="str">
        <f aca="false">IF($A25="","",IFERROR(AVERAGEIFS('Trade Log'!$AC$4:$AC$503,'Trade Log'!$D$4:$D$503,$A25),""))</f>
        <v/>
      </c>
      <c r="T25" s="55" t="str">
        <f aca="false">IF(OR($A25="",Summary!$B$13=0),"",$K25/Summary!$B$13)</f>
        <v/>
      </c>
      <c r="U25" s="41" t="str">
        <f aca="false">IF($A25="","",IFERROR(RANK($K25,$K$4:$K$153),""))</f>
        <v/>
      </c>
    </row>
    <row r="26" customFormat="false" ht="15" hidden="false" customHeight="false" outlineLevel="0" collapsed="false">
      <c r="A26" s="49"/>
      <c r="B26" s="41" t="str">
        <f aca="false">IF($A26="","",COUNTIFS('Trade Log'!$D$4:$D$503,$A26))</f>
        <v/>
      </c>
      <c r="C26" s="41" t="str">
        <f aca="false">IF($A26="","",COUNTIFS('Trade Log'!$D$4:$D$503,$A26,'Trade Log'!$E$4:$E$503,"LONG"))</f>
        <v/>
      </c>
      <c r="D26" s="41" t="str">
        <f aca="false">IF($A26="","",COUNTIFS('Trade Log'!$D$4:$D$503,$A26,'Trade Log'!$E$4:$E$503,"SHORT"))</f>
        <v/>
      </c>
      <c r="E26" s="41" t="str">
        <f aca="false">IF($A26="","",COUNTIFS('Trade Log'!$D$4:$D$503,$A26,'Trade Log'!$N$4:$N$503,"&lt;&gt;"))</f>
        <v/>
      </c>
      <c r="F26" s="40" t="str">
        <f aca="false">IF($A26="","",SUMIFS('Trade Log'!$K$4:$K$503,'Trade Log'!$D$4:$D$503,$A26))</f>
        <v/>
      </c>
      <c r="G26" s="40" t="str">
        <f aca="false">IF($A26="","",SUMIFS('Trade Log'!$Z$4:$Z$503,'Trade Log'!$D$4:$D$503,$A26,'Trade Log'!$E$4:$E$503,"LONG"))</f>
        <v/>
      </c>
      <c r="H26" s="40" t="str">
        <f aca="false">IF($A26="","",SUMIFS('Trade Log'!$Z$4:$Z$503,'Trade Log'!$D$4:$D$503,$A26,'Trade Log'!$E$4:$E$503,"SHORT"))</f>
        <v/>
      </c>
      <c r="I26" s="40" t="str">
        <f aca="false">IF($A26="","",SUMIFS('Trade Log'!$Q$4:$Q$503,'Trade Log'!$D$4:$D$503,$A26))</f>
        <v/>
      </c>
      <c r="J26" s="40" t="str">
        <f aca="false">IF($A26="","",SUMIFS('Trade Log'!$Y$4:$Y$503,'Trade Log'!$D$4:$D$503,$A26))</f>
        <v/>
      </c>
      <c r="K26" s="40" t="str">
        <f aca="false">IF($A26="","",SUMIFS('Trade Log'!$Z$4:$Z$503,'Trade Log'!$D$4:$D$503,$A26))</f>
        <v/>
      </c>
      <c r="L26" s="41" t="str">
        <f aca="false">IF($A26="","",COUNTIFS('Trade Log'!$D$4:$D$503,$A26,'Trade Log'!$Z$4:$Z$503,"&gt;0"))</f>
        <v/>
      </c>
      <c r="M26" s="55" t="str">
        <f aca="false">IF(OR($A26="",$E26=0),"",$L26/$E26)</f>
        <v/>
      </c>
      <c r="N26" s="40" t="str">
        <f aca="false">IF(OR($A26="",$E26=0),"",$K26/$E26)</f>
        <v/>
      </c>
      <c r="O26" s="40" t="str">
        <f aca="false">IF($A26="","",IFERROR(_xlfn.MAXIFS('Trade Log'!$Z$4:$Z$503,'Trade Log'!$D$4:$D$503,$A26),""))</f>
        <v/>
      </c>
      <c r="P26" s="40" t="str">
        <f aca="false">IF($A26="","",IFERROR(_xlfn.MINIFS('Trade Log'!$Z$4:$Z$503,'Trade Log'!$D$4:$D$503,$A26),""))</f>
        <v/>
      </c>
      <c r="Q26" s="55" t="str">
        <f aca="false">IF($A26="","",IFERROR(AVERAGEIFS('Trade Log'!$AA$4:$AA$503,'Trade Log'!$D$4:$D$503,$A26),""))</f>
        <v/>
      </c>
      <c r="R26" s="53" t="str">
        <f aca="false">IF($A26="","",IFERROR(AVERAGEIFS('Trade Log'!$P$4:$P$503,'Trade Log'!$D$4:$D$503,$A26),""))</f>
        <v/>
      </c>
      <c r="S26" s="44" t="str">
        <f aca="false">IF($A26="","",IFERROR(AVERAGEIFS('Trade Log'!$AC$4:$AC$503,'Trade Log'!$D$4:$D$503,$A26),""))</f>
        <v/>
      </c>
      <c r="T26" s="55" t="str">
        <f aca="false">IF(OR($A26="",Summary!$B$13=0),"",$K26/Summary!$B$13)</f>
        <v/>
      </c>
      <c r="U26" s="41" t="str">
        <f aca="false">IF($A26="","",IFERROR(RANK($K26,$K$4:$K$153),""))</f>
        <v/>
      </c>
    </row>
    <row r="27" customFormat="false" ht="15" hidden="false" customHeight="false" outlineLevel="0" collapsed="false">
      <c r="A27" s="49"/>
      <c r="B27" s="41" t="str">
        <f aca="false">IF($A27="","",COUNTIFS('Trade Log'!$D$4:$D$503,$A27))</f>
        <v/>
      </c>
      <c r="C27" s="41" t="str">
        <f aca="false">IF($A27="","",COUNTIFS('Trade Log'!$D$4:$D$503,$A27,'Trade Log'!$E$4:$E$503,"LONG"))</f>
        <v/>
      </c>
      <c r="D27" s="41" t="str">
        <f aca="false">IF($A27="","",COUNTIFS('Trade Log'!$D$4:$D$503,$A27,'Trade Log'!$E$4:$E$503,"SHORT"))</f>
        <v/>
      </c>
      <c r="E27" s="41" t="str">
        <f aca="false">IF($A27="","",COUNTIFS('Trade Log'!$D$4:$D$503,$A27,'Trade Log'!$N$4:$N$503,"&lt;&gt;"))</f>
        <v/>
      </c>
      <c r="F27" s="40" t="str">
        <f aca="false">IF($A27="","",SUMIFS('Trade Log'!$K$4:$K$503,'Trade Log'!$D$4:$D$503,$A27))</f>
        <v/>
      </c>
      <c r="G27" s="40" t="str">
        <f aca="false">IF($A27="","",SUMIFS('Trade Log'!$Z$4:$Z$503,'Trade Log'!$D$4:$D$503,$A27,'Trade Log'!$E$4:$E$503,"LONG"))</f>
        <v/>
      </c>
      <c r="H27" s="40" t="str">
        <f aca="false">IF($A27="","",SUMIFS('Trade Log'!$Z$4:$Z$503,'Trade Log'!$D$4:$D$503,$A27,'Trade Log'!$E$4:$E$503,"SHORT"))</f>
        <v/>
      </c>
      <c r="I27" s="40" t="str">
        <f aca="false">IF($A27="","",SUMIFS('Trade Log'!$Q$4:$Q$503,'Trade Log'!$D$4:$D$503,$A27))</f>
        <v/>
      </c>
      <c r="J27" s="40" t="str">
        <f aca="false">IF($A27="","",SUMIFS('Trade Log'!$Y$4:$Y$503,'Trade Log'!$D$4:$D$503,$A27))</f>
        <v/>
      </c>
      <c r="K27" s="40" t="str">
        <f aca="false">IF($A27="","",SUMIFS('Trade Log'!$Z$4:$Z$503,'Trade Log'!$D$4:$D$503,$A27))</f>
        <v/>
      </c>
      <c r="L27" s="41" t="str">
        <f aca="false">IF($A27="","",COUNTIFS('Trade Log'!$D$4:$D$503,$A27,'Trade Log'!$Z$4:$Z$503,"&gt;0"))</f>
        <v/>
      </c>
      <c r="M27" s="55" t="str">
        <f aca="false">IF(OR($A27="",$E27=0),"",$L27/$E27)</f>
        <v/>
      </c>
      <c r="N27" s="40" t="str">
        <f aca="false">IF(OR($A27="",$E27=0),"",$K27/$E27)</f>
        <v/>
      </c>
      <c r="O27" s="40" t="str">
        <f aca="false">IF($A27="","",IFERROR(_xlfn.MAXIFS('Trade Log'!$Z$4:$Z$503,'Trade Log'!$D$4:$D$503,$A27),""))</f>
        <v/>
      </c>
      <c r="P27" s="40" t="str">
        <f aca="false">IF($A27="","",IFERROR(_xlfn.MINIFS('Trade Log'!$Z$4:$Z$503,'Trade Log'!$D$4:$D$503,$A27),""))</f>
        <v/>
      </c>
      <c r="Q27" s="55" t="str">
        <f aca="false">IF($A27="","",IFERROR(AVERAGEIFS('Trade Log'!$AA$4:$AA$503,'Trade Log'!$D$4:$D$503,$A27),""))</f>
        <v/>
      </c>
      <c r="R27" s="53" t="str">
        <f aca="false">IF($A27="","",IFERROR(AVERAGEIFS('Trade Log'!$P$4:$P$503,'Trade Log'!$D$4:$D$503,$A27),""))</f>
        <v/>
      </c>
      <c r="S27" s="44" t="str">
        <f aca="false">IF($A27="","",IFERROR(AVERAGEIFS('Trade Log'!$AC$4:$AC$503,'Trade Log'!$D$4:$D$503,$A27),""))</f>
        <v/>
      </c>
      <c r="T27" s="55" t="str">
        <f aca="false">IF(OR($A27="",Summary!$B$13=0),"",$K27/Summary!$B$13)</f>
        <v/>
      </c>
      <c r="U27" s="41" t="str">
        <f aca="false">IF($A27="","",IFERROR(RANK($K27,$K$4:$K$153),""))</f>
        <v/>
      </c>
    </row>
    <row r="28" customFormat="false" ht="15" hidden="false" customHeight="false" outlineLevel="0" collapsed="false">
      <c r="A28" s="49"/>
      <c r="B28" s="41" t="str">
        <f aca="false">IF($A28="","",COUNTIFS('Trade Log'!$D$4:$D$503,$A28))</f>
        <v/>
      </c>
      <c r="C28" s="41" t="str">
        <f aca="false">IF($A28="","",COUNTIFS('Trade Log'!$D$4:$D$503,$A28,'Trade Log'!$E$4:$E$503,"LONG"))</f>
        <v/>
      </c>
      <c r="D28" s="41" t="str">
        <f aca="false">IF($A28="","",COUNTIFS('Trade Log'!$D$4:$D$503,$A28,'Trade Log'!$E$4:$E$503,"SHORT"))</f>
        <v/>
      </c>
      <c r="E28" s="41" t="str">
        <f aca="false">IF($A28="","",COUNTIFS('Trade Log'!$D$4:$D$503,$A28,'Trade Log'!$N$4:$N$503,"&lt;&gt;"))</f>
        <v/>
      </c>
      <c r="F28" s="40" t="str">
        <f aca="false">IF($A28="","",SUMIFS('Trade Log'!$K$4:$K$503,'Trade Log'!$D$4:$D$503,$A28))</f>
        <v/>
      </c>
      <c r="G28" s="40" t="str">
        <f aca="false">IF($A28="","",SUMIFS('Trade Log'!$Z$4:$Z$503,'Trade Log'!$D$4:$D$503,$A28,'Trade Log'!$E$4:$E$503,"LONG"))</f>
        <v/>
      </c>
      <c r="H28" s="40" t="str">
        <f aca="false">IF($A28="","",SUMIFS('Trade Log'!$Z$4:$Z$503,'Trade Log'!$D$4:$D$503,$A28,'Trade Log'!$E$4:$E$503,"SHORT"))</f>
        <v/>
      </c>
      <c r="I28" s="40" t="str">
        <f aca="false">IF($A28="","",SUMIFS('Trade Log'!$Q$4:$Q$503,'Trade Log'!$D$4:$D$503,$A28))</f>
        <v/>
      </c>
      <c r="J28" s="40" t="str">
        <f aca="false">IF($A28="","",SUMIFS('Trade Log'!$Y$4:$Y$503,'Trade Log'!$D$4:$D$503,$A28))</f>
        <v/>
      </c>
      <c r="K28" s="40" t="str">
        <f aca="false">IF($A28="","",SUMIFS('Trade Log'!$Z$4:$Z$503,'Trade Log'!$D$4:$D$503,$A28))</f>
        <v/>
      </c>
      <c r="L28" s="41" t="str">
        <f aca="false">IF($A28="","",COUNTIFS('Trade Log'!$D$4:$D$503,$A28,'Trade Log'!$Z$4:$Z$503,"&gt;0"))</f>
        <v/>
      </c>
      <c r="M28" s="55" t="str">
        <f aca="false">IF(OR($A28="",$E28=0),"",$L28/$E28)</f>
        <v/>
      </c>
      <c r="N28" s="40" t="str">
        <f aca="false">IF(OR($A28="",$E28=0),"",$K28/$E28)</f>
        <v/>
      </c>
      <c r="O28" s="40" t="str">
        <f aca="false">IF($A28="","",IFERROR(_xlfn.MAXIFS('Trade Log'!$Z$4:$Z$503,'Trade Log'!$D$4:$D$503,$A28),""))</f>
        <v/>
      </c>
      <c r="P28" s="40" t="str">
        <f aca="false">IF($A28="","",IFERROR(_xlfn.MINIFS('Trade Log'!$Z$4:$Z$503,'Trade Log'!$D$4:$D$503,$A28),""))</f>
        <v/>
      </c>
      <c r="Q28" s="55" t="str">
        <f aca="false">IF($A28="","",IFERROR(AVERAGEIFS('Trade Log'!$AA$4:$AA$503,'Trade Log'!$D$4:$D$503,$A28),""))</f>
        <v/>
      </c>
      <c r="R28" s="53" t="str">
        <f aca="false">IF($A28="","",IFERROR(AVERAGEIFS('Trade Log'!$P$4:$P$503,'Trade Log'!$D$4:$D$503,$A28),""))</f>
        <v/>
      </c>
      <c r="S28" s="44" t="str">
        <f aca="false">IF($A28="","",IFERROR(AVERAGEIFS('Trade Log'!$AC$4:$AC$503,'Trade Log'!$D$4:$D$503,$A28),""))</f>
        <v/>
      </c>
      <c r="T28" s="55" t="str">
        <f aca="false">IF(OR($A28="",Summary!$B$13=0),"",$K28/Summary!$B$13)</f>
        <v/>
      </c>
      <c r="U28" s="41" t="str">
        <f aca="false">IF($A28="","",IFERROR(RANK($K28,$K$4:$K$153),""))</f>
        <v/>
      </c>
    </row>
    <row r="29" customFormat="false" ht="15" hidden="false" customHeight="false" outlineLevel="0" collapsed="false">
      <c r="A29" s="49"/>
      <c r="B29" s="41" t="str">
        <f aca="false">IF($A29="","",COUNTIFS('Trade Log'!$D$4:$D$503,$A29))</f>
        <v/>
      </c>
      <c r="C29" s="41" t="str">
        <f aca="false">IF($A29="","",COUNTIFS('Trade Log'!$D$4:$D$503,$A29,'Trade Log'!$E$4:$E$503,"LONG"))</f>
        <v/>
      </c>
      <c r="D29" s="41" t="str">
        <f aca="false">IF($A29="","",COUNTIFS('Trade Log'!$D$4:$D$503,$A29,'Trade Log'!$E$4:$E$503,"SHORT"))</f>
        <v/>
      </c>
      <c r="E29" s="41" t="str">
        <f aca="false">IF($A29="","",COUNTIFS('Trade Log'!$D$4:$D$503,$A29,'Trade Log'!$N$4:$N$503,"&lt;&gt;"))</f>
        <v/>
      </c>
      <c r="F29" s="40" t="str">
        <f aca="false">IF($A29="","",SUMIFS('Trade Log'!$K$4:$K$503,'Trade Log'!$D$4:$D$503,$A29))</f>
        <v/>
      </c>
      <c r="G29" s="40" t="str">
        <f aca="false">IF($A29="","",SUMIFS('Trade Log'!$Z$4:$Z$503,'Trade Log'!$D$4:$D$503,$A29,'Trade Log'!$E$4:$E$503,"LONG"))</f>
        <v/>
      </c>
      <c r="H29" s="40" t="str">
        <f aca="false">IF($A29="","",SUMIFS('Trade Log'!$Z$4:$Z$503,'Trade Log'!$D$4:$D$503,$A29,'Trade Log'!$E$4:$E$503,"SHORT"))</f>
        <v/>
      </c>
      <c r="I29" s="40" t="str">
        <f aca="false">IF($A29="","",SUMIFS('Trade Log'!$Q$4:$Q$503,'Trade Log'!$D$4:$D$503,$A29))</f>
        <v/>
      </c>
      <c r="J29" s="40" t="str">
        <f aca="false">IF($A29="","",SUMIFS('Trade Log'!$Y$4:$Y$503,'Trade Log'!$D$4:$D$503,$A29))</f>
        <v/>
      </c>
      <c r="K29" s="40" t="str">
        <f aca="false">IF($A29="","",SUMIFS('Trade Log'!$Z$4:$Z$503,'Trade Log'!$D$4:$D$503,$A29))</f>
        <v/>
      </c>
      <c r="L29" s="41" t="str">
        <f aca="false">IF($A29="","",COUNTIFS('Trade Log'!$D$4:$D$503,$A29,'Trade Log'!$Z$4:$Z$503,"&gt;0"))</f>
        <v/>
      </c>
      <c r="M29" s="55" t="str">
        <f aca="false">IF(OR($A29="",$E29=0),"",$L29/$E29)</f>
        <v/>
      </c>
      <c r="N29" s="40" t="str">
        <f aca="false">IF(OR($A29="",$E29=0),"",$K29/$E29)</f>
        <v/>
      </c>
      <c r="O29" s="40" t="str">
        <f aca="false">IF($A29="","",IFERROR(_xlfn.MAXIFS('Trade Log'!$Z$4:$Z$503,'Trade Log'!$D$4:$D$503,$A29),""))</f>
        <v/>
      </c>
      <c r="P29" s="40" t="str">
        <f aca="false">IF($A29="","",IFERROR(_xlfn.MINIFS('Trade Log'!$Z$4:$Z$503,'Trade Log'!$D$4:$D$503,$A29),""))</f>
        <v/>
      </c>
      <c r="Q29" s="55" t="str">
        <f aca="false">IF($A29="","",IFERROR(AVERAGEIFS('Trade Log'!$AA$4:$AA$503,'Trade Log'!$D$4:$D$503,$A29),""))</f>
        <v/>
      </c>
      <c r="R29" s="53" t="str">
        <f aca="false">IF($A29="","",IFERROR(AVERAGEIFS('Trade Log'!$P$4:$P$503,'Trade Log'!$D$4:$D$503,$A29),""))</f>
        <v/>
      </c>
      <c r="S29" s="44" t="str">
        <f aca="false">IF($A29="","",IFERROR(AVERAGEIFS('Trade Log'!$AC$4:$AC$503,'Trade Log'!$D$4:$D$503,$A29),""))</f>
        <v/>
      </c>
      <c r="T29" s="55" t="str">
        <f aca="false">IF(OR($A29="",Summary!$B$13=0),"",$K29/Summary!$B$13)</f>
        <v/>
      </c>
      <c r="U29" s="41" t="str">
        <f aca="false">IF($A29="","",IFERROR(RANK($K29,$K$4:$K$153),""))</f>
        <v/>
      </c>
    </row>
    <row r="30" customFormat="false" ht="15" hidden="false" customHeight="false" outlineLevel="0" collapsed="false">
      <c r="A30" s="49"/>
      <c r="B30" s="41" t="str">
        <f aca="false">IF($A30="","",COUNTIFS('Trade Log'!$D$4:$D$503,$A30))</f>
        <v/>
      </c>
      <c r="C30" s="41" t="str">
        <f aca="false">IF($A30="","",COUNTIFS('Trade Log'!$D$4:$D$503,$A30,'Trade Log'!$E$4:$E$503,"LONG"))</f>
        <v/>
      </c>
      <c r="D30" s="41" t="str">
        <f aca="false">IF($A30="","",COUNTIFS('Trade Log'!$D$4:$D$503,$A30,'Trade Log'!$E$4:$E$503,"SHORT"))</f>
        <v/>
      </c>
      <c r="E30" s="41" t="str">
        <f aca="false">IF($A30="","",COUNTIFS('Trade Log'!$D$4:$D$503,$A30,'Trade Log'!$N$4:$N$503,"&lt;&gt;"))</f>
        <v/>
      </c>
      <c r="F30" s="40" t="str">
        <f aca="false">IF($A30="","",SUMIFS('Trade Log'!$K$4:$K$503,'Trade Log'!$D$4:$D$503,$A30))</f>
        <v/>
      </c>
      <c r="G30" s="40" t="str">
        <f aca="false">IF($A30="","",SUMIFS('Trade Log'!$Z$4:$Z$503,'Trade Log'!$D$4:$D$503,$A30,'Trade Log'!$E$4:$E$503,"LONG"))</f>
        <v/>
      </c>
      <c r="H30" s="40" t="str">
        <f aca="false">IF($A30="","",SUMIFS('Trade Log'!$Z$4:$Z$503,'Trade Log'!$D$4:$D$503,$A30,'Trade Log'!$E$4:$E$503,"SHORT"))</f>
        <v/>
      </c>
      <c r="I30" s="40" t="str">
        <f aca="false">IF($A30="","",SUMIFS('Trade Log'!$Q$4:$Q$503,'Trade Log'!$D$4:$D$503,$A30))</f>
        <v/>
      </c>
      <c r="J30" s="40" t="str">
        <f aca="false">IF($A30="","",SUMIFS('Trade Log'!$Y$4:$Y$503,'Trade Log'!$D$4:$D$503,$A30))</f>
        <v/>
      </c>
      <c r="K30" s="40" t="str">
        <f aca="false">IF($A30="","",SUMIFS('Trade Log'!$Z$4:$Z$503,'Trade Log'!$D$4:$D$503,$A30))</f>
        <v/>
      </c>
      <c r="L30" s="41" t="str">
        <f aca="false">IF($A30="","",COUNTIFS('Trade Log'!$D$4:$D$503,$A30,'Trade Log'!$Z$4:$Z$503,"&gt;0"))</f>
        <v/>
      </c>
      <c r="M30" s="55" t="str">
        <f aca="false">IF(OR($A30="",$E30=0),"",$L30/$E30)</f>
        <v/>
      </c>
      <c r="N30" s="40" t="str">
        <f aca="false">IF(OR($A30="",$E30=0),"",$K30/$E30)</f>
        <v/>
      </c>
      <c r="O30" s="40" t="str">
        <f aca="false">IF($A30="","",IFERROR(_xlfn.MAXIFS('Trade Log'!$Z$4:$Z$503,'Trade Log'!$D$4:$D$503,$A30),""))</f>
        <v/>
      </c>
      <c r="P30" s="40" t="str">
        <f aca="false">IF($A30="","",IFERROR(_xlfn.MINIFS('Trade Log'!$Z$4:$Z$503,'Trade Log'!$D$4:$D$503,$A30),""))</f>
        <v/>
      </c>
      <c r="Q30" s="55" t="str">
        <f aca="false">IF($A30="","",IFERROR(AVERAGEIFS('Trade Log'!$AA$4:$AA$503,'Trade Log'!$D$4:$D$503,$A30),""))</f>
        <v/>
      </c>
      <c r="R30" s="53" t="str">
        <f aca="false">IF($A30="","",IFERROR(AVERAGEIFS('Trade Log'!$P$4:$P$503,'Trade Log'!$D$4:$D$503,$A30),""))</f>
        <v/>
      </c>
      <c r="S30" s="44" t="str">
        <f aca="false">IF($A30="","",IFERROR(AVERAGEIFS('Trade Log'!$AC$4:$AC$503,'Trade Log'!$D$4:$D$503,$A30),""))</f>
        <v/>
      </c>
      <c r="T30" s="55" t="str">
        <f aca="false">IF(OR($A30="",Summary!$B$13=0),"",$K30/Summary!$B$13)</f>
        <v/>
      </c>
      <c r="U30" s="41" t="str">
        <f aca="false">IF($A30="","",IFERROR(RANK($K30,$K$4:$K$153),""))</f>
        <v/>
      </c>
    </row>
    <row r="31" customFormat="false" ht="15" hidden="false" customHeight="false" outlineLevel="0" collapsed="false">
      <c r="A31" s="49"/>
      <c r="B31" s="41" t="str">
        <f aca="false">IF($A31="","",COUNTIFS('Trade Log'!$D$4:$D$503,$A31))</f>
        <v/>
      </c>
      <c r="C31" s="41" t="str">
        <f aca="false">IF($A31="","",COUNTIFS('Trade Log'!$D$4:$D$503,$A31,'Trade Log'!$E$4:$E$503,"LONG"))</f>
        <v/>
      </c>
      <c r="D31" s="41" t="str">
        <f aca="false">IF($A31="","",COUNTIFS('Trade Log'!$D$4:$D$503,$A31,'Trade Log'!$E$4:$E$503,"SHORT"))</f>
        <v/>
      </c>
      <c r="E31" s="41" t="str">
        <f aca="false">IF($A31="","",COUNTIFS('Trade Log'!$D$4:$D$503,$A31,'Trade Log'!$N$4:$N$503,"&lt;&gt;"))</f>
        <v/>
      </c>
      <c r="F31" s="40" t="str">
        <f aca="false">IF($A31="","",SUMIFS('Trade Log'!$K$4:$K$503,'Trade Log'!$D$4:$D$503,$A31))</f>
        <v/>
      </c>
      <c r="G31" s="40" t="str">
        <f aca="false">IF($A31="","",SUMIFS('Trade Log'!$Z$4:$Z$503,'Trade Log'!$D$4:$D$503,$A31,'Trade Log'!$E$4:$E$503,"LONG"))</f>
        <v/>
      </c>
      <c r="H31" s="40" t="str">
        <f aca="false">IF($A31="","",SUMIFS('Trade Log'!$Z$4:$Z$503,'Trade Log'!$D$4:$D$503,$A31,'Trade Log'!$E$4:$E$503,"SHORT"))</f>
        <v/>
      </c>
      <c r="I31" s="40" t="str">
        <f aca="false">IF($A31="","",SUMIFS('Trade Log'!$Q$4:$Q$503,'Trade Log'!$D$4:$D$503,$A31))</f>
        <v/>
      </c>
      <c r="J31" s="40" t="str">
        <f aca="false">IF($A31="","",SUMIFS('Trade Log'!$Y$4:$Y$503,'Trade Log'!$D$4:$D$503,$A31))</f>
        <v/>
      </c>
      <c r="K31" s="40" t="str">
        <f aca="false">IF($A31="","",SUMIFS('Trade Log'!$Z$4:$Z$503,'Trade Log'!$D$4:$D$503,$A31))</f>
        <v/>
      </c>
      <c r="L31" s="41" t="str">
        <f aca="false">IF($A31="","",COUNTIFS('Trade Log'!$D$4:$D$503,$A31,'Trade Log'!$Z$4:$Z$503,"&gt;0"))</f>
        <v/>
      </c>
      <c r="M31" s="55" t="str">
        <f aca="false">IF(OR($A31="",$E31=0),"",$L31/$E31)</f>
        <v/>
      </c>
      <c r="N31" s="40" t="str">
        <f aca="false">IF(OR($A31="",$E31=0),"",$K31/$E31)</f>
        <v/>
      </c>
      <c r="O31" s="40" t="str">
        <f aca="false">IF($A31="","",IFERROR(_xlfn.MAXIFS('Trade Log'!$Z$4:$Z$503,'Trade Log'!$D$4:$D$503,$A31),""))</f>
        <v/>
      </c>
      <c r="P31" s="40" t="str">
        <f aca="false">IF($A31="","",IFERROR(_xlfn.MINIFS('Trade Log'!$Z$4:$Z$503,'Trade Log'!$D$4:$D$503,$A31),""))</f>
        <v/>
      </c>
      <c r="Q31" s="55" t="str">
        <f aca="false">IF($A31="","",IFERROR(AVERAGEIFS('Trade Log'!$AA$4:$AA$503,'Trade Log'!$D$4:$D$503,$A31),""))</f>
        <v/>
      </c>
      <c r="R31" s="53" t="str">
        <f aca="false">IF($A31="","",IFERROR(AVERAGEIFS('Trade Log'!$P$4:$P$503,'Trade Log'!$D$4:$D$503,$A31),""))</f>
        <v/>
      </c>
      <c r="S31" s="44" t="str">
        <f aca="false">IF($A31="","",IFERROR(AVERAGEIFS('Trade Log'!$AC$4:$AC$503,'Trade Log'!$D$4:$D$503,$A31),""))</f>
        <v/>
      </c>
      <c r="T31" s="55" t="str">
        <f aca="false">IF(OR($A31="",Summary!$B$13=0),"",$K31/Summary!$B$13)</f>
        <v/>
      </c>
      <c r="U31" s="41" t="str">
        <f aca="false">IF($A31="","",IFERROR(RANK($K31,$K$4:$K$153),""))</f>
        <v/>
      </c>
    </row>
    <row r="32" customFormat="false" ht="15" hidden="false" customHeight="false" outlineLevel="0" collapsed="false">
      <c r="A32" s="49"/>
      <c r="B32" s="41" t="str">
        <f aca="false">IF($A32="","",COUNTIFS('Trade Log'!$D$4:$D$503,$A32))</f>
        <v/>
      </c>
      <c r="C32" s="41" t="str">
        <f aca="false">IF($A32="","",COUNTIFS('Trade Log'!$D$4:$D$503,$A32,'Trade Log'!$E$4:$E$503,"LONG"))</f>
        <v/>
      </c>
      <c r="D32" s="41" t="str">
        <f aca="false">IF($A32="","",COUNTIFS('Trade Log'!$D$4:$D$503,$A32,'Trade Log'!$E$4:$E$503,"SHORT"))</f>
        <v/>
      </c>
      <c r="E32" s="41" t="str">
        <f aca="false">IF($A32="","",COUNTIFS('Trade Log'!$D$4:$D$503,$A32,'Trade Log'!$N$4:$N$503,"&lt;&gt;"))</f>
        <v/>
      </c>
      <c r="F32" s="40" t="str">
        <f aca="false">IF($A32="","",SUMIFS('Trade Log'!$K$4:$K$503,'Trade Log'!$D$4:$D$503,$A32))</f>
        <v/>
      </c>
      <c r="G32" s="40" t="str">
        <f aca="false">IF($A32="","",SUMIFS('Trade Log'!$Z$4:$Z$503,'Trade Log'!$D$4:$D$503,$A32,'Trade Log'!$E$4:$E$503,"LONG"))</f>
        <v/>
      </c>
      <c r="H32" s="40" t="str">
        <f aca="false">IF($A32="","",SUMIFS('Trade Log'!$Z$4:$Z$503,'Trade Log'!$D$4:$D$503,$A32,'Trade Log'!$E$4:$E$503,"SHORT"))</f>
        <v/>
      </c>
      <c r="I32" s="40" t="str">
        <f aca="false">IF($A32="","",SUMIFS('Trade Log'!$Q$4:$Q$503,'Trade Log'!$D$4:$D$503,$A32))</f>
        <v/>
      </c>
      <c r="J32" s="40" t="str">
        <f aca="false">IF($A32="","",SUMIFS('Trade Log'!$Y$4:$Y$503,'Trade Log'!$D$4:$D$503,$A32))</f>
        <v/>
      </c>
      <c r="K32" s="40" t="str">
        <f aca="false">IF($A32="","",SUMIFS('Trade Log'!$Z$4:$Z$503,'Trade Log'!$D$4:$D$503,$A32))</f>
        <v/>
      </c>
      <c r="L32" s="41" t="str">
        <f aca="false">IF($A32="","",COUNTIFS('Trade Log'!$D$4:$D$503,$A32,'Trade Log'!$Z$4:$Z$503,"&gt;0"))</f>
        <v/>
      </c>
      <c r="M32" s="55" t="str">
        <f aca="false">IF(OR($A32="",$E32=0),"",$L32/$E32)</f>
        <v/>
      </c>
      <c r="N32" s="40" t="str">
        <f aca="false">IF(OR($A32="",$E32=0),"",$K32/$E32)</f>
        <v/>
      </c>
      <c r="O32" s="40" t="str">
        <f aca="false">IF($A32="","",IFERROR(_xlfn.MAXIFS('Trade Log'!$Z$4:$Z$503,'Trade Log'!$D$4:$D$503,$A32),""))</f>
        <v/>
      </c>
      <c r="P32" s="40" t="str">
        <f aca="false">IF($A32="","",IFERROR(_xlfn.MINIFS('Trade Log'!$Z$4:$Z$503,'Trade Log'!$D$4:$D$503,$A32),""))</f>
        <v/>
      </c>
      <c r="Q32" s="55" t="str">
        <f aca="false">IF($A32="","",IFERROR(AVERAGEIFS('Trade Log'!$AA$4:$AA$503,'Trade Log'!$D$4:$D$503,$A32),""))</f>
        <v/>
      </c>
      <c r="R32" s="53" t="str">
        <f aca="false">IF($A32="","",IFERROR(AVERAGEIFS('Trade Log'!$P$4:$P$503,'Trade Log'!$D$4:$D$503,$A32),""))</f>
        <v/>
      </c>
      <c r="S32" s="44" t="str">
        <f aca="false">IF($A32="","",IFERROR(AVERAGEIFS('Trade Log'!$AC$4:$AC$503,'Trade Log'!$D$4:$D$503,$A32),""))</f>
        <v/>
      </c>
      <c r="T32" s="55" t="str">
        <f aca="false">IF(OR($A32="",Summary!$B$13=0),"",$K32/Summary!$B$13)</f>
        <v/>
      </c>
      <c r="U32" s="41" t="str">
        <f aca="false">IF($A32="","",IFERROR(RANK($K32,$K$4:$K$153),""))</f>
        <v/>
      </c>
    </row>
    <row r="33" customFormat="false" ht="15" hidden="false" customHeight="false" outlineLevel="0" collapsed="false">
      <c r="A33" s="49"/>
      <c r="B33" s="41" t="str">
        <f aca="false">IF($A33="","",COUNTIFS('Trade Log'!$D$4:$D$503,$A33))</f>
        <v/>
      </c>
      <c r="C33" s="41" t="str">
        <f aca="false">IF($A33="","",COUNTIFS('Trade Log'!$D$4:$D$503,$A33,'Trade Log'!$E$4:$E$503,"LONG"))</f>
        <v/>
      </c>
      <c r="D33" s="41" t="str">
        <f aca="false">IF($A33="","",COUNTIFS('Trade Log'!$D$4:$D$503,$A33,'Trade Log'!$E$4:$E$503,"SHORT"))</f>
        <v/>
      </c>
      <c r="E33" s="41" t="str">
        <f aca="false">IF($A33="","",COUNTIFS('Trade Log'!$D$4:$D$503,$A33,'Trade Log'!$N$4:$N$503,"&lt;&gt;"))</f>
        <v/>
      </c>
      <c r="F33" s="40" t="str">
        <f aca="false">IF($A33="","",SUMIFS('Trade Log'!$K$4:$K$503,'Trade Log'!$D$4:$D$503,$A33))</f>
        <v/>
      </c>
      <c r="G33" s="40" t="str">
        <f aca="false">IF($A33="","",SUMIFS('Trade Log'!$Z$4:$Z$503,'Trade Log'!$D$4:$D$503,$A33,'Trade Log'!$E$4:$E$503,"LONG"))</f>
        <v/>
      </c>
      <c r="H33" s="40" t="str">
        <f aca="false">IF($A33="","",SUMIFS('Trade Log'!$Z$4:$Z$503,'Trade Log'!$D$4:$D$503,$A33,'Trade Log'!$E$4:$E$503,"SHORT"))</f>
        <v/>
      </c>
      <c r="I33" s="40" t="str">
        <f aca="false">IF($A33="","",SUMIFS('Trade Log'!$Q$4:$Q$503,'Trade Log'!$D$4:$D$503,$A33))</f>
        <v/>
      </c>
      <c r="J33" s="40" t="str">
        <f aca="false">IF($A33="","",SUMIFS('Trade Log'!$Y$4:$Y$503,'Trade Log'!$D$4:$D$503,$A33))</f>
        <v/>
      </c>
      <c r="K33" s="40" t="str">
        <f aca="false">IF($A33="","",SUMIFS('Trade Log'!$Z$4:$Z$503,'Trade Log'!$D$4:$D$503,$A33))</f>
        <v/>
      </c>
      <c r="L33" s="41" t="str">
        <f aca="false">IF($A33="","",COUNTIFS('Trade Log'!$D$4:$D$503,$A33,'Trade Log'!$Z$4:$Z$503,"&gt;0"))</f>
        <v/>
      </c>
      <c r="M33" s="55" t="str">
        <f aca="false">IF(OR($A33="",$E33=0),"",$L33/$E33)</f>
        <v/>
      </c>
      <c r="N33" s="40" t="str">
        <f aca="false">IF(OR($A33="",$E33=0),"",$K33/$E33)</f>
        <v/>
      </c>
      <c r="O33" s="40" t="str">
        <f aca="false">IF($A33="","",IFERROR(_xlfn.MAXIFS('Trade Log'!$Z$4:$Z$503,'Trade Log'!$D$4:$D$503,$A33),""))</f>
        <v/>
      </c>
      <c r="P33" s="40" t="str">
        <f aca="false">IF($A33="","",IFERROR(_xlfn.MINIFS('Trade Log'!$Z$4:$Z$503,'Trade Log'!$D$4:$D$503,$A33),""))</f>
        <v/>
      </c>
      <c r="Q33" s="55" t="str">
        <f aca="false">IF($A33="","",IFERROR(AVERAGEIFS('Trade Log'!$AA$4:$AA$503,'Trade Log'!$D$4:$D$503,$A33),""))</f>
        <v/>
      </c>
      <c r="R33" s="53" t="str">
        <f aca="false">IF($A33="","",IFERROR(AVERAGEIFS('Trade Log'!$P$4:$P$503,'Trade Log'!$D$4:$D$503,$A33),""))</f>
        <v/>
      </c>
      <c r="S33" s="44" t="str">
        <f aca="false">IF($A33="","",IFERROR(AVERAGEIFS('Trade Log'!$AC$4:$AC$503,'Trade Log'!$D$4:$D$503,$A33),""))</f>
        <v/>
      </c>
      <c r="T33" s="55" t="str">
        <f aca="false">IF(OR($A33="",Summary!$B$13=0),"",$K33/Summary!$B$13)</f>
        <v/>
      </c>
      <c r="U33" s="41" t="str">
        <f aca="false">IF($A33="","",IFERROR(RANK($K33,$K$4:$K$153),""))</f>
        <v/>
      </c>
    </row>
    <row r="34" customFormat="false" ht="15" hidden="false" customHeight="false" outlineLevel="0" collapsed="false">
      <c r="A34" s="49"/>
      <c r="B34" s="41" t="str">
        <f aca="false">IF($A34="","",COUNTIFS('Trade Log'!$D$4:$D$503,$A34))</f>
        <v/>
      </c>
      <c r="C34" s="41" t="str">
        <f aca="false">IF($A34="","",COUNTIFS('Trade Log'!$D$4:$D$503,$A34,'Trade Log'!$E$4:$E$503,"LONG"))</f>
        <v/>
      </c>
      <c r="D34" s="41" t="str">
        <f aca="false">IF($A34="","",COUNTIFS('Trade Log'!$D$4:$D$503,$A34,'Trade Log'!$E$4:$E$503,"SHORT"))</f>
        <v/>
      </c>
      <c r="E34" s="41" t="str">
        <f aca="false">IF($A34="","",COUNTIFS('Trade Log'!$D$4:$D$503,$A34,'Trade Log'!$N$4:$N$503,"&lt;&gt;"))</f>
        <v/>
      </c>
      <c r="F34" s="40" t="str">
        <f aca="false">IF($A34="","",SUMIFS('Trade Log'!$K$4:$K$503,'Trade Log'!$D$4:$D$503,$A34))</f>
        <v/>
      </c>
      <c r="G34" s="40" t="str">
        <f aca="false">IF($A34="","",SUMIFS('Trade Log'!$Z$4:$Z$503,'Trade Log'!$D$4:$D$503,$A34,'Trade Log'!$E$4:$E$503,"LONG"))</f>
        <v/>
      </c>
      <c r="H34" s="40" t="str">
        <f aca="false">IF($A34="","",SUMIFS('Trade Log'!$Z$4:$Z$503,'Trade Log'!$D$4:$D$503,$A34,'Trade Log'!$E$4:$E$503,"SHORT"))</f>
        <v/>
      </c>
      <c r="I34" s="40" t="str">
        <f aca="false">IF($A34="","",SUMIFS('Trade Log'!$Q$4:$Q$503,'Trade Log'!$D$4:$D$503,$A34))</f>
        <v/>
      </c>
      <c r="J34" s="40" t="str">
        <f aca="false">IF($A34="","",SUMIFS('Trade Log'!$Y$4:$Y$503,'Trade Log'!$D$4:$D$503,$A34))</f>
        <v/>
      </c>
      <c r="K34" s="40" t="str">
        <f aca="false">IF($A34="","",SUMIFS('Trade Log'!$Z$4:$Z$503,'Trade Log'!$D$4:$D$503,$A34))</f>
        <v/>
      </c>
      <c r="L34" s="41" t="str">
        <f aca="false">IF($A34="","",COUNTIFS('Trade Log'!$D$4:$D$503,$A34,'Trade Log'!$Z$4:$Z$503,"&gt;0"))</f>
        <v/>
      </c>
      <c r="M34" s="55" t="str">
        <f aca="false">IF(OR($A34="",$E34=0),"",$L34/$E34)</f>
        <v/>
      </c>
      <c r="N34" s="40" t="str">
        <f aca="false">IF(OR($A34="",$E34=0),"",$K34/$E34)</f>
        <v/>
      </c>
      <c r="O34" s="40" t="str">
        <f aca="false">IF($A34="","",IFERROR(_xlfn.MAXIFS('Trade Log'!$Z$4:$Z$503,'Trade Log'!$D$4:$D$503,$A34),""))</f>
        <v/>
      </c>
      <c r="P34" s="40" t="str">
        <f aca="false">IF($A34="","",IFERROR(_xlfn.MINIFS('Trade Log'!$Z$4:$Z$503,'Trade Log'!$D$4:$D$503,$A34),""))</f>
        <v/>
      </c>
      <c r="Q34" s="55" t="str">
        <f aca="false">IF($A34="","",IFERROR(AVERAGEIFS('Trade Log'!$AA$4:$AA$503,'Trade Log'!$D$4:$D$503,$A34),""))</f>
        <v/>
      </c>
      <c r="R34" s="53" t="str">
        <f aca="false">IF($A34="","",IFERROR(AVERAGEIFS('Trade Log'!$P$4:$P$503,'Trade Log'!$D$4:$D$503,$A34),""))</f>
        <v/>
      </c>
      <c r="S34" s="44" t="str">
        <f aca="false">IF($A34="","",IFERROR(AVERAGEIFS('Trade Log'!$AC$4:$AC$503,'Trade Log'!$D$4:$D$503,$A34),""))</f>
        <v/>
      </c>
      <c r="T34" s="55" t="str">
        <f aca="false">IF(OR($A34="",Summary!$B$13=0),"",$K34/Summary!$B$13)</f>
        <v/>
      </c>
      <c r="U34" s="41" t="str">
        <f aca="false">IF($A34="","",IFERROR(RANK($K34,$K$4:$K$153),""))</f>
        <v/>
      </c>
    </row>
    <row r="35" customFormat="false" ht="15" hidden="false" customHeight="false" outlineLevel="0" collapsed="false">
      <c r="A35" s="49"/>
      <c r="B35" s="41" t="str">
        <f aca="false">IF($A35="","",COUNTIFS('Trade Log'!$D$4:$D$503,$A35))</f>
        <v/>
      </c>
      <c r="C35" s="41" t="str">
        <f aca="false">IF($A35="","",COUNTIFS('Trade Log'!$D$4:$D$503,$A35,'Trade Log'!$E$4:$E$503,"LONG"))</f>
        <v/>
      </c>
      <c r="D35" s="41" t="str">
        <f aca="false">IF($A35="","",COUNTIFS('Trade Log'!$D$4:$D$503,$A35,'Trade Log'!$E$4:$E$503,"SHORT"))</f>
        <v/>
      </c>
      <c r="E35" s="41" t="str">
        <f aca="false">IF($A35="","",COUNTIFS('Trade Log'!$D$4:$D$503,$A35,'Trade Log'!$N$4:$N$503,"&lt;&gt;"))</f>
        <v/>
      </c>
      <c r="F35" s="40" t="str">
        <f aca="false">IF($A35="","",SUMIFS('Trade Log'!$K$4:$K$503,'Trade Log'!$D$4:$D$503,$A35))</f>
        <v/>
      </c>
      <c r="G35" s="40" t="str">
        <f aca="false">IF($A35="","",SUMIFS('Trade Log'!$Z$4:$Z$503,'Trade Log'!$D$4:$D$503,$A35,'Trade Log'!$E$4:$E$503,"LONG"))</f>
        <v/>
      </c>
      <c r="H35" s="40" t="str">
        <f aca="false">IF($A35="","",SUMIFS('Trade Log'!$Z$4:$Z$503,'Trade Log'!$D$4:$D$503,$A35,'Trade Log'!$E$4:$E$503,"SHORT"))</f>
        <v/>
      </c>
      <c r="I35" s="40" t="str">
        <f aca="false">IF($A35="","",SUMIFS('Trade Log'!$Q$4:$Q$503,'Trade Log'!$D$4:$D$503,$A35))</f>
        <v/>
      </c>
      <c r="J35" s="40" t="str">
        <f aca="false">IF($A35="","",SUMIFS('Trade Log'!$Y$4:$Y$503,'Trade Log'!$D$4:$D$503,$A35))</f>
        <v/>
      </c>
      <c r="K35" s="40" t="str">
        <f aca="false">IF($A35="","",SUMIFS('Trade Log'!$Z$4:$Z$503,'Trade Log'!$D$4:$D$503,$A35))</f>
        <v/>
      </c>
      <c r="L35" s="41" t="str">
        <f aca="false">IF($A35="","",COUNTIFS('Trade Log'!$D$4:$D$503,$A35,'Trade Log'!$Z$4:$Z$503,"&gt;0"))</f>
        <v/>
      </c>
      <c r="M35" s="55" t="str">
        <f aca="false">IF(OR($A35="",$E35=0),"",$L35/$E35)</f>
        <v/>
      </c>
      <c r="N35" s="40" t="str">
        <f aca="false">IF(OR($A35="",$E35=0),"",$K35/$E35)</f>
        <v/>
      </c>
      <c r="O35" s="40" t="str">
        <f aca="false">IF($A35="","",IFERROR(_xlfn.MAXIFS('Trade Log'!$Z$4:$Z$503,'Trade Log'!$D$4:$D$503,$A35),""))</f>
        <v/>
      </c>
      <c r="P35" s="40" t="str">
        <f aca="false">IF($A35="","",IFERROR(_xlfn.MINIFS('Trade Log'!$Z$4:$Z$503,'Trade Log'!$D$4:$D$503,$A35),""))</f>
        <v/>
      </c>
      <c r="Q35" s="55" t="str">
        <f aca="false">IF($A35="","",IFERROR(AVERAGEIFS('Trade Log'!$AA$4:$AA$503,'Trade Log'!$D$4:$D$503,$A35),""))</f>
        <v/>
      </c>
      <c r="R35" s="53" t="str">
        <f aca="false">IF($A35="","",IFERROR(AVERAGEIFS('Trade Log'!$P$4:$P$503,'Trade Log'!$D$4:$D$503,$A35),""))</f>
        <v/>
      </c>
      <c r="S35" s="44" t="str">
        <f aca="false">IF($A35="","",IFERROR(AVERAGEIFS('Trade Log'!$AC$4:$AC$503,'Trade Log'!$D$4:$D$503,$A35),""))</f>
        <v/>
      </c>
      <c r="T35" s="55" t="str">
        <f aca="false">IF(OR($A35="",Summary!$B$13=0),"",$K35/Summary!$B$13)</f>
        <v/>
      </c>
      <c r="U35" s="41" t="str">
        <f aca="false">IF($A35="","",IFERROR(RANK($K35,$K$4:$K$153),""))</f>
        <v/>
      </c>
    </row>
    <row r="36" customFormat="false" ht="15" hidden="false" customHeight="false" outlineLevel="0" collapsed="false">
      <c r="A36" s="49"/>
      <c r="B36" s="41" t="str">
        <f aca="false">IF($A36="","",COUNTIFS('Trade Log'!$D$4:$D$503,$A36))</f>
        <v/>
      </c>
      <c r="C36" s="41" t="str">
        <f aca="false">IF($A36="","",COUNTIFS('Trade Log'!$D$4:$D$503,$A36,'Trade Log'!$E$4:$E$503,"LONG"))</f>
        <v/>
      </c>
      <c r="D36" s="41" t="str">
        <f aca="false">IF($A36="","",COUNTIFS('Trade Log'!$D$4:$D$503,$A36,'Trade Log'!$E$4:$E$503,"SHORT"))</f>
        <v/>
      </c>
      <c r="E36" s="41" t="str">
        <f aca="false">IF($A36="","",COUNTIFS('Trade Log'!$D$4:$D$503,$A36,'Trade Log'!$N$4:$N$503,"&lt;&gt;"))</f>
        <v/>
      </c>
      <c r="F36" s="40" t="str">
        <f aca="false">IF($A36="","",SUMIFS('Trade Log'!$K$4:$K$503,'Trade Log'!$D$4:$D$503,$A36))</f>
        <v/>
      </c>
      <c r="G36" s="40" t="str">
        <f aca="false">IF($A36="","",SUMIFS('Trade Log'!$Z$4:$Z$503,'Trade Log'!$D$4:$D$503,$A36,'Trade Log'!$E$4:$E$503,"LONG"))</f>
        <v/>
      </c>
      <c r="H36" s="40" t="str">
        <f aca="false">IF($A36="","",SUMIFS('Trade Log'!$Z$4:$Z$503,'Trade Log'!$D$4:$D$503,$A36,'Trade Log'!$E$4:$E$503,"SHORT"))</f>
        <v/>
      </c>
      <c r="I36" s="40" t="str">
        <f aca="false">IF($A36="","",SUMIFS('Trade Log'!$Q$4:$Q$503,'Trade Log'!$D$4:$D$503,$A36))</f>
        <v/>
      </c>
      <c r="J36" s="40" t="str">
        <f aca="false">IF($A36="","",SUMIFS('Trade Log'!$Y$4:$Y$503,'Trade Log'!$D$4:$D$503,$A36))</f>
        <v/>
      </c>
      <c r="K36" s="40" t="str">
        <f aca="false">IF($A36="","",SUMIFS('Trade Log'!$Z$4:$Z$503,'Trade Log'!$D$4:$D$503,$A36))</f>
        <v/>
      </c>
      <c r="L36" s="41" t="str">
        <f aca="false">IF($A36="","",COUNTIFS('Trade Log'!$D$4:$D$503,$A36,'Trade Log'!$Z$4:$Z$503,"&gt;0"))</f>
        <v/>
      </c>
      <c r="M36" s="55" t="str">
        <f aca="false">IF(OR($A36="",$E36=0),"",$L36/$E36)</f>
        <v/>
      </c>
      <c r="N36" s="40" t="str">
        <f aca="false">IF(OR($A36="",$E36=0),"",$K36/$E36)</f>
        <v/>
      </c>
      <c r="O36" s="40" t="str">
        <f aca="false">IF($A36="","",IFERROR(_xlfn.MAXIFS('Trade Log'!$Z$4:$Z$503,'Trade Log'!$D$4:$D$503,$A36),""))</f>
        <v/>
      </c>
      <c r="P36" s="40" t="str">
        <f aca="false">IF($A36="","",IFERROR(_xlfn.MINIFS('Trade Log'!$Z$4:$Z$503,'Trade Log'!$D$4:$D$503,$A36),""))</f>
        <v/>
      </c>
      <c r="Q36" s="55" t="str">
        <f aca="false">IF($A36="","",IFERROR(AVERAGEIFS('Trade Log'!$AA$4:$AA$503,'Trade Log'!$D$4:$D$503,$A36),""))</f>
        <v/>
      </c>
      <c r="R36" s="53" t="str">
        <f aca="false">IF($A36="","",IFERROR(AVERAGEIFS('Trade Log'!$P$4:$P$503,'Trade Log'!$D$4:$D$503,$A36),""))</f>
        <v/>
      </c>
      <c r="S36" s="44" t="str">
        <f aca="false">IF($A36="","",IFERROR(AVERAGEIFS('Trade Log'!$AC$4:$AC$503,'Trade Log'!$D$4:$D$503,$A36),""))</f>
        <v/>
      </c>
      <c r="T36" s="55" t="str">
        <f aca="false">IF(OR($A36="",Summary!$B$13=0),"",$K36/Summary!$B$13)</f>
        <v/>
      </c>
      <c r="U36" s="41" t="str">
        <f aca="false">IF($A36="","",IFERROR(RANK($K36,$K$4:$K$153),""))</f>
        <v/>
      </c>
    </row>
    <row r="37" customFormat="false" ht="15" hidden="false" customHeight="false" outlineLevel="0" collapsed="false">
      <c r="A37" s="49"/>
      <c r="B37" s="41" t="str">
        <f aca="false">IF($A37="","",COUNTIFS('Trade Log'!$D$4:$D$503,$A37))</f>
        <v/>
      </c>
      <c r="C37" s="41" t="str">
        <f aca="false">IF($A37="","",COUNTIFS('Trade Log'!$D$4:$D$503,$A37,'Trade Log'!$E$4:$E$503,"LONG"))</f>
        <v/>
      </c>
      <c r="D37" s="41" t="str">
        <f aca="false">IF($A37="","",COUNTIFS('Trade Log'!$D$4:$D$503,$A37,'Trade Log'!$E$4:$E$503,"SHORT"))</f>
        <v/>
      </c>
      <c r="E37" s="41" t="str">
        <f aca="false">IF($A37="","",COUNTIFS('Trade Log'!$D$4:$D$503,$A37,'Trade Log'!$N$4:$N$503,"&lt;&gt;"))</f>
        <v/>
      </c>
      <c r="F37" s="40" t="str">
        <f aca="false">IF($A37="","",SUMIFS('Trade Log'!$K$4:$K$503,'Trade Log'!$D$4:$D$503,$A37))</f>
        <v/>
      </c>
      <c r="G37" s="40" t="str">
        <f aca="false">IF($A37="","",SUMIFS('Trade Log'!$Z$4:$Z$503,'Trade Log'!$D$4:$D$503,$A37,'Trade Log'!$E$4:$E$503,"LONG"))</f>
        <v/>
      </c>
      <c r="H37" s="40" t="str">
        <f aca="false">IF($A37="","",SUMIFS('Trade Log'!$Z$4:$Z$503,'Trade Log'!$D$4:$D$503,$A37,'Trade Log'!$E$4:$E$503,"SHORT"))</f>
        <v/>
      </c>
      <c r="I37" s="40" t="str">
        <f aca="false">IF($A37="","",SUMIFS('Trade Log'!$Q$4:$Q$503,'Trade Log'!$D$4:$D$503,$A37))</f>
        <v/>
      </c>
      <c r="J37" s="40" t="str">
        <f aca="false">IF($A37="","",SUMIFS('Trade Log'!$Y$4:$Y$503,'Trade Log'!$D$4:$D$503,$A37))</f>
        <v/>
      </c>
      <c r="K37" s="40" t="str">
        <f aca="false">IF($A37="","",SUMIFS('Trade Log'!$Z$4:$Z$503,'Trade Log'!$D$4:$D$503,$A37))</f>
        <v/>
      </c>
      <c r="L37" s="41" t="str">
        <f aca="false">IF($A37="","",COUNTIFS('Trade Log'!$D$4:$D$503,$A37,'Trade Log'!$Z$4:$Z$503,"&gt;0"))</f>
        <v/>
      </c>
      <c r="M37" s="55" t="str">
        <f aca="false">IF(OR($A37="",$E37=0),"",$L37/$E37)</f>
        <v/>
      </c>
      <c r="N37" s="40" t="str">
        <f aca="false">IF(OR($A37="",$E37=0),"",$K37/$E37)</f>
        <v/>
      </c>
      <c r="O37" s="40" t="str">
        <f aca="false">IF($A37="","",IFERROR(_xlfn.MAXIFS('Trade Log'!$Z$4:$Z$503,'Trade Log'!$D$4:$D$503,$A37),""))</f>
        <v/>
      </c>
      <c r="P37" s="40" t="str">
        <f aca="false">IF($A37="","",IFERROR(_xlfn.MINIFS('Trade Log'!$Z$4:$Z$503,'Trade Log'!$D$4:$D$503,$A37),""))</f>
        <v/>
      </c>
      <c r="Q37" s="55" t="str">
        <f aca="false">IF($A37="","",IFERROR(AVERAGEIFS('Trade Log'!$AA$4:$AA$503,'Trade Log'!$D$4:$D$503,$A37),""))</f>
        <v/>
      </c>
      <c r="R37" s="53" t="str">
        <f aca="false">IF($A37="","",IFERROR(AVERAGEIFS('Trade Log'!$P$4:$P$503,'Trade Log'!$D$4:$D$503,$A37),""))</f>
        <v/>
      </c>
      <c r="S37" s="44" t="str">
        <f aca="false">IF($A37="","",IFERROR(AVERAGEIFS('Trade Log'!$AC$4:$AC$503,'Trade Log'!$D$4:$D$503,$A37),""))</f>
        <v/>
      </c>
      <c r="T37" s="55" t="str">
        <f aca="false">IF(OR($A37="",Summary!$B$13=0),"",$K37/Summary!$B$13)</f>
        <v/>
      </c>
      <c r="U37" s="41" t="str">
        <f aca="false">IF($A37="","",IFERROR(RANK($K37,$K$4:$K$153),""))</f>
        <v/>
      </c>
    </row>
    <row r="38" customFormat="false" ht="15" hidden="false" customHeight="false" outlineLevel="0" collapsed="false">
      <c r="A38" s="49"/>
      <c r="B38" s="41" t="str">
        <f aca="false">IF($A38="","",COUNTIFS('Trade Log'!$D$4:$D$503,$A38))</f>
        <v/>
      </c>
      <c r="C38" s="41" t="str">
        <f aca="false">IF($A38="","",COUNTIFS('Trade Log'!$D$4:$D$503,$A38,'Trade Log'!$E$4:$E$503,"LONG"))</f>
        <v/>
      </c>
      <c r="D38" s="41" t="str">
        <f aca="false">IF($A38="","",COUNTIFS('Trade Log'!$D$4:$D$503,$A38,'Trade Log'!$E$4:$E$503,"SHORT"))</f>
        <v/>
      </c>
      <c r="E38" s="41" t="str">
        <f aca="false">IF($A38="","",COUNTIFS('Trade Log'!$D$4:$D$503,$A38,'Trade Log'!$N$4:$N$503,"&lt;&gt;"))</f>
        <v/>
      </c>
      <c r="F38" s="40" t="str">
        <f aca="false">IF($A38="","",SUMIFS('Trade Log'!$K$4:$K$503,'Trade Log'!$D$4:$D$503,$A38))</f>
        <v/>
      </c>
      <c r="G38" s="40" t="str">
        <f aca="false">IF($A38="","",SUMIFS('Trade Log'!$Z$4:$Z$503,'Trade Log'!$D$4:$D$503,$A38,'Trade Log'!$E$4:$E$503,"LONG"))</f>
        <v/>
      </c>
      <c r="H38" s="40" t="str">
        <f aca="false">IF($A38="","",SUMIFS('Trade Log'!$Z$4:$Z$503,'Trade Log'!$D$4:$D$503,$A38,'Trade Log'!$E$4:$E$503,"SHORT"))</f>
        <v/>
      </c>
      <c r="I38" s="40" t="str">
        <f aca="false">IF($A38="","",SUMIFS('Trade Log'!$Q$4:$Q$503,'Trade Log'!$D$4:$D$503,$A38))</f>
        <v/>
      </c>
      <c r="J38" s="40" t="str">
        <f aca="false">IF($A38="","",SUMIFS('Trade Log'!$Y$4:$Y$503,'Trade Log'!$D$4:$D$503,$A38))</f>
        <v/>
      </c>
      <c r="K38" s="40" t="str">
        <f aca="false">IF($A38="","",SUMIFS('Trade Log'!$Z$4:$Z$503,'Trade Log'!$D$4:$D$503,$A38))</f>
        <v/>
      </c>
      <c r="L38" s="41" t="str">
        <f aca="false">IF($A38="","",COUNTIFS('Trade Log'!$D$4:$D$503,$A38,'Trade Log'!$Z$4:$Z$503,"&gt;0"))</f>
        <v/>
      </c>
      <c r="M38" s="55" t="str">
        <f aca="false">IF(OR($A38="",$E38=0),"",$L38/$E38)</f>
        <v/>
      </c>
      <c r="N38" s="40" t="str">
        <f aca="false">IF(OR($A38="",$E38=0),"",$K38/$E38)</f>
        <v/>
      </c>
      <c r="O38" s="40" t="str">
        <f aca="false">IF($A38="","",IFERROR(_xlfn.MAXIFS('Trade Log'!$Z$4:$Z$503,'Trade Log'!$D$4:$D$503,$A38),""))</f>
        <v/>
      </c>
      <c r="P38" s="40" t="str">
        <f aca="false">IF($A38="","",IFERROR(_xlfn.MINIFS('Trade Log'!$Z$4:$Z$503,'Trade Log'!$D$4:$D$503,$A38),""))</f>
        <v/>
      </c>
      <c r="Q38" s="55" t="str">
        <f aca="false">IF($A38="","",IFERROR(AVERAGEIFS('Trade Log'!$AA$4:$AA$503,'Trade Log'!$D$4:$D$503,$A38),""))</f>
        <v/>
      </c>
      <c r="R38" s="53" t="str">
        <f aca="false">IF($A38="","",IFERROR(AVERAGEIFS('Trade Log'!$P$4:$P$503,'Trade Log'!$D$4:$D$503,$A38),""))</f>
        <v/>
      </c>
      <c r="S38" s="44" t="str">
        <f aca="false">IF($A38="","",IFERROR(AVERAGEIFS('Trade Log'!$AC$4:$AC$503,'Trade Log'!$D$4:$D$503,$A38),""))</f>
        <v/>
      </c>
      <c r="T38" s="55" t="str">
        <f aca="false">IF(OR($A38="",Summary!$B$13=0),"",$K38/Summary!$B$13)</f>
        <v/>
      </c>
      <c r="U38" s="41" t="str">
        <f aca="false">IF($A38="","",IFERROR(RANK($K38,$K$4:$K$153),""))</f>
        <v/>
      </c>
    </row>
    <row r="39" customFormat="false" ht="15" hidden="false" customHeight="false" outlineLevel="0" collapsed="false">
      <c r="A39" s="49"/>
      <c r="B39" s="41" t="str">
        <f aca="false">IF($A39="","",COUNTIFS('Trade Log'!$D$4:$D$503,$A39))</f>
        <v/>
      </c>
      <c r="C39" s="41" t="str">
        <f aca="false">IF($A39="","",COUNTIFS('Trade Log'!$D$4:$D$503,$A39,'Trade Log'!$E$4:$E$503,"LONG"))</f>
        <v/>
      </c>
      <c r="D39" s="41" t="str">
        <f aca="false">IF($A39="","",COUNTIFS('Trade Log'!$D$4:$D$503,$A39,'Trade Log'!$E$4:$E$503,"SHORT"))</f>
        <v/>
      </c>
      <c r="E39" s="41" t="str">
        <f aca="false">IF($A39="","",COUNTIFS('Trade Log'!$D$4:$D$503,$A39,'Trade Log'!$N$4:$N$503,"&lt;&gt;"))</f>
        <v/>
      </c>
      <c r="F39" s="40" t="str">
        <f aca="false">IF($A39="","",SUMIFS('Trade Log'!$K$4:$K$503,'Trade Log'!$D$4:$D$503,$A39))</f>
        <v/>
      </c>
      <c r="G39" s="40" t="str">
        <f aca="false">IF($A39="","",SUMIFS('Trade Log'!$Z$4:$Z$503,'Trade Log'!$D$4:$D$503,$A39,'Trade Log'!$E$4:$E$503,"LONG"))</f>
        <v/>
      </c>
      <c r="H39" s="40" t="str">
        <f aca="false">IF($A39="","",SUMIFS('Trade Log'!$Z$4:$Z$503,'Trade Log'!$D$4:$D$503,$A39,'Trade Log'!$E$4:$E$503,"SHORT"))</f>
        <v/>
      </c>
      <c r="I39" s="40" t="str">
        <f aca="false">IF($A39="","",SUMIFS('Trade Log'!$Q$4:$Q$503,'Trade Log'!$D$4:$D$503,$A39))</f>
        <v/>
      </c>
      <c r="J39" s="40" t="str">
        <f aca="false">IF($A39="","",SUMIFS('Trade Log'!$Y$4:$Y$503,'Trade Log'!$D$4:$D$503,$A39))</f>
        <v/>
      </c>
      <c r="K39" s="40" t="str">
        <f aca="false">IF($A39="","",SUMIFS('Trade Log'!$Z$4:$Z$503,'Trade Log'!$D$4:$D$503,$A39))</f>
        <v/>
      </c>
      <c r="L39" s="41" t="str">
        <f aca="false">IF($A39="","",COUNTIFS('Trade Log'!$D$4:$D$503,$A39,'Trade Log'!$Z$4:$Z$503,"&gt;0"))</f>
        <v/>
      </c>
      <c r="M39" s="55" t="str">
        <f aca="false">IF(OR($A39="",$E39=0),"",$L39/$E39)</f>
        <v/>
      </c>
      <c r="N39" s="40" t="str">
        <f aca="false">IF(OR($A39="",$E39=0),"",$K39/$E39)</f>
        <v/>
      </c>
      <c r="O39" s="40" t="str">
        <f aca="false">IF($A39="","",IFERROR(_xlfn.MAXIFS('Trade Log'!$Z$4:$Z$503,'Trade Log'!$D$4:$D$503,$A39),""))</f>
        <v/>
      </c>
      <c r="P39" s="40" t="str">
        <f aca="false">IF($A39="","",IFERROR(_xlfn.MINIFS('Trade Log'!$Z$4:$Z$503,'Trade Log'!$D$4:$D$503,$A39),""))</f>
        <v/>
      </c>
      <c r="Q39" s="55" t="str">
        <f aca="false">IF($A39="","",IFERROR(AVERAGEIFS('Trade Log'!$AA$4:$AA$503,'Trade Log'!$D$4:$D$503,$A39),""))</f>
        <v/>
      </c>
      <c r="R39" s="53" t="str">
        <f aca="false">IF($A39="","",IFERROR(AVERAGEIFS('Trade Log'!$P$4:$P$503,'Trade Log'!$D$4:$D$503,$A39),""))</f>
        <v/>
      </c>
      <c r="S39" s="44" t="str">
        <f aca="false">IF($A39="","",IFERROR(AVERAGEIFS('Trade Log'!$AC$4:$AC$503,'Trade Log'!$D$4:$D$503,$A39),""))</f>
        <v/>
      </c>
      <c r="T39" s="55" t="str">
        <f aca="false">IF(OR($A39="",Summary!$B$13=0),"",$K39/Summary!$B$13)</f>
        <v/>
      </c>
      <c r="U39" s="41" t="str">
        <f aca="false">IF($A39="","",IFERROR(RANK($K39,$K$4:$K$153),""))</f>
        <v/>
      </c>
    </row>
    <row r="40" customFormat="false" ht="15" hidden="false" customHeight="false" outlineLevel="0" collapsed="false">
      <c r="A40" s="49"/>
      <c r="B40" s="41" t="str">
        <f aca="false">IF($A40="","",COUNTIFS('Trade Log'!$D$4:$D$503,$A40))</f>
        <v/>
      </c>
      <c r="C40" s="41" t="str">
        <f aca="false">IF($A40="","",COUNTIFS('Trade Log'!$D$4:$D$503,$A40,'Trade Log'!$E$4:$E$503,"LONG"))</f>
        <v/>
      </c>
      <c r="D40" s="41" t="str">
        <f aca="false">IF($A40="","",COUNTIFS('Trade Log'!$D$4:$D$503,$A40,'Trade Log'!$E$4:$E$503,"SHORT"))</f>
        <v/>
      </c>
      <c r="E40" s="41" t="str">
        <f aca="false">IF($A40="","",COUNTIFS('Trade Log'!$D$4:$D$503,$A40,'Trade Log'!$N$4:$N$503,"&lt;&gt;"))</f>
        <v/>
      </c>
      <c r="F40" s="40" t="str">
        <f aca="false">IF($A40="","",SUMIFS('Trade Log'!$K$4:$K$503,'Trade Log'!$D$4:$D$503,$A40))</f>
        <v/>
      </c>
      <c r="G40" s="40" t="str">
        <f aca="false">IF($A40="","",SUMIFS('Trade Log'!$Z$4:$Z$503,'Trade Log'!$D$4:$D$503,$A40,'Trade Log'!$E$4:$E$503,"LONG"))</f>
        <v/>
      </c>
      <c r="H40" s="40" t="str">
        <f aca="false">IF($A40="","",SUMIFS('Trade Log'!$Z$4:$Z$503,'Trade Log'!$D$4:$D$503,$A40,'Trade Log'!$E$4:$E$503,"SHORT"))</f>
        <v/>
      </c>
      <c r="I40" s="40" t="str">
        <f aca="false">IF($A40="","",SUMIFS('Trade Log'!$Q$4:$Q$503,'Trade Log'!$D$4:$D$503,$A40))</f>
        <v/>
      </c>
      <c r="J40" s="40" t="str">
        <f aca="false">IF($A40="","",SUMIFS('Trade Log'!$Y$4:$Y$503,'Trade Log'!$D$4:$D$503,$A40))</f>
        <v/>
      </c>
      <c r="K40" s="40" t="str">
        <f aca="false">IF($A40="","",SUMIFS('Trade Log'!$Z$4:$Z$503,'Trade Log'!$D$4:$D$503,$A40))</f>
        <v/>
      </c>
      <c r="L40" s="41" t="str">
        <f aca="false">IF($A40="","",COUNTIFS('Trade Log'!$D$4:$D$503,$A40,'Trade Log'!$Z$4:$Z$503,"&gt;0"))</f>
        <v/>
      </c>
      <c r="M40" s="55" t="str">
        <f aca="false">IF(OR($A40="",$E40=0),"",$L40/$E40)</f>
        <v/>
      </c>
      <c r="N40" s="40" t="str">
        <f aca="false">IF(OR($A40="",$E40=0),"",$K40/$E40)</f>
        <v/>
      </c>
      <c r="O40" s="40" t="str">
        <f aca="false">IF($A40="","",IFERROR(_xlfn.MAXIFS('Trade Log'!$Z$4:$Z$503,'Trade Log'!$D$4:$D$503,$A40),""))</f>
        <v/>
      </c>
      <c r="P40" s="40" t="str">
        <f aca="false">IF($A40="","",IFERROR(_xlfn.MINIFS('Trade Log'!$Z$4:$Z$503,'Trade Log'!$D$4:$D$503,$A40),""))</f>
        <v/>
      </c>
      <c r="Q40" s="55" t="str">
        <f aca="false">IF($A40="","",IFERROR(AVERAGEIFS('Trade Log'!$AA$4:$AA$503,'Trade Log'!$D$4:$D$503,$A40),""))</f>
        <v/>
      </c>
      <c r="R40" s="53" t="str">
        <f aca="false">IF($A40="","",IFERROR(AVERAGEIFS('Trade Log'!$P$4:$P$503,'Trade Log'!$D$4:$D$503,$A40),""))</f>
        <v/>
      </c>
      <c r="S40" s="44" t="str">
        <f aca="false">IF($A40="","",IFERROR(AVERAGEIFS('Trade Log'!$AC$4:$AC$503,'Trade Log'!$D$4:$D$503,$A40),""))</f>
        <v/>
      </c>
      <c r="T40" s="55" t="str">
        <f aca="false">IF(OR($A40="",Summary!$B$13=0),"",$K40/Summary!$B$13)</f>
        <v/>
      </c>
      <c r="U40" s="41" t="str">
        <f aca="false">IF($A40="","",IFERROR(RANK($K40,$K$4:$K$153),""))</f>
        <v/>
      </c>
    </row>
    <row r="41" customFormat="false" ht="15" hidden="false" customHeight="false" outlineLevel="0" collapsed="false">
      <c r="A41" s="49"/>
      <c r="B41" s="41" t="str">
        <f aca="false">IF($A41="","",COUNTIFS('Trade Log'!$D$4:$D$503,$A41))</f>
        <v/>
      </c>
      <c r="C41" s="41" t="str">
        <f aca="false">IF($A41="","",COUNTIFS('Trade Log'!$D$4:$D$503,$A41,'Trade Log'!$E$4:$E$503,"LONG"))</f>
        <v/>
      </c>
      <c r="D41" s="41" t="str">
        <f aca="false">IF($A41="","",COUNTIFS('Trade Log'!$D$4:$D$503,$A41,'Trade Log'!$E$4:$E$503,"SHORT"))</f>
        <v/>
      </c>
      <c r="E41" s="41" t="str">
        <f aca="false">IF($A41="","",COUNTIFS('Trade Log'!$D$4:$D$503,$A41,'Trade Log'!$N$4:$N$503,"&lt;&gt;"))</f>
        <v/>
      </c>
      <c r="F41" s="40" t="str">
        <f aca="false">IF($A41="","",SUMIFS('Trade Log'!$K$4:$K$503,'Trade Log'!$D$4:$D$503,$A41))</f>
        <v/>
      </c>
      <c r="G41" s="40" t="str">
        <f aca="false">IF($A41="","",SUMIFS('Trade Log'!$Z$4:$Z$503,'Trade Log'!$D$4:$D$503,$A41,'Trade Log'!$E$4:$E$503,"LONG"))</f>
        <v/>
      </c>
      <c r="H41" s="40" t="str">
        <f aca="false">IF($A41="","",SUMIFS('Trade Log'!$Z$4:$Z$503,'Trade Log'!$D$4:$D$503,$A41,'Trade Log'!$E$4:$E$503,"SHORT"))</f>
        <v/>
      </c>
      <c r="I41" s="40" t="str">
        <f aca="false">IF($A41="","",SUMIFS('Trade Log'!$Q$4:$Q$503,'Trade Log'!$D$4:$D$503,$A41))</f>
        <v/>
      </c>
      <c r="J41" s="40" t="str">
        <f aca="false">IF($A41="","",SUMIFS('Trade Log'!$Y$4:$Y$503,'Trade Log'!$D$4:$D$503,$A41))</f>
        <v/>
      </c>
      <c r="K41" s="40" t="str">
        <f aca="false">IF($A41="","",SUMIFS('Trade Log'!$Z$4:$Z$503,'Trade Log'!$D$4:$D$503,$A41))</f>
        <v/>
      </c>
      <c r="L41" s="41" t="str">
        <f aca="false">IF($A41="","",COUNTIFS('Trade Log'!$D$4:$D$503,$A41,'Trade Log'!$Z$4:$Z$503,"&gt;0"))</f>
        <v/>
      </c>
      <c r="M41" s="55" t="str">
        <f aca="false">IF(OR($A41="",$E41=0),"",$L41/$E41)</f>
        <v/>
      </c>
      <c r="N41" s="40" t="str">
        <f aca="false">IF(OR($A41="",$E41=0),"",$K41/$E41)</f>
        <v/>
      </c>
      <c r="O41" s="40" t="str">
        <f aca="false">IF($A41="","",IFERROR(_xlfn.MAXIFS('Trade Log'!$Z$4:$Z$503,'Trade Log'!$D$4:$D$503,$A41),""))</f>
        <v/>
      </c>
      <c r="P41" s="40" t="str">
        <f aca="false">IF($A41="","",IFERROR(_xlfn.MINIFS('Trade Log'!$Z$4:$Z$503,'Trade Log'!$D$4:$D$503,$A41),""))</f>
        <v/>
      </c>
      <c r="Q41" s="55" t="str">
        <f aca="false">IF($A41="","",IFERROR(AVERAGEIFS('Trade Log'!$AA$4:$AA$503,'Trade Log'!$D$4:$D$503,$A41),""))</f>
        <v/>
      </c>
      <c r="R41" s="53" t="str">
        <f aca="false">IF($A41="","",IFERROR(AVERAGEIFS('Trade Log'!$P$4:$P$503,'Trade Log'!$D$4:$D$503,$A41),""))</f>
        <v/>
      </c>
      <c r="S41" s="44" t="str">
        <f aca="false">IF($A41="","",IFERROR(AVERAGEIFS('Trade Log'!$AC$4:$AC$503,'Trade Log'!$D$4:$D$503,$A41),""))</f>
        <v/>
      </c>
      <c r="T41" s="55" t="str">
        <f aca="false">IF(OR($A41="",Summary!$B$13=0),"",$K41/Summary!$B$13)</f>
        <v/>
      </c>
      <c r="U41" s="41" t="str">
        <f aca="false">IF($A41="","",IFERROR(RANK($K41,$K$4:$K$153),""))</f>
        <v/>
      </c>
    </row>
    <row r="42" customFormat="false" ht="15" hidden="false" customHeight="false" outlineLevel="0" collapsed="false">
      <c r="A42" s="49"/>
      <c r="B42" s="41" t="str">
        <f aca="false">IF($A42="","",COUNTIFS('Trade Log'!$D$4:$D$503,$A42))</f>
        <v/>
      </c>
      <c r="C42" s="41" t="str">
        <f aca="false">IF($A42="","",COUNTIFS('Trade Log'!$D$4:$D$503,$A42,'Trade Log'!$E$4:$E$503,"LONG"))</f>
        <v/>
      </c>
      <c r="D42" s="41" t="str">
        <f aca="false">IF($A42="","",COUNTIFS('Trade Log'!$D$4:$D$503,$A42,'Trade Log'!$E$4:$E$503,"SHORT"))</f>
        <v/>
      </c>
      <c r="E42" s="41" t="str">
        <f aca="false">IF($A42="","",COUNTIFS('Trade Log'!$D$4:$D$503,$A42,'Trade Log'!$N$4:$N$503,"&lt;&gt;"))</f>
        <v/>
      </c>
      <c r="F42" s="40" t="str">
        <f aca="false">IF($A42="","",SUMIFS('Trade Log'!$K$4:$K$503,'Trade Log'!$D$4:$D$503,$A42))</f>
        <v/>
      </c>
      <c r="G42" s="40" t="str">
        <f aca="false">IF($A42="","",SUMIFS('Trade Log'!$Z$4:$Z$503,'Trade Log'!$D$4:$D$503,$A42,'Trade Log'!$E$4:$E$503,"LONG"))</f>
        <v/>
      </c>
      <c r="H42" s="40" t="str">
        <f aca="false">IF($A42="","",SUMIFS('Trade Log'!$Z$4:$Z$503,'Trade Log'!$D$4:$D$503,$A42,'Trade Log'!$E$4:$E$503,"SHORT"))</f>
        <v/>
      </c>
      <c r="I42" s="40" t="str">
        <f aca="false">IF($A42="","",SUMIFS('Trade Log'!$Q$4:$Q$503,'Trade Log'!$D$4:$D$503,$A42))</f>
        <v/>
      </c>
      <c r="J42" s="40" t="str">
        <f aca="false">IF($A42="","",SUMIFS('Trade Log'!$Y$4:$Y$503,'Trade Log'!$D$4:$D$503,$A42))</f>
        <v/>
      </c>
      <c r="K42" s="40" t="str">
        <f aca="false">IF($A42="","",SUMIFS('Trade Log'!$Z$4:$Z$503,'Trade Log'!$D$4:$D$503,$A42))</f>
        <v/>
      </c>
      <c r="L42" s="41" t="str">
        <f aca="false">IF($A42="","",COUNTIFS('Trade Log'!$D$4:$D$503,$A42,'Trade Log'!$Z$4:$Z$503,"&gt;0"))</f>
        <v/>
      </c>
      <c r="M42" s="55" t="str">
        <f aca="false">IF(OR($A42="",$E42=0),"",$L42/$E42)</f>
        <v/>
      </c>
      <c r="N42" s="40" t="str">
        <f aca="false">IF(OR($A42="",$E42=0),"",$K42/$E42)</f>
        <v/>
      </c>
      <c r="O42" s="40" t="str">
        <f aca="false">IF($A42="","",IFERROR(_xlfn.MAXIFS('Trade Log'!$Z$4:$Z$503,'Trade Log'!$D$4:$D$503,$A42),""))</f>
        <v/>
      </c>
      <c r="P42" s="40" t="str">
        <f aca="false">IF($A42="","",IFERROR(_xlfn.MINIFS('Trade Log'!$Z$4:$Z$503,'Trade Log'!$D$4:$D$503,$A42),""))</f>
        <v/>
      </c>
      <c r="Q42" s="55" t="str">
        <f aca="false">IF($A42="","",IFERROR(AVERAGEIFS('Trade Log'!$AA$4:$AA$503,'Trade Log'!$D$4:$D$503,$A42),""))</f>
        <v/>
      </c>
      <c r="R42" s="53" t="str">
        <f aca="false">IF($A42="","",IFERROR(AVERAGEIFS('Trade Log'!$P$4:$P$503,'Trade Log'!$D$4:$D$503,$A42),""))</f>
        <v/>
      </c>
      <c r="S42" s="44" t="str">
        <f aca="false">IF($A42="","",IFERROR(AVERAGEIFS('Trade Log'!$AC$4:$AC$503,'Trade Log'!$D$4:$D$503,$A42),""))</f>
        <v/>
      </c>
      <c r="T42" s="55" t="str">
        <f aca="false">IF(OR($A42="",Summary!$B$13=0),"",$K42/Summary!$B$13)</f>
        <v/>
      </c>
      <c r="U42" s="41" t="str">
        <f aca="false">IF($A42="","",IFERROR(RANK($K42,$K$4:$K$153),""))</f>
        <v/>
      </c>
    </row>
    <row r="43" customFormat="false" ht="15" hidden="false" customHeight="false" outlineLevel="0" collapsed="false">
      <c r="A43" s="49"/>
      <c r="B43" s="41" t="str">
        <f aca="false">IF($A43="","",COUNTIFS('Trade Log'!$D$4:$D$503,$A43))</f>
        <v/>
      </c>
      <c r="C43" s="41" t="str">
        <f aca="false">IF($A43="","",COUNTIFS('Trade Log'!$D$4:$D$503,$A43,'Trade Log'!$E$4:$E$503,"LONG"))</f>
        <v/>
      </c>
      <c r="D43" s="41" t="str">
        <f aca="false">IF($A43="","",COUNTIFS('Trade Log'!$D$4:$D$503,$A43,'Trade Log'!$E$4:$E$503,"SHORT"))</f>
        <v/>
      </c>
      <c r="E43" s="41" t="str">
        <f aca="false">IF($A43="","",COUNTIFS('Trade Log'!$D$4:$D$503,$A43,'Trade Log'!$N$4:$N$503,"&lt;&gt;"))</f>
        <v/>
      </c>
      <c r="F43" s="40" t="str">
        <f aca="false">IF($A43="","",SUMIFS('Trade Log'!$K$4:$K$503,'Trade Log'!$D$4:$D$503,$A43))</f>
        <v/>
      </c>
      <c r="G43" s="40" t="str">
        <f aca="false">IF($A43="","",SUMIFS('Trade Log'!$Z$4:$Z$503,'Trade Log'!$D$4:$D$503,$A43,'Trade Log'!$E$4:$E$503,"LONG"))</f>
        <v/>
      </c>
      <c r="H43" s="40" t="str">
        <f aca="false">IF($A43="","",SUMIFS('Trade Log'!$Z$4:$Z$503,'Trade Log'!$D$4:$D$503,$A43,'Trade Log'!$E$4:$E$503,"SHORT"))</f>
        <v/>
      </c>
      <c r="I43" s="40" t="str">
        <f aca="false">IF($A43="","",SUMIFS('Trade Log'!$Q$4:$Q$503,'Trade Log'!$D$4:$D$503,$A43))</f>
        <v/>
      </c>
      <c r="J43" s="40" t="str">
        <f aca="false">IF($A43="","",SUMIFS('Trade Log'!$Y$4:$Y$503,'Trade Log'!$D$4:$D$503,$A43))</f>
        <v/>
      </c>
      <c r="K43" s="40" t="str">
        <f aca="false">IF($A43="","",SUMIFS('Trade Log'!$Z$4:$Z$503,'Trade Log'!$D$4:$D$503,$A43))</f>
        <v/>
      </c>
      <c r="L43" s="41" t="str">
        <f aca="false">IF($A43="","",COUNTIFS('Trade Log'!$D$4:$D$503,$A43,'Trade Log'!$Z$4:$Z$503,"&gt;0"))</f>
        <v/>
      </c>
      <c r="M43" s="55" t="str">
        <f aca="false">IF(OR($A43="",$E43=0),"",$L43/$E43)</f>
        <v/>
      </c>
      <c r="N43" s="40" t="str">
        <f aca="false">IF(OR($A43="",$E43=0),"",$K43/$E43)</f>
        <v/>
      </c>
      <c r="O43" s="40" t="str">
        <f aca="false">IF($A43="","",IFERROR(_xlfn.MAXIFS('Trade Log'!$Z$4:$Z$503,'Trade Log'!$D$4:$D$503,$A43),""))</f>
        <v/>
      </c>
      <c r="P43" s="40" t="str">
        <f aca="false">IF($A43="","",IFERROR(_xlfn.MINIFS('Trade Log'!$Z$4:$Z$503,'Trade Log'!$D$4:$D$503,$A43),""))</f>
        <v/>
      </c>
      <c r="Q43" s="55" t="str">
        <f aca="false">IF($A43="","",IFERROR(AVERAGEIFS('Trade Log'!$AA$4:$AA$503,'Trade Log'!$D$4:$D$503,$A43),""))</f>
        <v/>
      </c>
      <c r="R43" s="53" t="str">
        <f aca="false">IF($A43="","",IFERROR(AVERAGEIFS('Trade Log'!$P$4:$P$503,'Trade Log'!$D$4:$D$503,$A43),""))</f>
        <v/>
      </c>
      <c r="S43" s="44" t="str">
        <f aca="false">IF($A43="","",IFERROR(AVERAGEIFS('Trade Log'!$AC$4:$AC$503,'Trade Log'!$D$4:$D$503,$A43),""))</f>
        <v/>
      </c>
      <c r="T43" s="55" t="str">
        <f aca="false">IF(OR($A43="",Summary!$B$13=0),"",$K43/Summary!$B$13)</f>
        <v/>
      </c>
      <c r="U43" s="41" t="str">
        <f aca="false">IF($A43="","",IFERROR(RANK($K43,$K$4:$K$153),""))</f>
        <v/>
      </c>
    </row>
    <row r="44" customFormat="false" ht="15" hidden="false" customHeight="false" outlineLevel="0" collapsed="false">
      <c r="A44" s="49"/>
      <c r="B44" s="41" t="str">
        <f aca="false">IF($A44="","",COUNTIFS('Trade Log'!$D$4:$D$503,$A44))</f>
        <v/>
      </c>
      <c r="C44" s="41" t="str">
        <f aca="false">IF($A44="","",COUNTIFS('Trade Log'!$D$4:$D$503,$A44,'Trade Log'!$E$4:$E$503,"LONG"))</f>
        <v/>
      </c>
      <c r="D44" s="41" t="str">
        <f aca="false">IF($A44="","",COUNTIFS('Trade Log'!$D$4:$D$503,$A44,'Trade Log'!$E$4:$E$503,"SHORT"))</f>
        <v/>
      </c>
      <c r="E44" s="41" t="str">
        <f aca="false">IF($A44="","",COUNTIFS('Trade Log'!$D$4:$D$503,$A44,'Trade Log'!$N$4:$N$503,"&lt;&gt;"))</f>
        <v/>
      </c>
      <c r="F44" s="40" t="str">
        <f aca="false">IF($A44="","",SUMIFS('Trade Log'!$K$4:$K$503,'Trade Log'!$D$4:$D$503,$A44))</f>
        <v/>
      </c>
      <c r="G44" s="40" t="str">
        <f aca="false">IF($A44="","",SUMIFS('Trade Log'!$Z$4:$Z$503,'Trade Log'!$D$4:$D$503,$A44,'Trade Log'!$E$4:$E$503,"LONG"))</f>
        <v/>
      </c>
      <c r="H44" s="40" t="str">
        <f aca="false">IF($A44="","",SUMIFS('Trade Log'!$Z$4:$Z$503,'Trade Log'!$D$4:$D$503,$A44,'Trade Log'!$E$4:$E$503,"SHORT"))</f>
        <v/>
      </c>
      <c r="I44" s="40" t="str">
        <f aca="false">IF($A44="","",SUMIFS('Trade Log'!$Q$4:$Q$503,'Trade Log'!$D$4:$D$503,$A44))</f>
        <v/>
      </c>
      <c r="J44" s="40" t="str">
        <f aca="false">IF($A44="","",SUMIFS('Trade Log'!$Y$4:$Y$503,'Trade Log'!$D$4:$D$503,$A44))</f>
        <v/>
      </c>
      <c r="K44" s="40" t="str">
        <f aca="false">IF($A44="","",SUMIFS('Trade Log'!$Z$4:$Z$503,'Trade Log'!$D$4:$D$503,$A44))</f>
        <v/>
      </c>
      <c r="L44" s="41" t="str">
        <f aca="false">IF($A44="","",COUNTIFS('Trade Log'!$D$4:$D$503,$A44,'Trade Log'!$Z$4:$Z$503,"&gt;0"))</f>
        <v/>
      </c>
      <c r="M44" s="55" t="str">
        <f aca="false">IF(OR($A44="",$E44=0),"",$L44/$E44)</f>
        <v/>
      </c>
      <c r="N44" s="40" t="str">
        <f aca="false">IF(OR($A44="",$E44=0),"",$K44/$E44)</f>
        <v/>
      </c>
      <c r="O44" s="40" t="str">
        <f aca="false">IF($A44="","",IFERROR(_xlfn.MAXIFS('Trade Log'!$Z$4:$Z$503,'Trade Log'!$D$4:$D$503,$A44),""))</f>
        <v/>
      </c>
      <c r="P44" s="40" t="str">
        <f aca="false">IF($A44="","",IFERROR(_xlfn.MINIFS('Trade Log'!$Z$4:$Z$503,'Trade Log'!$D$4:$D$503,$A44),""))</f>
        <v/>
      </c>
      <c r="Q44" s="55" t="str">
        <f aca="false">IF($A44="","",IFERROR(AVERAGEIFS('Trade Log'!$AA$4:$AA$503,'Trade Log'!$D$4:$D$503,$A44),""))</f>
        <v/>
      </c>
      <c r="R44" s="53" t="str">
        <f aca="false">IF($A44="","",IFERROR(AVERAGEIFS('Trade Log'!$P$4:$P$503,'Trade Log'!$D$4:$D$503,$A44),""))</f>
        <v/>
      </c>
      <c r="S44" s="44" t="str">
        <f aca="false">IF($A44="","",IFERROR(AVERAGEIFS('Trade Log'!$AC$4:$AC$503,'Trade Log'!$D$4:$D$503,$A44),""))</f>
        <v/>
      </c>
      <c r="T44" s="55" t="str">
        <f aca="false">IF(OR($A44="",Summary!$B$13=0),"",$K44/Summary!$B$13)</f>
        <v/>
      </c>
      <c r="U44" s="41" t="str">
        <f aca="false">IF($A44="","",IFERROR(RANK($K44,$K$4:$K$153),""))</f>
        <v/>
      </c>
    </row>
    <row r="45" customFormat="false" ht="15" hidden="false" customHeight="false" outlineLevel="0" collapsed="false">
      <c r="A45" s="49"/>
      <c r="B45" s="41" t="str">
        <f aca="false">IF($A45="","",COUNTIFS('Trade Log'!$D$4:$D$503,$A45))</f>
        <v/>
      </c>
      <c r="C45" s="41" t="str">
        <f aca="false">IF($A45="","",COUNTIFS('Trade Log'!$D$4:$D$503,$A45,'Trade Log'!$E$4:$E$503,"LONG"))</f>
        <v/>
      </c>
      <c r="D45" s="41" t="str">
        <f aca="false">IF($A45="","",COUNTIFS('Trade Log'!$D$4:$D$503,$A45,'Trade Log'!$E$4:$E$503,"SHORT"))</f>
        <v/>
      </c>
      <c r="E45" s="41" t="str">
        <f aca="false">IF($A45="","",COUNTIFS('Trade Log'!$D$4:$D$503,$A45,'Trade Log'!$N$4:$N$503,"&lt;&gt;"))</f>
        <v/>
      </c>
      <c r="F45" s="40" t="str">
        <f aca="false">IF($A45="","",SUMIFS('Trade Log'!$K$4:$K$503,'Trade Log'!$D$4:$D$503,$A45))</f>
        <v/>
      </c>
      <c r="G45" s="40" t="str">
        <f aca="false">IF($A45="","",SUMIFS('Trade Log'!$Z$4:$Z$503,'Trade Log'!$D$4:$D$503,$A45,'Trade Log'!$E$4:$E$503,"LONG"))</f>
        <v/>
      </c>
      <c r="H45" s="40" t="str">
        <f aca="false">IF($A45="","",SUMIFS('Trade Log'!$Z$4:$Z$503,'Trade Log'!$D$4:$D$503,$A45,'Trade Log'!$E$4:$E$503,"SHORT"))</f>
        <v/>
      </c>
      <c r="I45" s="40" t="str">
        <f aca="false">IF($A45="","",SUMIFS('Trade Log'!$Q$4:$Q$503,'Trade Log'!$D$4:$D$503,$A45))</f>
        <v/>
      </c>
      <c r="J45" s="40" t="str">
        <f aca="false">IF($A45="","",SUMIFS('Trade Log'!$Y$4:$Y$503,'Trade Log'!$D$4:$D$503,$A45))</f>
        <v/>
      </c>
      <c r="K45" s="40" t="str">
        <f aca="false">IF($A45="","",SUMIFS('Trade Log'!$Z$4:$Z$503,'Trade Log'!$D$4:$D$503,$A45))</f>
        <v/>
      </c>
      <c r="L45" s="41" t="str">
        <f aca="false">IF($A45="","",COUNTIFS('Trade Log'!$D$4:$D$503,$A45,'Trade Log'!$Z$4:$Z$503,"&gt;0"))</f>
        <v/>
      </c>
      <c r="M45" s="55" t="str">
        <f aca="false">IF(OR($A45="",$E45=0),"",$L45/$E45)</f>
        <v/>
      </c>
      <c r="N45" s="40" t="str">
        <f aca="false">IF(OR($A45="",$E45=0),"",$K45/$E45)</f>
        <v/>
      </c>
      <c r="O45" s="40" t="str">
        <f aca="false">IF($A45="","",IFERROR(_xlfn.MAXIFS('Trade Log'!$Z$4:$Z$503,'Trade Log'!$D$4:$D$503,$A45),""))</f>
        <v/>
      </c>
      <c r="P45" s="40" t="str">
        <f aca="false">IF($A45="","",IFERROR(_xlfn.MINIFS('Trade Log'!$Z$4:$Z$503,'Trade Log'!$D$4:$D$503,$A45),""))</f>
        <v/>
      </c>
      <c r="Q45" s="55" t="str">
        <f aca="false">IF($A45="","",IFERROR(AVERAGEIFS('Trade Log'!$AA$4:$AA$503,'Trade Log'!$D$4:$D$503,$A45),""))</f>
        <v/>
      </c>
      <c r="R45" s="53" t="str">
        <f aca="false">IF($A45="","",IFERROR(AVERAGEIFS('Trade Log'!$P$4:$P$503,'Trade Log'!$D$4:$D$503,$A45),""))</f>
        <v/>
      </c>
      <c r="S45" s="44" t="str">
        <f aca="false">IF($A45="","",IFERROR(AVERAGEIFS('Trade Log'!$AC$4:$AC$503,'Trade Log'!$D$4:$D$503,$A45),""))</f>
        <v/>
      </c>
      <c r="T45" s="55" t="str">
        <f aca="false">IF(OR($A45="",Summary!$B$13=0),"",$K45/Summary!$B$13)</f>
        <v/>
      </c>
      <c r="U45" s="41" t="str">
        <f aca="false">IF($A45="","",IFERROR(RANK($K45,$K$4:$K$153),""))</f>
        <v/>
      </c>
    </row>
    <row r="46" customFormat="false" ht="15" hidden="false" customHeight="false" outlineLevel="0" collapsed="false">
      <c r="A46" s="49"/>
      <c r="B46" s="41" t="str">
        <f aca="false">IF($A46="","",COUNTIFS('Trade Log'!$D$4:$D$503,$A46))</f>
        <v/>
      </c>
      <c r="C46" s="41" t="str">
        <f aca="false">IF($A46="","",COUNTIFS('Trade Log'!$D$4:$D$503,$A46,'Trade Log'!$E$4:$E$503,"LONG"))</f>
        <v/>
      </c>
      <c r="D46" s="41" t="str">
        <f aca="false">IF($A46="","",COUNTIFS('Trade Log'!$D$4:$D$503,$A46,'Trade Log'!$E$4:$E$503,"SHORT"))</f>
        <v/>
      </c>
      <c r="E46" s="41" t="str">
        <f aca="false">IF($A46="","",COUNTIFS('Trade Log'!$D$4:$D$503,$A46,'Trade Log'!$N$4:$N$503,"&lt;&gt;"))</f>
        <v/>
      </c>
      <c r="F46" s="40" t="str">
        <f aca="false">IF($A46="","",SUMIFS('Trade Log'!$K$4:$K$503,'Trade Log'!$D$4:$D$503,$A46))</f>
        <v/>
      </c>
      <c r="G46" s="40" t="str">
        <f aca="false">IF($A46="","",SUMIFS('Trade Log'!$Z$4:$Z$503,'Trade Log'!$D$4:$D$503,$A46,'Trade Log'!$E$4:$E$503,"LONG"))</f>
        <v/>
      </c>
      <c r="H46" s="40" t="str">
        <f aca="false">IF($A46="","",SUMIFS('Trade Log'!$Z$4:$Z$503,'Trade Log'!$D$4:$D$503,$A46,'Trade Log'!$E$4:$E$503,"SHORT"))</f>
        <v/>
      </c>
      <c r="I46" s="40" t="str">
        <f aca="false">IF($A46="","",SUMIFS('Trade Log'!$Q$4:$Q$503,'Trade Log'!$D$4:$D$503,$A46))</f>
        <v/>
      </c>
      <c r="J46" s="40" t="str">
        <f aca="false">IF($A46="","",SUMIFS('Trade Log'!$Y$4:$Y$503,'Trade Log'!$D$4:$D$503,$A46))</f>
        <v/>
      </c>
      <c r="K46" s="40" t="str">
        <f aca="false">IF($A46="","",SUMIFS('Trade Log'!$Z$4:$Z$503,'Trade Log'!$D$4:$D$503,$A46))</f>
        <v/>
      </c>
      <c r="L46" s="41" t="str">
        <f aca="false">IF($A46="","",COUNTIFS('Trade Log'!$D$4:$D$503,$A46,'Trade Log'!$Z$4:$Z$503,"&gt;0"))</f>
        <v/>
      </c>
      <c r="M46" s="55" t="str">
        <f aca="false">IF(OR($A46="",$E46=0),"",$L46/$E46)</f>
        <v/>
      </c>
      <c r="N46" s="40" t="str">
        <f aca="false">IF(OR($A46="",$E46=0),"",$K46/$E46)</f>
        <v/>
      </c>
      <c r="O46" s="40" t="str">
        <f aca="false">IF($A46="","",IFERROR(_xlfn.MAXIFS('Trade Log'!$Z$4:$Z$503,'Trade Log'!$D$4:$D$503,$A46),""))</f>
        <v/>
      </c>
      <c r="P46" s="40" t="str">
        <f aca="false">IF($A46="","",IFERROR(_xlfn.MINIFS('Trade Log'!$Z$4:$Z$503,'Trade Log'!$D$4:$D$503,$A46),""))</f>
        <v/>
      </c>
      <c r="Q46" s="55" t="str">
        <f aca="false">IF($A46="","",IFERROR(AVERAGEIFS('Trade Log'!$AA$4:$AA$503,'Trade Log'!$D$4:$D$503,$A46),""))</f>
        <v/>
      </c>
      <c r="R46" s="53" t="str">
        <f aca="false">IF($A46="","",IFERROR(AVERAGEIFS('Trade Log'!$P$4:$P$503,'Trade Log'!$D$4:$D$503,$A46),""))</f>
        <v/>
      </c>
      <c r="S46" s="44" t="str">
        <f aca="false">IF($A46="","",IFERROR(AVERAGEIFS('Trade Log'!$AC$4:$AC$503,'Trade Log'!$D$4:$D$503,$A46),""))</f>
        <v/>
      </c>
      <c r="T46" s="55" t="str">
        <f aca="false">IF(OR($A46="",Summary!$B$13=0),"",$K46/Summary!$B$13)</f>
        <v/>
      </c>
      <c r="U46" s="41" t="str">
        <f aca="false">IF($A46="","",IFERROR(RANK($K46,$K$4:$K$153),""))</f>
        <v/>
      </c>
    </row>
    <row r="47" customFormat="false" ht="15" hidden="false" customHeight="false" outlineLevel="0" collapsed="false">
      <c r="A47" s="49"/>
      <c r="B47" s="41" t="str">
        <f aca="false">IF($A47="","",COUNTIFS('Trade Log'!$D$4:$D$503,$A47))</f>
        <v/>
      </c>
      <c r="C47" s="41" t="str">
        <f aca="false">IF($A47="","",COUNTIFS('Trade Log'!$D$4:$D$503,$A47,'Trade Log'!$E$4:$E$503,"LONG"))</f>
        <v/>
      </c>
      <c r="D47" s="41" t="str">
        <f aca="false">IF($A47="","",COUNTIFS('Trade Log'!$D$4:$D$503,$A47,'Trade Log'!$E$4:$E$503,"SHORT"))</f>
        <v/>
      </c>
      <c r="E47" s="41" t="str">
        <f aca="false">IF($A47="","",COUNTIFS('Trade Log'!$D$4:$D$503,$A47,'Trade Log'!$N$4:$N$503,"&lt;&gt;"))</f>
        <v/>
      </c>
      <c r="F47" s="40" t="str">
        <f aca="false">IF($A47="","",SUMIFS('Trade Log'!$K$4:$K$503,'Trade Log'!$D$4:$D$503,$A47))</f>
        <v/>
      </c>
      <c r="G47" s="40" t="str">
        <f aca="false">IF($A47="","",SUMIFS('Trade Log'!$Z$4:$Z$503,'Trade Log'!$D$4:$D$503,$A47,'Trade Log'!$E$4:$E$503,"LONG"))</f>
        <v/>
      </c>
      <c r="H47" s="40" t="str">
        <f aca="false">IF($A47="","",SUMIFS('Trade Log'!$Z$4:$Z$503,'Trade Log'!$D$4:$D$503,$A47,'Trade Log'!$E$4:$E$503,"SHORT"))</f>
        <v/>
      </c>
      <c r="I47" s="40" t="str">
        <f aca="false">IF($A47="","",SUMIFS('Trade Log'!$Q$4:$Q$503,'Trade Log'!$D$4:$D$503,$A47))</f>
        <v/>
      </c>
      <c r="J47" s="40" t="str">
        <f aca="false">IF($A47="","",SUMIFS('Trade Log'!$Y$4:$Y$503,'Trade Log'!$D$4:$D$503,$A47))</f>
        <v/>
      </c>
      <c r="K47" s="40" t="str">
        <f aca="false">IF($A47="","",SUMIFS('Trade Log'!$Z$4:$Z$503,'Trade Log'!$D$4:$D$503,$A47))</f>
        <v/>
      </c>
      <c r="L47" s="41" t="str">
        <f aca="false">IF($A47="","",COUNTIFS('Trade Log'!$D$4:$D$503,$A47,'Trade Log'!$Z$4:$Z$503,"&gt;0"))</f>
        <v/>
      </c>
      <c r="M47" s="55" t="str">
        <f aca="false">IF(OR($A47="",$E47=0),"",$L47/$E47)</f>
        <v/>
      </c>
      <c r="N47" s="40" t="str">
        <f aca="false">IF(OR($A47="",$E47=0),"",$K47/$E47)</f>
        <v/>
      </c>
      <c r="O47" s="40" t="str">
        <f aca="false">IF($A47="","",IFERROR(_xlfn.MAXIFS('Trade Log'!$Z$4:$Z$503,'Trade Log'!$D$4:$D$503,$A47),""))</f>
        <v/>
      </c>
      <c r="P47" s="40" t="str">
        <f aca="false">IF($A47="","",IFERROR(_xlfn.MINIFS('Trade Log'!$Z$4:$Z$503,'Trade Log'!$D$4:$D$503,$A47),""))</f>
        <v/>
      </c>
      <c r="Q47" s="55" t="str">
        <f aca="false">IF($A47="","",IFERROR(AVERAGEIFS('Trade Log'!$AA$4:$AA$503,'Trade Log'!$D$4:$D$503,$A47),""))</f>
        <v/>
      </c>
      <c r="R47" s="53" t="str">
        <f aca="false">IF($A47="","",IFERROR(AVERAGEIFS('Trade Log'!$P$4:$P$503,'Trade Log'!$D$4:$D$503,$A47),""))</f>
        <v/>
      </c>
      <c r="S47" s="44" t="str">
        <f aca="false">IF($A47="","",IFERROR(AVERAGEIFS('Trade Log'!$AC$4:$AC$503,'Trade Log'!$D$4:$D$503,$A47),""))</f>
        <v/>
      </c>
      <c r="T47" s="55" t="str">
        <f aca="false">IF(OR($A47="",Summary!$B$13=0),"",$K47/Summary!$B$13)</f>
        <v/>
      </c>
      <c r="U47" s="41" t="str">
        <f aca="false">IF($A47="","",IFERROR(RANK($K47,$K$4:$K$153),""))</f>
        <v/>
      </c>
    </row>
    <row r="48" customFormat="false" ht="15" hidden="false" customHeight="false" outlineLevel="0" collapsed="false">
      <c r="A48" s="49"/>
      <c r="B48" s="41" t="str">
        <f aca="false">IF($A48="","",COUNTIFS('Trade Log'!$D$4:$D$503,$A48))</f>
        <v/>
      </c>
      <c r="C48" s="41" t="str">
        <f aca="false">IF($A48="","",COUNTIFS('Trade Log'!$D$4:$D$503,$A48,'Trade Log'!$E$4:$E$503,"LONG"))</f>
        <v/>
      </c>
      <c r="D48" s="41" t="str">
        <f aca="false">IF($A48="","",COUNTIFS('Trade Log'!$D$4:$D$503,$A48,'Trade Log'!$E$4:$E$503,"SHORT"))</f>
        <v/>
      </c>
      <c r="E48" s="41" t="str">
        <f aca="false">IF($A48="","",COUNTIFS('Trade Log'!$D$4:$D$503,$A48,'Trade Log'!$N$4:$N$503,"&lt;&gt;"))</f>
        <v/>
      </c>
      <c r="F48" s="40" t="str">
        <f aca="false">IF($A48="","",SUMIFS('Trade Log'!$K$4:$K$503,'Trade Log'!$D$4:$D$503,$A48))</f>
        <v/>
      </c>
      <c r="G48" s="40" t="str">
        <f aca="false">IF($A48="","",SUMIFS('Trade Log'!$Z$4:$Z$503,'Trade Log'!$D$4:$D$503,$A48,'Trade Log'!$E$4:$E$503,"LONG"))</f>
        <v/>
      </c>
      <c r="H48" s="40" t="str">
        <f aca="false">IF($A48="","",SUMIFS('Trade Log'!$Z$4:$Z$503,'Trade Log'!$D$4:$D$503,$A48,'Trade Log'!$E$4:$E$503,"SHORT"))</f>
        <v/>
      </c>
      <c r="I48" s="40" t="str">
        <f aca="false">IF($A48="","",SUMIFS('Trade Log'!$Q$4:$Q$503,'Trade Log'!$D$4:$D$503,$A48))</f>
        <v/>
      </c>
      <c r="J48" s="40" t="str">
        <f aca="false">IF($A48="","",SUMIFS('Trade Log'!$Y$4:$Y$503,'Trade Log'!$D$4:$D$503,$A48))</f>
        <v/>
      </c>
      <c r="K48" s="40" t="str">
        <f aca="false">IF($A48="","",SUMIFS('Trade Log'!$Z$4:$Z$503,'Trade Log'!$D$4:$D$503,$A48))</f>
        <v/>
      </c>
      <c r="L48" s="41" t="str">
        <f aca="false">IF($A48="","",COUNTIFS('Trade Log'!$D$4:$D$503,$A48,'Trade Log'!$Z$4:$Z$503,"&gt;0"))</f>
        <v/>
      </c>
      <c r="M48" s="55" t="str">
        <f aca="false">IF(OR($A48="",$E48=0),"",$L48/$E48)</f>
        <v/>
      </c>
      <c r="N48" s="40" t="str">
        <f aca="false">IF(OR($A48="",$E48=0),"",$K48/$E48)</f>
        <v/>
      </c>
      <c r="O48" s="40" t="str">
        <f aca="false">IF($A48="","",IFERROR(_xlfn.MAXIFS('Trade Log'!$Z$4:$Z$503,'Trade Log'!$D$4:$D$503,$A48),""))</f>
        <v/>
      </c>
      <c r="P48" s="40" t="str">
        <f aca="false">IF($A48="","",IFERROR(_xlfn.MINIFS('Trade Log'!$Z$4:$Z$503,'Trade Log'!$D$4:$D$503,$A48),""))</f>
        <v/>
      </c>
      <c r="Q48" s="55" t="str">
        <f aca="false">IF($A48="","",IFERROR(AVERAGEIFS('Trade Log'!$AA$4:$AA$503,'Trade Log'!$D$4:$D$503,$A48),""))</f>
        <v/>
      </c>
      <c r="R48" s="53" t="str">
        <f aca="false">IF($A48="","",IFERROR(AVERAGEIFS('Trade Log'!$P$4:$P$503,'Trade Log'!$D$4:$D$503,$A48),""))</f>
        <v/>
      </c>
      <c r="S48" s="44" t="str">
        <f aca="false">IF($A48="","",IFERROR(AVERAGEIFS('Trade Log'!$AC$4:$AC$503,'Trade Log'!$D$4:$D$503,$A48),""))</f>
        <v/>
      </c>
      <c r="T48" s="55" t="str">
        <f aca="false">IF(OR($A48="",Summary!$B$13=0),"",$K48/Summary!$B$13)</f>
        <v/>
      </c>
      <c r="U48" s="41" t="str">
        <f aca="false">IF($A48="","",IFERROR(RANK($K48,$K$4:$K$153),""))</f>
        <v/>
      </c>
    </row>
    <row r="49" customFormat="false" ht="15" hidden="false" customHeight="false" outlineLevel="0" collapsed="false">
      <c r="A49" s="49"/>
      <c r="B49" s="41" t="str">
        <f aca="false">IF($A49="","",COUNTIFS('Trade Log'!$D$4:$D$503,$A49))</f>
        <v/>
      </c>
      <c r="C49" s="41" t="str">
        <f aca="false">IF($A49="","",COUNTIFS('Trade Log'!$D$4:$D$503,$A49,'Trade Log'!$E$4:$E$503,"LONG"))</f>
        <v/>
      </c>
      <c r="D49" s="41" t="str">
        <f aca="false">IF($A49="","",COUNTIFS('Trade Log'!$D$4:$D$503,$A49,'Trade Log'!$E$4:$E$503,"SHORT"))</f>
        <v/>
      </c>
      <c r="E49" s="41" t="str">
        <f aca="false">IF($A49="","",COUNTIFS('Trade Log'!$D$4:$D$503,$A49,'Trade Log'!$N$4:$N$503,"&lt;&gt;"))</f>
        <v/>
      </c>
      <c r="F49" s="40" t="str">
        <f aca="false">IF($A49="","",SUMIFS('Trade Log'!$K$4:$K$503,'Trade Log'!$D$4:$D$503,$A49))</f>
        <v/>
      </c>
      <c r="G49" s="40" t="str">
        <f aca="false">IF($A49="","",SUMIFS('Trade Log'!$Z$4:$Z$503,'Trade Log'!$D$4:$D$503,$A49,'Trade Log'!$E$4:$E$503,"LONG"))</f>
        <v/>
      </c>
      <c r="H49" s="40" t="str">
        <f aca="false">IF($A49="","",SUMIFS('Trade Log'!$Z$4:$Z$503,'Trade Log'!$D$4:$D$503,$A49,'Trade Log'!$E$4:$E$503,"SHORT"))</f>
        <v/>
      </c>
      <c r="I49" s="40" t="str">
        <f aca="false">IF($A49="","",SUMIFS('Trade Log'!$Q$4:$Q$503,'Trade Log'!$D$4:$D$503,$A49))</f>
        <v/>
      </c>
      <c r="J49" s="40" t="str">
        <f aca="false">IF($A49="","",SUMIFS('Trade Log'!$Y$4:$Y$503,'Trade Log'!$D$4:$D$503,$A49))</f>
        <v/>
      </c>
      <c r="K49" s="40" t="str">
        <f aca="false">IF($A49="","",SUMIFS('Trade Log'!$Z$4:$Z$503,'Trade Log'!$D$4:$D$503,$A49))</f>
        <v/>
      </c>
      <c r="L49" s="41" t="str">
        <f aca="false">IF($A49="","",COUNTIFS('Trade Log'!$D$4:$D$503,$A49,'Trade Log'!$Z$4:$Z$503,"&gt;0"))</f>
        <v/>
      </c>
      <c r="M49" s="55" t="str">
        <f aca="false">IF(OR($A49="",$E49=0),"",$L49/$E49)</f>
        <v/>
      </c>
      <c r="N49" s="40" t="str">
        <f aca="false">IF(OR($A49="",$E49=0),"",$K49/$E49)</f>
        <v/>
      </c>
      <c r="O49" s="40" t="str">
        <f aca="false">IF($A49="","",IFERROR(_xlfn.MAXIFS('Trade Log'!$Z$4:$Z$503,'Trade Log'!$D$4:$D$503,$A49),""))</f>
        <v/>
      </c>
      <c r="P49" s="40" t="str">
        <f aca="false">IF($A49="","",IFERROR(_xlfn.MINIFS('Trade Log'!$Z$4:$Z$503,'Trade Log'!$D$4:$D$503,$A49),""))</f>
        <v/>
      </c>
      <c r="Q49" s="55" t="str">
        <f aca="false">IF($A49="","",IFERROR(AVERAGEIFS('Trade Log'!$AA$4:$AA$503,'Trade Log'!$D$4:$D$503,$A49),""))</f>
        <v/>
      </c>
      <c r="R49" s="53" t="str">
        <f aca="false">IF($A49="","",IFERROR(AVERAGEIFS('Trade Log'!$P$4:$P$503,'Trade Log'!$D$4:$D$503,$A49),""))</f>
        <v/>
      </c>
      <c r="S49" s="44" t="str">
        <f aca="false">IF($A49="","",IFERROR(AVERAGEIFS('Trade Log'!$AC$4:$AC$503,'Trade Log'!$D$4:$D$503,$A49),""))</f>
        <v/>
      </c>
      <c r="T49" s="55" t="str">
        <f aca="false">IF(OR($A49="",Summary!$B$13=0),"",$K49/Summary!$B$13)</f>
        <v/>
      </c>
      <c r="U49" s="41" t="str">
        <f aca="false">IF($A49="","",IFERROR(RANK($K49,$K$4:$K$153),""))</f>
        <v/>
      </c>
    </row>
    <row r="50" customFormat="false" ht="15" hidden="false" customHeight="false" outlineLevel="0" collapsed="false">
      <c r="A50" s="49"/>
      <c r="B50" s="41" t="str">
        <f aca="false">IF($A50="","",COUNTIFS('Trade Log'!$D$4:$D$503,$A50))</f>
        <v/>
      </c>
      <c r="C50" s="41" t="str">
        <f aca="false">IF($A50="","",COUNTIFS('Trade Log'!$D$4:$D$503,$A50,'Trade Log'!$E$4:$E$503,"LONG"))</f>
        <v/>
      </c>
      <c r="D50" s="41" t="str">
        <f aca="false">IF($A50="","",COUNTIFS('Trade Log'!$D$4:$D$503,$A50,'Trade Log'!$E$4:$E$503,"SHORT"))</f>
        <v/>
      </c>
      <c r="E50" s="41" t="str">
        <f aca="false">IF($A50="","",COUNTIFS('Trade Log'!$D$4:$D$503,$A50,'Trade Log'!$N$4:$N$503,"&lt;&gt;"))</f>
        <v/>
      </c>
      <c r="F50" s="40" t="str">
        <f aca="false">IF($A50="","",SUMIFS('Trade Log'!$K$4:$K$503,'Trade Log'!$D$4:$D$503,$A50))</f>
        <v/>
      </c>
      <c r="G50" s="40" t="str">
        <f aca="false">IF($A50="","",SUMIFS('Trade Log'!$Z$4:$Z$503,'Trade Log'!$D$4:$D$503,$A50,'Trade Log'!$E$4:$E$503,"LONG"))</f>
        <v/>
      </c>
      <c r="H50" s="40" t="str">
        <f aca="false">IF($A50="","",SUMIFS('Trade Log'!$Z$4:$Z$503,'Trade Log'!$D$4:$D$503,$A50,'Trade Log'!$E$4:$E$503,"SHORT"))</f>
        <v/>
      </c>
      <c r="I50" s="40" t="str">
        <f aca="false">IF($A50="","",SUMIFS('Trade Log'!$Q$4:$Q$503,'Trade Log'!$D$4:$D$503,$A50))</f>
        <v/>
      </c>
      <c r="J50" s="40" t="str">
        <f aca="false">IF($A50="","",SUMIFS('Trade Log'!$Y$4:$Y$503,'Trade Log'!$D$4:$D$503,$A50))</f>
        <v/>
      </c>
      <c r="K50" s="40" t="str">
        <f aca="false">IF($A50="","",SUMIFS('Trade Log'!$Z$4:$Z$503,'Trade Log'!$D$4:$D$503,$A50))</f>
        <v/>
      </c>
      <c r="L50" s="41" t="str">
        <f aca="false">IF($A50="","",COUNTIFS('Trade Log'!$D$4:$D$503,$A50,'Trade Log'!$Z$4:$Z$503,"&gt;0"))</f>
        <v/>
      </c>
      <c r="M50" s="55" t="str">
        <f aca="false">IF(OR($A50="",$E50=0),"",$L50/$E50)</f>
        <v/>
      </c>
      <c r="N50" s="40" t="str">
        <f aca="false">IF(OR($A50="",$E50=0),"",$K50/$E50)</f>
        <v/>
      </c>
      <c r="O50" s="40" t="str">
        <f aca="false">IF($A50="","",IFERROR(_xlfn.MAXIFS('Trade Log'!$Z$4:$Z$503,'Trade Log'!$D$4:$D$503,$A50),""))</f>
        <v/>
      </c>
      <c r="P50" s="40" t="str">
        <f aca="false">IF($A50="","",IFERROR(_xlfn.MINIFS('Trade Log'!$Z$4:$Z$503,'Trade Log'!$D$4:$D$503,$A50),""))</f>
        <v/>
      </c>
      <c r="Q50" s="55" t="str">
        <f aca="false">IF($A50="","",IFERROR(AVERAGEIFS('Trade Log'!$AA$4:$AA$503,'Trade Log'!$D$4:$D$503,$A50),""))</f>
        <v/>
      </c>
      <c r="R50" s="53" t="str">
        <f aca="false">IF($A50="","",IFERROR(AVERAGEIFS('Trade Log'!$P$4:$P$503,'Trade Log'!$D$4:$D$503,$A50),""))</f>
        <v/>
      </c>
      <c r="S50" s="44" t="str">
        <f aca="false">IF($A50="","",IFERROR(AVERAGEIFS('Trade Log'!$AC$4:$AC$503,'Trade Log'!$D$4:$D$503,$A50),""))</f>
        <v/>
      </c>
      <c r="T50" s="55" t="str">
        <f aca="false">IF(OR($A50="",Summary!$B$13=0),"",$K50/Summary!$B$13)</f>
        <v/>
      </c>
      <c r="U50" s="41" t="str">
        <f aca="false">IF($A50="","",IFERROR(RANK($K50,$K$4:$K$153),""))</f>
        <v/>
      </c>
    </row>
    <row r="51" customFormat="false" ht="15" hidden="false" customHeight="false" outlineLevel="0" collapsed="false">
      <c r="A51" s="49"/>
      <c r="B51" s="41" t="str">
        <f aca="false">IF($A51="","",COUNTIFS('Trade Log'!$D$4:$D$503,$A51))</f>
        <v/>
      </c>
      <c r="C51" s="41" t="str">
        <f aca="false">IF($A51="","",COUNTIFS('Trade Log'!$D$4:$D$503,$A51,'Trade Log'!$E$4:$E$503,"LONG"))</f>
        <v/>
      </c>
      <c r="D51" s="41" t="str">
        <f aca="false">IF($A51="","",COUNTIFS('Trade Log'!$D$4:$D$503,$A51,'Trade Log'!$E$4:$E$503,"SHORT"))</f>
        <v/>
      </c>
      <c r="E51" s="41" t="str">
        <f aca="false">IF($A51="","",COUNTIFS('Trade Log'!$D$4:$D$503,$A51,'Trade Log'!$N$4:$N$503,"&lt;&gt;"))</f>
        <v/>
      </c>
      <c r="F51" s="40" t="str">
        <f aca="false">IF($A51="","",SUMIFS('Trade Log'!$K$4:$K$503,'Trade Log'!$D$4:$D$503,$A51))</f>
        <v/>
      </c>
      <c r="G51" s="40" t="str">
        <f aca="false">IF($A51="","",SUMIFS('Trade Log'!$Z$4:$Z$503,'Trade Log'!$D$4:$D$503,$A51,'Trade Log'!$E$4:$E$503,"LONG"))</f>
        <v/>
      </c>
      <c r="H51" s="40" t="str">
        <f aca="false">IF($A51="","",SUMIFS('Trade Log'!$Z$4:$Z$503,'Trade Log'!$D$4:$D$503,$A51,'Trade Log'!$E$4:$E$503,"SHORT"))</f>
        <v/>
      </c>
      <c r="I51" s="40" t="str">
        <f aca="false">IF($A51="","",SUMIFS('Trade Log'!$Q$4:$Q$503,'Trade Log'!$D$4:$D$503,$A51))</f>
        <v/>
      </c>
      <c r="J51" s="40" t="str">
        <f aca="false">IF($A51="","",SUMIFS('Trade Log'!$Y$4:$Y$503,'Trade Log'!$D$4:$D$503,$A51))</f>
        <v/>
      </c>
      <c r="K51" s="40" t="str">
        <f aca="false">IF($A51="","",SUMIFS('Trade Log'!$Z$4:$Z$503,'Trade Log'!$D$4:$D$503,$A51))</f>
        <v/>
      </c>
      <c r="L51" s="41" t="str">
        <f aca="false">IF($A51="","",COUNTIFS('Trade Log'!$D$4:$D$503,$A51,'Trade Log'!$Z$4:$Z$503,"&gt;0"))</f>
        <v/>
      </c>
      <c r="M51" s="55" t="str">
        <f aca="false">IF(OR($A51="",$E51=0),"",$L51/$E51)</f>
        <v/>
      </c>
      <c r="N51" s="40" t="str">
        <f aca="false">IF(OR($A51="",$E51=0),"",$K51/$E51)</f>
        <v/>
      </c>
      <c r="O51" s="40" t="str">
        <f aca="false">IF($A51="","",IFERROR(_xlfn.MAXIFS('Trade Log'!$Z$4:$Z$503,'Trade Log'!$D$4:$D$503,$A51),""))</f>
        <v/>
      </c>
      <c r="P51" s="40" t="str">
        <f aca="false">IF($A51="","",IFERROR(_xlfn.MINIFS('Trade Log'!$Z$4:$Z$503,'Trade Log'!$D$4:$D$503,$A51),""))</f>
        <v/>
      </c>
      <c r="Q51" s="55" t="str">
        <f aca="false">IF($A51="","",IFERROR(AVERAGEIFS('Trade Log'!$AA$4:$AA$503,'Trade Log'!$D$4:$D$503,$A51),""))</f>
        <v/>
      </c>
      <c r="R51" s="53" t="str">
        <f aca="false">IF($A51="","",IFERROR(AVERAGEIFS('Trade Log'!$P$4:$P$503,'Trade Log'!$D$4:$D$503,$A51),""))</f>
        <v/>
      </c>
      <c r="S51" s="44" t="str">
        <f aca="false">IF($A51="","",IFERROR(AVERAGEIFS('Trade Log'!$AC$4:$AC$503,'Trade Log'!$D$4:$D$503,$A51),""))</f>
        <v/>
      </c>
      <c r="T51" s="55" t="str">
        <f aca="false">IF(OR($A51="",Summary!$B$13=0),"",$K51/Summary!$B$13)</f>
        <v/>
      </c>
      <c r="U51" s="41" t="str">
        <f aca="false">IF($A51="","",IFERROR(RANK($K51,$K$4:$K$153),""))</f>
        <v/>
      </c>
    </row>
    <row r="52" customFormat="false" ht="15" hidden="false" customHeight="false" outlineLevel="0" collapsed="false">
      <c r="A52" s="49"/>
      <c r="B52" s="41" t="str">
        <f aca="false">IF($A52="","",COUNTIFS('Trade Log'!$D$4:$D$503,$A52))</f>
        <v/>
      </c>
      <c r="C52" s="41" t="str">
        <f aca="false">IF($A52="","",COUNTIFS('Trade Log'!$D$4:$D$503,$A52,'Trade Log'!$E$4:$E$503,"LONG"))</f>
        <v/>
      </c>
      <c r="D52" s="41" t="str">
        <f aca="false">IF($A52="","",COUNTIFS('Trade Log'!$D$4:$D$503,$A52,'Trade Log'!$E$4:$E$503,"SHORT"))</f>
        <v/>
      </c>
      <c r="E52" s="41" t="str">
        <f aca="false">IF($A52="","",COUNTIFS('Trade Log'!$D$4:$D$503,$A52,'Trade Log'!$N$4:$N$503,"&lt;&gt;"))</f>
        <v/>
      </c>
      <c r="F52" s="40" t="str">
        <f aca="false">IF($A52="","",SUMIFS('Trade Log'!$K$4:$K$503,'Trade Log'!$D$4:$D$503,$A52))</f>
        <v/>
      </c>
      <c r="G52" s="40" t="str">
        <f aca="false">IF($A52="","",SUMIFS('Trade Log'!$Z$4:$Z$503,'Trade Log'!$D$4:$D$503,$A52,'Trade Log'!$E$4:$E$503,"LONG"))</f>
        <v/>
      </c>
      <c r="H52" s="40" t="str">
        <f aca="false">IF($A52="","",SUMIFS('Trade Log'!$Z$4:$Z$503,'Trade Log'!$D$4:$D$503,$A52,'Trade Log'!$E$4:$E$503,"SHORT"))</f>
        <v/>
      </c>
      <c r="I52" s="40" t="str">
        <f aca="false">IF($A52="","",SUMIFS('Trade Log'!$Q$4:$Q$503,'Trade Log'!$D$4:$D$503,$A52))</f>
        <v/>
      </c>
      <c r="J52" s="40" t="str">
        <f aca="false">IF($A52="","",SUMIFS('Trade Log'!$Y$4:$Y$503,'Trade Log'!$D$4:$D$503,$A52))</f>
        <v/>
      </c>
      <c r="K52" s="40" t="str">
        <f aca="false">IF($A52="","",SUMIFS('Trade Log'!$Z$4:$Z$503,'Trade Log'!$D$4:$D$503,$A52))</f>
        <v/>
      </c>
      <c r="L52" s="41" t="str">
        <f aca="false">IF($A52="","",COUNTIFS('Trade Log'!$D$4:$D$503,$A52,'Trade Log'!$Z$4:$Z$503,"&gt;0"))</f>
        <v/>
      </c>
      <c r="M52" s="55" t="str">
        <f aca="false">IF(OR($A52="",$E52=0),"",$L52/$E52)</f>
        <v/>
      </c>
      <c r="N52" s="40" t="str">
        <f aca="false">IF(OR($A52="",$E52=0),"",$K52/$E52)</f>
        <v/>
      </c>
      <c r="O52" s="40" t="str">
        <f aca="false">IF($A52="","",IFERROR(_xlfn.MAXIFS('Trade Log'!$Z$4:$Z$503,'Trade Log'!$D$4:$D$503,$A52),""))</f>
        <v/>
      </c>
      <c r="P52" s="40" t="str">
        <f aca="false">IF($A52="","",IFERROR(_xlfn.MINIFS('Trade Log'!$Z$4:$Z$503,'Trade Log'!$D$4:$D$503,$A52),""))</f>
        <v/>
      </c>
      <c r="Q52" s="55" t="str">
        <f aca="false">IF($A52="","",IFERROR(AVERAGEIFS('Trade Log'!$AA$4:$AA$503,'Trade Log'!$D$4:$D$503,$A52),""))</f>
        <v/>
      </c>
      <c r="R52" s="53" t="str">
        <f aca="false">IF($A52="","",IFERROR(AVERAGEIFS('Trade Log'!$P$4:$P$503,'Trade Log'!$D$4:$D$503,$A52),""))</f>
        <v/>
      </c>
      <c r="S52" s="44" t="str">
        <f aca="false">IF($A52="","",IFERROR(AVERAGEIFS('Trade Log'!$AC$4:$AC$503,'Trade Log'!$D$4:$D$503,$A52),""))</f>
        <v/>
      </c>
      <c r="T52" s="55" t="str">
        <f aca="false">IF(OR($A52="",Summary!$B$13=0),"",$K52/Summary!$B$13)</f>
        <v/>
      </c>
      <c r="U52" s="41" t="str">
        <f aca="false">IF($A52="","",IFERROR(RANK($K52,$K$4:$K$153),""))</f>
        <v/>
      </c>
    </row>
    <row r="53" customFormat="false" ht="15" hidden="false" customHeight="false" outlineLevel="0" collapsed="false">
      <c r="A53" s="49"/>
      <c r="B53" s="41" t="str">
        <f aca="false">IF($A53="","",COUNTIFS('Trade Log'!$D$4:$D$503,$A53))</f>
        <v/>
      </c>
      <c r="C53" s="41" t="str">
        <f aca="false">IF($A53="","",COUNTIFS('Trade Log'!$D$4:$D$503,$A53,'Trade Log'!$E$4:$E$503,"LONG"))</f>
        <v/>
      </c>
      <c r="D53" s="41" t="str">
        <f aca="false">IF($A53="","",COUNTIFS('Trade Log'!$D$4:$D$503,$A53,'Trade Log'!$E$4:$E$503,"SHORT"))</f>
        <v/>
      </c>
      <c r="E53" s="41" t="str">
        <f aca="false">IF($A53="","",COUNTIFS('Trade Log'!$D$4:$D$503,$A53,'Trade Log'!$N$4:$N$503,"&lt;&gt;"))</f>
        <v/>
      </c>
      <c r="F53" s="40" t="str">
        <f aca="false">IF($A53="","",SUMIFS('Trade Log'!$K$4:$K$503,'Trade Log'!$D$4:$D$503,$A53))</f>
        <v/>
      </c>
      <c r="G53" s="40" t="str">
        <f aca="false">IF($A53="","",SUMIFS('Trade Log'!$Z$4:$Z$503,'Trade Log'!$D$4:$D$503,$A53,'Trade Log'!$E$4:$E$503,"LONG"))</f>
        <v/>
      </c>
      <c r="H53" s="40" t="str">
        <f aca="false">IF($A53="","",SUMIFS('Trade Log'!$Z$4:$Z$503,'Trade Log'!$D$4:$D$503,$A53,'Trade Log'!$E$4:$E$503,"SHORT"))</f>
        <v/>
      </c>
      <c r="I53" s="40" t="str">
        <f aca="false">IF($A53="","",SUMIFS('Trade Log'!$Q$4:$Q$503,'Trade Log'!$D$4:$D$503,$A53))</f>
        <v/>
      </c>
      <c r="J53" s="40" t="str">
        <f aca="false">IF($A53="","",SUMIFS('Trade Log'!$Y$4:$Y$503,'Trade Log'!$D$4:$D$503,$A53))</f>
        <v/>
      </c>
      <c r="K53" s="40" t="str">
        <f aca="false">IF($A53="","",SUMIFS('Trade Log'!$Z$4:$Z$503,'Trade Log'!$D$4:$D$503,$A53))</f>
        <v/>
      </c>
      <c r="L53" s="41" t="str">
        <f aca="false">IF($A53="","",COUNTIFS('Trade Log'!$D$4:$D$503,$A53,'Trade Log'!$Z$4:$Z$503,"&gt;0"))</f>
        <v/>
      </c>
      <c r="M53" s="55" t="str">
        <f aca="false">IF(OR($A53="",$E53=0),"",$L53/$E53)</f>
        <v/>
      </c>
      <c r="N53" s="40" t="str">
        <f aca="false">IF(OR($A53="",$E53=0),"",$K53/$E53)</f>
        <v/>
      </c>
      <c r="O53" s="40" t="str">
        <f aca="false">IF($A53="","",IFERROR(_xlfn.MAXIFS('Trade Log'!$Z$4:$Z$503,'Trade Log'!$D$4:$D$503,$A53),""))</f>
        <v/>
      </c>
      <c r="P53" s="40" t="str">
        <f aca="false">IF($A53="","",IFERROR(_xlfn.MINIFS('Trade Log'!$Z$4:$Z$503,'Trade Log'!$D$4:$D$503,$A53),""))</f>
        <v/>
      </c>
      <c r="Q53" s="55" t="str">
        <f aca="false">IF($A53="","",IFERROR(AVERAGEIFS('Trade Log'!$AA$4:$AA$503,'Trade Log'!$D$4:$D$503,$A53),""))</f>
        <v/>
      </c>
      <c r="R53" s="53" t="str">
        <f aca="false">IF($A53="","",IFERROR(AVERAGEIFS('Trade Log'!$P$4:$P$503,'Trade Log'!$D$4:$D$503,$A53),""))</f>
        <v/>
      </c>
      <c r="S53" s="44" t="str">
        <f aca="false">IF($A53="","",IFERROR(AVERAGEIFS('Trade Log'!$AC$4:$AC$503,'Trade Log'!$D$4:$D$503,$A53),""))</f>
        <v/>
      </c>
      <c r="T53" s="55" t="str">
        <f aca="false">IF(OR($A53="",Summary!$B$13=0),"",$K53/Summary!$B$13)</f>
        <v/>
      </c>
      <c r="U53" s="41" t="str">
        <f aca="false">IF($A53="","",IFERROR(RANK($K53,$K$4:$K$153),""))</f>
        <v/>
      </c>
    </row>
    <row r="54" customFormat="false" ht="15" hidden="false" customHeight="false" outlineLevel="0" collapsed="false">
      <c r="A54" s="49"/>
      <c r="B54" s="41" t="str">
        <f aca="false">IF($A54="","",COUNTIFS('Trade Log'!$D$4:$D$503,$A54))</f>
        <v/>
      </c>
      <c r="C54" s="41" t="str">
        <f aca="false">IF($A54="","",COUNTIFS('Trade Log'!$D$4:$D$503,$A54,'Trade Log'!$E$4:$E$503,"LONG"))</f>
        <v/>
      </c>
      <c r="D54" s="41" t="str">
        <f aca="false">IF($A54="","",COUNTIFS('Trade Log'!$D$4:$D$503,$A54,'Trade Log'!$E$4:$E$503,"SHORT"))</f>
        <v/>
      </c>
      <c r="E54" s="41" t="str">
        <f aca="false">IF($A54="","",COUNTIFS('Trade Log'!$D$4:$D$503,$A54,'Trade Log'!$N$4:$N$503,"&lt;&gt;"))</f>
        <v/>
      </c>
      <c r="F54" s="40" t="str">
        <f aca="false">IF($A54="","",SUMIFS('Trade Log'!$K$4:$K$503,'Trade Log'!$D$4:$D$503,$A54))</f>
        <v/>
      </c>
      <c r="G54" s="40" t="str">
        <f aca="false">IF($A54="","",SUMIFS('Trade Log'!$Z$4:$Z$503,'Trade Log'!$D$4:$D$503,$A54,'Trade Log'!$E$4:$E$503,"LONG"))</f>
        <v/>
      </c>
      <c r="H54" s="40" t="str">
        <f aca="false">IF($A54="","",SUMIFS('Trade Log'!$Z$4:$Z$503,'Trade Log'!$D$4:$D$503,$A54,'Trade Log'!$E$4:$E$503,"SHORT"))</f>
        <v/>
      </c>
      <c r="I54" s="40" t="str">
        <f aca="false">IF($A54="","",SUMIFS('Trade Log'!$Q$4:$Q$503,'Trade Log'!$D$4:$D$503,$A54))</f>
        <v/>
      </c>
      <c r="J54" s="40" t="str">
        <f aca="false">IF($A54="","",SUMIFS('Trade Log'!$Y$4:$Y$503,'Trade Log'!$D$4:$D$503,$A54))</f>
        <v/>
      </c>
      <c r="K54" s="40" t="str">
        <f aca="false">IF($A54="","",SUMIFS('Trade Log'!$Z$4:$Z$503,'Trade Log'!$D$4:$D$503,$A54))</f>
        <v/>
      </c>
      <c r="L54" s="41" t="str">
        <f aca="false">IF($A54="","",COUNTIFS('Trade Log'!$D$4:$D$503,$A54,'Trade Log'!$Z$4:$Z$503,"&gt;0"))</f>
        <v/>
      </c>
      <c r="M54" s="55" t="str">
        <f aca="false">IF(OR($A54="",$E54=0),"",$L54/$E54)</f>
        <v/>
      </c>
      <c r="N54" s="40" t="str">
        <f aca="false">IF(OR($A54="",$E54=0),"",$K54/$E54)</f>
        <v/>
      </c>
      <c r="O54" s="40" t="str">
        <f aca="false">IF($A54="","",IFERROR(_xlfn.MAXIFS('Trade Log'!$Z$4:$Z$503,'Trade Log'!$D$4:$D$503,$A54),""))</f>
        <v/>
      </c>
      <c r="P54" s="40" t="str">
        <f aca="false">IF($A54="","",IFERROR(_xlfn.MINIFS('Trade Log'!$Z$4:$Z$503,'Trade Log'!$D$4:$D$503,$A54),""))</f>
        <v/>
      </c>
      <c r="Q54" s="55" t="str">
        <f aca="false">IF($A54="","",IFERROR(AVERAGEIFS('Trade Log'!$AA$4:$AA$503,'Trade Log'!$D$4:$D$503,$A54),""))</f>
        <v/>
      </c>
      <c r="R54" s="53" t="str">
        <f aca="false">IF($A54="","",IFERROR(AVERAGEIFS('Trade Log'!$P$4:$P$503,'Trade Log'!$D$4:$D$503,$A54),""))</f>
        <v/>
      </c>
      <c r="S54" s="44" t="str">
        <f aca="false">IF($A54="","",IFERROR(AVERAGEIFS('Trade Log'!$AC$4:$AC$503,'Trade Log'!$D$4:$D$503,$A54),""))</f>
        <v/>
      </c>
      <c r="T54" s="55" t="str">
        <f aca="false">IF(OR($A54="",Summary!$B$13=0),"",$K54/Summary!$B$13)</f>
        <v/>
      </c>
      <c r="U54" s="41" t="str">
        <f aca="false">IF($A54="","",IFERROR(RANK($K54,$K$4:$K$153),""))</f>
        <v/>
      </c>
    </row>
    <row r="55" customFormat="false" ht="15" hidden="false" customHeight="false" outlineLevel="0" collapsed="false">
      <c r="A55" s="49"/>
      <c r="B55" s="41" t="str">
        <f aca="false">IF($A55="","",COUNTIFS('Trade Log'!$D$4:$D$503,$A55))</f>
        <v/>
      </c>
      <c r="C55" s="41" t="str">
        <f aca="false">IF($A55="","",COUNTIFS('Trade Log'!$D$4:$D$503,$A55,'Trade Log'!$E$4:$E$503,"LONG"))</f>
        <v/>
      </c>
      <c r="D55" s="41" t="str">
        <f aca="false">IF($A55="","",COUNTIFS('Trade Log'!$D$4:$D$503,$A55,'Trade Log'!$E$4:$E$503,"SHORT"))</f>
        <v/>
      </c>
      <c r="E55" s="41" t="str">
        <f aca="false">IF($A55="","",COUNTIFS('Trade Log'!$D$4:$D$503,$A55,'Trade Log'!$N$4:$N$503,"&lt;&gt;"))</f>
        <v/>
      </c>
      <c r="F55" s="40" t="str">
        <f aca="false">IF($A55="","",SUMIFS('Trade Log'!$K$4:$K$503,'Trade Log'!$D$4:$D$503,$A55))</f>
        <v/>
      </c>
      <c r="G55" s="40" t="str">
        <f aca="false">IF($A55="","",SUMIFS('Trade Log'!$Z$4:$Z$503,'Trade Log'!$D$4:$D$503,$A55,'Trade Log'!$E$4:$E$503,"LONG"))</f>
        <v/>
      </c>
      <c r="H55" s="40" t="str">
        <f aca="false">IF($A55="","",SUMIFS('Trade Log'!$Z$4:$Z$503,'Trade Log'!$D$4:$D$503,$A55,'Trade Log'!$E$4:$E$503,"SHORT"))</f>
        <v/>
      </c>
      <c r="I55" s="40" t="str">
        <f aca="false">IF($A55="","",SUMIFS('Trade Log'!$Q$4:$Q$503,'Trade Log'!$D$4:$D$503,$A55))</f>
        <v/>
      </c>
      <c r="J55" s="40" t="str">
        <f aca="false">IF($A55="","",SUMIFS('Trade Log'!$Y$4:$Y$503,'Trade Log'!$D$4:$D$503,$A55))</f>
        <v/>
      </c>
      <c r="K55" s="40" t="str">
        <f aca="false">IF($A55="","",SUMIFS('Trade Log'!$Z$4:$Z$503,'Trade Log'!$D$4:$D$503,$A55))</f>
        <v/>
      </c>
      <c r="L55" s="41" t="str">
        <f aca="false">IF($A55="","",COUNTIFS('Trade Log'!$D$4:$D$503,$A55,'Trade Log'!$Z$4:$Z$503,"&gt;0"))</f>
        <v/>
      </c>
      <c r="M55" s="55" t="str">
        <f aca="false">IF(OR($A55="",$E55=0),"",$L55/$E55)</f>
        <v/>
      </c>
      <c r="N55" s="40" t="str">
        <f aca="false">IF(OR($A55="",$E55=0),"",$K55/$E55)</f>
        <v/>
      </c>
      <c r="O55" s="40" t="str">
        <f aca="false">IF($A55="","",IFERROR(_xlfn.MAXIFS('Trade Log'!$Z$4:$Z$503,'Trade Log'!$D$4:$D$503,$A55),""))</f>
        <v/>
      </c>
      <c r="P55" s="40" t="str">
        <f aca="false">IF($A55="","",IFERROR(_xlfn.MINIFS('Trade Log'!$Z$4:$Z$503,'Trade Log'!$D$4:$D$503,$A55),""))</f>
        <v/>
      </c>
      <c r="Q55" s="55" t="str">
        <f aca="false">IF($A55="","",IFERROR(AVERAGEIFS('Trade Log'!$AA$4:$AA$503,'Trade Log'!$D$4:$D$503,$A55),""))</f>
        <v/>
      </c>
      <c r="R55" s="53" t="str">
        <f aca="false">IF($A55="","",IFERROR(AVERAGEIFS('Trade Log'!$P$4:$P$503,'Trade Log'!$D$4:$D$503,$A55),""))</f>
        <v/>
      </c>
      <c r="S55" s="44" t="str">
        <f aca="false">IF($A55="","",IFERROR(AVERAGEIFS('Trade Log'!$AC$4:$AC$503,'Trade Log'!$D$4:$D$503,$A55),""))</f>
        <v/>
      </c>
      <c r="T55" s="55" t="str">
        <f aca="false">IF(OR($A55="",Summary!$B$13=0),"",$K55/Summary!$B$13)</f>
        <v/>
      </c>
      <c r="U55" s="41" t="str">
        <f aca="false">IF($A55="","",IFERROR(RANK($K55,$K$4:$K$153),""))</f>
        <v/>
      </c>
    </row>
    <row r="56" customFormat="false" ht="15" hidden="false" customHeight="false" outlineLevel="0" collapsed="false">
      <c r="A56" s="49"/>
      <c r="B56" s="41" t="str">
        <f aca="false">IF($A56="","",COUNTIFS('Trade Log'!$D$4:$D$503,$A56))</f>
        <v/>
      </c>
      <c r="C56" s="41" t="str">
        <f aca="false">IF($A56="","",COUNTIFS('Trade Log'!$D$4:$D$503,$A56,'Trade Log'!$E$4:$E$503,"LONG"))</f>
        <v/>
      </c>
      <c r="D56" s="41" t="str">
        <f aca="false">IF($A56="","",COUNTIFS('Trade Log'!$D$4:$D$503,$A56,'Trade Log'!$E$4:$E$503,"SHORT"))</f>
        <v/>
      </c>
      <c r="E56" s="41" t="str">
        <f aca="false">IF($A56="","",COUNTIFS('Trade Log'!$D$4:$D$503,$A56,'Trade Log'!$N$4:$N$503,"&lt;&gt;"))</f>
        <v/>
      </c>
      <c r="F56" s="40" t="str">
        <f aca="false">IF($A56="","",SUMIFS('Trade Log'!$K$4:$K$503,'Trade Log'!$D$4:$D$503,$A56))</f>
        <v/>
      </c>
      <c r="G56" s="40" t="str">
        <f aca="false">IF($A56="","",SUMIFS('Trade Log'!$Z$4:$Z$503,'Trade Log'!$D$4:$D$503,$A56,'Trade Log'!$E$4:$E$503,"LONG"))</f>
        <v/>
      </c>
      <c r="H56" s="40" t="str">
        <f aca="false">IF($A56="","",SUMIFS('Trade Log'!$Z$4:$Z$503,'Trade Log'!$D$4:$D$503,$A56,'Trade Log'!$E$4:$E$503,"SHORT"))</f>
        <v/>
      </c>
      <c r="I56" s="40" t="str">
        <f aca="false">IF($A56="","",SUMIFS('Trade Log'!$Q$4:$Q$503,'Trade Log'!$D$4:$D$503,$A56))</f>
        <v/>
      </c>
      <c r="J56" s="40" t="str">
        <f aca="false">IF($A56="","",SUMIFS('Trade Log'!$Y$4:$Y$503,'Trade Log'!$D$4:$D$503,$A56))</f>
        <v/>
      </c>
      <c r="K56" s="40" t="str">
        <f aca="false">IF($A56="","",SUMIFS('Trade Log'!$Z$4:$Z$503,'Trade Log'!$D$4:$D$503,$A56))</f>
        <v/>
      </c>
      <c r="L56" s="41" t="str">
        <f aca="false">IF($A56="","",COUNTIFS('Trade Log'!$D$4:$D$503,$A56,'Trade Log'!$Z$4:$Z$503,"&gt;0"))</f>
        <v/>
      </c>
      <c r="M56" s="55" t="str">
        <f aca="false">IF(OR($A56="",$E56=0),"",$L56/$E56)</f>
        <v/>
      </c>
      <c r="N56" s="40" t="str">
        <f aca="false">IF(OR($A56="",$E56=0),"",$K56/$E56)</f>
        <v/>
      </c>
      <c r="O56" s="40" t="str">
        <f aca="false">IF($A56="","",IFERROR(_xlfn.MAXIFS('Trade Log'!$Z$4:$Z$503,'Trade Log'!$D$4:$D$503,$A56),""))</f>
        <v/>
      </c>
      <c r="P56" s="40" t="str">
        <f aca="false">IF($A56="","",IFERROR(_xlfn.MINIFS('Trade Log'!$Z$4:$Z$503,'Trade Log'!$D$4:$D$503,$A56),""))</f>
        <v/>
      </c>
      <c r="Q56" s="55" t="str">
        <f aca="false">IF($A56="","",IFERROR(AVERAGEIFS('Trade Log'!$AA$4:$AA$503,'Trade Log'!$D$4:$D$503,$A56),""))</f>
        <v/>
      </c>
      <c r="R56" s="53" t="str">
        <f aca="false">IF($A56="","",IFERROR(AVERAGEIFS('Trade Log'!$P$4:$P$503,'Trade Log'!$D$4:$D$503,$A56),""))</f>
        <v/>
      </c>
      <c r="S56" s="44" t="str">
        <f aca="false">IF($A56="","",IFERROR(AVERAGEIFS('Trade Log'!$AC$4:$AC$503,'Trade Log'!$D$4:$D$503,$A56),""))</f>
        <v/>
      </c>
      <c r="T56" s="55" t="str">
        <f aca="false">IF(OR($A56="",Summary!$B$13=0),"",$K56/Summary!$B$13)</f>
        <v/>
      </c>
      <c r="U56" s="41" t="str">
        <f aca="false">IF($A56="","",IFERROR(RANK($K56,$K$4:$K$153),""))</f>
        <v/>
      </c>
    </row>
    <row r="57" customFormat="false" ht="15" hidden="false" customHeight="false" outlineLevel="0" collapsed="false">
      <c r="A57" s="49"/>
      <c r="B57" s="41" t="str">
        <f aca="false">IF($A57="","",COUNTIFS('Trade Log'!$D$4:$D$503,$A57))</f>
        <v/>
      </c>
      <c r="C57" s="41" t="str">
        <f aca="false">IF($A57="","",COUNTIFS('Trade Log'!$D$4:$D$503,$A57,'Trade Log'!$E$4:$E$503,"LONG"))</f>
        <v/>
      </c>
      <c r="D57" s="41" t="str">
        <f aca="false">IF($A57="","",COUNTIFS('Trade Log'!$D$4:$D$503,$A57,'Trade Log'!$E$4:$E$503,"SHORT"))</f>
        <v/>
      </c>
      <c r="E57" s="41" t="str">
        <f aca="false">IF($A57="","",COUNTIFS('Trade Log'!$D$4:$D$503,$A57,'Trade Log'!$N$4:$N$503,"&lt;&gt;"))</f>
        <v/>
      </c>
      <c r="F57" s="40" t="str">
        <f aca="false">IF($A57="","",SUMIFS('Trade Log'!$K$4:$K$503,'Trade Log'!$D$4:$D$503,$A57))</f>
        <v/>
      </c>
      <c r="G57" s="40" t="str">
        <f aca="false">IF($A57="","",SUMIFS('Trade Log'!$Z$4:$Z$503,'Trade Log'!$D$4:$D$503,$A57,'Trade Log'!$E$4:$E$503,"LONG"))</f>
        <v/>
      </c>
      <c r="H57" s="40" t="str">
        <f aca="false">IF($A57="","",SUMIFS('Trade Log'!$Z$4:$Z$503,'Trade Log'!$D$4:$D$503,$A57,'Trade Log'!$E$4:$E$503,"SHORT"))</f>
        <v/>
      </c>
      <c r="I57" s="40" t="str">
        <f aca="false">IF($A57="","",SUMIFS('Trade Log'!$Q$4:$Q$503,'Trade Log'!$D$4:$D$503,$A57))</f>
        <v/>
      </c>
      <c r="J57" s="40" t="str">
        <f aca="false">IF($A57="","",SUMIFS('Trade Log'!$Y$4:$Y$503,'Trade Log'!$D$4:$D$503,$A57))</f>
        <v/>
      </c>
      <c r="K57" s="40" t="str">
        <f aca="false">IF($A57="","",SUMIFS('Trade Log'!$Z$4:$Z$503,'Trade Log'!$D$4:$D$503,$A57))</f>
        <v/>
      </c>
      <c r="L57" s="41" t="str">
        <f aca="false">IF($A57="","",COUNTIFS('Trade Log'!$D$4:$D$503,$A57,'Trade Log'!$Z$4:$Z$503,"&gt;0"))</f>
        <v/>
      </c>
      <c r="M57" s="55" t="str">
        <f aca="false">IF(OR($A57="",$E57=0),"",$L57/$E57)</f>
        <v/>
      </c>
      <c r="N57" s="40" t="str">
        <f aca="false">IF(OR($A57="",$E57=0),"",$K57/$E57)</f>
        <v/>
      </c>
      <c r="O57" s="40" t="str">
        <f aca="false">IF($A57="","",IFERROR(_xlfn.MAXIFS('Trade Log'!$Z$4:$Z$503,'Trade Log'!$D$4:$D$503,$A57),""))</f>
        <v/>
      </c>
      <c r="P57" s="40" t="str">
        <f aca="false">IF($A57="","",IFERROR(_xlfn.MINIFS('Trade Log'!$Z$4:$Z$503,'Trade Log'!$D$4:$D$503,$A57),""))</f>
        <v/>
      </c>
      <c r="Q57" s="55" t="str">
        <f aca="false">IF($A57="","",IFERROR(AVERAGEIFS('Trade Log'!$AA$4:$AA$503,'Trade Log'!$D$4:$D$503,$A57),""))</f>
        <v/>
      </c>
      <c r="R57" s="53" t="str">
        <f aca="false">IF($A57="","",IFERROR(AVERAGEIFS('Trade Log'!$P$4:$P$503,'Trade Log'!$D$4:$D$503,$A57),""))</f>
        <v/>
      </c>
      <c r="S57" s="44" t="str">
        <f aca="false">IF($A57="","",IFERROR(AVERAGEIFS('Trade Log'!$AC$4:$AC$503,'Trade Log'!$D$4:$D$503,$A57),""))</f>
        <v/>
      </c>
      <c r="T57" s="55" t="str">
        <f aca="false">IF(OR($A57="",Summary!$B$13=0),"",$K57/Summary!$B$13)</f>
        <v/>
      </c>
      <c r="U57" s="41" t="str">
        <f aca="false">IF($A57="","",IFERROR(RANK($K57,$K$4:$K$153),""))</f>
        <v/>
      </c>
    </row>
    <row r="58" customFormat="false" ht="15" hidden="false" customHeight="false" outlineLevel="0" collapsed="false">
      <c r="A58" s="49"/>
      <c r="B58" s="41" t="str">
        <f aca="false">IF($A58="","",COUNTIFS('Trade Log'!$D$4:$D$503,$A58))</f>
        <v/>
      </c>
      <c r="C58" s="41" t="str">
        <f aca="false">IF($A58="","",COUNTIFS('Trade Log'!$D$4:$D$503,$A58,'Trade Log'!$E$4:$E$503,"LONG"))</f>
        <v/>
      </c>
      <c r="D58" s="41" t="str">
        <f aca="false">IF($A58="","",COUNTIFS('Trade Log'!$D$4:$D$503,$A58,'Trade Log'!$E$4:$E$503,"SHORT"))</f>
        <v/>
      </c>
      <c r="E58" s="41" t="str">
        <f aca="false">IF($A58="","",COUNTIFS('Trade Log'!$D$4:$D$503,$A58,'Trade Log'!$N$4:$N$503,"&lt;&gt;"))</f>
        <v/>
      </c>
      <c r="F58" s="40" t="str">
        <f aca="false">IF($A58="","",SUMIFS('Trade Log'!$K$4:$K$503,'Trade Log'!$D$4:$D$503,$A58))</f>
        <v/>
      </c>
      <c r="G58" s="40" t="str">
        <f aca="false">IF($A58="","",SUMIFS('Trade Log'!$Z$4:$Z$503,'Trade Log'!$D$4:$D$503,$A58,'Trade Log'!$E$4:$E$503,"LONG"))</f>
        <v/>
      </c>
      <c r="H58" s="40" t="str">
        <f aca="false">IF($A58="","",SUMIFS('Trade Log'!$Z$4:$Z$503,'Trade Log'!$D$4:$D$503,$A58,'Trade Log'!$E$4:$E$503,"SHORT"))</f>
        <v/>
      </c>
      <c r="I58" s="40" t="str">
        <f aca="false">IF($A58="","",SUMIFS('Trade Log'!$Q$4:$Q$503,'Trade Log'!$D$4:$D$503,$A58))</f>
        <v/>
      </c>
      <c r="J58" s="40" t="str">
        <f aca="false">IF($A58="","",SUMIFS('Trade Log'!$Y$4:$Y$503,'Trade Log'!$D$4:$D$503,$A58))</f>
        <v/>
      </c>
      <c r="K58" s="40" t="str">
        <f aca="false">IF($A58="","",SUMIFS('Trade Log'!$Z$4:$Z$503,'Trade Log'!$D$4:$D$503,$A58))</f>
        <v/>
      </c>
      <c r="L58" s="41" t="str">
        <f aca="false">IF($A58="","",COUNTIFS('Trade Log'!$D$4:$D$503,$A58,'Trade Log'!$Z$4:$Z$503,"&gt;0"))</f>
        <v/>
      </c>
      <c r="M58" s="55" t="str">
        <f aca="false">IF(OR($A58="",$E58=0),"",$L58/$E58)</f>
        <v/>
      </c>
      <c r="N58" s="40" t="str">
        <f aca="false">IF(OR($A58="",$E58=0),"",$K58/$E58)</f>
        <v/>
      </c>
      <c r="O58" s="40" t="str">
        <f aca="false">IF($A58="","",IFERROR(_xlfn.MAXIFS('Trade Log'!$Z$4:$Z$503,'Trade Log'!$D$4:$D$503,$A58),""))</f>
        <v/>
      </c>
      <c r="P58" s="40" t="str">
        <f aca="false">IF($A58="","",IFERROR(_xlfn.MINIFS('Trade Log'!$Z$4:$Z$503,'Trade Log'!$D$4:$D$503,$A58),""))</f>
        <v/>
      </c>
      <c r="Q58" s="55" t="str">
        <f aca="false">IF($A58="","",IFERROR(AVERAGEIFS('Trade Log'!$AA$4:$AA$503,'Trade Log'!$D$4:$D$503,$A58),""))</f>
        <v/>
      </c>
      <c r="R58" s="53" t="str">
        <f aca="false">IF($A58="","",IFERROR(AVERAGEIFS('Trade Log'!$P$4:$P$503,'Trade Log'!$D$4:$D$503,$A58),""))</f>
        <v/>
      </c>
      <c r="S58" s="44" t="str">
        <f aca="false">IF($A58="","",IFERROR(AVERAGEIFS('Trade Log'!$AC$4:$AC$503,'Trade Log'!$D$4:$D$503,$A58),""))</f>
        <v/>
      </c>
      <c r="T58" s="55" t="str">
        <f aca="false">IF(OR($A58="",Summary!$B$13=0),"",$K58/Summary!$B$13)</f>
        <v/>
      </c>
      <c r="U58" s="41" t="str">
        <f aca="false">IF($A58="","",IFERROR(RANK($K58,$K$4:$K$153),""))</f>
        <v/>
      </c>
    </row>
    <row r="59" customFormat="false" ht="15" hidden="false" customHeight="false" outlineLevel="0" collapsed="false">
      <c r="A59" s="49"/>
      <c r="B59" s="41" t="str">
        <f aca="false">IF($A59="","",COUNTIFS('Trade Log'!$D$4:$D$503,$A59))</f>
        <v/>
      </c>
      <c r="C59" s="41" t="str">
        <f aca="false">IF($A59="","",COUNTIFS('Trade Log'!$D$4:$D$503,$A59,'Trade Log'!$E$4:$E$503,"LONG"))</f>
        <v/>
      </c>
      <c r="D59" s="41" t="str">
        <f aca="false">IF($A59="","",COUNTIFS('Trade Log'!$D$4:$D$503,$A59,'Trade Log'!$E$4:$E$503,"SHORT"))</f>
        <v/>
      </c>
      <c r="E59" s="41" t="str">
        <f aca="false">IF($A59="","",COUNTIFS('Trade Log'!$D$4:$D$503,$A59,'Trade Log'!$N$4:$N$503,"&lt;&gt;"))</f>
        <v/>
      </c>
      <c r="F59" s="40" t="str">
        <f aca="false">IF($A59="","",SUMIFS('Trade Log'!$K$4:$K$503,'Trade Log'!$D$4:$D$503,$A59))</f>
        <v/>
      </c>
      <c r="G59" s="40" t="str">
        <f aca="false">IF($A59="","",SUMIFS('Trade Log'!$Z$4:$Z$503,'Trade Log'!$D$4:$D$503,$A59,'Trade Log'!$E$4:$E$503,"LONG"))</f>
        <v/>
      </c>
      <c r="H59" s="40" t="str">
        <f aca="false">IF($A59="","",SUMIFS('Trade Log'!$Z$4:$Z$503,'Trade Log'!$D$4:$D$503,$A59,'Trade Log'!$E$4:$E$503,"SHORT"))</f>
        <v/>
      </c>
      <c r="I59" s="40" t="str">
        <f aca="false">IF($A59="","",SUMIFS('Trade Log'!$Q$4:$Q$503,'Trade Log'!$D$4:$D$503,$A59))</f>
        <v/>
      </c>
      <c r="J59" s="40" t="str">
        <f aca="false">IF($A59="","",SUMIFS('Trade Log'!$Y$4:$Y$503,'Trade Log'!$D$4:$D$503,$A59))</f>
        <v/>
      </c>
      <c r="K59" s="40" t="str">
        <f aca="false">IF($A59="","",SUMIFS('Trade Log'!$Z$4:$Z$503,'Trade Log'!$D$4:$D$503,$A59))</f>
        <v/>
      </c>
      <c r="L59" s="41" t="str">
        <f aca="false">IF($A59="","",COUNTIFS('Trade Log'!$D$4:$D$503,$A59,'Trade Log'!$Z$4:$Z$503,"&gt;0"))</f>
        <v/>
      </c>
      <c r="M59" s="55" t="str">
        <f aca="false">IF(OR($A59="",$E59=0),"",$L59/$E59)</f>
        <v/>
      </c>
      <c r="N59" s="40" t="str">
        <f aca="false">IF(OR($A59="",$E59=0),"",$K59/$E59)</f>
        <v/>
      </c>
      <c r="O59" s="40" t="str">
        <f aca="false">IF($A59="","",IFERROR(_xlfn.MAXIFS('Trade Log'!$Z$4:$Z$503,'Trade Log'!$D$4:$D$503,$A59),""))</f>
        <v/>
      </c>
      <c r="P59" s="40" t="str">
        <f aca="false">IF($A59="","",IFERROR(_xlfn.MINIFS('Trade Log'!$Z$4:$Z$503,'Trade Log'!$D$4:$D$503,$A59),""))</f>
        <v/>
      </c>
      <c r="Q59" s="55" t="str">
        <f aca="false">IF($A59="","",IFERROR(AVERAGEIFS('Trade Log'!$AA$4:$AA$503,'Trade Log'!$D$4:$D$503,$A59),""))</f>
        <v/>
      </c>
      <c r="R59" s="53" t="str">
        <f aca="false">IF($A59="","",IFERROR(AVERAGEIFS('Trade Log'!$P$4:$P$503,'Trade Log'!$D$4:$D$503,$A59),""))</f>
        <v/>
      </c>
      <c r="S59" s="44" t="str">
        <f aca="false">IF($A59="","",IFERROR(AVERAGEIFS('Trade Log'!$AC$4:$AC$503,'Trade Log'!$D$4:$D$503,$A59),""))</f>
        <v/>
      </c>
      <c r="T59" s="55" t="str">
        <f aca="false">IF(OR($A59="",Summary!$B$13=0),"",$K59/Summary!$B$13)</f>
        <v/>
      </c>
      <c r="U59" s="41" t="str">
        <f aca="false">IF($A59="","",IFERROR(RANK($K59,$K$4:$K$153),""))</f>
        <v/>
      </c>
    </row>
    <row r="60" customFormat="false" ht="15" hidden="false" customHeight="false" outlineLevel="0" collapsed="false">
      <c r="A60" s="49"/>
      <c r="B60" s="41" t="str">
        <f aca="false">IF($A60="","",COUNTIFS('Trade Log'!$D$4:$D$503,$A60))</f>
        <v/>
      </c>
      <c r="C60" s="41" t="str">
        <f aca="false">IF($A60="","",COUNTIFS('Trade Log'!$D$4:$D$503,$A60,'Trade Log'!$E$4:$E$503,"LONG"))</f>
        <v/>
      </c>
      <c r="D60" s="41" t="str">
        <f aca="false">IF($A60="","",COUNTIFS('Trade Log'!$D$4:$D$503,$A60,'Trade Log'!$E$4:$E$503,"SHORT"))</f>
        <v/>
      </c>
      <c r="E60" s="41" t="str">
        <f aca="false">IF($A60="","",COUNTIFS('Trade Log'!$D$4:$D$503,$A60,'Trade Log'!$N$4:$N$503,"&lt;&gt;"))</f>
        <v/>
      </c>
      <c r="F60" s="40" t="str">
        <f aca="false">IF($A60="","",SUMIFS('Trade Log'!$K$4:$K$503,'Trade Log'!$D$4:$D$503,$A60))</f>
        <v/>
      </c>
      <c r="G60" s="40" t="str">
        <f aca="false">IF($A60="","",SUMIFS('Trade Log'!$Z$4:$Z$503,'Trade Log'!$D$4:$D$503,$A60,'Trade Log'!$E$4:$E$503,"LONG"))</f>
        <v/>
      </c>
      <c r="H60" s="40" t="str">
        <f aca="false">IF($A60="","",SUMIFS('Trade Log'!$Z$4:$Z$503,'Trade Log'!$D$4:$D$503,$A60,'Trade Log'!$E$4:$E$503,"SHORT"))</f>
        <v/>
      </c>
      <c r="I60" s="40" t="str">
        <f aca="false">IF($A60="","",SUMIFS('Trade Log'!$Q$4:$Q$503,'Trade Log'!$D$4:$D$503,$A60))</f>
        <v/>
      </c>
      <c r="J60" s="40" t="str">
        <f aca="false">IF($A60="","",SUMIFS('Trade Log'!$Y$4:$Y$503,'Trade Log'!$D$4:$D$503,$A60))</f>
        <v/>
      </c>
      <c r="K60" s="40" t="str">
        <f aca="false">IF($A60="","",SUMIFS('Trade Log'!$Z$4:$Z$503,'Trade Log'!$D$4:$D$503,$A60))</f>
        <v/>
      </c>
      <c r="L60" s="41" t="str">
        <f aca="false">IF($A60="","",COUNTIFS('Trade Log'!$D$4:$D$503,$A60,'Trade Log'!$Z$4:$Z$503,"&gt;0"))</f>
        <v/>
      </c>
      <c r="M60" s="55" t="str">
        <f aca="false">IF(OR($A60="",$E60=0),"",$L60/$E60)</f>
        <v/>
      </c>
      <c r="N60" s="40" t="str">
        <f aca="false">IF(OR($A60="",$E60=0),"",$K60/$E60)</f>
        <v/>
      </c>
      <c r="O60" s="40" t="str">
        <f aca="false">IF($A60="","",IFERROR(_xlfn.MAXIFS('Trade Log'!$Z$4:$Z$503,'Trade Log'!$D$4:$D$503,$A60),""))</f>
        <v/>
      </c>
      <c r="P60" s="40" t="str">
        <f aca="false">IF($A60="","",IFERROR(_xlfn.MINIFS('Trade Log'!$Z$4:$Z$503,'Trade Log'!$D$4:$D$503,$A60),""))</f>
        <v/>
      </c>
      <c r="Q60" s="55" t="str">
        <f aca="false">IF($A60="","",IFERROR(AVERAGEIFS('Trade Log'!$AA$4:$AA$503,'Trade Log'!$D$4:$D$503,$A60),""))</f>
        <v/>
      </c>
      <c r="R60" s="53" t="str">
        <f aca="false">IF($A60="","",IFERROR(AVERAGEIFS('Trade Log'!$P$4:$P$503,'Trade Log'!$D$4:$D$503,$A60),""))</f>
        <v/>
      </c>
      <c r="S60" s="44" t="str">
        <f aca="false">IF($A60="","",IFERROR(AVERAGEIFS('Trade Log'!$AC$4:$AC$503,'Trade Log'!$D$4:$D$503,$A60),""))</f>
        <v/>
      </c>
      <c r="T60" s="55" t="str">
        <f aca="false">IF(OR($A60="",Summary!$B$13=0),"",$K60/Summary!$B$13)</f>
        <v/>
      </c>
      <c r="U60" s="41" t="str">
        <f aca="false">IF($A60="","",IFERROR(RANK($K60,$K$4:$K$153),""))</f>
        <v/>
      </c>
    </row>
    <row r="61" customFormat="false" ht="15" hidden="false" customHeight="false" outlineLevel="0" collapsed="false">
      <c r="A61" s="49"/>
      <c r="B61" s="41" t="str">
        <f aca="false">IF($A61="","",COUNTIFS('Trade Log'!$D$4:$D$503,$A61))</f>
        <v/>
      </c>
      <c r="C61" s="41" t="str">
        <f aca="false">IF($A61="","",COUNTIFS('Trade Log'!$D$4:$D$503,$A61,'Trade Log'!$E$4:$E$503,"LONG"))</f>
        <v/>
      </c>
      <c r="D61" s="41" t="str">
        <f aca="false">IF($A61="","",COUNTIFS('Trade Log'!$D$4:$D$503,$A61,'Trade Log'!$E$4:$E$503,"SHORT"))</f>
        <v/>
      </c>
      <c r="E61" s="41" t="str">
        <f aca="false">IF($A61="","",COUNTIFS('Trade Log'!$D$4:$D$503,$A61,'Trade Log'!$N$4:$N$503,"&lt;&gt;"))</f>
        <v/>
      </c>
      <c r="F61" s="40" t="str">
        <f aca="false">IF($A61="","",SUMIFS('Trade Log'!$K$4:$K$503,'Trade Log'!$D$4:$D$503,$A61))</f>
        <v/>
      </c>
      <c r="G61" s="40" t="str">
        <f aca="false">IF($A61="","",SUMIFS('Trade Log'!$Z$4:$Z$503,'Trade Log'!$D$4:$D$503,$A61,'Trade Log'!$E$4:$E$503,"LONG"))</f>
        <v/>
      </c>
      <c r="H61" s="40" t="str">
        <f aca="false">IF($A61="","",SUMIFS('Trade Log'!$Z$4:$Z$503,'Trade Log'!$D$4:$D$503,$A61,'Trade Log'!$E$4:$E$503,"SHORT"))</f>
        <v/>
      </c>
      <c r="I61" s="40" t="str">
        <f aca="false">IF($A61="","",SUMIFS('Trade Log'!$Q$4:$Q$503,'Trade Log'!$D$4:$D$503,$A61))</f>
        <v/>
      </c>
      <c r="J61" s="40" t="str">
        <f aca="false">IF($A61="","",SUMIFS('Trade Log'!$Y$4:$Y$503,'Trade Log'!$D$4:$D$503,$A61))</f>
        <v/>
      </c>
      <c r="K61" s="40" t="str">
        <f aca="false">IF($A61="","",SUMIFS('Trade Log'!$Z$4:$Z$503,'Trade Log'!$D$4:$D$503,$A61))</f>
        <v/>
      </c>
      <c r="L61" s="41" t="str">
        <f aca="false">IF($A61="","",COUNTIFS('Trade Log'!$D$4:$D$503,$A61,'Trade Log'!$Z$4:$Z$503,"&gt;0"))</f>
        <v/>
      </c>
      <c r="M61" s="55" t="str">
        <f aca="false">IF(OR($A61="",$E61=0),"",$L61/$E61)</f>
        <v/>
      </c>
      <c r="N61" s="40" t="str">
        <f aca="false">IF(OR($A61="",$E61=0),"",$K61/$E61)</f>
        <v/>
      </c>
      <c r="O61" s="40" t="str">
        <f aca="false">IF($A61="","",IFERROR(_xlfn.MAXIFS('Trade Log'!$Z$4:$Z$503,'Trade Log'!$D$4:$D$503,$A61),""))</f>
        <v/>
      </c>
      <c r="P61" s="40" t="str">
        <f aca="false">IF($A61="","",IFERROR(_xlfn.MINIFS('Trade Log'!$Z$4:$Z$503,'Trade Log'!$D$4:$D$503,$A61),""))</f>
        <v/>
      </c>
      <c r="Q61" s="55" t="str">
        <f aca="false">IF($A61="","",IFERROR(AVERAGEIFS('Trade Log'!$AA$4:$AA$503,'Trade Log'!$D$4:$D$503,$A61),""))</f>
        <v/>
      </c>
      <c r="R61" s="53" t="str">
        <f aca="false">IF($A61="","",IFERROR(AVERAGEIFS('Trade Log'!$P$4:$P$503,'Trade Log'!$D$4:$D$503,$A61),""))</f>
        <v/>
      </c>
      <c r="S61" s="44" t="str">
        <f aca="false">IF($A61="","",IFERROR(AVERAGEIFS('Trade Log'!$AC$4:$AC$503,'Trade Log'!$D$4:$D$503,$A61),""))</f>
        <v/>
      </c>
      <c r="T61" s="55" t="str">
        <f aca="false">IF(OR($A61="",Summary!$B$13=0),"",$K61/Summary!$B$13)</f>
        <v/>
      </c>
      <c r="U61" s="41" t="str">
        <f aca="false">IF($A61="","",IFERROR(RANK($K61,$K$4:$K$153),""))</f>
        <v/>
      </c>
    </row>
    <row r="62" customFormat="false" ht="15" hidden="false" customHeight="false" outlineLevel="0" collapsed="false">
      <c r="A62" s="49"/>
      <c r="B62" s="41" t="str">
        <f aca="false">IF($A62="","",COUNTIFS('Trade Log'!$D$4:$D$503,$A62))</f>
        <v/>
      </c>
      <c r="C62" s="41" t="str">
        <f aca="false">IF($A62="","",COUNTIFS('Trade Log'!$D$4:$D$503,$A62,'Trade Log'!$E$4:$E$503,"LONG"))</f>
        <v/>
      </c>
      <c r="D62" s="41" t="str">
        <f aca="false">IF($A62="","",COUNTIFS('Trade Log'!$D$4:$D$503,$A62,'Trade Log'!$E$4:$E$503,"SHORT"))</f>
        <v/>
      </c>
      <c r="E62" s="41" t="str">
        <f aca="false">IF($A62="","",COUNTIFS('Trade Log'!$D$4:$D$503,$A62,'Trade Log'!$N$4:$N$503,"&lt;&gt;"))</f>
        <v/>
      </c>
      <c r="F62" s="40" t="str">
        <f aca="false">IF($A62="","",SUMIFS('Trade Log'!$K$4:$K$503,'Trade Log'!$D$4:$D$503,$A62))</f>
        <v/>
      </c>
      <c r="G62" s="40" t="str">
        <f aca="false">IF($A62="","",SUMIFS('Trade Log'!$Z$4:$Z$503,'Trade Log'!$D$4:$D$503,$A62,'Trade Log'!$E$4:$E$503,"LONG"))</f>
        <v/>
      </c>
      <c r="H62" s="40" t="str">
        <f aca="false">IF($A62="","",SUMIFS('Trade Log'!$Z$4:$Z$503,'Trade Log'!$D$4:$D$503,$A62,'Trade Log'!$E$4:$E$503,"SHORT"))</f>
        <v/>
      </c>
      <c r="I62" s="40" t="str">
        <f aca="false">IF($A62="","",SUMIFS('Trade Log'!$Q$4:$Q$503,'Trade Log'!$D$4:$D$503,$A62))</f>
        <v/>
      </c>
      <c r="J62" s="40" t="str">
        <f aca="false">IF($A62="","",SUMIFS('Trade Log'!$Y$4:$Y$503,'Trade Log'!$D$4:$D$503,$A62))</f>
        <v/>
      </c>
      <c r="K62" s="40" t="str">
        <f aca="false">IF($A62="","",SUMIFS('Trade Log'!$Z$4:$Z$503,'Trade Log'!$D$4:$D$503,$A62))</f>
        <v/>
      </c>
      <c r="L62" s="41" t="str">
        <f aca="false">IF($A62="","",COUNTIFS('Trade Log'!$D$4:$D$503,$A62,'Trade Log'!$Z$4:$Z$503,"&gt;0"))</f>
        <v/>
      </c>
      <c r="M62" s="55" t="str">
        <f aca="false">IF(OR($A62="",$E62=0),"",$L62/$E62)</f>
        <v/>
      </c>
      <c r="N62" s="40" t="str">
        <f aca="false">IF(OR($A62="",$E62=0),"",$K62/$E62)</f>
        <v/>
      </c>
      <c r="O62" s="40" t="str">
        <f aca="false">IF($A62="","",IFERROR(_xlfn.MAXIFS('Trade Log'!$Z$4:$Z$503,'Trade Log'!$D$4:$D$503,$A62),""))</f>
        <v/>
      </c>
      <c r="P62" s="40" t="str">
        <f aca="false">IF($A62="","",IFERROR(_xlfn.MINIFS('Trade Log'!$Z$4:$Z$503,'Trade Log'!$D$4:$D$503,$A62),""))</f>
        <v/>
      </c>
      <c r="Q62" s="55" t="str">
        <f aca="false">IF($A62="","",IFERROR(AVERAGEIFS('Trade Log'!$AA$4:$AA$503,'Trade Log'!$D$4:$D$503,$A62),""))</f>
        <v/>
      </c>
      <c r="R62" s="53" t="str">
        <f aca="false">IF($A62="","",IFERROR(AVERAGEIFS('Trade Log'!$P$4:$P$503,'Trade Log'!$D$4:$D$503,$A62),""))</f>
        <v/>
      </c>
      <c r="S62" s="44" t="str">
        <f aca="false">IF($A62="","",IFERROR(AVERAGEIFS('Trade Log'!$AC$4:$AC$503,'Trade Log'!$D$4:$D$503,$A62),""))</f>
        <v/>
      </c>
      <c r="T62" s="55" t="str">
        <f aca="false">IF(OR($A62="",Summary!$B$13=0),"",$K62/Summary!$B$13)</f>
        <v/>
      </c>
      <c r="U62" s="41" t="str">
        <f aca="false">IF($A62="","",IFERROR(RANK($K62,$K$4:$K$153),""))</f>
        <v/>
      </c>
    </row>
    <row r="63" customFormat="false" ht="15" hidden="false" customHeight="false" outlineLevel="0" collapsed="false">
      <c r="A63" s="49"/>
      <c r="B63" s="41" t="str">
        <f aca="false">IF($A63="","",COUNTIFS('Trade Log'!$D$4:$D$503,$A63))</f>
        <v/>
      </c>
      <c r="C63" s="41" t="str">
        <f aca="false">IF($A63="","",COUNTIFS('Trade Log'!$D$4:$D$503,$A63,'Trade Log'!$E$4:$E$503,"LONG"))</f>
        <v/>
      </c>
      <c r="D63" s="41" t="str">
        <f aca="false">IF($A63="","",COUNTIFS('Trade Log'!$D$4:$D$503,$A63,'Trade Log'!$E$4:$E$503,"SHORT"))</f>
        <v/>
      </c>
      <c r="E63" s="41" t="str">
        <f aca="false">IF($A63="","",COUNTIFS('Trade Log'!$D$4:$D$503,$A63,'Trade Log'!$N$4:$N$503,"&lt;&gt;"))</f>
        <v/>
      </c>
      <c r="F63" s="40" t="str">
        <f aca="false">IF($A63="","",SUMIFS('Trade Log'!$K$4:$K$503,'Trade Log'!$D$4:$D$503,$A63))</f>
        <v/>
      </c>
      <c r="G63" s="40" t="str">
        <f aca="false">IF($A63="","",SUMIFS('Trade Log'!$Z$4:$Z$503,'Trade Log'!$D$4:$D$503,$A63,'Trade Log'!$E$4:$E$503,"LONG"))</f>
        <v/>
      </c>
      <c r="H63" s="40" t="str">
        <f aca="false">IF($A63="","",SUMIFS('Trade Log'!$Z$4:$Z$503,'Trade Log'!$D$4:$D$503,$A63,'Trade Log'!$E$4:$E$503,"SHORT"))</f>
        <v/>
      </c>
      <c r="I63" s="40" t="str">
        <f aca="false">IF($A63="","",SUMIFS('Trade Log'!$Q$4:$Q$503,'Trade Log'!$D$4:$D$503,$A63))</f>
        <v/>
      </c>
      <c r="J63" s="40" t="str">
        <f aca="false">IF($A63="","",SUMIFS('Trade Log'!$Y$4:$Y$503,'Trade Log'!$D$4:$D$503,$A63))</f>
        <v/>
      </c>
      <c r="K63" s="40" t="str">
        <f aca="false">IF($A63="","",SUMIFS('Trade Log'!$Z$4:$Z$503,'Trade Log'!$D$4:$D$503,$A63))</f>
        <v/>
      </c>
      <c r="L63" s="41" t="str">
        <f aca="false">IF($A63="","",COUNTIFS('Trade Log'!$D$4:$D$503,$A63,'Trade Log'!$Z$4:$Z$503,"&gt;0"))</f>
        <v/>
      </c>
      <c r="M63" s="55" t="str">
        <f aca="false">IF(OR($A63="",$E63=0),"",$L63/$E63)</f>
        <v/>
      </c>
      <c r="N63" s="40" t="str">
        <f aca="false">IF(OR($A63="",$E63=0),"",$K63/$E63)</f>
        <v/>
      </c>
      <c r="O63" s="40" t="str">
        <f aca="false">IF($A63="","",IFERROR(_xlfn.MAXIFS('Trade Log'!$Z$4:$Z$503,'Trade Log'!$D$4:$D$503,$A63),""))</f>
        <v/>
      </c>
      <c r="P63" s="40" t="str">
        <f aca="false">IF($A63="","",IFERROR(_xlfn.MINIFS('Trade Log'!$Z$4:$Z$503,'Trade Log'!$D$4:$D$503,$A63),""))</f>
        <v/>
      </c>
      <c r="Q63" s="55" t="str">
        <f aca="false">IF($A63="","",IFERROR(AVERAGEIFS('Trade Log'!$AA$4:$AA$503,'Trade Log'!$D$4:$D$503,$A63),""))</f>
        <v/>
      </c>
      <c r="R63" s="53" t="str">
        <f aca="false">IF($A63="","",IFERROR(AVERAGEIFS('Trade Log'!$P$4:$P$503,'Trade Log'!$D$4:$D$503,$A63),""))</f>
        <v/>
      </c>
      <c r="S63" s="44" t="str">
        <f aca="false">IF($A63="","",IFERROR(AVERAGEIFS('Trade Log'!$AC$4:$AC$503,'Trade Log'!$D$4:$D$503,$A63),""))</f>
        <v/>
      </c>
      <c r="T63" s="55" t="str">
        <f aca="false">IF(OR($A63="",Summary!$B$13=0),"",$K63/Summary!$B$13)</f>
        <v/>
      </c>
      <c r="U63" s="41" t="str">
        <f aca="false">IF($A63="","",IFERROR(RANK($K63,$K$4:$K$153),""))</f>
        <v/>
      </c>
    </row>
    <row r="64" customFormat="false" ht="15" hidden="false" customHeight="false" outlineLevel="0" collapsed="false">
      <c r="A64" s="49"/>
      <c r="B64" s="41" t="str">
        <f aca="false">IF($A64="","",COUNTIFS('Trade Log'!$D$4:$D$503,$A64))</f>
        <v/>
      </c>
      <c r="C64" s="41" t="str">
        <f aca="false">IF($A64="","",COUNTIFS('Trade Log'!$D$4:$D$503,$A64,'Trade Log'!$E$4:$E$503,"LONG"))</f>
        <v/>
      </c>
      <c r="D64" s="41" t="str">
        <f aca="false">IF($A64="","",COUNTIFS('Trade Log'!$D$4:$D$503,$A64,'Trade Log'!$E$4:$E$503,"SHORT"))</f>
        <v/>
      </c>
      <c r="E64" s="41" t="str">
        <f aca="false">IF($A64="","",COUNTIFS('Trade Log'!$D$4:$D$503,$A64,'Trade Log'!$N$4:$N$503,"&lt;&gt;"))</f>
        <v/>
      </c>
      <c r="F64" s="40" t="str">
        <f aca="false">IF($A64="","",SUMIFS('Trade Log'!$K$4:$K$503,'Trade Log'!$D$4:$D$503,$A64))</f>
        <v/>
      </c>
      <c r="G64" s="40" t="str">
        <f aca="false">IF($A64="","",SUMIFS('Trade Log'!$Z$4:$Z$503,'Trade Log'!$D$4:$D$503,$A64,'Trade Log'!$E$4:$E$503,"LONG"))</f>
        <v/>
      </c>
      <c r="H64" s="40" t="str">
        <f aca="false">IF($A64="","",SUMIFS('Trade Log'!$Z$4:$Z$503,'Trade Log'!$D$4:$D$503,$A64,'Trade Log'!$E$4:$E$503,"SHORT"))</f>
        <v/>
      </c>
      <c r="I64" s="40" t="str">
        <f aca="false">IF($A64="","",SUMIFS('Trade Log'!$Q$4:$Q$503,'Trade Log'!$D$4:$D$503,$A64))</f>
        <v/>
      </c>
      <c r="J64" s="40" t="str">
        <f aca="false">IF($A64="","",SUMIFS('Trade Log'!$Y$4:$Y$503,'Trade Log'!$D$4:$D$503,$A64))</f>
        <v/>
      </c>
      <c r="K64" s="40" t="str">
        <f aca="false">IF($A64="","",SUMIFS('Trade Log'!$Z$4:$Z$503,'Trade Log'!$D$4:$D$503,$A64))</f>
        <v/>
      </c>
      <c r="L64" s="41" t="str">
        <f aca="false">IF($A64="","",COUNTIFS('Trade Log'!$D$4:$D$503,$A64,'Trade Log'!$Z$4:$Z$503,"&gt;0"))</f>
        <v/>
      </c>
      <c r="M64" s="55" t="str">
        <f aca="false">IF(OR($A64="",$E64=0),"",$L64/$E64)</f>
        <v/>
      </c>
      <c r="N64" s="40" t="str">
        <f aca="false">IF(OR($A64="",$E64=0),"",$K64/$E64)</f>
        <v/>
      </c>
      <c r="O64" s="40" t="str">
        <f aca="false">IF($A64="","",IFERROR(_xlfn.MAXIFS('Trade Log'!$Z$4:$Z$503,'Trade Log'!$D$4:$D$503,$A64),""))</f>
        <v/>
      </c>
      <c r="P64" s="40" t="str">
        <f aca="false">IF($A64="","",IFERROR(_xlfn.MINIFS('Trade Log'!$Z$4:$Z$503,'Trade Log'!$D$4:$D$503,$A64),""))</f>
        <v/>
      </c>
      <c r="Q64" s="55" t="str">
        <f aca="false">IF($A64="","",IFERROR(AVERAGEIFS('Trade Log'!$AA$4:$AA$503,'Trade Log'!$D$4:$D$503,$A64),""))</f>
        <v/>
      </c>
      <c r="R64" s="53" t="str">
        <f aca="false">IF($A64="","",IFERROR(AVERAGEIFS('Trade Log'!$P$4:$P$503,'Trade Log'!$D$4:$D$503,$A64),""))</f>
        <v/>
      </c>
      <c r="S64" s="44" t="str">
        <f aca="false">IF($A64="","",IFERROR(AVERAGEIFS('Trade Log'!$AC$4:$AC$503,'Trade Log'!$D$4:$D$503,$A64),""))</f>
        <v/>
      </c>
      <c r="T64" s="55" t="str">
        <f aca="false">IF(OR($A64="",Summary!$B$13=0),"",$K64/Summary!$B$13)</f>
        <v/>
      </c>
      <c r="U64" s="41" t="str">
        <f aca="false">IF($A64="","",IFERROR(RANK($K64,$K$4:$K$153),""))</f>
        <v/>
      </c>
    </row>
    <row r="65" customFormat="false" ht="15" hidden="false" customHeight="false" outlineLevel="0" collapsed="false">
      <c r="A65" s="49"/>
      <c r="B65" s="41" t="str">
        <f aca="false">IF($A65="","",COUNTIFS('Trade Log'!$D$4:$D$503,$A65))</f>
        <v/>
      </c>
      <c r="C65" s="41" t="str">
        <f aca="false">IF($A65="","",COUNTIFS('Trade Log'!$D$4:$D$503,$A65,'Trade Log'!$E$4:$E$503,"LONG"))</f>
        <v/>
      </c>
      <c r="D65" s="41" t="str">
        <f aca="false">IF($A65="","",COUNTIFS('Trade Log'!$D$4:$D$503,$A65,'Trade Log'!$E$4:$E$503,"SHORT"))</f>
        <v/>
      </c>
      <c r="E65" s="41" t="str">
        <f aca="false">IF($A65="","",COUNTIFS('Trade Log'!$D$4:$D$503,$A65,'Trade Log'!$N$4:$N$503,"&lt;&gt;"))</f>
        <v/>
      </c>
      <c r="F65" s="40" t="str">
        <f aca="false">IF($A65="","",SUMIFS('Trade Log'!$K$4:$K$503,'Trade Log'!$D$4:$D$503,$A65))</f>
        <v/>
      </c>
      <c r="G65" s="40" t="str">
        <f aca="false">IF($A65="","",SUMIFS('Trade Log'!$Z$4:$Z$503,'Trade Log'!$D$4:$D$503,$A65,'Trade Log'!$E$4:$E$503,"LONG"))</f>
        <v/>
      </c>
      <c r="H65" s="40" t="str">
        <f aca="false">IF($A65="","",SUMIFS('Trade Log'!$Z$4:$Z$503,'Trade Log'!$D$4:$D$503,$A65,'Trade Log'!$E$4:$E$503,"SHORT"))</f>
        <v/>
      </c>
      <c r="I65" s="40" t="str">
        <f aca="false">IF($A65="","",SUMIFS('Trade Log'!$Q$4:$Q$503,'Trade Log'!$D$4:$D$503,$A65))</f>
        <v/>
      </c>
      <c r="J65" s="40" t="str">
        <f aca="false">IF($A65="","",SUMIFS('Trade Log'!$Y$4:$Y$503,'Trade Log'!$D$4:$D$503,$A65))</f>
        <v/>
      </c>
      <c r="K65" s="40" t="str">
        <f aca="false">IF($A65="","",SUMIFS('Trade Log'!$Z$4:$Z$503,'Trade Log'!$D$4:$D$503,$A65))</f>
        <v/>
      </c>
      <c r="L65" s="41" t="str">
        <f aca="false">IF($A65="","",COUNTIFS('Trade Log'!$D$4:$D$503,$A65,'Trade Log'!$Z$4:$Z$503,"&gt;0"))</f>
        <v/>
      </c>
      <c r="M65" s="55" t="str">
        <f aca="false">IF(OR($A65="",$E65=0),"",$L65/$E65)</f>
        <v/>
      </c>
      <c r="N65" s="40" t="str">
        <f aca="false">IF(OR($A65="",$E65=0),"",$K65/$E65)</f>
        <v/>
      </c>
      <c r="O65" s="40" t="str">
        <f aca="false">IF($A65="","",IFERROR(_xlfn.MAXIFS('Trade Log'!$Z$4:$Z$503,'Trade Log'!$D$4:$D$503,$A65),""))</f>
        <v/>
      </c>
      <c r="P65" s="40" t="str">
        <f aca="false">IF($A65="","",IFERROR(_xlfn.MINIFS('Trade Log'!$Z$4:$Z$503,'Trade Log'!$D$4:$D$503,$A65),""))</f>
        <v/>
      </c>
      <c r="Q65" s="55" t="str">
        <f aca="false">IF($A65="","",IFERROR(AVERAGEIFS('Trade Log'!$AA$4:$AA$503,'Trade Log'!$D$4:$D$503,$A65),""))</f>
        <v/>
      </c>
      <c r="R65" s="53" t="str">
        <f aca="false">IF($A65="","",IFERROR(AVERAGEIFS('Trade Log'!$P$4:$P$503,'Trade Log'!$D$4:$D$503,$A65),""))</f>
        <v/>
      </c>
      <c r="S65" s="44" t="str">
        <f aca="false">IF($A65="","",IFERROR(AVERAGEIFS('Trade Log'!$AC$4:$AC$503,'Trade Log'!$D$4:$D$503,$A65),""))</f>
        <v/>
      </c>
      <c r="T65" s="55" t="str">
        <f aca="false">IF(OR($A65="",Summary!$B$13=0),"",$K65/Summary!$B$13)</f>
        <v/>
      </c>
      <c r="U65" s="41" t="str">
        <f aca="false">IF($A65="","",IFERROR(RANK($K65,$K$4:$K$153),""))</f>
        <v/>
      </c>
    </row>
    <row r="66" customFormat="false" ht="15" hidden="false" customHeight="false" outlineLevel="0" collapsed="false">
      <c r="A66" s="49"/>
      <c r="B66" s="41" t="str">
        <f aca="false">IF($A66="","",COUNTIFS('Trade Log'!$D$4:$D$503,$A66))</f>
        <v/>
      </c>
      <c r="C66" s="41" t="str">
        <f aca="false">IF($A66="","",COUNTIFS('Trade Log'!$D$4:$D$503,$A66,'Trade Log'!$E$4:$E$503,"LONG"))</f>
        <v/>
      </c>
      <c r="D66" s="41" t="str">
        <f aca="false">IF($A66="","",COUNTIFS('Trade Log'!$D$4:$D$503,$A66,'Trade Log'!$E$4:$E$503,"SHORT"))</f>
        <v/>
      </c>
      <c r="E66" s="41" t="str">
        <f aca="false">IF($A66="","",COUNTIFS('Trade Log'!$D$4:$D$503,$A66,'Trade Log'!$N$4:$N$503,"&lt;&gt;"))</f>
        <v/>
      </c>
      <c r="F66" s="40" t="str">
        <f aca="false">IF($A66="","",SUMIFS('Trade Log'!$K$4:$K$503,'Trade Log'!$D$4:$D$503,$A66))</f>
        <v/>
      </c>
      <c r="G66" s="40" t="str">
        <f aca="false">IF($A66="","",SUMIFS('Trade Log'!$Z$4:$Z$503,'Trade Log'!$D$4:$D$503,$A66,'Trade Log'!$E$4:$E$503,"LONG"))</f>
        <v/>
      </c>
      <c r="H66" s="40" t="str">
        <f aca="false">IF($A66="","",SUMIFS('Trade Log'!$Z$4:$Z$503,'Trade Log'!$D$4:$D$503,$A66,'Trade Log'!$E$4:$E$503,"SHORT"))</f>
        <v/>
      </c>
      <c r="I66" s="40" t="str">
        <f aca="false">IF($A66="","",SUMIFS('Trade Log'!$Q$4:$Q$503,'Trade Log'!$D$4:$D$503,$A66))</f>
        <v/>
      </c>
      <c r="J66" s="40" t="str">
        <f aca="false">IF($A66="","",SUMIFS('Trade Log'!$Y$4:$Y$503,'Trade Log'!$D$4:$D$503,$A66))</f>
        <v/>
      </c>
      <c r="K66" s="40" t="str">
        <f aca="false">IF($A66="","",SUMIFS('Trade Log'!$Z$4:$Z$503,'Trade Log'!$D$4:$D$503,$A66))</f>
        <v/>
      </c>
      <c r="L66" s="41" t="str">
        <f aca="false">IF($A66="","",COUNTIFS('Trade Log'!$D$4:$D$503,$A66,'Trade Log'!$Z$4:$Z$503,"&gt;0"))</f>
        <v/>
      </c>
      <c r="M66" s="55" t="str">
        <f aca="false">IF(OR($A66="",$E66=0),"",$L66/$E66)</f>
        <v/>
      </c>
      <c r="N66" s="40" t="str">
        <f aca="false">IF(OR($A66="",$E66=0),"",$K66/$E66)</f>
        <v/>
      </c>
      <c r="O66" s="40" t="str">
        <f aca="false">IF($A66="","",IFERROR(_xlfn.MAXIFS('Trade Log'!$Z$4:$Z$503,'Trade Log'!$D$4:$D$503,$A66),""))</f>
        <v/>
      </c>
      <c r="P66" s="40" t="str">
        <f aca="false">IF($A66="","",IFERROR(_xlfn.MINIFS('Trade Log'!$Z$4:$Z$503,'Trade Log'!$D$4:$D$503,$A66),""))</f>
        <v/>
      </c>
      <c r="Q66" s="55" t="str">
        <f aca="false">IF($A66="","",IFERROR(AVERAGEIFS('Trade Log'!$AA$4:$AA$503,'Trade Log'!$D$4:$D$503,$A66),""))</f>
        <v/>
      </c>
      <c r="R66" s="53" t="str">
        <f aca="false">IF($A66="","",IFERROR(AVERAGEIFS('Trade Log'!$P$4:$P$503,'Trade Log'!$D$4:$D$503,$A66),""))</f>
        <v/>
      </c>
      <c r="S66" s="44" t="str">
        <f aca="false">IF($A66="","",IFERROR(AVERAGEIFS('Trade Log'!$AC$4:$AC$503,'Trade Log'!$D$4:$D$503,$A66),""))</f>
        <v/>
      </c>
      <c r="T66" s="55" t="str">
        <f aca="false">IF(OR($A66="",Summary!$B$13=0),"",$K66/Summary!$B$13)</f>
        <v/>
      </c>
      <c r="U66" s="41" t="str">
        <f aca="false">IF($A66="","",IFERROR(RANK($K66,$K$4:$K$153),""))</f>
        <v/>
      </c>
    </row>
    <row r="67" customFormat="false" ht="15" hidden="false" customHeight="false" outlineLevel="0" collapsed="false">
      <c r="A67" s="49"/>
      <c r="B67" s="41" t="str">
        <f aca="false">IF($A67="","",COUNTIFS('Trade Log'!$D$4:$D$503,$A67))</f>
        <v/>
      </c>
      <c r="C67" s="41" t="str">
        <f aca="false">IF($A67="","",COUNTIFS('Trade Log'!$D$4:$D$503,$A67,'Trade Log'!$E$4:$E$503,"LONG"))</f>
        <v/>
      </c>
      <c r="D67" s="41" t="str">
        <f aca="false">IF($A67="","",COUNTIFS('Trade Log'!$D$4:$D$503,$A67,'Trade Log'!$E$4:$E$503,"SHORT"))</f>
        <v/>
      </c>
      <c r="E67" s="41" t="str">
        <f aca="false">IF($A67="","",COUNTIFS('Trade Log'!$D$4:$D$503,$A67,'Trade Log'!$N$4:$N$503,"&lt;&gt;"))</f>
        <v/>
      </c>
      <c r="F67" s="40" t="str">
        <f aca="false">IF($A67="","",SUMIFS('Trade Log'!$K$4:$K$503,'Trade Log'!$D$4:$D$503,$A67))</f>
        <v/>
      </c>
      <c r="G67" s="40" t="str">
        <f aca="false">IF($A67="","",SUMIFS('Trade Log'!$Z$4:$Z$503,'Trade Log'!$D$4:$D$503,$A67,'Trade Log'!$E$4:$E$503,"LONG"))</f>
        <v/>
      </c>
      <c r="H67" s="40" t="str">
        <f aca="false">IF($A67="","",SUMIFS('Trade Log'!$Z$4:$Z$503,'Trade Log'!$D$4:$D$503,$A67,'Trade Log'!$E$4:$E$503,"SHORT"))</f>
        <v/>
      </c>
      <c r="I67" s="40" t="str">
        <f aca="false">IF($A67="","",SUMIFS('Trade Log'!$Q$4:$Q$503,'Trade Log'!$D$4:$D$503,$A67))</f>
        <v/>
      </c>
      <c r="J67" s="40" t="str">
        <f aca="false">IF($A67="","",SUMIFS('Trade Log'!$Y$4:$Y$503,'Trade Log'!$D$4:$D$503,$A67))</f>
        <v/>
      </c>
      <c r="K67" s="40" t="str">
        <f aca="false">IF($A67="","",SUMIFS('Trade Log'!$Z$4:$Z$503,'Trade Log'!$D$4:$D$503,$A67))</f>
        <v/>
      </c>
      <c r="L67" s="41" t="str">
        <f aca="false">IF($A67="","",COUNTIFS('Trade Log'!$D$4:$D$503,$A67,'Trade Log'!$Z$4:$Z$503,"&gt;0"))</f>
        <v/>
      </c>
      <c r="M67" s="55" t="str">
        <f aca="false">IF(OR($A67="",$E67=0),"",$L67/$E67)</f>
        <v/>
      </c>
      <c r="N67" s="40" t="str">
        <f aca="false">IF(OR($A67="",$E67=0),"",$K67/$E67)</f>
        <v/>
      </c>
      <c r="O67" s="40" t="str">
        <f aca="false">IF($A67="","",IFERROR(_xlfn.MAXIFS('Trade Log'!$Z$4:$Z$503,'Trade Log'!$D$4:$D$503,$A67),""))</f>
        <v/>
      </c>
      <c r="P67" s="40" t="str">
        <f aca="false">IF($A67="","",IFERROR(_xlfn.MINIFS('Trade Log'!$Z$4:$Z$503,'Trade Log'!$D$4:$D$503,$A67),""))</f>
        <v/>
      </c>
      <c r="Q67" s="55" t="str">
        <f aca="false">IF($A67="","",IFERROR(AVERAGEIFS('Trade Log'!$AA$4:$AA$503,'Trade Log'!$D$4:$D$503,$A67),""))</f>
        <v/>
      </c>
      <c r="R67" s="53" t="str">
        <f aca="false">IF($A67="","",IFERROR(AVERAGEIFS('Trade Log'!$P$4:$P$503,'Trade Log'!$D$4:$D$503,$A67),""))</f>
        <v/>
      </c>
      <c r="S67" s="44" t="str">
        <f aca="false">IF($A67="","",IFERROR(AVERAGEIFS('Trade Log'!$AC$4:$AC$503,'Trade Log'!$D$4:$D$503,$A67),""))</f>
        <v/>
      </c>
      <c r="T67" s="55" t="str">
        <f aca="false">IF(OR($A67="",Summary!$B$13=0),"",$K67/Summary!$B$13)</f>
        <v/>
      </c>
      <c r="U67" s="41" t="str">
        <f aca="false">IF($A67="","",IFERROR(RANK($K67,$K$4:$K$153),""))</f>
        <v/>
      </c>
    </row>
    <row r="68" customFormat="false" ht="15" hidden="false" customHeight="false" outlineLevel="0" collapsed="false">
      <c r="A68" s="49"/>
      <c r="B68" s="41" t="str">
        <f aca="false">IF($A68="","",COUNTIFS('Trade Log'!$D$4:$D$503,$A68))</f>
        <v/>
      </c>
      <c r="C68" s="41" t="str">
        <f aca="false">IF($A68="","",COUNTIFS('Trade Log'!$D$4:$D$503,$A68,'Trade Log'!$E$4:$E$503,"LONG"))</f>
        <v/>
      </c>
      <c r="D68" s="41" t="str">
        <f aca="false">IF($A68="","",COUNTIFS('Trade Log'!$D$4:$D$503,$A68,'Trade Log'!$E$4:$E$503,"SHORT"))</f>
        <v/>
      </c>
      <c r="E68" s="41" t="str">
        <f aca="false">IF($A68="","",COUNTIFS('Trade Log'!$D$4:$D$503,$A68,'Trade Log'!$N$4:$N$503,"&lt;&gt;"))</f>
        <v/>
      </c>
      <c r="F68" s="40" t="str">
        <f aca="false">IF($A68="","",SUMIFS('Trade Log'!$K$4:$K$503,'Trade Log'!$D$4:$D$503,$A68))</f>
        <v/>
      </c>
      <c r="G68" s="40" t="str">
        <f aca="false">IF($A68="","",SUMIFS('Trade Log'!$Z$4:$Z$503,'Trade Log'!$D$4:$D$503,$A68,'Trade Log'!$E$4:$E$503,"LONG"))</f>
        <v/>
      </c>
      <c r="H68" s="40" t="str">
        <f aca="false">IF($A68="","",SUMIFS('Trade Log'!$Z$4:$Z$503,'Trade Log'!$D$4:$D$503,$A68,'Trade Log'!$E$4:$E$503,"SHORT"))</f>
        <v/>
      </c>
      <c r="I68" s="40" t="str">
        <f aca="false">IF($A68="","",SUMIFS('Trade Log'!$Q$4:$Q$503,'Trade Log'!$D$4:$D$503,$A68))</f>
        <v/>
      </c>
      <c r="J68" s="40" t="str">
        <f aca="false">IF($A68="","",SUMIFS('Trade Log'!$Y$4:$Y$503,'Trade Log'!$D$4:$D$503,$A68))</f>
        <v/>
      </c>
      <c r="K68" s="40" t="str">
        <f aca="false">IF($A68="","",SUMIFS('Trade Log'!$Z$4:$Z$503,'Trade Log'!$D$4:$D$503,$A68))</f>
        <v/>
      </c>
      <c r="L68" s="41" t="str">
        <f aca="false">IF($A68="","",COUNTIFS('Trade Log'!$D$4:$D$503,$A68,'Trade Log'!$Z$4:$Z$503,"&gt;0"))</f>
        <v/>
      </c>
      <c r="M68" s="55" t="str">
        <f aca="false">IF(OR($A68="",$E68=0),"",$L68/$E68)</f>
        <v/>
      </c>
      <c r="N68" s="40" t="str">
        <f aca="false">IF(OR($A68="",$E68=0),"",$K68/$E68)</f>
        <v/>
      </c>
      <c r="O68" s="40" t="str">
        <f aca="false">IF($A68="","",IFERROR(_xlfn.MAXIFS('Trade Log'!$Z$4:$Z$503,'Trade Log'!$D$4:$D$503,$A68),""))</f>
        <v/>
      </c>
      <c r="P68" s="40" t="str">
        <f aca="false">IF($A68="","",IFERROR(_xlfn.MINIFS('Trade Log'!$Z$4:$Z$503,'Trade Log'!$D$4:$D$503,$A68),""))</f>
        <v/>
      </c>
      <c r="Q68" s="55" t="str">
        <f aca="false">IF($A68="","",IFERROR(AVERAGEIFS('Trade Log'!$AA$4:$AA$503,'Trade Log'!$D$4:$D$503,$A68),""))</f>
        <v/>
      </c>
      <c r="R68" s="53" t="str">
        <f aca="false">IF($A68="","",IFERROR(AVERAGEIFS('Trade Log'!$P$4:$P$503,'Trade Log'!$D$4:$D$503,$A68),""))</f>
        <v/>
      </c>
      <c r="S68" s="44" t="str">
        <f aca="false">IF($A68="","",IFERROR(AVERAGEIFS('Trade Log'!$AC$4:$AC$503,'Trade Log'!$D$4:$D$503,$A68),""))</f>
        <v/>
      </c>
      <c r="T68" s="55" t="str">
        <f aca="false">IF(OR($A68="",Summary!$B$13=0),"",$K68/Summary!$B$13)</f>
        <v/>
      </c>
      <c r="U68" s="41" t="str">
        <f aca="false">IF($A68="","",IFERROR(RANK($K68,$K$4:$K$153),""))</f>
        <v/>
      </c>
    </row>
    <row r="69" customFormat="false" ht="15" hidden="false" customHeight="false" outlineLevel="0" collapsed="false">
      <c r="A69" s="49"/>
      <c r="B69" s="41" t="str">
        <f aca="false">IF($A69="","",COUNTIFS('Trade Log'!$D$4:$D$503,$A69))</f>
        <v/>
      </c>
      <c r="C69" s="41" t="str">
        <f aca="false">IF($A69="","",COUNTIFS('Trade Log'!$D$4:$D$503,$A69,'Trade Log'!$E$4:$E$503,"LONG"))</f>
        <v/>
      </c>
      <c r="D69" s="41" t="str">
        <f aca="false">IF($A69="","",COUNTIFS('Trade Log'!$D$4:$D$503,$A69,'Trade Log'!$E$4:$E$503,"SHORT"))</f>
        <v/>
      </c>
      <c r="E69" s="41" t="str">
        <f aca="false">IF($A69="","",COUNTIFS('Trade Log'!$D$4:$D$503,$A69,'Trade Log'!$N$4:$N$503,"&lt;&gt;"))</f>
        <v/>
      </c>
      <c r="F69" s="40" t="str">
        <f aca="false">IF($A69="","",SUMIFS('Trade Log'!$K$4:$K$503,'Trade Log'!$D$4:$D$503,$A69))</f>
        <v/>
      </c>
      <c r="G69" s="40" t="str">
        <f aca="false">IF($A69="","",SUMIFS('Trade Log'!$Z$4:$Z$503,'Trade Log'!$D$4:$D$503,$A69,'Trade Log'!$E$4:$E$503,"LONG"))</f>
        <v/>
      </c>
      <c r="H69" s="40" t="str">
        <f aca="false">IF($A69="","",SUMIFS('Trade Log'!$Z$4:$Z$503,'Trade Log'!$D$4:$D$503,$A69,'Trade Log'!$E$4:$E$503,"SHORT"))</f>
        <v/>
      </c>
      <c r="I69" s="40" t="str">
        <f aca="false">IF($A69="","",SUMIFS('Trade Log'!$Q$4:$Q$503,'Trade Log'!$D$4:$D$503,$A69))</f>
        <v/>
      </c>
      <c r="J69" s="40" t="str">
        <f aca="false">IF($A69="","",SUMIFS('Trade Log'!$Y$4:$Y$503,'Trade Log'!$D$4:$D$503,$A69))</f>
        <v/>
      </c>
      <c r="K69" s="40" t="str">
        <f aca="false">IF($A69="","",SUMIFS('Trade Log'!$Z$4:$Z$503,'Trade Log'!$D$4:$D$503,$A69))</f>
        <v/>
      </c>
      <c r="L69" s="41" t="str">
        <f aca="false">IF($A69="","",COUNTIFS('Trade Log'!$D$4:$D$503,$A69,'Trade Log'!$Z$4:$Z$503,"&gt;0"))</f>
        <v/>
      </c>
      <c r="M69" s="55" t="str">
        <f aca="false">IF(OR($A69="",$E69=0),"",$L69/$E69)</f>
        <v/>
      </c>
      <c r="N69" s="40" t="str">
        <f aca="false">IF(OR($A69="",$E69=0),"",$K69/$E69)</f>
        <v/>
      </c>
      <c r="O69" s="40" t="str">
        <f aca="false">IF($A69="","",IFERROR(_xlfn.MAXIFS('Trade Log'!$Z$4:$Z$503,'Trade Log'!$D$4:$D$503,$A69),""))</f>
        <v/>
      </c>
      <c r="P69" s="40" t="str">
        <f aca="false">IF($A69="","",IFERROR(_xlfn.MINIFS('Trade Log'!$Z$4:$Z$503,'Trade Log'!$D$4:$D$503,$A69),""))</f>
        <v/>
      </c>
      <c r="Q69" s="55" t="str">
        <f aca="false">IF($A69="","",IFERROR(AVERAGEIFS('Trade Log'!$AA$4:$AA$503,'Trade Log'!$D$4:$D$503,$A69),""))</f>
        <v/>
      </c>
      <c r="R69" s="53" t="str">
        <f aca="false">IF($A69="","",IFERROR(AVERAGEIFS('Trade Log'!$P$4:$P$503,'Trade Log'!$D$4:$D$503,$A69),""))</f>
        <v/>
      </c>
      <c r="S69" s="44" t="str">
        <f aca="false">IF($A69="","",IFERROR(AVERAGEIFS('Trade Log'!$AC$4:$AC$503,'Trade Log'!$D$4:$D$503,$A69),""))</f>
        <v/>
      </c>
      <c r="T69" s="55" t="str">
        <f aca="false">IF(OR($A69="",Summary!$B$13=0),"",$K69/Summary!$B$13)</f>
        <v/>
      </c>
      <c r="U69" s="41" t="str">
        <f aca="false">IF($A69="","",IFERROR(RANK($K69,$K$4:$K$153),""))</f>
        <v/>
      </c>
    </row>
    <row r="70" customFormat="false" ht="15" hidden="false" customHeight="false" outlineLevel="0" collapsed="false">
      <c r="A70" s="49"/>
      <c r="B70" s="41" t="str">
        <f aca="false">IF($A70="","",COUNTIFS('Trade Log'!$D$4:$D$503,$A70))</f>
        <v/>
      </c>
      <c r="C70" s="41" t="str">
        <f aca="false">IF($A70="","",COUNTIFS('Trade Log'!$D$4:$D$503,$A70,'Trade Log'!$E$4:$E$503,"LONG"))</f>
        <v/>
      </c>
      <c r="D70" s="41" t="str">
        <f aca="false">IF($A70="","",COUNTIFS('Trade Log'!$D$4:$D$503,$A70,'Trade Log'!$E$4:$E$503,"SHORT"))</f>
        <v/>
      </c>
      <c r="E70" s="41" t="str">
        <f aca="false">IF($A70="","",COUNTIFS('Trade Log'!$D$4:$D$503,$A70,'Trade Log'!$N$4:$N$503,"&lt;&gt;"))</f>
        <v/>
      </c>
      <c r="F70" s="40" t="str">
        <f aca="false">IF($A70="","",SUMIFS('Trade Log'!$K$4:$K$503,'Trade Log'!$D$4:$D$503,$A70))</f>
        <v/>
      </c>
      <c r="G70" s="40" t="str">
        <f aca="false">IF($A70="","",SUMIFS('Trade Log'!$Z$4:$Z$503,'Trade Log'!$D$4:$D$503,$A70,'Trade Log'!$E$4:$E$503,"LONG"))</f>
        <v/>
      </c>
      <c r="H70" s="40" t="str">
        <f aca="false">IF($A70="","",SUMIFS('Trade Log'!$Z$4:$Z$503,'Trade Log'!$D$4:$D$503,$A70,'Trade Log'!$E$4:$E$503,"SHORT"))</f>
        <v/>
      </c>
      <c r="I70" s="40" t="str">
        <f aca="false">IF($A70="","",SUMIFS('Trade Log'!$Q$4:$Q$503,'Trade Log'!$D$4:$D$503,$A70))</f>
        <v/>
      </c>
      <c r="J70" s="40" t="str">
        <f aca="false">IF($A70="","",SUMIFS('Trade Log'!$Y$4:$Y$503,'Trade Log'!$D$4:$D$503,$A70))</f>
        <v/>
      </c>
      <c r="K70" s="40" t="str">
        <f aca="false">IF($A70="","",SUMIFS('Trade Log'!$Z$4:$Z$503,'Trade Log'!$D$4:$D$503,$A70))</f>
        <v/>
      </c>
      <c r="L70" s="41" t="str">
        <f aca="false">IF($A70="","",COUNTIFS('Trade Log'!$D$4:$D$503,$A70,'Trade Log'!$Z$4:$Z$503,"&gt;0"))</f>
        <v/>
      </c>
      <c r="M70" s="55" t="str">
        <f aca="false">IF(OR($A70="",$E70=0),"",$L70/$E70)</f>
        <v/>
      </c>
      <c r="N70" s="40" t="str">
        <f aca="false">IF(OR($A70="",$E70=0),"",$K70/$E70)</f>
        <v/>
      </c>
      <c r="O70" s="40" t="str">
        <f aca="false">IF($A70="","",IFERROR(_xlfn.MAXIFS('Trade Log'!$Z$4:$Z$503,'Trade Log'!$D$4:$D$503,$A70),""))</f>
        <v/>
      </c>
      <c r="P70" s="40" t="str">
        <f aca="false">IF($A70="","",IFERROR(_xlfn.MINIFS('Trade Log'!$Z$4:$Z$503,'Trade Log'!$D$4:$D$503,$A70),""))</f>
        <v/>
      </c>
      <c r="Q70" s="55" t="str">
        <f aca="false">IF($A70="","",IFERROR(AVERAGEIFS('Trade Log'!$AA$4:$AA$503,'Trade Log'!$D$4:$D$503,$A70),""))</f>
        <v/>
      </c>
      <c r="R70" s="53" t="str">
        <f aca="false">IF($A70="","",IFERROR(AVERAGEIFS('Trade Log'!$P$4:$P$503,'Trade Log'!$D$4:$D$503,$A70),""))</f>
        <v/>
      </c>
      <c r="S70" s="44" t="str">
        <f aca="false">IF($A70="","",IFERROR(AVERAGEIFS('Trade Log'!$AC$4:$AC$503,'Trade Log'!$D$4:$D$503,$A70),""))</f>
        <v/>
      </c>
      <c r="T70" s="55" t="str">
        <f aca="false">IF(OR($A70="",Summary!$B$13=0),"",$K70/Summary!$B$13)</f>
        <v/>
      </c>
      <c r="U70" s="41" t="str">
        <f aca="false">IF($A70="","",IFERROR(RANK($K70,$K$4:$K$153),""))</f>
        <v/>
      </c>
    </row>
    <row r="71" customFormat="false" ht="15" hidden="false" customHeight="false" outlineLevel="0" collapsed="false">
      <c r="A71" s="49"/>
      <c r="B71" s="41" t="str">
        <f aca="false">IF($A71="","",COUNTIFS('Trade Log'!$D$4:$D$503,$A71))</f>
        <v/>
      </c>
      <c r="C71" s="41" t="str">
        <f aca="false">IF($A71="","",COUNTIFS('Trade Log'!$D$4:$D$503,$A71,'Trade Log'!$E$4:$E$503,"LONG"))</f>
        <v/>
      </c>
      <c r="D71" s="41" t="str">
        <f aca="false">IF($A71="","",COUNTIFS('Trade Log'!$D$4:$D$503,$A71,'Trade Log'!$E$4:$E$503,"SHORT"))</f>
        <v/>
      </c>
      <c r="E71" s="41" t="str">
        <f aca="false">IF($A71="","",COUNTIFS('Trade Log'!$D$4:$D$503,$A71,'Trade Log'!$N$4:$N$503,"&lt;&gt;"))</f>
        <v/>
      </c>
      <c r="F71" s="40" t="str">
        <f aca="false">IF($A71="","",SUMIFS('Trade Log'!$K$4:$K$503,'Trade Log'!$D$4:$D$503,$A71))</f>
        <v/>
      </c>
      <c r="G71" s="40" t="str">
        <f aca="false">IF($A71="","",SUMIFS('Trade Log'!$Z$4:$Z$503,'Trade Log'!$D$4:$D$503,$A71,'Trade Log'!$E$4:$E$503,"LONG"))</f>
        <v/>
      </c>
      <c r="H71" s="40" t="str">
        <f aca="false">IF($A71="","",SUMIFS('Trade Log'!$Z$4:$Z$503,'Trade Log'!$D$4:$D$503,$A71,'Trade Log'!$E$4:$E$503,"SHORT"))</f>
        <v/>
      </c>
      <c r="I71" s="40" t="str">
        <f aca="false">IF($A71="","",SUMIFS('Trade Log'!$Q$4:$Q$503,'Trade Log'!$D$4:$D$503,$A71))</f>
        <v/>
      </c>
      <c r="J71" s="40" t="str">
        <f aca="false">IF($A71="","",SUMIFS('Trade Log'!$Y$4:$Y$503,'Trade Log'!$D$4:$D$503,$A71))</f>
        <v/>
      </c>
      <c r="K71" s="40" t="str">
        <f aca="false">IF($A71="","",SUMIFS('Trade Log'!$Z$4:$Z$503,'Trade Log'!$D$4:$D$503,$A71))</f>
        <v/>
      </c>
      <c r="L71" s="41" t="str">
        <f aca="false">IF($A71="","",COUNTIFS('Trade Log'!$D$4:$D$503,$A71,'Trade Log'!$Z$4:$Z$503,"&gt;0"))</f>
        <v/>
      </c>
      <c r="M71" s="55" t="str">
        <f aca="false">IF(OR($A71="",$E71=0),"",$L71/$E71)</f>
        <v/>
      </c>
      <c r="N71" s="40" t="str">
        <f aca="false">IF(OR($A71="",$E71=0),"",$K71/$E71)</f>
        <v/>
      </c>
      <c r="O71" s="40" t="str">
        <f aca="false">IF($A71="","",IFERROR(_xlfn.MAXIFS('Trade Log'!$Z$4:$Z$503,'Trade Log'!$D$4:$D$503,$A71),""))</f>
        <v/>
      </c>
      <c r="P71" s="40" t="str">
        <f aca="false">IF($A71="","",IFERROR(_xlfn.MINIFS('Trade Log'!$Z$4:$Z$503,'Trade Log'!$D$4:$D$503,$A71),""))</f>
        <v/>
      </c>
      <c r="Q71" s="55" t="str">
        <f aca="false">IF($A71="","",IFERROR(AVERAGEIFS('Trade Log'!$AA$4:$AA$503,'Trade Log'!$D$4:$D$503,$A71),""))</f>
        <v/>
      </c>
      <c r="R71" s="53" t="str">
        <f aca="false">IF($A71="","",IFERROR(AVERAGEIFS('Trade Log'!$P$4:$P$503,'Trade Log'!$D$4:$D$503,$A71),""))</f>
        <v/>
      </c>
      <c r="S71" s="44" t="str">
        <f aca="false">IF($A71="","",IFERROR(AVERAGEIFS('Trade Log'!$AC$4:$AC$503,'Trade Log'!$D$4:$D$503,$A71),""))</f>
        <v/>
      </c>
      <c r="T71" s="55" t="str">
        <f aca="false">IF(OR($A71="",Summary!$B$13=0),"",$K71/Summary!$B$13)</f>
        <v/>
      </c>
      <c r="U71" s="41" t="str">
        <f aca="false">IF($A71="","",IFERROR(RANK($K71,$K$4:$K$153),""))</f>
        <v/>
      </c>
    </row>
    <row r="72" customFormat="false" ht="15" hidden="false" customHeight="false" outlineLevel="0" collapsed="false">
      <c r="A72" s="49"/>
      <c r="B72" s="41" t="str">
        <f aca="false">IF($A72="","",COUNTIFS('Trade Log'!$D$4:$D$503,$A72))</f>
        <v/>
      </c>
      <c r="C72" s="41" t="str">
        <f aca="false">IF($A72="","",COUNTIFS('Trade Log'!$D$4:$D$503,$A72,'Trade Log'!$E$4:$E$503,"LONG"))</f>
        <v/>
      </c>
      <c r="D72" s="41" t="str">
        <f aca="false">IF($A72="","",COUNTIFS('Trade Log'!$D$4:$D$503,$A72,'Trade Log'!$E$4:$E$503,"SHORT"))</f>
        <v/>
      </c>
      <c r="E72" s="41" t="str">
        <f aca="false">IF($A72="","",COUNTIFS('Trade Log'!$D$4:$D$503,$A72,'Trade Log'!$N$4:$N$503,"&lt;&gt;"))</f>
        <v/>
      </c>
      <c r="F72" s="40" t="str">
        <f aca="false">IF($A72="","",SUMIFS('Trade Log'!$K$4:$K$503,'Trade Log'!$D$4:$D$503,$A72))</f>
        <v/>
      </c>
      <c r="G72" s="40" t="str">
        <f aca="false">IF($A72="","",SUMIFS('Trade Log'!$Z$4:$Z$503,'Trade Log'!$D$4:$D$503,$A72,'Trade Log'!$E$4:$E$503,"LONG"))</f>
        <v/>
      </c>
      <c r="H72" s="40" t="str">
        <f aca="false">IF($A72="","",SUMIFS('Trade Log'!$Z$4:$Z$503,'Trade Log'!$D$4:$D$503,$A72,'Trade Log'!$E$4:$E$503,"SHORT"))</f>
        <v/>
      </c>
      <c r="I72" s="40" t="str">
        <f aca="false">IF($A72="","",SUMIFS('Trade Log'!$Q$4:$Q$503,'Trade Log'!$D$4:$D$503,$A72))</f>
        <v/>
      </c>
      <c r="J72" s="40" t="str">
        <f aca="false">IF($A72="","",SUMIFS('Trade Log'!$Y$4:$Y$503,'Trade Log'!$D$4:$D$503,$A72))</f>
        <v/>
      </c>
      <c r="K72" s="40" t="str">
        <f aca="false">IF($A72="","",SUMIFS('Trade Log'!$Z$4:$Z$503,'Trade Log'!$D$4:$D$503,$A72))</f>
        <v/>
      </c>
      <c r="L72" s="41" t="str">
        <f aca="false">IF($A72="","",COUNTIFS('Trade Log'!$D$4:$D$503,$A72,'Trade Log'!$Z$4:$Z$503,"&gt;0"))</f>
        <v/>
      </c>
      <c r="M72" s="55" t="str">
        <f aca="false">IF(OR($A72="",$E72=0),"",$L72/$E72)</f>
        <v/>
      </c>
      <c r="N72" s="40" t="str">
        <f aca="false">IF(OR($A72="",$E72=0),"",$K72/$E72)</f>
        <v/>
      </c>
      <c r="O72" s="40" t="str">
        <f aca="false">IF($A72="","",IFERROR(_xlfn.MAXIFS('Trade Log'!$Z$4:$Z$503,'Trade Log'!$D$4:$D$503,$A72),""))</f>
        <v/>
      </c>
      <c r="P72" s="40" t="str">
        <f aca="false">IF($A72="","",IFERROR(_xlfn.MINIFS('Trade Log'!$Z$4:$Z$503,'Trade Log'!$D$4:$D$503,$A72),""))</f>
        <v/>
      </c>
      <c r="Q72" s="55" t="str">
        <f aca="false">IF($A72="","",IFERROR(AVERAGEIFS('Trade Log'!$AA$4:$AA$503,'Trade Log'!$D$4:$D$503,$A72),""))</f>
        <v/>
      </c>
      <c r="R72" s="53" t="str">
        <f aca="false">IF($A72="","",IFERROR(AVERAGEIFS('Trade Log'!$P$4:$P$503,'Trade Log'!$D$4:$D$503,$A72),""))</f>
        <v/>
      </c>
      <c r="S72" s="44" t="str">
        <f aca="false">IF($A72="","",IFERROR(AVERAGEIFS('Trade Log'!$AC$4:$AC$503,'Trade Log'!$D$4:$D$503,$A72),""))</f>
        <v/>
      </c>
      <c r="T72" s="55" t="str">
        <f aca="false">IF(OR($A72="",Summary!$B$13=0),"",$K72/Summary!$B$13)</f>
        <v/>
      </c>
      <c r="U72" s="41" t="str">
        <f aca="false">IF($A72="","",IFERROR(RANK($K72,$K$4:$K$153),""))</f>
        <v/>
      </c>
    </row>
    <row r="73" customFormat="false" ht="15" hidden="false" customHeight="false" outlineLevel="0" collapsed="false">
      <c r="A73" s="49"/>
      <c r="B73" s="41" t="str">
        <f aca="false">IF($A73="","",COUNTIFS('Trade Log'!$D$4:$D$503,$A73))</f>
        <v/>
      </c>
      <c r="C73" s="41" t="str">
        <f aca="false">IF($A73="","",COUNTIFS('Trade Log'!$D$4:$D$503,$A73,'Trade Log'!$E$4:$E$503,"LONG"))</f>
        <v/>
      </c>
      <c r="D73" s="41" t="str">
        <f aca="false">IF($A73="","",COUNTIFS('Trade Log'!$D$4:$D$503,$A73,'Trade Log'!$E$4:$E$503,"SHORT"))</f>
        <v/>
      </c>
      <c r="E73" s="41" t="str">
        <f aca="false">IF($A73="","",COUNTIFS('Trade Log'!$D$4:$D$503,$A73,'Trade Log'!$N$4:$N$503,"&lt;&gt;"))</f>
        <v/>
      </c>
      <c r="F73" s="40" t="str">
        <f aca="false">IF($A73="","",SUMIFS('Trade Log'!$K$4:$K$503,'Trade Log'!$D$4:$D$503,$A73))</f>
        <v/>
      </c>
      <c r="G73" s="40" t="str">
        <f aca="false">IF($A73="","",SUMIFS('Trade Log'!$Z$4:$Z$503,'Trade Log'!$D$4:$D$503,$A73,'Trade Log'!$E$4:$E$503,"LONG"))</f>
        <v/>
      </c>
      <c r="H73" s="40" t="str">
        <f aca="false">IF($A73="","",SUMIFS('Trade Log'!$Z$4:$Z$503,'Trade Log'!$D$4:$D$503,$A73,'Trade Log'!$E$4:$E$503,"SHORT"))</f>
        <v/>
      </c>
      <c r="I73" s="40" t="str">
        <f aca="false">IF($A73="","",SUMIFS('Trade Log'!$Q$4:$Q$503,'Trade Log'!$D$4:$D$503,$A73))</f>
        <v/>
      </c>
      <c r="J73" s="40" t="str">
        <f aca="false">IF($A73="","",SUMIFS('Trade Log'!$Y$4:$Y$503,'Trade Log'!$D$4:$D$503,$A73))</f>
        <v/>
      </c>
      <c r="K73" s="40" t="str">
        <f aca="false">IF($A73="","",SUMIFS('Trade Log'!$Z$4:$Z$503,'Trade Log'!$D$4:$D$503,$A73))</f>
        <v/>
      </c>
      <c r="L73" s="41" t="str">
        <f aca="false">IF($A73="","",COUNTIFS('Trade Log'!$D$4:$D$503,$A73,'Trade Log'!$Z$4:$Z$503,"&gt;0"))</f>
        <v/>
      </c>
      <c r="M73" s="55" t="str">
        <f aca="false">IF(OR($A73="",$E73=0),"",$L73/$E73)</f>
        <v/>
      </c>
      <c r="N73" s="40" t="str">
        <f aca="false">IF(OR($A73="",$E73=0),"",$K73/$E73)</f>
        <v/>
      </c>
      <c r="O73" s="40" t="str">
        <f aca="false">IF($A73="","",IFERROR(_xlfn.MAXIFS('Trade Log'!$Z$4:$Z$503,'Trade Log'!$D$4:$D$503,$A73),""))</f>
        <v/>
      </c>
      <c r="P73" s="40" t="str">
        <f aca="false">IF($A73="","",IFERROR(_xlfn.MINIFS('Trade Log'!$Z$4:$Z$503,'Trade Log'!$D$4:$D$503,$A73),""))</f>
        <v/>
      </c>
      <c r="Q73" s="55" t="str">
        <f aca="false">IF($A73="","",IFERROR(AVERAGEIFS('Trade Log'!$AA$4:$AA$503,'Trade Log'!$D$4:$D$503,$A73),""))</f>
        <v/>
      </c>
      <c r="R73" s="53" t="str">
        <f aca="false">IF($A73="","",IFERROR(AVERAGEIFS('Trade Log'!$P$4:$P$503,'Trade Log'!$D$4:$D$503,$A73),""))</f>
        <v/>
      </c>
      <c r="S73" s="44" t="str">
        <f aca="false">IF($A73="","",IFERROR(AVERAGEIFS('Trade Log'!$AC$4:$AC$503,'Trade Log'!$D$4:$D$503,$A73),""))</f>
        <v/>
      </c>
      <c r="T73" s="55" t="str">
        <f aca="false">IF(OR($A73="",Summary!$B$13=0),"",$K73/Summary!$B$13)</f>
        <v/>
      </c>
      <c r="U73" s="41" t="str">
        <f aca="false">IF($A73="","",IFERROR(RANK($K73,$K$4:$K$153),""))</f>
        <v/>
      </c>
    </row>
    <row r="74" customFormat="false" ht="15" hidden="false" customHeight="false" outlineLevel="0" collapsed="false">
      <c r="A74" s="49"/>
      <c r="B74" s="41" t="str">
        <f aca="false">IF($A74="","",COUNTIFS('Trade Log'!$D$4:$D$503,$A74))</f>
        <v/>
      </c>
      <c r="C74" s="41" t="str">
        <f aca="false">IF($A74="","",COUNTIFS('Trade Log'!$D$4:$D$503,$A74,'Trade Log'!$E$4:$E$503,"LONG"))</f>
        <v/>
      </c>
      <c r="D74" s="41" t="str">
        <f aca="false">IF($A74="","",COUNTIFS('Trade Log'!$D$4:$D$503,$A74,'Trade Log'!$E$4:$E$503,"SHORT"))</f>
        <v/>
      </c>
      <c r="E74" s="41" t="str">
        <f aca="false">IF($A74="","",COUNTIFS('Trade Log'!$D$4:$D$503,$A74,'Trade Log'!$N$4:$N$503,"&lt;&gt;"))</f>
        <v/>
      </c>
      <c r="F74" s="40" t="str">
        <f aca="false">IF($A74="","",SUMIFS('Trade Log'!$K$4:$K$503,'Trade Log'!$D$4:$D$503,$A74))</f>
        <v/>
      </c>
      <c r="G74" s="40" t="str">
        <f aca="false">IF($A74="","",SUMIFS('Trade Log'!$Z$4:$Z$503,'Trade Log'!$D$4:$D$503,$A74,'Trade Log'!$E$4:$E$503,"LONG"))</f>
        <v/>
      </c>
      <c r="H74" s="40" t="str">
        <f aca="false">IF($A74="","",SUMIFS('Trade Log'!$Z$4:$Z$503,'Trade Log'!$D$4:$D$503,$A74,'Trade Log'!$E$4:$E$503,"SHORT"))</f>
        <v/>
      </c>
      <c r="I74" s="40" t="str">
        <f aca="false">IF($A74="","",SUMIFS('Trade Log'!$Q$4:$Q$503,'Trade Log'!$D$4:$D$503,$A74))</f>
        <v/>
      </c>
      <c r="J74" s="40" t="str">
        <f aca="false">IF($A74="","",SUMIFS('Trade Log'!$Y$4:$Y$503,'Trade Log'!$D$4:$D$503,$A74))</f>
        <v/>
      </c>
      <c r="K74" s="40" t="str">
        <f aca="false">IF($A74="","",SUMIFS('Trade Log'!$Z$4:$Z$503,'Trade Log'!$D$4:$D$503,$A74))</f>
        <v/>
      </c>
      <c r="L74" s="41" t="str">
        <f aca="false">IF($A74="","",COUNTIFS('Trade Log'!$D$4:$D$503,$A74,'Trade Log'!$Z$4:$Z$503,"&gt;0"))</f>
        <v/>
      </c>
      <c r="M74" s="55" t="str">
        <f aca="false">IF(OR($A74="",$E74=0),"",$L74/$E74)</f>
        <v/>
      </c>
      <c r="N74" s="40" t="str">
        <f aca="false">IF(OR($A74="",$E74=0),"",$K74/$E74)</f>
        <v/>
      </c>
      <c r="O74" s="40" t="str">
        <f aca="false">IF($A74="","",IFERROR(_xlfn.MAXIFS('Trade Log'!$Z$4:$Z$503,'Trade Log'!$D$4:$D$503,$A74),""))</f>
        <v/>
      </c>
      <c r="P74" s="40" t="str">
        <f aca="false">IF($A74="","",IFERROR(_xlfn.MINIFS('Trade Log'!$Z$4:$Z$503,'Trade Log'!$D$4:$D$503,$A74),""))</f>
        <v/>
      </c>
      <c r="Q74" s="55" t="str">
        <f aca="false">IF($A74="","",IFERROR(AVERAGEIFS('Trade Log'!$AA$4:$AA$503,'Trade Log'!$D$4:$D$503,$A74),""))</f>
        <v/>
      </c>
      <c r="R74" s="53" t="str">
        <f aca="false">IF($A74="","",IFERROR(AVERAGEIFS('Trade Log'!$P$4:$P$503,'Trade Log'!$D$4:$D$503,$A74),""))</f>
        <v/>
      </c>
      <c r="S74" s="44" t="str">
        <f aca="false">IF($A74="","",IFERROR(AVERAGEIFS('Trade Log'!$AC$4:$AC$503,'Trade Log'!$D$4:$D$503,$A74),""))</f>
        <v/>
      </c>
      <c r="T74" s="55" t="str">
        <f aca="false">IF(OR($A74="",Summary!$B$13=0),"",$K74/Summary!$B$13)</f>
        <v/>
      </c>
      <c r="U74" s="41" t="str">
        <f aca="false">IF($A74="","",IFERROR(RANK($K74,$K$4:$K$153),""))</f>
        <v/>
      </c>
    </row>
    <row r="75" customFormat="false" ht="15" hidden="false" customHeight="false" outlineLevel="0" collapsed="false">
      <c r="A75" s="49"/>
      <c r="B75" s="41" t="str">
        <f aca="false">IF($A75="","",COUNTIFS('Trade Log'!$D$4:$D$503,$A75))</f>
        <v/>
      </c>
      <c r="C75" s="41" t="str">
        <f aca="false">IF($A75="","",COUNTIFS('Trade Log'!$D$4:$D$503,$A75,'Trade Log'!$E$4:$E$503,"LONG"))</f>
        <v/>
      </c>
      <c r="D75" s="41" t="str">
        <f aca="false">IF($A75="","",COUNTIFS('Trade Log'!$D$4:$D$503,$A75,'Trade Log'!$E$4:$E$503,"SHORT"))</f>
        <v/>
      </c>
      <c r="E75" s="41" t="str">
        <f aca="false">IF($A75="","",COUNTIFS('Trade Log'!$D$4:$D$503,$A75,'Trade Log'!$N$4:$N$503,"&lt;&gt;"))</f>
        <v/>
      </c>
      <c r="F75" s="40" t="str">
        <f aca="false">IF($A75="","",SUMIFS('Trade Log'!$K$4:$K$503,'Trade Log'!$D$4:$D$503,$A75))</f>
        <v/>
      </c>
      <c r="G75" s="40" t="str">
        <f aca="false">IF($A75="","",SUMIFS('Trade Log'!$Z$4:$Z$503,'Trade Log'!$D$4:$D$503,$A75,'Trade Log'!$E$4:$E$503,"LONG"))</f>
        <v/>
      </c>
      <c r="H75" s="40" t="str">
        <f aca="false">IF($A75="","",SUMIFS('Trade Log'!$Z$4:$Z$503,'Trade Log'!$D$4:$D$503,$A75,'Trade Log'!$E$4:$E$503,"SHORT"))</f>
        <v/>
      </c>
      <c r="I75" s="40" t="str">
        <f aca="false">IF($A75="","",SUMIFS('Trade Log'!$Q$4:$Q$503,'Trade Log'!$D$4:$D$503,$A75))</f>
        <v/>
      </c>
      <c r="J75" s="40" t="str">
        <f aca="false">IF($A75="","",SUMIFS('Trade Log'!$Y$4:$Y$503,'Trade Log'!$D$4:$D$503,$A75))</f>
        <v/>
      </c>
      <c r="K75" s="40" t="str">
        <f aca="false">IF($A75="","",SUMIFS('Trade Log'!$Z$4:$Z$503,'Trade Log'!$D$4:$D$503,$A75))</f>
        <v/>
      </c>
      <c r="L75" s="41" t="str">
        <f aca="false">IF($A75="","",COUNTIFS('Trade Log'!$D$4:$D$503,$A75,'Trade Log'!$Z$4:$Z$503,"&gt;0"))</f>
        <v/>
      </c>
      <c r="M75" s="55" t="str">
        <f aca="false">IF(OR($A75="",$E75=0),"",$L75/$E75)</f>
        <v/>
      </c>
      <c r="N75" s="40" t="str">
        <f aca="false">IF(OR($A75="",$E75=0),"",$K75/$E75)</f>
        <v/>
      </c>
      <c r="O75" s="40" t="str">
        <f aca="false">IF($A75="","",IFERROR(_xlfn.MAXIFS('Trade Log'!$Z$4:$Z$503,'Trade Log'!$D$4:$D$503,$A75),""))</f>
        <v/>
      </c>
      <c r="P75" s="40" t="str">
        <f aca="false">IF($A75="","",IFERROR(_xlfn.MINIFS('Trade Log'!$Z$4:$Z$503,'Trade Log'!$D$4:$D$503,$A75),""))</f>
        <v/>
      </c>
      <c r="Q75" s="55" t="str">
        <f aca="false">IF($A75="","",IFERROR(AVERAGEIFS('Trade Log'!$AA$4:$AA$503,'Trade Log'!$D$4:$D$503,$A75),""))</f>
        <v/>
      </c>
      <c r="R75" s="53" t="str">
        <f aca="false">IF($A75="","",IFERROR(AVERAGEIFS('Trade Log'!$P$4:$P$503,'Trade Log'!$D$4:$D$503,$A75),""))</f>
        <v/>
      </c>
      <c r="S75" s="44" t="str">
        <f aca="false">IF($A75="","",IFERROR(AVERAGEIFS('Trade Log'!$AC$4:$AC$503,'Trade Log'!$D$4:$D$503,$A75),""))</f>
        <v/>
      </c>
      <c r="T75" s="55" t="str">
        <f aca="false">IF(OR($A75="",Summary!$B$13=0),"",$K75/Summary!$B$13)</f>
        <v/>
      </c>
      <c r="U75" s="41" t="str">
        <f aca="false">IF($A75="","",IFERROR(RANK($K75,$K$4:$K$153),""))</f>
        <v/>
      </c>
    </row>
    <row r="76" customFormat="false" ht="15" hidden="false" customHeight="false" outlineLevel="0" collapsed="false">
      <c r="A76" s="49"/>
      <c r="B76" s="41" t="str">
        <f aca="false">IF($A76="","",COUNTIFS('Trade Log'!$D$4:$D$503,$A76))</f>
        <v/>
      </c>
      <c r="C76" s="41" t="str">
        <f aca="false">IF($A76="","",COUNTIFS('Trade Log'!$D$4:$D$503,$A76,'Trade Log'!$E$4:$E$503,"LONG"))</f>
        <v/>
      </c>
      <c r="D76" s="41" t="str">
        <f aca="false">IF($A76="","",COUNTIFS('Trade Log'!$D$4:$D$503,$A76,'Trade Log'!$E$4:$E$503,"SHORT"))</f>
        <v/>
      </c>
      <c r="E76" s="41" t="str">
        <f aca="false">IF($A76="","",COUNTIFS('Trade Log'!$D$4:$D$503,$A76,'Trade Log'!$N$4:$N$503,"&lt;&gt;"))</f>
        <v/>
      </c>
      <c r="F76" s="40" t="str">
        <f aca="false">IF($A76="","",SUMIFS('Trade Log'!$K$4:$K$503,'Trade Log'!$D$4:$D$503,$A76))</f>
        <v/>
      </c>
      <c r="G76" s="40" t="str">
        <f aca="false">IF($A76="","",SUMIFS('Trade Log'!$Z$4:$Z$503,'Trade Log'!$D$4:$D$503,$A76,'Trade Log'!$E$4:$E$503,"LONG"))</f>
        <v/>
      </c>
      <c r="H76" s="40" t="str">
        <f aca="false">IF($A76="","",SUMIFS('Trade Log'!$Z$4:$Z$503,'Trade Log'!$D$4:$D$503,$A76,'Trade Log'!$E$4:$E$503,"SHORT"))</f>
        <v/>
      </c>
      <c r="I76" s="40" t="str">
        <f aca="false">IF($A76="","",SUMIFS('Trade Log'!$Q$4:$Q$503,'Trade Log'!$D$4:$D$503,$A76))</f>
        <v/>
      </c>
      <c r="J76" s="40" t="str">
        <f aca="false">IF($A76="","",SUMIFS('Trade Log'!$Y$4:$Y$503,'Trade Log'!$D$4:$D$503,$A76))</f>
        <v/>
      </c>
      <c r="K76" s="40" t="str">
        <f aca="false">IF($A76="","",SUMIFS('Trade Log'!$Z$4:$Z$503,'Trade Log'!$D$4:$D$503,$A76))</f>
        <v/>
      </c>
      <c r="L76" s="41" t="str">
        <f aca="false">IF($A76="","",COUNTIFS('Trade Log'!$D$4:$D$503,$A76,'Trade Log'!$Z$4:$Z$503,"&gt;0"))</f>
        <v/>
      </c>
      <c r="M76" s="55" t="str">
        <f aca="false">IF(OR($A76="",$E76=0),"",$L76/$E76)</f>
        <v/>
      </c>
      <c r="N76" s="40" t="str">
        <f aca="false">IF(OR($A76="",$E76=0),"",$K76/$E76)</f>
        <v/>
      </c>
      <c r="O76" s="40" t="str">
        <f aca="false">IF($A76="","",IFERROR(_xlfn.MAXIFS('Trade Log'!$Z$4:$Z$503,'Trade Log'!$D$4:$D$503,$A76),""))</f>
        <v/>
      </c>
      <c r="P76" s="40" t="str">
        <f aca="false">IF($A76="","",IFERROR(_xlfn.MINIFS('Trade Log'!$Z$4:$Z$503,'Trade Log'!$D$4:$D$503,$A76),""))</f>
        <v/>
      </c>
      <c r="Q76" s="55" t="str">
        <f aca="false">IF($A76="","",IFERROR(AVERAGEIFS('Trade Log'!$AA$4:$AA$503,'Trade Log'!$D$4:$D$503,$A76),""))</f>
        <v/>
      </c>
      <c r="R76" s="53" t="str">
        <f aca="false">IF($A76="","",IFERROR(AVERAGEIFS('Trade Log'!$P$4:$P$503,'Trade Log'!$D$4:$D$503,$A76),""))</f>
        <v/>
      </c>
      <c r="S76" s="44" t="str">
        <f aca="false">IF($A76="","",IFERROR(AVERAGEIFS('Trade Log'!$AC$4:$AC$503,'Trade Log'!$D$4:$D$503,$A76),""))</f>
        <v/>
      </c>
      <c r="T76" s="55" t="str">
        <f aca="false">IF(OR($A76="",Summary!$B$13=0),"",$K76/Summary!$B$13)</f>
        <v/>
      </c>
      <c r="U76" s="41" t="str">
        <f aca="false">IF($A76="","",IFERROR(RANK($K76,$K$4:$K$153),""))</f>
        <v/>
      </c>
    </row>
    <row r="77" customFormat="false" ht="15" hidden="false" customHeight="false" outlineLevel="0" collapsed="false">
      <c r="A77" s="49"/>
      <c r="B77" s="41" t="str">
        <f aca="false">IF($A77="","",COUNTIFS('Trade Log'!$D$4:$D$503,$A77))</f>
        <v/>
      </c>
      <c r="C77" s="41" t="str">
        <f aca="false">IF($A77="","",COUNTIFS('Trade Log'!$D$4:$D$503,$A77,'Trade Log'!$E$4:$E$503,"LONG"))</f>
        <v/>
      </c>
      <c r="D77" s="41" t="str">
        <f aca="false">IF($A77="","",COUNTIFS('Trade Log'!$D$4:$D$503,$A77,'Trade Log'!$E$4:$E$503,"SHORT"))</f>
        <v/>
      </c>
      <c r="E77" s="41" t="str">
        <f aca="false">IF($A77="","",COUNTIFS('Trade Log'!$D$4:$D$503,$A77,'Trade Log'!$N$4:$N$503,"&lt;&gt;"))</f>
        <v/>
      </c>
      <c r="F77" s="40" t="str">
        <f aca="false">IF($A77="","",SUMIFS('Trade Log'!$K$4:$K$503,'Trade Log'!$D$4:$D$503,$A77))</f>
        <v/>
      </c>
      <c r="G77" s="40" t="str">
        <f aca="false">IF($A77="","",SUMIFS('Trade Log'!$Z$4:$Z$503,'Trade Log'!$D$4:$D$503,$A77,'Trade Log'!$E$4:$E$503,"LONG"))</f>
        <v/>
      </c>
      <c r="H77" s="40" t="str">
        <f aca="false">IF($A77="","",SUMIFS('Trade Log'!$Z$4:$Z$503,'Trade Log'!$D$4:$D$503,$A77,'Trade Log'!$E$4:$E$503,"SHORT"))</f>
        <v/>
      </c>
      <c r="I77" s="40" t="str">
        <f aca="false">IF($A77="","",SUMIFS('Trade Log'!$Q$4:$Q$503,'Trade Log'!$D$4:$D$503,$A77))</f>
        <v/>
      </c>
      <c r="J77" s="40" t="str">
        <f aca="false">IF($A77="","",SUMIFS('Trade Log'!$Y$4:$Y$503,'Trade Log'!$D$4:$D$503,$A77))</f>
        <v/>
      </c>
      <c r="K77" s="40" t="str">
        <f aca="false">IF($A77="","",SUMIFS('Trade Log'!$Z$4:$Z$503,'Trade Log'!$D$4:$D$503,$A77))</f>
        <v/>
      </c>
      <c r="L77" s="41" t="str">
        <f aca="false">IF($A77="","",COUNTIFS('Trade Log'!$D$4:$D$503,$A77,'Trade Log'!$Z$4:$Z$503,"&gt;0"))</f>
        <v/>
      </c>
      <c r="M77" s="55" t="str">
        <f aca="false">IF(OR($A77="",$E77=0),"",$L77/$E77)</f>
        <v/>
      </c>
      <c r="N77" s="40" t="str">
        <f aca="false">IF(OR($A77="",$E77=0),"",$K77/$E77)</f>
        <v/>
      </c>
      <c r="O77" s="40" t="str">
        <f aca="false">IF($A77="","",IFERROR(_xlfn.MAXIFS('Trade Log'!$Z$4:$Z$503,'Trade Log'!$D$4:$D$503,$A77),""))</f>
        <v/>
      </c>
      <c r="P77" s="40" t="str">
        <f aca="false">IF($A77="","",IFERROR(_xlfn.MINIFS('Trade Log'!$Z$4:$Z$503,'Trade Log'!$D$4:$D$503,$A77),""))</f>
        <v/>
      </c>
      <c r="Q77" s="55" t="str">
        <f aca="false">IF($A77="","",IFERROR(AVERAGEIFS('Trade Log'!$AA$4:$AA$503,'Trade Log'!$D$4:$D$503,$A77),""))</f>
        <v/>
      </c>
      <c r="R77" s="53" t="str">
        <f aca="false">IF($A77="","",IFERROR(AVERAGEIFS('Trade Log'!$P$4:$P$503,'Trade Log'!$D$4:$D$503,$A77),""))</f>
        <v/>
      </c>
      <c r="S77" s="44" t="str">
        <f aca="false">IF($A77="","",IFERROR(AVERAGEIFS('Trade Log'!$AC$4:$AC$503,'Trade Log'!$D$4:$D$503,$A77),""))</f>
        <v/>
      </c>
      <c r="T77" s="55" t="str">
        <f aca="false">IF(OR($A77="",Summary!$B$13=0),"",$K77/Summary!$B$13)</f>
        <v/>
      </c>
      <c r="U77" s="41" t="str">
        <f aca="false">IF($A77="","",IFERROR(RANK($K77,$K$4:$K$153),""))</f>
        <v/>
      </c>
    </row>
    <row r="78" customFormat="false" ht="15" hidden="false" customHeight="false" outlineLevel="0" collapsed="false">
      <c r="A78" s="49"/>
      <c r="B78" s="41" t="str">
        <f aca="false">IF($A78="","",COUNTIFS('Trade Log'!$D$4:$D$503,$A78))</f>
        <v/>
      </c>
      <c r="C78" s="41" t="str">
        <f aca="false">IF($A78="","",COUNTIFS('Trade Log'!$D$4:$D$503,$A78,'Trade Log'!$E$4:$E$503,"LONG"))</f>
        <v/>
      </c>
      <c r="D78" s="41" t="str">
        <f aca="false">IF($A78="","",COUNTIFS('Trade Log'!$D$4:$D$503,$A78,'Trade Log'!$E$4:$E$503,"SHORT"))</f>
        <v/>
      </c>
      <c r="E78" s="41" t="str">
        <f aca="false">IF($A78="","",COUNTIFS('Trade Log'!$D$4:$D$503,$A78,'Trade Log'!$N$4:$N$503,"&lt;&gt;"))</f>
        <v/>
      </c>
      <c r="F78" s="40" t="str">
        <f aca="false">IF($A78="","",SUMIFS('Trade Log'!$K$4:$K$503,'Trade Log'!$D$4:$D$503,$A78))</f>
        <v/>
      </c>
      <c r="G78" s="40" t="str">
        <f aca="false">IF($A78="","",SUMIFS('Trade Log'!$Z$4:$Z$503,'Trade Log'!$D$4:$D$503,$A78,'Trade Log'!$E$4:$E$503,"LONG"))</f>
        <v/>
      </c>
      <c r="H78" s="40" t="str">
        <f aca="false">IF($A78="","",SUMIFS('Trade Log'!$Z$4:$Z$503,'Trade Log'!$D$4:$D$503,$A78,'Trade Log'!$E$4:$E$503,"SHORT"))</f>
        <v/>
      </c>
      <c r="I78" s="40" t="str">
        <f aca="false">IF($A78="","",SUMIFS('Trade Log'!$Q$4:$Q$503,'Trade Log'!$D$4:$D$503,$A78))</f>
        <v/>
      </c>
      <c r="J78" s="40" t="str">
        <f aca="false">IF($A78="","",SUMIFS('Trade Log'!$Y$4:$Y$503,'Trade Log'!$D$4:$D$503,$A78))</f>
        <v/>
      </c>
      <c r="K78" s="40" t="str">
        <f aca="false">IF($A78="","",SUMIFS('Trade Log'!$Z$4:$Z$503,'Trade Log'!$D$4:$D$503,$A78))</f>
        <v/>
      </c>
      <c r="L78" s="41" t="str">
        <f aca="false">IF($A78="","",COUNTIFS('Trade Log'!$D$4:$D$503,$A78,'Trade Log'!$Z$4:$Z$503,"&gt;0"))</f>
        <v/>
      </c>
      <c r="M78" s="55" t="str">
        <f aca="false">IF(OR($A78="",$E78=0),"",$L78/$E78)</f>
        <v/>
      </c>
      <c r="N78" s="40" t="str">
        <f aca="false">IF(OR($A78="",$E78=0),"",$K78/$E78)</f>
        <v/>
      </c>
      <c r="O78" s="40" t="str">
        <f aca="false">IF($A78="","",IFERROR(_xlfn.MAXIFS('Trade Log'!$Z$4:$Z$503,'Trade Log'!$D$4:$D$503,$A78),""))</f>
        <v/>
      </c>
      <c r="P78" s="40" t="str">
        <f aca="false">IF($A78="","",IFERROR(_xlfn.MINIFS('Trade Log'!$Z$4:$Z$503,'Trade Log'!$D$4:$D$503,$A78),""))</f>
        <v/>
      </c>
      <c r="Q78" s="55" t="str">
        <f aca="false">IF($A78="","",IFERROR(AVERAGEIFS('Trade Log'!$AA$4:$AA$503,'Trade Log'!$D$4:$D$503,$A78),""))</f>
        <v/>
      </c>
      <c r="R78" s="53" t="str">
        <f aca="false">IF($A78="","",IFERROR(AVERAGEIFS('Trade Log'!$P$4:$P$503,'Trade Log'!$D$4:$D$503,$A78),""))</f>
        <v/>
      </c>
      <c r="S78" s="44" t="str">
        <f aca="false">IF($A78="","",IFERROR(AVERAGEIFS('Trade Log'!$AC$4:$AC$503,'Trade Log'!$D$4:$D$503,$A78),""))</f>
        <v/>
      </c>
      <c r="T78" s="55" t="str">
        <f aca="false">IF(OR($A78="",Summary!$B$13=0),"",$K78/Summary!$B$13)</f>
        <v/>
      </c>
      <c r="U78" s="41" t="str">
        <f aca="false">IF($A78="","",IFERROR(RANK($K78,$K$4:$K$153),""))</f>
        <v/>
      </c>
    </row>
    <row r="79" customFormat="false" ht="15" hidden="false" customHeight="false" outlineLevel="0" collapsed="false">
      <c r="A79" s="49"/>
      <c r="B79" s="41" t="str">
        <f aca="false">IF($A79="","",COUNTIFS('Trade Log'!$D$4:$D$503,$A79))</f>
        <v/>
      </c>
      <c r="C79" s="41" t="str">
        <f aca="false">IF($A79="","",COUNTIFS('Trade Log'!$D$4:$D$503,$A79,'Trade Log'!$E$4:$E$503,"LONG"))</f>
        <v/>
      </c>
      <c r="D79" s="41" t="str">
        <f aca="false">IF($A79="","",COUNTIFS('Trade Log'!$D$4:$D$503,$A79,'Trade Log'!$E$4:$E$503,"SHORT"))</f>
        <v/>
      </c>
      <c r="E79" s="41" t="str">
        <f aca="false">IF($A79="","",COUNTIFS('Trade Log'!$D$4:$D$503,$A79,'Trade Log'!$N$4:$N$503,"&lt;&gt;"))</f>
        <v/>
      </c>
      <c r="F79" s="40" t="str">
        <f aca="false">IF($A79="","",SUMIFS('Trade Log'!$K$4:$K$503,'Trade Log'!$D$4:$D$503,$A79))</f>
        <v/>
      </c>
      <c r="G79" s="40" t="str">
        <f aca="false">IF($A79="","",SUMIFS('Trade Log'!$Z$4:$Z$503,'Trade Log'!$D$4:$D$503,$A79,'Trade Log'!$E$4:$E$503,"LONG"))</f>
        <v/>
      </c>
      <c r="H79" s="40" t="str">
        <f aca="false">IF($A79="","",SUMIFS('Trade Log'!$Z$4:$Z$503,'Trade Log'!$D$4:$D$503,$A79,'Trade Log'!$E$4:$E$503,"SHORT"))</f>
        <v/>
      </c>
      <c r="I79" s="40" t="str">
        <f aca="false">IF($A79="","",SUMIFS('Trade Log'!$Q$4:$Q$503,'Trade Log'!$D$4:$D$503,$A79))</f>
        <v/>
      </c>
      <c r="J79" s="40" t="str">
        <f aca="false">IF($A79="","",SUMIFS('Trade Log'!$Y$4:$Y$503,'Trade Log'!$D$4:$D$503,$A79))</f>
        <v/>
      </c>
      <c r="K79" s="40" t="str">
        <f aca="false">IF($A79="","",SUMIFS('Trade Log'!$Z$4:$Z$503,'Trade Log'!$D$4:$D$503,$A79))</f>
        <v/>
      </c>
      <c r="L79" s="41" t="str">
        <f aca="false">IF($A79="","",COUNTIFS('Trade Log'!$D$4:$D$503,$A79,'Trade Log'!$Z$4:$Z$503,"&gt;0"))</f>
        <v/>
      </c>
      <c r="M79" s="55" t="str">
        <f aca="false">IF(OR($A79="",$E79=0),"",$L79/$E79)</f>
        <v/>
      </c>
      <c r="N79" s="40" t="str">
        <f aca="false">IF(OR($A79="",$E79=0),"",$K79/$E79)</f>
        <v/>
      </c>
      <c r="O79" s="40" t="str">
        <f aca="false">IF($A79="","",IFERROR(_xlfn.MAXIFS('Trade Log'!$Z$4:$Z$503,'Trade Log'!$D$4:$D$503,$A79),""))</f>
        <v/>
      </c>
      <c r="P79" s="40" t="str">
        <f aca="false">IF($A79="","",IFERROR(_xlfn.MINIFS('Trade Log'!$Z$4:$Z$503,'Trade Log'!$D$4:$D$503,$A79),""))</f>
        <v/>
      </c>
      <c r="Q79" s="55" t="str">
        <f aca="false">IF($A79="","",IFERROR(AVERAGEIFS('Trade Log'!$AA$4:$AA$503,'Trade Log'!$D$4:$D$503,$A79),""))</f>
        <v/>
      </c>
      <c r="R79" s="53" t="str">
        <f aca="false">IF($A79="","",IFERROR(AVERAGEIFS('Trade Log'!$P$4:$P$503,'Trade Log'!$D$4:$D$503,$A79),""))</f>
        <v/>
      </c>
      <c r="S79" s="44" t="str">
        <f aca="false">IF($A79="","",IFERROR(AVERAGEIFS('Trade Log'!$AC$4:$AC$503,'Trade Log'!$D$4:$D$503,$A79),""))</f>
        <v/>
      </c>
      <c r="T79" s="55" t="str">
        <f aca="false">IF(OR($A79="",Summary!$B$13=0),"",$K79/Summary!$B$13)</f>
        <v/>
      </c>
      <c r="U79" s="41" t="str">
        <f aca="false">IF($A79="","",IFERROR(RANK($K79,$K$4:$K$153),""))</f>
        <v/>
      </c>
    </row>
    <row r="80" customFormat="false" ht="15" hidden="false" customHeight="false" outlineLevel="0" collapsed="false">
      <c r="A80" s="49"/>
      <c r="B80" s="41" t="str">
        <f aca="false">IF($A80="","",COUNTIFS('Trade Log'!$D$4:$D$503,$A80))</f>
        <v/>
      </c>
      <c r="C80" s="41" t="str">
        <f aca="false">IF($A80="","",COUNTIFS('Trade Log'!$D$4:$D$503,$A80,'Trade Log'!$E$4:$E$503,"LONG"))</f>
        <v/>
      </c>
      <c r="D80" s="41" t="str">
        <f aca="false">IF($A80="","",COUNTIFS('Trade Log'!$D$4:$D$503,$A80,'Trade Log'!$E$4:$E$503,"SHORT"))</f>
        <v/>
      </c>
      <c r="E80" s="41" t="str">
        <f aca="false">IF($A80="","",COUNTIFS('Trade Log'!$D$4:$D$503,$A80,'Trade Log'!$N$4:$N$503,"&lt;&gt;"))</f>
        <v/>
      </c>
      <c r="F80" s="40" t="str">
        <f aca="false">IF($A80="","",SUMIFS('Trade Log'!$K$4:$K$503,'Trade Log'!$D$4:$D$503,$A80))</f>
        <v/>
      </c>
      <c r="G80" s="40" t="str">
        <f aca="false">IF($A80="","",SUMIFS('Trade Log'!$Z$4:$Z$503,'Trade Log'!$D$4:$D$503,$A80,'Trade Log'!$E$4:$E$503,"LONG"))</f>
        <v/>
      </c>
      <c r="H80" s="40" t="str">
        <f aca="false">IF($A80="","",SUMIFS('Trade Log'!$Z$4:$Z$503,'Trade Log'!$D$4:$D$503,$A80,'Trade Log'!$E$4:$E$503,"SHORT"))</f>
        <v/>
      </c>
      <c r="I80" s="40" t="str">
        <f aca="false">IF($A80="","",SUMIFS('Trade Log'!$Q$4:$Q$503,'Trade Log'!$D$4:$D$503,$A80))</f>
        <v/>
      </c>
      <c r="J80" s="40" t="str">
        <f aca="false">IF($A80="","",SUMIFS('Trade Log'!$Y$4:$Y$503,'Trade Log'!$D$4:$D$503,$A80))</f>
        <v/>
      </c>
      <c r="K80" s="40" t="str">
        <f aca="false">IF($A80="","",SUMIFS('Trade Log'!$Z$4:$Z$503,'Trade Log'!$D$4:$D$503,$A80))</f>
        <v/>
      </c>
      <c r="L80" s="41" t="str">
        <f aca="false">IF($A80="","",COUNTIFS('Trade Log'!$D$4:$D$503,$A80,'Trade Log'!$Z$4:$Z$503,"&gt;0"))</f>
        <v/>
      </c>
      <c r="M80" s="55" t="str">
        <f aca="false">IF(OR($A80="",$E80=0),"",$L80/$E80)</f>
        <v/>
      </c>
      <c r="N80" s="40" t="str">
        <f aca="false">IF(OR($A80="",$E80=0),"",$K80/$E80)</f>
        <v/>
      </c>
      <c r="O80" s="40" t="str">
        <f aca="false">IF($A80="","",IFERROR(_xlfn.MAXIFS('Trade Log'!$Z$4:$Z$503,'Trade Log'!$D$4:$D$503,$A80),""))</f>
        <v/>
      </c>
      <c r="P80" s="40" t="str">
        <f aca="false">IF($A80="","",IFERROR(_xlfn.MINIFS('Trade Log'!$Z$4:$Z$503,'Trade Log'!$D$4:$D$503,$A80),""))</f>
        <v/>
      </c>
      <c r="Q80" s="55" t="str">
        <f aca="false">IF($A80="","",IFERROR(AVERAGEIFS('Trade Log'!$AA$4:$AA$503,'Trade Log'!$D$4:$D$503,$A80),""))</f>
        <v/>
      </c>
      <c r="R80" s="53" t="str">
        <f aca="false">IF($A80="","",IFERROR(AVERAGEIFS('Trade Log'!$P$4:$P$503,'Trade Log'!$D$4:$D$503,$A80),""))</f>
        <v/>
      </c>
      <c r="S80" s="44" t="str">
        <f aca="false">IF($A80="","",IFERROR(AVERAGEIFS('Trade Log'!$AC$4:$AC$503,'Trade Log'!$D$4:$D$503,$A80),""))</f>
        <v/>
      </c>
      <c r="T80" s="55" t="str">
        <f aca="false">IF(OR($A80="",Summary!$B$13=0),"",$K80/Summary!$B$13)</f>
        <v/>
      </c>
      <c r="U80" s="41" t="str">
        <f aca="false">IF($A80="","",IFERROR(RANK($K80,$K$4:$K$153),""))</f>
        <v/>
      </c>
    </row>
    <row r="81" customFormat="false" ht="15" hidden="false" customHeight="false" outlineLevel="0" collapsed="false">
      <c r="A81" s="49"/>
      <c r="B81" s="41" t="str">
        <f aca="false">IF($A81="","",COUNTIFS('Trade Log'!$D$4:$D$503,$A81))</f>
        <v/>
      </c>
      <c r="C81" s="41" t="str">
        <f aca="false">IF($A81="","",COUNTIFS('Trade Log'!$D$4:$D$503,$A81,'Trade Log'!$E$4:$E$503,"LONG"))</f>
        <v/>
      </c>
      <c r="D81" s="41" t="str">
        <f aca="false">IF($A81="","",COUNTIFS('Trade Log'!$D$4:$D$503,$A81,'Trade Log'!$E$4:$E$503,"SHORT"))</f>
        <v/>
      </c>
      <c r="E81" s="41" t="str">
        <f aca="false">IF($A81="","",COUNTIFS('Trade Log'!$D$4:$D$503,$A81,'Trade Log'!$N$4:$N$503,"&lt;&gt;"))</f>
        <v/>
      </c>
      <c r="F81" s="40" t="str">
        <f aca="false">IF($A81="","",SUMIFS('Trade Log'!$K$4:$K$503,'Trade Log'!$D$4:$D$503,$A81))</f>
        <v/>
      </c>
      <c r="G81" s="40" t="str">
        <f aca="false">IF($A81="","",SUMIFS('Trade Log'!$Z$4:$Z$503,'Trade Log'!$D$4:$D$503,$A81,'Trade Log'!$E$4:$E$503,"LONG"))</f>
        <v/>
      </c>
      <c r="H81" s="40" t="str">
        <f aca="false">IF($A81="","",SUMIFS('Trade Log'!$Z$4:$Z$503,'Trade Log'!$D$4:$D$503,$A81,'Trade Log'!$E$4:$E$503,"SHORT"))</f>
        <v/>
      </c>
      <c r="I81" s="40" t="str">
        <f aca="false">IF($A81="","",SUMIFS('Trade Log'!$Q$4:$Q$503,'Trade Log'!$D$4:$D$503,$A81))</f>
        <v/>
      </c>
      <c r="J81" s="40" t="str">
        <f aca="false">IF($A81="","",SUMIFS('Trade Log'!$Y$4:$Y$503,'Trade Log'!$D$4:$D$503,$A81))</f>
        <v/>
      </c>
      <c r="K81" s="40" t="str">
        <f aca="false">IF($A81="","",SUMIFS('Trade Log'!$Z$4:$Z$503,'Trade Log'!$D$4:$D$503,$A81))</f>
        <v/>
      </c>
      <c r="L81" s="41" t="str">
        <f aca="false">IF($A81="","",COUNTIFS('Trade Log'!$D$4:$D$503,$A81,'Trade Log'!$Z$4:$Z$503,"&gt;0"))</f>
        <v/>
      </c>
      <c r="M81" s="55" t="str">
        <f aca="false">IF(OR($A81="",$E81=0),"",$L81/$E81)</f>
        <v/>
      </c>
      <c r="N81" s="40" t="str">
        <f aca="false">IF(OR($A81="",$E81=0),"",$K81/$E81)</f>
        <v/>
      </c>
      <c r="O81" s="40" t="str">
        <f aca="false">IF($A81="","",IFERROR(_xlfn.MAXIFS('Trade Log'!$Z$4:$Z$503,'Trade Log'!$D$4:$D$503,$A81),""))</f>
        <v/>
      </c>
      <c r="P81" s="40" t="str">
        <f aca="false">IF($A81="","",IFERROR(_xlfn.MINIFS('Trade Log'!$Z$4:$Z$503,'Trade Log'!$D$4:$D$503,$A81),""))</f>
        <v/>
      </c>
      <c r="Q81" s="55" t="str">
        <f aca="false">IF($A81="","",IFERROR(AVERAGEIFS('Trade Log'!$AA$4:$AA$503,'Trade Log'!$D$4:$D$503,$A81),""))</f>
        <v/>
      </c>
      <c r="R81" s="53" t="str">
        <f aca="false">IF($A81="","",IFERROR(AVERAGEIFS('Trade Log'!$P$4:$P$503,'Trade Log'!$D$4:$D$503,$A81),""))</f>
        <v/>
      </c>
      <c r="S81" s="44" t="str">
        <f aca="false">IF($A81="","",IFERROR(AVERAGEIFS('Trade Log'!$AC$4:$AC$503,'Trade Log'!$D$4:$D$503,$A81),""))</f>
        <v/>
      </c>
      <c r="T81" s="55" t="str">
        <f aca="false">IF(OR($A81="",Summary!$B$13=0),"",$K81/Summary!$B$13)</f>
        <v/>
      </c>
      <c r="U81" s="41" t="str">
        <f aca="false">IF($A81="","",IFERROR(RANK($K81,$K$4:$K$153),""))</f>
        <v/>
      </c>
    </row>
    <row r="82" customFormat="false" ht="15" hidden="false" customHeight="false" outlineLevel="0" collapsed="false">
      <c r="A82" s="49"/>
      <c r="B82" s="41" t="str">
        <f aca="false">IF($A82="","",COUNTIFS('Trade Log'!$D$4:$D$503,$A82))</f>
        <v/>
      </c>
      <c r="C82" s="41" t="str">
        <f aca="false">IF($A82="","",COUNTIFS('Trade Log'!$D$4:$D$503,$A82,'Trade Log'!$E$4:$E$503,"LONG"))</f>
        <v/>
      </c>
      <c r="D82" s="41" t="str">
        <f aca="false">IF($A82="","",COUNTIFS('Trade Log'!$D$4:$D$503,$A82,'Trade Log'!$E$4:$E$503,"SHORT"))</f>
        <v/>
      </c>
      <c r="E82" s="41" t="str">
        <f aca="false">IF($A82="","",COUNTIFS('Trade Log'!$D$4:$D$503,$A82,'Trade Log'!$N$4:$N$503,"&lt;&gt;"))</f>
        <v/>
      </c>
      <c r="F82" s="40" t="str">
        <f aca="false">IF($A82="","",SUMIFS('Trade Log'!$K$4:$K$503,'Trade Log'!$D$4:$D$503,$A82))</f>
        <v/>
      </c>
      <c r="G82" s="40" t="str">
        <f aca="false">IF($A82="","",SUMIFS('Trade Log'!$Z$4:$Z$503,'Trade Log'!$D$4:$D$503,$A82,'Trade Log'!$E$4:$E$503,"LONG"))</f>
        <v/>
      </c>
      <c r="H82" s="40" t="str">
        <f aca="false">IF($A82="","",SUMIFS('Trade Log'!$Z$4:$Z$503,'Trade Log'!$D$4:$D$503,$A82,'Trade Log'!$E$4:$E$503,"SHORT"))</f>
        <v/>
      </c>
      <c r="I82" s="40" t="str">
        <f aca="false">IF($A82="","",SUMIFS('Trade Log'!$Q$4:$Q$503,'Trade Log'!$D$4:$D$503,$A82))</f>
        <v/>
      </c>
      <c r="J82" s="40" t="str">
        <f aca="false">IF($A82="","",SUMIFS('Trade Log'!$Y$4:$Y$503,'Trade Log'!$D$4:$D$503,$A82))</f>
        <v/>
      </c>
      <c r="K82" s="40" t="str">
        <f aca="false">IF($A82="","",SUMIFS('Trade Log'!$Z$4:$Z$503,'Trade Log'!$D$4:$D$503,$A82))</f>
        <v/>
      </c>
      <c r="L82" s="41" t="str">
        <f aca="false">IF($A82="","",COUNTIFS('Trade Log'!$D$4:$D$503,$A82,'Trade Log'!$Z$4:$Z$503,"&gt;0"))</f>
        <v/>
      </c>
      <c r="M82" s="55" t="str">
        <f aca="false">IF(OR($A82="",$E82=0),"",$L82/$E82)</f>
        <v/>
      </c>
      <c r="N82" s="40" t="str">
        <f aca="false">IF(OR($A82="",$E82=0),"",$K82/$E82)</f>
        <v/>
      </c>
      <c r="O82" s="40" t="str">
        <f aca="false">IF($A82="","",IFERROR(_xlfn.MAXIFS('Trade Log'!$Z$4:$Z$503,'Trade Log'!$D$4:$D$503,$A82),""))</f>
        <v/>
      </c>
      <c r="P82" s="40" t="str">
        <f aca="false">IF($A82="","",IFERROR(_xlfn.MINIFS('Trade Log'!$Z$4:$Z$503,'Trade Log'!$D$4:$D$503,$A82),""))</f>
        <v/>
      </c>
      <c r="Q82" s="55" t="str">
        <f aca="false">IF($A82="","",IFERROR(AVERAGEIFS('Trade Log'!$AA$4:$AA$503,'Trade Log'!$D$4:$D$503,$A82),""))</f>
        <v/>
      </c>
      <c r="R82" s="53" t="str">
        <f aca="false">IF($A82="","",IFERROR(AVERAGEIFS('Trade Log'!$P$4:$P$503,'Trade Log'!$D$4:$D$503,$A82),""))</f>
        <v/>
      </c>
      <c r="S82" s="44" t="str">
        <f aca="false">IF($A82="","",IFERROR(AVERAGEIFS('Trade Log'!$AC$4:$AC$503,'Trade Log'!$D$4:$D$503,$A82),""))</f>
        <v/>
      </c>
      <c r="T82" s="55" t="str">
        <f aca="false">IF(OR($A82="",Summary!$B$13=0),"",$K82/Summary!$B$13)</f>
        <v/>
      </c>
      <c r="U82" s="41" t="str">
        <f aca="false">IF($A82="","",IFERROR(RANK($K82,$K$4:$K$153),""))</f>
        <v/>
      </c>
    </row>
    <row r="83" customFormat="false" ht="15" hidden="false" customHeight="false" outlineLevel="0" collapsed="false">
      <c r="A83" s="49"/>
      <c r="B83" s="41" t="str">
        <f aca="false">IF($A83="","",COUNTIFS('Trade Log'!$D$4:$D$503,$A83))</f>
        <v/>
      </c>
      <c r="C83" s="41" t="str">
        <f aca="false">IF($A83="","",COUNTIFS('Trade Log'!$D$4:$D$503,$A83,'Trade Log'!$E$4:$E$503,"LONG"))</f>
        <v/>
      </c>
      <c r="D83" s="41" t="str">
        <f aca="false">IF($A83="","",COUNTIFS('Trade Log'!$D$4:$D$503,$A83,'Trade Log'!$E$4:$E$503,"SHORT"))</f>
        <v/>
      </c>
      <c r="E83" s="41" t="str">
        <f aca="false">IF($A83="","",COUNTIFS('Trade Log'!$D$4:$D$503,$A83,'Trade Log'!$N$4:$N$503,"&lt;&gt;"))</f>
        <v/>
      </c>
      <c r="F83" s="40" t="str">
        <f aca="false">IF($A83="","",SUMIFS('Trade Log'!$K$4:$K$503,'Trade Log'!$D$4:$D$503,$A83))</f>
        <v/>
      </c>
      <c r="G83" s="40" t="str">
        <f aca="false">IF($A83="","",SUMIFS('Trade Log'!$Z$4:$Z$503,'Trade Log'!$D$4:$D$503,$A83,'Trade Log'!$E$4:$E$503,"LONG"))</f>
        <v/>
      </c>
      <c r="H83" s="40" t="str">
        <f aca="false">IF($A83="","",SUMIFS('Trade Log'!$Z$4:$Z$503,'Trade Log'!$D$4:$D$503,$A83,'Trade Log'!$E$4:$E$503,"SHORT"))</f>
        <v/>
      </c>
      <c r="I83" s="40" t="str">
        <f aca="false">IF($A83="","",SUMIFS('Trade Log'!$Q$4:$Q$503,'Trade Log'!$D$4:$D$503,$A83))</f>
        <v/>
      </c>
      <c r="J83" s="40" t="str">
        <f aca="false">IF($A83="","",SUMIFS('Trade Log'!$Y$4:$Y$503,'Trade Log'!$D$4:$D$503,$A83))</f>
        <v/>
      </c>
      <c r="K83" s="40" t="str">
        <f aca="false">IF($A83="","",SUMIFS('Trade Log'!$Z$4:$Z$503,'Trade Log'!$D$4:$D$503,$A83))</f>
        <v/>
      </c>
      <c r="L83" s="41" t="str">
        <f aca="false">IF($A83="","",COUNTIFS('Trade Log'!$D$4:$D$503,$A83,'Trade Log'!$Z$4:$Z$503,"&gt;0"))</f>
        <v/>
      </c>
      <c r="M83" s="55" t="str">
        <f aca="false">IF(OR($A83="",$E83=0),"",$L83/$E83)</f>
        <v/>
      </c>
      <c r="N83" s="40" t="str">
        <f aca="false">IF(OR($A83="",$E83=0),"",$K83/$E83)</f>
        <v/>
      </c>
      <c r="O83" s="40" t="str">
        <f aca="false">IF($A83="","",IFERROR(_xlfn.MAXIFS('Trade Log'!$Z$4:$Z$503,'Trade Log'!$D$4:$D$503,$A83),""))</f>
        <v/>
      </c>
      <c r="P83" s="40" t="str">
        <f aca="false">IF($A83="","",IFERROR(_xlfn.MINIFS('Trade Log'!$Z$4:$Z$503,'Trade Log'!$D$4:$D$503,$A83),""))</f>
        <v/>
      </c>
      <c r="Q83" s="55" t="str">
        <f aca="false">IF($A83="","",IFERROR(AVERAGEIFS('Trade Log'!$AA$4:$AA$503,'Trade Log'!$D$4:$D$503,$A83),""))</f>
        <v/>
      </c>
      <c r="R83" s="53" t="str">
        <f aca="false">IF($A83="","",IFERROR(AVERAGEIFS('Trade Log'!$P$4:$P$503,'Trade Log'!$D$4:$D$503,$A83),""))</f>
        <v/>
      </c>
      <c r="S83" s="44" t="str">
        <f aca="false">IF($A83="","",IFERROR(AVERAGEIFS('Trade Log'!$AC$4:$AC$503,'Trade Log'!$D$4:$D$503,$A83),""))</f>
        <v/>
      </c>
      <c r="T83" s="55" t="str">
        <f aca="false">IF(OR($A83="",Summary!$B$13=0),"",$K83/Summary!$B$13)</f>
        <v/>
      </c>
      <c r="U83" s="41" t="str">
        <f aca="false">IF($A83="","",IFERROR(RANK($K83,$K$4:$K$153),""))</f>
        <v/>
      </c>
    </row>
    <row r="84" customFormat="false" ht="15" hidden="false" customHeight="false" outlineLevel="0" collapsed="false">
      <c r="A84" s="49"/>
      <c r="B84" s="41" t="str">
        <f aca="false">IF($A84="","",COUNTIFS('Trade Log'!$D$4:$D$503,$A84))</f>
        <v/>
      </c>
      <c r="C84" s="41" t="str">
        <f aca="false">IF($A84="","",COUNTIFS('Trade Log'!$D$4:$D$503,$A84,'Trade Log'!$E$4:$E$503,"LONG"))</f>
        <v/>
      </c>
      <c r="D84" s="41" t="str">
        <f aca="false">IF($A84="","",COUNTIFS('Trade Log'!$D$4:$D$503,$A84,'Trade Log'!$E$4:$E$503,"SHORT"))</f>
        <v/>
      </c>
      <c r="E84" s="41" t="str">
        <f aca="false">IF($A84="","",COUNTIFS('Trade Log'!$D$4:$D$503,$A84,'Trade Log'!$N$4:$N$503,"&lt;&gt;"))</f>
        <v/>
      </c>
      <c r="F84" s="40" t="str">
        <f aca="false">IF($A84="","",SUMIFS('Trade Log'!$K$4:$K$503,'Trade Log'!$D$4:$D$503,$A84))</f>
        <v/>
      </c>
      <c r="G84" s="40" t="str">
        <f aca="false">IF($A84="","",SUMIFS('Trade Log'!$Z$4:$Z$503,'Trade Log'!$D$4:$D$503,$A84,'Trade Log'!$E$4:$E$503,"LONG"))</f>
        <v/>
      </c>
      <c r="H84" s="40" t="str">
        <f aca="false">IF($A84="","",SUMIFS('Trade Log'!$Z$4:$Z$503,'Trade Log'!$D$4:$D$503,$A84,'Trade Log'!$E$4:$E$503,"SHORT"))</f>
        <v/>
      </c>
      <c r="I84" s="40" t="str">
        <f aca="false">IF($A84="","",SUMIFS('Trade Log'!$Q$4:$Q$503,'Trade Log'!$D$4:$D$503,$A84))</f>
        <v/>
      </c>
      <c r="J84" s="40" t="str">
        <f aca="false">IF($A84="","",SUMIFS('Trade Log'!$Y$4:$Y$503,'Trade Log'!$D$4:$D$503,$A84))</f>
        <v/>
      </c>
      <c r="K84" s="40" t="str">
        <f aca="false">IF($A84="","",SUMIFS('Trade Log'!$Z$4:$Z$503,'Trade Log'!$D$4:$D$503,$A84))</f>
        <v/>
      </c>
      <c r="L84" s="41" t="str">
        <f aca="false">IF($A84="","",COUNTIFS('Trade Log'!$D$4:$D$503,$A84,'Trade Log'!$Z$4:$Z$503,"&gt;0"))</f>
        <v/>
      </c>
      <c r="M84" s="55" t="str">
        <f aca="false">IF(OR($A84="",$E84=0),"",$L84/$E84)</f>
        <v/>
      </c>
      <c r="N84" s="40" t="str">
        <f aca="false">IF(OR($A84="",$E84=0),"",$K84/$E84)</f>
        <v/>
      </c>
      <c r="O84" s="40" t="str">
        <f aca="false">IF($A84="","",IFERROR(_xlfn.MAXIFS('Trade Log'!$Z$4:$Z$503,'Trade Log'!$D$4:$D$503,$A84),""))</f>
        <v/>
      </c>
      <c r="P84" s="40" t="str">
        <f aca="false">IF($A84="","",IFERROR(_xlfn.MINIFS('Trade Log'!$Z$4:$Z$503,'Trade Log'!$D$4:$D$503,$A84),""))</f>
        <v/>
      </c>
      <c r="Q84" s="55" t="str">
        <f aca="false">IF($A84="","",IFERROR(AVERAGEIFS('Trade Log'!$AA$4:$AA$503,'Trade Log'!$D$4:$D$503,$A84),""))</f>
        <v/>
      </c>
      <c r="R84" s="53" t="str">
        <f aca="false">IF($A84="","",IFERROR(AVERAGEIFS('Trade Log'!$P$4:$P$503,'Trade Log'!$D$4:$D$503,$A84),""))</f>
        <v/>
      </c>
      <c r="S84" s="44" t="str">
        <f aca="false">IF($A84="","",IFERROR(AVERAGEIFS('Trade Log'!$AC$4:$AC$503,'Trade Log'!$D$4:$D$503,$A84),""))</f>
        <v/>
      </c>
      <c r="T84" s="55" t="str">
        <f aca="false">IF(OR($A84="",Summary!$B$13=0),"",$K84/Summary!$B$13)</f>
        <v/>
      </c>
      <c r="U84" s="41" t="str">
        <f aca="false">IF($A84="","",IFERROR(RANK($K84,$K$4:$K$153),""))</f>
        <v/>
      </c>
    </row>
    <row r="85" customFormat="false" ht="15" hidden="false" customHeight="false" outlineLevel="0" collapsed="false">
      <c r="A85" s="49"/>
      <c r="B85" s="41" t="str">
        <f aca="false">IF($A85="","",COUNTIFS('Trade Log'!$D$4:$D$503,$A85))</f>
        <v/>
      </c>
      <c r="C85" s="41" t="str">
        <f aca="false">IF($A85="","",COUNTIFS('Trade Log'!$D$4:$D$503,$A85,'Trade Log'!$E$4:$E$503,"LONG"))</f>
        <v/>
      </c>
      <c r="D85" s="41" t="str">
        <f aca="false">IF($A85="","",COUNTIFS('Trade Log'!$D$4:$D$503,$A85,'Trade Log'!$E$4:$E$503,"SHORT"))</f>
        <v/>
      </c>
      <c r="E85" s="41" t="str">
        <f aca="false">IF($A85="","",COUNTIFS('Trade Log'!$D$4:$D$503,$A85,'Trade Log'!$N$4:$N$503,"&lt;&gt;"))</f>
        <v/>
      </c>
      <c r="F85" s="40" t="str">
        <f aca="false">IF($A85="","",SUMIFS('Trade Log'!$K$4:$K$503,'Trade Log'!$D$4:$D$503,$A85))</f>
        <v/>
      </c>
      <c r="G85" s="40" t="str">
        <f aca="false">IF($A85="","",SUMIFS('Trade Log'!$Z$4:$Z$503,'Trade Log'!$D$4:$D$503,$A85,'Trade Log'!$E$4:$E$503,"LONG"))</f>
        <v/>
      </c>
      <c r="H85" s="40" t="str">
        <f aca="false">IF($A85="","",SUMIFS('Trade Log'!$Z$4:$Z$503,'Trade Log'!$D$4:$D$503,$A85,'Trade Log'!$E$4:$E$503,"SHORT"))</f>
        <v/>
      </c>
      <c r="I85" s="40" t="str">
        <f aca="false">IF($A85="","",SUMIFS('Trade Log'!$Q$4:$Q$503,'Trade Log'!$D$4:$D$503,$A85))</f>
        <v/>
      </c>
      <c r="J85" s="40" t="str">
        <f aca="false">IF($A85="","",SUMIFS('Trade Log'!$Y$4:$Y$503,'Trade Log'!$D$4:$D$503,$A85))</f>
        <v/>
      </c>
      <c r="K85" s="40" t="str">
        <f aca="false">IF($A85="","",SUMIFS('Trade Log'!$Z$4:$Z$503,'Trade Log'!$D$4:$D$503,$A85))</f>
        <v/>
      </c>
      <c r="L85" s="41" t="str">
        <f aca="false">IF($A85="","",COUNTIFS('Trade Log'!$D$4:$D$503,$A85,'Trade Log'!$Z$4:$Z$503,"&gt;0"))</f>
        <v/>
      </c>
      <c r="M85" s="55" t="str">
        <f aca="false">IF(OR($A85="",$E85=0),"",$L85/$E85)</f>
        <v/>
      </c>
      <c r="N85" s="40" t="str">
        <f aca="false">IF(OR($A85="",$E85=0),"",$K85/$E85)</f>
        <v/>
      </c>
      <c r="O85" s="40" t="str">
        <f aca="false">IF($A85="","",IFERROR(_xlfn.MAXIFS('Trade Log'!$Z$4:$Z$503,'Trade Log'!$D$4:$D$503,$A85),""))</f>
        <v/>
      </c>
      <c r="P85" s="40" t="str">
        <f aca="false">IF($A85="","",IFERROR(_xlfn.MINIFS('Trade Log'!$Z$4:$Z$503,'Trade Log'!$D$4:$D$503,$A85),""))</f>
        <v/>
      </c>
      <c r="Q85" s="55" t="str">
        <f aca="false">IF($A85="","",IFERROR(AVERAGEIFS('Trade Log'!$AA$4:$AA$503,'Trade Log'!$D$4:$D$503,$A85),""))</f>
        <v/>
      </c>
      <c r="R85" s="53" t="str">
        <f aca="false">IF($A85="","",IFERROR(AVERAGEIFS('Trade Log'!$P$4:$P$503,'Trade Log'!$D$4:$D$503,$A85),""))</f>
        <v/>
      </c>
      <c r="S85" s="44" t="str">
        <f aca="false">IF($A85="","",IFERROR(AVERAGEIFS('Trade Log'!$AC$4:$AC$503,'Trade Log'!$D$4:$D$503,$A85),""))</f>
        <v/>
      </c>
      <c r="T85" s="55" t="str">
        <f aca="false">IF(OR($A85="",Summary!$B$13=0),"",$K85/Summary!$B$13)</f>
        <v/>
      </c>
      <c r="U85" s="41" t="str">
        <f aca="false">IF($A85="","",IFERROR(RANK($K85,$K$4:$K$153),""))</f>
        <v/>
      </c>
    </row>
    <row r="86" customFormat="false" ht="15" hidden="false" customHeight="false" outlineLevel="0" collapsed="false">
      <c r="A86" s="49"/>
      <c r="B86" s="41" t="str">
        <f aca="false">IF($A86="","",COUNTIFS('Trade Log'!$D$4:$D$503,$A86))</f>
        <v/>
      </c>
      <c r="C86" s="41" t="str">
        <f aca="false">IF($A86="","",COUNTIFS('Trade Log'!$D$4:$D$503,$A86,'Trade Log'!$E$4:$E$503,"LONG"))</f>
        <v/>
      </c>
      <c r="D86" s="41" t="str">
        <f aca="false">IF($A86="","",COUNTIFS('Trade Log'!$D$4:$D$503,$A86,'Trade Log'!$E$4:$E$503,"SHORT"))</f>
        <v/>
      </c>
      <c r="E86" s="41" t="str">
        <f aca="false">IF($A86="","",COUNTIFS('Trade Log'!$D$4:$D$503,$A86,'Trade Log'!$N$4:$N$503,"&lt;&gt;"))</f>
        <v/>
      </c>
      <c r="F86" s="40" t="str">
        <f aca="false">IF($A86="","",SUMIFS('Trade Log'!$K$4:$K$503,'Trade Log'!$D$4:$D$503,$A86))</f>
        <v/>
      </c>
      <c r="G86" s="40" t="str">
        <f aca="false">IF($A86="","",SUMIFS('Trade Log'!$Z$4:$Z$503,'Trade Log'!$D$4:$D$503,$A86,'Trade Log'!$E$4:$E$503,"LONG"))</f>
        <v/>
      </c>
      <c r="H86" s="40" t="str">
        <f aca="false">IF($A86="","",SUMIFS('Trade Log'!$Z$4:$Z$503,'Trade Log'!$D$4:$D$503,$A86,'Trade Log'!$E$4:$E$503,"SHORT"))</f>
        <v/>
      </c>
      <c r="I86" s="40" t="str">
        <f aca="false">IF($A86="","",SUMIFS('Trade Log'!$Q$4:$Q$503,'Trade Log'!$D$4:$D$503,$A86))</f>
        <v/>
      </c>
      <c r="J86" s="40" t="str">
        <f aca="false">IF($A86="","",SUMIFS('Trade Log'!$Y$4:$Y$503,'Trade Log'!$D$4:$D$503,$A86))</f>
        <v/>
      </c>
      <c r="K86" s="40" t="str">
        <f aca="false">IF($A86="","",SUMIFS('Trade Log'!$Z$4:$Z$503,'Trade Log'!$D$4:$D$503,$A86))</f>
        <v/>
      </c>
      <c r="L86" s="41" t="str">
        <f aca="false">IF($A86="","",COUNTIFS('Trade Log'!$D$4:$D$503,$A86,'Trade Log'!$Z$4:$Z$503,"&gt;0"))</f>
        <v/>
      </c>
      <c r="M86" s="55" t="str">
        <f aca="false">IF(OR($A86="",$E86=0),"",$L86/$E86)</f>
        <v/>
      </c>
      <c r="N86" s="40" t="str">
        <f aca="false">IF(OR($A86="",$E86=0),"",$K86/$E86)</f>
        <v/>
      </c>
      <c r="O86" s="40" t="str">
        <f aca="false">IF($A86="","",IFERROR(_xlfn.MAXIFS('Trade Log'!$Z$4:$Z$503,'Trade Log'!$D$4:$D$503,$A86),""))</f>
        <v/>
      </c>
      <c r="P86" s="40" t="str">
        <f aca="false">IF($A86="","",IFERROR(_xlfn.MINIFS('Trade Log'!$Z$4:$Z$503,'Trade Log'!$D$4:$D$503,$A86),""))</f>
        <v/>
      </c>
      <c r="Q86" s="55" t="str">
        <f aca="false">IF($A86="","",IFERROR(AVERAGEIFS('Trade Log'!$AA$4:$AA$503,'Trade Log'!$D$4:$D$503,$A86),""))</f>
        <v/>
      </c>
      <c r="R86" s="53" t="str">
        <f aca="false">IF($A86="","",IFERROR(AVERAGEIFS('Trade Log'!$P$4:$P$503,'Trade Log'!$D$4:$D$503,$A86),""))</f>
        <v/>
      </c>
      <c r="S86" s="44" t="str">
        <f aca="false">IF($A86="","",IFERROR(AVERAGEIFS('Trade Log'!$AC$4:$AC$503,'Trade Log'!$D$4:$D$503,$A86),""))</f>
        <v/>
      </c>
      <c r="T86" s="55" t="str">
        <f aca="false">IF(OR($A86="",Summary!$B$13=0),"",$K86/Summary!$B$13)</f>
        <v/>
      </c>
      <c r="U86" s="41" t="str">
        <f aca="false">IF($A86="","",IFERROR(RANK($K86,$K$4:$K$153),""))</f>
        <v/>
      </c>
    </row>
    <row r="87" customFormat="false" ht="15" hidden="false" customHeight="false" outlineLevel="0" collapsed="false">
      <c r="A87" s="49"/>
      <c r="B87" s="41" t="str">
        <f aca="false">IF($A87="","",COUNTIFS('Trade Log'!$D$4:$D$503,$A87))</f>
        <v/>
      </c>
      <c r="C87" s="41" t="str">
        <f aca="false">IF($A87="","",COUNTIFS('Trade Log'!$D$4:$D$503,$A87,'Trade Log'!$E$4:$E$503,"LONG"))</f>
        <v/>
      </c>
      <c r="D87" s="41" t="str">
        <f aca="false">IF($A87="","",COUNTIFS('Trade Log'!$D$4:$D$503,$A87,'Trade Log'!$E$4:$E$503,"SHORT"))</f>
        <v/>
      </c>
      <c r="E87" s="41" t="str">
        <f aca="false">IF($A87="","",COUNTIFS('Trade Log'!$D$4:$D$503,$A87,'Trade Log'!$N$4:$N$503,"&lt;&gt;"))</f>
        <v/>
      </c>
      <c r="F87" s="40" t="str">
        <f aca="false">IF($A87="","",SUMIFS('Trade Log'!$K$4:$K$503,'Trade Log'!$D$4:$D$503,$A87))</f>
        <v/>
      </c>
      <c r="G87" s="40" t="str">
        <f aca="false">IF($A87="","",SUMIFS('Trade Log'!$Z$4:$Z$503,'Trade Log'!$D$4:$D$503,$A87,'Trade Log'!$E$4:$E$503,"LONG"))</f>
        <v/>
      </c>
      <c r="H87" s="40" t="str">
        <f aca="false">IF($A87="","",SUMIFS('Trade Log'!$Z$4:$Z$503,'Trade Log'!$D$4:$D$503,$A87,'Trade Log'!$E$4:$E$503,"SHORT"))</f>
        <v/>
      </c>
      <c r="I87" s="40" t="str">
        <f aca="false">IF($A87="","",SUMIFS('Trade Log'!$Q$4:$Q$503,'Trade Log'!$D$4:$D$503,$A87))</f>
        <v/>
      </c>
      <c r="J87" s="40" t="str">
        <f aca="false">IF($A87="","",SUMIFS('Trade Log'!$Y$4:$Y$503,'Trade Log'!$D$4:$D$503,$A87))</f>
        <v/>
      </c>
      <c r="K87" s="40" t="str">
        <f aca="false">IF($A87="","",SUMIFS('Trade Log'!$Z$4:$Z$503,'Trade Log'!$D$4:$D$503,$A87))</f>
        <v/>
      </c>
      <c r="L87" s="41" t="str">
        <f aca="false">IF($A87="","",COUNTIFS('Trade Log'!$D$4:$D$503,$A87,'Trade Log'!$Z$4:$Z$503,"&gt;0"))</f>
        <v/>
      </c>
      <c r="M87" s="55" t="str">
        <f aca="false">IF(OR($A87="",$E87=0),"",$L87/$E87)</f>
        <v/>
      </c>
      <c r="N87" s="40" t="str">
        <f aca="false">IF(OR($A87="",$E87=0),"",$K87/$E87)</f>
        <v/>
      </c>
      <c r="O87" s="40" t="str">
        <f aca="false">IF($A87="","",IFERROR(_xlfn.MAXIFS('Trade Log'!$Z$4:$Z$503,'Trade Log'!$D$4:$D$503,$A87),""))</f>
        <v/>
      </c>
      <c r="P87" s="40" t="str">
        <f aca="false">IF($A87="","",IFERROR(_xlfn.MINIFS('Trade Log'!$Z$4:$Z$503,'Trade Log'!$D$4:$D$503,$A87),""))</f>
        <v/>
      </c>
      <c r="Q87" s="55" t="str">
        <f aca="false">IF($A87="","",IFERROR(AVERAGEIFS('Trade Log'!$AA$4:$AA$503,'Trade Log'!$D$4:$D$503,$A87),""))</f>
        <v/>
      </c>
      <c r="R87" s="53" t="str">
        <f aca="false">IF($A87="","",IFERROR(AVERAGEIFS('Trade Log'!$P$4:$P$503,'Trade Log'!$D$4:$D$503,$A87),""))</f>
        <v/>
      </c>
      <c r="S87" s="44" t="str">
        <f aca="false">IF($A87="","",IFERROR(AVERAGEIFS('Trade Log'!$AC$4:$AC$503,'Trade Log'!$D$4:$D$503,$A87),""))</f>
        <v/>
      </c>
      <c r="T87" s="55" t="str">
        <f aca="false">IF(OR($A87="",Summary!$B$13=0),"",$K87/Summary!$B$13)</f>
        <v/>
      </c>
      <c r="U87" s="41" t="str">
        <f aca="false">IF($A87="","",IFERROR(RANK($K87,$K$4:$K$153),""))</f>
        <v/>
      </c>
    </row>
    <row r="88" customFormat="false" ht="15" hidden="false" customHeight="false" outlineLevel="0" collapsed="false">
      <c r="A88" s="49"/>
      <c r="B88" s="41" t="str">
        <f aca="false">IF($A88="","",COUNTIFS('Trade Log'!$D$4:$D$503,$A88))</f>
        <v/>
      </c>
      <c r="C88" s="41" t="str">
        <f aca="false">IF($A88="","",COUNTIFS('Trade Log'!$D$4:$D$503,$A88,'Trade Log'!$E$4:$E$503,"LONG"))</f>
        <v/>
      </c>
      <c r="D88" s="41" t="str">
        <f aca="false">IF($A88="","",COUNTIFS('Trade Log'!$D$4:$D$503,$A88,'Trade Log'!$E$4:$E$503,"SHORT"))</f>
        <v/>
      </c>
      <c r="E88" s="41" t="str">
        <f aca="false">IF($A88="","",COUNTIFS('Trade Log'!$D$4:$D$503,$A88,'Trade Log'!$N$4:$N$503,"&lt;&gt;"))</f>
        <v/>
      </c>
      <c r="F88" s="40" t="str">
        <f aca="false">IF($A88="","",SUMIFS('Trade Log'!$K$4:$K$503,'Trade Log'!$D$4:$D$503,$A88))</f>
        <v/>
      </c>
      <c r="G88" s="40" t="str">
        <f aca="false">IF($A88="","",SUMIFS('Trade Log'!$Z$4:$Z$503,'Trade Log'!$D$4:$D$503,$A88,'Trade Log'!$E$4:$E$503,"LONG"))</f>
        <v/>
      </c>
      <c r="H88" s="40" t="str">
        <f aca="false">IF($A88="","",SUMIFS('Trade Log'!$Z$4:$Z$503,'Trade Log'!$D$4:$D$503,$A88,'Trade Log'!$E$4:$E$503,"SHORT"))</f>
        <v/>
      </c>
      <c r="I88" s="40" t="str">
        <f aca="false">IF($A88="","",SUMIFS('Trade Log'!$Q$4:$Q$503,'Trade Log'!$D$4:$D$503,$A88))</f>
        <v/>
      </c>
      <c r="J88" s="40" t="str">
        <f aca="false">IF($A88="","",SUMIFS('Trade Log'!$Y$4:$Y$503,'Trade Log'!$D$4:$D$503,$A88))</f>
        <v/>
      </c>
      <c r="K88" s="40" t="str">
        <f aca="false">IF($A88="","",SUMIFS('Trade Log'!$Z$4:$Z$503,'Trade Log'!$D$4:$D$503,$A88))</f>
        <v/>
      </c>
      <c r="L88" s="41" t="str">
        <f aca="false">IF($A88="","",COUNTIFS('Trade Log'!$D$4:$D$503,$A88,'Trade Log'!$Z$4:$Z$503,"&gt;0"))</f>
        <v/>
      </c>
      <c r="M88" s="55" t="str">
        <f aca="false">IF(OR($A88="",$E88=0),"",$L88/$E88)</f>
        <v/>
      </c>
      <c r="N88" s="40" t="str">
        <f aca="false">IF(OR($A88="",$E88=0),"",$K88/$E88)</f>
        <v/>
      </c>
      <c r="O88" s="40" t="str">
        <f aca="false">IF($A88="","",IFERROR(_xlfn.MAXIFS('Trade Log'!$Z$4:$Z$503,'Trade Log'!$D$4:$D$503,$A88),""))</f>
        <v/>
      </c>
      <c r="P88" s="40" t="str">
        <f aca="false">IF($A88="","",IFERROR(_xlfn.MINIFS('Trade Log'!$Z$4:$Z$503,'Trade Log'!$D$4:$D$503,$A88),""))</f>
        <v/>
      </c>
      <c r="Q88" s="55" t="str">
        <f aca="false">IF($A88="","",IFERROR(AVERAGEIFS('Trade Log'!$AA$4:$AA$503,'Trade Log'!$D$4:$D$503,$A88),""))</f>
        <v/>
      </c>
      <c r="R88" s="53" t="str">
        <f aca="false">IF($A88="","",IFERROR(AVERAGEIFS('Trade Log'!$P$4:$P$503,'Trade Log'!$D$4:$D$503,$A88),""))</f>
        <v/>
      </c>
      <c r="S88" s="44" t="str">
        <f aca="false">IF($A88="","",IFERROR(AVERAGEIFS('Trade Log'!$AC$4:$AC$503,'Trade Log'!$D$4:$D$503,$A88),""))</f>
        <v/>
      </c>
      <c r="T88" s="55" t="str">
        <f aca="false">IF(OR($A88="",Summary!$B$13=0),"",$K88/Summary!$B$13)</f>
        <v/>
      </c>
      <c r="U88" s="41" t="str">
        <f aca="false">IF($A88="","",IFERROR(RANK($K88,$K$4:$K$153),""))</f>
        <v/>
      </c>
    </row>
    <row r="89" customFormat="false" ht="15" hidden="false" customHeight="false" outlineLevel="0" collapsed="false">
      <c r="A89" s="49"/>
      <c r="B89" s="41" t="str">
        <f aca="false">IF($A89="","",COUNTIFS('Trade Log'!$D$4:$D$503,$A89))</f>
        <v/>
      </c>
      <c r="C89" s="41" t="str">
        <f aca="false">IF($A89="","",COUNTIFS('Trade Log'!$D$4:$D$503,$A89,'Trade Log'!$E$4:$E$503,"LONG"))</f>
        <v/>
      </c>
      <c r="D89" s="41" t="str">
        <f aca="false">IF($A89="","",COUNTIFS('Trade Log'!$D$4:$D$503,$A89,'Trade Log'!$E$4:$E$503,"SHORT"))</f>
        <v/>
      </c>
      <c r="E89" s="41" t="str">
        <f aca="false">IF($A89="","",COUNTIFS('Trade Log'!$D$4:$D$503,$A89,'Trade Log'!$N$4:$N$503,"&lt;&gt;"))</f>
        <v/>
      </c>
      <c r="F89" s="40" t="str">
        <f aca="false">IF($A89="","",SUMIFS('Trade Log'!$K$4:$K$503,'Trade Log'!$D$4:$D$503,$A89))</f>
        <v/>
      </c>
      <c r="G89" s="40" t="str">
        <f aca="false">IF($A89="","",SUMIFS('Trade Log'!$Z$4:$Z$503,'Trade Log'!$D$4:$D$503,$A89,'Trade Log'!$E$4:$E$503,"LONG"))</f>
        <v/>
      </c>
      <c r="H89" s="40" t="str">
        <f aca="false">IF($A89="","",SUMIFS('Trade Log'!$Z$4:$Z$503,'Trade Log'!$D$4:$D$503,$A89,'Trade Log'!$E$4:$E$503,"SHORT"))</f>
        <v/>
      </c>
      <c r="I89" s="40" t="str">
        <f aca="false">IF($A89="","",SUMIFS('Trade Log'!$Q$4:$Q$503,'Trade Log'!$D$4:$D$503,$A89))</f>
        <v/>
      </c>
      <c r="J89" s="40" t="str">
        <f aca="false">IF($A89="","",SUMIFS('Trade Log'!$Y$4:$Y$503,'Trade Log'!$D$4:$D$503,$A89))</f>
        <v/>
      </c>
      <c r="K89" s="40" t="str">
        <f aca="false">IF($A89="","",SUMIFS('Trade Log'!$Z$4:$Z$503,'Trade Log'!$D$4:$D$503,$A89))</f>
        <v/>
      </c>
      <c r="L89" s="41" t="str">
        <f aca="false">IF($A89="","",COUNTIFS('Trade Log'!$D$4:$D$503,$A89,'Trade Log'!$Z$4:$Z$503,"&gt;0"))</f>
        <v/>
      </c>
      <c r="M89" s="55" t="str">
        <f aca="false">IF(OR($A89="",$E89=0),"",$L89/$E89)</f>
        <v/>
      </c>
      <c r="N89" s="40" t="str">
        <f aca="false">IF(OR($A89="",$E89=0),"",$K89/$E89)</f>
        <v/>
      </c>
      <c r="O89" s="40" t="str">
        <f aca="false">IF($A89="","",IFERROR(_xlfn.MAXIFS('Trade Log'!$Z$4:$Z$503,'Trade Log'!$D$4:$D$503,$A89),""))</f>
        <v/>
      </c>
      <c r="P89" s="40" t="str">
        <f aca="false">IF($A89="","",IFERROR(_xlfn.MINIFS('Trade Log'!$Z$4:$Z$503,'Trade Log'!$D$4:$D$503,$A89),""))</f>
        <v/>
      </c>
      <c r="Q89" s="55" t="str">
        <f aca="false">IF($A89="","",IFERROR(AVERAGEIFS('Trade Log'!$AA$4:$AA$503,'Trade Log'!$D$4:$D$503,$A89),""))</f>
        <v/>
      </c>
      <c r="R89" s="53" t="str">
        <f aca="false">IF($A89="","",IFERROR(AVERAGEIFS('Trade Log'!$P$4:$P$503,'Trade Log'!$D$4:$D$503,$A89),""))</f>
        <v/>
      </c>
      <c r="S89" s="44" t="str">
        <f aca="false">IF($A89="","",IFERROR(AVERAGEIFS('Trade Log'!$AC$4:$AC$503,'Trade Log'!$D$4:$D$503,$A89),""))</f>
        <v/>
      </c>
      <c r="T89" s="55" t="str">
        <f aca="false">IF(OR($A89="",Summary!$B$13=0),"",$K89/Summary!$B$13)</f>
        <v/>
      </c>
      <c r="U89" s="41" t="str">
        <f aca="false">IF($A89="","",IFERROR(RANK($K89,$K$4:$K$153),""))</f>
        <v/>
      </c>
    </row>
    <row r="90" customFormat="false" ht="15" hidden="false" customHeight="false" outlineLevel="0" collapsed="false">
      <c r="A90" s="49"/>
      <c r="B90" s="41" t="str">
        <f aca="false">IF($A90="","",COUNTIFS('Trade Log'!$D$4:$D$503,$A90))</f>
        <v/>
      </c>
      <c r="C90" s="41" t="str">
        <f aca="false">IF($A90="","",COUNTIFS('Trade Log'!$D$4:$D$503,$A90,'Trade Log'!$E$4:$E$503,"LONG"))</f>
        <v/>
      </c>
      <c r="D90" s="41" t="str">
        <f aca="false">IF($A90="","",COUNTIFS('Trade Log'!$D$4:$D$503,$A90,'Trade Log'!$E$4:$E$503,"SHORT"))</f>
        <v/>
      </c>
      <c r="E90" s="41" t="str">
        <f aca="false">IF($A90="","",COUNTIFS('Trade Log'!$D$4:$D$503,$A90,'Trade Log'!$N$4:$N$503,"&lt;&gt;"))</f>
        <v/>
      </c>
      <c r="F90" s="40" t="str">
        <f aca="false">IF($A90="","",SUMIFS('Trade Log'!$K$4:$K$503,'Trade Log'!$D$4:$D$503,$A90))</f>
        <v/>
      </c>
      <c r="G90" s="40" t="str">
        <f aca="false">IF($A90="","",SUMIFS('Trade Log'!$Z$4:$Z$503,'Trade Log'!$D$4:$D$503,$A90,'Trade Log'!$E$4:$E$503,"LONG"))</f>
        <v/>
      </c>
      <c r="H90" s="40" t="str">
        <f aca="false">IF($A90="","",SUMIFS('Trade Log'!$Z$4:$Z$503,'Trade Log'!$D$4:$D$503,$A90,'Trade Log'!$E$4:$E$503,"SHORT"))</f>
        <v/>
      </c>
      <c r="I90" s="40" t="str">
        <f aca="false">IF($A90="","",SUMIFS('Trade Log'!$Q$4:$Q$503,'Trade Log'!$D$4:$D$503,$A90))</f>
        <v/>
      </c>
      <c r="J90" s="40" t="str">
        <f aca="false">IF($A90="","",SUMIFS('Trade Log'!$Y$4:$Y$503,'Trade Log'!$D$4:$D$503,$A90))</f>
        <v/>
      </c>
      <c r="K90" s="40" t="str">
        <f aca="false">IF($A90="","",SUMIFS('Trade Log'!$Z$4:$Z$503,'Trade Log'!$D$4:$D$503,$A90))</f>
        <v/>
      </c>
      <c r="L90" s="41" t="str">
        <f aca="false">IF($A90="","",COUNTIFS('Trade Log'!$D$4:$D$503,$A90,'Trade Log'!$Z$4:$Z$503,"&gt;0"))</f>
        <v/>
      </c>
      <c r="M90" s="55" t="str">
        <f aca="false">IF(OR($A90="",$E90=0),"",$L90/$E90)</f>
        <v/>
      </c>
      <c r="N90" s="40" t="str">
        <f aca="false">IF(OR($A90="",$E90=0),"",$K90/$E90)</f>
        <v/>
      </c>
      <c r="O90" s="40" t="str">
        <f aca="false">IF($A90="","",IFERROR(_xlfn.MAXIFS('Trade Log'!$Z$4:$Z$503,'Trade Log'!$D$4:$D$503,$A90),""))</f>
        <v/>
      </c>
      <c r="P90" s="40" t="str">
        <f aca="false">IF($A90="","",IFERROR(_xlfn.MINIFS('Trade Log'!$Z$4:$Z$503,'Trade Log'!$D$4:$D$503,$A90),""))</f>
        <v/>
      </c>
      <c r="Q90" s="55" t="str">
        <f aca="false">IF($A90="","",IFERROR(AVERAGEIFS('Trade Log'!$AA$4:$AA$503,'Trade Log'!$D$4:$D$503,$A90),""))</f>
        <v/>
      </c>
      <c r="R90" s="53" t="str">
        <f aca="false">IF($A90="","",IFERROR(AVERAGEIFS('Trade Log'!$P$4:$P$503,'Trade Log'!$D$4:$D$503,$A90),""))</f>
        <v/>
      </c>
      <c r="S90" s="44" t="str">
        <f aca="false">IF($A90="","",IFERROR(AVERAGEIFS('Trade Log'!$AC$4:$AC$503,'Trade Log'!$D$4:$D$503,$A90),""))</f>
        <v/>
      </c>
      <c r="T90" s="55" t="str">
        <f aca="false">IF(OR($A90="",Summary!$B$13=0),"",$K90/Summary!$B$13)</f>
        <v/>
      </c>
      <c r="U90" s="41" t="str">
        <f aca="false">IF($A90="","",IFERROR(RANK($K90,$K$4:$K$153),""))</f>
        <v/>
      </c>
    </row>
    <row r="91" customFormat="false" ht="15" hidden="false" customHeight="false" outlineLevel="0" collapsed="false">
      <c r="A91" s="49"/>
      <c r="B91" s="41" t="str">
        <f aca="false">IF($A91="","",COUNTIFS('Trade Log'!$D$4:$D$503,$A91))</f>
        <v/>
      </c>
      <c r="C91" s="41" t="str">
        <f aca="false">IF($A91="","",COUNTIFS('Trade Log'!$D$4:$D$503,$A91,'Trade Log'!$E$4:$E$503,"LONG"))</f>
        <v/>
      </c>
      <c r="D91" s="41" t="str">
        <f aca="false">IF($A91="","",COUNTIFS('Trade Log'!$D$4:$D$503,$A91,'Trade Log'!$E$4:$E$503,"SHORT"))</f>
        <v/>
      </c>
      <c r="E91" s="41" t="str">
        <f aca="false">IF($A91="","",COUNTIFS('Trade Log'!$D$4:$D$503,$A91,'Trade Log'!$N$4:$N$503,"&lt;&gt;"))</f>
        <v/>
      </c>
      <c r="F91" s="40" t="str">
        <f aca="false">IF($A91="","",SUMIFS('Trade Log'!$K$4:$K$503,'Trade Log'!$D$4:$D$503,$A91))</f>
        <v/>
      </c>
      <c r="G91" s="40" t="str">
        <f aca="false">IF($A91="","",SUMIFS('Trade Log'!$Z$4:$Z$503,'Trade Log'!$D$4:$D$503,$A91,'Trade Log'!$E$4:$E$503,"LONG"))</f>
        <v/>
      </c>
      <c r="H91" s="40" t="str">
        <f aca="false">IF($A91="","",SUMIFS('Trade Log'!$Z$4:$Z$503,'Trade Log'!$D$4:$D$503,$A91,'Trade Log'!$E$4:$E$503,"SHORT"))</f>
        <v/>
      </c>
      <c r="I91" s="40" t="str">
        <f aca="false">IF($A91="","",SUMIFS('Trade Log'!$Q$4:$Q$503,'Trade Log'!$D$4:$D$503,$A91))</f>
        <v/>
      </c>
      <c r="J91" s="40" t="str">
        <f aca="false">IF($A91="","",SUMIFS('Trade Log'!$Y$4:$Y$503,'Trade Log'!$D$4:$D$503,$A91))</f>
        <v/>
      </c>
      <c r="K91" s="40" t="str">
        <f aca="false">IF($A91="","",SUMIFS('Trade Log'!$Z$4:$Z$503,'Trade Log'!$D$4:$D$503,$A91))</f>
        <v/>
      </c>
      <c r="L91" s="41" t="str">
        <f aca="false">IF($A91="","",COUNTIFS('Trade Log'!$D$4:$D$503,$A91,'Trade Log'!$Z$4:$Z$503,"&gt;0"))</f>
        <v/>
      </c>
      <c r="M91" s="55" t="str">
        <f aca="false">IF(OR($A91="",$E91=0),"",$L91/$E91)</f>
        <v/>
      </c>
      <c r="N91" s="40" t="str">
        <f aca="false">IF(OR($A91="",$E91=0),"",$K91/$E91)</f>
        <v/>
      </c>
      <c r="O91" s="40" t="str">
        <f aca="false">IF($A91="","",IFERROR(_xlfn.MAXIFS('Trade Log'!$Z$4:$Z$503,'Trade Log'!$D$4:$D$503,$A91),""))</f>
        <v/>
      </c>
      <c r="P91" s="40" t="str">
        <f aca="false">IF($A91="","",IFERROR(_xlfn.MINIFS('Trade Log'!$Z$4:$Z$503,'Trade Log'!$D$4:$D$503,$A91),""))</f>
        <v/>
      </c>
      <c r="Q91" s="55" t="str">
        <f aca="false">IF($A91="","",IFERROR(AVERAGEIFS('Trade Log'!$AA$4:$AA$503,'Trade Log'!$D$4:$D$503,$A91),""))</f>
        <v/>
      </c>
      <c r="R91" s="53" t="str">
        <f aca="false">IF($A91="","",IFERROR(AVERAGEIFS('Trade Log'!$P$4:$P$503,'Trade Log'!$D$4:$D$503,$A91),""))</f>
        <v/>
      </c>
      <c r="S91" s="44" t="str">
        <f aca="false">IF($A91="","",IFERROR(AVERAGEIFS('Trade Log'!$AC$4:$AC$503,'Trade Log'!$D$4:$D$503,$A91),""))</f>
        <v/>
      </c>
      <c r="T91" s="55" t="str">
        <f aca="false">IF(OR($A91="",Summary!$B$13=0),"",$K91/Summary!$B$13)</f>
        <v/>
      </c>
      <c r="U91" s="41" t="str">
        <f aca="false">IF($A91="","",IFERROR(RANK($K91,$K$4:$K$153),""))</f>
        <v/>
      </c>
    </row>
    <row r="92" customFormat="false" ht="15" hidden="false" customHeight="false" outlineLevel="0" collapsed="false">
      <c r="A92" s="49"/>
      <c r="B92" s="41" t="str">
        <f aca="false">IF($A92="","",COUNTIFS('Trade Log'!$D$4:$D$503,$A92))</f>
        <v/>
      </c>
      <c r="C92" s="41" t="str">
        <f aca="false">IF($A92="","",COUNTIFS('Trade Log'!$D$4:$D$503,$A92,'Trade Log'!$E$4:$E$503,"LONG"))</f>
        <v/>
      </c>
      <c r="D92" s="41" t="str">
        <f aca="false">IF($A92="","",COUNTIFS('Trade Log'!$D$4:$D$503,$A92,'Trade Log'!$E$4:$E$503,"SHORT"))</f>
        <v/>
      </c>
      <c r="E92" s="41" t="str">
        <f aca="false">IF($A92="","",COUNTIFS('Trade Log'!$D$4:$D$503,$A92,'Trade Log'!$N$4:$N$503,"&lt;&gt;"))</f>
        <v/>
      </c>
      <c r="F92" s="40" t="str">
        <f aca="false">IF($A92="","",SUMIFS('Trade Log'!$K$4:$K$503,'Trade Log'!$D$4:$D$503,$A92))</f>
        <v/>
      </c>
      <c r="G92" s="40" t="str">
        <f aca="false">IF($A92="","",SUMIFS('Trade Log'!$Z$4:$Z$503,'Trade Log'!$D$4:$D$503,$A92,'Trade Log'!$E$4:$E$503,"LONG"))</f>
        <v/>
      </c>
      <c r="H92" s="40" t="str">
        <f aca="false">IF($A92="","",SUMIFS('Trade Log'!$Z$4:$Z$503,'Trade Log'!$D$4:$D$503,$A92,'Trade Log'!$E$4:$E$503,"SHORT"))</f>
        <v/>
      </c>
      <c r="I92" s="40" t="str">
        <f aca="false">IF($A92="","",SUMIFS('Trade Log'!$Q$4:$Q$503,'Trade Log'!$D$4:$D$503,$A92))</f>
        <v/>
      </c>
      <c r="J92" s="40" t="str">
        <f aca="false">IF($A92="","",SUMIFS('Trade Log'!$Y$4:$Y$503,'Trade Log'!$D$4:$D$503,$A92))</f>
        <v/>
      </c>
      <c r="K92" s="40" t="str">
        <f aca="false">IF($A92="","",SUMIFS('Trade Log'!$Z$4:$Z$503,'Trade Log'!$D$4:$D$503,$A92))</f>
        <v/>
      </c>
      <c r="L92" s="41" t="str">
        <f aca="false">IF($A92="","",COUNTIFS('Trade Log'!$D$4:$D$503,$A92,'Trade Log'!$Z$4:$Z$503,"&gt;0"))</f>
        <v/>
      </c>
      <c r="M92" s="55" t="str">
        <f aca="false">IF(OR($A92="",$E92=0),"",$L92/$E92)</f>
        <v/>
      </c>
      <c r="N92" s="40" t="str">
        <f aca="false">IF(OR($A92="",$E92=0),"",$K92/$E92)</f>
        <v/>
      </c>
      <c r="O92" s="40" t="str">
        <f aca="false">IF($A92="","",IFERROR(_xlfn.MAXIFS('Trade Log'!$Z$4:$Z$503,'Trade Log'!$D$4:$D$503,$A92),""))</f>
        <v/>
      </c>
      <c r="P92" s="40" t="str">
        <f aca="false">IF($A92="","",IFERROR(_xlfn.MINIFS('Trade Log'!$Z$4:$Z$503,'Trade Log'!$D$4:$D$503,$A92),""))</f>
        <v/>
      </c>
      <c r="Q92" s="55" t="str">
        <f aca="false">IF($A92="","",IFERROR(AVERAGEIFS('Trade Log'!$AA$4:$AA$503,'Trade Log'!$D$4:$D$503,$A92),""))</f>
        <v/>
      </c>
      <c r="R92" s="53" t="str">
        <f aca="false">IF($A92="","",IFERROR(AVERAGEIFS('Trade Log'!$P$4:$P$503,'Trade Log'!$D$4:$D$503,$A92),""))</f>
        <v/>
      </c>
      <c r="S92" s="44" t="str">
        <f aca="false">IF($A92="","",IFERROR(AVERAGEIFS('Trade Log'!$AC$4:$AC$503,'Trade Log'!$D$4:$D$503,$A92),""))</f>
        <v/>
      </c>
      <c r="T92" s="55" t="str">
        <f aca="false">IF(OR($A92="",Summary!$B$13=0),"",$K92/Summary!$B$13)</f>
        <v/>
      </c>
      <c r="U92" s="41" t="str">
        <f aca="false">IF($A92="","",IFERROR(RANK($K92,$K$4:$K$153),""))</f>
        <v/>
      </c>
    </row>
    <row r="93" customFormat="false" ht="15" hidden="false" customHeight="false" outlineLevel="0" collapsed="false">
      <c r="A93" s="49"/>
      <c r="B93" s="41" t="str">
        <f aca="false">IF($A93="","",COUNTIFS('Trade Log'!$D$4:$D$503,$A93))</f>
        <v/>
      </c>
      <c r="C93" s="41" t="str">
        <f aca="false">IF($A93="","",COUNTIFS('Trade Log'!$D$4:$D$503,$A93,'Trade Log'!$E$4:$E$503,"LONG"))</f>
        <v/>
      </c>
      <c r="D93" s="41" t="str">
        <f aca="false">IF($A93="","",COUNTIFS('Trade Log'!$D$4:$D$503,$A93,'Trade Log'!$E$4:$E$503,"SHORT"))</f>
        <v/>
      </c>
      <c r="E93" s="41" t="str">
        <f aca="false">IF($A93="","",COUNTIFS('Trade Log'!$D$4:$D$503,$A93,'Trade Log'!$N$4:$N$503,"&lt;&gt;"))</f>
        <v/>
      </c>
      <c r="F93" s="40" t="str">
        <f aca="false">IF($A93="","",SUMIFS('Trade Log'!$K$4:$K$503,'Trade Log'!$D$4:$D$503,$A93))</f>
        <v/>
      </c>
      <c r="G93" s="40" t="str">
        <f aca="false">IF($A93="","",SUMIFS('Trade Log'!$Z$4:$Z$503,'Trade Log'!$D$4:$D$503,$A93,'Trade Log'!$E$4:$E$503,"LONG"))</f>
        <v/>
      </c>
      <c r="H93" s="40" t="str">
        <f aca="false">IF($A93="","",SUMIFS('Trade Log'!$Z$4:$Z$503,'Trade Log'!$D$4:$D$503,$A93,'Trade Log'!$E$4:$E$503,"SHORT"))</f>
        <v/>
      </c>
      <c r="I93" s="40" t="str">
        <f aca="false">IF($A93="","",SUMIFS('Trade Log'!$Q$4:$Q$503,'Trade Log'!$D$4:$D$503,$A93))</f>
        <v/>
      </c>
      <c r="J93" s="40" t="str">
        <f aca="false">IF($A93="","",SUMIFS('Trade Log'!$Y$4:$Y$503,'Trade Log'!$D$4:$D$503,$A93))</f>
        <v/>
      </c>
      <c r="K93" s="40" t="str">
        <f aca="false">IF($A93="","",SUMIFS('Trade Log'!$Z$4:$Z$503,'Trade Log'!$D$4:$D$503,$A93))</f>
        <v/>
      </c>
      <c r="L93" s="41" t="str">
        <f aca="false">IF($A93="","",COUNTIFS('Trade Log'!$D$4:$D$503,$A93,'Trade Log'!$Z$4:$Z$503,"&gt;0"))</f>
        <v/>
      </c>
      <c r="M93" s="55" t="str">
        <f aca="false">IF(OR($A93="",$E93=0),"",$L93/$E93)</f>
        <v/>
      </c>
      <c r="N93" s="40" t="str">
        <f aca="false">IF(OR($A93="",$E93=0),"",$K93/$E93)</f>
        <v/>
      </c>
      <c r="O93" s="40" t="str">
        <f aca="false">IF($A93="","",IFERROR(_xlfn.MAXIFS('Trade Log'!$Z$4:$Z$503,'Trade Log'!$D$4:$D$503,$A93),""))</f>
        <v/>
      </c>
      <c r="P93" s="40" t="str">
        <f aca="false">IF($A93="","",IFERROR(_xlfn.MINIFS('Trade Log'!$Z$4:$Z$503,'Trade Log'!$D$4:$D$503,$A93),""))</f>
        <v/>
      </c>
      <c r="Q93" s="55" t="str">
        <f aca="false">IF($A93="","",IFERROR(AVERAGEIFS('Trade Log'!$AA$4:$AA$503,'Trade Log'!$D$4:$D$503,$A93),""))</f>
        <v/>
      </c>
      <c r="R93" s="53" t="str">
        <f aca="false">IF($A93="","",IFERROR(AVERAGEIFS('Trade Log'!$P$4:$P$503,'Trade Log'!$D$4:$D$503,$A93),""))</f>
        <v/>
      </c>
      <c r="S93" s="44" t="str">
        <f aca="false">IF($A93="","",IFERROR(AVERAGEIFS('Trade Log'!$AC$4:$AC$503,'Trade Log'!$D$4:$D$503,$A93),""))</f>
        <v/>
      </c>
      <c r="T93" s="55" t="str">
        <f aca="false">IF(OR($A93="",Summary!$B$13=0),"",$K93/Summary!$B$13)</f>
        <v/>
      </c>
      <c r="U93" s="41" t="str">
        <f aca="false">IF($A93="","",IFERROR(RANK($K93,$K$4:$K$153),""))</f>
        <v/>
      </c>
    </row>
    <row r="94" customFormat="false" ht="15" hidden="false" customHeight="false" outlineLevel="0" collapsed="false">
      <c r="A94" s="49"/>
      <c r="B94" s="41" t="str">
        <f aca="false">IF($A94="","",COUNTIFS('Trade Log'!$D$4:$D$503,$A94))</f>
        <v/>
      </c>
      <c r="C94" s="41" t="str">
        <f aca="false">IF($A94="","",COUNTIFS('Trade Log'!$D$4:$D$503,$A94,'Trade Log'!$E$4:$E$503,"LONG"))</f>
        <v/>
      </c>
      <c r="D94" s="41" t="str">
        <f aca="false">IF($A94="","",COUNTIFS('Trade Log'!$D$4:$D$503,$A94,'Trade Log'!$E$4:$E$503,"SHORT"))</f>
        <v/>
      </c>
      <c r="E94" s="41" t="str">
        <f aca="false">IF($A94="","",COUNTIFS('Trade Log'!$D$4:$D$503,$A94,'Trade Log'!$N$4:$N$503,"&lt;&gt;"))</f>
        <v/>
      </c>
      <c r="F94" s="40" t="str">
        <f aca="false">IF($A94="","",SUMIFS('Trade Log'!$K$4:$K$503,'Trade Log'!$D$4:$D$503,$A94))</f>
        <v/>
      </c>
      <c r="G94" s="40" t="str">
        <f aca="false">IF($A94="","",SUMIFS('Trade Log'!$Z$4:$Z$503,'Trade Log'!$D$4:$D$503,$A94,'Trade Log'!$E$4:$E$503,"LONG"))</f>
        <v/>
      </c>
      <c r="H94" s="40" t="str">
        <f aca="false">IF($A94="","",SUMIFS('Trade Log'!$Z$4:$Z$503,'Trade Log'!$D$4:$D$503,$A94,'Trade Log'!$E$4:$E$503,"SHORT"))</f>
        <v/>
      </c>
      <c r="I94" s="40" t="str">
        <f aca="false">IF($A94="","",SUMIFS('Trade Log'!$Q$4:$Q$503,'Trade Log'!$D$4:$D$503,$A94))</f>
        <v/>
      </c>
      <c r="J94" s="40" t="str">
        <f aca="false">IF($A94="","",SUMIFS('Trade Log'!$Y$4:$Y$503,'Trade Log'!$D$4:$D$503,$A94))</f>
        <v/>
      </c>
      <c r="K94" s="40" t="str">
        <f aca="false">IF($A94="","",SUMIFS('Trade Log'!$Z$4:$Z$503,'Trade Log'!$D$4:$D$503,$A94))</f>
        <v/>
      </c>
      <c r="L94" s="41" t="str">
        <f aca="false">IF($A94="","",COUNTIFS('Trade Log'!$D$4:$D$503,$A94,'Trade Log'!$Z$4:$Z$503,"&gt;0"))</f>
        <v/>
      </c>
      <c r="M94" s="55" t="str">
        <f aca="false">IF(OR($A94="",$E94=0),"",$L94/$E94)</f>
        <v/>
      </c>
      <c r="N94" s="40" t="str">
        <f aca="false">IF(OR($A94="",$E94=0),"",$K94/$E94)</f>
        <v/>
      </c>
      <c r="O94" s="40" t="str">
        <f aca="false">IF($A94="","",IFERROR(_xlfn.MAXIFS('Trade Log'!$Z$4:$Z$503,'Trade Log'!$D$4:$D$503,$A94),""))</f>
        <v/>
      </c>
      <c r="P94" s="40" t="str">
        <f aca="false">IF($A94="","",IFERROR(_xlfn.MINIFS('Trade Log'!$Z$4:$Z$503,'Trade Log'!$D$4:$D$503,$A94),""))</f>
        <v/>
      </c>
      <c r="Q94" s="55" t="str">
        <f aca="false">IF($A94="","",IFERROR(AVERAGEIFS('Trade Log'!$AA$4:$AA$503,'Trade Log'!$D$4:$D$503,$A94),""))</f>
        <v/>
      </c>
      <c r="R94" s="53" t="str">
        <f aca="false">IF($A94="","",IFERROR(AVERAGEIFS('Trade Log'!$P$4:$P$503,'Trade Log'!$D$4:$D$503,$A94),""))</f>
        <v/>
      </c>
      <c r="S94" s="44" t="str">
        <f aca="false">IF($A94="","",IFERROR(AVERAGEIFS('Trade Log'!$AC$4:$AC$503,'Trade Log'!$D$4:$D$503,$A94),""))</f>
        <v/>
      </c>
      <c r="T94" s="55" t="str">
        <f aca="false">IF(OR($A94="",Summary!$B$13=0),"",$K94/Summary!$B$13)</f>
        <v/>
      </c>
      <c r="U94" s="41" t="str">
        <f aca="false">IF($A94="","",IFERROR(RANK($K94,$K$4:$K$153),""))</f>
        <v/>
      </c>
    </row>
    <row r="95" customFormat="false" ht="15" hidden="false" customHeight="false" outlineLevel="0" collapsed="false">
      <c r="A95" s="49"/>
      <c r="B95" s="41" t="str">
        <f aca="false">IF($A95="","",COUNTIFS('Trade Log'!$D$4:$D$503,$A95))</f>
        <v/>
      </c>
      <c r="C95" s="41" t="str">
        <f aca="false">IF($A95="","",COUNTIFS('Trade Log'!$D$4:$D$503,$A95,'Trade Log'!$E$4:$E$503,"LONG"))</f>
        <v/>
      </c>
      <c r="D95" s="41" t="str">
        <f aca="false">IF($A95="","",COUNTIFS('Trade Log'!$D$4:$D$503,$A95,'Trade Log'!$E$4:$E$503,"SHORT"))</f>
        <v/>
      </c>
      <c r="E95" s="41" t="str">
        <f aca="false">IF($A95="","",COUNTIFS('Trade Log'!$D$4:$D$503,$A95,'Trade Log'!$N$4:$N$503,"&lt;&gt;"))</f>
        <v/>
      </c>
      <c r="F95" s="40" t="str">
        <f aca="false">IF($A95="","",SUMIFS('Trade Log'!$K$4:$K$503,'Trade Log'!$D$4:$D$503,$A95))</f>
        <v/>
      </c>
      <c r="G95" s="40" t="str">
        <f aca="false">IF($A95="","",SUMIFS('Trade Log'!$Z$4:$Z$503,'Trade Log'!$D$4:$D$503,$A95,'Trade Log'!$E$4:$E$503,"LONG"))</f>
        <v/>
      </c>
      <c r="H95" s="40" t="str">
        <f aca="false">IF($A95="","",SUMIFS('Trade Log'!$Z$4:$Z$503,'Trade Log'!$D$4:$D$503,$A95,'Trade Log'!$E$4:$E$503,"SHORT"))</f>
        <v/>
      </c>
      <c r="I95" s="40" t="str">
        <f aca="false">IF($A95="","",SUMIFS('Trade Log'!$Q$4:$Q$503,'Trade Log'!$D$4:$D$503,$A95))</f>
        <v/>
      </c>
      <c r="J95" s="40" t="str">
        <f aca="false">IF($A95="","",SUMIFS('Trade Log'!$Y$4:$Y$503,'Trade Log'!$D$4:$D$503,$A95))</f>
        <v/>
      </c>
      <c r="K95" s="40" t="str">
        <f aca="false">IF($A95="","",SUMIFS('Trade Log'!$Z$4:$Z$503,'Trade Log'!$D$4:$D$503,$A95))</f>
        <v/>
      </c>
      <c r="L95" s="41" t="str">
        <f aca="false">IF($A95="","",COUNTIFS('Trade Log'!$D$4:$D$503,$A95,'Trade Log'!$Z$4:$Z$503,"&gt;0"))</f>
        <v/>
      </c>
      <c r="M95" s="55" t="str">
        <f aca="false">IF(OR($A95="",$E95=0),"",$L95/$E95)</f>
        <v/>
      </c>
      <c r="N95" s="40" t="str">
        <f aca="false">IF(OR($A95="",$E95=0),"",$K95/$E95)</f>
        <v/>
      </c>
      <c r="O95" s="40" t="str">
        <f aca="false">IF($A95="","",IFERROR(_xlfn.MAXIFS('Trade Log'!$Z$4:$Z$503,'Trade Log'!$D$4:$D$503,$A95),""))</f>
        <v/>
      </c>
      <c r="P95" s="40" t="str">
        <f aca="false">IF($A95="","",IFERROR(_xlfn.MINIFS('Trade Log'!$Z$4:$Z$503,'Trade Log'!$D$4:$D$503,$A95),""))</f>
        <v/>
      </c>
      <c r="Q95" s="55" t="str">
        <f aca="false">IF($A95="","",IFERROR(AVERAGEIFS('Trade Log'!$AA$4:$AA$503,'Trade Log'!$D$4:$D$503,$A95),""))</f>
        <v/>
      </c>
      <c r="R95" s="53" t="str">
        <f aca="false">IF($A95="","",IFERROR(AVERAGEIFS('Trade Log'!$P$4:$P$503,'Trade Log'!$D$4:$D$503,$A95),""))</f>
        <v/>
      </c>
      <c r="S95" s="44" t="str">
        <f aca="false">IF($A95="","",IFERROR(AVERAGEIFS('Trade Log'!$AC$4:$AC$503,'Trade Log'!$D$4:$D$503,$A95),""))</f>
        <v/>
      </c>
      <c r="T95" s="55" t="str">
        <f aca="false">IF(OR($A95="",Summary!$B$13=0),"",$K95/Summary!$B$13)</f>
        <v/>
      </c>
      <c r="U95" s="41" t="str">
        <f aca="false">IF($A95="","",IFERROR(RANK($K95,$K$4:$K$153),""))</f>
        <v/>
      </c>
    </row>
    <row r="96" customFormat="false" ht="15" hidden="false" customHeight="false" outlineLevel="0" collapsed="false">
      <c r="A96" s="49"/>
      <c r="B96" s="41" t="str">
        <f aca="false">IF($A96="","",COUNTIFS('Trade Log'!$D$4:$D$503,$A96))</f>
        <v/>
      </c>
      <c r="C96" s="41" t="str">
        <f aca="false">IF($A96="","",COUNTIFS('Trade Log'!$D$4:$D$503,$A96,'Trade Log'!$E$4:$E$503,"LONG"))</f>
        <v/>
      </c>
      <c r="D96" s="41" t="str">
        <f aca="false">IF($A96="","",COUNTIFS('Trade Log'!$D$4:$D$503,$A96,'Trade Log'!$E$4:$E$503,"SHORT"))</f>
        <v/>
      </c>
      <c r="E96" s="41" t="str">
        <f aca="false">IF($A96="","",COUNTIFS('Trade Log'!$D$4:$D$503,$A96,'Trade Log'!$N$4:$N$503,"&lt;&gt;"))</f>
        <v/>
      </c>
      <c r="F96" s="40" t="str">
        <f aca="false">IF($A96="","",SUMIFS('Trade Log'!$K$4:$K$503,'Trade Log'!$D$4:$D$503,$A96))</f>
        <v/>
      </c>
      <c r="G96" s="40" t="str">
        <f aca="false">IF($A96="","",SUMIFS('Trade Log'!$Z$4:$Z$503,'Trade Log'!$D$4:$D$503,$A96,'Trade Log'!$E$4:$E$503,"LONG"))</f>
        <v/>
      </c>
      <c r="H96" s="40" t="str">
        <f aca="false">IF($A96="","",SUMIFS('Trade Log'!$Z$4:$Z$503,'Trade Log'!$D$4:$D$503,$A96,'Trade Log'!$E$4:$E$503,"SHORT"))</f>
        <v/>
      </c>
      <c r="I96" s="40" t="str">
        <f aca="false">IF($A96="","",SUMIFS('Trade Log'!$Q$4:$Q$503,'Trade Log'!$D$4:$D$503,$A96))</f>
        <v/>
      </c>
      <c r="J96" s="40" t="str">
        <f aca="false">IF($A96="","",SUMIFS('Trade Log'!$Y$4:$Y$503,'Trade Log'!$D$4:$D$503,$A96))</f>
        <v/>
      </c>
      <c r="K96" s="40" t="str">
        <f aca="false">IF($A96="","",SUMIFS('Trade Log'!$Z$4:$Z$503,'Trade Log'!$D$4:$D$503,$A96))</f>
        <v/>
      </c>
      <c r="L96" s="41" t="str">
        <f aca="false">IF($A96="","",COUNTIFS('Trade Log'!$D$4:$D$503,$A96,'Trade Log'!$Z$4:$Z$503,"&gt;0"))</f>
        <v/>
      </c>
      <c r="M96" s="55" t="str">
        <f aca="false">IF(OR($A96="",$E96=0),"",$L96/$E96)</f>
        <v/>
      </c>
      <c r="N96" s="40" t="str">
        <f aca="false">IF(OR($A96="",$E96=0),"",$K96/$E96)</f>
        <v/>
      </c>
      <c r="O96" s="40" t="str">
        <f aca="false">IF($A96="","",IFERROR(_xlfn.MAXIFS('Trade Log'!$Z$4:$Z$503,'Trade Log'!$D$4:$D$503,$A96),""))</f>
        <v/>
      </c>
      <c r="P96" s="40" t="str">
        <f aca="false">IF($A96="","",IFERROR(_xlfn.MINIFS('Trade Log'!$Z$4:$Z$503,'Trade Log'!$D$4:$D$503,$A96),""))</f>
        <v/>
      </c>
      <c r="Q96" s="55" t="str">
        <f aca="false">IF($A96="","",IFERROR(AVERAGEIFS('Trade Log'!$AA$4:$AA$503,'Trade Log'!$D$4:$D$503,$A96),""))</f>
        <v/>
      </c>
      <c r="R96" s="53" t="str">
        <f aca="false">IF($A96="","",IFERROR(AVERAGEIFS('Trade Log'!$P$4:$P$503,'Trade Log'!$D$4:$D$503,$A96),""))</f>
        <v/>
      </c>
      <c r="S96" s="44" t="str">
        <f aca="false">IF($A96="","",IFERROR(AVERAGEIFS('Trade Log'!$AC$4:$AC$503,'Trade Log'!$D$4:$D$503,$A96),""))</f>
        <v/>
      </c>
      <c r="T96" s="55" t="str">
        <f aca="false">IF(OR($A96="",Summary!$B$13=0),"",$K96/Summary!$B$13)</f>
        <v/>
      </c>
      <c r="U96" s="41" t="str">
        <f aca="false">IF($A96="","",IFERROR(RANK($K96,$K$4:$K$153),""))</f>
        <v/>
      </c>
    </row>
    <row r="97" customFormat="false" ht="15" hidden="false" customHeight="false" outlineLevel="0" collapsed="false">
      <c r="A97" s="49"/>
      <c r="B97" s="41" t="str">
        <f aca="false">IF($A97="","",COUNTIFS('Trade Log'!$D$4:$D$503,$A97))</f>
        <v/>
      </c>
      <c r="C97" s="41" t="str">
        <f aca="false">IF($A97="","",COUNTIFS('Trade Log'!$D$4:$D$503,$A97,'Trade Log'!$E$4:$E$503,"LONG"))</f>
        <v/>
      </c>
      <c r="D97" s="41" t="str">
        <f aca="false">IF($A97="","",COUNTIFS('Trade Log'!$D$4:$D$503,$A97,'Trade Log'!$E$4:$E$503,"SHORT"))</f>
        <v/>
      </c>
      <c r="E97" s="41" t="str">
        <f aca="false">IF($A97="","",COUNTIFS('Trade Log'!$D$4:$D$503,$A97,'Trade Log'!$N$4:$N$503,"&lt;&gt;"))</f>
        <v/>
      </c>
      <c r="F97" s="40" t="str">
        <f aca="false">IF($A97="","",SUMIFS('Trade Log'!$K$4:$K$503,'Trade Log'!$D$4:$D$503,$A97))</f>
        <v/>
      </c>
      <c r="G97" s="40" t="str">
        <f aca="false">IF($A97="","",SUMIFS('Trade Log'!$Z$4:$Z$503,'Trade Log'!$D$4:$D$503,$A97,'Trade Log'!$E$4:$E$503,"LONG"))</f>
        <v/>
      </c>
      <c r="H97" s="40" t="str">
        <f aca="false">IF($A97="","",SUMIFS('Trade Log'!$Z$4:$Z$503,'Trade Log'!$D$4:$D$503,$A97,'Trade Log'!$E$4:$E$503,"SHORT"))</f>
        <v/>
      </c>
      <c r="I97" s="40" t="str">
        <f aca="false">IF($A97="","",SUMIFS('Trade Log'!$Q$4:$Q$503,'Trade Log'!$D$4:$D$503,$A97))</f>
        <v/>
      </c>
      <c r="J97" s="40" t="str">
        <f aca="false">IF($A97="","",SUMIFS('Trade Log'!$Y$4:$Y$503,'Trade Log'!$D$4:$D$503,$A97))</f>
        <v/>
      </c>
      <c r="K97" s="40" t="str">
        <f aca="false">IF($A97="","",SUMIFS('Trade Log'!$Z$4:$Z$503,'Trade Log'!$D$4:$D$503,$A97))</f>
        <v/>
      </c>
      <c r="L97" s="41" t="str">
        <f aca="false">IF($A97="","",COUNTIFS('Trade Log'!$D$4:$D$503,$A97,'Trade Log'!$Z$4:$Z$503,"&gt;0"))</f>
        <v/>
      </c>
      <c r="M97" s="55" t="str">
        <f aca="false">IF(OR($A97="",$E97=0),"",$L97/$E97)</f>
        <v/>
      </c>
      <c r="N97" s="40" t="str">
        <f aca="false">IF(OR($A97="",$E97=0),"",$K97/$E97)</f>
        <v/>
      </c>
      <c r="O97" s="40" t="str">
        <f aca="false">IF($A97="","",IFERROR(_xlfn.MAXIFS('Trade Log'!$Z$4:$Z$503,'Trade Log'!$D$4:$D$503,$A97),""))</f>
        <v/>
      </c>
      <c r="P97" s="40" t="str">
        <f aca="false">IF($A97="","",IFERROR(_xlfn.MINIFS('Trade Log'!$Z$4:$Z$503,'Trade Log'!$D$4:$D$503,$A97),""))</f>
        <v/>
      </c>
      <c r="Q97" s="55" t="str">
        <f aca="false">IF($A97="","",IFERROR(AVERAGEIFS('Trade Log'!$AA$4:$AA$503,'Trade Log'!$D$4:$D$503,$A97),""))</f>
        <v/>
      </c>
      <c r="R97" s="53" t="str">
        <f aca="false">IF($A97="","",IFERROR(AVERAGEIFS('Trade Log'!$P$4:$P$503,'Trade Log'!$D$4:$D$503,$A97),""))</f>
        <v/>
      </c>
      <c r="S97" s="44" t="str">
        <f aca="false">IF($A97="","",IFERROR(AVERAGEIFS('Trade Log'!$AC$4:$AC$503,'Trade Log'!$D$4:$D$503,$A97),""))</f>
        <v/>
      </c>
      <c r="T97" s="55" t="str">
        <f aca="false">IF(OR($A97="",Summary!$B$13=0),"",$K97/Summary!$B$13)</f>
        <v/>
      </c>
      <c r="U97" s="41" t="str">
        <f aca="false">IF($A97="","",IFERROR(RANK($K97,$K$4:$K$153),""))</f>
        <v/>
      </c>
    </row>
    <row r="98" customFormat="false" ht="15" hidden="false" customHeight="false" outlineLevel="0" collapsed="false">
      <c r="A98" s="49"/>
      <c r="B98" s="41" t="str">
        <f aca="false">IF($A98="","",COUNTIFS('Trade Log'!$D$4:$D$503,$A98))</f>
        <v/>
      </c>
      <c r="C98" s="41" t="str">
        <f aca="false">IF($A98="","",COUNTIFS('Trade Log'!$D$4:$D$503,$A98,'Trade Log'!$E$4:$E$503,"LONG"))</f>
        <v/>
      </c>
      <c r="D98" s="41" t="str">
        <f aca="false">IF($A98="","",COUNTIFS('Trade Log'!$D$4:$D$503,$A98,'Trade Log'!$E$4:$E$503,"SHORT"))</f>
        <v/>
      </c>
      <c r="E98" s="41" t="str">
        <f aca="false">IF($A98="","",COUNTIFS('Trade Log'!$D$4:$D$503,$A98,'Trade Log'!$N$4:$N$503,"&lt;&gt;"))</f>
        <v/>
      </c>
      <c r="F98" s="40" t="str">
        <f aca="false">IF($A98="","",SUMIFS('Trade Log'!$K$4:$K$503,'Trade Log'!$D$4:$D$503,$A98))</f>
        <v/>
      </c>
      <c r="G98" s="40" t="str">
        <f aca="false">IF($A98="","",SUMIFS('Trade Log'!$Z$4:$Z$503,'Trade Log'!$D$4:$D$503,$A98,'Trade Log'!$E$4:$E$503,"LONG"))</f>
        <v/>
      </c>
      <c r="H98" s="40" t="str">
        <f aca="false">IF($A98="","",SUMIFS('Trade Log'!$Z$4:$Z$503,'Trade Log'!$D$4:$D$503,$A98,'Trade Log'!$E$4:$E$503,"SHORT"))</f>
        <v/>
      </c>
      <c r="I98" s="40" t="str">
        <f aca="false">IF($A98="","",SUMIFS('Trade Log'!$Q$4:$Q$503,'Trade Log'!$D$4:$D$503,$A98))</f>
        <v/>
      </c>
      <c r="J98" s="40" t="str">
        <f aca="false">IF($A98="","",SUMIFS('Trade Log'!$Y$4:$Y$503,'Trade Log'!$D$4:$D$503,$A98))</f>
        <v/>
      </c>
      <c r="K98" s="40" t="str">
        <f aca="false">IF($A98="","",SUMIFS('Trade Log'!$Z$4:$Z$503,'Trade Log'!$D$4:$D$503,$A98))</f>
        <v/>
      </c>
      <c r="L98" s="41" t="str">
        <f aca="false">IF($A98="","",COUNTIFS('Trade Log'!$D$4:$D$503,$A98,'Trade Log'!$Z$4:$Z$503,"&gt;0"))</f>
        <v/>
      </c>
      <c r="M98" s="55" t="str">
        <f aca="false">IF(OR($A98="",$E98=0),"",$L98/$E98)</f>
        <v/>
      </c>
      <c r="N98" s="40" t="str">
        <f aca="false">IF(OR($A98="",$E98=0),"",$K98/$E98)</f>
        <v/>
      </c>
      <c r="O98" s="40" t="str">
        <f aca="false">IF($A98="","",IFERROR(_xlfn.MAXIFS('Trade Log'!$Z$4:$Z$503,'Trade Log'!$D$4:$D$503,$A98),""))</f>
        <v/>
      </c>
      <c r="P98" s="40" t="str">
        <f aca="false">IF($A98="","",IFERROR(_xlfn.MINIFS('Trade Log'!$Z$4:$Z$503,'Trade Log'!$D$4:$D$503,$A98),""))</f>
        <v/>
      </c>
      <c r="Q98" s="55" t="str">
        <f aca="false">IF($A98="","",IFERROR(AVERAGEIFS('Trade Log'!$AA$4:$AA$503,'Trade Log'!$D$4:$D$503,$A98),""))</f>
        <v/>
      </c>
      <c r="R98" s="53" t="str">
        <f aca="false">IF($A98="","",IFERROR(AVERAGEIFS('Trade Log'!$P$4:$P$503,'Trade Log'!$D$4:$D$503,$A98),""))</f>
        <v/>
      </c>
      <c r="S98" s="44" t="str">
        <f aca="false">IF($A98="","",IFERROR(AVERAGEIFS('Trade Log'!$AC$4:$AC$503,'Trade Log'!$D$4:$D$503,$A98),""))</f>
        <v/>
      </c>
      <c r="T98" s="55" t="str">
        <f aca="false">IF(OR($A98="",Summary!$B$13=0),"",$K98/Summary!$B$13)</f>
        <v/>
      </c>
      <c r="U98" s="41" t="str">
        <f aca="false">IF($A98="","",IFERROR(RANK($K98,$K$4:$K$153),""))</f>
        <v/>
      </c>
    </row>
    <row r="99" customFormat="false" ht="15" hidden="false" customHeight="false" outlineLevel="0" collapsed="false">
      <c r="A99" s="49"/>
      <c r="B99" s="41" t="str">
        <f aca="false">IF($A99="","",COUNTIFS('Trade Log'!$D$4:$D$503,$A99))</f>
        <v/>
      </c>
      <c r="C99" s="41" t="str">
        <f aca="false">IF($A99="","",COUNTIFS('Trade Log'!$D$4:$D$503,$A99,'Trade Log'!$E$4:$E$503,"LONG"))</f>
        <v/>
      </c>
      <c r="D99" s="41" t="str">
        <f aca="false">IF($A99="","",COUNTIFS('Trade Log'!$D$4:$D$503,$A99,'Trade Log'!$E$4:$E$503,"SHORT"))</f>
        <v/>
      </c>
      <c r="E99" s="41" t="str">
        <f aca="false">IF($A99="","",COUNTIFS('Trade Log'!$D$4:$D$503,$A99,'Trade Log'!$N$4:$N$503,"&lt;&gt;"))</f>
        <v/>
      </c>
      <c r="F99" s="40" t="str">
        <f aca="false">IF($A99="","",SUMIFS('Trade Log'!$K$4:$K$503,'Trade Log'!$D$4:$D$503,$A99))</f>
        <v/>
      </c>
      <c r="G99" s="40" t="str">
        <f aca="false">IF($A99="","",SUMIFS('Trade Log'!$Z$4:$Z$503,'Trade Log'!$D$4:$D$503,$A99,'Trade Log'!$E$4:$E$503,"LONG"))</f>
        <v/>
      </c>
      <c r="H99" s="40" t="str">
        <f aca="false">IF($A99="","",SUMIFS('Trade Log'!$Z$4:$Z$503,'Trade Log'!$D$4:$D$503,$A99,'Trade Log'!$E$4:$E$503,"SHORT"))</f>
        <v/>
      </c>
      <c r="I99" s="40" t="str">
        <f aca="false">IF($A99="","",SUMIFS('Trade Log'!$Q$4:$Q$503,'Trade Log'!$D$4:$D$503,$A99))</f>
        <v/>
      </c>
      <c r="J99" s="40" t="str">
        <f aca="false">IF($A99="","",SUMIFS('Trade Log'!$Y$4:$Y$503,'Trade Log'!$D$4:$D$503,$A99))</f>
        <v/>
      </c>
      <c r="K99" s="40" t="str">
        <f aca="false">IF($A99="","",SUMIFS('Trade Log'!$Z$4:$Z$503,'Trade Log'!$D$4:$D$503,$A99))</f>
        <v/>
      </c>
      <c r="L99" s="41" t="str">
        <f aca="false">IF($A99="","",COUNTIFS('Trade Log'!$D$4:$D$503,$A99,'Trade Log'!$Z$4:$Z$503,"&gt;0"))</f>
        <v/>
      </c>
      <c r="M99" s="55" t="str">
        <f aca="false">IF(OR($A99="",$E99=0),"",$L99/$E99)</f>
        <v/>
      </c>
      <c r="N99" s="40" t="str">
        <f aca="false">IF(OR($A99="",$E99=0),"",$K99/$E99)</f>
        <v/>
      </c>
      <c r="O99" s="40" t="str">
        <f aca="false">IF($A99="","",IFERROR(_xlfn.MAXIFS('Trade Log'!$Z$4:$Z$503,'Trade Log'!$D$4:$D$503,$A99),""))</f>
        <v/>
      </c>
      <c r="P99" s="40" t="str">
        <f aca="false">IF($A99="","",IFERROR(_xlfn.MINIFS('Trade Log'!$Z$4:$Z$503,'Trade Log'!$D$4:$D$503,$A99),""))</f>
        <v/>
      </c>
      <c r="Q99" s="55" t="str">
        <f aca="false">IF($A99="","",IFERROR(AVERAGEIFS('Trade Log'!$AA$4:$AA$503,'Trade Log'!$D$4:$D$503,$A99),""))</f>
        <v/>
      </c>
      <c r="R99" s="53" t="str">
        <f aca="false">IF($A99="","",IFERROR(AVERAGEIFS('Trade Log'!$P$4:$P$503,'Trade Log'!$D$4:$D$503,$A99),""))</f>
        <v/>
      </c>
      <c r="S99" s="44" t="str">
        <f aca="false">IF($A99="","",IFERROR(AVERAGEIFS('Trade Log'!$AC$4:$AC$503,'Trade Log'!$D$4:$D$503,$A99),""))</f>
        <v/>
      </c>
      <c r="T99" s="55" t="str">
        <f aca="false">IF(OR($A99="",Summary!$B$13=0),"",$K99/Summary!$B$13)</f>
        <v/>
      </c>
      <c r="U99" s="41" t="str">
        <f aca="false">IF($A99="","",IFERROR(RANK($K99,$K$4:$K$153),""))</f>
        <v/>
      </c>
    </row>
    <row r="100" customFormat="false" ht="15" hidden="false" customHeight="false" outlineLevel="0" collapsed="false">
      <c r="A100" s="49"/>
      <c r="B100" s="41" t="str">
        <f aca="false">IF($A100="","",COUNTIFS('Trade Log'!$D$4:$D$503,$A100))</f>
        <v/>
      </c>
      <c r="C100" s="41" t="str">
        <f aca="false">IF($A100="","",COUNTIFS('Trade Log'!$D$4:$D$503,$A100,'Trade Log'!$E$4:$E$503,"LONG"))</f>
        <v/>
      </c>
      <c r="D100" s="41" t="str">
        <f aca="false">IF($A100="","",COUNTIFS('Trade Log'!$D$4:$D$503,$A100,'Trade Log'!$E$4:$E$503,"SHORT"))</f>
        <v/>
      </c>
      <c r="E100" s="41" t="str">
        <f aca="false">IF($A100="","",COUNTIFS('Trade Log'!$D$4:$D$503,$A100,'Trade Log'!$N$4:$N$503,"&lt;&gt;"))</f>
        <v/>
      </c>
      <c r="F100" s="40" t="str">
        <f aca="false">IF($A100="","",SUMIFS('Trade Log'!$K$4:$K$503,'Trade Log'!$D$4:$D$503,$A100))</f>
        <v/>
      </c>
      <c r="G100" s="40" t="str">
        <f aca="false">IF($A100="","",SUMIFS('Trade Log'!$Z$4:$Z$503,'Trade Log'!$D$4:$D$503,$A100,'Trade Log'!$E$4:$E$503,"LONG"))</f>
        <v/>
      </c>
      <c r="H100" s="40" t="str">
        <f aca="false">IF($A100="","",SUMIFS('Trade Log'!$Z$4:$Z$503,'Trade Log'!$D$4:$D$503,$A100,'Trade Log'!$E$4:$E$503,"SHORT"))</f>
        <v/>
      </c>
      <c r="I100" s="40" t="str">
        <f aca="false">IF($A100="","",SUMIFS('Trade Log'!$Q$4:$Q$503,'Trade Log'!$D$4:$D$503,$A100))</f>
        <v/>
      </c>
      <c r="J100" s="40" t="str">
        <f aca="false">IF($A100="","",SUMIFS('Trade Log'!$Y$4:$Y$503,'Trade Log'!$D$4:$D$503,$A100))</f>
        <v/>
      </c>
      <c r="K100" s="40" t="str">
        <f aca="false">IF($A100="","",SUMIFS('Trade Log'!$Z$4:$Z$503,'Trade Log'!$D$4:$D$503,$A100))</f>
        <v/>
      </c>
      <c r="L100" s="41" t="str">
        <f aca="false">IF($A100="","",COUNTIFS('Trade Log'!$D$4:$D$503,$A100,'Trade Log'!$Z$4:$Z$503,"&gt;0"))</f>
        <v/>
      </c>
      <c r="M100" s="55" t="str">
        <f aca="false">IF(OR($A100="",$E100=0),"",$L100/$E100)</f>
        <v/>
      </c>
      <c r="N100" s="40" t="str">
        <f aca="false">IF(OR($A100="",$E100=0),"",$K100/$E100)</f>
        <v/>
      </c>
      <c r="O100" s="40" t="str">
        <f aca="false">IF($A100="","",IFERROR(_xlfn.MAXIFS('Trade Log'!$Z$4:$Z$503,'Trade Log'!$D$4:$D$503,$A100),""))</f>
        <v/>
      </c>
      <c r="P100" s="40" t="str">
        <f aca="false">IF($A100="","",IFERROR(_xlfn.MINIFS('Trade Log'!$Z$4:$Z$503,'Trade Log'!$D$4:$D$503,$A100),""))</f>
        <v/>
      </c>
      <c r="Q100" s="55" t="str">
        <f aca="false">IF($A100="","",IFERROR(AVERAGEIFS('Trade Log'!$AA$4:$AA$503,'Trade Log'!$D$4:$D$503,$A100),""))</f>
        <v/>
      </c>
      <c r="R100" s="53" t="str">
        <f aca="false">IF($A100="","",IFERROR(AVERAGEIFS('Trade Log'!$P$4:$P$503,'Trade Log'!$D$4:$D$503,$A100),""))</f>
        <v/>
      </c>
      <c r="S100" s="44" t="str">
        <f aca="false">IF($A100="","",IFERROR(AVERAGEIFS('Trade Log'!$AC$4:$AC$503,'Trade Log'!$D$4:$D$503,$A100),""))</f>
        <v/>
      </c>
      <c r="T100" s="55" t="str">
        <f aca="false">IF(OR($A100="",Summary!$B$13=0),"",$K100/Summary!$B$13)</f>
        <v/>
      </c>
      <c r="U100" s="41" t="str">
        <f aca="false">IF($A100="","",IFERROR(RANK($K100,$K$4:$K$153),""))</f>
        <v/>
      </c>
    </row>
    <row r="101" customFormat="false" ht="15" hidden="false" customHeight="false" outlineLevel="0" collapsed="false">
      <c r="A101" s="49"/>
      <c r="B101" s="41" t="str">
        <f aca="false">IF($A101="","",COUNTIFS('Trade Log'!$D$4:$D$503,$A101))</f>
        <v/>
      </c>
      <c r="C101" s="41" t="str">
        <f aca="false">IF($A101="","",COUNTIFS('Trade Log'!$D$4:$D$503,$A101,'Trade Log'!$E$4:$E$503,"LONG"))</f>
        <v/>
      </c>
      <c r="D101" s="41" t="str">
        <f aca="false">IF($A101="","",COUNTIFS('Trade Log'!$D$4:$D$503,$A101,'Trade Log'!$E$4:$E$503,"SHORT"))</f>
        <v/>
      </c>
      <c r="E101" s="41" t="str">
        <f aca="false">IF($A101="","",COUNTIFS('Trade Log'!$D$4:$D$503,$A101,'Trade Log'!$N$4:$N$503,"&lt;&gt;"))</f>
        <v/>
      </c>
      <c r="F101" s="40" t="str">
        <f aca="false">IF($A101="","",SUMIFS('Trade Log'!$K$4:$K$503,'Trade Log'!$D$4:$D$503,$A101))</f>
        <v/>
      </c>
      <c r="G101" s="40" t="str">
        <f aca="false">IF($A101="","",SUMIFS('Trade Log'!$Z$4:$Z$503,'Trade Log'!$D$4:$D$503,$A101,'Trade Log'!$E$4:$E$503,"LONG"))</f>
        <v/>
      </c>
      <c r="H101" s="40" t="str">
        <f aca="false">IF($A101="","",SUMIFS('Trade Log'!$Z$4:$Z$503,'Trade Log'!$D$4:$D$503,$A101,'Trade Log'!$E$4:$E$503,"SHORT"))</f>
        <v/>
      </c>
      <c r="I101" s="40" t="str">
        <f aca="false">IF($A101="","",SUMIFS('Trade Log'!$Q$4:$Q$503,'Trade Log'!$D$4:$D$503,$A101))</f>
        <v/>
      </c>
      <c r="J101" s="40" t="str">
        <f aca="false">IF($A101="","",SUMIFS('Trade Log'!$Y$4:$Y$503,'Trade Log'!$D$4:$D$503,$A101))</f>
        <v/>
      </c>
      <c r="K101" s="40" t="str">
        <f aca="false">IF($A101="","",SUMIFS('Trade Log'!$Z$4:$Z$503,'Trade Log'!$D$4:$D$503,$A101))</f>
        <v/>
      </c>
      <c r="L101" s="41" t="str">
        <f aca="false">IF($A101="","",COUNTIFS('Trade Log'!$D$4:$D$503,$A101,'Trade Log'!$Z$4:$Z$503,"&gt;0"))</f>
        <v/>
      </c>
      <c r="M101" s="55" t="str">
        <f aca="false">IF(OR($A101="",$E101=0),"",$L101/$E101)</f>
        <v/>
      </c>
      <c r="N101" s="40" t="str">
        <f aca="false">IF(OR($A101="",$E101=0),"",$K101/$E101)</f>
        <v/>
      </c>
      <c r="O101" s="40" t="str">
        <f aca="false">IF($A101="","",IFERROR(_xlfn.MAXIFS('Trade Log'!$Z$4:$Z$503,'Trade Log'!$D$4:$D$503,$A101),""))</f>
        <v/>
      </c>
      <c r="P101" s="40" t="str">
        <f aca="false">IF($A101="","",IFERROR(_xlfn.MINIFS('Trade Log'!$Z$4:$Z$503,'Trade Log'!$D$4:$D$503,$A101),""))</f>
        <v/>
      </c>
      <c r="Q101" s="55" t="str">
        <f aca="false">IF($A101="","",IFERROR(AVERAGEIFS('Trade Log'!$AA$4:$AA$503,'Trade Log'!$D$4:$D$503,$A101),""))</f>
        <v/>
      </c>
      <c r="R101" s="53" t="str">
        <f aca="false">IF($A101="","",IFERROR(AVERAGEIFS('Trade Log'!$P$4:$P$503,'Trade Log'!$D$4:$D$503,$A101),""))</f>
        <v/>
      </c>
      <c r="S101" s="44" t="str">
        <f aca="false">IF($A101="","",IFERROR(AVERAGEIFS('Trade Log'!$AC$4:$AC$503,'Trade Log'!$D$4:$D$503,$A101),""))</f>
        <v/>
      </c>
      <c r="T101" s="55" t="str">
        <f aca="false">IF(OR($A101="",Summary!$B$13=0),"",$K101/Summary!$B$13)</f>
        <v/>
      </c>
      <c r="U101" s="41" t="str">
        <f aca="false">IF($A101="","",IFERROR(RANK($K101,$K$4:$K$153),""))</f>
        <v/>
      </c>
    </row>
    <row r="102" customFormat="false" ht="15" hidden="false" customHeight="false" outlineLevel="0" collapsed="false">
      <c r="A102" s="49"/>
      <c r="B102" s="41" t="str">
        <f aca="false">IF($A102="","",COUNTIFS('Trade Log'!$D$4:$D$503,$A102))</f>
        <v/>
      </c>
      <c r="C102" s="41" t="str">
        <f aca="false">IF($A102="","",COUNTIFS('Trade Log'!$D$4:$D$503,$A102,'Trade Log'!$E$4:$E$503,"LONG"))</f>
        <v/>
      </c>
      <c r="D102" s="41" t="str">
        <f aca="false">IF($A102="","",COUNTIFS('Trade Log'!$D$4:$D$503,$A102,'Trade Log'!$E$4:$E$503,"SHORT"))</f>
        <v/>
      </c>
      <c r="E102" s="41" t="str">
        <f aca="false">IF($A102="","",COUNTIFS('Trade Log'!$D$4:$D$503,$A102,'Trade Log'!$N$4:$N$503,"&lt;&gt;"))</f>
        <v/>
      </c>
      <c r="F102" s="40" t="str">
        <f aca="false">IF($A102="","",SUMIFS('Trade Log'!$K$4:$K$503,'Trade Log'!$D$4:$D$503,$A102))</f>
        <v/>
      </c>
      <c r="G102" s="40" t="str">
        <f aca="false">IF($A102="","",SUMIFS('Trade Log'!$Z$4:$Z$503,'Trade Log'!$D$4:$D$503,$A102,'Trade Log'!$E$4:$E$503,"LONG"))</f>
        <v/>
      </c>
      <c r="H102" s="40" t="str">
        <f aca="false">IF($A102="","",SUMIFS('Trade Log'!$Z$4:$Z$503,'Trade Log'!$D$4:$D$503,$A102,'Trade Log'!$E$4:$E$503,"SHORT"))</f>
        <v/>
      </c>
      <c r="I102" s="40" t="str">
        <f aca="false">IF($A102="","",SUMIFS('Trade Log'!$Q$4:$Q$503,'Trade Log'!$D$4:$D$503,$A102))</f>
        <v/>
      </c>
      <c r="J102" s="40" t="str">
        <f aca="false">IF($A102="","",SUMIFS('Trade Log'!$Y$4:$Y$503,'Trade Log'!$D$4:$D$503,$A102))</f>
        <v/>
      </c>
      <c r="K102" s="40" t="str">
        <f aca="false">IF($A102="","",SUMIFS('Trade Log'!$Z$4:$Z$503,'Trade Log'!$D$4:$D$503,$A102))</f>
        <v/>
      </c>
      <c r="L102" s="41" t="str">
        <f aca="false">IF($A102="","",COUNTIFS('Trade Log'!$D$4:$D$503,$A102,'Trade Log'!$Z$4:$Z$503,"&gt;0"))</f>
        <v/>
      </c>
      <c r="M102" s="55" t="str">
        <f aca="false">IF(OR($A102="",$E102=0),"",$L102/$E102)</f>
        <v/>
      </c>
      <c r="N102" s="40" t="str">
        <f aca="false">IF(OR($A102="",$E102=0),"",$K102/$E102)</f>
        <v/>
      </c>
      <c r="O102" s="40" t="str">
        <f aca="false">IF($A102="","",IFERROR(_xlfn.MAXIFS('Trade Log'!$Z$4:$Z$503,'Trade Log'!$D$4:$D$503,$A102),""))</f>
        <v/>
      </c>
      <c r="P102" s="40" t="str">
        <f aca="false">IF($A102="","",IFERROR(_xlfn.MINIFS('Trade Log'!$Z$4:$Z$503,'Trade Log'!$D$4:$D$503,$A102),""))</f>
        <v/>
      </c>
      <c r="Q102" s="55" t="str">
        <f aca="false">IF($A102="","",IFERROR(AVERAGEIFS('Trade Log'!$AA$4:$AA$503,'Trade Log'!$D$4:$D$503,$A102),""))</f>
        <v/>
      </c>
      <c r="R102" s="53" t="str">
        <f aca="false">IF($A102="","",IFERROR(AVERAGEIFS('Trade Log'!$P$4:$P$503,'Trade Log'!$D$4:$D$503,$A102),""))</f>
        <v/>
      </c>
      <c r="S102" s="44" t="str">
        <f aca="false">IF($A102="","",IFERROR(AVERAGEIFS('Trade Log'!$AC$4:$AC$503,'Trade Log'!$D$4:$D$503,$A102),""))</f>
        <v/>
      </c>
      <c r="T102" s="55" t="str">
        <f aca="false">IF(OR($A102="",Summary!$B$13=0),"",$K102/Summary!$B$13)</f>
        <v/>
      </c>
      <c r="U102" s="41" t="str">
        <f aca="false">IF($A102="","",IFERROR(RANK($K102,$K$4:$K$153),""))</f>
        <v/>
      </c>
    </row>
    <row r="103" customFormat="false" ht="15" hidden="false" customHeight="false" outlineLevel="0" collapsed="false">
      <c r="A103" s="49"/>
      <c r="B103" s="41" t="str">
        <f aca="false">IF($A103="","",COUNTIFS('Trade Log'!$D$4:$D$503,$A103))</f>
        <v/>
      </c>
      <c r="C103" s="41" t="str">
        <f aca="false">IF($A103="","",COUNTIFS('Trade Log'!$D$4:$D$503,$A103,'Trade Log'!$E$4:$E$503,"LONG"))</f>
        <v/>
      </c>
      <c r="D103" s="41" t="str">
        <f aca="false">IF($A103="","",COUNTIFS('Trade Log'!$D$4:$D$503,$A103,'Trade Log'!$E$4:$E$503,"SHORT"))</f>
        <v/>
      </c>
      <c r="E103" s="41" t="str">
        <f aca="false">IF($A103="","",COUNTIFS('Trade Log'!$D$4:$D$503,$A103,'Trade Log'!$N$4:$N$503,"&lt;&gt;"))</f>
        <v/>
      </c>
      <c r="F103" s="40" t="str">
        <f aca="false">IF($A103="","",SUMIFS('Trade Log'!$K$4:$K$503,'Trade Log'!$D$4:$D$503,$A103))</f>
        <v/>
      </c>
      <c r="G103" s="40" t="str">
        <f aca="false">IF($A103="","",SUMIFS('Trade Log'!$Z$4:$Z$503,'Trade Log'!$D$4:$D$503,$A103,'Trade Log'!$E$4:$E$503,"LONG"))</f>
        <v/>
      </c>
      <c r="H103" s="40" t="str">
        <f aca="false">IF($A103="","",SUMIFS('Trade Log'!$Z$4:$Z$503,'Trade Log'!$D$4:$D$503,$A103,'Trade Log'!$E$4:$E$503,"SHORT"))</f>
        <v/>
      </c>
      <c r="I103" s="40" t="str">
        <f aca="false">IF($A103="","",SUMIFS('Trade Log'!$Q$4:$Q$503,'Trade Log'!$D$4:$D$503,$A103))</f>
        <v/>
      </c>
      <c r="J103" s="40" t="str">
        <f aca="false">IF($A103="","",SUMIFS('Trade Log'!$Y$4:$Y$503,'Trade Log'!$D$4:$D$503,$A103))</f>
        <v/>
      </c>
      <c r="K103" s="40" t="str">
        <f aca="false">IF($A103="","",SUMIFS('Trade Log'!$Z$4:$Z$503,'Trade Log'!$D$4:$D$503,$A103))</f>
        <v/>
      </c>
      <c r="L103" s="41" t="str">
        <f aca="false">IF($A103="","",COUNTIFS('Trade Log'!$D$4:$D$503,$A103,'Trade Log'!$Z$4:$Z$503,"&gt;0"))</f>
        <v/>
      </c>
      <c r="M103" s="55" t="str">
        <f aca="false">IF(OR($A103="",$E103=0),"",$L103/$E103)</f>
        <v/>
      </c>
      <c r="N103" s="40" t="str">
        <f aca="false">IF(OR($A103="",$E103=0),"",$K103/$E103)</f>
        <v/>
      </c>
      <c r="O103" s="40" t="str">
        <f aca="false">IF($A103="","",IFERROR(_xlfn.MAXIFS('Trade Log'!$Z$4:$Z$503,'Trade Log'!$D$4:$D$503,$A103),""))</f>
        <v/>
      </c>
      <c r="P103" s="40" t="str">
        <f aca="false">IF($A103="","",IFERROR(_xlfn.MINIFS('Trade Log'!$Z$4:$Z$503,'Trade Log'!$D$4:$D$503,$A103),""))</f>
        <v/>
      </c>
      <c r="Q103" s="55" t="str">
        <f aca="false">IF($A103="","",IFERROR(AVERAGEIFS('Trade Log'!$AA$4:$AA$503,'Trade Log'!$D$4:$D$503,$A103),""))</f>
        <v/>
      </c>
      <c r="R103" s="53" t="str">
        <f aca="false">IF($A103="","",IFERROR(AVERAGEIFS('Trade Log'!$P$4:$P$503,'Trade Log'!$D$4:$D$503,$A103),""))</f>
        <v/>
      </c>
      <c r="S103" s="44" t="str">
        <f aca="false">IF($A103="","",IFERROR(AVERAGEIFS('Trade Log'!$AC$4:$AC$503,'Trade Log'!$D$4:$D$503,$A103),""))</f>
        <v/>
      </c>
      <c r="T103" s="55" t="str">
        <f aca="false">IF(OR($A103="",Summary!$B$13=0),"",$K103/Summary!$B$13)</f>
        <v/>
      </c>
      <c r="U103" s="41" t="str">
        <f aca="false">IF($A103="","",IFERROR(RANK($K103,$K$4:$K$153),""))</f>
        <v/>
      </c>
    </row>
    <row r="104" customFormat="false" ht="15" hidden="false" customHeight="false" outlineLevel="0" collapsed="false">
      <c r="A104" s="49"/>
      <c r="B104" s="41" t="str">
        <f aca="false">IF($A104="","",COUNTIFS('Trade Log'!$D$4:$D$503,$A104))</f>
        <v/>
      </c>
      <c r="C104" s="41" t="str">
        <f aca="false">IF($A104="","",COUNTIFS('Trade Log'!$D$4:$D$503,$A104,'Trade Log'!$E$4:$E$503,"LONG"))</f>
        <v/>
      </c>
      <c r="D104" s="41" t="str">
        <f aca="false">IF($A104="","",COUNTIFS('Trade Log'!$D$4:$D$503,$A104,'Trade Log'!$E$4:$E$503,"SHORT"))</f>
        <v/>
      </c>
      <c r="E104" s="41" t="str">
        <f aca="false">IF($A104="","",COUNTIFS('Trade Log'!$D$4:$D$503,$A104,'Trade Log'!$N$4:$N$503,"&lt;&gt;"))</f>
        <v/>
      </c>
      <c r="F104" s="40" t="str">
        <f aca="false">IF($A104="","",SUMIFS('Trade Log'!$K$4:$K$503,'Trade Log'!$D$4:$D$503,$A104))</f>
        <v/>
      </c>
      <c r="G104" s="40" t="str">
        <f aca="false">IF($A104="","",SUMIFS('Trade Log'!$Z$4:$Z$503,'Trade Log'!$D$4:$D$503,$A104,'Trade Log'!$E$4:$E$503,"LONG"))</f>
        <v/>
      </c>
      <c r="H104" s="40" t="str">
        <f aca="false">IF($A104="","",SUMIFS('Trade Log'!$Z$4:$Z$503,'Trade Log'!$D$4:$D$503,$A104,'Trade Log'!$E$4:$E$503,"SHORT"))</f>
        <v/>
      </c>
      <c r="I104" s="40" t="str">
        <f aca="false">IF($A104="","",SUMIFS('Trade Log'!$Q$4:$Q$503,'Trade Log'!$D$4:$D$503,$A104))</f>
        <v/>
      </c>
      <c r="J104" s="40" t="str">
        <f aca="false">IF($A104="","",SUMIFS('Trade Log'!$Y$4:$Y$503,'Trade Log'!$D$4:$D$503,$A104))</f>
        <v/>
      </c>
      <c r="K104" s="40" t="str">
        <f aca="false">IF($A104="","",SUMIFS('Trade Log'!$Z$4:$Z$503,'Trade Log'!$D$4:$D$503,$A104))</f>
        <v/>
      </c>
      <c r="L104" s="41" t="str">
        <f aca="false">IF($A104="","",COUNTIFS('Trade Log'!$D$4:$D$503,$A104,'Trade Log'!$Z$4:$Z$503,"&gt;0"))</f>
        <v/>
      </c>
      <c r="M104" s="55" t="str">
        <f aca="false">IF(OR($A104="",$E104=0),"",$L104/$E104)</f>
        <v/>
      </c>
      <c r="N104" s="40" t="str">
        <f aca="false">IF(OR($A104="",$E104=0),"",$K104/$E104)</f>
        <v/>
      </c>
      <c r="O104" s="40" t="str">
        <f aca="false">IF($A104="","",IFERROR(_xlfn.MAXIFS('Trade Log'!$Z$4:$Z$503,'Trade Log'!$D$4:$D$503,$A104),""))</f>
        <v/>
      </c>
      <c r="P104" s="40" t="str">
        <f aca="false">IF($A104="","",IFERROR(_xlfn.MINIFS('Trade Log'!$Z$4:$Z$503,'Trade Log'!$D$4:$D$503,$A104),""))</f>
        <v/>
      </c>
      <c r="Q104" s="55" t="str">
        <f aca="false">IF($A104="","",IFERROR(AVERAGEIFS('Trade Log'!$AA$4:$AA$503,'Trade Log'!$D$4:$D$503,$A104),""))</f>
        <v/>
      </c>
      <c r="R104" s="53" t="str">
        <f aca="false">IF($A104="","",IFERROR(AVERAGEIFS('Trade Log'!$P$4:$P$503,'Trade Log'!$D$4:$D$503,$A104),""))</f>
        <v/>
      </c>
      <c r="S104" s="44" t="str">
        <f aca="false">IF($A104="","",IFERROR(AVERAGEIFS('Trade Log'!$AC$4:$AC$503,'Trade Log'!$D$4:$D$503,$A104),""))</f>
        <v/>
      </c>
      <c r="T104" s="55" t="str">
        <f aca="false">IF(OR($A104="",Summary!$B$13=0),"",$K104/Summary!$B$13)</f>
        <v/>
      </c>
      <c r="U104" s="41" t="str">
        <f aca="false">IF($A104="","",IFERROR(RANK($K104,$K$4:$K$153),""))</f>
        <v/>
      </c>
    </row>
    <row r="105" customFormat="false" ht="15" hidden="false" customHeight="false" outlineLevel="0" collapsed="false">
      <c r="A105" s="49"/>
      <c r="B105" s="41" t="str">
        <f aca="false">IF($A105="","",COUNTIFS('Trade Log'!$D$4:$D$503,$A105))</f>
        <v/>
      </c>
      <c r="C105" s="41" t="str">
        <f aca="false">IF($A105="","",COUNTIFS('Trade Log'!$D$4:$D$503,$A105,'Trade Log'!$E$4:$E$503,"LONG"))</f>
        <v/>
      </c>
      <c r="D105" s="41" t="str">
        <f aca="false">IF($A105="","",COUNTIFS('Trade Log'!$D$4:$D$503,$A105,'Trade Log'!$E$4:$E$503,"SHORT"))</f>
        <v/>
      </c>
      <c r="E105" s="41" t="str">
        <f aca="false">IF($A105="","",COUNTIFS('Trade Log'!$D$4:$D$503,$A105,'Trade Log'!$N$4:$N$503,"&lt;&gt;"))</f>
        <v/>
      </c>
      <c r="F105" s="40" t="str">
        <f aca="false">IF($A105="","",SUMIFS('Trade Log'!$K$4:$K$503,'Trade Log'!$D$4:$D$503,$A105))</f>
        <v/>
      </c>
      <c r="G105" s="40" t="str">
        <f aca="false">IF($A105="","",SUMIFS('Trade Log'!$Z$4:$Z$503,'Trade Log'!$D$4:$D$503,$A105,'Trade Log'!$E$4:$E$503,"LONG"))</f>
        <v/>
      </c>
      <c r="H105" s="40" t="str">
        <f aca="false">IF($A105="","",SUMIFS('Trade Log'!$Z$4:$Z$503,'Trade Log'!$D$4:$D$503,$A105,'Trade Log'!$E$4:$E$503,"SHORT"))</f>
        <v/>
      </c>
      <c r="I105" s="40" t="str">
        <f aca="false">IF($A105="","",SUMIFS('Trade Log'!$Q$4:$Q$503,'Trade Log'!$D$4:$D$503,$A105))</f>
        <v/>
      </c>
      <c r="J105" s="40" t="str">
        <f aca="false">IF($A105="","",SUMIFS('Trade Log'!$Y$4:$Y$503,'Trade Log'!$D$4:$D$503,$A105))</f>
        <v/>
      </c>
      <c r="K105" s="40" t="str">
        <f aca="false">IF($A105="","",SUMIFS('Trade Log'!$Z$4:$Z$503,'Trade Log'!$D$4:$D$503,$A105))</f>
        <v/>
      </c>
      <c r="L105" s="41" t="str">
        <f aca="false">IF($A105="","",COUNTIFS('Trade Log'!$D$4:$D$503,$A105,'Trade Log'!$Z$4:$Z$503,"&gt;0"))</f>
        <v/>
      </c>
      <c r="M105" s="55" t="str">
        <f aca="false">IF(OR($A105="",$E105=0),"",$L105/$E105)</f>
        <v/>
      </c>
      <c r="N105" s="40" t="str">
        <f aca="false">IF(OR($A105="",$E105=0),"",$K105/$E105)</f>
        <v/>
      </c>
      <c r="O105" s="40" t="str">
        <f aca="false">IF($A105="","",IFERROR(_xlfn.MAXIFS('Trade Log'!$Z$4:$Z$503,'Trade Log'!$D$4:$D$503,$A105),""))</f>
        <v/>
      </c>
      <c r="P105" s="40" t="str">
        <f aca="false">IF($A105="","",IFERROR(_xlfn.MINIFS('Trade Log'!$Z$4:$Z$503,'Trade Log'!$D$4:$D$503,$A105),""))</f>
        <v/>
      </c>
      <c r="Q105" s="55" t="str">
        <f aca="false">IF($A105="","",IFERROR(AVERAGEIFS('Trade Log'!$AA$4:$AA$503,'Trade Log'!$D$4:$D$503,$A105),""))</f>
        <v/>
      </c>
      <c r="R105" s="53" t="str">
        <f aca="false">IF($A105="","",IFERROR(AVERAGEIFS('Trade Log'!$P$4:$P$503,'Trade Log'!$D$4:$D$503,$A105),""))</f>
        <v/>
      </c>
      <c r="S105" s="44" t="str">
        <f aca="false">IF($A105="","",IFERROR(AVERAGEIFS('Trade Log'!$AC$4:$AC$503,'Trade Log'!$D$4:$D$503,$A105),""))</f>
        <v/>
      </c>
      <c r="T105" s="55" t="str">
        <f aca="false">IF(OR($A105="",Summary!$B$13=0),"",$K105/Summary!$B$13)</f>
        <v/>
      </c>
      <c r="U105" s="41" t="str">
        <f aca="false">IF($A105="","",IFERROR(RANK($K105,$K$4:$K$153),""))</f>
        <v/>
      </c>
    </row>
    <row r="106" customFormat="false" ht="15" hidden="false" customHeight="false" outlineLevel="0" collapsed="false">
      <c r="A106" s="49"/>
      <c r="B106" s="41" t="str">
        <f aca="false">IF($A106="","",COUNTIFS('Trade Log'!$D$4:$D$503,$A106))</f>
        <v/>
      </c>
      <c r="C106" s="41" t="str">
        <f aca="false">IF($A106="","",COUNTIFS('Trade Log'!$D$4:$D$503,$A106,'Trade Log'!$E$4:$E$503,"LONG"))</f>
        <v/>
      </c>
      <c r="D106" s="41" t="str">
        <f aca="false">IF($A106="","",COUNTIFS('Trade Log'!$D$4:$D$503,$A106,'Trade Log'!$E$4:$E$503,"SHORT"))</f>
        <v/>
      </c>
      <c r="E106" s="41" t="str">
        <f aca="false">IF($A106="","",COUNTIFS('Trade Log'!$D$4:$D$503,$A106,'Trade Log'!$N$4:$N$503,"&lt;&gt;"))</f>
        <v/>
      </c>
      <c r="F106" s="40" t="str">
        <f aca="false">IF($A106="","",SUMIFS('Trade Log'!$K$4:$K$503,'Trade Log'!$D$4:$D$503,$A106))</f>
        <v/>
      </c>
      <c r="G106" s="40" t="str">
        <f aca="false">IF($A106="","",SUMIFS('Trade Log'!$Z$4:$Z$503,'Trade Log'!$D$4:$D$503,$A106,'Trade Log'!$E$4:$E$503,"LONG"))</f>
        <v/>
      </c>
      <c r="H106" s="40" t="str">
        <f aca="false">IF($A106="","",SUMIFS('Trade Log'!$Z$4:$Z$503,'Trade Log'!$D$4:$D$503,$A106,'Trade Log'!$E$4:$E$503,"SHORT"))</f>
        <v/>
      </c>
      <c r="I106" s="40" t="str">
        <f aca="false">IF($A106="","",SUMIFS('Trade Log'!$Q$4:$Q$503,'Trade Log'!$D$4:$D$503,$A106))</f>
        <v/>
      </c>
      <c r="J106" s="40" t="str">
        <f aca="false">IF($A106="","",SUMIFS('Trade Log'!$Y$4:$Y$503,'Trade Log'!$D$4:$D$503,$A106))</f>
        <v/>
      </c>
      <c r="K106" s="40" t="str">
        <f aca="false">IF($A106="","",SUMIFS('Trade Log'!$Z$4:$Z$503,'Trade Log'!$D$4:$D$503,$A106))</f>
        <v/>
      </c>
      <c r="L106" s="41" t="str">
        <f aca="false">IF($A106="","",COUNTIFS('Trade Log'!$D$4:$D$503,$A106,'Trade Log'!$Z$4:$Z$503,"&gt;0"))</f>
        <v/>
      </c>
      <c r="M106" s="55" t="str">
        <f aca="false">IF(OR($A106="",$E106=0),"",$L106/$E106)</f>
        <v/>
      </c>
      <c r="N106" s="40" t="str">
        <f aca="false">IF(OR($A106="",$E106=0),"",$K106/$E106)</f>
        <v/>
      </c>
      <c r="O106" s="40" t="str">
        <f aca="false">IF($A106="","",IFERROR(_xlfn.MAXIFS('Trade Log'!$Z$4:$Z$503,'Trade Log'!$D$4:$D$503,$A106),""))</f>
        <v/>
      </c>
      <c r="P106" s="40" t="str">
        <f aca="false">IF($A106="","",IFERROR(_xlfn.MINIFS('Trade Log'!$Z$4:$Z$503,'Trade Log'!$D$4:$D$503,$A106),""))</f>
        <v/>
      </c>
      <c r="Q106" s="55" t="str">
        <f aca="false">IF($A106="","",IFERROR(AVERAGEIFS('Trade Log'!$AA$4:$AA$503,'Trade Log'!$D$4:$D$503,$A106),""))</f>
        <v/>
      </c>
      <c r="R106" s="53" t="str">
        <f aca="false">IF($A106="","",IFERROR(AVERAGEIFS('Trade Log'!$P$4:$P$503,'Trade Log'!$D$4:$D$503,$A106),""))</f>
        <v/>
      </c>
      <c r="S106" s="44" t="str">
        <f aca="false">IF($A106="","",IFERROR(AVERAGEIFS('Trade Log'!$AC$4:$AC$503,'Trade Log'!$D$4:$D$503,$A106),""))</f>
        <v/>
      </c>
      <c r="T106" s="55" t="str">
        <f aca="false">IF(OR($A106="",Summary!$B$13=0),"",$K106/Summary!$B$13)</f>
        <v/>
      </c>
      <c r="U106" s="41" t="str">
        <f aca="false">IF($A106="","",IFERROR(RANK($K106,$K$4:$K$153),""))</f>
        <v/>
      </c>
    </row>
    <row r="107" customFormat="false" ht="15" hidden="false" customHeight="false" outlineLevel="0" collapsed="false">
      <c r="A107" s="49"/>
      <c r="B107" s="41" t="str">
        <f aca="false">IF($A107="","",COUNTIFS('Trade Log'!$D$4:$D$503,$A107))</f>
        <v/>
      </c>
      <c r="C107" s="41" t="str">
        <f aca="false">IF($A107="","",COUNTIFS('Trade Log'!$D$4:$D$503,$A107,'Trade Log'!$E$4:$E$503,"LONG"))</f>
        <v/>
      </c>
      <c r="D107" s="41" t="str">
        <f aca="false">IF($A107="","",COUNTIFS('Trade Log'!$D$4:$D$503,$A107,'Trade Log'!$E$4:$E$503,"SHORT"))</f>
        <v/>
      </c>
      <c r="E107" s="41" t="str">
        <f aca="false">IF($A107="","",COUNTIFS('Trade Log'!$D$4:$D$503,$A107,'Trade Log'!$N$4:$N$503,"&lt;&gt;"))</f>
        <v/>
      </c>
      <c r="F107" s="40" t="str">
        <f aca="false">IF($A107="","",SUMIFS('Trade Log'!$K$4:$K$503,'Trade Log'!$D$4:$D$503,$A107))</f>
        <v/>
      </c>
      <c r="G107" s="40" t="str">
        <f aca="false">IF($A107="","",SUMIFS('Trade Log'!$Z$4:$Z$503,'Trade Log'!$D$4:$D$503,$A107,'Trade Log'!$E$4:$E$503,"LONG"))</f>
        <v/>
      </c>
      <c r="H107" s="40" t="str">
        <f aca="false">IF($A107="","",SUMIFS('Trade Log'!$Z$4:$Z$503,'Trade Log'!$D$4:$D$503,$A107,'Trade Log'!$E$4:$E$503,"SHORT"))</f>
        <v/>
      </c>
      <c r="I107" s="40" t="str">
        <f aca="false">IF($A107="","",SUMIFS('Trade Log'!$Q$4:$Q$503,'Trade Log'!$D$4:$D$503,$A107))</f>
        <v/>
      </c>
      <c r="J107" s="40" t="str">
        <f aca="false">IF($A107="","",SUMIFS('Trade Log'!$Y$4:$Y$503,'Trade Log'!$D$4:$D$503,$A107))</f>
        <v/>
      </c>
      <c r="K107" s="40" t="str">
        <f aca="false">IF($A107="","",SUMIFS('Trade Log'!$Z$4:$Z$503,'Trade Log'!$D$4:$D$503,$A107))</f>
        <v/>
      </c>
      <c r="L107" s="41" t="str">
        <f aca="false">IF($A107="","",COUNTIFS('Trade Log'!$D$4:$D$503,$A107,'Trade Log'!$Z$4:$Z$503,"&gt;0"))</f>
        <v/>
      </c>
      <c r="M107" s="55" t="str">
        <f aca="false">IF(OR($A107="",$E107=0),"",$L107/$E107)</f>
        <v/>
      </c>
      <c r="N107" s="40" t="str">
        <f aca="false">IF(OR($A107="",$E107=0),"",$K107/$E107)</f>
        <v/>
      </c>
      <c r="O107" s="40" t="str">
        <f aca="false">IF($A107="","",IFERROR(_xlfn.MAXIFS('Trade Log'!$Z$4:$Z$503,'Trade Log'!$D$4:$D$503,$A107),""))</f>
        <v/>
      </c>
      <c r="P107" s="40" t="str">
        <f aca="false">IF($A107="","",IFERROR(_xlfn.MINIFS('Trade Log'!$Z$4:$Z$503,'Trade Log'!$D$4:$D$503,$A107),""))</f>
        <v/>
      </c>
      <c r="Q107" s="55" t="str">
        <f aca="false">IF($A107="","",IFERROR(AVERAGEIFS('Trade Log'!$AA$4:$AA$503,'Trade Log'!$D$4:$D$503,$A107),""))</f>
        <v/>
      </c>
      <c r="R107" s="53" t="str">
        <f aca="false">IF($A107="","",IFERROR(AVERAGEIFS('Trade Log'!$P$4:$P$503,'Trade Log'!$D$4:$D$503,$A107),""))</f>
        <v/>
      </c>
      <c r="S107" s="44" t="str">
        <f aca="false">IF($A107="","",IFERROR(AVERAGEIFS('Trade Log'!$AC$4:$AC$503,'Trade Log'!$D$4:$D$503,$A107),""))</f>
        <v/>
      </c>
      <c r="T107" s="55" t="str">
        <f aca="false">IF(OR($A107="",Summary!$B$13=0),"",$K107/Summary!$B$13)</f>
        <v/>
      </c>
      <c r="U107" s="41" t="str">
        <f aca="false">IF($A107="","",IFERROR(RANK($K107,$K$4:$K$153),""))</f>
        <v/>
      </c>
    </row>
    <row r="108" customFormat="false" ht="15" hidden="false" customHeight="false" outlineLevel="0" collapsed="false">
      <c r="A108" s="49"/>
      <c r="B108" s="41" t="str">
        <f aca="false">IF($A108="","",COUNTIFS('Trade Log'!$D$4:$D$503,$A108))</f>
        <v/>
      </c>
      <c r="C108" s="41" t="str">
        <f aca="false">IF($A108="","",COUNTIFS('Trade Log'!$D$4:$D$503,$A108,'Trade Log'!$E$4:$E$503,"LONG"))</f>
        <v/>
      </c>
      <c r="D108" s="41" t="str">
        <f aca="false">IF($A108="","",COUNTIFS('Trade Log'!$D$4:$D$503,$A108,'Trade Log'!$E$4:$E$503,"SHORT"))</f>
        <v/>
      </c>
      <c r="E108" s="41" t="str">
        <f aca="false">IF($A108="","",COUNTIFS('Trade Log'!$D$4:$D$503,$A108,'Trade Log'!$N$4:$N$503,"&lt;&gt;"))</f>
        <v/>
      </c>
      <c r="F108" s="40" t="str">
        <f aca="false">IF($A108="","",SUMIFS('Trade Log'!$K$4:$K$503,'Trade Log'!$D$4:$D$503,$A108))</f>
        <v/>
      </c>
      <c r="G108" s="40" t="str">
        <f aca="false">IF($A108="","",SUMIFS('Trade Log'!$Z$4:$Z$503,'Trade Log'!$D$4:$D$503,$A108,'Trade Log'!$E$4:$E$503,"LONG"))</f>
        <v/>
      </c>
      <c r="H108" s="40" t="str">
        <f aca="false">IF($A108="","",SUMIFS('Trade Log'!$Z$4:$Z$503,'Trade Log'!$D$4:$D$503,$A108,'Trade Log'!$E$4:$E$503,"SHORT"))</f>
        <v/>
      </c>
      <c r="I108" s="40" t="str">
        <f aca="false">IF($A108="","",SUMIFS('Trade Log'!$Q$4:$Q$503,'Trade Log'!$D$4:$D$503,$A108))</f>
        <v/>
      </c>
      <c r="J108" s="40" t="str">
        <f aca="false">IF($A108="","",SUMIFS('Trade Log'!$Y$4:$Y$503,'Trade Log'!$D$4:$D$503,$A108))</f>
        <v/>
      </c>
      <c r="K108" s="40" t="str">
        <f aca="false">IF($A108="","",SUMIFS('Trade Log'!$Z$4:$Z$503,'Trade Log'!$D$4:$D$503,$A108))</f>
        <v/>
      </c>
      <c r="L108" s="41" t="str">
        <f aca="false">IF($A108="","",COUNTIFS('Trade Log'!$D$4:$D$503,$A108,'Trade Log'!$Z$4:$Z$503,"&gt;0"))</f>
        <v/>
      </c>
      <c r="M108" s="55" t="str">
        <f aca="false">IF(OR($A108="",$E108=0),"",$L108/$E108)</f>
        <v/>
      </c>
      <c r="N108" s="40" t="str">
        <f aca="false">IF(OR($A108="",$E108=0),"",$K108/$E108)</f>
        <v/>
      </c>
      <c r="O108" s="40" t="str">
        <f aca="false">IF($A108="","",IFERROR(_xlfn.MAXIFS('Trade Log'!$Z$4:$Z$503,'Trade Log'!$D$4:$D$503,$A108),""))</f>
        <v/>
      </c>
      <c r="P108" s="40" t="str">
        <f aca="false">IF($A108="","",IFERROR(_xlfn.MINIFS('Trade Log'!$Z$4:$Z$503,'Trade Log'!$D$4:$D$503,$A108),""))</f>
        <v/>
      </c>
      <c r="Q108" s="55" t="str">
        <f aca="false">IF($A108="","",IFERROR(AVERAGEIFS('Trade Log'!$AA$4:$AA$503,'Trade Log'!$D$4:$D$503,$A108),""))</f>
        <v/>
      </c>
      <c r="R108" s="53" t="str">
        <f aca="false">IF($A108="","",IFERROR(AVERAGEIFS('Trade Log'!$P$4:$P$503,'Trade Log'!$D$4:$D$503,$A108),""))</f>
        <v/>
      </c>
      <c r="S108" s="44" t="str">
        <f aca="false">IF($A108="","",IFERROR(AVERAGEIFS('Trade Log'!$AC$4:$AC$503,'Trade Log'!$D$4:$D$503,$A108),""))</f>
        <v/>
      </c>
      <c r="T108" s="55" t="str">
        <f aca="false">IF(OR($A108="",Summary!$B$13=0),"",$K108/Summary!$B$13)</f>
        <v/>
      </c>
      <c r="U108" s="41" t="str">
        <f aca="false">IF($A108="","",IFERROR(RANK($K108,$K$4:$K$153),""))</f>
        <v/>
      </c>
    </row>
    <row r="109" customFormat="false" ht="15" hidden="false" customHeight="false" outlineLevel="0" collapsed="false">
      <c r="A109" s="49"/>
      <c r="B109" s="41" t="str">
        <f aca="false">IF($A109="","",COUNTIFS('Trade Log'!$D$4:$D$503,$A109))</f>
        <v/>
      </c>
      <c r="C109" s="41" t="str">
        <f aca="false">IF($A109="","",COUNTIFS('Trade Log'!$D$4:$D$503,$A109,'Trade Log'!$E$4:$E$503,"LONG"))</f>
        <v/>
      </c>
      <c r="D109" s="41" t="str">
        <f aca="false">IF($A109="","",COUNTIFS('Trade Log'!$D$4:$D$503,$A109,'Trade Log'!$E$4:$E$503,"SHORT"))</f>
        <v/>
      </c>
      <c r="E109" s="41" t="str">
        <f aca="false">IF($A109="","",COUNTIFS('Trade Log'!$D$4:$D$503,$A109,'Trade Log'!$N$4:$N$503,"&lt;&gt;"))</f>
        <v/>
      </c>
      <c r="F109" s="40" t="str">
        <f aca="false">IF($A109="","",SUMIFS('Trade Log'!$K$4:$K$503,'Trade Log'!$D$4:$D$503,$A109))</f>
        <v/>
      </c>
      <c r="G109" s="40" t="str">
        <f aca="false">IF($A109="","",SUMIFS('Trade Log'!$Z$4:$Z$503,'Trade Log'!$D$4:$D$503,$A109,'Trade Log'!$E$4:$E$503,"LONG"))</f>
        <v/>
      </c>
      <c r="H109" s="40" t="str">
        <f aca="false">IF($A109="","",SUMIFS('Trade Log'!$Z$4:$Z$503,'Trade Log'!$D$4:$D$503,$A109,'Trade Log'!$E$4:$E$503,"SHORT"))</f>
        <v/>
      </c>
      <c r="I109" s="40" t="str">
        <f aca="false">IF($A109="","",SUMIFS('Trade Log'!$Q$4:$Q$503,'Trade Log'!$D$4:$D$503,$A109))</f>
        <v/>
      </c>
      <c r="J109" s="40" t="str">
        <f aca="false">IF($A109="","",SUMIFS('Trade Log'!$Y$4:$Y$503,'Trade Log'!$D$4:$D$503,$A109))</f>
        <v/>
      </c>
      <c r="K109" s="40" t="str">
        <f aca="false">IF($A109="","",SUMIFS('Trade Log'!$Z$4:$Z$503,'Trade Log'!$D$4:$D$503,$A109))</f>
        <v/>
      </c>
      <c r="L109" s="41" t="str">
        <f aca="false">IF($A109="","",COUNTIFS('Trade Log'!$D$4:$D$503,$A109,'Trade Log'!$Z$4:$Z$503,"&gt;0"))</f>
        <v/>
      </c>
      <c r="M109" s="55" t="str">
        <f aca="false">IF(OR($A109="",$E109=0),"",$L109/$E109)</f>
        <v/>
      </c>
      <c r="N109" s="40" t="str">
        <f aca="false">IF(OR($A109="",$E109=0),"",$K109/$E109)</f>
        <v/>
      </c>
      <c r="O109" s="40" t="str">
        <f aca="false">IF($A109="","",IFERROR(_xlfn.MAXIFS('Trade Log'!$Z$4:$Z$503,'Trade Log'!$D$4:$D$503,$A109),""))</f>
        <v/>
      </c>
      <c r="P109" s="40" t="str">
        <f aca="false">IF($A109="","",IFERROR(_xlfn.MINIFS('Trade Log'!$Z$4:$Z$503,'Trade Log'!$D$4:$D$503,$A109),""))</f>
        <v/>
      </c>
      <c r="Q109" s="55" t="str">
        <f aca="false">IF($A109="","",IFERROR(AVERAGEIFS('Trade Log'!$AA$4:$AA$503,'Trade Log'!$D$4:$D$503,$A109),""))</f>
        <v/>
      </c>
      <c r="R109" s="53" t="str">
        <f aca="false">IF($A109="","",IFERROR(AVERAGEIFS('Trade Log'!$P$4:$P$503,'Trade Log'!$D$4:$D$503,$A109),""))</f>
        <v/>
      </c>
      <c r="S109" s="44" t="str">
        <f aca="false">IF($A109="","",IFERROR(AVERAGEIFS('Trade Log'!$AC$4:$AC$503,'Trade Log'!$D$4:$D$503,$A109),""))</f>
        <v/>
      </c>
      <c r="T109" s="55" t="str">
        <f aca="false">IF(OR($A109="",Summary!$B$13=0),"",$K109/Summary!$B$13)</f>
        <v/>
      </c>
      <c r="U109" s="41" t="str">
        <f aca="false">IF($A109="","",IFERROR(RANK($K109,$K$4:$K$153),""))</f>
        <v/>
      </c>
    </row>
    <row r="110" customFormat="false" ht="15" hidden="false" customHeight="false" outlineLevel="0" collapsed="false">
      <c r="A110" s="49"/>
      <c r="B110" s="41" t="str">
        <f aca="false">IF($A110="","",COUNTIFS('Trade Log'!$D$4:$D$503,$A110))</f>
        <v/>
      </c>
      <c r="C110" s="41" t="str">
        <f aca="false">IF($A110="","",COUNTIFS('Trade Log'!$D$4:$D$503,$A110,'Trade Log'!$E$4:$E$503,"LONG"))</f>
        <v/>
      </c>
      <c r="D110" s="41" t="str">
        <f aca="false">IF($A110="","",COUNTIFS('Trade Log'!$D$4:$D$503,$A110,'Trade Log'!$E$4:$E$503,"SHORT"))</f>
        <v/>
      </c>
      <c r="E110" s="41" t="str">
        <f aca="false">IF($A110="","",COUNTIFS('Trade Log'!$D$4:$D$503,$A110,'Trade Log'!$N$4:$N$503,"&lt;&gt;"))</f>
        <v/>
      </c>
      <c r="F110" s="40" t="str">
        <f aca="false">IF($A110="","",SUMIFS('Trade Log'!$K$4:$K$503,'Trade Log'!$D$4:$D$503,$A110))</f>
        <v/>
      </c>
      <c r="G110" s="40" t="str">
        <f aca="false">IF($A110="","",SUMIFS('Trade Log'!$Z$4:$Z$503,'Trade Log'!$D$4:$D$503,$A110,'Trade Log'!$E$4:$E$503,"LONG"))</f>
        <v/>
      </c>
      <c r="H110" s="40" t="str">
        <f aca="false">IF($A110="","",SUMIFS('Trade Log'!$Z$4:$Z$503,'Trade Log'!$D$4:$D$503,$A110,'Trade Log'!$E$4:$E$503,"SHORT"))</f>
        <v/>
      </c>
      <c r="I110" s="40" t="str">
        <f aca="false">IF($A110="","",SUMIFS('Trade Log'!$Q$4:$Q$503,'Trade Log'!$D$4:$D$503,$A110))</f>
        <v/>
      </c>
      <c r="J110" s="40" t="str">
        <f aca="false">IF($A110="","",SUMIFS('Trade Log'!$Y$4:$Y$503,'Trade Log'!$D$4:$D$503,$A110))</f>
        <v/>
      </c>
      <c r="K110" s="40" t="str">
        <f aca="false">IF($A110="","",SUMIFS('Trade Log'!$Z$4:$Z$503,'Trade Log'!$D$4:$D$503,$A110))</f>
        <v/>
      </c>
      <c r="L110" s="41" t="str">
        <f aca="false">IF($A110="","",COUNTIFS('Trade Log'!$D$4:$D$503,$A110,'Trade Log'!$Z$4:$Z$503,"&gt;0"))</f>
        <v/>
      </c>
      <c r="M110" s="55" t="str">
        <f aca="false">IF(OR($A110="",$E110=0),"",$L110/$E110)</f>
        <v/>
      </c>
      <c r="N110" s="40" t="str">
        <f aca="false">IF(OR($A110="",$E110=0),"",$K110/$E110)</f>
        <v/>
      </c>
      <c r="O110" s="40" t="str">
        <f aca="false">IF($A110="","",IFERROR(_xlfn.MAXIFS('Trade Log'!$Z$4:$Z$503,'Trade Log'!$D$4:$D$503,$A110),""))</f>
        <v/>
      </c>
      <c r="P110" s="40" t="str">
        <f aca="false">IF($A110="","",IFERROR(_xlfn.MINIFS('Trade Log'!$Z$4:$Z$503,'Trade Log'!$D$4:$D$503,$A110),""))</f>
        <v/>
      </c>
      <c r="Q110" s="55" t="str">
        <f aca="false">IF($A110="","",IFERROR(AVERAGEIFS('Trade Log'!$AA$4:$AA$503,'Trade Log'!$D$4:$D$503,$A110),""))</f>
        <v/>
      </c>
      <c r="R110" s="53" t="str">
        <f aca="false">IF($A110="","",IFERROR(AVERAGEIFS('Trade Log'!$P$4:$P$503,'Trade Log'!$D$4:$D$503,$A110),""))</f>
        <v/>
      </c>
      <c r="S110" s="44" t="str">
        <f aca="false">IF($A110="","",IFERROR(AVERAGEIFS('Trade Log'!$AC$4:$AC$503,'Trade Log'!$D$4:$D$503,$A110),""))</f>
        <v/>
      </c>
      <c r="T110" s="55" t="str">
        <f aca="false">IF(OR($A110="",Summary!$B$13=0),"",$K110/Summary!$B$13)</f>
        <v/>
      </c>
      <c r="U110" s="41" t="str">
        <f aca="false">IF($A110="","",IFERROR(RANK($K110,$K$4:$K$153),""))</f>
        <v/>
      </c>
    </row>
    <row r="111" customFormat="false" ht="15" hidden="false" customHeight="false" outlineLevel="0" collapsed="false">
      <c r="A111" s="49"/>
      <c r="B111" s="41" t="str">
        <f aca="false">IF($A111="","",COUNTIFS('Trade Log'!$D$4:$D$503,$A111))</f>
        <v/>
      </c>
      <c r="C111" s="41" t="str">
        <f aca="false">IF($A111="","",COUNTIFS('Trade Log'!$D$4:$D$503,$A111,'Trade Log'!$E$4:$E$503,"LONG"))</f>
        <v/>
      </c>
      <c r="D111" s="41" t="str">
        <f aca="false">IF($A111="","",COUNTIFS('Trade Log'!$D$4:$D$503,$A111,'Trade Log'!$E$4:$E$503,"SHORT"))</f>
        <v/>
      </c>
      <c r="E111" s="41" t="str">
        <f aca="false">IF($A111="","",COUNTIFS('Trade Log'!$D$4:$D$503,$A111,'Trade Log'!$N$4:$N$503,"&lt;&gt;"))</f>
        <v/>
      </c>
      <c r="F111" s="40" t="str">
        <f aca="false">IF($A111="","",SUMIFS('Trade Log'!$K$4:$K$503,'Trade Log'!$D$4:$D$503,$A111))</f>
        <v/>
      </c>
      <c r="G111" s="40" t="str">
        <f aca="false">IF($A111="","",SUMIFS('Trade Log'!$Z$4:$Z$503,'Trade Log'!$D$4:$D$503,$A111,'Trade Log'!$E$4:$E$503,"LONG"))</f>
        <v/>
      </c>
      <c r="H111" s="40" t="str">
        <f aca="false">IF($A111="","",SUMIFS('Trade Log'!$Z$4:$Z$503,'Trade Log'!$D$4:$D$503,$A111,'Trade Log'!$E$4:$E$503,"SHORT"))</f>
        <v/>
      </c>
      <c r="I111" s="40" t="str">
        <f aca="false">IF($A111="","",SUMIFS('Trade Log'!$Q$4:$Q$503,'Trade Log'!$D$4:$D$503,$A111))</f>
        <v/>
      </c>
      <c r="J111" s="40" t="str">
        <f aca="false">IF($A111="","",SUMIFS('Trade Log'!$Y$4:$Y$503,'Trade Log'!$D$4:$D$503,$A111))</f>
        <v/>
      </c>
      <c r="K111" s="40" t="str">
        <f aca="false">IF($A111="","",SUMIFS('Trade Log'!$Z$4:$Z$503,'Trade Log'!$D$4:$D$503,$A111))</f>
        <v/>
      </c>
      <c r="L111" s="41" t="str">
        <f aca="false">IF($A111="","",COUNTIFS('Trade Log'!$D$4:$D$503,$A111,'Trade Log'!$Z$4:$Z$503,"&gt;0"))</f>
        <v/>
      </c>
      <c r="M111" s="55" t="str">
        <f aca="false">IF(OR($A111="",$E111=0),"",$L111/$E111)</f>
        <v/>
      </c>
      <c r="N111" s="40" t="str">
        <f aca="false">IF(OR($A111="",$E111=0),"",$K111/$E111)</f>
        <v/>
      </c>
      <c r="O111" s="40" t="str">
        <f aca="false">IF($A111="","",IFERROR(_xlfn.MAXIFS('Trade Log'!$Z$4:$Z$503,'Trade Log'!$D$4:$D$503,$A111),""))</f>
        <v/>
      </c>
      <c r="P111" s="40" t="str">
        <f aca="false">IF($A111="","",IFERROR(_xlfn.MINIFS('Trade Log'!$Z$4:$Z$503,'Trade Log'!$D$4:$D$503,$A111),""))</f>
        <v/>
      </c>
      <c r="Q111" s="55" t="str">
        <f aca="false">IF($A111="","",IFERROR(AVERAGEIFS('Trade Log'!$AA$4:$AA$503,'Trade Log'!$D$4:$D$503,$A111),""))</f>
        <v/>
      </c>
      <c r="R111" s="53" t="str">
        <f aca="false">IF($A111="","",IFERROR(AVERAGEIFS('Trade Log'!$P$4:$P$503,'Trade Log'!$D$4:$D$503,$A111),""))</f>
        <v/>
      </c>
      <c r="S111" s="44" t="str">
        <f aca="false">IF($A111="","",IFERROR(AVERAGEIFS('Trade Log'!$AC$4:$AC$503,'Trade Log'!$D$4:$D$503,$A111),""))</f>
        <v/>
      </c>
      <c r="T111" s="55" t="str">
        <f aca="false">IF(OR($A111="",Summary!$B$13=0),"",$K111/Summary!$B$13)</f>
        <v/>
      </c>
      <c r="U111" s="41" t="str">
        <f aca="false">IF($A111="","",IFERROR(RANK($K111,$K$4:$K$153),""))</f>
        <v/>
      </c>
    </row>
    <row r="112" customFormat="false" ht="15" hidden="false" customHeight="false" outlineLevel="0" collapsed="false">
      <c r="A112" s="49"/>
      <c r="B112" s="41" t="str">
        <f aca="false">IF($A112="","",COUNTIFS('Trade Log'!$D$4:$D$503,$A112))</f>
        <v/>
      </c>
      <c r="C112" s="41" t="str">
        <f aca="false">IF($A112="","",COUNTIFS('Trade Log'!$D$4:$D$503,$A112,'Trade Log'!$E$4:$E$503,"LONG"))</f>
        <v/>
      </c>
      <c r="D112" s="41" t="str">
        <f aca="false">IF($A112="","",COUNTIFS('Trade Log'!$D$4:$D$503,$A112,'Trade Log'!$E$4:$E$503,"SHORT"))</f>
        <v/>
      </c>
      <c r="E112" s="41" t="str">
        <f aca="false">IF($A112="","",COUNTIFS('Trade Log'!$D$4:$D$503,$A112,'Trade Log'!$N$4:$N$503,"&lt;&gt;"))</f>
        <v/>
      </c>
      <c r="F112" s="40" t="str">
        <f aca="false">IF($A112="","",SUMIFS('Trade Log'!$K$4:$K$503,'Trade Log'!$D$4:$D$503,$A112))</f>
        <v/>
      </c>
      <c r="G112" s="40" t="str">
        <f aca="false">IF($A112="","",SUMIFS('Trade Log'!$Z$4:$Z$503,'Trade Log'!$D$4:$D$503,$A112,'Trade Log'!$E$4:$E$503,"LONG"))</f>
        <v/>
      </c>
      <c r="H112" s="40" t="str">
        <f aca="false">IF($A112="","",SUMIFS('Trade Log'!$Z$4:$Z$503,'Trade Log'!$D$4:$D$503,$A112,'Trade Log'!$E$4:$E$503,"SHORT"))</f>
        <v/>
      </c>
      <c r="I112" s="40" t="str">
        <f aca="false">IF($A112="","",SUMIFS('Trade Log'!$Q$4:$Q$503,'Trade Log'!$D$4:$D$503,$A112))</f>
        <v/>
      </c>
      <c r="J112" s="40" t="str">
        <f aca="false">IF($A112="","",SUMIFS('Trade Log'!$Y$4:$Y$503,'Trade Log'!$D$4:$D$503,$A112))</f>
        <v/>
      </c>
      <c r="K112" s="40" t="str">
        <f aca="false">IF($A112="","",SUMIFS('Trade Log'!$Z$4:$Z$503,'Trade Log'!$D$4:$D$503,$A112))</f>
        <v/>
      </c>
      <c r="L112" s="41" t="str">
        <f aca="false">IF($A112="","",COUNTIFS('Trade Log'!$D$4:$D$503,$A112,'Trade Log'!$Z$4:$Z$503,"&gt;0"))</f>
        <v/>
      </c>
      <c r="M112" s="55" t="str">
        <f aca="false">IF(OR($A112="",$E112=0),"",$L112/$E112)</f>
        <v/>
      </c>
      <c r="N112" s="40" t="str">
        <f aca="false">IF(OR($A112="",$E112=0),"",$K112/$E112)</f>
        <v/>
      </c>
      <c r="O112" s="40" t="str">
        <f aca="false">IF($A112="","",IFERROR(_xlfn.MAXIFS('Trade Log'!$Z$4:$Z$503,'Trade Log'!$D$4:$D$503,$A112),""))</f>
        <v/>
      </c>
      <c r="P112" s="40" t="str">
        <f aca="false">IF($A112="","",IFERROR(_xlfn.MINIFS('Trade Log'!$Z$4:$Z$503,'Trade Log'!$D$4:$D$503,$A112),""))</f>
        <v/>
      </c>
      <c r="Q112" s="55" t="str">
        <f aca="false">IF($A112="","",IFERROR(AVERAGEIFS('Trade Log'!$AA$4:$AA$503,'Trade Log'!$D$4:$D$503,$A112),""))</f>
        <v/>
      </c>
      <c r="R112" s="53" t="str">
        <f aca="false">IF($A112="","",IFERROR(AVERAGEIFS('Trade Log'!$P$4:$P$503,'Trade Log'!$D$4:$D$503,$A112),""))</f>
        <v/>
      </c>
      <c r="S112" s="44" t="str">
        <f aca="false">IF($A112="","",IFERROR(AVERAGEIFS('Trade Log'!$AC$4:$AC$503,'Trade Log'!$D$4:$D$503,$A112),""))</f>
        <v/>
      </c>
      <c r="T112" s="55" t="str">
        <f aca="false">IF(OR($A112="",Summary!$B$13=0),"",$K112/Summary!$B$13)</f>
        <v/>
      </c>
      <c r="U112" s="41" t="str">
        <f aca="false">IF($A112="","",IFERROR(RANK($K112,$K$4:$K$153),""))</f>
        <v/>
      </c>
    </row>
    <row r="113" customFormat="false" ht="15" hidden="false" customHeight="false" outlineLevel="0" collapsed="false">
      <c r="A113" s="49"/>
      <c r="B113" s="41" t="str">
        <f aca="false">IF($A113="","",COUNTIFS('Trade Log'!$D$4:$D$503,$A113))</f>
        <v/>
      </c>
      <c r="C113" s="41" t="str">
        <f aca="false">IF($A113="","",COUNTIFS('Trade Log'!$D$4:$D$503,$A113,'Trade Log'!$E$4:$E$503,"LONG"))</f>
        <v/>
      </c>
      <c r="D113" s="41" t="str">
        <f aca="false">IF($A113="","",COUNTIFS('Trade Log'!$D$4:$D$503,$A113,'Trade Log'!$E$4:$E$503,"SHORT"))</f>
        <v/>
      </c>
      <c r="E113" s="41" t="str">
        <f aca="false">IF($A113="","",COUNTIFS('Trade Log'!$D$4:$D$503,$A113,'Trade Log'!$N$4:$N$503,"&lt;&gt;"))</f>
        <v/>
      </c>
      <c r="F113" s="40" t="str">
        <f aca="false">IF($A113="","",SUMIFS('Trade Log'!$K$4:$K$503,'Trade Log'!$D$4:$D$503,$A113))</f>
        <v/>
      </c>
      <c r="G113" s="40" t="str">
        <f aca="false">IF($A113="","",SUMIFS('Trade Log'!$Z$4:$Z$503,'Trade Log'!$D$4:$D$503,$A113,'Trade Log'!$E$4:$E$503,"LONG"))</f>
        <v/>
      </c>
      <c r="H113" s="40" t="str">
        <f aca="false">IF($A113="","",SUMIFS('Trade Log'!$Z$4:$Z$503,'Trade Log'!$D$4:$D$503,$A113,'Trade Log'!$E$4:$E$503,"SHORT"))</f>
        <v/>
      </c>
      <c r="I113" s="40" t="str">
        <f aca="false">IF($A113="","",SUMIFS('Trade Log'!$Q$4:$Q$503,'Trade Log'!$D$4:$D$503,$A113))</f>
        <v/>
      </c>
      <c r="J113" s="40" t="str">
        <f aca="false">IF($A113="","",SUMIFS('Trade Log'!$Y$4:$Y$503,'Trade Log'!$D$4:$D$503,$A113))</f>
        <v/>
      </c>
      <c r="K113" s="40" t="str">
        <f aca="false">IF($A113="","",SUMIFS('Trade Log'!$Z$4:$Z$503,'Trade Log'!$D$4:$D$503,$A113))</f>
        <v/>
      </c>
      <c r="L113" s="41" t="str">
        <f aca="false">IF($A113="","",COUNTIFS('Trade Log'!$D$4:$D$503,$A113,'Trade Log'!$Z$4:$Z$503,"&gt;0"))</f>
        <v/>
      </c>
      <c r="M113" s="55" t="str">
        <f aca="false">IF(OR($A113="",$E113=0),"",$L113/$E113)</f>
        <v/>
      </c>
      <c r="N113" s="40" t="str">
        <f aca="false">IF(OR($A113="",$E113=0),"",$K113/$E113)</f>
        <v/>
      </c>
      <c r="O113" s="40" t="str">
        <f aca="false">IF($A113="","",IFERROR(_xlfn.MAXIFS('Trade Log'!$Z$4:$Z$503,'Trade Log'!$D$4:$D$503,$A113),""))</f>
        <v/>
      </c>
      <c r="P113" s="40" t="str">
        <f aca="false">IF($A113="","",IFERROR(_xlfn.MINIFS('Trade Log'!$Z$4:$Z$503,'Trade Log'!$D$4:$D$503,$A113),""))</f>
        <v/>
      </c>
      <c r="Q113" s="55" t="str">
        <f aca="false">IF($A113="","",IFERROR(AVERAGEIFS('Trade Log'!$AA$4:$AA$503,'Trade Log'!$D$4:$D$503,$A113),""))</f>
        <v/>
      </c>
      <c r="R113" s="53" t="str">
        <f aca="false">IF($A113="","",IFERROR(AVERAGEIFS('Trade Log'!$P$4:$P$503,'Trade Log'!$D$4:$D$503,$A113),""))</f>
        <v/>
      </c>
      <c r="S113" s="44" t="str">
        <f aca="false">IF($A113="","",IFERROR(AVERAGEIFS('Trade Log'!$AC$4:$AC$503,'Trade Log'!$D$4:$D$503,$A113),""))</f>
        <v/>
      </c>
      <c r="T113" s="55" t="str">
        <f aca="false">IF(OR($A113="",Summary!$B$13=0),"",$K113/Summary!$B$13)</f>
        <v/>
      </c>
      <c r="U113" s="41" t="str">
        <f aca="false">IF($A113="","",IFERROR(RANK($K113,$K$4:$K$153),""))</f>
        <v/>
      </c>
    </row>
    <row r="114" customFormat="false" ht="15" hidden="false" customHeight="false" outlineLevel="0" collapsed="false">
      <c r="A114" s="49"/>
      <c r="B114" s="41" t="str">
        <f aca="false">IF($A114="","",COUNTIFS('Trade Log'!$D$4:$D$503,$A114))</f>
        <v/>
      </c>
      <c r="C114" s="41" t="str">
        <f aca="false">IF($A114="","",COUNTIFS('Trade Log'!$D$4:$D$503,$A114,'Trade Log'!$E$4:$E$503,"LONG"))</f>
        <v/>
      </c>
      <c r="D114" s="41" t="str">
        <f aca="false">IF($A114="","",COUNTIFS('Trade Log'!$D$4:$D$503,$A114,'Trade Log'!$E$4:$E$503,"SHORT"))</f>
        <v/>
      </c>
      <c r="E114" s="41" t="str">
        <f aca="false">IF($A114="","",COUNTIFS('Trade Log'!$D$4:$D$503,$A114,'Trade Log'!$N$4:$N$503,"&lt;&gt;"))</f>
        <v/>
      </c>
      <c r="F114" s="40" t="str">
        <f aca="false">IF($A114="","",SUMIFS('Trade Log'!$K$4:$K$503,'Trade Log'!$D$4:$D$503,$A114))</f>
        <v/>
      </c>
      <c r="G114" s="40" t="str">
        <f aca="false">IF($A114="","",SUMIFS('Trade Log'!$Z$4:$Z$503,'Trade Log'!$D$4:$D$503,$A114,'Trade Log'!$E$4:$E$503,"LONG"))</f>
        <v/>
      </c>
      <c r="H114" s="40" t="str">
        <f aca="false">IF($A114="","",SUMIFS('Trade Log'!$Z$4:$Z$503,'Trade Log'!$D$4:$D$503,$A114,'Trade Log'!$E$4:$E$503,"SHORT"))</f>
        <v/>
      </c>
      <c r="I114" s="40" t="str">
        <f aca="false">IF($A114="","",SUMIFS('Trade Log'!$Q$4:$Q$503,'Trade Log'!$D$4:$D$503,$A114))</f>
        <v/>
      </c>
      <c r="J114" s="40" t="str">
        <f aca="false">IF($A114="","",SUMIFS('Trade Log'!$Y$4:$Y$503,'Trade Log'!$D$4:$D$503,$A114))</f>
        <v/>
      </c>
      <c r="K114" s="40" t="str">
        <f aca="false">IF($A114="","",SUMIFS('Trade Log'!$Z$4:$Z$503,'Trade Log'!$D$4:$D$503,$A114))</f>
        <v/>
      </c>
      <c r="L114" s="41" t="str">
        <f aca="false">IF($A114="","",COUNTIFS('Trade Log'!$D$4:$D$503,$A114,'Trade Log'!$Z$4:$Z$503,"&gt;0"))</f>
        <v/>
      </c>
      <c r="M114" s="55" t="str">
        <f aca="false">IF(OR($A114="",$E114=0),"",$L114/$E114)</f>
        <v/>
      </c>
      <c r="N114" s="40" t="str">
        <f aca="false">IF(OR($A114="",$E114=0),"",$K114/$E114)</f>
        <v/>
      </c>
      <c r="O114" s="40" t="str">
        <f aca="false">IF($A114="","",IFERROR(_xlfn.MAXIFS('Trade Log'!$Z$4:$Z$503,'Trade Log'!$D$4:$D$503,$A114),""))</f>
        <v/>
      </c>
      <c r="P114" s="40" t="str">
        <f aca="false">IF($A114="","",IFERROR(_xlfn.MINIFS('Trade Log'!$Z$4:$Z$503,'Trade Log'!$D$4:$D$503,$A114),""))</f>
        <v/>
      </c>
      <c r="Q114" s="55" t="str">
        <f aca="false">IF($A114="","",IFERROR(AVERAGEIFS('Trade Log'!$AA$4:$AA$503,'Trade Log'!$D$4:$D$503,$A114),""))</f>
        <v/>
      </c>
      <c r="R114" s="53" t="str">
        <f aca="false">IF($A114="","",IFERROR(AVERAGEIFS('Trade Log'!$P$4:$P$503,'Trade Log'!$D$4:$D$503,$A114),""))</f>
        <v/>
      </c>
      <c r="S114" s="44" t="str">
        <f aca="false">IF($A114="","",IFERROR(AVERAGEIFS('Trade Log'!$AC$4:$AC$503,'Trade Log'!$D$4:$D$503,$A114),""))</f>
        <v/>
      </c>
      <c r="T114" s="55" t="str">
        <f aca="false">IF(OR($A114="",Summary!$B$13=0),"",$K114/Summary!$B$13)</f>
        <v/>
      </c>
      <c r="U114" s="41" t="str">
        <f aca="false">IF($A114="","",IFERROR(RANK($K114,$K$4:$K$153),""))</f>
        <v/>
      </c>
    </row>
    <row r="115" customFormat="false" ht="15" hidden="false" customHeight="false" outlineLevel="0" collapsed="false">
      <c r="A115" s="49"/>
      <c r="B115" s="41" t="str">
        <f aca="false">IF($A115="","",COUNTIFS('Trade Log'!$D$4:$D$503,$A115))</f>
        <v/>
      </c>
      <c r="C115" s="41" t="str">
        <f aca="false">IF($A115="","",COUNTIFS('Trade Log'!$D$4:$D$503,$A115,'Trade Log'!$E$4:$E$503,"LONG"))</f>
        <v/>
      </c>
      <c r="D115" s="41" t="str">
        <f aca="false">IF($A115="","",COUNTIFS('Trade Log'!$D$4:$D$503,$A115,'Trade Log'!$E$4:$E$503,"SHORT"))</f>
        <v/>
      </c>
      <c r="E115" s="41" t="str">
        <f aca="false">IF($A115="","",COUNTIFS('Trade Log'!$D$4:$D$503,$A115,'Trade Log'!$N$4:$N$503,"&lt;&gt;"))</f>
        <v/>
      </c>
      <c r="F115" s="40" t="str">
        <f aca="false">IF($A115="","",SUMIFS('Trade Log'!$K$4:$K$503,'Trade Log'!$D$4:$D$503,$A115))</f>
        <v/>
      </c>
      <c r="G115" s="40" t="str">
        <f aca="false">IF($A115="","",SUMIFS('Trade Log'!$Z$4:$Z$503,'Trade Log'!$D$4:$D$503,$A115,'Trade Log'!$E$4:$E$503,"LONG"))</f>
        <v/>
      </c>
      <c r="H115" s="40" t="str">
        <f aca="false">IF($A115="","",SUMIFS('Trade Log'!$Z$4:$Z$503,'Trade Log'!$D$4:$D$503,$A115,'Trade Log'!$E$4:$E$503,"SHORT"))</f>
        <v/>
      </c>
      <c r="I115" s="40" t="str">
        <f aca="false">IF($A115="","",SUMIFS('Trade Log'!$Q$4:$Q$503,'Trade Log'!$D$4:$D$503,$A115))</f>
        <v/>
      </c>
      <c r="J115" s="40" t="str">
        <f aca="false">IF($A115="","",SUMIFS('Trade Log'!$Y$4:$Y$503,'Trade Log'!$D$4:$D$503,$A115))</f>
        <v/>
      </c>
      <c r="K115" s="40" t="str">
        <f aca="false">IF($A115="","",SUMIFS('Trade Log'!$Z$4:$Z$503,'Trade Log'!$D$4:$D$503,$A115))</f>
        <v/>
      </c>
      <c r="L115" s="41" t="str">
        <f aca="false">IF($A115="","",COUNTIFS('Trade Log'!$D$4:$D$503,$A115,'Trade Log'!$Z$4:$Z$503,"&gt;0"))</f>
        <v/>
      </c>
      <c r="M115" s="55" t="str">
        <f aca="false">IF(OR($A115="",$E115=0),"",$L115/$E115)</f>
        <v/>
      </c>
      <c r="N115" s="40" t="str">
        <f aca="false">IF(OR($A115="",$E115=0),"",$K115/$E115)</f>
        <v/>
      </c>
      <c r="O115" s="40" t="str">
        <f aca="false">IF($A115="","",IFERROR(_xlfn.MAXIFS('Trade Log'!$Z$4:$Z$503,'Trade Log'!$D$4:$D$503,$A115),""))</f>
        <v/>
      </c>
      <c r="P115" s="40" t="str">
        <f aca="false">IF($A115="","",IFERROR(_xlfn.MINIFS('Trade Log'!$Z$4:$Z$503,'Trade Log'!$D$4:$D$503,$A115),""))</f>
        <v/>
      </c>
      <c r="Q115" s="55" t="str">
        <f aca="false">IF($A115="","",IFERROR(AVERAGEIFS('Trade Log'!$AA$4:$AA$503,'Trade Log'!$D$4:$D$503,$A115),""))</f>
        <v/>
      </c>
      <c r="R115" s="53" t="str">
        <f aca="false">IF($A115="","",IFERROR(AVERAGEIFS('Trade Log'!$P$4:$P$503,'Trade Log'!$D$4:$D$503,$A115),""))</f>
        <v/>
      </c>
      <c r="S115" s="44" t="str">
        <f aca="false">IF($A115="","",IFERROR(AVERAGEIFS('Trade Log'!$AC$4:$AC$503,'Trade Log'!$D$4:$D$503,$A115),""))</f>
        <v/>
      </c>
      <c r="T115" s="55" t="str">
        <f aca="false">IF(OR($A115="",Summary!$B$13=0),"",$K115/Summary!$B$13)</f>
        <v/>
      </c>
      <c r="U115" s="41" t="str">
        <f aca="false">IF($A115="","",IFERROR(RANK($K115,$K$4:$K$153),""))</f>
        <v/>
      </c>
    </row>
    <row r="116" customFormat="false" ht="15" hidden="false" customHeight="false" outlineLevel="0" collapsed="false">
      <c r="A116" s="49"/>
      <c r="B116" s="41" t="str">
        <f aca="false">IF($A116="","",COUNTIFS('Trade Log'!$D$4:$D$503,$A116))</f>
        <v/>
      </c>
      <c r="C116" s="41" t="str">
        <f aca="false">IF($A116="","",COUNTIFS('Trade Log'!$D$4:$D$503,$A116,'Trade Log'!$E$4:$E$503,"LONG"))</f>
        <v/>
      </c>
      <c r="D116" s="41" t="str">
        <f aca="false">IF($A116="","",COUNTIFS('Trade Log'!$D$4:$D$503,$A116,'Trade Log'!$E$4:$E$503,"SHORT"))</f>
        <v/>
      </c>
      <c r="E116" s="41" t="str">
        <f aca="false">IF($A116="","",COUNTIFS('Trade Log'!$D$4:$D$503,$A116,'Trade Log'!$N$4:$N$503,"&lt;&gt;"))</f>
        <v/>
      </c>
      <c r="F116" s="40" t="str">
        <f aca="false">IF($A116="","",SUMIFS('Trade Log'!$K$4:$K$503,'Trade Log'!$D$4:$D$503,$A116))</f>
        <v/>
      </c>
      <c r="G116" s="40" t="str">
        <f aca="false">IF($A116="","",SUMIFS('Trade Log'!$Z$4:$Z$503,'Trade Log'!$D$4:$D$503,$A116,'Trade Log'!$E$4:$E$503,"LONG"))</f>
        <v/>
      </c>
      <c r="H116" s="40" t="str">
        <f aca="false">IF($A116="","",SUMIFS('Trade Log'!$Z$4:$Z$503,'Trade Log'!$D$4:$D$503,$A116,'Trade Log'!$E$4:$E$503,"SHORT"))</f>
        <v/>
      </c>
      <c r="I116" s="40" t="str">
        <f aca="false">IF($A116="","",SUMIFS('Trade Log'!$Q$4:$Q$503,'Trade Log'!$D$4:$D$503,$A116))</f>
        <v/>
      </c>
      <c r="J116" s="40" t="str">
        <f aca="false">IF($A116="","",SUMIFS('Trade Log'!$Y$4:$Y$503,'Trade Log'!$D$4:$D$503,$A116))</f>
        <v/>
      </c>
      <c r="K116" s="40" t="str">
        <f aca="false">IF($A116="","",SUMIFS('Trade Log'!$Z$4:$Z$503,'Trade Log'!$D$4:$D$503,$A116))</f>
        <v/>
      </c>
      <c r="L116" s="41" t="str">
        <f aca="false">IF($A116="","",COUNTIFS('Trade Log'!$D$4:$D$503,$A116,'Trade Log'!$Z$4:$Z$503,"&gt;0"))</f>
        <v/>
      </c>
      <c r="M116" s="55" t="str">
        <f aca="false">IF(OR($A116="",$E116=0),"",$L116/$E116)</f>
        <v/>
      </c>
      <c r="N116" s="40" t="str">
        <f aca="false">IF(OR($A116="",$E116=0),"",$K116/$E116)</f>
        <v/>
      </c>
      <c r="O116" s="40" t="str">
        <f aca="false">IF($A116="","",IFERROR(_xlfn.MAXIFS('Trade Log'!$Z$4:$Z$503,'Trade Log'!$D$4:$D$503,$A116),""))</f>
        <v/>
      </c>
      <c r="P116" s="40" t="str">
        <f aca="false">IF($A116="","",IFERROR(_xlfn.MINIFS('Trade Log'!$Z$4:$Z$503,'Trade Log'!$D$4:$D$503,$A116),""))</f>
        <v/>
      </c>
      <c r="Q116" s="55" t="str">
        <f aca="false">IF($A116="","",IFERROR(AVERAGEIFS('Trade Log'!$AA$4:$AA$503,'Trade Log'!$D$4:$D$503,$A116),""))</f>
        <v/>
      </c>
      <c r="R116" s="53" t="str">
        <f aca="false">IF($A116="","",IFERROR(AVERAGEIFS('Trade Log'!$P$4:$P$503,'Trade Log'!$D$4:$D$503,$A116),""))</f>
        <v/>
      </c>
      <c r="S116" s="44" t="str">
        <f aca="false">IF($A116="","",IFERROR(AVERAGEIFS('Trade Log'!$AC$4:$AC$503,'Trade Log'!$D$4:$D$503,$A116),""))</f>
        <v/>
      </c>
      <c r="T116" s="55" t="str">
        <f aca="false">IF(OR($A116="",Summary!$B$13=0),"",$K116/Summary!$B$13)</f>
        <v/>
      </c>
      <c r="U116" s="41" t="str">
        <f aca="false">IF($A116="","",IFERROR(RANK($K116,$K$4:$K$153),""))</f>
        <v/>
      </c>
    </row>
    <row r="117" customFormat="false" ht="15" hidden="false" customHeight="false" outlineLevel="0" collapsed="false">
      <c r="A117" s="49"/>
      <c r="B117" s="41" t="str">
        <f aca="false">IF($A117="","",COUNTIFS('Trade Log'!$D$4:$D$503,$A117))</f>
        <v/>
      </c>
      <c r="C117" s="41" t="str">
        <f aca="false">IF($A117="","",COUNTIFS('Trade Log'!$D$4:$D$503,$A117,'Trade Log'!$E$4:$E$503,"LONG"))</f>
        <v/>
      </c>
      <c r="D117" s="41" t="str">
        <f aca="false">IF($A117="","",COUNTIFS('Trade Log'!$D$4:$D$503,$A117,'Trade Log'!$E$4:$E$503,"SHORT"))</f>
        <v/>
      </c>
      <c r="E117" s="41" t="str">
        <f aca="false">IF($A117="","",COUNTIFS('Trade Log'!$D$4:$D$503,$A117,'Trade Log'!$N$4:$N$503,"&lt;&gt;"))</f>
        <v/>
      </c>
      <c r="F117" s="40" t="str">
        <f aca="false">IF($A117="","",SUMIFS('Trade Log'!$K$4:$K$503,'Trade Log'!$D$4:$D$503,$A117))</f>
        <v/>
      </c>
      <c r="G117" s="40" t="str">
        <f aca="false">IF($A117="","",SUMIFS('Trade Log'!$Z$4:$Z$503,'Trade Log'!$D$4:$D$503,$A117,'Trade Log'!$E$4:$E$503,"LONG"))</f>
        <v/>
      </c>
      <c r="H117" s="40" t="str">
        <f aca="false">IF($A117="","",SUMIFS('Trade Log'!$Z$4:$Z$503,'Trade Log'!$D$4:$D$503,$A117,'Trade Log'!$E$4:$E$503,"SHORT"))</f>
        <v/>
      </c>
      <c r="I117" s="40" t="str">
        <f aca="false">IF($A117="","",SUMIFS('Trade Log'!$Q$4:$Q$503,'Trade Log'!$D$4:$D$503,$A117))</f>
        <v/>
      </c>
      <c r="J117" s="40" t="str">
        <f aca="false">IF($A117="","",SUMIFS('Trade Log'!$Y$4:$Y$503,'Trade Log'!$D$4:$D$503,$A117))</f>
        <v/>
      </c>
      <c r="K117" s="40" t="str">
        <f aca="false">IF($A117="","",SUMIFS('Trade Log'!$Z$4:$Z$503,'Trade Log'!$D$4:$D$503,$A117))</f>
        <v/>
      </c>
      <c r="L117" s="41" t="str">
        <f aca="false">IF($A117="","",COUNTIFS('Trade Log'!$D$4:$D$503,$A117,'Trade Log'!$Z$4:$Z$503,"&gt;0"))</f>
        <v/>
      </c>
      <c r="M117" s="55" t="str">
        <f aca="false">IF(OR($A117="",$E117=0),"",$L117/$E117)</f>
        <v/>
      </c>
      <c r="N117" s="40" t="str">
        <f aca="false">IF(OR($A117="",$E117=0),"",$K117/$E117)</f>
        <v/>
      </c>
      <c r="O117" s="40" t="str">
        <f aca="false">IF($A117="","",IFERROR(_xlfn.MAXIFS('Trade Log'!$Z$4:$Z$503,'Trade Log'!$D$4:$D$503,$A117),""))</f>
        <v/>
      </c>
      <c r="P117" s="40" t="str">
        <f aca="false">IF($A117="","",IFERROR(_xlfn.MINIFS('Trade Log'!$Z$4:$Z$503,'Trade Log'!$D$4:$D$503,$A117),""))</f>
        <v/>
      </c>
      <c r="Q117" s="55" t="str">
        <f aca="false">IF($A117="","",IFERROR(AVERAGEIFS('Trade Log'!$AA$4:$AA$503,'Trade Log'!$D$4:$D$503,$A117),""))</f>
        <v/>
      </c>
      <c r="R117" s="53" t="str">
        <f aca="false">IF($A117="","",IFERROR(AVERAGEIFS('Trade Log'!$P$4:$P$503,'Trade Log'!$D$4:$D$503,$A117),""))</f>
        <v/>
      </c>
      <c r="S117" s="44" t="str">
        <f aca="false">IF($A117="","",IFERROR(AVERAGEIFS('Trade Log'!$AC$4:$AC$503,'Trade Log'!$D$4:$D$503,$A117),""))</f>
        <v/>
      </c>
      <c r="T117" s="55" t="str">
        <f aca="false">IF(OR($A117="",Summary!$B$13=0),"",$K117/Summary!$B$13)</f>
        <v/>
      </c>
      <c r="U117" s="41" t="str">
        <f aca="false">IF($A117="","",IFERROR(RANK($K117,$K$4:$K$153),""))</f>
        <v/>
      </c>
    </row>
    <row r="118" customFormat="false" ht="15" hidden="false" customHeight="false" outlineLevel="0" collapsed="false">
      <c r="A118" s="49"/>
      <c r="B118" s="41" t="str">
        <f aca="false">IF($A118="","",COUNTIFS('Trade Log'!$D$4:$D$503,$A118))</f>
        <v/>
      </c>
      <c r="C118" s="41" t="str">
        <f aca="false">IF($A118="","",COUNTIFS('Trade Log'!$D$4:$D$503,$A118,'Trade Log'!$E$4:$E$503,"LONG"))</f>
        <v/>
      </c>
      <c r="D118" s="41" t="str">
        <f aca="false">IF($A118="","",COUNTIFS('Trade Log'!$D$4:$D$503,$A118,'Trade Log'!$E$4:$E$503,"SHORT"))</f>
        <v/>
      </c>
      <c r="E118" s="41" t="str">
        <f aca="false">IF($A118="","",COUNTIFS('Trade Log'!$D$4:$D$503,$A118,'Trade Log'!$N$4:$N$503,"&lt;&gt;"))</f>
        <v/>
      </c>
      <c r="F118" s="40" t="str">
        <f aca="false">IF($A118="","",SUMIFS('Trade Log'!$K$4:$K$503,'Trade Log'!$D$4:$D$503,$A118))</f>
        <v/>
      </c>
      <c r="G118" s="40" t="str">
        <f aca="false">IF($A118="","",SUMIFS('Trade Log'!$Z$4:$Z$503,'Trade Log'!$D$4:$D$503,$A118,'Trade Log'!$E$4:$E$503,"LONG"))</f>
        <v/>
      </c>
      <c r="H118" s="40" t="str">
        <f aca="false">IF($A118="","",SUMIFS('Trade Log'!$Z$4:$Z$503,'Trade Log'!$D$4:$D$503,$A118,'Trade Log'!$E$4:$E$503,"SHORT"))</f>
        <v/>
      </c>
      <c r="I118" s="40" t="str">
        <f aca="false">IF($A118="","",SUMIFS('Trade Log'!$Q$4:$Q$503,'Trade Log'!$D$4:$D$503,$A118))</f>
        <v/>
      </c>
      <c r="J118" s="40" t="str">
        <f aca="false">IF($A118="","",SUMIFS('Trade Log'!$Y$4:$Y$503,'Trade Log'!$D$4:$D$503,$A118))</f>
        <v/>
      </c>
      <c r="K118" s="40" t="str">
        <f aca="false">IF($A118="","",SUMIFS('Trade Log'!$Z$4:$Z$503,'Trade Log'!$D$4:$D$503,$A118))</f>
        <v/>
      </c>
      <c r="L118" s="41" t="str">
        <f aca="false">IF($A118="","",COUNTIFS('Trade Log'!$D$4:$D$503,$A118,'Trade Log'!$Z$4:$Z$503,"&gt;0"))</f>
        <v/>
      </c>
      <c r="M118" s="55" t="str">
        <f aca="false">IF(OR($A118="",$E118=0),"",$L118/$E118)</f>
        <v/>
      </c>
      <c r="N118" s="40" t="str">
        <f aca="false">IF(OR($A118="",$E118=0),"",$K118/$E118)</f>
        <v/>
      </c>
      <c r="O118" s="40" t="str">
        <f aca="false">IF($A118="","",IFERROR(_xlfn.MAXIFS('Trade Log'!$Z$4:$Z$503,'Trade Log'!$D$4:$D$503,$A118),""))</f>
        <v/>
      </c>
      <c r="P118" s="40" t="str">
        <f aca="false">IF($A118="","",IFERROR(_xlfn.MINIFS('Trade Log'!$Z$4:$Z$503,'Trade Log'!$D$4:$D$503,$A118),""))</f>
        <v/>
      </c>
      <c r="Q118" s="55" t="str">
        <f aca="false">IF($A118="","",IFERROR(AVERAGEIFS('Trade Log'!$AA$4:$AA$503,'Trade Log'!$D$4:$D$503,$A118),""))</f>
        <v/>
      </c>
      <c r="R118" s="53" t="str">
        <f aca="false">IF($A118="","",IFERROR(AVERAGEIFS('Trade Log'!$P$4:$P$503,'Trade Log'!$D$4:$D$503,$A118),""))</f>
        <v/>
      </c>
      <c r="S118" s="44" t="str">
        <f aca="false">IF($A118="","",IFERROR(AVERAGEIFS('Trade Log'!$AC$4:$AC$503,'Trade Log'!$D$4:$D$503,$A118),""))</f>
        <v/>
      </c>
      <c r="T118" s="55" t="str">
        <f aca="false">IF(OR($A118="",Summary!$B$13=0),"",$K118/Summary!$B$13)</f>
        <v/>
      </c>
      <c r="U118" s="41" t="str">
        <f aca="false">IF($A118="","",IFERROR(RANK($K118,$K$4:$K$153),""))</f>
        <v/>
      </c>
    </row>
    <row r="119" customFormat="false" ht="15" hidden="false" customHeight="false" outlineLevel="0" collapsed="false">
      <c r="A119" s="49"/>
      <c r="B119" s="41" t="str">
        <f aca="false">IF($A119="","",COUNTIFS('Trade Log'!$D$4:$D$503,$A119))</f>
        <v/>
      </c>
      <c r="C119" s="41" t="str">
        <f aca="false">IF($A119="","",COUNTIFS('Trade Log'!$D$4:$D$503,$A119,'Trade Log'!$E$4:$E$503,"LONG"))</f>
        <v/>
      </c>
      <c r="D119" s="41" t="str">
        <f aca="false">IF($A119="","",COUNTIFS('Trade Log'!$D$4:$D$503,$A119,'Trade Log'!$E$4:$E$503,"SHORT"))</f>
        <v/>
      </c>
      <c r="E119" s="41" t="str">
        <f aca="false">IF($A119="","",COUNTIFS('Trade Log'!$D$4:$D$503,$A119,'Trade Log'!$N$4:$N$503,"&lt;&gt;"))</f>
        <v/>
      </c>
      <c r="F119" s="40" t="str">
        <f aca="false">IF($A119="","",SUMIFS('Trade Log'!$K$4:$K$503,'Trade Log'!$D$4:$D$503,$A119))</f>
        <v/>
      </c>
      <c r="G119" s="40" t="str">
        <f aca="false">IF($A119="","",SUMIFS('Trade Log'!$Z$4:$Z$503,'Trade Log'!$D$4:$D$503,$A119,'Trade Log'!$E$4:$E$503,"LONG"))</f>
        <v/>
      </c>
      <c r="H119" s="40" t="str">
        <f aca="false">IF($A119="","",SUMIFS('Trade Log'!$Z$4:$Z$503,'Trade Log'!$D$4:$D$503,$A119,'Trade Log'!$E$4:$E$503,"SHORT"))</f>
        <v/>
      </c>
      <c r="I119" s="40" t="str">
        <f aca="false">IF($A119="","",SUMIFS('Trade Log'!$Q$4:$Q$503,'Trade Log'!$D$4:$D$503,$A119))</f>
        <v/>
      </c>
      <c r="J119" s="40" t="str">
        <f aca="false">IF($A119="","",SUMIFS('Trade Log'!$Y$4:$Y$503,'Trade Log'!$D$4:$D$503,$A119))</f>
        <v/>
      </c>
      <c r="K119" s="40" t="str">
        <f aca="false">IF($A119="","",SUMIFS('Trade Log'!$Z$4:$Z$503,'Trade Log'!$D$4:$D$503,$A119))</f>
        <v/>
      </c>
      <c r="L119" s="41" t="str">
        <f aca="false">IF($A119="","",COUNTIFS('Trade Log'!$D$4:$D$503,$A119,'Trade Log'!$Z$4:$Z$503,"&gt;0"))</f>
        <v/>
      </c>
      <c r="M119" s="55" t="str">
        <f aca="false">IF(OR($A119="",$E119=0),"",$L119/$E119)</f>
        <v/>
      </c>
      <c r="N119" s="40" t="str">
        <f aca="false">IF(OR($A119="",$E119=0),"",$K119/$E119)</f>
        <v/>
      </c>
      <c r="O119" s="40" t="str">
        <f aca="false">IF($A119="","",IFERROR(_xlfn.MAXIFS('Trade Log'!$Z$4:$Z$503,'Trade Log'!$D$4:$D$503,$A119),""))</f>
        <v/>
      </c>
      <c r="P119" s="40" t="str">
        <f aca="false">IF($A119="","",IFERROR(_xlfn.MINIFS('Trade Log'!$Z$4:$Z$503,'Trade Log'!$D$4:$D$503,$A119),""))</f>
        <v/>
      </c>
      <c r="Q119" s="55" t="str">
        <f aca="false">IF($A119="","",IFERROR(AVERAGEIFS('Trade Log'!$AA$4:$AA$503,'Trade Log'!$D$4:$D$503,$A119),""))</f>
        <v/>
      </c>
      <c r="R119" s="53" t="str">
        <f aca="false">IF($A119="","",IFERROR(AVERAGEIFS('Trade Log'!$P$4:$P$503,'Trade Log'!$D$4:$D$503,$A119),""))</f>
        <v/>
      </c>
      <c r="S119" s="44" t="str">
        <f aca="false">IF($A119="","",IFERROR(AVERAGEIFS('Trade Log'!$AC$4:$AC$503,'Trade Log'!$D$4:$D$503,$A119),""))</f>
        <v/>
      </c>
      <c r="T119" s="55" t="str">
        <f aca="false">IF(OR($A119="",Summary!$B$13=0),"",$K119/Summary!$B$13)</f>
        <v/>
      </c>
      <c r="U119" s="41" t="str">
        <f aca="false">IF($A119="","",IFERROR(RANK($K119,$K$4:$K$153),""))</f>
        <v/>
      </c>
    </row>
    <row r="120" customFormat="false" ht="15" hidden="false" customHeight="false" outlineLevel="0" collapsed="false">
      <c r="A120" s="49"/>
      <c r="B120" s="41" t="str">
        <f aca="false">IF($A120="","",COUNTIFS('Trade Log'!$D$4:$D$503,$A120))</f>
        <v/>
      </c>
      <c r="C120" s="41" t="str">
        <f aca="false">IF($A120="","",COUNTIFS('Trade Log'!$D$4:$D$503,$A120,'Trade Log'!$E$4:$E$503,"LONG"))</f>
        <v/>
      </c>
      <c r="D120" s="41" t="str">
        <f aca="false">IF($A120="","",COUNTIFS('Trade Log'!$D$4:$D$503,$A120,'Trade Log'!$E$4:$E$503,"SHORT"))</f>
        <v/>
      </c>
      <c r="E120" s="41" t="str">
        <f aca="false">IF($A120="","",COUNTIFS('Trade Log'!$D$4:$D$503,$A120,'Trade Log'!$N$4:$N$503,"&lt;&gt;"))</f>
        <v/>
      </c>
      <c r="F120" s="40" t="str">
        <f aca="false">IF($A120="","",SUMIFS('Trade Log'!$K$4:$K$503,'Trade Log'!$D$4:$D$503,$A120))</f>
        <v/>
      </c>
      <c r="G120" s="40" t="str">
        <f aca="false">IF($A120="","",SUMIFS('Trade Log'!$Z$4:$Z$503,'Trade Log'!$D$4:$D$503,$A120,'Trade Log'!$E$4:$E$503,"LONG"))</f>
        <v/>
      </c>
      <c r="H120" s="40" t="str">
        <f aca="false">IF($A120="","",SUMIFS('Trade Log'!$Z$4:$Z$503,'Trade Log'!$D$4:$D$503,$A120,'Trade Log'!$E$4:$E$503,"SHORT"))</f>
        <v/>
      </c>
      <c r="I120" s="40" t="str">
        <f aca="false">IF($A120="","",SUMIFS('Trade Log'!$Q$4:$Q$503,'Trade Log'!$D$4:$D$503,$A120))</f>
        <v/>
      </c>
      <c r="J120" s="40" t="str">
        <f aca="false">IF($A120="","",SUMIFS('Trade Log'!$Y$4:$Y$503,'Trade Log'!$D$4:$D$503,$A120))</f>
        <v/>
      </c>
      <c r="K120" s="40" t="str">
        <f aca="false">IF($A120="","",SUMIFS('Trade Log'!$Z$4:$Z$503,'Trade Log'!$D$4:$D$503,$A120))</f>
        <v/>
      </c>
      <c r="L120" s="41" t="str">
        <f aca="false">IF($A120="","",COUNTIFS('Trade Log'!$D$4:$D$503,$A120,'Trade Log'!$Z$4:$Z$503,"&gt;0"))</f>
        <v/>
      </c>
      <c r="M120" s="55" t="str">
        <f aca="false">IF(OR($A120="",$E120=0),"",$L120/$E120)</f>
        <v/>
      </c>
      <c r="N120" s="40" t="str">
        <f aca="false">IF(OR($A120="",$E120=0),"",$K120/$E120)</f>
        <v/>
      </c>
      <c r="O120" s="40" t="str">
        <f aca="false">IF($A120="","",IFERROR(_xlfn.MAXIFS('Trade Log'!$Z$4:$Z$503,'Trade Log'!$D$4:$D$503,$A120),""))</f>
        <v/>
      </c>
      <c r="P120" s="40" t="str">
        <f aca="false">IF($A120="","",IFERROR(_xlfn.MINIFS('Trade Log'!$Z$4:$Z$503,'Trade Log'!$D$4:$D$503,$A120),""))</f>
        <v/>
      </c>
      <c r="Q120" s="55" t="str">
        <f aca="false">IF($A120="","",IFERROR(AVERAGEIFS('Trade Log'!$AA$4:$AA$503,'Trade Log'!$D$4:$D$503,$A120),""))</f>
        <v/>
      </c>
      <c r="R120" s="53" t="str">
        <f aca="false">IF($A120="","",IFERROR(AVERAGEIFS('Trade Log'!$P$4:$P$503,'Trade Log'!$D$4:$D$503,$A120),""))</f>
        <v/>
      </c>
      <c r="S120" s="44" t="str">
        <f aca="false">IF($A120="","",IFERROR(AVERAGEIFS('Trade Log'!$AC$4:$AC$503,'Trade Log'!$D$4:$D$503,$A120),""))</f>
        <v/>
      </c>
      <c r="T120" s="55" t="str">
        <f aca="false">IF(OR($A120="",Summary!$B$13=0),"",$K120/Summary!$B$13)</f>
        <v/>
      </c>
      <c r="U120" s="41" t="str">
        <f aca="false">IF($A120="","",IFERROR(RANK($K120,$K$4:$K$153),""))</f>
        <v/>
      </c>
    </row>
    <row r="121" customFormat="false" ht="15" hidden="false" customHeight="false" outlineLevel="0" collapsed="false">
      <c r="A121" s="49"/>
      <c r="B121" s="41" t="str">
        <f aca="false">IF($A121="","",COUNTIFS('Trade Log'!$D$4:$D$503,$A121))</f>
        <v/>
      </c>
      <c r="C121" s="41" t="str">
        <f aca="false">IF($A121="","",COUNTIFS('Trade Log'!$D$4:$D$503,$A121,'Trade Log'!$E$4:$E$503,"LONG"))</f>
        <v/>
      </c>
      <c r="D121" s="41" t="str">
        <f aca="false">IF($A121="","",COUNTIFS('Trade Log'!$D$4:$D$503,$A121,'Trade Log'!$E$4:$E$503,"SHORT"))</f>
        <v/>
      </c>
      <c r="E121" s="41" t="str">
        <f aca="false">IF($A121="","",COUNTIFS('Trade Log'!$D$4:$D$503,$A121,'Trade Log'!$N$4:$N$503,"&lt;&gt;"))</f>
        <v/>
      </c>
      <c r="F121" s="40" t="str">
        <f aca="false">IF($A121="","",SUMIFS('Trade Log'!$K$4:$K$503,'Trade Log'!$D$4:$D$503,$A121))</f>
        <v/>
      </c>
      <c r="G121" s="40" t="str">
        <f aca="false">IF($A121="","",SUMIFS('Trade Log'!$Z$4:$Z$503,'Trade Log'!$D$4:$D$503,$A121,'Trade Log'!$E$4:$E$503,"LONG"))</f>
        <v/>
      </c>
      <c r="H121" s="40" t="str">
        <f aca="false">IF($A121="","",SUMIFS('Trade Log'!$Z$4:$Z$503,'Trade Log'!$D$4:$D$503,$A121,'Trade Log'!$E$4:$E$503,"SHORT"))</f>
        <v/>
      </c>
      <c r="I121" s="40" t="str">
        <f aca="false">IF($A121="","",SUMIFS('Trade Log'!$Q$4:$Q$503,'Trade Log'!$D$4:$D$503,$A121))</f>
        <v/>
      </c>
      <c r="J121" s="40" t="str">
        <f aca="false">IF($A121="","",SUMIFS('Trade Log'!$Y$4:$Y$503,'Trade Log'!$D$4:$D$503,$A121))</f>
        <v/>
      </c>
      <c r="K121" s="40" t="str">
        <f aca="false">IF($A121="","",SUMIFS('Trade Log'!$Z$4:$Z$503,'Trade Log'!$D$4:$D$503,$A121))</f>
        <v/>
      </c>
      <c r="L121" s="41" t="str">
        <f aca="false">IF($A121="","",COUNTIFS('Trade Log'!$D$4:$D$503,$A121,'Trade Log'!$Z$4:$Z$503,"&gt;0"))</f>
        <v/>
      </c>
      <c r="M121" s="55" t="str">
        <f aca="false">IF(OR($A121="",$E121=0),"",$L121/$E121)</f>
        <v/>
      </c>
      <c r="N121" s="40" t="str">
        <f aca="false">IF(OR($A121="",$E121=0),"",$K121/$E121)</f>
        <v/>
      </c>
      <c r="O121" s="40" t="str">
        <f aca="false">IF($A121="","",IFERROR(_xlfn.MAXIFS('Trade Log'!$Z$4:$Z$503,'Trade Log'!$D$4:$D$503,$A121),""))</f>
        <v/>
      </c>
      <c r="P121" s="40" t="str">
        <f aca="false">IF($A121="","",IFERROR(_xlfn.MINIFS('Trade Log'!$Z$4:$Z$503,'Trade Log'!$D$4:$D$503,$A121),""))</f>
        <v/>
      </c>
      <c r="Q121" s="55" t="str">
        <f aca="false">IF($A121="","",IFERROR(AVERAGEIFS('Trade Log'!$AA$4:$AA$503,'Trade Log'!$D$4:$D$503,$A121),""))</f>
        <v/>
      </c>
      <c r="R121" s="53" t="str">
        <f aca="false">IF($A121="","",IFERROR(AVERAGEIFS('Trade Log'!$P$4:$P$503,'Trade Log'!$D$4:$D$503,$A121),""))</f>
        <v/>
      </c>
      <c r="S121" s="44" t="str">
        <f aca="false">IF($A121="","",IFERROR(AVERAGEIFS('Trade Log'!$AC$4:$AC$503,'Trade Log'!$D$4:$D$503,$A121),""))</f>
        <v/>
      </c>
      <c r="T121" s="55" t="str">
        <f aca="false">IF(OR($A121="",Summary!$B$13=0),"",$K121/Summary!$B$13)</f>
        <v/>
      </c>
      <c r="U121" s="41" t="str">
        <f aca="false">IF($A121="","",IFERROR(RANK($K121,$K$4:$K$153),""))</f>
        <v/>
      </c>
    </row>
    <row r="122" customFormat="false" ht="15" hidden="false" customHeight="false" outlineLevel="0" collapsed="false">
      <c r="A122" s="49"/>
      <c r="B122" s="41" t="str">
        <f aca="false">IF($A122="","",COUNTIFS('Trade Log'!$D$4:$D$503,$A122))</f>
        <v/>
      </c>
      <c r="C122" s="41" t="str">
        <f aca="false">IF($A122="","",COUNTIFS('Trade Log'!$D$4:$D$503,$A122,'Trade Log'!$E$4:$E$503,"LONG"))</f>
        <v/>
      </c>
      <c r="D122" s="41" t="str">
        <f aca="false">IF($A122="","",COUNTIFS('Trade Log'!$D$4:$D$503,$A122,'Trade Log'!$E$4:$E$503,"SHORT"))</f>
        <v/>
      </c>
      <c r="E122" s="41" t="str">
        <f aca="false">IF($A122="","",COUNTIFS('Trade Log'!$D$4:$D$503,$A122,'Trade Log'!$N$4:$N$503,"&lt;&gt;"))</f>
        <v/>
      </c>
      <c r="F122" s="40" t="str">
        <f aca="false">IF($A122="","",SUMIFS('Trade Log'!$K$4:$K$503,'Trade Log'!$D$4:$D$503,$A122))</f>
        <v/>
      </c>
      <c r="G122" s="40" t="str">
        <f aca="false">IF($A122="","",SUMIFS('Trade Log'!$Z$4:$Z$503,'Trade Log'!$D$4:$D$503,$A122,'Trade Log'!$E$4:$E$503,"LONG"))</f>
        <v/>
      </c>
      <c r="H122" s="40" t="str">
        <f aca="false">IF($A122="","",SUMIFS('Trade Log'!$Z$4:$Z$503,'Trade Log'!$D$4:$D$503,$A122,'Trade Log'!$E$4:$E$503,"SHORT"))</f>
        <v/>
      </c>
      <c r="I122" s="40" t="str">
        <f aca="false">IF($A122="","",SUMIFS('Trade Log'!$Q$4:$Q$503,'Trade Log'!$D$4:$D$503,$A122))</f>
        <v/>
      </c>
      <c r="J122" s="40" t="str">
        <f aca="false">IF($A122="","",SUMIFS('Trade Log'!$Y$4:$Y$503,'Trade Log'!$D$4:$D$503,$A122))</f>
        <v/>
      </c>
      <c r="K122" s="40" t="str">
        <f aca="false">IF($A122="","",SUMIFS('Trade Log'!$Z$4:$Z$503,'Trade Log'!$D$4:$D$503,$A122))</f>
        <v/>
      </c>
      <c r="L122" s="41" t="str">
        <f aca="false">IF($A122="","",COUNTIFS('Trade Log'!$D$4:$D$503,$A122,'Trade Log'!$Z$4:$Z$503,"&gt;0"))</f>
        <v/>
      </c>
      <c r="M122" s="55" t="str">
        <f aca="false">IF(OR($A122="",$E122=0),"",$L122/$E122)</f>
        <v/>
      </c>
      <c r="N122" s="40" t="str">
        <f aca="false">IF(OR($A122="",$E122=0),"",$K122/$E122)</f>
        <v/>
      </c>
      <c r="O122" s="40" t="str">
        <f aca="false">IF($A122="","",IFERROR(_xlfn.MAXIFS('Trade Log'!$Z$4:$Z$503,'Trade Log'!$D$4:$D$503,$A122),""))</f>
        <v/>
      </c>
      <c r="P122" s="40" t="str">
        <f aca="false">IF($A122="","",IFERROR(_xlfn.MINIFS('Trade Log'!$Z$4:$Z$503,'Trade Log'!$D$4:$D$503,$A122),""))</f>
        <v/>
      </c>
      <c r="Q122" s="55" t="str">
        <f aca="false">IF($A122="","",IFERROR(AVERAGEIFS('Trade Log'!$AA$4:$AA$503,'Trade Log'!$D$4:$D$503,$A122),""))</f>
        <v/>
      </c>
      <c r="R122" s="53" t="str">
        <f aca="false">IF($A122="","",IFERROR(AVERAGEIFS('Trade Log'!$P$4:$P$503,'Trade Log'!$D$4:$D$503,$A122),""))</f>
        <v/>
      </c>
      <c r="S122" s="44" t="str">
        <f aca="false">IF($A122="","",IFERROR(AVERAGEIFS('Trade Log'!$AC$4:$AC$503,'Trade Log'!$D$4:$D$503,$A122),""))</f>
        <v/>
      </c>
      <c r="T122" s="55" t="str">
        <f aca="false">IF(OR($A122="",Summary!$B$13=0),"",$K122/Summary!$B$13)</f>
        <v/>
      </c>
      <c r="U122" s="41" t="str">
        <f aca="false">IF($A122="","",IFERROR(RANK($K122,$K$4:$K$153),""))</f>
        <v/>
      </c>
    </row>
    <row r="123" customFormat="false" ht="15" hidden="false" customHeight="false" outlineLevel="0" collapsed="false">
      <c r="A123" s="49"/>
      <c r="B123" s="41" t="str">
        <f aca="false">IF($A123="","",COUNTIFS('Trade Log'!$D$4:$D$503,$A123))</f>
        <v/>
      </c>
      <c r="C123" s="41" t="str">
        <f aca="false">IF($A123="","",COUNTIFS('Trade Log'!$D$4:$D$503,$A123,'Trade Log'!$E$4:$E$503,"LONG"))</f>
        <v/>
      </c>
      <c r="D123" s="41" t="str">
        <f aca="false">IF($A123="","",COUNTIFS('Trade Log'!$D$4:$D$503,$A123,'Trade Log'!$E$4:$E$503,"SHORT"))</f>
        <v/>
      </c>
      <c r="E123" s="41" t="str">
        <f aca="false">IF($A123="","",COUNTIFS('Trade Log'!$D$4:$D$503,$A123,'Trade Log'!$N$4:$N$503,"&lt;&gt;"))</f>
        <v/>
      </c>
      <c r="F123" s="40" t="str">
        <f aca="false">IF($A123="","",SUMIFS('Trade Log'!$K$4:$K$503,'Trade Log'!$D$4:$D$503,$A123))</f>
        <v/>
      </c>
      <c r="G123" s="40" t="str">
        <f aca="false">IF($A123="","",SUMIFS('Trade Log'!$Z$4:$Z$503,'Trade Log'!$D$4:$D$503,$A123,'Trade Log'!$E$4:$E$503,"LONG"))</f>
        <v/>
      </c>
      <c r="H123" s="40" t="str">
        <f aca="false">IF($A123="","",SUMIFS('Trade Log'!$Z$4:$Z$503,'Trade Log'!$D$4:$D$503,$A123,'Trade Log'!$E$4:$E$503,"SHORT"))</f>
        <v/>
      </c>
      <c r="I123" s="40" t="str">
        <f aca="false">IF($A123="","",SUMIFS('Trade Log'!$Q$4:$Q$503,'Trade Log'!$D$4:$D$503,$A123))</f>
        <v/>
      </c>
      <c r="J123" s="40" t="str">
        <f aca="false">IF($A123="","",SUMIFS('Trade Log'!$Y$4:$Y$503,'Trade Log'!$D$4:$D$503,$A123))</f>
        <v/>
      </c>
      <c r="K123" s="40" t="str">
        <f aca="false">IF($A123="","",SUMIFS('Trade Log'!$Z$4:$Z$503,'Trade Log'!$D$4:$D$503,$A123))</f>
        <v/>
      </c>
      <c r="L123" s="41" t="str">
        <f aca="false">IF($A123="","",COUNTIFS('Trade Log'!$D$4:$D$503,$A123,'Trade Log'!$Z$4:$Z$503,"&gt;0"))</f>
        <v/>
      </c>
      <c r="M123" s="55" t="str">
        <f aca="false">IF(OR($A123="",$E123=0),"",$L123/$E123)</f>
        <v/>
      </c>
      <c r="N123" s="40" t="str">
        <f aca="false">IF(OR($A123="",$E123=0),"",$K123/$E123)</f>
        <v/>
      </c>
      <c r="O123" s="40" t="str">
        <f aca="false">IF($A123="","",IFERROR(_xlfn.MAXIFS('Trade Log'!$Z$4:$Z$503,'Trade Log'!$D$4:$D$503,$A123),""))</f>
        <v/>
      </c>
      <c r="P123" s="40" t="str">
        <f aca="false">IF($A123="","",IFERROR(_xlfn.MINIFS('Trade Log'!$Z$4:$Z$503,'Trade Log'!$D$4:$D$503,$A123),""))</f>
        <v/>
      </c>
      <c r="Q123" s="55" t="str">
        <f aca="false">IF($A123="","",IFERROR(AVERAGEIFS('Trade Log'!$AA$4:$AA$503,'Trade Log'!$D$4:$D$503,$A123),""))</f>
        <v/>
      </c>
      <c r="R123" s="53" t="str">
        <f aca="false">IF($A123="","",IFERROR(AVERAGEIFS('Trade Log'!$P$4:$P$503,'Trade Log'!$D$4:$D$503,$A123),""))</f>
        <v/>
      </c>
      <c r="S123" s="44" t="str">
        <f aca="false">IF($A123="","",IFERROR(AVERAGEIFS('Trade Log'!$AC$4:$AC$503,'Trade Log'!$D$4:$D$503,$A123),""))</f>
        <v/>
      </c>
      <c r="T123" s="55" t="str">
        <f aca="false">IF(OR($A123="",Summary!$B$13=0),"",$K123/Summary!$B$13)</f>
        <v/>
      </c>
      <c r="U123" s="41" t="str">
        <f aca="false">IF($A123="","",IFERROR(RANK($K123,$K$4:$K$153),""))</f>
        <v/>
      </c>
    </row>
    <row r="124" customFormat="false" ht="15" hidden="false" customHeight="false" outlineLevel="0" collapsed="false">
      <c r="A124" s="49"/>
      <c r="B124" s="41" t="str">
        <f aca="false">IF($A124="","",COUNTIFS('Trade Log'!$D$4:$D$503,$A124))</f>
        <v/>
      </c>
      <c r="C124" s="41" t="str">
        <f aca="false">IF($A124="","",COUNTIFS('Trade Log'!$D$4:$D$503,$A124,'Trade Log'!$E$4:$E$503,"LONG"))</f>
        <v/>
      </c>
      <c r="D124" s="41" t="str">
        <f aca="false">IF($A124="","",COUNTIFS('Trade Log'!$D$4:$D$503,$A124,'Trade Log'!$E$4:$E$503,"SHORT"))</f>
        <v/>
      </c>
      <c r="E124" s="41" t="str">
        <f aca="false">IF($A124="","",COUNTIFS('Trade Log'!$D$4:$D$503,$A124,'Trade Log'!$N$4:$N$503,"&lt;&gt;"))</f>
        <v/>
      </c>
      <c r="F124" s="40" t="str">
        <f aca="false">IF($A124="","",SUMIFS('Trade Log'!$K$4:$K$503,'Trade Log'!$D$4:$D$503,$A124))</f>
        <v/>
      </c>
      <c r="G124" s="40" t="str">
        <f aca="false">IF($A124="","",SUMIFS('Trade Log'!$Z$4:$Z$503,'Trade Log'!$D$4:$D$503,$A124,'Trade Log'!$E$4:$E$503,"LONG"))</f>
        <v/>
      </c>
      <c r="H124" s="40" t="str">
        <f aca="false">IF($A124="","",SUMIFS('Trade Log'!$Z$4:$Z$503,'Trade Log'!$D$4:$D$503,$A124,'Trade Log'!$E$4:$E$503,"SHORT"))</f>
        <v/>
      </c>
      <c r="I124" s="40" t="str">
        <f aca="false">IF($A124="","",SUMIFS('Trade Log'!$Q$4:$Q$503,'Trade Log'!$D$4:$D$503,$A124))</f>
        <v/>
      </c>
      <c r="J124" s="40" t="str">
        <f aca="false">IF($A124="","",SUMIFS('Trade Log'!$Y$4:$Y$503,'Trade Log'!$D$4:$D$503,$A124))</f>
        <v/>
      </c>
      <c r="K124" s="40" t="str">
        <f aca="false">IF($A124="","",SUMIFS('Trade Log'!$Z$4:$Z$503,'Trade Log'!$D$4:$D$503,$A124))</f>
        <v/>
      </c>
      <c r="L124" s="41" t="str">
        <f aca="false">IF($A124="","",COUNTIFS('Trade Log'!$D$4:$D$503,$A124,'Trade Log'!$Z$4:$Z$503,"&gt;0"))</f>
        <v/>
      </c>
      <c r="M124" s="55" t="str">
        <f aca="false">IF(OR($A124="",$E124=0),"",$L124/$E124)</f>
        <v/>
      </c>
      <c r="N124" s="40" t="str">
        <f aca="false">IF(OR($A124="",$E124=0),"",$K124/$E124)</f>
        <v/>
      </c>
      <c r="O124" s="40" t="str">
        <f aca="false">IF($A124="","",IFERROR(_xlfn.MAXIFS('Trade Log'!$Z$4:$Z$503,'Trade Log'!$D$4:$D$503,$A124),""))</f>
        <v/>
      </c>
      <c r="P124" s="40" t="str">
        <f aca="false">IF($A124="","",IFERROR(_xlfn.MINIFS('Trade Log'!$Z$4:$Z$503,'Trade Log'!$D$4:$D$503,$A124),""))</f>
        <v/>
      </c>
      <c r="Q124" s="55" t="str">
        <f aca="false">IF($A124="","",IFERROR(AVERAGEIFS('Trade Log'!$AA$4:$AA$503,'Trade Log'!$D$4:$D$503,$A124),""))</f>
        <v/>
      </c>
      <c r="R124" s="53" t="str">
        <f aca="false">IF($A124="","",IFERROR(AVERAGEIFS('Trade Log'!$P$4:$P$503,'Trade Log'!$D$4:$D$503,$A124),""))</f>
        <v/>
      </c>
      <c r="S124" s="44" t="str">
        <f aca="false">IF($A124="","",IFERROR(AVERAGEIFS('Trade Log'!$AC$4:$AC$503,'Trade Log'!$D$4:$D$503,$A124),""))</f>
        <v/>
      </c>
      <c r="T124" s="55" t="str">
        <f aca="false">IF(OR($A124="",Summary!$B$13=0),"",$K124/Summary!$B$13)</f>
        <v/>
      </c>
      <c r="U124" s="41" t="str">
        <f aca="false">IF($A124="","",IFERROR(RANK($K124,$K$4:$K$153),""))</f>
        <v/>
      </c>
    </row>
    <row r="125" customFormat="false" ht="15" hidden="false" customHeight="false" outlineLevel="0" collapsed="false">
      <c r="A125" s="49"/>
      <c r="B125" s="41" t="str">
        <f aca="false">IF($A125="","",COUNTIFS('Trade Log'!$D$4:$D$503,$A125))</f>
        <v/>
      </c>
      <c r="C125" s="41" t="str">
        <f aca="false">IF($A125="","",COUNTIFS('Trade Log'!$D$4:$D$503,$A125,'Trade Log'!$E$4:$E$503,"LONG"))</f>
        <v/>
      </c>
      <c r="D125" s="41" t="str">
        <f aca="false">IF($A125="","",COUNTIFS('Trade Log'!$D$4:$D$503,$A125,'Trade Log'!$E$4:$E$503,"SHORT"))</f>
        <v/>
      </c>
      <c r="E125" s="41" t="str">
        <f aca="false">IF($A125="","",COUNTIFS('Trade Log'!$D$4:$D$503,$A125,'Trade Log'!$N$4:$N$503,"&lt;&gt;"))</f>
        <v/>
      </c>
      <c r="F125" s="40" t="str">
        <f aca="false">IF($A125="","",SUMIFS('Trade Log'!$K$4:$K$503,'Trade Log'!$D$4:$D$503,$A125))</f>
        <v/>
      </c>
      <c r="G125" s="40" t="str">
        <f aca="false">IF($A125="","",SUMIFS('Trade Log'!$Z$4:$Z$503,'Trade Log'!$D$4:$D$503,$A125,'Trade Log'!$E$4:$E$503,"LONG"))</f>
        <v/>
      </c>
      <c r="H125" s="40" t="str">
        <f aca="false">IF($A125="","",SUMIFS('Trade Log'!$Z$4:$Z$503,'Trade Log'!$D$4:$D$503,$A125,'Trade Log'!$E$4:$E$503,"SHORT"))</f>
        <v/>
      </c>
      <c r="I125" s="40" t="str">
        <f aca="false">IF($A125="","",SUMIFS('Trade Log'!$Q$4:$Q$503,'Trade Log'!$D$4:$D$503,$A125))</f>
        <v/>
      </c>
      <c r="J125" s="40" t="str">
        <f aca="false">IF($A125="","",SUMIFS('Trade Log'!$Y$4:$Y$503,'Trade Log'!$D$4:$D$503,$A125))</f>
        <v/>
      </c>
      <c r="K125" s="40" t="str">
        <f aca="false">IF($A125="","",SUMIFS('Trade Log'!$Z$4:$Z$503,'Trade Log'!$D$4:$D$503,$A125))</f>
        <v/>
      </c>
      <c r="L125" s="41" t="str">
        <f aca="false">IF($A125="","",COUNTIFS('Trade Log'!$D$4:$D$503,$A125,'Trade Log'!$Z$4:$Z$503,"&gt;0"))</f>
        <v/>
      </c>
      <c r="M125" s="55" t="str">
        <f aca="false">IF(OR($A125="",$E125=0),"",$L125/$E125)</f>
        <v/>
      </c>
      <c r="N125" s="40" t="str">
        <f aca="false">IF(OR($A125="",$E125=0),"",$K125/$E125)</f>
        <v/>
      </c>
      <c r="O125" s="40" t="str">
        <f aca="false">IF($A125="","",IFERROR(_xlfn.MAXIFS('Trade Log'!$Z$4:$Z$503,'Trade Log'!$D$4:$D$503,$A125),""))</f>
        <v/>
      </c>
      <c r="P125" s="40" t="str">
        <f aca="false">IF($A125="","",IFERROR(_xlfn.MINIFS('Trade Log'!$Z$4:$Z$503,'Trade Log'!$D$4:$D$503,$A125),""))</f>
        <v/>
      </c>
      <c r="Q125" s="55" t="str">
        <f aca="false">IF($A125="","",IFERROR(AVERAGEIFS('Trade Log'!$AA$4:$AA$503,'Trade Log'!$D$4:$D$503,$A125),""))</f>
        <v/>
      </c>
      <c r="R125" s="53" t="str">
        <f aca="false">IF($A125="","",IFERROR(AVERAGEIFS('Trade Log'!$P$4:$P$503,'Trade Log'!$D$4:$D$503,$A125),""))</f>
        <v/>
      </c>
      <c r="S125" s="44" t="str">
        <f aca="false">IF($A125="","",IFERROR(AVERAGEIFS('Trade Log'!$AC$4:$AC$503,'Trade Log'!$D$4:$D$503,$A125),""))</f>
        <v/>
      </c>
      <c r="T125" s="55" t="str">
        <f aca="false">IF(OR($A125="",Summary!$B$13=0),"",$K125/Summary!$B$13)</f>
        <v/>
      </c>
      <c r="U125" s="41" t="str">
        <f aca="false">IF($A125="","",IFERROR(RANK($K125,$K$4:$K$153),""))</f>
        <v/>
      </c>
    </row>
    <row r="126" customFormat="false" ht="15" hidden="false" customHeight="false" outlineLevel="0" collapsed="false">
      <c r="A126" s="49"/>
      <c r="B126" s="41" t="str">
        <f aca="false">IF($A126="","",COUNTIFS('Trade Log'!$D$4:$D$503,$A126))</f>
        <v/>
      </c>
      <c r="C126" s="41" t="str">
        <f aca="false">IF($A126="","",COUNTIFS('Trade Log'!$D$4:$D$503,$A126,'Trade Log'!$E$4:$E$503,"LONG"))</f>
        <v/>
      </c>
      <c r="D126" s="41" t="str">
        <f aca="false">IF($A126="","",COUNTIFS('Trade Log'!$D$4:$D$503,$A126,'Trade Log'!$E$4:$E$503,"SHORT"))</f>
        <v/>
      </c>
      <c r="E126" s="41" t="str">
        <f aca="false">IF($A126="","",COUNTIFS('Trade Log'!$D$4:$D$503,$A126,'Trade Log'!$N$4:$N$503,"&lt;&gt;"))</f>
        <v/>
      </c>
      <c r="F126" s="40" t="str">
        <f aca="false">IF($A126="","",SUMIFS('Trade Log'!$K$4:$K$503,'Trade Log'!$D$4:$D$503,$A126))</f>
        <v/>
      </c>
      <c r="G126" s="40" t="str">
        <f aca="false">IF($A126="","",SUMIFS('Trade Log'!$Z$4:$Z$503,'Trade Log'!$D$4:$D$503,$A126,'Trade Log'!$E$4:$E$503,"LONG"))</f>
        <v/>
      </c>
      <c r="H126" s="40" t="str">
        <f aca="false">IF($A126="","",SUMIFS('Trade Log'!$Z$4:$Z$503,'Trade Log'!$D$4:$D$503,$A126,'Trade Log'!$E$4:$E$503,"SHORT"))</f>
        <v/>
      </c>
      <c r="I126" s="40" t="str">
        <f aca="false">IF($A126="","",SUMIFS('Trade Log'!$Q$4:$Q$503,'Trade Log'!$D$4:$D$503,$A126))</f>
        <v/>
      </c>
      <c r="J126" s="40" t="str">
        <f aca="false">IF($A126="","",SUMIFS('Trade Log'!$Y$4:$Y$503,'Trade Log'!$D$4:$D$503,$A126))</f>
        <v/>
      </c>
      <c r="K126" s="40" t="str">
        <f aca="false">IF($A126="","",SUMIFS('Trade Log'!$Z$4:$Z$503,'Trade Log'!$D$4:$D$503,$A126))</f>
        <v/>
      </c>
      <c r="L126" s="41" t="str">
        <f aca="false">IF($A126="","",COUNTIFS('Trade Log'!$D$4:$D$503,$A126,'Trade Log'!$Z$4:$Z$503,"&gt;0"))</f>
        <v/>
      </c>
      <c r="M126" s="55" t="str">
        <f aca="false">IF(OR($A126="",$E126=0),"",$L126/$E126)</f>
        <v/>
      </c>
      <c r="N126" s="40" t="str">
        <f aca="false">IF(OR($A126="",$E126=0),"",$K126/$E126)</f>
        <v/>
      </c>
      <c r="O126" s="40" t="str">
        <f aca="false">IF($A126="","",IFERROR(_xlfn.MAXIFS('Trade Log'!$Z$4:$Z$503,'Trade Log'!$D$4:$D$503,$A126),""))</f>
        <v/>
      </c>
      <c r="P126" s="40" t="str">
        <f aca="false">IF($A126="","",IFERROR(_xlfn.MINIFS('Trade Log'!$Z$4:$Z$503,'Trade Log'!$D$4:$D$503,$A126),""))</f>
        <v/>
      </c>
      <c r="Q126" s="55" t="str">
        <f aca="false">IF($A126="","",IFERROR(AVERAGEIFS('Trade Log'!$AA$4:$AA$503,'Trade Log'!$D$4:$D$503,$A126),""))</f>
        <v/>
      </c>
      <c r="R126" s="53" t="str">
        <f aca="false">IF($A126="","",IFERROR(AVERAGEIFS('Trade Log'!$P$4:$P$503,'Trade Log'!$D$4:$D$503,$A126),""))</f>
        <v/>
      </c>
      <c r="S126" s="44" t="str">
        <f aca="false">IF($A126="","",IFERROR(AVERAGEIFS('Trade Log'!$AC$4:$AC$503,'Trade Log'!$D$4:$D$503,$A126),""))</f>
        <v/>
      </c>
      <c r="T126" s="55" t="str">
        <f aca="false">IF(OR($A126="",Summary!$B$13=0),"",$K126/Summary!$B$13)</f>
        <v/>
      </c>
      <c r="U126" s="41" t="str">
        <f aca="false">IF($A126="","",IFERROR(RANK($K126,$K$4:$K$153),""))</f>
        <v/>
      </c>
    </row>
    <row r="127" customFormat="false" ht="15" hidden="false" customHeight="false" outlineLevel="0" collapsed="false">
      <c r="A127" s="49"/>
      <c r="B127" s="41" t="str">
        <f aca="false">IF($A127="","",COUNTIFS('Trade Log'!$D$4:$D$503,$A127))</f>
        <v/>
      </c>
      <c r="C127" s="41" t="str">
        <f aca="false">IF($A127="","",COUNTIFS('Trade Log'!$D$4:$D$503,$A127,'Trade Log'!$E$4:$E$503,"LONG"))</f>
        <v/>
      </c>
      <c r="D127" s="41" t="str">
        <f aca="false">IF($A127="","",COUNTIFS('Trade Log'!$D$4:$D$503,$A127,'Trade Log'!$E$4:$E$503,"SHORT"))</f>
        <v/>
      </c>
      <c r="E127" s="41" t="str">
        <f aca="false">IF($A127="","",COUNTIFS('Trade Log'!$D$4:$D$503,$A127,'Trade Log'!$N$4:$N$503,"&lt;&gt;"))</f>
        <v/>
      </c>
      <c r="F127" s="40" t="str">
        <f aca="false">IF($A127="","",SUMIFS('Trade Log'!$K$4:$K$503,'Trade Log'!$D$4:$D$503,$A127))</f>
        <v/>
      </c>
      <c r="G127" s="40" t="str">
        <f aca="false">IF($A127="","",SUMIFS('Trade Log'!$Z$4:$Z$503,'Trade Log'!$D$4:$D$503,$A127,'Trade Log'!$E$4:$E$503,"LONG"))</f>
        <v/>
      </c>
      <c r="H127" s="40" t="str">
        <f aca="false">IF($A127="","",SUMIFS('Trade Log'!$Z$4:$Z$503,'Trade Log'!$D$4:$D$503,$A127,'Trade Log'!$E$4:$E$503,"SHORT"))</f>
        <v/>
      </c>
      <c r="I127" s="40" t="str">
        <f aca="false">IF($A127="","",SUMIFS('Trade Log'!$Q$4:$Q$503,'Trade Log'!$D$4:$D$503,$A127))</f>
        <v/>
      </c>
      <c r="J127" s="40" t="str">
        <f aca="false">IF($A127="","",SUMIFS('Trade Log'!$Y$4:$Y$503,'Trade Log'!$D$4:$D$503,$A127))</f>
        <v/>
      </c>
      <c r="K127" s="40" t="str">
        <f aca="false">IF($A127="","",SUMIFS('Trade Log'!$Z$4:$Z$503,'Trade Log'!$D$4:$D$503,$A127))</f>
        <v/>
      </c>
      <c r="L127" s="41" t="str">
        <f aca="false">IF($A127="","",COUNTIFS('Trade Log'!$D$4:$D$503,$A127,'Trade Log'!$Z$4:$Z$503,"&gt;0"))</f>
        <v/>
      </c>
      <c r="M127" s="55" t="str">
        <f aca="false">IF(OR($A127="",$E127=0),"",$L127/$E127)</f>
        <v/>
      </c>
      <c r="N127" s="40" t="str">
        <f aca="false">IF(OR($A127="",$E127=0),"",$K127/$E127)</f>
        <v/>
      </c>
      <c r="O127" s="40" t="str">
        <f aca="false">IF($A127="","",IFERROR(_xlfn.MAXIFS('Trade Log'!$Z$4:$Z$503,'Trade Log'!$D$4:$D$503,$A127),""))</f>
        <v/>
      </c>
      <c r="P127" s="40" t="str">
        <f aca="false">IF($A127="","",IFERROR(_xlfn.MINIFS('Trade Log'!$Z$4:$Z$503,'Trade Log'!$D$4:$D$503,$A127),""))</f>
        <v/>
      </c>
      <c r="Q127" s="55" t="str">
        <f aca="false">IF($A127="","",IFERROR(AVERAGEIFS('Trade Log'!$AA$4:$AA$503,'Trade Log'!$D$4:$D$503,$A127),""))</f>
        <v/>
      </c>
      <c r="R127" s="53" t="str">
        <f aca="false">IF($A127="","",IFERROR(AVERAGEIFS('Trade Log'!$P$4:$P$503,'Trade Log'!$D$4:$D$503,$A127),""))</f>
        <v/>
      </c>
      <c r="S127" s="44" t="str">
        <f aca="false">IF($A127="","",IFERROR(AVERAGEIFS('Trade Log'!$AC$4:$AC$503,'Trade Log'!$D$4:$D$503,$A127),""))</f>
        <v/>
      </c>
      <c r="T127" s="55" t="str">
        <f aca="false">IF(OR($A127="",Summary!$B$13=0),"",$K127/Summary!$B$13)</f>
        <v/>
      </c>
      <c r="U127" s="41" t="str">
        <f aca="false">IF($A127="","",IFERROR(RANK($K127,$K$4:$K$153),""))</f>
        <v/>
      </c>
    </row>
    <row r="128" customFormat="false" ht="15" hidden="false" customHeight="false" outlineLevel="0" collapsed="false">
      <c r="A128" s="49"/>
      <c r="B128" s="41" t="str">
        <f aca="false">IF($A128="","",COUNTIFS('Trade Log'!$D$4:$D$503,$A128))</f>
        <v/>
      </c>
      <c r="C128" s="41" t="str">
        <f aca="false">IF($A128="","",COUNTIFS('Trade Log'!$D$4:$D$503,$A128,'Trade Log'!$E$4:$E$503,"LONG"))</f>
        <v/>
      </c>
      <c r="D128" s="41" t="str">
        <f aca="false">IF($A128="","",COUNTIFS('Trade Log'!$D$4:$D$503,$A128,'Trade Log'!$E$4:$E$503,"SHORT"))</f>
        <v/>
      </c>
      <c r="E128" s="41" t="str">
        <f aca="false">IF($A128="","",COUNTIFS('Trade Log'!$D$4:$D$503,$A128,'Trade Log'!$N$4:$N$503,"&lt;&gt;"))</f>
        <v/>
      </c>
      <c r="F128" s="40" t="str">
        <f aca="false">IF($A128="","",SUMIFS('Trade Log'!$K$4:$K$503,'Trade Log'!$D$4:$D$503,$A128))</f>
        <v/>
      </c>
      <c r="G128" s="40" t="str">
        <f aca="false">IF($A128="","",SUMIFS('Trade Log'!$Z$4:$Z$503,'Trade Log'!$D$4:$D$503,$A128,'Trade Log'!$E$4:$E$503,"LONG"))</f>
        <v/>
      </c>
      <c r="H128" s="40" t="str">
        <f aca="false">IF($A128="","",SUMIFS('Trade Log'!$Z$4:$Z$503,'Trade Log'!$D$4:$D$503,$A128,'Trade Log'!$E$4:$E$503,"SHORT"))</f>
        <v/>
      </c>
      <c r="I128" s="40" t="str">
        <f aca="false">IF($A128="","",SUMIFS('Trade Log'!$Q$4:$Q$503,'Trade Log'!$D$4:$D$503,$A128))</f>
        <v/>
      </c>
      <c r="J128" s="40" t="str">
        <f aca="false">IF($A128="","",SUMIFS('Trade Log'!$Y$4:$Y$503,'Trade Log'!$D$4:$D$503,$A128))</f>
        <v/>
      </c>
      <c r="K128" s="40" t="str">
        <f aca="false">IF($A128="","",SUMIFS('Trade Log'!$Z$4:$Z$503,'Trade Log'!$D$4:$D$503,$A128))</f>
        <v/>
      </c>
      <c r="L128" s="41" t="str">
        <f aca="false">IF($A128="","",COUNTIFS('Trade Log'!$D$4:$D$503,$A128,'Trade Log'!$Z$4:$Z$503,"&gt;0"))</f>
        <v/>
      </c>
      <c r="M128" s="55" t="str">
        <f aca="false">IF(OR($A128="",$E128=0),"",$L128/$E128)</f>
        <v/>
      </c>
      <c r="N128" s="40" t="str">
        <f aca="false">IF(OR($A128="",$E128=0),"",$K128/$E128)</f>
        <v/>
      </c>
      <c r="O128" s="40" t="str">
        <f aca="false">IF($A128="","",IFERROR(_xlfn.MAXIFS('Trade Log'!$Z$4:$Z$503,'Trade Log'!$D$4:$D$503,$A128),""))</f>
        <v/>
      </c>
      <c r="P128" s="40" t="str">
        <f aca="false">IF($A128="","",IFERROR(_xlfn.MINIFS('Trade Log'!$Z$4:$Z$503,'Trade Log'!$D$4:$D$503,$A128),""))</f>
        <v/>
      </c>
      <c r="Q128" s="55" t="str">
        <f aca="false">IF($A128="","",IFERROR(AVERAGEIFS('Trade Log'!$AA$4:$AA$503,'Trade Log'!$D$4:$D$503,$A128),""))</f>
        <v/>
      </c>
      <c r="R128" s="53" t="str">
        <f aca="false">IF($A128="","",IFERROR(AVERAGEIFS('Trade Log'!$P$4:$P$503,'Trade Log'!$D$4:$D$503,$A128),""))</f>
        <v/>
      </c>
      <c r="S128" s="44" t="str">
        <f aca="false">IF($A128="","",IFERROR(AVERAGEIFS('Trade Log'!$AC$4:$AC$503,'Trade Log'!$D$4:$D$503,$A128),""))</f>
        <v/>
      </c>
      <c r="T128" s="55" t="str">
        <f aca="false">IF(OR($A128="",Summary!$B$13=0),"",$K128/Summary!$B$13)</f>
        <v/>
      </c>
      <c r="U128" s="41" t="str">
        <f aca="false">IF($A128="","",IFERROR(RANK($K128,$K$4:$K$153),""))</f>
        <v/>
      </c>
    </row>
    <row r="129" customFormat="false" ht="15" hidden="false" customHeight="false" outlineLevel="0" collapsed="false">
      <c r="A129" s="49"/>
      <c r="B129" s="41" t="str">
        <f aca="false">IF($A129="","",COUNTIFS('Trade Log'!$D$4:$D$503,$A129))</f>
        <v/>
      </c>
      <c r="C129" s="41" t="str">
        <f aca="false">IF($A129="","",COUNTIFS('Trade Log'!$D$4:$D$503,$A129,'Trade Log'!$E$4:$E$503,"LONG"))</f>
        <v/>
      </c>
      <c r="D129" s="41" t="str">
        <f aca="false">IF($A129="","",COUNTIFS('Trade Log'!$D$4:$D$503,$A129,'Trade Log'!$E$4:$E$503,"SHORT"))</f>
        <v/>
      </c>
      <c r="E129" s="41" t="str">
        <f aca="false">IF($A129="","",COUNTIFS('Trade Log'!$D$4:$D$503,$A129,'Trade Log'!$N$4:$N$503,"&lt;&gt;"))</f>
        <v/>
      </c>
      <c r="F129" s="40" t="str">
        <f aca="false">IF($A129="","",SUMIFS('Trade Log'!$K$4:$K$503,'Trade Log'!$D$4:$D$503,$A129))</f>
        <v/>
      </c>
      <c r="G129" s="40" t="str">
        <f aca="false">IF($A129="","",SUMIFS('Trade Log'!$Z$4:$Z$503,'Trade Log'!$D$4:$D$503,$A129,'Trade Log'!$E$4:$E$503,"LONG"))</f>
        <v/>
      </c>
      <c r="H129" s="40" t="str">
        <f aca="false">IF($A129="","",SUMIFS('Trade Log'!$Z$4:$Z$503,'Trade Log'!$D$4:$D$503,$A129,'Trade Log'!$E$4:$E$503,"SHORT"))</f>
        <v/>
      </c>
      <c r="I129" s="40" t="str">
        <f aca="false">IF($A129="","",SUMIFS('Trade Log'!$Q$4:$Q$503,'Trade Log'!$D$4:$D$503,$A129))</f>
        <v/>
      </c>
      <c r="J129" s="40" t="str">
        <f aca="false">IF($A129="","",SUMIFS('Trade Log'!$Y$4:$Y$503,'Trade Log'!$D$4:$D$503,$A129))</f>
        <v/>
      </c>
      <c r="K129" s="40" t="str">
        <f aca="false">IF($A129="","",SUMIFS('Trade Log'!$Z$4:$Z$503,'Trade Log'!$D$4:$D$503,$A129))</f>
        <v/>
      </c>
      <c r="L129" s="41" t="str">
        <f aca="false">IF($A129="","",COUNTIFS('Trade Log'!$D$4:$D$503,$A129,'Trade Log'!$Z$4:$Z$503,"&gt;0"))</f>
        <v/>
      </c>
      <c r="M129" s="55" t="str">
        <f aca="false">IF(OR($A129="",$E129=0),"",$L129/$E129)</f>
        <v/>
      </c>
      <c r="N129" s="40" t="str">
        <f aca="false">IF(OR($A129="",$E129=0),"",$K129/$E129)</f>
        <v/>
      </c>
      <c r="O129" s="40" t="str">
        <f aca="false">IF($A129="","",IFERROR(_xlfn.MAXIFS('Trade Log'!$Z$4:$Z$503,'Trade Log'!$D$4:$D$503,$A129),""))</f>
        <v/>
      </c>
      <c r="P129" s="40" t="str">
        <f aca="false">IF($A129="","",IFERROR(_xlfn.MINIFS('Trade Log'!$Z$4:$Z$503,'Trade Log'!$D$4:$D$503,$A129),""))</f>
        <v/>
      </c>
      <c r="Q129" s="55" t="str">
        <f aca="false">IF($A129="","",IFERROR(AVERAGEIFS('Trade Log'!$AA$4:$AA$503,'Trade Log'!$D$4:$D$503,$A129),""))</f>
        <v/>
      </c>
      <c r="R129" s="53" t="str">
        <f aca="false">IF($A129="","",IFERROR(AVERAGEIFS('Trade Log'!$P$4:$P$503,'Trade Log'!$D$4:$D$503,$A129),""))</f>
        <v/>
      </c>
      <c r="S129" s="44" t="str">
        <f aca="false">IF($A129="","",IFERROR(AVERAGEIFS('Trade Log'!$AC$4:$AC$503,'Trade Log'!$D$4:$D$503,$A129),""))</f>
        <v/>
      </c>
      <c r="T129" s="55" t="str">
        <f aca="false">IF(OR($A129="",Summary!$B$13=0),"",$K129/Summary!$B$13)</f>
        <v/>
      </c>
      <c r="U129" s="41" t="str">
        <f aca="false">IF($A129="","",IFERROR(RANK($K129,$K$4:$K$153),""))</f>
        <v/>
      </c>
    </row>
    <row r="130" customFormat="false" ht="15" hidden="false" customHeight="false" outlineLevel="0" collapsed="false">
      <c r="A130" s="49"/>
      <c r="B130" s="41" t="str">
        <f aca="false">IF($A130="","",COUNTIFS('Trade Log'!$D$4:$D$503,$A130))</f>
        <v/>
      </c>
      <c r="C130" s="41" t="str">
        <f aca="false">IF($A130="","",COUNTIFS('Trade Log'!$D$4:$D$503,$A130,'Trade Log'!$E$4:$E$503,"LONG"))</f>
        <v/>
      </c>
      <c r="D130" s="41" t="str">
        <f aca="false">IF($A130="","",COUNTIFS('Trade Log'!$D$4:$D$503,$A130,'Trade Log'!$E$4:$E$503,"SHORT"))</f>
        <v/>
      </c>
      <c r="E130" s="41" t="str">
        <f aca="false">IF($A130="","",COUNTIFS('Trade Log'!$D$4:$D$503,$A130,'Trade Log'!$N$4:$N$503,"&lt;&gt;"))</f>
        <v/>
      </c>
      <c r="F130" s="40" t="str">
        <f aca="false">IF($A130="","",SUMIFS('Trade Log'!$K$4:$K$503,'Trade Log'!$D$4:$D$503,$A130))</f>
        <v/>
      </c>
      <c r="G130" s="40" t="str">
        <f aca="false">IF($A130="","",SUMIFS('Trade Log'!$Z$4:$Z$503,'Trade Log'!$D$4:$D$503,$A130,'Trade Log'!$E$4:$E$503,"LONG"))</f>
        <v/>
      </c>
      <c r="H130" s="40" t="str">
        <f aca="false">IF($A130="","",SUMIFS('Trade Log'!$Z$4:$Z$503,'Trade Log'!$D$4:$D$503,$A130,'Trade Log'!$E$4:$E$503,"SHORT"))</f>
        <v/>
      </c>
      <c r="I130" s="40" t="str">
        <f aca="false">IF($A130="","",SUMIFS('Trade Log'!$Q$4:$Q$503,'Trade Log'!$D$4:$D$503,$A130))</f>
        <v/>
      </c>
      <c r="J130" s="40" t="str">
        <f aca="false">IF($A130="","",SUMIFS('Trade Log'!$Y$4:$Y$503,'Trade Log'!$D$4:$D$503,$A130))</f>
        <v/>
      </c>
      <c r="K130" s="40" t="str">
        <f aca="false">IF($A130="","",SUMIFS('Trade Log'!$Z$4:$Z$503,'Trade Log'!$D$4:$D$503,$A130))</f>
        <v/>
      </c>
      <c r="L130" s="41" t="str">
        <f aca="false">IF($A130="","",COUNTIFS('Trade Log'!$D$4:$D$503,$A130,'Trade Log'!$Z$4:$Z$503,"&gt;0"))</f>
        <v/>
      </c>
      <c r="M130" s="55" t="str">
        <f aca="false">IF(OR($A130="",$E130=0),"",$L130/$E130)</f>
        <v/>
      </c>
      <c r="N130" s="40" t="str">
        <f aca="false">IF(OR($A130="",$E130=0),"",$K130/$E130)</f>
        <v/>
      </c>
      <c r="O130" s="40" t="str">
        <f aca="false">IF($A130="","",IFERROR(_xlfn.MAXIFS('Trade Log'!$Z$4:$Z$503,'Trade Log'!$D$4:$D$503,$A130),""))</f>
        <v/>
      </c>
      <c r="P130" s="40" t="str">
        <f aca="false">IF($A130="","",IFERROR(_xlfn.MINIFS('Trade Log'!$Z$4:$Z$503,'Trade Log'!$D$4:$D$503,$A130),""))</f>
        <v/>
      </c>
      <c r="Q130" s="55" t="str">
        <f aca="false">IF($A130="","",IFERROR(AVERAGEIFS('Trade Log'!$AA$4:$AA$503,'Trade Log'!$D$4:$D$503,$A130),""))</f>
        <v/>
      </c>
      <c r="R130" s="53" t="str">
        <f aca="false">IF($A130="","",IFERROR(AVERAGEIFS('Trade Log'!$P$4:$P$503,'Trade Log'!$D$4:$D$503,$A130),""))</f>
        <v/>
      </c>
      <c r="S130" s="44" t="str">
        <f aca="false">IF($A130="","",IFERROR(AVERAGEIFS('Trade Log'!$AC$4:$AC$503,'Trade Log'!$D$4:$D$503,$A130),""))</f>
        <v/>
      </c>
      <c r="T130" s="55" t="str">
        <f aca="false">IF(OR($A130="",Summary!$B$13=0),"",$K130/Summary!$B$13)</f>
        <v/>
      </c>
      <c r="U130" s="41" t="str">
        <f aca="false">IF($A130="","",IFERROR(RANK($K130,$K$4:$K$153),""))</f>
        <v/>
      </c>
    </row>
    <row r="131" customFormat="false" ht="15" hidden="false" customHeight="false" outlineLevel="0" collapsed="false">
      <c r="A131" s="49"/>
      <c r="B131" s="41" t="str">
        <f aca="false">IF($A131="","",COUNTIFS('Trade Log'!$D$4:$D$503,$A131))</f>
        <v/>
      </c>
      <c r="C131" s="41" t="str">
        <f aca="false">IF($A131="","",COUNTIFS('Trade Log'!$D$4:$D$503,$A131,'Trade Log'!$E$4:$E$503,"LONG"))</f>
        <v/>
      </c>
      <c r="D131" s="41" t="str">
        <f aca="false">IF($A131="","",COUNTIFS('Trade Log'!$D$4:$D$503,$A131,'Trade Log'!$E$4:$E$503,"SHORT"))</f>
        <v/>
      </c>
      <c r="E131" s="41" t="str">
        <f aca="false">IF($A131="","",COUNTIFS('Trade Log'!$D$4:$D$503,$A131,'Trade Log'!$N$4:$N$503,"&lt;&gt;"))</f>
        <v/>
      </c>
      <c r="F131" s="40" t="str">
        <f aca="false">IF($A131="","",SUMIFS('Trade Log'!$K$4:$K$503,'Trade Log'!$D$4:$D$503,$A131))</f>
        <v/>
      </c>
      <c r="G131" s="40" t="str">
        <f aca="false">IF($A131="","",SUMIFS('Trade Log'!$Z$4:$Z$503,'Trade Log'!$D$4:$D$503,$A131,'Trade Log'!$E$4:$E$503,"LONG"))</f>
        <v/>
      </c>
      <c r="H131" s="40" t="str">
        <f aca="false">IF($A131="","",SUMIFS('Trade Log'!$Z$4:$Z$503,'Trade Log'!$D$4:$D$503,$A131,'Trade Log'!$E$4:$E$503,"SHORT"))</f>
        <v/>
      </c>
      <c r="I131" s="40" t="str">
        <f aca="false">IF($A131="","",SUMIFS('Trade Log'!$Q$4:$Q$503,'Trade Log'!$D$4:$D$503,$A131))</f>
        <v/>
      </c>
      <c r="J131" s="40" t="str">
        <f aca="false">IF($A131="","",SUMIFS('Trade Log'!$Y$4:$Y$503,'Trade Log'!$D$4:$D$503,$A131))</f>
        <v/>
      </c>
      <c r="K131" s="40" t="str">
        <f aca="false">IF($A131="","",SUMIFS('Trade Log'!$Z$4:$Z$503,'Trade Log'!$D$4:$D$503,$A131))</f>
        <v/>
      </c>
      <c r="L131" s="41" t="str">
        <f aca="false">IF($A131="","",COUNTIFS('Trade Log'!$D$4:$D$503,$A131,'Trade Log'!$Z$4:$Z$503,"&gt;0"))</f>
        <v/>
      </c>
      <c r="M131" s="55" t="str">
        <f aca="false">IF(OR($A131="",$E131=0),"",$L131/$E131)</f>
        <v/>
      </c>
      <c r="N131" s="40" t="str">
        <f aca="false">IF(OR($A131="",$E131=0),"",$K131/$E131)</f>
        <v/>
      </c>
      <c r="O131" s="40" t="str">
        <f aca="false">IF($A131="","",IFERROR(_xlfn.MAXIFS('Trade Log'!$Z$4:$Z$503,'Trade Log'!$D$4:$D$503,$A131),""))</f>
        <v/>
      </c>
      <c r="P131" s="40" t="str">
        <f aca="false">IF($A131="","",IFERROR(_xlfn.MINIFS('Trade Log'!$Z$4:$Z$503,'Trade Log'!$D$4:$D$503,$A131),""))</f>
        <v/>
      </c>
      <c r="Q131" s="55" t="str">
        <f aca="false">IF($A131="","",IFERROR(AVERAGEIFS('Trade Log'!$AA$4:$AA$503,'Trade Log'!$D$4:$D$503,$A131),""))</f>
        <v/>
      </c>
      <c r="R131" s="53" t="str">
        <f aca="false">IF($A131="","",IFERROR(AVERAGEIFS('Trade Log'!$P$4:$P$503,'Trade Log'!$D$4:$D$503,$A131),""))</f>
        <v/>
      </c>
      <c r="S131" s="44" t="str">
        <f aca="false">IF($A131="","",IFERROR(AVERAGEIFS('Trade Log'!$AC$4:$AC$503,'Trade Log'!$D$4:$D$503,$A131),""))</f>
        <v/>
      </c>
      <c r="T131" s="55" t="str">
        <f aca="false">IF(OR($A131="",Summary!$B$13=0),"",$K131/Summary!$B$13)</f>
        <v/>
      </c>
      <c r="U131" s="41" t="str">
        <f aca="false">IF($A131="","",IFERROR(RANK($K131,$K$4:$K$153),""))</f>
        <v/>
      </c>
    </row>
    <row r="132" customFormat="false" ht="15" hidden="false" customHeight="false" outlineLevel="0" collapsed="false">
      <c r="A132" s="49"/>
      <c r="B132" s="41" t="str">
        <f aca="false">IF($A132="","",COUNTIFS('Trade Log'!$D$4:$D$503,$A132))</f>
        <v/>
      </c>
      <c r="C132" s="41" t="str">
        <f aca="false">IF($A132="","",COUNTIFS('Trade Log'!$D$4:$D$503,$A132,'Trade Log'!$E$4:$E$503,"LONG"))</f>
        <v/>
      </c>
      <c r="D132" s="41" t="str">
        <f aca="false">IF($A132="","",COUNTIFS('Trade Log'!$D$4:$D$503,$A132,'Trade Log'!$E$4:$E$503,"SHORT"))</f>
        <v/>
      </c>
      <c r="E132" s="41" t="str">
        <f aca="false">IF($A132="","",COUNTIFS('Trade Log'!$D$4:$D$503,$A132,'Trade Log'!$N$4:$N$503,"&lt;&gt;"))</f>
        <v/>
      </c>
      <c r="F132" s="40" t="str">
        <f aca="false">IF($A132="","",SUMIFS('Trade Log'!$K$4:$K$503,'Trade Log'!$D$4:$D$503,$A132))</f>
        <v/>
      </c>
      <c r="G132" s="40" t="str">
        <f aca="false">IF($A132="","",SUMIFS('Trade Log'!$Z$4:$Z$503,'Trade Log'!$D$4:$D$503,$A132,'Trade Log'!$E$4:$E$503,"LONG"))</f>
        <v/>
      </c>
      <c r="H132" s="40" t="str">
        <f aca="false">IF($A132="","",SUMIFS('Trade Log'!$Z$4:$Z$503,'Trade Log'!$D$4:$D$503,$A132,'Trade Log'!$E$4:$E$503,"SHORT"))</f>
        <v/>
      </c>
      <c r="I132" s="40" t="str">
        <f aca="false">IF($A132="","",SUMIFS('Trade Log'!$Q$4:$Q$503,'Trade Log'!$D$4:$D$503,$A132))</f>
        <v/>
      </c>
      <c r="J132" s="40" t="str">
        <f aca="false">IF($A132="","",SUMIFS('Trade Log'!$Y$4:$Y$503,'Trade Log'!$D$4:$D$503,$A132))</f>
        <v/>
      </c>
      <c r="K132" s="40" t="str">
        <f aca="false">IF($A132="","",SUMIFS('Trade Log'!$Z$4:$Z$503,'Trade Log'!$D$4:$D$503,$A132))</f>
        <v/>
      </c>
      <c r="L132" s="41" t="str">
        <f aca="false">IF($A132="","",COUNTIFS('Trade Log'!$D$4:$D$503,$A132,'Trade Log'!$Z$4:$Z$503,"&gt;0"))</f>
        <v/>
      </c>
      <c r="M132" s="55" t="str">
        <f aca="false">IF(OR($A132="",$E132=0),"",$L132/$E132)</f>
        <v/>
      </c>
      <c r="N132" s="40" t="str">
        <f aca="false">IF(OR($A132="",$E132=0),"",$K132/$E132)</f>
        <v/>
      </c>
      <c r="O132" s="40" t="str">
        <f aca="false">IF($A132="","",IFERROR(_xlfn.MAXIFS('Trade Log'!$Z$4:$Z$503,'Trade Log'!$D$4:$D$503,$A132),""))</f>
        <v/>
      </c>
      <c r="P132" s="40" t="str">
        <f aca="false">IF($A132="","",IFERROR(_xlfn.MINIFS('Trade Log'!$Z$4:$Z$503,'Trade Log'!$D$4:$D$503,$A132),""))</f>
        <v/>
      </c>
      <c r="Q132" s="55" t="str">
        <f aca="false">IF($A132="","",IFERROR(AVERAGEIFS('Trade Log'!$AA$4:$AA$503,'Trade Log'!$D$4:$D$503,$A132),""))</f>
        <v/>
      </c>
      <c r="R132" s="53" t="str">
        <f aca="false">IF($A132="","",IFERROR(AVERAGEIFS('Trade Log'!$P$4:$P$503,'Trade Log'!$D$4:$D$503,$A132),""))</f>
        <v/>
      </c>
      <c r="S132" s="44" t="str">
        <f aca="false">IF($A132="","",IFERROR(AVERAGEIFS('Trade Log'!$AC$4:$AC$503,'Trade Log'!$D$4:$D$503,$A132),""))</f>
        <v/>
      </c>
      <c r="T132" s="55" t="str">
        <f aca="false">IF(OR($A132="",Summary!$B$13=0),"",$K132/Summary!$B$13)</f>
        <v/>
      </c>
      <c r="U132" s="41" t="str">
        <f aca="false">IF($A132="","",IFERROR(RANK($K132,$K$4:$K$153),""))</f>
        <v/>
      </c>
    </row>
    <row r="133" customFormat="false" ht="15" hidden="false" customHeight="false" outlineLevel="0" collapsed="false">
      <c r="A133" s="49"/>
      <c r="B133" s="41" t="str">
        <f aca="false">IF($A133="","",COUNTIFS('Trade Log'!$D$4:$D$503,$A133))</f>
        <v/>
      </c>
      <c r="C133" s="41" t="str">
        <f aca="false">IF($A133="","",COUNTIFS('Trade Log'!$D$4:$D$503,$A133,'Trade Log'!$E$4:$E$503,"LONG"))</f>
        <v/>
      </c>
      <c r="D133" s="41" t="str">
        <f aca="false">IF($A133="","",COUNTIFS('Trade Log'!$D$4:$D$503,$A133,'Trade Log'!$E$4:$E$503,"SHORT"))</f>
        <v/>
      </c>
      <c r="E133" s="41" t="str">
        <f aca="false">IF($A133="","",COUNTIFS('Trade Log'!$D$4:$D$503,$A133,'Trade Log'!$N$4:$N$503,"&lt;&gt;"))</f>
        <v/>
      </c>
      <c r="F133" s="40" t="str">
        <f aca="false">IF($A133="","",SUMIFS('Trade Log'!$K$4:$K$503,'Trade Log'!$D$4:$D$503,$A133))</f>
        <v/>
      </c>
      <c r="G133" s="40" t="str">
        <f aca="false">IF($A133="","",SUMIFS('Trade Log'!$Z$4:$Z$503,'Trade Log'!$D$4:$D$503,$A133,'Trade Log'!$E$4:$E$503,"LONG"))</f>
        <v/>
      </c>
      <c r="H133" s="40" t="str">
        <f aca="false">IF($A133="","",SUMIFS('Trade Log'!$Z$4:$Z$503,'Trade Log'!$D$4:$D$503,$A133,'Trade Log'!$E$4:$E$503,"SHORT"))</f>
        <v/>
      </c>
      <c r="I133" s="40" t="str">
        <f aca="false">IF($A133="","",SUMIFS('Trade Log'!$Q$4:$Q$503,'Trade Log'!$D$4:$D$503,$A133))</f>
        <v/>
      </c>
      <c r="J133" s="40" t="str">
        <f aca="false">IF($A133="","",SUMIFS('Trade Log'!$Y$4:$Y$503,'Trade Log'!$D$4:$D$503,$A133))</f>
        <v/>
      </c>
      <c r="K133" s="40" t="str">
        <f aca="false">IF($A133="","",SUMIFS('Trade Log'!$Z$4:$Z$503,'Trade Log'!$D$4:$D$503,$A133))</f>
        <v/>
      </c>
      <c r="L133" s="41" t="str">
        <f aca="false">IF($A133="","",COUNTIFS('Trade Log'!$D$4:$D$503,$A133,'Trade Log'!$Z$4:$Z$503,"&gt;0"))</f>
        <v/>
      </c>
      <c r="M133" s="55" t="str">
        <f aca="false">IF(OR($A133="",$E133=0),"",$L133/$E133)</f>
        <v/>
      </c>
      <c r="N133" s="40" t="str">
        <f aca="false">IF(OR($A133="",$E133=0),"",$K133/$E133)</f>
        <v/>
      </c>
      <c r="O133" s="40" t="str">
        <f aca="false">IF($A133="","",IFERROR(_xlfn.MAXIFS('Trade Log'!$Z$4:$Z$503,'Trade Log'!$D$4:$D$503,$A133),""))</f>
        <v/>
      </c>
      <c r="P133" s="40" t="str">
        <f aca="false">IF($A133="","",IFERROR(_xlfn.MINIFS('Trade Log'!$Z$4:$Z$503,'Trade Log'!$D$4:$D$503,$A133),""))</f>
        <v/>
      </c>
      <c r="Q133" s="55" t="str">
        <f aca="false">IF($A133="","",IFERROR(AVERAGEIFS('Trade Log'!$AA$4:$AA$503,'Trade Log'!$D$4:$D$503,$A133),""))</f>
        <v/>
      </c>
      <c r="R133" s="53" t="str">
        <f aca="false">IF($A133="","",IFERROR(AVERAGEIFS('Trade Log'!$P$4:$P$503,'Trade Log'!$D$4:$D$503,$A133),""))</f>
        <v/>
      </c>
      <c r="S133" s="44" t="str">
        <f aca="false">IF($A133="","",IFERROR(AVERAGEIFS('Trade Log'!$AC$4:$AC$503,'Trade Log'!$D$4:$D$503,$A133),""))</f>
        <v/>
      </c>
      <c r="T133" s="55" t="str">
        <f aca="false">IF(OR($A133="",Summary!$B$13=0),"",$K133/Summary!$B$13)</f>
        <v/>
      </c>
      <c r="U133" s="41" t="str">
        <f aca="false">IF($A133="","",IFERROR(RANK($K133,$K$4:$K$153),""))</f>
        <v/>
      </c>
    </row>
    <row r="134" customFormat="false" ht="15" hidden="false" customHeight="false" outlineLevel="0" collapsed="false">
      <c r="A134" s="49"/>
      <c r="B134" s="41" t="str">
        <f aca="false">IF($A134="","",COUNTIFS('Trade Log'!$D$4:$D$503,$A134))</f>
        <v/>
      </c>
      <c r="C134" s="41" t="str">
        <f aca="false">IF($A134="","",COUNTIFS('Trade Log'!$D$4:$D$503,$A134,'Trade Log'!$E$4:$E$503,"LONG"))</f>
        <v/>
      </c>
      <c r="D134" s="41" t="str">
        <f aca="false">IF($A134="","",COUNTIFS('Trade Log'!$D$4:$D$503,$A134,'Trade Log'!$E$4:$E$503,"SHORT"))</f>
        <v/>
      </c>
      <c r="E134" s="41" t="str">
        <f aca="false">IF($A134="","",COUNTIFS('Trade Log'!$D$4:$D$503,$A134,'Trade Log'!$N$4:$N$503,"&lt;&gt;"))</f>
        <v/>
      </c>
      <c r="F134" s="40" t="str">
        <f aca="false">IF($A134="","",SUMIFS('Trade Log'!$K$4:$K$503,'Trade Log'!$D$4:$D$503,$A134))</f>
        <v/>
      </c>
      <c r="G134" s="40" t="str">
        <f aca="false">IF($A134="","",SUMIFS('Trade Log'!$Z$4:$Z$503,'Trade Log'!$D$4:$D$503,$A134,'Trade Log'!$E$4:$E$503,"LONG"))</f>
        <v/>
      </c>
      <c r="H134" s="40" t="str">
        <f aca="false">IF($A134="","",SUMIFS('Trade Log'!$Z$4:$Z$503,'Trade Log'!$D$4:$D$503,$A134,'Trade Log'!$E$4:$E$503,"SHORT"))</f>
        <v/>
      </c>
      <c r="I134" s="40" t="str">
        <f aca="false">IF($A134="","",SUMIFS('Trade Log'!$Q$4:$Q$503,'Trade Log'!$D$4:$D$503,$A134))</f>
        <v/>
      </c>
      <c r="J134" s="40" t="str">
        <f aca="false">IF($A134="","",SUMIFS('Trade Log'!$Y$4:$Y$503,'Trade Log'!$D$4:$D$503,$A134))</f>
        <v/>
      </c>
      <c r="K134" s="40" t="str">
        <f aca="false">IF($A134="","",SUMIFS('Trade Log'!$Z$4:$Z$503,'Trade Log'!$D$4:$D$503,$A134))</f>
        <v/>
      </c>
      <c r="L134" s="41" t="str">
        <f aca="false">IF($A134="","",COUNTIFS('Trade Log'!$D$4:$D$503,$A134,'Trade Log'!$Z$4:$Z$503,"&gt;0"))</f>
        <v/>
      </c>
      <c r="M134" s="55" t="str">
        <f aca="false">IF(OR($A134="",$E134=0),"",$L134/$E134)</f>
        <v/>
      </c>
      <c r="N134" s="40" t="str">
        <f aca="false">IF(OR($A134="",$E134=0),"",$K134/$E134)</f>
        <v/>
      </c>
      <c r="O134" s="40" t="str">
        <f aca="false">IF($A134="","",IFERROR(_xlfn.MAXIFS('Trade Log'!$Z$4:$Z$503,'Trade Log'!$D$4:$D$503,$A134),""))</f>
        <v/>
      </c>
      <c r="P134" s="40" t="str">
        <f aca="false">IF($A134="","",IFERROR(_xlfn.MINIFS('Trade Log'!$Z$4:$Z$503,'Trade Log'!$D$4:$D$503,$A134),""))</f>
        <v/>
      </c>
      <c r="Q134" s="55" t="str">
        <f aca="false">IF($A134="","",IFERROR(AVERAGEIFS('Trade Log'!$AA$4:$AA$503,'Trade Log'!$D$4:$D$503,$A134),""))</f>
        <v/>
      </c>
      <c r="R134" s="53" t="str">
        <f aca="false">IF($A134="","",IFERROR(AVERAGEIFS('Trade Log'!$P$4:$P$503,'Trade Log'!$D$4:$D$503,$A134),""))</f>
        <v/>
      </c>
      <c r="S134" s="44" t="str">
        <f aca="false">IF($A134="","",IFERROR(AVERAGEIFS('Trade Log'!$AC$4:$AC$503,'Trade Log'!$D$4:$D$503,$A134),""))</f>
        <v/>
      </c>
      <c r="T134" s="55" t="str">
        <f aca="false">IF(OR($A134="",Summary!$B$13=0),"",$K134/Summary!$B$13)</f>
        <v/>
      </c>
      <c r="U134" s="41" t="str">
        <f aca="false">IF($A134="","",IFERROR(RANK($K134,$K$4:$K$153),""))</f>
        <v/>
      </c>
    </row>
    <row r="135" customFormat="false" ht="15" hidden="false" customHeight="false" outlineLevel="0" collapsed="false">
      <c r="A135" s="49"/>
      <c r="B135" s="41" t="str">
        <f aca="false">IF($A135="","",COUNTIFS('Trade Log'!$D$4:$D$503,$A135))</f>
        <v/>
      </c>
      <c r="C135" s="41" t="str">
        <f aca="false">IF($A135="","",COUNTIFS('Trade Log'!$D$4:$D$503,$A135,'Trade Log'!$E$4:$E$503,"LONG"))</f>
        <v/>
      </c>
      <c r="D135" s="41" t="str">
        <f aca="false">IF($A135="","",COUNTIFS('Trade Log'!$D$4:$D$503,$A135,'Trade Log'!$E$4:$E$503,"SHORT"))</f>
        <v/>
      </c>
      <c r="E135" s="41" t="str">
        <f aca="false">IF($A135="","",COUNTIFS('Trade Log'!$D$4:$D$503,$A135,'Trade Log'!$N$4:$N$503,"&lt;&gt;"))</f>
        <v/>
      </c>
      <c r="F135" s="40" t="str">
        <f aca="false">IF($A135="","",SUMIFS('Trade Log'!$K$4:$K$503,'Trade Log'!$D$4:$D$503,$A135))</f>
        <v/>
      </c>
      <c r="G135" s="40" t="str">
        <f aca="false">IF($A135="","",SUMIFS('Trade Log'!$Z$4:$Z$503,'Trade Log'!$D$4:$D$503,$A135,'Trade Log'!$E$4:$E$503,"LONG"))</f>
        <v/>
      </c>
      <c r="H135" s="40" t="str">
        <f aca="false">IF($A135="","",SUMIFS('Trade Log'!$Z$4:$Z$503,'Trade Log'!$D$4:$D$503,$A135,'Trade Log'!$E$4:$E$503,"SHORT"))</f>
        <v/>
      </c>
      <c r="I135" s="40" t="str">
        <f aca="false">IF($A135="","",SUMIFS('Trade Log'!$Q$4:$Q$503,'Trade Log'!$D$4:$D$503,$A135))</f>
        <v/>
      </c>
      <c r="J135" s="40" t="str">
        <f aca="false">IF($A135="","",SUMIFS('Trade Log'!$Y$4:$Y$503,'Trade Log'!$D$4:$D$503,$A135))</f>
        <v/>
      </c>
      <c r="K135" s="40" t="str">
        <f aca="false">IF($A135="","",SUMIFS('Trade Log'!$Z$4:$Z$503,'Trade Log'!$D$4:$D$503,$A135))</f>
        <v/>
      </c>
      <c r="L135" s="41" t="str">
        <f aca="false">IF($A135="","",COUNTIFS('Trade Log'!$D$4:$D$503,$A135,'Trade Log'!$Z$4:$Z$503,"&gt;0"))</f>
        <v/>
      </c>
      <c r="M135" s="55" t="str">
        <f aca="false">IF(OR($A135="",$E135=0),"",$L135/$E135)</f>
        <v/>
      </c>
      <c r="N135" s="40" t="str">
        <f aca="false">IF(OR($A135="",$E135=0),"",$K135/$E135)</f>
        <v/>
      </c>
      <c r="O135" s="40" t="str">
        <f aca="false">IF($A135="","",IFERROR(_xlfn.MAXIFS('Trade Log'!$Z$4:$Z$503,'Trade Log'!$D$4:$D$503,$A135),""))</f>
        <v/>
      </c>
      <c r="P135" s="40" t="str">
        <f aca="false">IF($A135="","",IFERROR(_xlfn.MINIFS('Trade Log'!$Z$4:$Z$503,'Trade Log'!$D$4:$D$503,$A135),""))</f>
        <v/>
      </c>
      <c r="Q135" s="55" t="str">
        <f aca="false">IF($A135="","",IFERROR(AVERAGEIFS('Trade Log'!$AA$4:$AA$503,'Trade Log'!$D$4:$D$503,$A135),""))</f>
        <v/>
      </c>
      <c r="R135" s="53" t="str">
        <f aca="false">IF($A135="","",IFERROR(AVERAGEIFS('Trade Log'!$P$4:$P$503,'Trade Log'!$D$4:$D$503,$A135),""))</f>
        <v/>
      </c>
      <c r="S135" s="44" t="str">
        <f aca="false">IF($A135="","",IFERROR(AVERAGEIFS('Trade Log'!$AC$4:$AC$503,'Trade Log'!$D$4:$D$503,$A135),""))</f>
        <v/>
      </c>
      <c r="T135" s="55" t="str">
        <f aca="false">IF(OR($A135="",Summary!$B$13=0),"",$K135/Summary!$B$13)</f>
        <v/>
      </c>
      <c r="U135" s="41" t="str">
        <f aca="false">IF($A135="","",IFERROR(RANK($K135,$K$4:$K$153),""))</f>
        <v/>
      </c>
    </row>
    <row r="136" customFormat="false" ht="15" hidden="false" customHeight="false" outlineLevel="0" collapsed="false">
      <c r="A136" s="49"/>
      <c r="B136" s="41" t="str">
        <f aca="false">IF($A136="","",COUNTIFS('Trade Log'!$D$4:$D$503,$A136))</f>
        <v/>
      </c>
      <c r="C136" s="41" t="str">
        <f aca="false">IF($A136="","",COUNTIFS('Trade Log'!$D$4:$D$503,$A136,'Trade Log'!$E$4:$E$503,"LONG"))</f>
        <v/>
      </c>
      <c r="D136" s="41" t="str">
        <f aca="false">IF($A136="","",COUNTIFS('Trade Log'!$D$4:$D$503,$A136,'Trade Log'!$E$4:$E$503,"SHORT"))</f>
        <v/>
      </c>
      <c r="E136" s="41" t="str">
        <f aca="false">IF($A136="","",COUNTIFS('Trade Log'!$D$4:$D$503,$A136,'Trade Log'!$N$4:$N$503,"&lt;&gt;"))</f>
        <v/>
      </c>
      <c r="F136" s="40" t="str">
        <f aca="false">IF($A136="","",SUMIFS('Trade Log'!$K$4:$K$503,'Trade Log'!$D$4:$D$503,$A136))</f>
        <v/>
      </c>
      <c r="G136" s="40" t="str">
        <f aca="false">IF($A136="","",SUMIFS('Trade Log'!$Z$4:$Z$503,'Trade Log'!$D$4:$D$503,$A136,'Trade Log'!$E$4:$E$503,"LONG"))</f>
        <v/>
      </c>
      <c r="H136" s="40" t="str">
        <f aca="false">IF($A136="","",SUMIFS('Trade Log'!$Z$4:$Z$503,'Trade Log'!$D$4:$D$503,$A136,'Trade Log'!$E$4:$E$503,"SHORT"))</f>
        <v/>
      </c>
      <c r="I136" s="40" t="str">
        <f aca="false">IF($A136="","",SUMIFS('Trade Log'!$Q$4:$Q$503,'Trade Log'!$D$4:$D$503,$A136))</f>
        <v/>
      </c>
      <c r="J136" s="40" t="str">
        <f aca="false">IF($A136="","",SUMIFS('Trade Log'!$Y$4:$Y$503,'Trade Log'!$D$4:$D$503,$A136))</f>
        <v/>
      </c>
      <c r="K136" s="40" t="str">
        <f aca="false">IF($A136="","",SUMIFS('Trade Log'!$Z$4:$Z$503,'Trade Log'!$D$4:$D$503,$A136))</f>
        <v/>
      </c>
      <c r="L136" s="41" t="str">
        <f aca="false">IF($A136="","",COUNTIFS('Trade Log'!$D$4:$D$503,$A136,'Trade Log'!$Z$4:$Z$503,"&gt;0"))</f>
        <v/>
      </c>
      <c r="M136" s="55" t="str">
        <f aca="false">IF(OR($A136="",$E136=0),"",$L136/$E136)</f>
        <v/>
      </c>
      <c r="N136" s="40" t="str">
        <f aca="false">IF(OR($A136="",$E136=0),"",$K136/$E136)</f>
        <v/>
      </c>
      <c r="O136" s="40" t="str">
        <f aca="false">IF($A136="","",IFERROR(_xlfn.MAXIFS('Trade Log'!$Z$4:$Z$503,'Trade Log'!$D$4:$D$503,$A136),""))</f>
        <v/>
      </c>
      <c r="P136" s="40" t="str">
        <f aca="false">IF($A136="","",IFERROR(_xlfn.MINIFS('Trade Log'!$Z$4:$Z$503,'Trade Log'!$D$4:$D$503,$A136),""))</f>
        <v/>
      </c>
      <c r="Q136" s="55" t="str">
        <f aca="false">IF($A136="","",IFERROR(AVERAGEIFS('Trade Log'!$AA$4:$AA$503,'Trade Log'!$D$4:$D$503,$A136),""))</f>
        <v/>
      </c>
      <c r="R136" s="53" t="str">
        <f aca="false">IF($A136="","",IFERROR(AVERAGEIFS('Trade Log'!$P$4:$P$503,'Trade Log'!$D$4:$D$503,$A136),""))</f>
        <v/>
      </c>
      <c r="S136" s="44" t="str">
        <f aca="false">IF($A136="","",IFERROR(AVERAGEIFS('Trade Log'!$AC$4:$AC$503,'Trade Log'!$D$4:$D$503,$A136),""))</f>
        <v/>
      </c>
      <c r="T136" s="55" t="str">
        <f aca="false">IF(OR($A136="",Summary!$B$13=0),"",$K136/Summary!$B$13)</f>
        <v/>
      </c>
      <c r="U136" s="41" t="str">
        <f aca="false">IF($A136="","",IFERROR(RANK($K136,$K$4:$K$153),""))</f>
        <v/>
      </c>
    </row>
    <row r="137" customFormat="false" ht="15" hidden="false" customHeight="false" outlineLevel="0" collapsed="false">
      <c r="A137" s="49"/>
      <c r="B137" s="41" t="str">
        <f aca="false">IF($A137="","",COUNTIFS('Trade Log'!$D$4:$D$503,$A137))</f>
        <v/>
      </c>
      <c r="C137" s="41" t="str">
        <f aca="false">IF($A137="","",COUNTIFS('Trade Log'!$D$4:$D$503,$A137,'Trade Log'!$E$4:$E$503,"LONG"))</f>
        <v/>
      </c>
      <c r="D137" s="41" t="str">
        <f aca="false">IF($A137="","",COUNTIFS('Trade Log'!$D$4:$D$503,$A137,'Trade Log'!$E$4:$E$503,"SHORT"))</f>
        <v/>
      </c>
      <c r="E137" s="41" t="str">
        <f aca="false">IF($A137="","",COUNTIFS('Trade Log'!$D$4:$D$503,$A137,'Trade Log'!$N$4:$N$503,"&lt;&gt;"))</f>
        <v/>
      </c>
      <c r="F137" s="40" t="str">
        <f aca="false">IF($A137="","",SUMIFS('Trade Log'!$K$4:$K$503,'Trade Log'!$D$4:$D$503,$A137))</f>
        <v/>
      </c>
      <c r="G137" s="40" t="str">
        <f aca="false">IF($A137="","",SUMIFS('Trade Log'!$Z$4:$Z$503,'Trade Log'!$D$4:$D$503,$A137,'Trade Log'!$E$4:$E$503,"LONG"))</f>
        <v/>
      </c>
      <c r="H137" s="40" t="str">
        <f aca="false">IF($A137="","",SUMIFS('Trade Log'!$Z$4:$Z$503,'Trade Log'!$D$4:$D$503,$A137,'Trade Log'!$E$4:$E$503,"SHORT"))</f>
        <v/>
      </c>
      <c r="I137" s="40" t="str">
        <f aca="false">IF($A137="","",SUMIFS('Trade Log'!$Q$4:$Q$503,'Trade Log'!$D$4:$D$503,$A137))</f>
        <v/>
      </c>
      <c r="J137" s="40" t="str">
        <f aca="false">IF($A137="","",SUMIFS('Trade Log'!$Y$4:$Y$503,'Trade Log'!$D$4:$D$503,$A137))</f>
        <v/>
      </c>
      <c r="K137" s="40" t="str">
        <f aca="false">IF($A137="","",SUMIFS('Trade Log'!$Z$4:$Z$503,'Trade Log'!$D$4:$D$503,$A137))</f>
        <v/>
      </c>
      <c r="L137" s="41" t="str">
        <f aca="false">IF($A137="","",COUNTIFS('Trade Log'!$D$4:$D$503,$A137,'Trade Log'!$Z$4:$Z$503,"&gt;0"))</f>
        <v/>
      </c>
      <c r="M137" s="55" t="str">
        <f aca="false">IF(OR($A137="",$E137=0),"",$L137/$E137)</f>
        <v/>
      </c>
      <c r="N137" s="40" t="str">
        <f aca="false">IF(OR($A137="",$E137=0),"",$K137/$E137)</f>
        <v/>
      </c>
      <c r="O137" s="40" t="str">
        <f aca="false">IF($A137="","",IFERROR(_xlfn.MAXIFS('Trade Log'!$Z$4:$Z$503,'Trade Log'!$D$4:$D$503,$A137),""))</f>
        <v/>
      </c>
      <c r="P137" s="40" t="str">
        <f aca="false">IF($A137="","",IFERROR(_xlfn.MINIFS('Trade Log'!$Z$4:$Z$503,'Trade Log'!$D$4:$D$503,$A137),""))</f>
        <v/>
      </c>
      <c r="Q137" s="55" t="str">
        <f aca="false">IF($A137="","",IFERROR(AVERAGEIFS('Trade Log'!$AA$4:$AA$503,'Trade Log'!$D$4:$D$503,$A137),""))</f>
        <v/>
      </c>
      <c r="R137" s="53" t="str">
        <f aca="false">IF($A137="","",IFERROR(AVERAGEIFS('Trade Log'!$P$4:$P$503,'Trade Log'!$D$4:$D$503,$A137),""))</f>
        <v/>
      </c>
      <c r="S137" s="44" t="str">
        <f aca="false">IF($A137="","",IFERROR(AVERAGEIFS('Trade Log'!$AC$4:$AC$503,'Trade Log'!$D$4:$D$503,$A137),""))</f>
        <v/>
      </c>
      <c r="T137" s="55" t="str">
        <f aca="false">IF(OR($A137="",Summary!$B$13=0),"",$K137/Summary!$B$13)</f>
        <v/>
      </c>
      <c r="U137" s="41" t="str">
        <f aca="false">IF($A137="","",IFERROR(RANK($K137,$K$4:$K$153),""))</f>
        <v/>
      </c>
    </row>
    <row r="138" customFormat="false" ht="15" hidden="false" customHeight="false" outlineLevel="0" collapsed="false">
      <c r="A138" s="49"/>
      <c r="B138" s="41" t="str">
        <f aca="false">IF($A138="","",COUNTIFS('Trade Log'!$D$4:$D$503,$A138))</f>
        <v/>
      </c>
      <c r="C138" s="41" t="str">
        <f aca="false">IF($A138="","",COUNTIFS('Trade Log'!$D$4:$D$503,$A138,'Trade Log'!$E$4:$E$503,"LONG"))</f>
        <v/>
      </c>
      <c r="D138" s="41" t="str">
        <f aca="false">IF($A138="","",COUNTIFS('Trade Log'!$D$4:$D$503,$A138,'Trade Log'!$E$4:$E$503,"SHORT"))</f>
        <v/>
      </c>
      <c r="E138" s="41" t="str">
        <f aca="false">IF($A138="","",COUNTIFS('Trade Log'!$D$4:$D$503,$A138,'Trade Log'!$N$4:$N$503,"&lt;&gt;"))</f>
        <v/>
      </c>
      <c r="F138" s="40" t="str">
        <f aca="false">IF($A138="","",SUMIFS('Trade Log'!$K$4:$K$503,'Trade Log'!$D$4:$D$503,$A138))</f>
        <v/>
      </c>
      <c r="G138" s="40" t="str">
        <f aca="false">IF($A138="","",SUMIFS('Trade Log'!$Z$4:$Z$503,'Trade Log'!$D$4:$D$503,$A138,'Trade Log'!$E$4:$E$503,"LONG"))</f>
        <v/>
      </c>
      <c r="H138" s="40" t="str">
        <f aca="false">IF($A138="","",SUMIFS('Trade Log'!$Z$4:$Z$503,'Trade Log'!$D$4:$D$503,$A138,'Trade Log'!$E$4:$E$503,"SHORT"))</f>
        <v/>
      </c>
      <c r="I138" s="40" t="str">
        <f aca="false">IF($A138="","",SUMIFS('Trade Log'!$Q$4:$Q$503,'Trade Log'!$D$4:$D$503,$A138))</f>
        <v/>
      </c>
      <c r="J138" s="40" t="str">
        <f aca="false">IF($A138="","",SUMIFS('Trade Log'!$Y$4:$Y$503,'Trade Log'!$D$4:$D$503,$A138))</f>
        <v/>
      </c>
      <c r="K138" s="40" t="str">
        <f aca="false">IF($A138="","",SUMIFS('Trade Log'!$Z$4:$Z$503,'Trade Log'!$D$4:$D$503,$A138))</f>
        <v/>
      </c>
      <c r="L138" s="41" t="str">
        <f aca="false">IF($A138="","",COUNTIFS('Trade Log'!$D$4:$D$503,$A138,'Trade Log'!$Z$4:$Z$503,"&gt;0"))</f>
        <v/>
      </c>
      <c r="M138" s="55" t="str">
        <f aca="false">IF(OR($A138="",$E138=0),"",$L138/$E138)</f>
        <v/>
      </c>
      <c r="N138" s="40" t="str">
        <f aca="false">IF(OR($A138="",$E138=0),"",$K138/$E138)</f>
        <v/>
      </c>
      <c r="O138" s="40" t="str">
        <f aca="false">IF($A138="","",IFERROR(_xlfn.MAXIFS('Trade Log'!$Z$4:$Z$503,'Trade Log'!$D$4:$D$503,$A138),""))</f>
        <v/>
      </c>
      <c r="P138" s="40" t="str">
        <f aca="false">IF($A138="","",IFERROR(_xlfn.MINIFS('Trade Log'!$Z$4:$Z$503,'Trade Log'!$D$4:$D$503,$A138),""))</f>
        <v/>
      </c>
      <c r="Q138" s="55" t="str">
        <f aca="false">IF($A138="","",IFERROR(AVERAGEIFS('Trade Log'!$AA$4:$AA$503,'Trade Log'!$D$4:$D$503,$A138),""))</f>
        <v/>
      </c>
      <c r="R138" s="53" t="str">
        <f aca="false">IF($A138="","",IFERROR(AVERAGEIFS('Trade Log'!$P$4:$P$503,'Trade Log'!$D$4:$D$503,$A138),""))</f>
        <v/>
      </c>
      <c r="S138" s="44" t="str">
        <f aca="false">IF($A138="","",IFERROR(AVERAGEIFS('Trade Log'!$AC$4:$AC$503,'Trade Log'!$D$4:$D$503,$A138),""))</f>
        <v/>
      </c>
      <c r="T138" s="55" t="str">
        <f aca="false">IF(OR($A138="",Summary!$B$13=0),"",$K138/Summary!$B$13)</f>
        <v/>
      </c>
      <c r="U138" s="41" t="str">
        <f aca="false">IF($A138="","",IFERROR(RANK($K138,$K$4:$K$153),""))</f>
        <v/>
      </c>
    </row>
    <row r="139" customFormat="false" ht="15" hidden="false" customHeight="false" outlineLevel="0" collapsed="false">
      <c r="A139" s="49"/>
      <c r="B139" s="41" t="str">
        <f aca="false">IF($A139="","",COUNTIFS('Trade Log'!$D$4:$D$503,$A139))</f>
        <v/>
      </c>
      <c r="C139" s="41" t="str">
        <f aca="false">IF($A139="","",COUNTIFS('Trade Log'!$D$4:$D$503,$A139,'Trade Log'!$E$4:$E$503,"LONG"))</f>
        <v/>
      </c>
      <c r="D139" s="41" t="str">
        <f aca="false">IF($A139="","",COUNTIFS('Trade Log'!$D$4:$D$503,$A139,'Trade Log'!$E$4:$E$503,"SHORT"))</f>
        <v/>
      </c>
      <c r="E139" s="41" t="str">
        <f aca="false">IF($A139="","",COUNTIFS('Trade Log'!$D$4:$D$503,$A139,'Trade Log'!$N$4:$N$503,"&lt;&gt;"))</f>
        <v/>
      </c>
      <c r="F139" s="40" t="str">
        <f aca="false">IF($A139="","",SUMIFS('Trade Log'!$K$4:$K$503,'Trade Log'!$D$4:$D$503,$A139))</f>
        <v/>
      </c>
      <c r="G139" s="40" t="str">
        <f aca="false">IF($A139="","",SUMIFS('Trade Log'!$Z$4:$Z$503,'Trade Log'!$D$4:$D$503,$A139,'Trade Log'!$E$4:$E$503,"LONG"))</f>
        <v/>
      </c>
      <c r="H139" s="40" t="str">
        <f aca="false">IF($A139="","",SUMIFS('Trade Log'!$Z$4:$Z$503,'Trade Log'!$D$4:$D$503,$A139,'Trade Log'!$E$4:$E$503,"SHORT"))</f>
        <v/>
      </c>
      <c r="I139" s="40" t="str">
        <f aca="false">IF($A139="","",SUMIFS('Trade Log'!$Q$4:$Q$503,'Trade Log'!$D$4:$D$503,$A139))</f>
        <v/>
      </c>
      <c r="J139" s="40" t="str">
        <f aca="false">IF($A139="","",SUMIFS('Trade Log'!$Y$4:$Y$503,'Trade Log'!$D$4:$D$503,$A139))</f>
        <v/>
      </c>
      <c r="K139" s="40" t="str">
        <f aca="false">IF($A139="","",SUMIFS('Trade Log'!$Z$4:$Z$503,'Trade Log'!$D$4:$D$503,$A139))</f>
        <v/>
      </c>
      <c r="L139" s="41" t="str">
        <f aca="false">IF($A139="","",COUNTIFS('Trade Log'!$D$4:$D$503,$A139,'Trade Log'!$Z$4:$Z$503,"&gt;0"))</f>
        <v/>
      </c>
      <c r="M139" s="55" t="str">
        <f aca="false">IF(OR($A139="",$E139=0),"",$L139/$E139)</f>
        <v/>
      </c>
      <c r="N139" s="40" t="str">
        <f aca="false">IF(OR($A139="",$E139=0),"",$K139/$E139)</f>
        <v/>
      </c>
      <c r="O139" s="40" t="str">
        <f aca="false">IF($A139="","",IFERROR(_xlfn.MAXIFS('Trade Log'!$Z$4:$Z$503,'Trade Log'!$D$4:$D$503,$A139),""))</f>
        <v/>
      </c>
      <c r="P139" s="40" t="str">
        <f aca="false">IF($A139="","",IFERROR(_xlfn.MINIFS('Trade Log'!$Z$4:$Z$503,'Trade Log'!$D$4:$D$503,$A139),""))</f>
        <v/>
      </c>
      <c r="Q139" s="55" t="str">
        <f aca="false">IF($A139="","",IFERROR(AVERAGEIFS('Trade Log'!$AA$4:$AA$503,'Trade Log'!$D$4:$D$503,$A139),""))</f>
        <v/>
      </c>
      <c r="R139" s="53" t="str">
        <f aca="false">IF($A139="","",IFERROR(AVERAGEIFS('Trade Log'!$P$4:$P$503,'Trade Log'!$D$4:$D$503,$A139),""))</f>
        <v/>
      </c>
      <c r="S139" s="44" t="str">
        <f aca="false">IF($A139="","",IFERROR(AVERAGEIFS('Trade Log'!$AC$4:$AC$503,'Trade Log'!$D$4:$D$503,$A139),""))</f>
        <v/>
      </c>
      <c r="T139" s="55" t="str">
        <f aca="false">IF(OR($A139="",Summary!$B$13=0),"",$K139/Summary!$B$13)</f>
        <v/>
      </c>
      <c r="U139" s="41" t="str">
        <f aca="false">IF($A139="","",IFERROR(RANK($K139,$K$4:$K$153),""))</f>
        <v/>
      </c>
    </row>
    <row r="140" customFormat="false" ht="15" hidden="false" customHeight="false" outlineLevel="0" collapsed="false">
      <c r="A140" s="49"/>
      <c r="B140" s="41" t="str">
        <f aca="false">IF($A140="","",COUNTIFS('Trade Log'!$D$4:$D$503,$A140))</f>
        <v/>
      </c>
      <c r="C140" s="41" t="str">
        <f aca="false">IF($A140="","",COUNTIFS('Trade Log'!$D$4:$D$503,$A140,'Trade Log'!$E$4:$E$503,"LONG"))</f>
        <v/>
      </c>
      <c r="D140" s="41" t="str">
        <f aca="false">IF($A140="","",COUNTIFS('Trade Log'!$D$4:$D$503,$A140,'Trade Log'!$E$4:$E$503,"SHORT"))</f>
        <v/>
      </c>
      <c r="E140" s="41" t="str">
        <f aca="false">IF($A140="","",COUNTIFS('Trade Log'!$D$4:$D$503,$A140,'Trade Log'!$N$4:$N$503,"&lt;&gt;"))</f>
        <v/>
      </c>
      <c r="F140" s="40" t="str">
        <f aca="false">IF($A140="","",SUMIFS('Trade Log'!$K$4:$K$503,'Trade Log'!$D$4:$D$503,$A140))</f>
        <v/>
      </c>
      <c r="G140" s="40" t="str">
        <f aca="false">IF($A140="","",SUMIFS('Trade Log'!$Z$4:$Z$503,'Trade Log'!$D$4:$D$503,$A140,'Trade Log'!$E$4:$E$503,"LONG"))</f>
        <v/>
      </c>
      <c r="H140" s="40" t="str">
        <f aca="false">IF($A140="","",SUMIFS('Trade Log'!$Z$4:$Z$503,'Trade Log'!$D$4:$D$503,$A140,'Trade Log'!$E$4:$E$503,"SHORT"))</f>
        <v/>
      </c>
      <c r="I140" s="40" t="str">
        <f aca="false">IF($A140="","",SUMIFS('Trade Log'!$Q$4:$Q$503,'Trade Log'!$D$4:$D$503,$A140))</f>
        <v/>
      </c>
      <c r="J140" s="40" t="str">
        <f aca="false">IF($A140="","",SUMIFS('Trade Log'!$Y$4:$Y$503,'Trade Log'!$D$4:$D$503,$A140))</f>
        <v/>
      </c>
      <c r="K140" s="40" t="str">
        <f aca="false">IF($A140="","",SUMIFS('Trade Log'!$Z$4:$Z$503,'Trade Log'!$D$4:$D$503,$A140))</f>
        <v/>
      </c>
      <c r="L140" s="41" t="str">
        <f aca="false">IF($A140="","",COUNTIFS('Trade Log'!$D$4:$D$503,$A140,'Trade Log'!$Z$4:$Z$503,"&gt;0"))</f>
        <v/>
      </c>
      <c r="M140" s="55" t="str">
        <f aca="false">IF(OR($A140="",$E140=0),"",$L140/$E140)</f>
        <v/>
      </c>
      <c r="N140" s="40" t="str">
        <f aca="false">IF(OR($A140="",$E140=0),"",$K140/$E140)</f>
        <v/>
      </c>
      <c r="O140" s="40" t="str">
        <f aca="false">IF($A140="","",IFERROR(_xlfn.MAXIFS('Trade Log'!$Z$4:$Z$503,'Trade Log'!$D$4:$D$503,$A140),""))</f>
        <v/>
      </c>
      <c r="P140" s="40" t="str">
        <f aca="false">IF($A140="","",IFERROR(_xlfn.MINIFS('Trade Log'!$Z$4:$Z$503,'Trade Log'!$D$4:$D$503,$A140),""))</f>
        <v/>
      </c>
      <c r="Q140" s="55" t="str">
        <f aca="false">IF($A140="","",IFERROR(AVERAGEIFS('Trade Log'!$AA$4:$AA$503,'Trade Log'!$D$4:$D$503,$A140),""))</f>
        <v/>
      </c>
      <c r="R140" s="53" t="str">
        <f aca="false">IF($A140="","",IFERROR(AVERAGEIFS('Trade Log'!$P$4:$P$503,'Trade Log'!$D$4:$D$503,$A140),""))</f>
        <v/>
      </c>
      <c r="S140" s="44" t="str">
        <f aca="false">IF($A140="","",IFERROR(AVERAGEIFS('Trade Log'!$AC$4:$AC$503,'Trade Log'!$D$4:$D$503,$A140),""))</f>
        <v/>
      </c>
      <c r="T140" s="55" t="str">
        <f aca="false">IF(OR($A140="",Summary!$B$13=0),"",$K140/Summary!$B$13)</f>
        <v/>
      </c>
      <c r="U140" s="41" t="str">
        <f aca="false">IF($A140="","",IFERROR(RANK($K140,$K$4:$K$153),""))</f>
        <v/>
      </c>
    </row>
    <row r="141" customFormat="false" ht="15" hidden="false" customHeight="false" outlineLevel="0" collapsed="false">
      <c r="A141" s="49"/>
      <c r="B141" s="41" t="str">
        <f aca="false">IF($A141="","",COUNTIFS('Trade Log'!$D$4:$D$503,$A141))</f>
        <v/>
      </c>
      <c r="C141" s="41" t="str">
        <f aca="false">IF($A141="","",COUNTIFS('Trade Log'!$D$4:$D$503,$A141,'Trade Log'!$E$4:$E$503,"LONG"))</f>
        <v/>
      </c>
      <c r="D141" s="41" t="str">
        <f aca="false">IF($A141="","",COUNTIFS('Trade Log'!$D$4:$D$503,$A141,'Trade Log'!$E$4:$E$503,"SHORT"))</f>
        <v/>
      </c>
      <c r="E141" s="41" t="str">
        <f aca="false">IF($A141="","",COUNTIFS('Trade Log'!$D$4:$D$503,$A141,'Trade Log'!$N$4:$N$503,"&lt;&gt;"))</f>
        <v/>
      </c>
      <c r="F141" s="40" t="str">
        <f aca="false">IF($A141="","",SUMIFS('Trade Log'!$K$4:$K$503,'Trade Log'!$D$4:$D$503,$A141))</f>
        <v/>
      </c>
      <c r="G141" s="40" t="str">
        <f aca="false">IF($A141="","",SUMIFS('Trade Log'!$Z$4:$Z$503,'Trade Log'!$D$4:$D$503,$A141,'Trade Log'!$E$4:$E$503,"LONG"))</f>
        <v/>
      </c>
      <c r="H141" s="40" t="str">
        <f aca="false">IF($A141="","",SUMIFS('Trade Log'!$Z$4:$Z$503,'Trade Log'!$D$4:$D$503,$A141,'Trade Log'!$E$4:$E$503,"SHORT"))</f>
        <v/>
      </c>
      <c r="I141" s="40" t="str">
        <f aca="false">IF($A141="","",SUMIFS('Trade Log'!$Q$4:$Q$503,'Trade Log'!$D$4:$D$503,$A141))</f>
        <v/>
      </c>
      <c r="J141" s="40" t="str">
        <f aca="false">IF($A141="","",SUMIFS('Trade Log'!$Y$4:$Y$503,'Trade Log'!$D$4:$D$503,$A141))</f>
        <v/>
      </c>
      <c r="K141" s="40" t="str">
        <f aca="false">IF($A141="","",SUMIFS('Trade Log'!$Z$4:$Z$503,'Trade Log'!$D$4:$D$503,$A141))</f>
        <v/>
      </c>
      <c r="L141" s="41" t="str">
        <f aca="false">IF($A141="","",COUNTIFS('Trade Log'!$D$4:$D$503,$A141,'Trade Log'!$Z$4:$Z$503,"&gt;0"))</f>
        <v/>
      </c>
      <c r="M141" s="55" t="str">
        <f aca="false">IF(OR($A141="",$E141=0),"",$L141/$E141)</f>
        <v/>
      </c>
      <c r="N141" s="40" t="str">
        <f aca="false">IF(OR($A141="",$E141=0),"",$K141/$E141)</f>
        <v/>
      </c>
      <c r="O141" s="40" t="str">
        <f aca="false">IF($A141="","",IFERROR(_xlfn.MAXIFS('Trade Log'!$Z$4:$Z$503,'Trade Log'!$D$4:$D$503,$A141),""))</f>
        <v/>
      </c>
      <c r="P141" s="40" t="str">
        <f aca="false">IF($A141="","",IFERROR(_xlfn.MINIFS('Trade Log'!$Z$4:$Z$503,'Trade Log'!$D$4:$D$503,$A141),""))</f>
        <v/>
      </c>
      <c r="Q141" s="55" t="str">
        <f aca="false">IF($A141="","",IFERROR(AVERAGEIFS('Trade Log'!$AA$4:$AA$503,'Trade Log'!$D$4:$D$503,$A141),""))</f>
        <v/>
      </c>
      <c r="R141" s="53" t="str">
        <f aca="false">IF($A141="","",IFERROR(AVERAGEIFS('Trade Log'!$P$4:$P$503,'Trade Log'!$D$4:$D$503,$A141),""))</f>
        <v/>
      </c>
      <c r="S141" s="44" t="str">
        <f aca="false">IF($A141="","",IFERROR(AVERAGEIFS('Trade Log'!$AC$4:$AC$503,'Trade Log'!$D$4:$D$503,$A141),""))</f>
        <v/>
      </c>
      <c r="T141" s="55" t="str">
        <f aca="false">IF(OR($A141="",Summary!$B$13=0),"",$K141/Summary!$B$13)</f>
        <v/>
      </c>
      <c r="U141" s="41" t="str">
        <f aca="false">IF($A141="","",IFERROR(RANK($K141,$K$4:$K$153),""))</f>
        <v/>
      </c>
    </row>
    <row r="142" customFormat="false" ht="15" hidden="false" customHeight="false" outlineLevel="0" collapsed="false">
      <c r="A142" s="49"/>
      <c r="B142" s="41" t="str">
        <f aca="false">IF($A142="","",COUNTIFS('Trade Log'!$D$4:$D$503,$A142))</f>
        <v/>
      </c>
      <c r="C142" s="41" t="str">
        <f aca="false">IF($A142="","",COUNTIFS('Trade Log'!$D$4:$D$503,$A142,'Trade Log'!$E$4:$E$503,"LONG"))</f>
        <v/>
      </c>
      <c r="D142" s="41" t="str">
        <f aca="false">IF($A142="","",COUNTIFS('Trade Log'!$D$4:$D$503,$A142,'Trade Log'!$E$4:$E$503,"SHORT"))</f>
        <v/>
      </c>
      <c r="E142" s="41" t="str">
        <f aca="false">IF($A142="","",COUNTIFS('Trade Log'!$D$4:$D$503,$A142,'Trade Log'!$N$4:$N$503,"&lt;&gt;"))</f>
        <v/>
      </c>
      <c r="F142" s="40" t="str">
        <f aca="false">IF($A142="","",SUMIFS('Trade Log'!$K$4:$K$503,'Trade Log'!$D$4:$D$503,$A142))</f>
        <v/>
      </c>
      <c r="G142" s="40" t="str">
        <f aca="false">IF($A142="","",SUMIFS('Trade Log'!$Z$4:$Z$503,'Trade Log'!$D$4:$D$503,$A142,'Trade Log'!$E$4:$E$503,"LONG"))</f>
        <v/>
      </c>
      <c r="H142" s="40" t="str">
        <f aca="false">IF($A142="","",SUMIFS('Trade Log'!$Z$4:$Z$503,'Trade Log'!$D$4:$D$503,$A142,'Trade Log'!$E$4:$E$503,"SHORT"))</f>
        <v/>
      </c>
      <c r="I142" s="40" t="str">
        <f aca="false">IF($A142="","",SUMIFS('Trade Log'!$Q$4:$Q$503,'Trade Log'!$D$4:$D$503,$A142))</f>
        <v/>
      </c>
      <c r="J142" s="40" t="str">
        <f aca="false">IF($A142="","",SUMIFS('Trade Log'!$Y$4:$Y$503,'Trade Log'!$D$4:$D$503,$A142))</f>
        <v/>
      </c>
      <c r="K142" s="40" t="str">
        <f aca="false">IF($A142="","",SUMIFS('Trade Log'!$Z$4:$Z$503,'Trade Log'!$D$4:$D$503,$A142))</f>
        <v/>
      </c>
      <c r="L142" s="41" t="str">
        <f aca="false">IF($A142="","",COUNTIFS('Trade Log'!$D$4:$D$503,$A142,'Trade Log'!$Z$4:$Z$503,"&gt;0"))</f>
        <v/>
      </c>
      <c r="M142" s="55" t="str">
        <f aca="false">IF(OR($A142="",$E142=0),"",$L142/$E142)</f>
        <v/>
      </c>
      <c r="N142" s="40" t="str">
        <f aca="false">IF(OR($A142="",$E142=0),"",$K142/$E142)</f>
        <v/>
      </c>
      <c r="O142" s="40" t="str">
        <f aca="false">IF($A142="","",IFERROR(_xlfn.MAXIFS('Trade Log'!$Z$4:$Z$503,'Trade Log'!$D$4:$D$503,$A142),""))</f>
        <v/>
      </c>
      <c r="P142" s="40" t="str">
        <f aca="false">IF($A142="","",IFERROR(_xlfn.MINIFS('Trade Log'!$Z$4:$Z$503,'Trade Log'!$D$4:$D$503,$A142),""))</f>
        <v/>
      </c>
      <c r="Q142" s="55" t="str">
        <f aca="false">IF($A142="","",IFERROR(AVERAGEIFS('Trade Log'!$AA$4:$AA$503,'Trade Log'!$D$4:$D$503,$A142),""))</f>
        <v/>
      </c>
      <c r="R142" s="53" t="str">
        <f aca="false">IF($A142="","",IFERROR(AVERAGEIFS('Trade Log'!$P$4:$P$503,'Trade Log'!$D$4:$D$503,$A142),""))</f>
        <v/>
      </c>
      <c r="S142" s="44" t="str">
        <f aca="false">IF($A142="","",IFERROR(AVERAGEIFS('Trade Log'!$AC$4:$AC$503,'Trade Log'!$D$4:$D$503,$A142),""))</f>
        <v/>
      </c>
      <c r="T142" s="55" t="str">
        <f aca="false">IF(OR($A142="",Summary!$B$13=0),"",$K142/Summary!$B$13)</f>
        <v/>
      </c>
      <c r="U142" s="41" t="str">
        <f aca="false">IF($A142="","",IFERROR(RANK($K142,$K$4:$K$153),""))</f>
        <v/>
      </c>
    </row>
    <row r="143" customFormat="false" ht="15" hidden="false" customHeight="false" outlineLevel="0" collapsed="false">
      <c r="A143" s="49"/>
      <c r="B143" s="41" t="str">
        <f aca="false">IF($A143="","",COUNTIFS('Trade Log'!$D$4:$D$503,$A143))</f>
        <v/>
      </c>
      <c r="C143" s="41" t="str">
        <f aca="false">IF($A143="","",COUNTIFS('Trade Log'!$D$4:$D$503,$A143,'Trade Log'!$E$4:$E$503,"LONG"))</f>
        <v/>
      </c>
      <c r="D143" s="41" t="str">
        <f aca="false">IF($A143="","",COUNTIFS('Trade Log'!$D$4:$D$503,$A143,'Trade Log'!$E$4:$E$503,"SHORT"))</f>
        <v/>
      </c>
      <c r="E143" s="41" t="str">
        <f aca="false">IF($A143="","",COUNTIFS('Trade Log'!$D$4:$D$503,$A143,'Trade Log'!$N$4:$N$503,"&lt;&gt;"))</f>
        <v/>
      </c>
      <c r="F143" s="40" t="str">
        <f aca="false">IF($A143="","",SUMIFS('Trade Log'!$K$4:$K$503,'Trade Log'!$D$4:$D$503,$A143))</f>
        <v/>
      </c>
      <c r="G143" s="40" t="str">
        <f aca="false">IF($A143="","",SUMIFS('Trade Log'!$Z$4:$Z$503,'Trade Log'!$D$4:$D$503,$A143,'Trade Log'!$E$4:$E$503,"LONG"))</f>
        <v/>
      </c>
      <c r="H143" s="40" t="str">
        <f aca="false">IF($A143="","",SUMIFS('Trade Log'!$Z$4:$Z$503,'Trade Log'!$D$4:$D$503,$A143,'Trade Log'!$E$4:$E$503,"SHORT"))</f>
        <v/>
      </c>
      <c r="I143" s="40" t="str">
        <f aca="false">IF($A143="","",SUMIFS('Trade Log'!$Q$4:$Q$503,'Trade Log'!$D$4:$D$503,$A143))</f>
        <v/>
      </c>
      <c r="J143" s="40" t="str">
        <f aca="false">IF($A143="","",SUMIFS('Trade Log'!$Y$4:$Y$503,'Trade Log'!$D$4:$D$503,$A143))</f>
        <v/>
      </c>
      <c r="K143" s="40" t="str">
        <f aca="false">IF($A143="","",SUMIFS('Trade Log'!$Z$4:$Z$503,'Trade Log'!$D$4:$D$503,$A143))</f>
        <v/>
      </c>
      <c r="L143" s="41" t="str">
        <f aca="false">IF($A143="","",COUNTIFS('Trade Log'!$D$4:$D$503,$A143,'Trade Log'!$Z$4:$Z$503,"&gt;0"))</f>
        <v/>
      </c>
      <c r="M143" s="55" t="str">
        <f aca="false">IF(OR($A143="",$E143=0),"",$L143/$E143)</f>
        <v/>
      </c>
      <c r="N143" s="40" t="str">
        <f aca="false">IF(OR($A143="",$E143=0),"",$K143/$E143)</f>
        <v/>
      </c>
      <c r="O143" s="40" t="str">
        <f aca="false">IF($A143="","",IFERROR(_xlfn.MAXIFS('Trade Log'!$Z$4:$Z$503,'Trade Log'!$D$4:$D$503,$A143),""))</f>
        <v/>
      </c>
      <c r="P143" s="40" t="str">
        <f aca="false">IF($A143="","",IFERROR(_xlfn.MINIFS('Trade Log'!$Z$4:$Z$503,'Trade Log'!$D$4:$D$503,$A143),""))</f>
        <v/>
      </c>
      <c r="Q143" s="55" t="str">
        <f aca="false">IF($A143="","",IFERROR(AVERAGEIFS('Trade Log'!$AA$4:$AA$503,'Trade Log'!$D$4:$D$503,$A143),""))</f>
        <v/>
      </c>
      <c r="R143" s="53" t="str">
        <f aca="false">IF($A143="","",IFERROR(AVERAGEIFS('Trade Log'!$P$4:$P$503,'Trade Log'!$D$4:$D$503,$A143),""))</f>
        <v/>
      </c>
      <c r="S143" s="44" t="str">
        <f aca="false">IF($A143="","",IFERROR(AVERAGEIFS('Trade Log'!$AC$4:$AC$503,'Trade Log'!$D$4:$D$503,$A143),""))</f>
        <v/>
      </c>
      <c r="T143" s="55" t="str">
        <f aca="false">IF(OR($A143="",Summary!$B$13=0),"",$K143/Summary!$B$13)</f>
        <v/>
      </c>
      <c r="U143" s="41" t="str">
        <f aca="false">IF($A143="","",IFERROR(RANK($K143,$K$4:$K$153),""))</f>
        <v/>
      </c>
    </row>
    <row r="144" customFormat="false" ht="15" hidden="false" customHeight="false" outlineLevel="0" collapsed="false">
      <c r="A144" s="49"/>
      <c r="B144" s="41" t="str">
        <f aca="false">IF($A144="","",COUNTIFS('Trade Log'!$D$4:$D$503,$A144))</f>
        <v/>
      </c>
      <c r="C144" s="41" t="str">
        <f aca="false">IF($A144="","",COUNTIFS('Trade Log'!$D$4:$D$503,$A144,'Trade Log'!$E$4:$E$503,"LONG"))</f>
        <v/>
      </c>
      <c r="D144" s="41" t="str">
        <f aca="false">IF($A144="","",COUNTIFS('Trade Log'!$D$4:$D$503,$A144,'Trade Log'!$E$4:$E$503,"SHORT"))</f>
        <v/>
      </c>
      <c r="E144" s="41" t="str">
        <f aca="false">IF($A144="","",COUNTIFS('Trade Log'!$D$4:$D$503,$A144,'Trade Log'!$N$4:$N$503,"&lt;&gt;"))</f>
        <v/>
      </c>
      <c r="F144" s="40" t="str">
        <f aca="false">IF($A144="","",SUMIFS('Trade Log'!$K$4:$K$503,'Trade Log'!$D$4:$D$503,$A144))</f>
        <v/>
      </c>
      <c r="G144" s="40" t="str">
        <f aca="false">IF($A144="","",SUMIFS('Trade Log'!$Z$4:$Z$503,'Trade Log'!$D$4:$D$503,$A144,'Trade Log'!$E$4:$E$503,"LONG"))</f>
        <v/>
      </c>
      <c r="H144" s="40" t="str">
        <f aca="false">IF($A144="","",SUMIFS('Trade Log'!$Z$4:$Z$503,'Trade Log'!$D$4:$D$503,$A144,'Trade Log'!$E$4:$E$503,"SHORT"))</f>
        <v/>
      </c>
      <c r="I144" s="40" t="str">
        <f aca="false">IF($A144="","",SUMIFS('Trade Log'!$Q$4:$Q$503,'Trade Log'!$D$4:$D$503,$A144))</f>
        <v/>
      </c>
      <c r="J144" s="40" t="str">
        <f aca="false">IF($A144="","",SUMIFS('Trade Log'!$Y$4:$Y$503,'Trade Log'!$D$4:$D$503,$A144))</f>
        <v/>
      </c>
      <c r="K144" s="40" t="str">
        <f aca="false">IF($A144="","",SUMIFS('Trade Log'!$Z$4:$Z$503,'Trade Log'!$D$4:$D$503,$A144))</f>
        <v/>
      </c>
      <c r="L144" s="41" t="str">
        <f aca="false">IF($A144="","",COUNTIFS('Trade Log'!$D$4:$D$503,$A144,'Trade Log'!$Z$4:$Z$503,"&gt;0"))</f>
        <v/>
      </c>
      <c r="M144" s="55" t="str">
        <f aca="false">IF(OR($A144="",$E144=0),"",$L144/$E144)</f>
        <v/>
      </c>
      <c r="N144" s="40" t="str">
        <f aca="false">IF(OR($A144="",$E144=0),"",$K144/$E144)</f>
        <v/>
      </c>
      <c r="O144" s="40" t="str">
        <f aca="false">IF($A144="","",IFERROR(_xlfn.MAXIFS('Trade Log'!$Z$4:$Z$503,'Trade Log'!$D$4:$D$503,$A144),""))</f>
        <v/>
      </c>
      <c r="P144" s="40" t="str">
        <f aca="false">IF($A144="","",IFERROR(_xlfn.MINIFS('Trade Log'!$Z$4:$Z$503,'Trade Log'!$D$4:$D$503,$A144),""))</f>
        <v/>
      </c>
      <c r="Q144" s="55" t="str">
        <f aca="false">IF($A144="","",IFERROR(AVERAGEIFS('Trade Log'!$AA$4:$AA$503,'Trade Log'!$D$4:$D$503,$A144),""))</f>
        <v/>
      </c>
      <c r="R144" s="53" t="str">
        <f aca="false">IF($A144="","",IFERROR(AVERAGEIFS('Trade Log'!$P$4:$P$503,'Trade Log'!$D$4:$D$503,$A144),""))</f>
        <v/>
      </c>
      <c r="S144" s="44" t="str">
        <f aca="false">IF($A144="","",IFERROR(AVERAGEIFS('Trade Log'!$AC$4:$AC$503,'Trade Log'!$D$4:$D$503,$A144),""))</f>
        <v/>
      </c>
      <c r="T144" s="55" t="str">
        <f aca="false">IF(OR($A144="",Summary!$B$13=0),"",$K144/Summary!$B$13)</f>
        <v/>
      </c>
      <c r="U144" s="41" t="str">
        <f aca="false">IF($A144="","",IFERROR(RANK($K144,$K$4:$K$153),""))</f>
        <v/>
      </c>
    </row>
    <row r="145" customFormat="false" ht="15" hidden="false" customHeight="false" outlineLevel="0" collapsed="false">
      <c r="A145" s="49"/>
      <c r="B145" s="41" t="str">
        <f aca="false">IF($A145="","",COUNTIFS('Trade Log'!$D$4:$D$503,$A145))</f>
        <v/>
      </c>
      <c r="C145" s="41" t="str">
        <f aca="false">IF($A145="","",COUNTIFS('Trade Log'!$D$4:$D$503,$A145,'Trade Log'!$E$4:$E$503,"LONG"))</f>
        <v/>
      </c>
      <c r="D145" s="41" t="str">
        <f aca="false">IF($A145="","",COUNTIFS('Trade Log'!$D$4:$D$503,$A145,'Trade Log'!$E$4:$E$503,"SHORT"))</f>
        <v/>
      </c>
      <c r="E145" s="41" t="str">
        <f aca="false">IF($A145="","",COUNTIFS('Trade Log'!$D$4:$D$503,$A145,'Trade Log'!$N$4:$N$503,"&lt;&gt;"))</f>
        <v/>
      </c>
      <c r="F145" s="40" t="str">
        <f aca="false">IF($A145="","",SUMIFS('Trade Log'!$K$4:$K$503,'Trade Log'!$D$4:$D$503,$A145))</f>
        <v/>
      </c>
      <c r="G145" s="40" t="str">
        <f aca="false">IF($A145="","",SUMIFS('Trade Log'!$Z$4:$Z$503,'Trade Log'!$D$4:$D$503,$A145,'Trade Log'!$E$4:$E$503,"LONG"))</f>
        <v/>
      </c>
      <c r="H145" s="40" t="str">
        <f aca="false">IF($A145="","",SUMIFS('Trade Log'!$Z$4:$Z$503,'Trade Log'!$D$4:$D$503,$A145,'Trade Log'!$E$4:$E$503,"SHORT"))</f>
        <v/>
      </c>
      <c r="I145" s="40" t="str">
        <f aca="false">IF($A145="","",SUMIFS('Trade Log'!$Q$4:$Q$503,'Trade Log'!$D$4:$D$503,$A145))</f>
        <v/>
      </c>
      <c r="J145" s="40" t="str">
        <f aca="false">IF($A145="","",SUMIFS('Trade Log'!$Y$4:$Y$503,'Trade Log'!$D$4:$D$503,$A145))</f>
        <v/>
      </c>
      <c r="K145" s="40" t="str">
        <f aca="false">IF($A145="","",SUMIFS('Trade Log'!$Z$4:$Z$503,'Trade Log'!$D$4:$D$503,$A145))</f>
        <v/>
      </c>
      <c r="L145" s="41" t="str">
        <f aca="false">IF($A145="","",COUNTIFS('Trade Log'!$D$4:$D$503,$A145,'Trade Log'!$Z$4:$Z$503,"&gt;0"))</f>
        <v/>
      </c>
      <c r="M145" s="55" t="str">
        <f aca="false">IF(OR($A145="",$E145=0),"",$L145/$E145)</f>
        <v/>
      </c>
      <c r="N145" s="40" t="str">
        <f aca="false">IF(OR($A145="",$E145=0),"",$K145/$E145)</f>
        <v/>
      </c>
      <c r="O145" s="40" t="str">
        <f aca="false">IF($A145="","",IFERROR(_xlfn.MAXIFS('Trade Log'!$Z$4:$Z$503,'Trade Log'!$D$4:$D$503,$A145),""))</f>
        <v/>
      </c>
      <c r="P145" s="40" t="str">
        <f aca="false">IF($A145="","",IFERROR(_xlfn.MINIFS('Trade Log'!$Z$4:$Z$503,'Trade Log'!$D$4:$D$503,$A145),""))</f>
        <v/>
      </c>
      <c r="Q145" s="55" t="str">
        <f aca="false">IF($A145="","",IFERROR(AVERAGEIFS('Trade Log'!$AA$4:$AA$503,'Trade Log'!$D$4:$D$503,$A145),""))</f>
        <v/>
      </c>
      <c r="R145" s="53" t="str">
        <f aca="false">IF($A145="","",IFERROR(AVERAGEIFS('Trade Log'!$P$4:$P$503,'Trade Log'!$D$4:$D$503,$A145),""))</f>
        <v/>
      </c>
      <c r="S145" s="44" t="str">
        <f aca="false">IF($A145="","",IFERROR(AVERAGEIFS('Trade Log'!$AC$4:$AC$503,'Trade Log'!$D$4:$D$503,$A145),""))</f>
        <v/>
      </c>
      <c r="T145" s="55" t="str">
        <f aca="false">IF(OR($A145="",Summary!$B$13=0),"",$K145/Summary!$B$13)</f>
        <v/>
      </c>
      <c r="U145" s="41" t="str">
        <f aca="false">IF($A145="","",IFERROR(RANK($K145,$K$4:$K$153),""))</f>
        <v/>
      </c>
    </row>
    <row r="146" customFormat="false" ht="15" hidden="false" customHeight="false" outlineLevel="0" collapsed="false">
      <c r="A146" s="49"/>
      <c r="B146" s="41" t="str">
        <f aca="false">IF($A146="","",COUNTIFS('Trade Log'!$D$4:$D$503,$A146))</f>
        <v/>
      </c>
      <c r="C146" s="41" t="str">
        <f aca="false">IF($A146="","",COUNTIFS('Trade Log'!$D$4:$D$503,$A146,'Trade Log'!$E$4:$E$503,"LONG"))</f>
        <v/>
      </c>
      <c r="D146" s="41" t="str">
        <f aca="false">IF($A146="","",COUNTIFS('Trade Log'!$D$4:$D$503,$A146,'Trade Log'!$E$4:$E$503,"SHORT"))</f>
        <v/>
      </c>
      <c r="E146" s="41" t="str">
        <f aca="false">IF($A146="","",COUNTIFS('Trade Log'!$D$4:$D$503,$A146,'Trade Log'!$N$4:$N$503,"&lt;&gt;"))</f>
        <v/>
      </c>
      <c r="F146" s="40" t="str">
        <f aca="false">IF($A146="","",SUMIFS('Trade Log'!$K$4:$K$503,'Trade Log'!$D$4:$D$503,$A146))</f>
        <v/>
      </c>
      <c r="G146" s="40" t="str">
        <f aca="false">IF($A146="","",SUMIFS('Trade Log'!$Z$4:$Z$503,'Trade Log'!$D$4:$D$503,$A146,'Trade Log'!$E$4:$E$503,"LONG"))</f>
        <v/>
      </c>
      <c r="H146" s="40" t="str">
        <f aca="false">IF($A146="","",SUMIFS('Trade Log'!$Z$4:$Z$503,'Trade Log'!$D$4:$D$503,$A146,'Trade Log'!$E$4:$E$503,"SHORT"))</f>
        <v/>
      </c>
      <c r="I146" s="40" t="str">
        <f aca="false">IF($A146="","",SUMIFS('Trade Log'!$Q$4:$Q$503,'Trade Log'!$D$4:$D$503,$A146))</f>
        <v/>
      </c>
      <c r="J146" s="40" t="str">
        <f aca="false">IF($A146="","",SUMIFS('Trade Log'!$Y$4:$Y$503,'Trade Log'!$D$4:$D$503,$A146))</f>
        <v/>
      </c>
      <c r="K146" s="40" t="str">
        <f aca="false">IF($A146="","",SUMIFS('Trade Log'!$Z$4:$Z$503,'Trade Log'!$D$4:$D$503,$A146))</f>
        <v/>
      </c>
      <c r="L146" s="41" t="str">
        <f aca="false">IF($A146="","",COUNTIFS('Trade Log'!$D$4:$D$503,$A146,'Trade Log'!$Z$4:$Z$503,"&gt;0"))</f>
        <v/>
      </c>
      <c r="M146" s="55" t="str">
        <f aca="false">IF(OR($A146="",$E146=0),"",$L146/$E146)</f>
        <v/>
      </c>
      <c r="N146" s="40" t="str">
        <f aca="false">IF(OR($A146="",$E146=0),"",$K146/$E146)</f>
        <v/>
      </c>
      <c r="O146" s="40" t="str">
        <f aca="false">IF($A146="","",IFERROR(_xlfn.MAXIFS('Trade Log'!$Z$4:$Z$503,'Trade Log'!$D$4:$D$503,$A146),""))</f>
        <v/>
      </c>
      <c r="P146" s="40" t="str">
        <f aca="false">IF($A146="","",IFERROR(_xlfn.MINIFS('Trade Log'!$Z$4:$Z$503,'Trade Log'!$D$4:$D$503,$A146),""))</f>
        <v/>
      </c>
      <c r="Q146" s="55" t="str">
        <f aca="false">IF($A146="","",IFERROR(AVERAGEIFS('Trade Log'!$AA$4:$AA$503,'Trade Log'!$D$4:$D$503,$A146),""))</f>
        <v/>
      </c>
      <c r="R146" s="53" t="str">
        <f aca="false">IF($A146="","",IFERROR(AVERAGEIFS('Trade Log'!$P$4:$P$503,'Trade Log'!$D$4:$D$503,$A146),""))</f>
        <v/>
      </c>
      <c r="S146" s="44" t="str">
        <f aca="false">IF($A146="","",IFERROR(AVERAGEIFS('Trade Log'!$AC$4:$AC$503,'Trade Log'!$D$4:$D$503,$A146),""))</f>
        <v/>
      </c>
      <c r="T146" s="55" t="str">
        <f aca="false">IF(OR($A146="",Summary!$B$13=0),"",$K146/Summary!$B$13)</f>
        <v/>
      </c>
      <c r="U146" s="41" t="str">
        <f aca="false">IF($A146="","",IFERROR(RANK($K146,$K$4:$K$153),""))</f>
        <v/>
      </c>
    </row>
    <row r="147" customFormat="false" ht="15" hidden="false" customHeight="false" outlineLevel="0" collapsed="false">
      <c r="A147" s="49"/>
      <c r="B147" s="41" t="str">
        <f aca="false">IF($A147="","",COUNTIFS('Trade Log'!$D$4:$D$503,$A147))</f>
        <v/>
      </c>
      <c r="C147" s="41" t="str">
        <f aca="false">IF($A147="","",COUNTIFS('Trade Log'!$D$4:$D$503,$A147,'Trade Log'!$E$4:$E$503,"LONG"))</f>
        <v/>
      </c>
      <c r="D147" s="41" t="str">
        <f aca="false">IF($A147="","",COUNTIFS('Trade Log'!$D$4:$D$503,$A147,'Trade Log'!$E$4:$E$503,"SHORT"))</f>
        <v/>
      </c>
      <c r="E147" s="41" t="str">
        <f aca="false">IF($A147="","",COUNTIFS('Trade Log'!$D$4:$D$503,$A147,'Trade Log'!$N$4:$N$503,"&lt;&gt;"))</f>
        <v/>
      </c>
      <c r="F147" s="40" t="str">
        <f aca="false">IF($A147="","",SUMIFS('Trade Log'!$K$4:$K$503,'Trade Log'!$D$4:$D$503,$A147))</f>
        <v/>
      </c>
      <c r="G147" s="40" t="str">
        <f aca="false">IF($A147="","",SUMIFS('Trade Log'!$Z$4:$Z$503,'Trade Log'!$D$4:$D$503,$A147,'Trade Log'!$E$4:$E$503,"LONG"))</f>
        <v/>
      </c>
      <c r="H147" s="40" t="str">
        <f aca="false">IF($A147="","",SUMIFS('Trade Log'!$Z$4:$Z$503,'Trade Log'!$D$4:$D$503,$A147,'Trade Log'!$E$4:$E$503,"SHORT"))</f>
        <v/>
      </c>
      <c r="I147" s="40" t="str">
        <f aca="false">IF($A147="","",SUMIFS('Trade Log'!$Q$4:$Q$503,'Trade Log'!$D$4:$D$503,$A147))</f>
        <v/>
      </c>
      <c r="J147" s="40" t="str">
        <f aca="false">IF($A147="","",SUMIFS('Trade Log'!$Y$4:$Y$503,'Trade Log'!$D$4:$D$503,$A147))</f>
        <v/>
      </c>
      <c r="K147" s="40" t="str">
        <f aca="false">IF($A147="","",SUMIFS('Trade Log'!$Z$4:$Z$503,'Trade Log'!$D$4:$D$503,$A147))</f>
        <v/>
      </c>
      <c r="L147" s="41" t="str">
        <f aca="false">IF($A147="","",COUNTIFS('Trade Log'!$D$4:$D$503,$A147,'Trade Log'!$Z$4:$Z$503,"&gt;0"))</f>
        <v/>
      </c>
      <c r="M147" s="55" t="str">
        <f aca="false">IF(OR($A147="",$E147=0),"",$L147/$E147)</f>
        <v/>
      </c>
      <c r="N147" s="40" t="str">
        <f aca="false">IF(OR($A147="",$E147=0),"",$K147/$E147)</f>
        <v/>
      </c>
      <c r="O147" s="40" t="str">
        <f aca="false">IF($A147="","",IFERROR(_xlfn.MAXIFS('Trade Log'!$Z$4:$Z$503,'Trade Log'!$D$4:$D$503,$A147),""))</f>
        <v/>
      </c>
      <c r="P147" s="40" t="str">
        <f aca="false">IF($A147="","",IFERROR(_xlfn.MINIFS('Trade Log'!$Z$4:$Z$503,'Trade Log'!$D$4:$D$503,$A147),""))</f>
        <v/>
      </c>
      <c r="Q147" s="55" t="str">
        <f aca="false">IF($A147="","",IFERROR(AVERAGEIFS('Trade Log'!$AA$4:$AA$503,'Trade Log'!$D$4:$D$503,$A147),""))</f>
        <v/>
      </c>
      <c r="R147" s="53" t="str">
        <f aca="false">IF($A147="","",IFERROR(AVERAGEIFS('Trade Log'!$P$4:$P$503,'Trade Log'!$D$4:$D$503,$A147),""))</f>
        <v/>
      </c>
      <c r="S147" s="44" t="str">
        <f aca="false">IF($A147="","",IFERROR(AVERAGEIFS('Trade Log'!$AC$4:$AC$503,'Trade Log'!$D$4:$D$503,$A147),""))</f>
        <v/>
      </c>
      <c r="T147" s="55" t="str">
        <f aca="false">IF(OR($A147="",Summary!$B$13=0),"",$K147/Summary!$B$13)</f>
        <v/>
      </c>
      <c r="U147" s="41" t="str">
        <f aca="false">IF($A147="","",IFERROR(RANK($K147,$K$4:$K$153),""))</f>
        <v/>
      </c>
    </row>
    <row r="148" customFormat="false" ht="15" hidden="false" customHeight="false" outlineLevel="0" collapsed="false">
      <c r="A148" s="49"/>
      <c r="B148" s="41" t="str">
        <f aca="false">IF($A148="","",COUNTIFS('Trade Log'!$D$4:$D$503,$A148))</f>
        <v/>
      </c>
      <c r="C148" s="41" t="str">
        <f aca="false">IF($A148="","",COUNTIFS('Trade Log'!$D$4:$D$503,$A148,'Trade Log'!$E$4:$E$503,"LONG"))</f>
        <v/>
      </c>
      <c r="D148" s="41" t="str">
        <f aca="false">IF($A148="","",COUNTIFS('Trade Log'!$D$4:$D$503,$A148,'Trade Log'!$E$4:$E$503,"SHORT"))</f>
        <v/>
      </c>
      <c r="E148" s="41" t="str">
        <f aca="false">IF($A148="","",COUNTIFS('Trade Log'!$D$4:$D$503,$A148,'Trade Log'!$N$4:$N$503,"&lt;&gt;"))</f>
        <v/>
      </c>
      <c r="F148" s="40" t="str">
        <f aca="false">IF($A148="","",SUMIFS('Trade Log'!$K$4:$K$503,'Trade Log'!$D$4:$D$503,$A148))</f>
        <v/>
      </c>
      <c r="G148" s="40" t="str">
        <f aca="false">IF($A148="","",SUMIFS('Trade Log'!$Z$4:$Z$503,'Trade Log'!$D$4:$D$503,$A148,'Trade Log'!$E$4:$E$503,"LONG"))</f>
        <v/>
      </c>
      <c r="H148" s="40" t="str">
        <f aca="false">IF($A148="","",SUMIFS('Trade Log'!$Z$4:$Z$503,'Trade Log'!$D$4:$D$503,$A148,'Trade Log'!$E$4:$E$503,"SHORT"))</f>
        <v/>
      </c>
      <c r="I148" s="40" t="str">
        <f aca="false">IF($A148="","",SUMIFS('Trade Log'!$Q$4:$Q$503,'Trade Log'!$D$4:$D$503,$A148))</f>
        <v/>
      </c>
      <c r="J148" s="40" t="str">
        <f aca="false">IF($A148="","",SUMIFS('Trade Log'!$Y$4:$Y$503,'Trade Log'!$D$4:$D$503,$A148))</f>
        <v/>
      </c>
      <c r="K148" s="40" t="str">
        <f aca="false">IF($A148="","",SUMIFS('Trade Log'!$Z$4:$Z$503,'Trade Log'!$D$4:$D$503,$A148))</f>
        <v/>
      </c>
      <c r="L148" s="41" t="str">
        <f aca="false">IF($A148="","",COUNTIFS('Trade Log'!$D$4:$D$503,$A148,'Trade Log'!$Z$4:$Z$503,"&gt;0"))</f>
        <v/>
      </c>
      <c r="M148" s="55" t="str">
        <f aca="false">IF(OR($A148="",$E148=0),"",$L148/$E148)</f>
        <v/>
      </c>
      <c r="N148" s="40" t="str">
        <f aca="false">IF(OR($A148="",$E148=0),"",$K148/$E148)</f>
        <v/>
      </c>
      <c r="O148" s="40" t="str">
        <f aca="false">IF($A148="","",IFERROR(_xlfn.MAXIFS('Trade Log'!$Z$4:$Z$503,'Trade Log'!$D$4:$D$503,$A148),""))</f>
        <v/>
      </c>
      <c r="P148" s="40" t="str">
        <f aca="false">IF($A148="","",IFERROR(_xlfn.MINIFS('Trade Log'!$Z$4:$Z$503,'Trade Log'!$D$4:$D$503,$A148),""))</f>
        <v/>
      </c>
      <c r="Q148" s="55" t="str">
        <f aca="false">IF($A148="","",IFERROR(AVERAGEIFS('Trade Log'!$AA$4:$AA$503,'Trade Log'!$D$4:$D$503,$A148),""))</f>
        <v/>
      </c>
      <c r="R148" s="53" t="str">
        <f aca="false">IF($A148="","",IFERROR(AVERAGEIFS('Trade Log'!$P$4:$P$503,'Trade Log'!$D$4:$D$503,$A148),""))</f>
        <v/>
      </c>
      <c r="S148" s="44" t="str">
        <f aca="false">IF($A148="","",IFERROR(AVERAGEIFS('Trade Log'!$AC$4:$AC$503,'Trade Log'!$D$4:$D$503,$A148),""))</f>
        <v/>
      </c>
      <c r="T148" s="55" t="str">
        <f aca="false">IF(OR($A148="",Summary!$B$13=0),"",$K148/Summary!$B$13)</f>
        <v/>
      </c>
      <c r="U148" s="41" t="str">
        <f aca="false">IF($A148="","",IFERROR(RANK($K148,$K$4:$K$153),""))</f>
        <v/>
      </c>
    </row>
    <row r="149" customFormat="false" ht="15" hidden="false" customHeight="false" outlineLevel="0" collapsed="false">
      <c r="A149" s="49"/>
      <c r="B149" s="41" t="str">
        <f aca="false">IF($A149="","",COUNTIFS('Trade Log'!$D$4:$D$503,$A149))</f>
        <v/>
      </c>
      <c r="C149" s="41" t="str">
        <f aca="false">IF($A149="","",COUNTIFS('Trade Log'!$D$4:$D$503,$A149,'Trade Log'!$E$4:$E$503,"LONG"))</f>
        <v/>
      </c>
      <c r="D149" s="41" t="str">
        <f aca="false">IF($A149="","",COUNTIFS('Trade Log'!$D$4:$D$503,$A149,'Trade Log'!$E$4:$E$503,"SHORT"))</f>
        <v/>
      </c>
      <c r="E149" s="41" t="str">
        <f aca="false">IF($A149="","",COUNTIFS('Trade Log'!$D$4:$D$503,$A149,'Trade Log'!$N$4:$N$503,"&lt;&gt;"))</f>
        <v/>
      </c>
      <c r="F149" s="40" t="str">
        <f aca="false">IF($A149="","",SUMIFS('Trade Log'!$K$4:$K$503,'Trade Log'!$D$4:$D$503,$A149))</f>
        <v/>
      </c>
      <c r="G149" s="40" t="str">
        <f aca="false">IF($A149="","",SUMIFS('Trade Log'!$Z$4:$Z$503,'Trade Log'!$D$4:$D$503,$A149,'Trade Log'!$E$4:$E$503,"LONG"))</f>
        <v/>
      </c>
      <c r="H149" s="40" t="str">
        <f aca="false">IF($A149="","",SUMIFS('Trade Log'!$Z$4:$Z$503,'Trade Log'!$D$4:$D$503,$A149,'Trade Log'!$E$4:$E$503,"SHORT"))</f>
        <v/>
      </c>
      <c r="I149" s="40" t="str">
        <f aca="false">IF($A149="","",SUMIFS('Trade Log'!$Q$4:$Q$503,'Trade Log'!$D$4:$D$503,$A149))</f>
        <v/>
      </c>
      <c r="J149" s="40" t="str">
        <f aca="false">IF($A149="","",SUMIFS('Trade Log'!$Y$4:$Y$503,'Trade Log'!$D$4:$D$503,$A149))</f>
        <v/>
      </c>
      <c r="K149" s="40" t="str">
        <f aca="false">IF($A149="","",SUMIFS('Trade Log'!$Z$4:$Z$503,'Trade Log'!$D$4:$D$503,$A149))</f>
        <v/>
      </c>
      <c r="L149" s="41" t="str">
        <f aca="false">IF($A149="","",COUNTIFS('Trade Log'!$D$4:$D$503,$A149,'Trade Log'!$Z$4:$Z$503,"&gt;0"))</f>
        <v/>
      </c>
      <c r="M149" s="55" t="str">
        <f aca="false">IF(OR($A149="",$E149=0),"",$L149/$E149)</f>
        <v/>
      </c>
      <c r="N149" s="40" t="str">
        <f aca="false">IF(OR($A149="",$E149=0),"",$K149/$E149)</f>
        <v/>
      </c>
      <c r="O149" s="40" t="str">
        <f aca="false">IF($A149="","",IFERROR(_xlfn.MAXIFS('Trade Log'!$Z$4:$Z$503,'Trade Log'!$D$4:$D$503,$A149),""))</f>
        <v/>
      </c>
      <c r="P149" s="40" t="str">
        <f aca="false">IF($A149="","",IFERROR(_xlfn.MINIFS('Trade Log'!$Z$4:$Z$503,'Trade Log'!$D$4:$D$503,$A149),""))</f>
        <v/>
      </c>
      <c r="Q149" s="55" t="str">
        <f aca="false">IF($A149="","",IFERROR(AVERAGEIFS('Trade Log'!$AA$4:$AA$503,'Trade Log'!$D$4:$D$503,$A149),""))</f>
        <v/>
      </c>
      <c r="R149" s="53" t="str">
        <f aca="false">IF($A149="","",IFERROR(AVERAGEIFS('Trade Log'!$P$4:$P$503,'Trade Log'!$D$4:$D$503,$A149),""))</f>
        <v/>
      </c>
      <c r="S149" s="44" t="str">
        <f aca="false">IF($A149="","",IFERROR(AVERAGEIFS('Trade Log'!$AC$4:$AC$503,'Trade Log'!$D$4:$D$503,$A149),""))</f>
        <v/>
      </c>
      <c r="T149" s="55" t="str">
        <f aca="false">IF(OR($A149="",Summary!$B$13=0),"",$K149/Summary!$B$13)</f>
        <v/>
      </c>
      <c r="U149" s="41" t="str">
        <f aca="false">IF($A149="","",IFERROR(RANK($K149,$K$4:$K$153),""))</f>
        <v/>
      </c>
    </row>
    <row r="150" customFormat="false" ht="15" hidden="false" customHeight="false" outlineLevel="0" collapsed="false">
      <c r="A150" s="49"/>
      <c r="B150" s="41" t="str">
        <f aca="false">IF($A150="","",COUNTIFS('Trade Log'!$D$4:$D$503,$A150))</f>
        <v/>
      </c>
      <c r="C150" s="41" t="str">
        <f aca="false">IF($A150="","",COUNTIFS('Trade Log'!$D$4:$D$503,$A150,'Trade Log'!$E$4:$E$503,"LONG"))</f>
        <v/>
      </c>
      <c r="D150" s="41" t="str">
        <f aca="false">IF($A150="","",COUNTIFS('Trade Log'!$D$4:$D$503,$A150,'Trade Log'!$E$4:$E$503,"SHORT"))</f>
        <v/>
      </c>
      <c r="E150" s="41" t="str">
        <f aca="false">IF($A150="","",COUNTIFS('Trade Log'!$D$4:$D$503,$A150,'Trade Log'!$N$4:$N$503,"&lt;&gt;"))</f>
        <v/>
      </c>
      <c r="F150" s="40" t="str">
        <f aca="false">IF($A150="","",SUMIFS('Trade Log'!$K$4:$K$503,'Trade Log'!$D$4:$D$503,$A150))</f>
        <v/>
      </c>
      <c r="G150" s="40" t="str">
        <f aca="false">IF($A150="","",SUMIFS('Trade Log'!$Z$4:$Z$503,'Trade Log'!$D$4:$D$503,$A150,'Trade Log'!$E$4:$E$503,"LONG"))</f>
        <v/>
      </c>
      <c r="H150" s="40" t="str">
        <f aca="false">IF($A150="","",SUMIFS('Trade Log'!$Z$4:$Z$503,'Trade Log'!$D$4:$D$503,$A150,'Trade Log'!$E$4:$E$503,"SHORT"))</f>
        <v/>
      </c>
      <c r="I150" s="40" t="str">
        <f aca="false">IF($A150="","",SUMIFS('Trade Log'!$Q$4:$Q$503,'Trade Log'!$D$4:$D$503,$A150))</f>
        <v/>
      </c>
      <c r="J150" s="40" t="str">
        <f aca="false">IF($A150="","",SUMIFS('Trade Log'!$Y$4:$Y$503,'Trade Log'!$D$4:$D$503,$A150))</f>
        <v/>
      </c>
      <c r="K150" s="40" t="str">
        <f aca="false">IF($A150="","",SUMIFS('Trade Log'!$Z$4:$Z$503,'Trade Log'!$D$4:$D$503,$A150))</f>
        <v/>
      </c>
      <c r="L150" s="41" t="str">
        <f aca="false">IF($A150="","",COUNTIFS('Trade Log'!$D$4:$D$503,$A150,'Trade Log'!$Z$4:$Z$503,"&gt;0"))</f>
        <v/>
      </c>
      <c r="M150" s="55" t="str">
        <f aca="false">IF(OR($A150="",$E150=0),"",$L150/$E150)</f>
        <v/>
      </c>
      <c r="N150" s="40" t="str">
        <f aca="false">IF(OR($A150="",$E150=0),"",$K150/$E150)</f>
        <v/>
      </c>
      <c r="O150" s="40" t="str">
        <f aca="false">IF($A150="","",IFERROR(_xlfn.MAXIFS('Trade Log'!$Z$4:$Z$503,'Trade Log'!$D$4:$D$503,$A150),""))</f>
        <v/>
      </c>
      <c r="P150" s="40" t="str">
        <f aca="false">IF($A150="","",IFERROR(_xlfn.MINIFS('Trade Log'!$Z$4:$Z$503,'Trade Log'!$D$4:$D$503,$A150),""))</f>
        <v/>
      </c>
      <c r="Q150" s="55" t="str">
        <f aca="false">IF($A150="","",IFERROR(AVERAGEIFS('Trade Log'!$AA$4:$AA$503,'Trade Log'!$D$4:$D$503,$A150),""))</f>
        <v/>
      </c>
      <c r="R150" s="53" t="str">
        <f aca="false">IF($A150="","",IFERROR(AVERAGEIFS('Trade Log'!$P$4:$P$503,'Trade Log'!$D$4:$D$503,$A150),""))</f>
        <v/>
      </c>
      <c r="S150" s="44" t="str">
        <f aca="false">IF($A150="","",IFERROR(AVERAGEIFS('Trade Log'!$AC$4:$AC$503,'Trade Log'!$D$4:$D$503,$A150),""))</f>
        <v/>
      </c>
      <c r="T150" s="55" t="str">
        <f aca="false">IF(OR($A150="",Summary!$B$13=0),"",$K150/Summary!$B$13)</f>
        <v/>
      </c>
      <c r="U150" s="41" t="str">
        <f aca="false">IF($A150="","",IFERROR(RANK($K150,$K$4:$K$153),""))</f>
        <v/>
      </c>
    </row>
    <row r="151" customFormat="false" ht="15" hidden="false" customHeight="false" outlineLevel="0" collapsed="false">
      <c r="A151" s="49"/>
      <c r="B151" s="41" t="str">
        <f aca="false">IF($A151="","",COUNTIFS('Trade Log'!$D$4:$D$503,$A151))</f>
        <v/>
      </c>
      <c r="C151" s="41" t="str">
        <f aca="false">IF($A151="","",COUNTIFS('Trade Log'!$D$4:$D$503,$A151,'Trade Log'!$E$4:$E$503,"LONG"))</f>
        <v/>
      </c>
      <c r="D151" s="41" t="str">
        <f aca="false">IF($A151="","",COUNTIFS('Trade Log'!$D$4:$D$503,$A151,'Trade Log'!$E$4:$E$503,"SHORT"))</f>
        <v/>
      </c>
      <c r="E151" s="41" t="str">
        <f aca="false">IF($A151="","",COUNTIFS('Trade Log'!$D$4:$D$503,$A151,'Trade Log'!$N$4:$N$503,"&lt;&gt;"))</f>
        <v/>
      </c>
      <c r="F151" s="40" t="str">
        <f aca="false">IF($A151="","",SUMIFS('Trade Log'!$K$4:$K$503,'Trade Log'!$D$4:$D$503,$A151))</f>
        <v/>
      </c>
      <c r="G151" s="40" t="str">
        <f aca="false">IF($A151="","",SUMIFS('Trade Log'!$Z$4:$Z$503,'Trade Log'!$D$4:$D$503,$A151,'Trade Log'!$E$4:$E$503,"LONG"))</f>
        <v/>
      </c>
      <c r="H151" s="40" t="str">
        <f aca="false">IF($A151="","",SUMIFS('Trade Log'!$Z$4:$Z$503,'Trade Log'!$D$4:$D$503,$A151,'Trade Log'!$E$4:$E$503,"SHORT"))</f>
        <v/>
      </c>
      <c r="I151" s="40" t="str">
        <f aca="false">IF($A151="","",SUMIFS('Trade Log'!$Q$4:$Q$503,'Trade Log'!$D$4:$D$503,$A151))</f>
        <v/>
      </c>
      <c r="J151" s="40" t="str">
        <f aca="false">IF($A151="","",SUMIFS('Trade Log'!$Y$4:$Y$503,'Trade Log'!$D$4:$D$503,$A151))</f>
        <v/>
      </c>
      <c r="K151" s="40" t="str">
        <f aca="false">IF($A151="","",SUMIFS('Trade Log'!$Z$4:$Z$503,'Trade Log'!$D$4:$D$503,$A151))</f>
        <v/>
      </c>
      <c r="L151" s="41" t="str">
        <f aca="false">IF($A151="","",COUNTIFS('Trade Log'!$D$4:$D$503,$A151,'Trade Log'!$Z$4:$Z$503,"&gt;0"))</f>
        <v/>
      </c>
      <c r="M151" s="55" t="str">
        <f aca="false">IF(OR($A151="",$E151=0),"",$L151/$E151)</f>
        <v/>
      </c>
      <c r="N151" s="40" t="str">
        <f aca="false">IF(OR($A151="",$E151=0),"",$K151/$E151)</f>
        <v/>
      </c>
      <c r="O151" s="40" t="str">
        <f aca="false">IF($A151="","",IFERROR(_xlfn.MAXIFS('Trade Log'!$Z$4:$Z$503,'Trade Log'!$D$4:$D$503,$A151),""))</f>
        <v/>
      </c>
      <c r="P151" s="40" t="str">
        <f aca="false">IF($A151="","",IFERROR(_xlfn.MINIFS('Trade Log'!$Z$4:$Z$503,'Trade Log'!$D$4:$D$503,$A151),""))</f>
        <v/>
      </c>
      <c r="Q151" s="55" t="str">
        <f aca="false">IF($A151="","",IFERROR(AVERAGEIFS('Trade Log'!$AA$4:$AA$503,'Trade Log'!$D$4:$D$503,$A151),""))</f>
        <v/>
      </c>
      <c r="R151" s="53" t="str">
        <f aca="false">IF($A151="","",IFERROR(AVERAGEIFS('Trade Log'!$P$4:$P$503,'Trade Log'!$D$4:$D$503,$A151),""))</f>
        <v/>
      </c>
      <c r="S151" s="44" t="str">
        <f aca="false">IF($A151="","",IFERROR(AVERAGEIFS('Trade Log'!$AC$4:$AC$503,'Trade Log'!$D$4:$D$503,$A151),""))</f>
        <v/>
      </c>
      <c r="T151" s="55" t="str">
        <f aca="false">IF(OR($A151="",Summary!$B$13=0),"",$K151/Summary!$B$13)</f>
        <v/>
      </c>
      <c r="U151" s="41" t="str">
        <f aca="false">IF($A151="","",IFERROR(RANK($K151,$K$4:$K$153),""))</f>
        <v/>
      </c>
    </row>
    <row r="152" customFormat="false" ht="15" hidden="false" customHeight="false" outlineLevel="0" collapsed="false">
      <c r="A152" s="49"/>
      <c r="B152" s="41" t="str">
        <f aca="false">IF($A152="","",COUNTIFS('Trade Log'!$D$4:$D$503,$A152))</f>
        <v/>
      </c>
      <c r="C152" s="41" t="str">
        <f aca="false">IF($A152="","",COUNTIFS('Trade Log'!$D$4:$D$503,$A152,'Trade Log'!$E$4:$E$503,"LONG"))</f>
        <v/>
      </c>
      <c r="D152" s="41" t="str">
        <f aca="false">IF($A152="","",COUNTIFS('Trade Log'!$D$4:$D$503,$A152,'Trade Log'!$E$4:$E$503,"SHORT"))</f>
        <v/>
      </c>
      <c r="E152" s="41" t="str">
        <f aca="false">IF($A152="","",COUNTIFS('Trade Log'!$D$4:$D$503,$A152,'Trade Log'!$N$4:$N$503,"&lt;&gt;"))</f>
        <v/>
      </c>
      <c r="F152" s="40" t="str">
        <f aca="false">IF($A152="","",SUMIFS('Trade Log'!$K$4:$K$503,'Trade Log'!$D$4:$D$503,$A152))</f>
        <v/>
      </c>
      <c r="G152" s="40" t="str">
        <f aca="false">IF($A152="","",SUMIFS('Trade Log'!$Z$4:$Z$503,'Trade Log'!$D$4:$D$503,$A152,'Trade Log'!$E$4:$E$503,"LONG"))</f>
        <v/>
      </c>
      <c r="H152" s="40" t="str">
        <f aca="false">IF($A152="","",SUMIFS('Trade Log'!$Z$4:$Z$503,'Trade Log'!$D$4:$D$503,$A152,'Trade Log'!$E$4:$E$503,"SHORT"))</f>
        <v/>
      </c>
      <c r="I152" s="40" t="str">
        <f aca="false">IF($A152="","",SUMIFS('Trade Log'!$Q$4:$Q$503,'Trade Log'!$D$4:$D$503,$A152))</f>
        <v/>
      </c>
      <c r="J152" s="40" t="str">
        <f aca="false">IF($A152="","",SUMIFS('Trade Log'!$Y$4:$Y$503,'Trade Log'!$D$4:$D$503,$A152))</f>
        <v/>
      </c>
      <c r="K152" s="40" t="str">
        <f aca="false">IF($A152="","",SUMIFS('Trade Log'!$Z$4:$Z$503,'Trade Log'!$D$4:$D$503,$A152))</f>
        <v/>
      </c>
      <c r="L152" s="41" t="str">
        <f aca="false">IF($A152="","",COUNTIFS('Trade Log'!$D$4:$D$503,$A152,'Trade Log'!$Z$4:$Z$503,"&gt;0"))</f>
        <v/>
      </c>
      <c r="M152" s="55" t="str">
        <f aca="false">IF(OR($A152="",$E152=0),"",$L152/$E152)</f>
        <v/>
      </c>
      <c r="N152" s="40" t="str">
        <f aca="false">IF(OR($A152="",$E152=0),"",$K152/$E152)</f>
        <v/>
      </c>
      <c r="O152" s="40" t="str">
        <f aca="false">IF($A152="","",IFERROR(_xlfn.MAXIFS('Trade Log'!$Z$4:$Z$503,'Trade Log'!$D$4:$D$503,$A152),""))</f>
        <v/>
      </c>
      <c r="P152" s="40" t="str">
        <f aca="false">IF($A152="","",IFERROR(_xlfn.MINIFS('Trade Log'!$Z$4:$Z$503,'Trade Log'!$D$4:$D$503,$A152),""))</f>
        <v/>
      </c>
      <c r="Q152" s="55" t="str">
        <f aca="false">IF($A152="","",IFERROR(AVERAGEIFS('Trade Log'!$AA$4:$AA$503,'Trade Log'!$D$4:$D$503,$A152),""))</f>
        <v/>
      </c>
      <c r="R152" s="53" t="str">
        <f aca="false">IF($A152="","",IFERROR(AVERAGEIFS('Trade Log'!$P$4:$P$503,'Trade Log'!$D$4:$D$503,$A152),""))</f>
        <v/>
      </c>
      <c r="S152" s="44" t="str">
        <f aca="false">IF($A152="","",IFERROR(AVERAGEIFS('Trade Log'!$AC$4:$AC$503,'Trade Log'!$D$4:$D$503,$A152),""))</f>
        <v/>
      </c>
      <c r="T152" s="55" t="str">
        <f aca="false">IF(OR($A152="",Summary!$B$13=0),"",$K152/Summary!$B$13)</f>
        <v/>
      </c>
      <c r="U152" s="41" t="str">
        <f aca="false">IF($A152="","",IFERROR(RANK($K152,$K$4:$K$153),""))</f>
        <v/>
      </c>
    </row>
    <row r="153" customFormat="false" ht="15" hidden="false" customHeight="false" outlineLevel="0" collapsed="false">
      <c r="A153" s="49"/>
      <c r="B153" s="41" t="str">
        <f aca="false">IF($A153="","",COUNTIFS('Trade Log'!$D$4:$D$503,$A153))</f>
        <v/>
      </c>
      <c r="C153" s="41" t="str">
        <f aca="false">IF($A153="","",COUNTIFS('Trade Log'!$D$4:$D$503,$A153,'Trade Log'!$E$4:$E$503,"LONG"))</f>
        <v/>
      </c>
      <c r="D153" s="41" t="str">
        <f aca="false">IF($A153="","",COUNTIFS('Trade Log'!$D$4:$D$503,$A153,'Trade Log'!$E$4:$E$503,"SHORT"))</f>
        <v/>
      </c>
      <c r="E153" s="41" t="str">
        <f aca="false">IF($A153="","",COUNTIFS('Trade Log'!$D$4:$D$503,$A153,'Trade Log'!$N$4:$N$503,"&lt;&gt;"))</f>
        <v/>
      </c>
      <c r="F153" s="40" t="str">
        <f aca="false">IF($A153="","",SUMIFS('Trade Log'!$K$4:$K$503,'Trade Log'!$D$4:$D$503,$A153))</f>
        <v/>
      </c>
      <c r="G153" s="40" t="str">
        <f aca="false">IF($A153="","",SUMIFS('Trade Log'!$Z$4:$Z$503,'Trade Log'!$D$4:$D$503,$A153,'Trade Log'!$E$4:$E$503,"LONG"))</f>
        <v/>
      </c>
      <c r="H153" s="40" t="str">
        <f aca="false">IF($A153="","",SUMIFS('Trade Log'!$Z$4:$Z$503,'Trade Log'!$D$4:$D$503,$A153,'Trade Log'!$E$4:$E$503,"SHORT"))</f>
        <v/>
      </c>
      <c r="I153" s="40" t="str">
        <f aca="false">IF($A153="","",SUMIFS('Trade Log'!$Q$4:$Q$503,'Trade Log'!$D$4:$D$503,$A153))</f>
        <v/>
      </c>
      <c r="J153" s="40" t="str">
        <f aca="false">IF($A153="","",SUMIFS('Trade Log'!$Y$4:$Y$503,'Trade Log'!$D$4:$D$503,$A153))</f>
        <v/>
      </c>
      <c r="K153" s="40" t="str">
        <f aca="false">IF($A153="","",SUMIFS('Trade Log'!$Z$4:$Z$503,'Trade Log'!$D$4:$D$503,$A153))</f>
        <v/>
      </c>
      <c r="L153" s="41" t="str">
        <f aca="false">IF($A153="","",COUNTIFS('Trade Log'!$D$4:$D$503,$A153,'Trade Log'!$Z$4:$Z$503,"&gt;0"))</f>
        <v/>
      </c>
      <c r="M153" s="55" t="str">
        <f aca="false">IF(OR($A153="",$E153=0),"",$L153/$E153)</f>
        <v/>
      </c>
      <c r="N153" s="40" t="str">
        <f aca="false">IF(OR($A153="",$E153=0),"",$K153/$E153)</f>
        <v/>
      </c>
      <c r="O153" s="40" t="str">
        <f aca="false">IF($A153="","",IFERROR(_xlfn.MAXIFS('Trade Log'!$Z$4:$Z$503,'Trade Log'!$D$4:$D$503,$A153),""))</f>
        <v/>
      </c>
      <c r="P153" s="40" t="str">
        <f aca="false">IF($A153="","",IFERROR(_xlfn.MINIFS('Trade Log'!$Z$4:$Z$503,'Trade Log'!$D$4:$D$503,$A153),""))</f>
        <v/>
      </c>
      <c r="Q153" s="55" t="str">
        <f aca="false">IF($A153="","",IFERROR(AVERAGEIFS('Trade Log'!$AA$4:$AA$503,'Trade Log'!$D$4:$D$503,$A153),""))</f>
        <v/>
      </c>
      <c r="R153" s="53" t="str">
        <f aca="false">IF($A153="","",IFERROR(AVERAGEIFS('Trade Log'!$P$4:$P$503,'Trade Log'!$D$4:$D$503,$A153),""))</f>
        <v/>
      </c>
      <c r="S153" s="44" t="str">
        <f aca="false">IF($A153="","",IFERROR(AVERAGEIFS('Trade Log'!$AC$4:$AC$503,'Trade Log'!$D$4:$D$503,$A153),""))</f>
        <v/>
      </c>
      <c r="T153" s="55" t="str">
        <f aca="false">IF(OR($A153="",Summary!$B$13=0),"",$K153/Summary!$B$13)</f>
        <v/>
      </c>
      <c r="U153" s="41" t="str">
        <f aca="false">IF($A153="","",IFERROR(RANK($K153,$K$4:$K$153),""))</f>
        <v/>
      </c>
    </row>
  </sheetData>
  <autoFilter ref="A3:U153"/>
  <conditionalFormatting sqref="K4:K153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9" min="6" style="0" width="13"/>
    <col collapsed="false" customWidth="true" hidden="false" outlineLevel="0" max="10" min="10" style="0" width="15"/>
    <col collapsed="false" customWidth="true" hidden="false" outlineLevel="0" max="13" min="11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3" customFormat="false" ht="15" hidden="false" customHeight="false" outlineLevel="0" collapsed="false">
      <c r="A3" s="3" t="s">
        <v>257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9.5" hidden="false" customHeight="true" outlineLevel="0" collapsed="false">
      <c r="A4" s="10" t="s">
        <v>258</v>
      </c>
      <c r="B4" s="10" t="s">
        <v>259</v>
      </c>
      <c r="C4" s="10" t="s">
        <v>260</v>
      </c>
      <c r="D4" s="10" t="s">
        <v>261</v>
      </c>
      <c r="E4" s="10" t="s">
        <v>262</v>
      </c>
      <c r="F4" s="10" t="s">
        <v>263</v>
      </c>
      <c r="G4" s="10" t="s">
        <v>264</v>
      </c>
      <c r="H4" s="10" t="s">
        <v>265</v>
      </c>
      <c r="I4" s="10" t="s">
        <v>266</v>
      </c>
      <c r="J4" s="10" t="s">
        <v>267</v>
      </c>
      <c r="K4" s="10" t="s">
        <v>268</v>
      </c>
      <c r="L4" s="10" t="s">
        <v>269</v>
      </c>
      <c r="M4" s="10" t="s">
        <v>270</v>
      </c>
      <c r="N4" s="10" t="s">
        <v>271</v>
      </c>
    </row>
    <row r="5" customFormat="false" ht="15" hidden="false" customHeight="false" outlineLevel="0" collapsed="false">
      <c r="A5" s="56" t="n">
        <f aca="false">YEAR(Config!$B$5)+0</f>
        <v>2026</v>
      </c>
      <c r="B5" s="19" t="n">
        <f aca="false">SUMIFS('Daily PnL'!$H$4:$H$403,'Daily PnL'!$A$4:$A$403,"&gt;="&amp;DATE($A5,COLUMN()-1,1),'Daily PnL'!$A$4:$A$403,"&lt;="&amp;EOMONTH(DATE($A5,COLUMN()-1,1),0))</f>
        <v>0</v>
      </c>
      <c r="C5" s="19" t="n">
        <f aca="false">SUMIFS('Daily PnL'!$H$4:$H$403,'Daily PnL'!$A$4:$A$403,"&gt;="&amp;DATE($A5,COLUMN()-1,1),'Daily PnL'!$A$4:$A$403,"&lt;="&amp;EOMONTH(DATE($A5,COLUMN()-1,1),0))</f>
        <v>0</v>
      </c>
      <c r="D5" s="19" t="n">
        <f aca="false">SUMIFS('Daily PnL'!$H$4:$H$403,'Daily PnL'!$A$4:$A$403,"&gt;="&amp;DATE($A5,COLUMN()-1,1),'Daily PnL'!$A$4:$A$403,"&lt;="&amp;EOMONTH(DATE($A5,COLUMN()-1,1),0))</f>
        <v>0</v>
      </c>
      <c r="E5" s="19" t="n">
        <f aca="false">SUMIFS('Daily PnL'!$H$4:$H$403,'Daily PnL'!$A$4:$A$403,"&gt;="&amp;DATE($A5,COLUMN()-1,1),'Daily PnL'!$A$4:$A$403,"&lt;="&amp;EOMONTH(DATE($A5,COLUMN()-1,1),0))</f>
        <v>0</v>
      </c>
      <c r="F5" s="19" t="n">
        <f aca="false">SUMIFS('Daily PnL'!$H$4:$H$403,'Daily PnL'!$A$4:$A$403,"&gt;="&amp;DATE($A5,COLUMN()-1,1),'Daily PnL'!$A$4:$A$403,"&lt;="&amp;EOMONTH(DATE($A5,COLUMN()-1,1),0))</f>
        <v>0</v>
      </c>
      <c r="G5" s="19" t="n">
        <f aca="false">SUMIFS('Daily PnL'!$H$4:$H$403,'Daily PnL'!$A$4:$A$403,"&gt;="&amp;DATE($A5,COLUMN()-1,1),'Daily PnL'!$A$4:$A$403,"&lt;="&amp;EOMONTH(DATE($A5,COLUMN()-1,1),0))</f>
        <v>0</v>
      </c>
      <c r="H5" s="19" t="n">
        <f aca="false">SUMIFS('Daily PnL'!$H$4:$H$403,'Daily PnL'!$A$4:$A$403,"&gt;="&amp;DATE($A5,COLUMN()-1,1),'Daily PnL'!$A$4:$A$403,"&lt;="&amp;EOMONTH(DATE($A5,COLUMN()-1,1),0))</f>
        <v>0</v>
      </c>
      <c r="I5" s="19" t="n">
        <f aca="false">SUMIFS('Daily PnL'!$H$4:$H$403,'Daily PnL'!$A$4:$A$403,"&gt;="&amp;DATE($A5,COLUMN()-1,1),'Daily PnL'!$A$4:$A$403,"&lt;="&amp;EOMONTH(DATE($A5,COLUMN()-1,1),0))</f>
        <v>23918.5521880349</v>
      </c>
      <c r="J5" s="19" t="n">
        <f aca="false">SUMIFS('Daily PnL'!$H$4:$H$403,'Daily PnL'!$A$4:$A$403,"&gt;="&amp;DATE($A5,COLUMN()-1,1),'Daily PnL'!$A$4:$A$403,"&lt;="&amp;EOMONTH(DATE($A5,COLUMN()-1,1),0))</f>
        <v>0</v>
      </c>
      <c r="K5" s="19" t="n">
        <f aca="false">SUMIFS('Daily PnL'!$H$4:$H$403,'Daily PnL'!$A$4:$A$403,"&gt;="&amp;DATE($A5,COLUMN()-1,1),'Daily PnL'!$A$4:$A$403,"&lt;="&amp;EOMONTH(DATE($A5,COLUMN()-1,1),0))</f>
        <v>0</v>
      </c>
      <c r="L5" s="19" t="n">
        <f aca="false">SUMIFS('Daily PnL'!$H$4:$H$403,'Daily PnL'!$A$4:$A$403,"&gt;="&amp;DATE($A5,COLUMN()-1,1),'Daily PnL'!$A$4:$A$403,"&lt;="&amp;EOMONTH(DATE($A5,COLUMN()-1,1),0))</f>
        <v>0</v>
      </c>
      <c r="M5" s="19" t="n">
        <f aca="false">SUMIFS('Daily PnL'!$H$4:$H$403,'Daily PnL'!$A$4:$A$403,"&gt;="&amp;DATE($A5,COLUMN()-1,1),'Daily PnL'!$A$4:$A$403,"&lt;="&amp;EOMONTH(DATE($A5,COLUMN()-1,1),0))</f>
        <v>0</v>
      </c>
      <c r="N5" s="23" t="n">
        <f aca="false">SUM($B5:$M5)</f>
        <v>23918.5521880349</v>
      </c>
    </row>
    <row r="6" customFormat="false" ht="15" hidden="false" customHeight="false" outlineLevel="0" collapsed="false">
      <c r="A6" s="56" t="n">
        <f aca="false">YEAR(Config!$B$5)+1</f>
        <v>2027</v>
      </c>
      <c r="B6" s="19" t="n">
        <f aca="false">SUMIFS('Daily PnL'!$H$4:$H$403,'Daily PnL'!$A$4:$A$403,"&gt;="&amp;DATE($A6,COLUMN()-1,1),'Daily PnL'!$A$4:$A$403,"&lt;="&amp;EOMONTH(DATE($A6,COLUMN()-1,1),0))</f>
        <v>0</v>
      </c>
      <c r="C6" s="19" t="n">
        <f aca="false">SUMIFS('Daily PnL'!$H$4:$H$403,'Daily PnL'!$A$4:$A$403,"&gt;="&amp;DATE($A6,COLUMN()-1,1),'Daily PnL'!$A$4:$A$403,"&lt;="&amp;EOMONTH(DATE($A6,COLUMN()-1,1),0))</f>
        <v>0</v>
      </c>
      <c r="D6" s="19" t="n">
        <f aca="false">SUMIFS('Daily PnL'!$H$4:$H$403,'Daily PnL'!$A$4:$A$403,"&gt;="&amp;DATE($A6,COLUMN()-1,1),'Daily PnL'!$A$4:$A$403,"&lt;="&amp;EOMONTH(DATE($A6,COLUMN()-1,1),0))</f>
        <v>0</v>
      </c>
      <c r="E6" s="19" t="n">
        <f aca="false">SUMIFS('Daily PnL'!$H$4:$H$403,'Daily PnL'!$A$4:$A$403,"&gt;="&amp;DATE($A6,COLUMN()-1,1),'Daily PnL'!$A$4:$A$403,"&lt;="&amp;EOMONTH(DATE($A6,COLUMN()-1,1),0))</f>
        <v>0</v>
      </c>
      <c r="F6" s="19" t="n">
        <f aca="false">SUMIFS('Daily PnL'!$H$4:$H$403,'Daily PnL'!$A$4:$A$403,"&gt;="&amp;DATE($A6,COLUMN()-1,1),'Daily PnL'!$A$4:$A$403,"&lt;="&amp;EOMONTH(DATE($A6,COLUMN()-1,1),0))</f>
        <v>0</v>
      </c>
      <c r="G6" s="19" t="n">
        <f aca="false">SUMIFS('Daily PnL'!$H$4:$H$403,'Daily PnL'!$A$4:$A$403,"&gt;="&amp;DATE($A6,COLUMN()-1,1),'Daily PnL'!$A$4:$A$403,"&lt;="&amp;EOMONTH(DATE($A6,COLUMN()-1,1),0))</f>
        <v>0</v>
      </c>
      <c r="H6" s="19" t="n">
        <f aca="false">SUMIFS('Daily PnL'!$H$4:$H$403,'Daily PnL'!$A$4:$A$403,"&gt;="&amp;DATE($A6,COLUMN()-1,1),'Daily PnL'!$A$4:$A$403,"&lt;="&amp;EOMONTH(DATE($A6,COLUMN()-1,1),0))</f>
        <v>0</v>
      </c>
      <c r="I6" s="19" t="n">
        <f aca="false">SUMIFS('Daily PnL'!$H$4:$H$403,'Daily PnL'!$A$4:$A$403,"&gt;="&amp;DATE($A6,COLUMN()-1,1),'Daily PnL'!$A$4:$A$403,"&lt;="&amp;EOMONTH(DATE($A6,COLUMN()-1,1),0))</f>
        <v>0</v>
      </c>
      <c r="J6" s="19" t="n">
        <f aca="false">SUMIFS('Daily PnL'!$H$4:$H$403,'Daily PnL'!$A$4:$A$403,"&gt;="&amp;DATE($A6,COLUMN()-1,1),'Daily PnL'!$A$4:$A$403,"&lt;="&amp;EOMONTH(DATE($A6,COLUMN()-1,1),0))</f>
        <v>0</v>
      </c>
      <c r="K6" s="19" t="n">
        <f aca="false">SUMIFS('Daily PnL'!$H$4:$H$403,'Daily PnL'!$A$4:$A$403,"&gt;="&amp;DATE($A6,COLUMN()-1,1),'Daily PnL'!$A$4:$A$403,"&lt;="&amp;EOMONTH(DATE($A6,COLUMN()-1,1),0))</f>
        <v>0</v>
      </c>
      <c r="L6" s="19" t="n">
        <f aca="false">SUMIFS('Daily PnL'!$H$4:$H$403,'Daily PnL'!$A$4:$A$403,"&gt;="&amp;DATE($A6,COLUMN()-1,1),'Daily PnL'!$A$4:$A$403,"&lt;="&amp;EOMONTH(DATE($A6,COLUMN()-1,1),0))</f>
        <v>0</v>
      </c>
      <c r="M6" s="19" t="n">
        <f aca="false">SUMIFS('Daily PnL'!$H$4:$H$403,'Daily PnL'!$A$4:$A$403,"&gt;="&amp;DATE($A6,COLUMN()-1,1),'Daily PnL'!$A$4:$A$403,"&lt;="&amp;EOMONTH(DATE($A6,COLUMN()-1,1),0))</f>
        <v>0</v>
      </c>
      <c r="N6" s="23" t="n">
        <f aca="false">SUM($B6:$M6)</f>
        <v>0</v>
      </c>
    </row>
    <row r="7" customFormat="false" ht="15" hidden="false" customHeight="false" outlineLevel="0" collapsed="false">
      <c r="A7" s="56" t="n">
        <f aca="false">YEAR(Config!$B$5)+2</f>
        <v>2028</v>
      </c>
      <c r="B7" s="19" t="n">
        <f aca="false">SUMIFS('Daily PnL'!$H$4:$H$403,'Daily PnL'!$A$4:$A$403,"&gt;="&amp;DATE($A7,COLUMN()-1,1),'Daily PnL'!$A$4:$A$403,"&lt;="&amp;EOMONTH(DATE($A7,COLUMN()-1,1),0))</f>
        <v>0</v>
      </c>
      <c r="C7" s="19" t="n">
        <f aca="false">SUMIFS('Daily PnL'!$H$4:$H$403,'Daily PnL'!$A$4:$A$403,"&gt;="&amp;DATE($A7,COLUMN()-1,1),'Daily PnL'!$A$4:$A$403,"&lt;="&amp;EOMONTH(DATE($A7,COLUMN()-1,1),0))</f>
        <v>0</v>
      </c>
      <c r="D7" s="19" t="n">
        <f aca="false">SUMIFS('Daily PnL'!$H$4:$H$403,'Daily PnL'!$A$4:$A$403,"&gt;="&amp;DATE($A7,COLUMN()-1,1),'Daily PnL'!$A$4:$A$403,"&lt;="&amp;EOMONTH(DATE($A7,COLUMN()-1,1),0))</f>
        <v>0</v>
      </c>
      <c r="E7" s="19" t="n">
        <f aca="false">SUMIFS('Daily PnL'!$H$4:$H$403,'Daily PnL'!$A$4:$A$403,"&gt;="&amp;DATE($A7,COLUMN()-1,1),'Daily PnL'!$A$4:$A$403,"&lt;="&amp;EOMONTH(DATE($A7,COLUMN()-1,1),0))</f>
        <v>0</v>
      </c>
      <c r="F7" s="19" t="n">
        <f aca="false">SUMIFS('Daily PnL'!$H$4:$H$403,'Daily PnL'!$A$4:$A$403,"&gt;="&amp;DATE($A7,COLUMN()-1,1),'Daily PnL'!$A$4:$A$403,"&lt;="&amp;EOMONTH(DATE($A7,COLUMN()-1,1),0))</f>
        <v>0</v>
      </c>
      <c r="G7" s="19" t="n">
        <f aca="false">SUMIFS('Daily PnL'!$H$4:$H$403,'Daily PnL'!$A$4:$A$403,"&gt;="&amp;DATE($A7,COLUMN()-1,1),'Daily PnL'!$A$4:$A$403,"&lt;="&amp;EOMONTH(DATE($A7,COLUMN()-1,1),0))</f>
        <v>0</v>
      </c>
      <c r="H7" s="19" t="n">
        <f aca="false">SUMIFS('Daily PnL'!$H$4:$H$403,'Daily PnL'!$A$4:$A$403,"&gt;="&amp;DATE($A7,COLUMN()-1,1),'Daily PnL'!$A$4:$A$403,"&lt;="&amp;EOMONTH(DATE($A7,COLUMN()-1,1),0))</f>
        <v>0</v>
      </c>
      <c r="I7" s="19" t="n">
        <f aca="false">SUMIFS('Daily PnL'!$H$4:$H$403,'Daily PnL'!$A$4:$A$403,"&gt;="&amp;DATE($A7,COLUMN()-1,1),'Daily PnL'!$A$4:$A$403,"&lt;="&amp;EOMONTH(DATE($A7,COLUMN()-1,1),0))</f>
        <v>0</v>
      </c>
      <c r="J7" s="19" t="n">
        <f aca="false">SUMIFS('Daily PnL'!$H$4:$H$403,'Daily PnL'!$A$4:$A$403,"&gt;="&amp;DATE($A7,COLUMN()-1,1),'Daily PnL'!$A$4:$A$403,"&lt;="&amp;EOMONTH(DATE($A7,COLUMN()-1,1),0))</f>
        <v>0</v>
      </c>
      <c r="K7" s="19" t="n">
        <f aca="false">SUMIFS('Daily PnL'!$H$4:$H$403,'Daily PnL'!$A$4:$A$403,"&gt;="&amp;DATE($A7,COLUMN()-1,1),'Daily PnL'!$A$4:$A$403,"&lt;="&amp;EOMONTH(DATE($A7,COLUMN()-1,1),0))</f>
        <v>0</v>
      </c>
      <c r="L7" s="19" t="n">
        <f aca="false">SUMIFS('Daily PnL'!$H$4:$H$403,'Daily PnL'!$A$4:$A$403,"&gt;="&amp;DATE($A7,COLUMN()-1,1),'Daily PnL'!$A$4:$A$403,"&lt;="&amp;EOMONTH(DATE($A7,COLUMN()-1,1),0))</f>
        <v>0</v>
      </c>
      <c r="M7" s="19" t="n">
        <f aca="false">SUMIFS('Daily PnL'!$H$4:$H$403,'Daily PnL'!$A$4:$A$403,"&gt;="&amp;DATE($A7,COLUMN()-1,1),'Daily PnL'!$A$4:$A$403,"&lt;="&amp;EOMONTH(DATE($A7,COLUMN()-1,1),0))</f>
        <v>0</v>
      </c>
      <c r="N7" s="23" t="n">
        <f aca="false">SUM($B7:$M7)</f>
        <v>0</v>
      </c>
    </row>
    <row r="8" customFormat="false" ht="15" hidden="false" customHeight="false" outlineLevel="0" collapsed="false">
      <c r="A8" s="56" t="n">
        <f aca="false">YEAR(Config!$B$5)+3</f>
        <v>2029</v>
      </c>
      <c r="B8" s="19" t="n">
        <f aca="false">SUMIFS('Daily PnL'!$H$4:$H$403,'Daily PnL'!$A$4:$A$403,"&gt;="&amp;DATE($A8,COLUMN()-1,1),'Daily PnL'!$A$4:$A$403,"&lt;="&amp;EOMONTH(DATE($A8,COLUMN()-1,1),0))</f>
        <v>0</v>
      </c>
      <c r="C8" s="19" t="n">
        <f aca="false">SUMIFS('Daily PnL'!$H$4:$H$403,'Daily PnL'!$A$4:$A$403,"&gt;="&amp;DATE($A8,COLUMN()-1,1),'Daily PnL'!$A$4:$A$403,"&lt;="&amp;EOMONTH(DATE($A8,COLUMN()-1,1),0))</f>
        <v>0</v>
      </c>
      <c r="D8" s="19" t="n">
        <f aca="false">SUMIFS('Daily PnL'!$H$4:$H$403,'Daily PnL'!$A$4:$A$403,"&gt;="&amp;DATE($A8,COLUMN()-1,1),'Daily PnL'!$A$4:$A$403,"&lt;="&amp;EOMONTH(DATE($A8,COLUMN()-1,1),0))</f>
        <v>0</v>
      </c>
      <c r="E8" s="19" t="n">
        <f aca="false">SUMIFS('Daily PnL'!$H$4:$H$403,'Daily PnL'!$A$4:$A$403,"&gt;="&amp;DATE($A8,COLUMN()-1,1),'Daily PnL'!$A$4:$A$403,"&lt;="&amp;EOMONTH(DATE($A8,COLUMN()-1,1),0))</f>
        <v>0</v>
      </c>
      <c r="F8" s="19" t="n">
        <f aca="false">SUMIFS('Daily PnL'!$H$4:$H$403,'Daily PnL'!$A$4:$A$403,"&gt;="&amp;DATE($A8,COLUMN()-1,1),'Daily PnL'!$A$4:$A$403,"&lt;="&amp;EOMONTH(DATE($A8,COLUMN()-1,1),0))</f>
        <v>0</v>
      </c>
      <c r="G8" s="19" t="n">
        <f aca="false">SUMIFS('Daily PnL'!$H$4:$H$403,'Daily PnL'!$A$4:$A$403,"&gt;="&amp;DATE($A8,COLUMN()-1,1),'Daily PnL'!$A$4:$A$403,"&lt;="&amp;EOMONTH(DATE($A8,COLUMN()-1,1),0))</f>
        <v>0</v>
      </c>
      <c r="H8" s="19" t="n">
        <f aca="false">SUMIFS('Daily PnL'!$H$4:$H$403,'Daily PnL'!$A$4:$A$403,"&gt;="&amp;DATE($A8,COLUMN()-1,1),'Daily PnL'!$A$4:$A$403,"&lt;="&amp;EOMONTH(DATE($A8,COLUMN()-1,1),0))</f>
        <v>0</v>
      </c>
      <c r="I8" s="19" t="n">
        <f aca="false">SUMIFS('Daily PnL'!$H$4:$H$403,'Daily PnL'!$A$4:$A$403,"&gt;="&amp;DATE($A8,COLUMN()-1,1),'Daily PnL'!$A$4:$A$403,"&lt;="&amp;EOMONTH(DATE($A8,COLUMN()-1,1),0))</f>
        <v>0</v>
      </c>
      <c r="J8" s="19" t="n">
        <f aca="false">SUMIFS('Daily PnL'!$H$4:$H$403,'Daily PnL'!$A$4:$A$403,"&gt;="&amp;DATE($A8,COLUMN()-1,1),'Daily PnL'!$A$4:$A$403,"&lt;="&amp;EOMONTH(DATE($A8,COLUMN()-1,1),0))</f>
        <v>0</v>
      </c>
      <c r="K8" s="19" t="n">
        <f aca="false">SUMIFS('Daily PnL'!$H$4:$H$403,'Daily PnL'!$A$4:$A$403,"&gt;="&amp;DATE($A8,COLUMN()-1,1),'Daily PnL'!$A$4:$A$403,"&lt;="&amp;EOMONTH(DATE($A8,COLUMN()-1,1),0))</f>
        <v>0</v>
      </c>
      <c r="L8" s="19" t="n">
        <f aca="false">SUMIFS('Daily PnL'!$H$4:$H$403,'Daily PnL'!$A$4:$A$403,"&gt;="&amp;DATE($A8,COLUMN()-1,1),'Daily PnL'!$A$4:$A$403,"&lt;="&amp;EOMONTH(DATE($A8,COLUMN()-1,1),0))</f>
        <v>0</v>
      </c>
      <c r="M8" s="19" t="n">
        <f aca="false">SUMIFS('Daily PnL'!$H$4:$H$403,'Daily PnL'!$A$4:$A$403,"&gt;="&amp;DATE($A8,COLUMN()-1,1),'Daily PnL'!$A$4:$A$403,"&lt;="&amp;EOMONTH(DATE($A8,COLUMN()-1,1),0))</f>
        <v>0</v>
      </c>
      <c r="N8" s="23" t="n">
        <f aca="false">SUM($B8:$M8)</f>
        <v>0</v>
      </c>
    </row>
    <row r="9" customFormat="false" ht="15" hidden="false" customHeight="false" outlineLevel="0" collapsed="false">
      <c r="A9" s="56" t="n">
        <f aca="false">YEAR(Config!$B$5)+4</f>
        <v>2030</v>
      </c>
      <c r="B9" s="19" t="n">
        <f aca="false">SUMIFS('Daily PnL'!$H$4:$H$403,'Daily PnL'!$A$4:$A$403,"&gt;="&amp;DATE($A9,COLUMN()-1,1),'Daily PnL'!$A$4:$A$403,"&lt;="&amp;EOMONTH(DATE($A9,COLUMN()-1,1),0))</f>
        <v>0</v>
      </c>
      <c r="C9" s="19" t="n">
        <f aca="false">SUMIFS('Daily PnL'!$H$4:$H$403,'Daily PnL'!$A$4:$A$403,"&gt;="&amp;DATE($A9,COLUMN()-1,1),'Daily PnL'!$A$4:$A$403,"&lt;="&amp;EOMONTH(DATE($A9,COLUMN()-1,1),0))</f>
        <v>0</v>
      </c>
      <c r="D9" s="19" t="n">
        <f aca="false">SUMIFS('Daily PnL'!$H$4:$H$403,'Daily PnL'!$A$4:$A$403,"&gt;="&amp;DATE($A9,COLUMN()-1,1),'Daily PnL'!$A$4:$A$403,"&lt;="&amp;EOMONTH(DATE($A9,COLUMN()-1,1),0))</f>
        <v>0</v>
      </c>
      <c r="E9" s="19" t="n">
        <f aca="false">SUMIFS('Daily PnL'!$H$4:$H$403,'Daily PnL'!$A$4:$A$403,"&gt;="&amp;DATE($A9,COLUMN()-1,1),'Daily PnL'!$A$4:$A$403,"&lt;="&amp;EOMONTH(DATE($A9,COLUMN()-1,1),0))</f>
        <v>0</v>
      </c>
      <c r="F9" s="19" t="n">
        <f aca="false">SUMIFS('Daily PnL'!$H$4:$H$403,'Daily PnL'!$A$4:$A$403,"&gt;="&amp;DATE($A9,COLUMN()-1,1),'Daily PnL'!$A$4:$A$403,"&lt;="&amp;EOMONTH(DATE($A9,COLUMN()-1,1),0))</f>
        <v>0</v>
      </c>
      <c r="G9" s="19" t="n">
        <f aca="false">SUMIFS('Daily PnL'!$H$4:$H$403,'Daily PnL'!$A$4:$A$403,"&gt;="&amp;DATE($A9,COLUMN()-1,1),'Daily PnL'!$A$4:$A$403,"&lt;="&amp;EOMONTH(DATE($A9,COLUMN()-1,1),0))</f>
        <v>0</v>
      </c>
      <c r="H9" s="19" t="n">
        <f aca="false">SUMIFS('Daily PnL'!$H$4:$H$403,'Daily PnL'!$A$4:$A$403,"&gt;="&amp;DATE($A9,COLUMN()-1,1),'Daily PnL'!$A$4:$A$403,"&lt;="&amp;EOMONTH(DATE($A9,COLUMN()-1,1),0))</f>
        <v>0</v>
      </c>
      <c r="I9" s="19" t="n">
        <f aca="false">SUMIFS('Daily PnL'!$H$4:$H$403,'Daily PnL'!$A$4:$A$403,"&gt;="&amp;DATE($A9,COLUMN()-1,1),'Daily PnL'!$A$4:$A$403,"&lt;="&amp;EOMONTH(DATE($A9,COLUMN()-1,1),0))</f>
        <v>0</v>
      </c>
      <c r="J9" s="19" t="n">
        <f aca="false">SUMIFS('Daily PnL'!$H$4:$H$403,'Daily PnL'!$A$4:$A$403,"&gt;="&amp;DATE($A9,COLUMN()-1,1),'Daily PnL'!$A$4:$A$403,"&lt;="&amp;EOMONTH(DATE($A9,COLUMN()-1,1),0))</f>
        <v>0</v>
      </c>
      <c r="K9" s="19" t="n">
        <f aca="false">SUMIFS('Daily PnL'!$H$4:$H$403,'Daily PnL'!$A$4:$A$403,"&gt;="&amp;DATE($A9,COLUMN()-1,1),'Daily PnL'!$A$4:$A$403,"&lt;="&amp;EOMONTH(DATE($A9,COLUMN()-1,1),0))</f>
        <v>0</v>
      </c>
      <c r="L9" s="19" t="n">
        <f aca="false">SUMIFS('Daily PnL'!$H$4:$H$403,'Daily PnL'!$A$4:$A$403,"&gt;="&amp;DATE($A9,COLUMN()-1,1),'Daily PnL'!$A$4:$A$403,"&lt;="&amp;EOMONTH(DATE($A9,COLUMN()-1,1),0))</f>
        <v>0</v>
      </c>
      <c r="M9" s="19" t="n">
        <f aca="false">SUMIFS('Daily PnL'!$H$4:$H$403,'Daily PnL'!$A$4:$A$403,"&gt;="&amp;DATE($A9,COLUMN()-1,1),'Daily PnL'!$A$4:$A$403,"&lt;="&amp;EOMONTH(DATE($A9,COLUMN()-1,1),0))</f>
        <v>0</v>
      </c>
      <c r="N9" s="23" t="n">
        <f aca="false">SUM($B9:$M9)</f>
        <v>0</v>
      </c>
    </row>
    <row r="10" customFormat="false" ht="15" hidden="false" customHeight="false" outlineLevel="0" collapsed="false">
      <c r="A10" s="56" t="n">
        <f aca="false">YEAR(Config!$B$5)+5</f>
        <v>2031</v>
      </c>
      <c r="B10" s="19" t="n">
        <f aca="false">SUMIFS('Daily PnL'!$H$4:$H$403,'Daily PnL'!$A$4:$A$403,"&gt;="&amp;DATE($A10,COLUMN()-1,1),'Daily PnL'!$A$4:$A$403,"&lt;="&amp;EOMONTH(DATE($A10,COLUMN()-1,1),0))</f>
        <v>0</v>
      </c>
      <c r="C10" s="19" t="n">
        <f aca="false">SUMIFS('Daily PnL'!$H$4:$H$403,'Daily PnL'!$A$4:$A$403,"&gt;="&amp;DATE($A10,COLUMN()-1,1),'Daily PnL'!$A$4:$A$403,"&lt;="&amp;EOMONTH(DATE($A10,COLUMN()-1,1),0))</f>
        <v>0</v>
      </c>
      <c r="D10" s="19" t="n">
        <f aca="false">SUMIFS('Daily PnL'!$H$4:$H$403,'Daily PnL'!$A$4:$A$403,"&gt;="&amp;DATE($A10,COLUMN()-1,1),'Daily PnL'!$A$4:$A$403,"&lt;="&amp;EOMONTH(DATE($A10,COLUMN()-1,1),0))</f>
        <v>0</v>
      </c>
      <c r="E10" s="19" t="n">
        <f aca="false">SUMIFS('Daily PnL'!$H$4:$H$403,'Daily PnL'!$A$4:$A$403,"&gt;="&amp;DATE($A10,COLUMN()-1,1),'Daily PnL'!$A$4:$A$403,"&lt;="&amp;EOMONTH(DATE($A10,COLUMN()-1,1),0))</f>
        <v>0</v>
      </c>
      <c r="F10" s="19" t="n">
        <f aca="false">SUMIFS('Daily PnL'!$H$4:$H$403,'Daily PnL'!$A$4:$A$403,"&gt;="&amp;DATE($A10,COLUMN()-1,1),'Daily PnL'!$A$4:$A$403,"&lt;="&amp;EOMONTH(DATE($A10,COLUMN()-1,1),0))</f>
        <v>0</v>
      </c>
      <c r="G10" s="19" t="n">
        <f aca="false">SUMIFS('Daily PnL'!$H$4:$H$403,'Daily PnL'!$A$4:$A$403,"&gt;="&amp;DATE($A10,COLUMN()-1,1),'Daily PnL'!$A$4:$A$403,"&lt;="&amp;EOMONTH(DATE($A10,COLUMN()-1,1),0))</f>
        <v>0</v>
      </c>
      <c r="H10" s="19" t="n">
        <f aca="false">SUMIFS('Daily PnL'!$H$4:$H$403,'Daily PnL'!$A$4:$A$403,"&gt;="&amp;DATE($A10,COLUMN()-1,1),'Daily PnL'!$A$4:$A$403,"&lt;="&amp;EOMONTH(DATE($A10,COLUMN()-1,1),0))</f>
        <v>0</v>
      </c>
      <c r="I10" s="19" t="n">
        <f aca="false">SUMIFS('Daily PnL'!$H$4:$H$403,'Daily PnL'!$A$4:$A$403,"&gt;="&amp;DATE($A10,COLUMN()-1,1),'Daily PnL'!$A$4:$A$403,"&lt;="&amp;EOMONTH(DATE($A10,COLUMN()-1,1),0))</f>
        <v>0</v>
      </c>
      <c r="J10" s="19" t="n">
        <f aca="false">SUMIFS('Daily PnL'!$H$4:$H$403,'Daily PnL'!$A$4:$A$403,"&gt;="&amp;DATE($A10,COLUMN()-1,1),'Daily PnL'!$A$4:$A$403,"&lt;="&amp;EOMONTH(DATE($A10,COLUMN()-1,1),0))</f>
        <v>0</v>
      </c>
      <c r="K10" s="19" t="n">
        <f aca="false">SUMIFS('Daily PnL'!$H$4:$H$403,'Daily PnL'!$A$4:$A$403,"&gt;="&amp;DATE($A10,COLUMN()-1,1),'Daily PnL'!$A$4:$A$403,"&lt;="&amp;EOMONTH(DATE($A10,COLUMN()-1,1),0))</f>
        <v>0</v>
      </c>
      <c r="L10" s="19" t="n">
        <f aca="false">SUMIFS('Daily PnL'!$H$4:$H$403,'Daily PnL'!$A$4:$A$403,"&gt;="&amp;DATE($A10,COLUMN()-1,1),'Daily PnL'!$A$4:$A$403,"&lt;="&amp;EOMONTH(DATE($A10,COLUMN()-1,1),0))</f>
        <v>0</v>
      </c>
      <c r="M10" s="19" t="n">
        <f aca="false">SUMIFS('Daily PnL'!$H$4:$H$403,'Daily PnL'!$A$4:$A$403,"&gt;="&amp;DATE($A10,COLUMN()-1,1),'Daily PnL'!$A$4:$A$403,"&lt;="&amp;EOMONTH(DATE($A10,COLUMN()-1,1),0))</f>
        <v>0</v>
      </c>
      <c r="N10" s="23" t="n">
        <f aca="false">SUM($B10:$M10)</f>
        <v>0</v>
      </c>
    </row>
    <row r="13" customFormat="false" ht="15" hidden="false" customHeight="false" outlineLevel="0" collapsed="false">
      <c r="A13" s="3" t="s">
        <v>272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9.5" hidden="false" customHeight="true" outlineLevel="0" collapsed="false">
      <c r="A14" s="10" t="s">
        <v>258</v>
      </c>
      <c r="B14" s="10" t="s">
        <v>259</v>
      </c>
      <c r="C14" s="10" t="s">
        <v>260</v>
      </c>
      <c r="D14" s="10" t="s">
        <v>261</v>
      </c>
      <c r="E14" s="10" t="s">
        <v>262</v>
      </c>
      <c r="F14" s="10" t="s">
        <v>263</v>
      </c>
      <c r="G14" s="10" t="s">
        <v>264</v>
      </c>
      <c r="H14" s="10" t="s">
        <v>265</v>
      </c>
      <c r="I14" s="10" t="s">
        <v>266</v>
      </c>
      <c r="J14" s="10" t="s">
        <v>267</v>
      </c>
      <c r="K14" s="10" t="s">
        <v>268</v>
      </c>
      <c r="L14" s="10" t="s">
        <v>269</v>
      </c>
      <c r="M14" s="10" t="s">
        <v>270</v>
      </c>
      <c r="N14" s="10" t="s">
        <v>271</v>
      </c>
    </row>
    <row r="15" customFormat="false" ht="15" hidden="false" customHeight="false" outlineLevel="0" collapsed="false">
      <c r="A15" s="56" t="n">
        <f aca="false">$A5</f>
        <v>2026</v>
      </c>
      <c r="B15" s="24" t="n">
        <f aca="false">IF(Config!$B$4=0,"",B5/Config!$B$4)</f>
        <v>0</v>
      </c>
      <c r="C15" s="24" t="n">
        <f aca="false">IF(Config!$B$4=0,"",C5/Config!$B$4)</f>
        <v>0</v>
      </c>
      <c r="D15" s="24" t="n">
        <f aca="false">IF(Config!$B$4=0,"",D5/Config!$B$4)</f>
        <v>0</v>
      </c>
      <c r="E15" s="24" t="n">
        <f aca="false">IF(Config!$B$4=0,"",E5/Config!$B$4)</f>
        <v>0</v>
      </c>
      <c r="F15" s="24" t="n">
        <f aca="false">IF(Config!$B$4=0,"",F5/Config!$B$4)</f>
        <v>0</v>
      </c>
      <c r="G15" s="24" t="n">
        <f aca="false">IF(Config!$B$4=0,"",G5/Config!$B$4)</f>
        <v>0</v>
      </c>
      <c r="H15" s="24" t="n">
        <f aca="false">IF(Config!$B$4=0,"",H5/Config!$B$4)</f>
        <v>0</v>
      </c>
      <c r="I15" s="24" t="n">
        <f aca="false">IF(Config!$B$4=0,"",I5/Config!$B$4)</f>
        <v>0.0239185521880349</v>
      </c>
      <c r="J15" s="24" t="n">
        <f aca="false">IF(Config!$B$4=0,"",J5/Config!$B$4)</f>
        <v>0</v>
      </c>
      <c r="K15" s="24" t="n">
        <f aca="false">IF(Config!$B$4=0,"",K5/Config!$B$4)</f>
        <v>0</v>
      </c>
      <c r="L15" s="24" t="n">
        <f aca="false">IF(Config!$B$4=0,"",L5/Config!$B$4)</f>
        <v>0</v>
      </c>
      <c r="M15" s="24" t="n">
        <f aca="false">IF(Config!$B$4=0,"",M5/Config!$B$4)</f>
        <v>0</v>
      </c>
      <c r="N15" s="24" t="n">
        <f aca="false">IF(Config!$B$4=0,"",N5/Config!$B$4)</f>
        <v>0.0239185521880349</v>
      </c>
    </row>
    <row r="16" customFormat="false" ht="15" hidden="false" customHeight="false" outlineLevel="0" collapsed="false">
      <c r="A16" s="56" t="n">
        <f aca="false">$A6</f>
        <v>2027</v>
      </c>
      <c r="B16" s="24" t="n">
        <f aca="false">IF(Config!$B$4=0,"",B6/Config!$B$4)</f>
        <v>0</v>
      </c>
      <c r="C16" s="24" t="n">
        <f aca="false">IF(Config!$B$4=0,"",C6/Config!$B$4)</f>
        <v>0</v>
      </c>
      <c r="D16" s="24" t="n">
        <f aca="false">IF(Config!$B$4=0,"",D6/Config!$B$4)</f>
        <v>0</v>
      </c>
      <c r="E16" s="24" t="n">
        <f aca="false">IF(Config!$B$4=0,"",E6/Config!$B$4)</f>
        <v>0</v>
      </c>
      <c r="F16" s="24" t="n">
        <f aca="false">IF(Config!$B$4=0,"",F6/Config!$B$4)</f>
        <v>0</v>
      </c>
      <c r="G16" s="24" t="n">
        <f aca="false">IF(Config!$B$4=0,"",G6/Config!$B$4)</f>
        <v>0</v>
      </c>
      <c r="H16" s="24" t="n">
        <f aca="false">IF(Config!$B$4=0,"",H6/Config!$B$4)</f>
        <v>0</v>
      </c>
      <c r="I16" s="24" t="n">
        <f aca="false">IF(Config!$B$4=0,"",I6/Config!$B$4)</f>
        <v>0</v>
      </c>
      <c r="J16" s="24" t="n">
        <f aca="false">IF(Config!$B$4=0,"",J6/Config!$B$4)</f>
        <v>0</v>
      </c>
      <c r="K16" s="24" t="n">
        <f aca="false">IF(Config!$B$4=0,"",K6/Config!$B$4)</f>
        <v>0</v>
      </c>
      <c r="L16" s="24" t="n">
        <f aca="false">IF(Config!$B$4=0,"",L6/Config!$B$4)</f>
        <v>0</v>
      </c>
      <c r="M16" s="24" t="n">
        <f aca="false">IF(Config!$B$4=0,"",M6/Config!$B$4)</f>
        <v>0</v>
      </c>
      <c r="N16" s="24" t="n">
        <f aca="false">IF(Config!$B$4=0,"",N6/Config!$B$4)</f>
        <v>0</v>
      </c>
    </row>
    <row r="17" customFormat="false" ht="15" hidden="false" customHeight="false" outlineLevel="0" collapsed="false">
      <c r="A17" s="56" t="n">
        <f aca="false">$A7</f>
        <v>2028</v>
      </c>
      <c r="B17" s="24" t="n">
        <f aca="false">IF(Config!$B$4=0,"",B7/Config!$B$4)</f>
        <v>0</v>
      </c>
      <c r="C17" s="24" t="n">
        <f aca="false">IF(Config!$B$4=0,"",C7/Config!$B$4)</f>
        <v>0</v>
      </c>
      <c r="D17" s="24" t="n">
        <f aca="false">IF(Config!$B$4=0,"",D7/Config!$B$4)</f>
        <v>0</v>
      </c>
      <c r="E17" s="24" t="n">
        <f aca="false">IF(Config!$B$4=0,"",E7/Config!$B$4)</f>
        <v>0</v>
      </c>
      <c r="F17" s="24" t="n">
        <f aca="false">IF(Config!$B$4=0,"",F7/Config!$B$4)</f>
        <v>0</v>
      </c>
      <c r="G17" s="24" t="n">
        <f aca="false">IF(Config!$B$4=0,"",G7/Config!$B$4)</f>
        <v>0</v>
      </c>
      <c r="H17" s="24" t="n">
        <f aca="false">IF(Config!$B$4=0,"",H7/Config!$B$4)</f>
        <v>0</v>
      </c>
      <c r="I17" s="24" t="n">
        <f aca="false">IF(Config!$B$4=0,"",I7/Config!$B$4)</f>
        <v>0</v>
      </c>
      <c r="J17" s="24" t="n">
        <f aca="false">IF(Config!$B$4=0,"",J7/Config!$B$4)</f>
        <v>0</v>
      </c>
      <c r="K17" s="24" t="n">
        <f aca="false">IF(Config!$B$4=0,"",K7/Config!$B$4)</f>
        <v>0</v>
      </c>
      <c r="L17" s="24" t="n">
        <f aca="false">IF(Config!$B$4=0,"",L7/Config!$B$4)</f>
        <v>0</v>
      </c>
      <c r="M17" s="24" t="n">
        <f aca="false">IF(Config!$B$4=0,"",M7/Config!$B$4)</f>
        <v>0</v>
      </c>
      <c r="N17" s="24" t="n">
        <f aca="false">IF(Config!$B$4=0,"",N7/Config!$B$4)</f>
        <v>0</v>
      </c>
    </row>
    <row r="18" customFormat="false" ht="15" hidden="false" customHeight="false" outlineLevel="0" collapsed="false">
      <c r="A18" s="56" t="n">
        <f aca="false">$A8</f>
        <v>2029</v>
      </c>
      <c r="B18" s="24" t="n">
        <f aca="false">IF(Config!$B$4=0,"",B8/Config!$B$4)</f>
        <v>0</v>
      </c>
      <c r="C18" s="24" t="n">
        <f aca="false">IF(Config!$B$4=0,"",C8/Config!$B$4)</f>
        <v>0</v>
      </c>
      <c r="D18" s="24" t="n">
        <f aca="false">IF(Config!$B$4=0,"",D8/Config!$B$4)</f>
        <v>0</v>
      </c>
      <c r="E18" s="24" t="n">
        <f aca="false">IF(Config!$B$4=0,"",E8/Config!$B$4)</f>
        <v>0</v>
      </c>
      <c r="F18" s="24" t="n">
        <f aca="false">IF(Config!$B$4=0,"",F8/Config!$B$4)</f>
        <v>0</v>
      </c>
      <c r="G18" s="24" t="n">
        <f aca="false">IF(Config!$B$4=0,"",G8/Config!$B$4)</f>
        <v>0</v>
      </c>
      <c r="H18" s="24" t="n">
        <f aca="false">IF(Config!$B$4=0,"",H8/Config!$B$4)</f>
        <v>0</v>
      </c>
      <c r="I18" s="24" t="n">
        <f aca="false">IF(Config!$B$4=0,"",I8/Config!$B$4)</f>
        <v>0</v>
      </c>
      <c r="J18" s="24" t="n">
        <f aca="false">IF(Config!$B$4=0,"",J8/Config!$B$4)</f>
        <v>0</v>
      </c>
      <c r="K18" s="24" t="n">
        <f aca="false">IF(Config!$B$4=0,"",K8/Config!$B$4)</f>
        <v>0</v>
      </c>
      <c r="L18" s="24" t="n">
        <f aca="false">IF(Config!$B$4=0,"",L8/Config!$B$4)</f>
        <v>0</v>
      </c>
      <c r="M18" s="24" t="n">
        <f aca="false">IF(Config!$B$4=0,"",M8/Config!$B$4)</f>
        <v>0</v>
      </c>
      <c r="N18" s="24" t="n">
        <f aca="false">IF(Config!$B$4=0,"",N8/Config!$B$4)</f>
        <v>0</v>
      </c>
    </row>
    <row r="19" customFormat="false" ht="15" hidden="false" customHeight="false" outlineLevel="0" collapsed="false">
      <c r="A19" s="56" t="n">
        <f aca="false">$A9</f>
        <v>2030</v>
      </c>
      <c r="B19" s="24" t="n">
        <f aca="false">IF(Config!$B$4=0,"",B9/Config!$B$4)</f>
        <v>0</v>
      </c>
      <c r="C19" s="24" t="n">
        <f aca="false">IF(Config!$B$4=0,"",C9/Config!$B$4)</f>
        <v>0</v>
      </c>
      <c r="D19" s="24" t="n">
        <f aca="false">IF(Config!$B$4=0,"",D9/Config!$B$4)</f>
        <v>0</v>
      </c>
      <c r="E19" s="24" t="n">
        <f aca="false">IF(Config!$B$4=0,"",E9/Config!$B$4)</f>
        <v>0</v>
      </c>
      <c r="F19" s="24" t="n">
        <f aca="false">IF(Config!$B$4=0,"",F9/Config!$B$4)</f>
        <v>0</v>
      </c>
      <c r="G19" s="24" t="n">
        <f aca="false">IF(Config!$B$4=0,"",G9/Config!$B$4)</f>
        <v>0</v>
      </c>
      <c r="H19" s="24" t="n">
        <f aca="false">IF(Config!$B$4=0,"",H9/Config!$B$4)</f>
        <v>0</v>
      </c>
      <c r="I19" s="24" t="n">
        <f aca="false">IF(Config!$B$4=0,"",I9/Config!$B$4)</f>
        <v>0</v>
      </c>
      <c r="J19" s="24" t="n">
        <f aca="false">IF(Config!$B$4=0,"",J9/Config!$B$4)</f>
        <v>0</v>
      </c>
      <c r="K19" s="24" t="n">
        <f aca="false">IF(Config!$B$4=0,"",K9/Config!$B$4)</f>
        <v>0</v>
      </c>
      <c r="L19" s="24" t="n">
        <f aca="false">IF(Config!$B$4=0,"",L9/Config!$B$4)</f>
        <v>0</v>
      </c>
      <c r="M19" s="24" t="n">
        <f aca="false">IF(Config!$B$4=0,"",M9/Config!$B$4)</f>
        <v>0</v>
      </c>
      <c r="N19" s="24" t="n">
        <f aca="false">IF(Config!$B$4=0,"",N9/Config!$B$4)</f>
        <v>0</v>
      </c>
    </row>
    <row r="20" customFormat="false" ht="15" hidden="false" customHeight="false" outlineLevel="0" collapsed="false">
      <c r="A20" s="56" t="n">
        <f aca="false">$A10</f>
        <v>2031</v>
      </c>
      <c r="B20" s="24" t="n">
        <f aca="false">IF(Config!$B$4=0,"",B10/Config!$B$4)</f>
        <v>0</v>
      </c>
      <c r="C20" s="24" t="n">
        <f aca="false">IF(Config!$B$4=0,"",C10/Config!$B$4)</f>
        <v>0</v>
      </c>
      <c r="D20" s="24" t="n">
        <f aca="false">IF(Config!$B$4=0,"",D10/Config!$B$4)</f>
        <v>0</v>
      </c>
      <c r="E20" s="24" t="n">
        <f aca="false">IF(Config!$B$4=0,"",E10/Config!$B$4)</f>
        <v>0</v>
      </c>
      <c r="F20" s="24" t="n">
        <f aca="false">IF(Config!$B$4=0,"",F10/Config!$B$4)</f>
        <v>0</v>
      </c>
      <c r="G20" s="24" t="n">
        <f aca="false">IF(Config!$B$4=0,"",G10/Config!$B$4)</f>
        <v>0</v>
      </c>
      <c r="H20" s="24" t="n">
        <f aca="false">IF(Config!$B$4=0,"",H10/Config!$B$4)</f>
        <v>0</v>
      </c>
      <c r="I20" s="24" t="n">
        <f aca="false">IF(Config!$B$4=0,"",I10/Config!$B$4)</f>
        <v>0</v>
      </c>
      <c r="J20" s="24" t="n">
        <f aca="false">IF(Config!$B$4=0,"",J10/Config!$B$4)</f>
        <v>0</v>
      </c>
      <c r="K20" s="24" t="n">
        <f aca="false">IF(Config!$B$4=0,"",K10/Config!$B$4)</f>
        <v>0</v>
      </c>
      <c r="L20" s="24" t="n">
        <f aca="false">IF(Config!$B$4=0,"",L10/Config!$B$4)</f>
        <v>0</v>
      </c>
      <c r="M20" s="24" t="n">
        <f aca="false">IF(Config!$B$4=0,"",M10/Config!$B$4)</f>
        <v>0</v>
      </c>
      <c r="N20" s="24" t="n">
        <f aca="false">IF(Config!$B$4=0,"",N10/Config!$B$4)</f>
        <v>0</v>
      </c>
    </row>
    <row r="23" customFormat="false" ht="15" hidden="false" customHeight="false" outlineLevel="0" collapsed="false">
      <c r="A23" s="3" t="s">
        <v>273</v>
      </c>
      <c r="B23" s="4"/>
      <c r="C23" s="4"/>
      <c r="D23" s="4"/>
    </row>
    <row r="24" customFormat="false" ht="15" hidden="false" customHeight="false" outlineLevel="0" collapsed="false">
      <c r="A24" s="5" t="s">
        <v>274</v>
      </c>
      <c r="B24" s="21" t="n">
        <f aca="false">COUNTIF($B$5:$M$10,"&lt;&gt;0")</f>
        <v>1</v>
      </c>
    </row>
    <row r="25" customFormat="false" ht="15" hidden="false" customHeight="false" outlineLevel="0" collapsed="false">
      <c r="A25" s="5" t="s">
        <v>275</v>
      </c>
      <c r="B25" s="21" t="n">
        <f aca="false">COUNTIF($B$5:$M$10,"&gt;0")</f>
        <v>1</v>
      </c>
    </row>
    <row r="26" customFormat="false" ht="15" hidden="false" customHeight="false" outlineLevel="0" collapsed="false">
      <c r="A26" s="5" t="s">
        <v>276</v>
      </c>
      <c r="B26" s="21" t="n">
        <f aca="false">COUNTIF($B$5:$M$10,"&lt;0")</f>
        <v>0</v>
      </c>
    </row>
    <row r="27" customFormat="false" ht="15" hidden="false" customHeight="false" outlineLevel="0" collapsed="false">
      <c r="A27" s="5" t="s">
        <v>277</v>
      </c>
      <c r="B27" s="26" t="n">
        <f aca="false">IF($B$24=0,"",$B$25/$B$24)</f>
        <v>1</v>
      </c>
    </row>
    <row r="28" customFormat="false" ht="15" hidden="false" customHeight="false" outlineLevel="0" collapsed="false">
      <c r="A28" s="5" t="s">
        <v>278</v>
      </c>
      <c r="B28" s="19" t="n">
        <f aca="false">IFERROR(MAX($B$5:$M$10),"")</f>
        <v>23918.5521880349</v>
      </c>
    </row>
    <row r="29" customFormat="false" ht="15" hidden="false" customHeight="false" outlineLevel="0" collapsed="false">
      <c r="A29" s="5" t="s">
        <v>279</v>
      </c>
      <c r="B29" s="19" t="n">
        <f aca="false">IFERROR(MIN($B$5:$M$10),"")</f>
        <v>0</v>
      </c>
    </row>
    <row r="30" customFormat="false" ht="15" hidden="false" customHeight="false" outlineLevel="0" collapsed="false">
      <c r="A30" s="5" t="s">
        <v>280</v>
      </c>
      <c r="B30" s="19" t="n">
        <f aca="false">IFERROR(AVERAGEIF($B$5:$M$10,"&lt;&gt;0"),"")</f>
        <v>23918.5521880349</v>
      </c>
    </row>
    <row r="32" customFormat="false" ht="15" hidden="false" customHeight="false" outlineLevel="0" collapsed="false">
      <c r="A32" s="3" t="s">
        <v>281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30" hidden="false" customHeight="true" outlineLevel="0" collapsed="false">
      <c r="A33" s="10" t="s">
        <v>258</v>
      </c>
      <c r="B33" s="10" t="s">
        <v>221</v>
      </c>
      <c r="C33" s="10" t="s">
        <v>55</v>
      </c>
      <c r="D33" s="10" t="s">
        <v>69</v>
      </c>
      <c r="E33" s="10" t="s">
        <v>57</v>
      </c>
      <c r="F33" s="10" t="s">
        <v>282</v>
      </c>
      <c r="G33" s="10" t="s">
        <v>283</v>
      </c>
      <c r="H33" s="10" t="s">
        <v>284</v>
      </c>
      <c r="I33" s="10" t="s">
        <v>285</v>
      </c>
      <c r="J33" s="10" t="s">
        <v>286</v>
      </c>
    </row>
    <row r="34" customFormat="false" ht="15" hidden="false" customHeight="false" outlineLevel="0" collapsed="false">
      <c r="A34" s="56" t="n">
        <f aca="false">$A5</f>
        <v>2026</v>
      </c>
      <c r="B34" s="21" t="n">
        <f aca="false">SUMIFS('Daily PnL'!$C$4:$C$403,'Daily PnL'!$A$4:$A$403,"&gt;="&amp;DATE($A34,1,1),'Daily PnL'!$A$4:$A$403,"&lt;="&amp;DATE($A34,12,31))</f>
        <v>2</v>
      </c>
      <c r="C34" s="19" t="n">
        <f aca="false">SUMIFS('Daily PnL'!$F$4:$F$403,'Daily PnL'!$A$4:$A$403,"&gt;="&amp;DATE($A34,1,1),'Daily PnL'!$A$4:$A$403,"&lt;="&amp;DATE($A34,12,31))</f>
        <v>24775.5</v>
      </c>
      <c r="D34" s="19" t="n">
        <f aca="false">SUMIFS('Daily PnL'!$G$4:$G$403,'Daily PnL'!$A$4:$A$403,"&gt;="&amp;DATE($A34,1,1),'Daily PnL'!$A$4:$A$403,"&lt;="&amp;DATE($A34,12,31))</f>
        <v>856.947811965164</v>
      </c>
      <c r="E34" s="19" t="n">
        <f aca="false">SUMIFS('Daily PnL'!$H$4:$H$403,'Daily PnL'!$A$4:$A$403,"&gt;="&amp;DATE($A34,1,1),'Daily PnL'!$A$4:$A$403,"&lt;="&amp;DATE($A34,12,31))</f>
        <v>23918.5521880349</v>
      </c>
      <c r="F34" s="24" t="n">
        <f aca="false">IF(Config!$B$4=0,"",$E34/Config!$B$4)</f>
        <v>0.0239185521880349</v>
      </c>
      <c r="G34" s="19" t="n">
        <f aca="false">IFERROR(_xlfn.MAXIFS('Daily PnL'!$H$4:$H$403,'Daily PnL'!$A$4:$A$403,"&gt;="&amp;DATE($A34,1,1),'Daily PnL'!$A$4:$A$403,"&lt;="&amp;DATE($A34,12,31)),"")</f>
        <v>23918.5521880349</v>
      </c>
      <c r="H34" s="19" t="n">
        <f aca="false">IFERROR(_xlfn.MINIFS('Daily PnL'!$H$4:$H$403,'Daily PnL'!$A$4:$A$403,"&gt;="&amp;DATE($A34,1,1),'Daily PnL'!$A$4:$A$403,"&lt;="&amp;DATE($A34,12,31)),"")</f>
        <v>23918.5521880349</v>
      </c>
      <c r="I34" s="26" t="n">
        <f aca="false">IFERROR(COUNTIFS('Daily PnL'!$H$4:$H$403,"&gt;0",'Daily PnL'!$A$4:$A$403,"&gt;="&amp;DATE($A34,1,1),'Daily PnL'!$A$4:$A$403,"&lt;="&amp;DATE($A34,12,31))/COUNTIFS('Daily PnL'!$C$4:$C$403,"&gt;0",'Daily PnL'!$A$4:$A$403,"&gt;="&amp;DATE($A34,1,1),'Daily PnL'!$A$4:$A$403,"&lt;="&amp;DATE($A34,12,31)),"")</f>
        <v>1</v>
      </c>
      <c r="J34" s="19" t="n">
        <f aca="false">IFERROR(_xlfn.MINIFS('Daily PnL'!$L$4:$L$403,'Daily PnL'!$A$4:$A$403,"&gt;="&amp;DATE($A34,1,1),'Daily PnL'!$A$4:$A$403,"&lt;="&amp;DATE($A34,12,31)),"")</f>
        <v>0</v>
      </c>
    </row>
    <row r="35" customFormat="false" ht="15" hidden="false" customHeight="false" outlineLevel="0" collapsed="false">
      <c r="A35" s="56" t="n">
        <f aca="false">$A6</f>
        <v>2027</v>
      </c>
      <c r="B35" s="21" t="n">
        <f aca="false">SUMIFS('Daily PnL'!$C$4:$C$403,'Daily PnL'!$A$4:$A$403,"&gt;="&amp;DATE($A35,1,1),'Daily PnL'!$A$4:$A$403,"&lt;="&amp;DATE($A35,12,31))</f>
        <v>0</v>
      </c>
      <c r="C35" s="19" t="n">
        <f aca="false">SUMIFS('Daily PnL'!$F$4:$F$403,'Daily PnL'!$A$4:$A$403,"&gt;="&amp;DATE($A35,1,1),'Daily PnL'!$A$4:$A$403,"&lt;="&amp;DATE($A35,12,31))</f>
        <v>0</v>
      </c>
      <c r="D35" s="19" t="n">
        <f aca="false">SUMIFS('Daily PnL'!$G$4:$G$403,'Daily PnL'!$A$4:$A$403,"&gt;="&amp;DATE($A35,1,1),'Daily PnL'!$A$4:$A$403,"&lt;="&amp;DATE($A35,12,31))</f>
        <v>0</v>
      </c>
      <c r="E35" s="19" t="n">
        <f aca="false">SUMIFS('Daily PnL'!$H$4:$H$403,'Daily PnL'!$A$4:$A$403,"&gt;="&amp;DATE($A35,1,1),'Daily PnL'!$A$4:$A$403,"&lt;="&amp;DATE($A35,12,31))</f>
        <v>0</v>
      </c>
      <c r="F35" s="24" t="n">
        <f aca="false">IF(Config!$B$4=0,"",$E35/Config!$B$4)</f>
        <v>0</v>
      </c>
      <c r="G35" s="19" t="n">
        <f aca="false">IFERROR(_xlfn.MAXIFS('Daily PnL'!$H$4:$H$403,'Daily PnL'!$A$4:$A$403,"&gt;="&amp;DATE($A35,1,1),'Daily PnL'!$A$4:$A$403,"&lt;="&amp;DATE($A35,12,31)),"")</f>
        <v>0</v>
      </c>
      <c r="H35" s="19" t="n">
        <f aca="false">IFERROR(_xlfn.MINIFS('Daily PnL'!$H$4:$H$403,'Daily PnL'!$A$4:$A$403,"&gt;="&amp;DATE($A35,1,1),'Daily PnL'!$A$4:$A$403,"&lt;="&amp;DATE($A35,12,31)),"")</f>
        <v>0</v>
      </c>
      <c r="I35" s="26" t="str">
        <f aca="false">IFERROR(COUNTIFS('Daily PnL'!$H$4:$H$403,"&gt;0",'Daily PnL'!$A$4:$A$403,"&gt;="&amp;DATE($A35,1,1),'Daily PnL'!$A$4:$A$403,"&lt;="&amp;DATE($A35,12,31))/COUNTIFS('Daily PnL'!$C$4:$C$403,"&gt;0",'Daily PnL'!$A$4:$A$403,"&gt;="&amp;DATE($A35,1,1),'Daily PnL'!$A$4:$A$403,"&lt;="&amp;DATE($A35,12,31)),"")</f>
        <v/>
      </c>
      <c r="J35" s="19" t="n">
        <f aca="false">IFERROR(_xlfn.MINIFS('Daily PnL'!$L$4:$L$403,'Daily PnL'!$A$4:$A$403,"&gt;="&amp;DATE($A35,1,1),'Daily PnL'!$A$4:$A$403,"&lt;="&amp;DATE($A35,12,31)),"")</f>
        <v>0</v>
      </c>
    </row>
    <row r="36" customFormat="false" ht="15" hidden="false" customHeight="false" outlineLevel="0" collapsed="false">
      <c r="A36" s="56" t="n">
        <f aca="false">$A7</f>
        <v>2028</v>
      </c>
      <c r="B36" s="21" t="n">
        <f aca="false">SUMIFS('Daily PnL'!$C$4:$C$403,'Daily PnL'!$A$4:$A$403,"&gt;="&amp;DATE($A36,1,1),'Daily PnL'!$A$4:$A$403,"&lt;="&amp;DATE($A36,12,31))</f>
        <v>0</v>
      </c>
      <c r="C36" s="19" t="n">
        <f aca="false">SUMIFS('Daily PnL'!$F$4:$F$403,'Daily PnL'!$A$4:$A$403,"&gt;="&amp;DATE($A36,1,1),'Daily PnL'!$A$4:$A$403,"&lt;="&amp;DATE($A36,12,31))</f>
        <v>0</v>
      </c>
      <c r="D36" s="19" t="n">
        <f aca="false">SUMIFS('Daily PnL'!$G$4:$G$403,'Daily PnL'!$A$4:$A$403,"&gt;="&amp;DATE($A36,1,1),'Daily PnL'!$A$4:$A$403,"&lt;="&amp;DATE($A36,12,31))</f>
        <v>0</v>
      </c>
      <c r="E36" s="19" t="n">
        <f aca="false">SUMIFS('Daily PnL'!$H$4:$H$403,'Daily PnL'!$A$4:$A$403,"&gt;="&amp;DATE($A36,1,1),'Daily PnL'!$A$4:$A$403,"&lt;="&amp;DATE($A36,12,31))</f>
        <v>0</v>
      </c>
      <c r="F36" s="24" t="n">
        <f aca="false">IF(Config!$B$4=0,"",$E36/Config!$B$4)</f>
        <v>0</v>
      </c>
      <c r="G36" s="19" t="n">
        <f aca="false">IFERROR(_xlfn.MAXIFS('Daily PnL'!$H$4:$H$403,'Daily PnL'!$A$4:$A$403,"&gt;="&amp;DATE($A36,1,1),'Daily PnL'!$A$4:$A$403,"&lt;="&amp;DATE($A36,12,31)),"")</f>
        <v>0</v>
      </c>
      <c r="H36" s="19" t="n">
        <f aca="false">IFERROR(_xlfn.MINIFS('Daily PnL'!$H$4:$H$403,'Daily PnL'!$A$4:$A$403,"&gt;="&amp;DATE($A36,1,1),'Daily PnL'!$A$4:$A$403,"&lt;="&amp;DATE($A36,12,31)),"")</f>
        <v>0</v>
      </c>
      <c r="I36" s="26" t="str">
        <f aca="false">IFERROR(COUNTIFS('Daily PnL'!$H$4:$H$403,"&gt;0",'Daily PnL'!$A$4:$A$403,"&gt;="&amp;DATE($A36,1,1),'Daily PnL'!$A$4:$A$403,"&lt;="&amp;DATE($A36,12,31))/COUNTIFS('Daily PnL'!$C$4:$C$403,"&gt;0",'Daily PnL'!$A$4:$A$403,"&gt;="&amp;DATE($A36,1,1),'Daily PnL'!$A$4:$A$403,"&lt;="&amp;DATE($A36,12,31)),"")</f>
        <v/>
      </c>
      <c r="J36" s="19" t="n">
        <f aca="false">IFERROR(_xlfn.MINIFS('Daily PnL'!$L$4:$L$403,'Daily PnL'!$A$4:$A$403,"&gt;="&amp;DATE($A36,1,1),'Daily PnL'!$A$4:$A$403,"&lt;="&amp;DATE($A36,12,31)),"")</f>
        <v>0</v>
      </c>
    </row>
    <row r="37" customFormat="false" ht="15" hidden="false" customHeight="false" outlineLevel="0" collapsed="false">
      <c r="A37" s="56" t="n">
        <f aca="false">$A8</f>
        <v>2029</v>
      </c>
      <c r="B37" s="21" t="n">
        <f aca="false">SUMIFS('Daily PnL'!$C$4:$C$403,'Daily PnL'!$A$4:$A$403,"&gt;="&amp;DATE($A37,1,1),'Daily PnL'!$A$4:$A$403,"&lt;="&amp;DATE($A37,12,31))</f>
        <v>0</v>
      </c>
      <c r="C37" s="19" t="n">
        <f aca="false">SUMIFS('Daily PnL'!$F$4:$F$403,'Daily PnL'!$A$4:$A$403,"&gt;="&amp;DATE($A37,1,1),'Daily PnL'!$A$4:$A$403,"&lt;="&amp;DATE($A37,12,31))</f>
        <v>0</v>
      </c>
      <c r="D37" s="19" t="n">
        <f aca="false">SUMIFS('Daily PnL'!$G$4:$G$403,'Daily PnL'!$A$4:$A$403,"&gt;="&amp;DATE($A37,1,1),'Daily PnL'!$A$4:$A$403,"&lt;="&amp;DATE($A37,12,31))</f>
        <v>0</v>
      </c>
      <c r="E37" s="19" t="n">
        <f aca="false">SUMIFS('Daily PnL'!$H$4:$H$403,'Daily PnL'!$A$4:$A$403,"&gt;="&amp;DATE($A37,1,1),'Daily PnL'!$A$4:$A$403,"&lt;="&amp;DATE($A37,12,31))</f>
        <v>0</v>
      </c>
      <c r="F37" s="24" t="n">
        <f aca="false">IF(Config!$B$4=0,"",$E37/Config!$B$4)</f>
        <v>0</v>
      </c>
      <c r="G37" s="19" t="n">
        <f aca="false">IFERROR(_xlfn.MAXIFS('Daily PnL'!$H$4:$H$403,'Daily PnL'!$A$4:$A$403,"&gt;="&amp;DATE($A37,1,1),'Daily PnL'!$A$4:$A$403,"&lt;="&amp;DATE($A37,12,31)),"")</f>
        <v>0</v>
      </c>
      <c r="H37" s="19" t="n">
        <f aca="false">IFERROR(_xlfn.MINIFS('Daily PnL'!$H$4:$H$403,'Daily PnL'!$A$4:$A$403,"&gt;="&amp;DATE($A37,1,1),'Daily PnL'!$A$4:$A$403,"&lt;="&amp;DATE($A37,12,31)),"")</f>
        <v>0</v>
      </c>
      <c r="I37" s="26" t="str">
        <f aca="false">IFERROR(COUNTIFS('Daily PnL'!$H$4:$H$403,"&gt;0",'Daily PnL'!$A$4:$A$403,"&gt;="&amp;DATE($A37,1,1),'Daily PnL'!$A$4:$A$403,"&lt;="&amp;DATE($A37,12,31))/COUNTIFS('Daily PnL'!$C$4:$C$403,"&gt;0",'Daily PnL'!$A$4:$A$403,"&gt;="&amp;DATE($A37,1,1),'Daily PnL'!$A$4:$A$403,"&lt;="&amp;DATE($A37,12,31)),"")</f>
        <v/>
      </c>
      <c r="J37" s="19" t="n">
        <f aca="false">IFERROR(_xlfn.MINIFS('Daily PnL'!$L$4:$L$403,'Daily PnL'!$A$4:$A$403,"&gt;="&amp;DATE($A37,1,1),'Daily PnL'!$A$4:$A$403,"&lt;="&amp;DATE($A37,12,31)),"")</f>
        <v>0</v>
      </c>
    </row>
    <row r="38" customFormat="false" ht="15" hidden="false" customHeight="false" outlineLevel="0" collapsed="false">
      <c r="A38" s="56" t="n">
        <f aca="false">$A9</f>
        <v>2030</v>
      </c>
      <c r="B38" s="21" t="n">
        <f aca="false">SUMIFS('Daily PnL'!$C$4:$C$403,'Daily PnL'!$A$4:$A$403,"&gt;="&amp;DATE($A38,1,1),'Daily PnL'!$A$4:$A$403,"&lt;="&amp;DATE($A38,12,31))</f>
        <v>0</v>
      </c>
      <c r="C38" s="19" t="n">
        <f aca="false">SUMIFS('Daily PnL'!$F$4:$F$403,'Daily PnL'!$A$4:$A$403,"&gt;="&amp;DATE($A38,1,1),'Daily PnL'!$A$4:$A$403,"&lt;="&amp;DATE($A38,12,31))</f>
        <v>0</v>
      </c>
      <c r="D38" s="19" t="n">
        <f aca="false">SUMIFS('Daily PnL'!$G$4:$G$403,'Daily PnL'!$A$4:$A$403,"&gt;="&amp;DATE($A38,1,1),'Daily PnL'!$A$4:$A$403,"&lt;="&amp;DATE($A38,12,31))</f>
        <v>0</v>
      </c>
      <c r="E38" s="19" t="n">
        <f aca="false">SUMIFS('Daily PnL'!$H$4:$H$403,'Daily PnL'!$A$4:$A$403,"&gt;="&amp;DATE($A38,1,1),'Daily PnL'!$A$4:$A$403,"&lt;="&amp;DATE($A38,12,31))</f>
        <v>0</v>
      </c>
      <c r="F38" s="24" t="n">
        <f aca="false">IF(Config!$B$4=0,"",$E38/Config!$B$4)</f>
        <v>0</v>
      </c>
      <c r="G38" s="19" t="n">
        <f aca="false">IFERROR(_xlfn.MAXIFS('Daily PnL'!$H$4:$H$403,'Daily PnL'!$A$4:$A$403,"&gt;="&amp;DATE($A38,1,1),'Daily PnL'!$A$4:$A$403,"&lt;="&amp;DATE($A38,12,31)),"")</f>
        <v>0</v>
      </c>
      <c r="H38" s="19" t="n">
        <f aca="false">IFERROR(_xlfn.MINIFS('Daily PnL'!$H$4:$H$403,'Daily PnL'!$A$4:$A$403,"&gt;="&amp;DATE($A38,1,1),'Daily PnL'!$A$4:$A$403,"&lt;="&amp;DATE($A38,12,31)),"")</f>
        <v>0</v>
      </c>
      <c r="I38" s="26" t="str">
        <f aca="false">IFERROR(COUNTIFS('Daily PnL'!$H$4:$H$403,"&gt;0",'Daily PnL'!$A$4:$A$403,"&gt;="&amp;DATE($A38,1,1),'Daily PnL'!$A$4:$A$403,"&lt;="&amp;DATE($A38,12,31))/COUNTIFS('Daily PnL'!$C$4:$C$403,"&gt;0",'Daily PnL'!$A$4:$A$403,"&gt;="&amp;DATE($A38,1,1),'Daily PnL'!$A$4:$A$403,"&lt;="&amp;DATE($A38,12,31)),"")</f>
        <v/>
      </c>
      <c r="J38" s="19" t="n">
        <f aca="false">IFERROR(_xlfn.MINIFS('Daily PnL'!$L$4:$L$403,'Daily PnL'!$A$4:$A$403,"&gt;="&amp;DATE($A38,1,1),'Daily PnL'!$A$4:$A$403,"&lt;="&amp;DATE($A38,12,31)),"")</f>
        <v>0</v>
      </c>
    </row>
    <row r="39" customFormat="false" ht="15" hidden="false" customHeight="false" outlineLevel="0" collapsed="false">
      <c r="A39" s="56" t="n">
        <f aca="false">$A10</f>
        <v>2031</v>
      </c>
      <c r="B39" s="21" t="n">
        <f aca="false">SUMIFS('Daily PnL'!$C$4:$C$403,'Daily PnL'!$A$4:$A$403,"&gt;="&amp;DATE($A39,1,1),'Daily PnL'!$A$4:$A$403,"&lt;="&amp;DATE($A39,12,31))</f>
        <v>0</v>
      </c>
      <c r="C39" s="19" t="n">
        <f aca="false">SUMIFS('Daily PnL'!$F$4:$F$403,'Daily PnL'!$A$4:$A$403,"&gt;="&amp;DATE($A39,1,1),'Daily PnL'!$A$4:$A$403,"&lt;="&amp;DATE($A39,12,31))</f>
        <v>0</v>
      </c>
      <c r="D39" s="19" t="n">
        <f aca="false">SUMIFS('Daily PnL'!$G$4:$G$403,'Daily PnL'!$A$4:$A$403,"&gt;="&amp;DATE($A39,1,1),'Daily PnL'!$A$4:$A$403,"&lt;="&amp;DATE($A39,12,31))</f>
        <v>0</v>
      </c>
      <c r="E39" s="19" t="n">
        <f aca="false">SUMIFS('Daily PnL'!$H$4:$H$403,'Daily PnL'!$A$4:$A$403,"&gt;="&amp;DATE($A39,1,1),'Daily PnL'!$A$4:$A$403,"&lt;="&amp;DATE($A39,12,31))</f>
        <v>0</v>
      </c>
      <c r="F39" s="24" t="n">
        <f aca="false">IF(Config!$B$4=0,"",$E39/Config!$B$4)</f>
        <v>0</v>
      </c>
      <c r="G39" s="19" t="n">
        <f aca="false">IFERROR(_xlfn.MAXIFS('Daily PnL'!$H$4:$H$403,'Daily PnL'!$A$4:$A$403,"&gt;="&amp;DATE($A39,1,1),'Daily PnL'!$A$4:$A$403,"&lt;="&amp;DATE($A39,12,31)),"")</f>
        <v>0</v>
      </c>
      <c r="H39" s="19" t="n">
        <f aca="false">IFERROR(_xlfn.MINIFS('Daily PnL'!$H$4:$H$403,'Daily PnL'!$A$4:$A$403,"&gt;="&amp;DATE($A39,1,1),'Daily PnL'!$A$4:$A$403,"&lt;="&amp;DATE($A39,12,31)),"")</f>
        <v>0</v>
      </c>
      <c r="I39" s="26" t="str">
        <f aca="false">IFERROR(COUNTIFS('Daily PnL'!$H$4:$H$403,"&gt;0",'Daily PnL'!$A$4:$A$403,"&gt;="&amp;DATE($A39,1,1),'Daily PnL'!$A$4:$A$403,"&lt;="&amp;DATE($A39,12,31))/COUNTIFS('Daily PnL'!$C$4:$C$403,"&gt;0",'Daily PnL'!$A$4:$A$403,"&gt;="&amp;DATE($A39,1,1),'Daily PnL'!$A$4:$A$403,"&lt;="&amp;DATE($A39,12,31)),"")</f>
        <v/>
      </c>
      <c r="J39" s="19" t="n">
        <f aca="false">IFERROR(_xlfn.MINIFS('Daily PnL'!$L$4:$L$403,'Daily PnL'!$A$4:$A$403,"&gt;="&amp;DATE($A39,1,1),'Daily PnL'!$A$4:$A$403,"&lt;="&amp;DATE($A39,12,31)),"")</f>
        <v>0</v>
      </c>
    </row>
    <row r="41" customFormat="false" ht="15" hidden="false" customHeight="false" outlineLevel="0" collapsed="false">
      <c r="A41" s="2" t="s">
        <v>287</v>
      </c>
    </row>
  </sheetData>
  <conditionalFormatting sqref="B5:M10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B15:M20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  <col collapsed="false" customWidth="true" hidden="false" outlineLevel="0" max="4" min="4" style="0" width="52"/>
    <col collapsed="false" customWidth="true" hidden="false" outlineLevel="0" max="7" min="5" style="0" width="15"/>
  </cols>
  <sheetData>
    <row r="1" customFormat="false" ht="17.35" hidden="false" customHeight="false" outlineLevel="0" collapsed="false">
      <c r="A1" s="1" t="s">
        <v>288</v>
      </c>
    </row>
    <row r="2" customFormat="false" ht="15" hidden="false" customHeight="false" outlineLevel="0" collapsed="false">
      <c r="A2" s="2" t="s">
        <v>289</v>
      </c>
    </row>
    <row r="3" customFormat="false" ht="15" hidden="false" customHeight="false" outlineLevel="0" collapsed="false">
      <c r="A3" s="3" t="s">
        <v>290</v>
      </c>
      <c r="B3" s="4"/>
      <c r="C3" s="4"/>
      <c r="D3" s="4"/>
    </row>
    <row r="4" customFormat="false" ht="15" hidden="false" customHeight="false" outlineLevel="0" collapsed="false">
      <c r="A4" s="5" t="s">
        <v>291</v>
      </c>
      <c r="B4" s="24" t="n">
        <f aca="false">IFERROR(AVERAGE('Trade Log'!$AA$4:$AA$503),"")</f>
        <v>0.0471231660409911</v>
      </c>
    </row>
    <row r="5" customFormat="false" ht="15" hidden="false" customHeight="false" outlineLevel="0" collapsed="false">
      <c r="A5" s="5" t="s">
        <v>292</v>
      </c>
      <c r="B5" s="24" t="n">
        <f aca="false">IFERROR(MEDIAN('Trade Log'!$AA$4:$AA$503),"")</f>
        <v>0.0471231660409911</v>
      </c>
    </row>
    <row r="6" customFormat="false" ht="15" hidden="false" customHeight="false" outlineLevel="0" collapsed="false">
      <c r="A6" s="5" t="s">
        <v>293</v>
      </c>
      <c r="B6" s="24" t="n">
        <f aca="false">IFERROR(STDEV('Trade Log'!$AA$4:$AA$503),"")</f>
        <v>0.039938836854784</v>
      </c>
    </row>
    <row r="7" customFormat="false" ht="15" hidden="false" customHeight="false" outlineLevel="0" collapsed="false">
      <c r="A7" s="5" t="s">
        <v>294</v>
      </c>
      <c r="B7" s="33" t="str">
        <f aca="false">IFERROR(SKEW('Trade Log'!$AA$4:$AA$503),"")</f>
        <v/>
      </c>
      <c r="D7" s="2" t="s">
        <v>295</v>
      </c>
    </row>
    <row r="8" customFormat="false" ht="15" hidden="false" customHeight="false" outlineLevel="0" collapsed="false">
      <c r="A8" s="5" t="s">
        <v>296</v>
      </c>
      <c r="B8" s="33" t="str">
        <f aca="false">IFERROR(KURT('Trade Log'!$AA$4:$AA$503),"")</f>
        <v/>
      </c>
      <c r="D8" s="2" t="s">
        <v>297</v>
      </c>
    </row>
    <row r="9" customFormat="false" ht="15" hidden="false" customHeight="false" outlineLevel="0" collapsed="false">
      <c r="A9" s="5" t="s">
        <v>298</v>
      </c>
      <c r="B9" s="24" t="n">
        <f aca="false">IFERROR(PERCENTILE('Trade Log'!$AA$4:$AA$503,0.05),"")</f>
        <v>0.0217062459055423</v>
      </c>
    </row>
    <row r="10" customFormat="false" ht="15" hidden="false" customHeight="false" outlineLevel="0" collapsed="false">
      <c r="A10" s="5" t="s">
        <v>299</v>
      </c>
      <c r="B10" s="24" t="n">
        <f aca="false">IFERROR(PERCENTILE('Trade Log'!$AA$4:$AA$503,0.1),"")</f>
        <v>0.0245303481428144</v>
      </c>
    </row>
    <row r="11" customFormat="false" ht="15" hidden="false" customHeight="false" outlineLevel="0" collapsed="false">
      <c r="A11" s="5" t="s">
        <v>300</v>
      </c>
      <c r="B11" s="24" t="n">
        <f aca="false">IFERROR(PERCENTILE('Trade Log'!$AA$4:$AA$503,0.25),"")</f>
        <v>0.0330026548546307</v>
      </c>
    </row>
    <row r="12" customFormat="false" ht="15" hidden="false" customHeight="false" outlineLevel="0" collapsed="false">
      <c r="A12" s="5" t="s">
        <v>301</v>
      </c>
      <c r="B12" s="24" t="n">
        <f aca="false">IFERROR(PERCENTILE('Trade Log'!$AA$4:$AA$503,0.5),"")</f>
        <v>0.0471231660409911</v>
      </c>
    </row>
    <row r="13" customFormat="false" ht="15" hidden="false" customHeight="false" outlineLevel="0" collapsed="false">
      <c r="A13" s="5" t="s">
        <v>302</v>
      </c>
      <c r="B13" s="24" t="n">
        <f aca="false">IFERROR(PERCENTILE('Trade Log'!$AA$4:$AA$503,0.75),"")</f>
        <v>0.0612436772273516</v>
      </c>
    </row>
    <row r="14" customFormat="false" ht="15" hidden="false" customHeight="false" outlineLevel="0" collapsed="false">
      <c r="A14" s="5" t="s">
        <v>303</v>
      </c>
      <c r="B14" s="24" t="n">
        <f aca="false">IFERROR(PERCENTILE('Trade Log'!$AA$4:$AA$503,0.9),"")</f>
        <v>0.0697159839391679</v>
      </c>
    </row>
    <row r="15" customFormat="false" ht="15" hidden="false" customHeight="false" outlineLevel="0" collapsed="false">
      <c r="A15" s="5" t="s">
        <v>304</v>
      </c>
      <c r="B15" s="24" t="n">
        <f aca="false">IFERROR(PERCENTILE('Trade Log'!$AA$4:$AA$503,0.95),"")</f>
        <v>0.07254008617644</v>
      </c>
    </row>
    <row r="17" customFormat="false" ht="15" hidden="false" customHeight="false" outlineLevel="0" collapsed="false">
      <c r="A17" s="3" t="s">
        <v>305</v>
      </c>
      <c r="B17" s="4"/>
      <c r="C17" s="4"/>
      <c r="D17" s="4"/>
    </row>
    <row r="18" customFormat="false" ht="15" hidden="false" customHeight="false" outlineLevel="0" collapsed="false">
      <c r="A18" s="5" t="s">
        <v>306</v>
      </c>
      <c r="B18" s="24" t="n">
        <f aca="false">IFERROR(PERCENTILE('Daily PnL'!$O$4:$O$403,0.05),"")</f>
        <v>0.0239185521880349</v>
      </c>
      <c r="D18" s="2" t="s">
        <v>307</v>
      </c>
    </row>
    <row r="19" customFormat="false" ht="15" hidden="false" customHeight="false" outlineLevel="0" collapsed="false">
      <c r="A19" s="5" t="s">
        <v>308</v>
      </c>
      <c r="B19" s="24" t="n">
        <f aca="false">IFERROR(AVERAGEIF('Daily PnL'!$O$4:$O$403,"&lt;="&amp;$B$18),"")</f>
        <v>0.0239185521880349</v>
      </c>
      <c r="D19" s="2" t="s">
        <v>309</v>
      </c>
    </row>
    <row r="20" customFormat="false" ht="15" hidden="false" customHeight="false" outlineLevel="0" collapsed="false">
      <c r="A20" s="5" t="s">
        <v>310</v>
      </c>
      <c r="B20" s="24" t="n">
        <f aca="false">IFERROR(PERCENTILE('Daily PnL'!$O$4:$O$403,0.01),"")</f>
        <v>0.0239185521880349</v>
      </c>
    </row>
    <row r="21" customFormat="false" ht="15" hidden="false" customHeight="false" outlineLevel="0" collapsed="false">
      <c r="A21" s="5" t="s">
        <v>311</v>
      </c>
      <c r="B21" s="19" t="n">
        <f aca="false">IFERROR($B$18*Config!$B$4,"")</f>
        <v>23918.5521880349</v>
      </c>
    </row>
    <row r="22" customFormat="false" ht="15" hidden="false" customHeight="false" outlineLevel="0" collapsed="false">
      <c r="A22" s="5" t="s">
        <v>312</v>
      </c>
      <c r="B22" s="19" t="n">
        <f aca="false">IFERROR($B$19*Config!$B$4,"")</f>
        <v>23918.5521880349</v>
      </c>
    </row>
    <row r="23" customFormat="false" ht="15" hidden="false" customHeight="false" outlineLevel="0" collapsed="false">
      <c r="A23" s="5" t="s">
        <v>313</v>
      </c>
      <c r="B23" s="24" t="n">
        <f aca="false">IFERROR(SQRT(SUMPRODUCT(('Daily PnL'!$O$4:$O$403&lt;0)*IF(ISNUMBER('Daily PnL'!$O$4:$O$403),'Daily PnL'!$O$4:$O$403,0)^2)/MAX(COUNTIF('Daily PnL'!$O$4:$O$403,"&lt;0"),1)),"")</f>
        <v>0</v>
      </c>
    </row>
    <row r="24" customFormat="false" ht="15" hidden="false" customHeight="false" outlineLevel="0" collapsed="false">
      <c r="A24" s="5" t="s">
        <v>123</v>
      </c>
      <c r="B24" s="33" t="str">
        <f aca="false">IFERROR((AVERAGE('Daily PnL'!$O$4:$O$403)-Config!$B$7/Config!$B$6)/$B$23*SQRT(Config!$B$6),"")</f>
        <v/>
      </c>
      <c r="D24" s="2" t="s">
        <v>314</v>
      </c>
    </row>
    <row r="25" customFormat="false" ht="15" hidden="false" customHeight="false" outlineLevel="0" collapsed="false">
      <c r="A25" s="5" t="s">
        <v>127</v>
      </c>
      <c r="B25" s="21" t="n">
        <f aca="false">IFERROR(MAX('Daily PnL'!$S$4:$S$403),"")</f>
        <v>1</v>
      </c>
    </row>
    <row r="26" customFormat="false" ht="15" hidden="false" customHeight="false" outlineLevel="0" collapsed="false">
      <c r="A26" s="5" t="s">
        <v>128</v>
      </c>
      <c r="B26" s="21" t="n">
        <f aca="false">IFERROR(MAX('Daily PnL'!$T$4:$T$403),"")</f>
        <v>0</v>
      </c>
    </row>
    <row r="28" customFormat="false" ht="15" hidden="false" customHeight="false" outlineLevel="0" collapsed="false">
      <c r="A28" s="3" t="s">
        <v>315</v>
      </c>
      <c r="B28" s="4"/>
      <c r="C28" s="4"/>
      <c r="D28" s="4"/>
    </row>
    <row r="29" customFormat="false" ht="19.5" hidden="false" customHeight="true" outlineLevel="0" collapsed="false">
      <c r="A29" s="10" t="s">
        <v>316</v>
      </c>
      <c r="B29" s="10" t="s">
        <v>70</v>
      </c>
      <c r="C29" s="10" t="s">
        <v>57</v>
      </c>
      <c r="D29" s="10" t="s">
        <v>317</v>
      </c>
    </row>
    <row r="30" customFormat="false" ht="15" hidden="false" customHeight="false" outlineLevel="0" collapsed="false">
      <c r="A30" s="11" t="s">
        <v>318</v>
      </c>
      <c r="B30" s="21" t="n">
        <f aca="false">COUNTIFS('Trade Log'!$AA$4:$AA$503,"&gt;=-99",'Trade Log'!$AA$4:$AA$503,"&lt;-0.15")</f>
        <v>0</v>
      </c>
      <c r="C30" s="19" t="n">
        <f aca="false">SUMIFS('Trade Log'!$Z$4:$Z$503,'Trade Log'!$AA$4:$AA$503,"&gt;=-99",'Trade Log'!$AA$4:$AA$503,"&lt;-0.15")</f>
        <v>0</v>
      </c>
      <c r="D30" s="26" t="n">
        <f aca="false">IF(COUNT('Trade Log'!$AA$4:$AA$503)=0,"",$B30/COUNT('Trade Log'!$AA$4:$AA$503))</f>
        <v>0</v>
      </c>
    </row>
    <row r="31" customFormat="false" ht="15" hidden="false" customHeight="false" outlineLevel="0" collapsed="false">
      <c r="A31" s="11" t="s">
        <v>319</v>
      </c>
      <c r="B31" s="21" t="n">
        <f aca="false">COUNTIFS('Trade Log'!$AA$4:$AA$503,"&gt;=-0.15",'Trade Log'!$AA$4:$AA$503,"&lt;-0.1")</f>
        <v>0</v>
      </c>
      <c r="C31" s="19" t="n">
        <f aca="false">SUMIFS('Trade Log'!$Z$4:$Z$503,'Trade Log'!$AA$4:$AA$503,"&gt;=-0.15",'Trade Log'!$AA$4:$AA$503,"&lt;-0.1")</f>
        <v>0</v>
      </c>
      <c r="D31" s="26" t="n">
        <f aca="false">IF(COUNT('Trade Log'!$AA$4:$AA$503)=0,"",$B31/COUNT('Trade Log'!$AA$4:$AA$503))</f>
        <v>0</v>
      </c>
    </row>
    <row r="32" customFormat="false" ht="15" hidden="false" customHeight="false" outlineLevel="0" collapsed="false">
      <c r="A32" s="11" t="s">
        <v>320</v>
      </c>
      <c r="B32" s="21" t="n">
        <f aca="false">COUNTIFS('Trade Log'!$AA$4:$AA$503,"&gt;=-0.1",'Trade Log'!$AA$4:$AA$503,"&lt;-0.05")</f>
        <v>0</v>
      </c>
      <c r="C32" s="19" t="n">
        <f aca="false">SUMIFS('Trade Log'!$Z$4:$Z$503,'Trade Log'!$AA$4:$AA$503,"&gt;=-0.1",'Trade Log'!$AA$4:$AA$503,"&lt;-0.05")</f>
        <v>0</v>
      </c>
      <c r="D32" s="26" t="n">
        <f aca="false">IF(COUNT('Trade Log'!$AA$4:$AA$503)=0,"",$B32/COUNT('Trade Log'!$AA$4:$AA$503))</f>
        <v>0</v>
      </c>
    </row>
    <row r="33" customFormat="false" ht="15" hidden="false" customHeight="false" outlineLevel="0" collapsed="false">
      <c r="A33" s="11" t="s">
        <v>321</v>
      </c>
      <c r="B33" s="21" t="n">
        <f aca="false">COUNTIFS('Trade Log'!$AA$4:$AA$503,"&gt;=-0.05",'Trade Log'!$AA$4:$AA$503,"&lt;-0.025")</f>
        <v>0</v>
      </c>
      <c r="C33" s="19" t="n">
        <f aca="false">SUMIFS('Trade Log'!$Z$4:$Z$503,'Trade Log'!$AA$4:$AA$503,"&gt;=-0.05",'Trade Log'!$AA$4:$AA$503,"&lt;-0.025")</f>
        <v>0</v>
      </c>
      <c r="D33" s="26" t="n">
        <f aca="false">IF(COUNT('Trade Log'!$AA$4:$AA$503)=0,"",$B33/COUNT('Trade Log'!$AA$4:$AA$503))</f>
        <v>0</v>
      </c>
    </row>
    <row r="34" customFormat="false" ht="15" hidden="false" customHeight="false" outlineLevel="0" collapsed="false">
      <c r="A34" s="11" t="s">
        <v>322</v>
      </c>
      <c r="B34" s="21" t="n">
        <f aca="false">COUNTIFS('Trade Log'!$AA$4:$AA$503,"&gt;=-0.025",'Trade Log'!$AA$4:$AA$503,"&lt;0.0")</f>
        <v>0</v>
      </c>
      <c r="C34" s="19" t="n">
        <f aca="false">SUMIFS('Trade Log'!$Z$4:$Z$503,'Trade Log'!$AA$4:$AA$503,"&gt;=-0.025",'Trade Log'!$AA$4:$AA$503,"&lt;0.0")</f>
        <v>0</v>
      </c>
      <c r="D34" s="26" t="n">
        <f aca="false">IF(COUNT('Trade Log'!$AA$4:$AA$503)=0,"",$B34/COUNT('Trade Log'!$AA$4:$AA$503))</f>
        <v>0</v>
      </c>
    </row>
    <row r="35" customFormat="false" ht="15" hidden="false" customHeight="false" outlineLevel="0" collapsed="false">
      <c r="A35" s="11" t="s">
        <v>323</v>
      </c>
      <c r="B35" s="21" t="n">
        <f aca="false">COUNTIFS('Trade Log'!$AA$4:$AA$503,"&gt;=0.0",'Trade Log'!$AA$4:$AA$503,"&lt;0.025")</f>
        <v>1</v>
      </c>
      <c r="C35" s="19" t="n">
        <f aca="false">SUMIFS('Trade Log'!$Z$4:$Z$503,'Trade Log'!$AA$4:$AA$503,"&gt;=0.0",'Trade Log'!$AA$4:$AA$503,"&lt;0.025")</f>
        <v>5087.18938281802</v>
      </c>
      <c r="D35" s="26" t="n">
        <f aca="false">IF(COUNT('Trade Log'!$AA$4:$AA$503)=0,"",$B35/COUNT('Trade Log'!$AA$4:$AA$503))</f>
        <v>0.5</v>
      </c>
    </row>
    <row r="36" customFormat="false" ht="15" hidden="false" customHeight="false" outlineLevel="0" collapsed="false">
      <c r="A36" s="11" t="s">
        <v>324</v>
      </c>
      <c r="B36" s="21" t="n">
        <f aca="false">COUNTIFS('Trade Log'!$AA$4:$AA$503,"&gt;=0.025",'Trade Log'!$AA$4:$AA$503,"&lt;0.05")</f>
        <v>0</v>
      </c>
      <c r="C36" s="19" t="n">
        <f aca="false">SUMIFS('Trade Log'!$Z$4:$Z$503,'Trade Log'!$AA$4:$AA$503,"&gt;=0.025",'Trade Log'!$AA$4:$AA$503,"&lt;0.05")</f>
        <v>0</v>
      </c>
      <c r="D36" s="26" t="n">
        <f aca="false">IF(COUNT('Trade Log'!$AA$4:$AA$503)=0,"",$B36/COUNT('Trade Log'!$AA$4:$AA$503))</f>
        <v>0</v>
      </c>
    </row>
    <row r="37" customFormat="false" ht="15" hidden="false" customHeight="false" outlineLevel="0" collapsed="false">
      <c r="A37" s="11" t="s">
        <v>325</v>
      </c>
      <c r="B37" s="21" t="n">
        <f aca="false">COUNTIFS('Trade Log'!$AA$4:$AA$503,"&gt;=0.05",'Trade Log'!$AA$4:$AA$503,"&lt;0.1")</f>
        <v>1</v>
      </c>
      <c r="C37" s="19" t="n">
        <f aca="false">SUMIFS('Trade Log'!$Z$4:$Z$503,'Trade Log'!$AA$4:$AA$503,"&gt;=0.05",'Trade Log'!$AA$4:$AA$503,"&lt;0.1")</f>
        <v>18831.3628052169</v>
      </c>
      <c r="D37" s="26" t="n">
        <f aca="false">IF(COUNT('Trade Log'!$AA$4:$AA$503)=0,"",$B37/COUNT('Trade Log'!$AA$4:$AA$503))</f>
        <v>0.5</v>
      </c>
    </row>
    <row r="38" customFormat="false" ht="15" hidden="false" customHeight="false" outlineLevel="0" collapsed="false">
      <c r="A38" s="11" t="s">
        <v>326</v>
      </c>
      <c r="B38" s="21" t="n">
        <f aca="false">COUNTIFS('Trade Log'!$AA$4:$AA$503,"&gt;=0.1",'Trade Log'!$AA$4:$AA$503,"&lt;0.15")</f>
        <v>0</v>
      </c>
      <c r="C38" s="19" t="n">
        <f aca="false">SUMIFS('Trade Log'!$Z$4:$Z$503,'Trade Log'!$AA$4:$AA$503,"&gt;=0.1",'Trade Log'!$AA$4:$AA$503,"&lt;0.15")</f>
        <v>0</v>
      </c>
      <c r="D38" s="26" t="n">
        <f aca="false">IF(COUNT('Trade Log'!$AA$4:$AA$503)=0,"",$B38/COUNT('Trade Log'!$AA$4:$AA$503))</f>
        <v>0</v>
      </c>
    </row>
    <row r="39" customFormat="false" ht="15" hidden="false" customHeight="false" outlineLevel="0" collapsed="false">
      <c r="A39" s="11" t="s">
        <v>327</v>
      </c>
      <c r="B39" s="21" t="n">
        <f aca="false">COUNTIFS('Trade Log'!$AA$4:$AA$503,"&gt;=0.15",'Trade Log'!$AA$4:$AA$503,"&lt;0.2")</f>
        <v>0</v>
      </c>
      <c r="C39" s="19" t="n">
        <f aca="false">SUMIFS('Trade Log'!$Z$4:$Z$503,'Trade Log'!$AA$4:$AA$503,"&gt;=0.15",'Trade Log'!$AA$4:$AA$503,"&lt;0.2")</f>
        <v>0</v>
      </c>
      <c r="D39" s="26" t="n">
        <f aca="false">IF(COUNT('Trade Log'!$AA$4:$AA$503)=0,"",$B39/COUNT('Trade Log'!$AA$4:$AA$503))</f>
        <v>0</v>
      </c>
    </row>
    <row r="40" customFormat="false" ht="15" hidden="false" customHeight="false" outlineLevel="0" collapsed="false">
      <c r="A40" s="11" t="s">
        <v>328</v>
      </c>
      <c r="B40" s="21" t="n">
        <f aca="false">COUNTIFS('Trade Log'!$AA$4:$AA$503,"&gt;=0.2",'Trade Log'!$AA$4:$AA$503,"&lt;99")</f>
        <v>0</v>
      </c>
      <c r="C40" s="19" t="n">
        <f aca="false">SUMIFS('Trade Log'!$Z$4:$Z$503,'Trade Log'!$AA$4:$AA$503,"&gt;=0.2",'Trade Log'!$AA$4:$AA$503,"&lt;99")</f>
        <v>0</v>
      </c>
      <c r="D40" s="26" t="n">
        <f aca="false">IF(COUNT('Trade Log'!$AA$4:$AA$503)=0,"",$B40/COUNT('Trade Log'!$AA$4:$AA$503))</f>
        <v>0</v>
      </c>
    </row>
    <row r="42" customFormat="false" ht="15" hidden="false" customHeight="false" outlineLevel="0" collapsed="false">
      <c r="A42" s="3" t="s">
        <v>329</v>
      </c>
      <c r="B42" s="4"/>
      <c r="C42" s="4"/>
      <c r="D42" s="4"/>
      <c r="E42" s="4"/>
    </row>
    <row r="43" customFormat="false" ht="19.5" hidden="false" customHeight="true" outlineLevel="0" collapsed="false">
      <c r="A43" s="10" t="s">
        <v>220</v>
      </c>
      <c r="B43" s="10" t="s">
        <v>330</v>
      </c>
      <c r="C43" s="10" t="s">
        <v>57</v>
      </c>
      <c r="D43" s="10" t="s">
        <v>331</v>
      </c>
      <c r="E43" s="10" t="s">
        <v>332</v>
      </c>
    </row>
    <row r="44" customFormat="false" ht="15" hidden="false" customHeight="false" outlineLevel="0" collapsed="false">
      <c r="A44" s="11" t="s">
        <v>333</v>
      </c>
      <c r="B44" s="57" t="n">
        <f aca="false">COUNTIFS('Daily PnL'!$B$4:$B$403,$A44,'Daily PnL'!$C$4:$C$403,"&gt;0")</f>
        <v>0</v>
      </c>
      <c r="C44" s="58" t="n">
        <f aca="false">SUMIFS('Daily PnL'!$H$4:$H$403,'Daily PnL'!$B$4:$B$403,$A44)</f>
        <v>0</v>
      </c>
      <c r="D44" s="58" t="str">
        <f aca="false">IF($B44=0,"",$C44/$B44)</f>
        <v/>
      </c>
      <c r="E44" s="59" t="str">
        <f aca="false">IF($B44=0,"",COUNTIFS('Daily PnL'!$H$4:$H$403,"&gt;0",'Daily PnL'!$B$4:$B$403,$A44)/$B44)</f>
        <v/>
      </c>
    </row>
    <row r="45" customFormat="false" ht="15" hidden="false" customHeight="false" outlineLevel="0" collapsed="false">
      <c r="A45" s="11" t="s">
        <v>334</v>
      </c>
      <c r="B45" s="57" t="n">
        <f aca="false">COUNTIFS('Daily PnL'!$B$4:$B$403,$A45,'Daily PnL'!$C$4:$C$403,"&gt;0")</f>
        <v>1</v>
      </c>
      <c r="C45" s="58" t="n">
        <f aca="false">SUMIFS('Daily PnL'!$H$4:$H$403,'Daily PnL'!$B$4:$B$403,$A45)</f>
        <v>23918.5521880349</v>
      </c>
      <c r="D45" s="58" t="n">
        <f aca="false">IF($B45=0,"",$C45/$B45)</f>
        <v>23918.5521880349</v>
      </c>
      <c r="E45" s="59" t="n">
        <f aca="false">IF($B45=0,"",COUNTIFS('Daily PnL'!$H$4:$H$403,"&gt;0",'Daily PnL'!$B$4:$B$403,$A45)/$B45)</f>
        <v>1</v>
      </c>
    </row>
    <row r="46" customFormat="false" ht="15" hidden="false" customHeight="false" outlineLevel="0" collapsed="false">
      <c r="A46" s="11" t="s">
        <v>335</v>
      </c>
      <c r="B46" s="57" t="n">
        <f aca="false">COUNTIFS('Daily PnL'!$B$4:$B$403,$A46,'Daily PnL'!$C$4:$C$403,"&gt;0")</f>
        <v>0</v>
      </c>
      <c r="C46" s="58" t="n">
        <f aca="false">SUMIFS('Daily PnL'!$H$4:$H$403,'Daily PnL'!$B$4:$B$403,$A46)</f>
        <v>0</v>
      </c>
      <c r="D46" s="58" t="str">
        <f aca="false">IF($B46=0,"",$C46/$B46)</f>
        <v/>
      </c>
      <c r="E46" s="59" t="str">
        <f aca="false">IF($B46=0,"",COUNTIFS('Daily PnL'!$H$4:$H$403,"&gt;0",'Daily PnL'!$B$4:$B$403,$A46)/$B46)</f>
        <v/>
      </c>
    </row>
    <row r="47" customFormat="false" ht="15" hidden="false" customHeight="false" outlineLevel="0" collapsed="false">
      <c r="A47" s="11" t="s">
        <v>336</v>
      </c>
      <c r="B47" s="57" t="n">
        <f aca="false">COUNTIFS('Daily PnL'!$B$4:$B$403,$A47,'Daily PnL'!$C$4:$C$403,"&gt;0")</f>
        <v>0</v>
      </c>
      <c r="C47" s="58" t="n">
        <f aca="false">SUMIFS('Daily PnL'!$H$4:$H$403,'Daily PnL'!$B$4:$B$403,$A47)</f>
        <v>0</v>
      </c>
      <c r="D47" s="58" t="str">
        <f aca="false">IF($B47=0,"",$C47/$B47)</f>
        <v/>
      </c>
      <c r="E47" s="59" t="str">
        <f aca="false">IF($B47=0,"",COUNTIFS('Daily PnL'!$H$4:$H$403,"&gt;0",'Daily PnL'!$B$4:$B$403,$A47)/$B47)</f>
        <v/>
      </c>
    </row>
    <row r="48" customFormat="false" ht="15" hidden="false" customHeight="false" outlineLevel="0" collapsed="false">
      <c r="A48" s="11" t="s">
        <v>337</v>
      </c>
      <c r="B48" s="57" t="n">
        <f aca="false">COUNTIFS('Daily PnL'!$B$4:$B$403,$A48,'Daily PnL'!$C$4:$C$403,"&gt;0")</f>
        <v>0</v>
      </c>
      <c r="C48" s="58" t="n">
        <f aca="false">SUMIFS('Daily PnL'!$H$4:$H$403,'Daily PnL'!$B$4:$B$403,$A48)</f>
        <v>0</v>
      </c>
      <c r="D48" s="58" t="str">
        <f aca="false">IF($B48=0,"",$C48/$B48)</f>
        <v/>
      </c>
      <c r="E48" s="59" t="str">
        <f aca="false">IF($B48=0,"",COUNTIFS('Daily PnL'!$H$4:$H$403,"&gt;0",'Daily PnL'!$B$4:$B$403,$A48)/$B48)</f>
        <v/>
      </c>
    </row>
    <row r="50" customFormat="false" ht="15" hidden="false" customHeight="false" outlineLevel="0" collapsed="false">
      <c r="A50" s="3" t="s">
        <v>338</v>
      </c>
      <c r="B50" s="4"/>
      <c r="C50" s="4"/>
      <c r="D50" s="4"/>
      <c r="E50" s="4"/>
    </row>
    <row r="51" customFormat="false" ht="19.5" hidden="false" customHeight="true" outlineLevel="0" collapsed="false">
      <c r="A51" s="10" t="s">
        <v>194</v>
      </c>
      <c r="B51" s="10" t="s">
        <v>70</v>
      </c>
      <c r="C51" s="10" t="s">
        <v>57</v>
      </c>
      <c r="D51" s="10" t="s">
        <v>248</v>
      </c>
      <c r="E51" s="10" t="s">
        <v>251</v>
      </c>
    </row>
    <row r="52" customFormat="false" ht="15" hidden="false" customHeight="false" outlineLevel="0" collapsed="false">
      <c r="A52" s="11" t="s">
        <v>339</v>
      </c>
      <c r="B52" s="57" t="n">
        <f aca="false">COUNTIFS('Trade Log'!$P$4:$P$503,"&gt;=0",'Trade Log'!$P$4:$P$503,"&lt;=0")</f>
        <v>1</v>
      </c>
      <c r="C52" s="58" t="n">
        <f aca="false">SUMIFS('Trade Log'!$Z$4:$Z$503,'Trade Log'!$P$4:$P$503,"&gt;=0",'Trade Log'!$P$4:$P$503,"&lt;=0")</f>
        <v>5087.18938281802</v>
      </c>
      <c r="D52" s="58" t="n">
        <f aca="false">IF($B52=0,"",$C52/$B52)</f>
        <v>5087.18938281802</v>
      </c>
      <c r="E52" s="60" t="n">
        <f aca="false">IFERROR(AVERAGEIFS('Trade Log'!$AA$4:$AA$503,'Trade Log'!$P$4:$P$503,"&gt;=0",'Trade Log'!$P$4:$P$503,"&lt;=0"),"")</f>
        <v>0.0188821436682702</v>
      </c>
    </row>
    <row r="53" customFormat="false" ht="15" hidden="false" customHeight="false" outlineLevel="0" collapsed="false">
      <c r="A53" s="11" t="s">
        <v>340</v>
      </c>
      <c r="B53" s="57" t="n">
        <f aca="false">COUNTIFS('Trade Log'!$P$4:$P$503,"&gt;=1",'Trade Log'!$P$4:$P$503,"&lt;=1")</f>
        <v>1</v>
      </c>
      <c r="C53" s="58" t="n">
        <f aca="false">SUMIFS('Trade Log'!$Z$4:$Z$503,'Trade Log'!$P$4:$P$503,"&gt;=1",'Trade Log'!$P$4:$P$503,"&lt;=1")</f>
        <v>18831.3628052169</v>
      </c>
      <c r="D53" s="58" t="n">
        <f aca="false">IF($B53=0,"",$C53/$B53)</f>
        <v>18831.3628052169</v>
      </c>
      <c r="E53" s="60" t="n">
        <f aca="false">IFERROR(AVERAGEIFS('Trade Log'!$AA$4:$AA$503,'Trade Log'!$P$4:$P$503,"&gt;=1",'Trade Log'!$P$4:$P$503,"&lt;=1"),"")</f>
        <v>0.0753641884137121</v>
      </c>
    </row>
    <row r="54" customFormat="false" ht="15" hidden="false" customHeight="false" outlineLevel="0" collapsed="false">
      <c r="A54" s="11" t="s">
        <v>341</v>
      </c>
      <c r="B54" s="57" t="n">
        <f aca="false">COUNTIFS('Trade Log'!$P$4:$P$503,"&gt;=2",'Trade Log'!$P$4:$P$503,"&lt;=2")</f>
        <v>0</v>
      </c>
      <c r="C54" s="58" t="n">
        <f aca="false">SUMIFS('Trade Log'!$Z$4:$Z$503,'Trade Log'!$P$4:$P$503,"&gt;=2",'Trade Log'!$P$4:$P$503,"&lt;=2")</f>
        <v>0</v>
      </c>
      <c r="D54" s="58" t="str">
        <f aca="false">IF($B54=0,"",$C54/$B54)</f>
        <v/>
      </c>
      <c r="E54" s="60" t="str">
        <f aca="false">IFERROR(AVERAGEIFS('Trade Log'!$AA$4:$AA$503,'Trade Log'!$P$4:$P$503,"&gt;=2",'Trade Log'!$P$4:$P$503,"&lt;=2"),"")</f>
        <v/>
      </c>
    </row>
    <row r="55" customFormat="false" ht="15" hidden="false" customHeight="false" outlineLevel="0" collapsed="false">
      <c r="A55" s="11" t="s">
        <v>342</v>
      </c>
      <c r="B55" s="57" t="n">
        <f aca="false">COUNTIFS('Trade Log'!$P$4:$P$503,"&gt;=3",'Trade Log'!$P$4:$P$503,"&lt;=3")</f>
        <v>0</v>
      </c>
      <c r="C55" s="58" t="n">
        <f aca="false">SUMIFS('Trade Log'!$Z$4:$Z$503,'Trade Log'!$P$4:$P$503,"&gt;=3",'Trade Log'!$P$4:$P$503,"&lt;=3")</f>
        <v>0</v>
      </c>
      <c r="D55" s="58" t="str">
        <f aca="false">IF($B55=0,"",$C55/$B55)</f>
        <v/>
      </c>
      <c r="E55" s="60" t="str">
        <f aca="false">IFERROR(AVERAGEIFS('Trade Log'!$AA$4:$AA$503,'Trade Log'!$P$4:$P$503,"&gt;=3",'Trade Log'!$P$4:$P$503,"&lt;=3"),"")</f>
        <v/>
      </c>
    </row>
    <row r="56" customFormat="false" ht="15" hidden="false" customHeight="false" outlineLevel="0" collapsed="false">
      <c r="A56" s="11" t="s">
        <v>343</v>
      </c>
      <c r="B56" s="57" t="n">
        <f aca="false">COUNTIFS('Trade Log'!$P$4:$P$503,"&gt;=4",'Trade Log'!$P$4:$P$503,"&lt;=999")</f>
        <v>0</v>
      </c>
      <c r="C56" s="58" t="n">
        <f aca="false">SUMIFS('Trade Log'!$Z$4:$Z$503,'Trade Log'!$P$4:$P$503,"&gt;=4",'Trade Log'!$P$4:$P$503,"&lt;=999")</f>
        <v>0</v>
      </c>
      <c r="D56" s="58" t="str">
        <f aca="false">IF($B56=0,"",$C56/$B56)</f>
        <v/>
      </c>
      <c r="E56" s="60" t="str">
        <f aca="false">IFERROR(AVERAGEIFS('Trade Log'!$AA$4:$AA$503,'Trade Log'!$P$4:$P$503,"&gt;=4",'Trade Log'!$P$4:$P$503,"&lt;=999"),"")</f>
        <v/>
      </c>
    </row>
    <row r="58" customFormat="false" ht="15" hidden="false" customHeight="false" outlineLevel="0" collapsed="false">
      <c r="A58" s="2" t="s">
        <v>344</v>
      </c>
    </row>
    <row r="60" customFormat="false" ht="15" hidden="false" customHeight="false" outlineLevel="0" collapsed="false">
      <c r="A60" s="3" t="s">
        <v>345</v>
      </c>
      <c r="B60" s="4"/>
      <c r="C60" s="4"/>
      <c r="D60" s="4"/>
    </row>
    <row r="61" customFormat="false" ht="19.5" hidden="false" customHeight="true" outlineLevel="0" collapsed="false">
      <c r="A61" s="10" t="s">
        <v>346</v>
      </c>
      <c r="B61" s="10" t="s">
        <v>70</v>
      </c>
      <c r="C61" s="10" t="s">
        <v>57</v>
      </c>
      <c r="D61" s="10" t="s">
        <v>317</v>
      </c>
    </row>
    <row r="62" customFormat="false" ht="15" hidden="false" customHeight="false" outlineLevel="0" collapsed="false">
      <c r="A62" s="11" t="s">
        <v>347</v>
      </c>
      <c r="B62" s="57" t="n">
        <f aca="false">COUNTIFS('Trade Log'!$AC$4:$AC$503,"&gt;=-9999",'Trade Log'!$AC$4:$AC$503,"&lt;-25")</f>
        <v>0</v>
      </c>
      <c r="C62" s="58" t="n">
        <f aca="false">SUMIFS('Trade Log'!$Z$4:$Z$503,'Trade Log'!$AC$4:$AC$503,"&gt;=-9999",'Trade Log'!$AC$4:$AC$503,"&lt;-25")</f>
        <v>0</v>
      </c>
      <c r="D62" s="59" t="n">
        <f aca="false">IF(COUNT('Trade Log'!$AC$4:$AC$503)=0,"",$B62/COUNT('Trade Log'!$AC$4:$AC$503))</f>
        <v>0</v>
      </c>
    </row>
    <row r="63" customFormat="false" ht="15" hidden="false" customHeight="false" outlineLevel="0" collapsed="false">
      <c r="A63" s="11" t="s">
        <v>348</v>
      </c>
      <c r="B63" s="57" t="n">
        <f aca="false">COUNTIFS('Trade Log'!$AC$4:$AC$503,"&gt;=-25",'Trade Log'!$AC$4:$AC$503,"&lt;0")</f>
        <v>0</v>
      </c>
      <c r="C63" s="58" t="n">
        <f aca="false">SUMIFS('Trade Log'!$Z$4:$Z$503,'Trade Log'!$AC$4:$AC$503,"&gt;=-25",'Trade Log'!$AC$4:$AC$503,"&lt;0")</f>
        <v>0</v>
      </c>
      <c r="D63" s="59" t="n">
        <f aca="false">IF(COUNT('Trade Log'!$AC$4:$AC$503)=0,"",$B63/COUNT('Trade Log'!$AC$4:$AC$503))</f>
        <v>0</v>
      </c>
    </row>
    <row r="64" customFormat="false" ht="15" hidden="false" customHeight="false" outlineLevel="0" collapsed="false">
      <c r="A64" s="11" t="s">
        <v>349</v>
      </c>
      <c r="B64" s="57" t="n">
        <f aca="false">COUNTIFS('Trade Log'!$AC$4:$AC$503,"&gt;=0",'Trade Log'!$AC$4:$AC$503,"&lt;25")</f>
        <v>1</v>
      </c>
      <c r="C64" s="58" t="n">
        <f aca="false">SUMIFS('Trade Log'!$Z$4:$Z$503,'Trade Log'!$AC$4:$AC$503,"&gt;=0",'Trade Log'!$AC$4:$AC$503,"&lt;25")</f>
        <v>5087.18938281802</v>
      </c>
      <c r="D64" s="59" t="n">
        <f aca="false">IF(COUNT('Trade Log'!$AC$4:$AC$503)=0,"",$B64/COUNT('Trade Log'!$AC$4:$AC$503))</f>
        <v>0.5</v>
      </c>
    </row>
    <row r="65" customFormat="false" ht="15" hidden="false" customHeight="false" outlineLevel="0" collapsed="false">
      <c r="A65" s="11" t="s">
        <v>350</v>
      </c>
      <c r="B65" s="57" t="n">
        <f aca="false">COUNTIFS('Trade Log'!$AC$4:$AC$503,"&gt;=25",'Trade Log'!$AC$4:$AC$503,"&lt;50")</f>
        <v>1</v>
      </c>
      <c r="C65" s="58" t="n">
        <f aca="false">SUMIFS('Trade Log'!$Z$4:$Z$503,'Trade Log'!$AC$4:$AC$503,"&gt;=25",'Trade Log'!$AC$4:$AC$503,"&lt;50")</f>
        <v>18831.3628052169</v>
      </c>
      <c r="D65" s="59" t="n">
        <f aca="false">IF(COUNT('Trade Log'!$AC$4:$AC$503)=0,"",$B65/COUNT('Trade Log'!$AC$4:$AC$503))</f>
        <v>0.5</v>
      </c>
    </row>
    <row r="66" customFormat="false" ht="15" hidden="false" customHeight="false" outlineLevel="0" collapsed="false">
      <c r="A66" s="11" t="s">
        <v>351</v>
      </c>
      <c r="B66" s="57" t="n">
        <f aca="false">COUNTIFS('Trade Log'!$AC$4:$AC$503,"&gt;=50",'Trade Log'!$AC$4:$AC$503,"&lt;100")</f>
        <v>0</v>
      </c>
      <c r="C66" s="58" t="n">
        <f aca="false">SUMIFS('Trade Log'!$Z$4:$Z$503,'Trade Log'!$AC$4:$AC$503,"&gt;=50",'Trade Log'!$AC$4:$AC$503,"&lt;100")</f>
        <v>0</v>
      </c>
      <c r="D66" s="59" t="n">
        <f aca="false">IF(COUNT('Trade Log'!$AC$4:$AC$503)=0,"",$B66/COUNT('Trade Log'!$AC$4:$AC$503))</f>
        <v>0</v>
      </c>
    </row>
    <row r="67" customFormat="false" ht="15" hidden="false" customHeight="false" outlineLevel="0" collapsed="false">
      <c r="A67" s="11" t="s">
        <v>352</v>
      </c>
      <c r="B67" s="57" t="n">
        <f aca="false">COUNTIFS('Trade Log'!$AC$4:$AC$503,"&gt;=100",'Trade Log'!$AC$4:$AC$503,"&lt;99999")</f>
        <v>0</v>
      </c>
      <c r="C67" s="58" t="n">
        <f aca="false">SUMIFS('Trade Log'!$Z$4:$Z$503,'Trade Log'!$AC$4:$AC$503,"&gt;=100",'Trade Log'!$AC$4:$AC$503,"&lt;99999")</f>
        <v>0</v>
      </c>
      <c r="D67" s="59" t="n">
        <f aca="false">IF(COUNT('Trade Log'!$AC$4:$AC$503)=0,"",$B67/COUNT('Trade Log'!$AC$4:$AC$503))</f>
        <v>0</v>
      </c>
    </row>
    <row r="69" customFormat="false" ht="15" hidden="false" customHeight="false" outlineLevel="0" collapsed="false">
      <c r="A69" s="2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354</v>
      </c>
    </row>
    <row r="2" customFormat="false" ht="15" hidden="false" customHeight="false" outlineLevel="0" collapsed="false">
      <c r="A2" s="2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2026-08-19T13:09:52Z</dcterms:created>
  <dc:creator>openpyxl</dc:creator>
  <dc:description/>
  <dc:language>en-US</dc:language>
  <cp:lastModifiedBy/>
  <dcterms:modified xsi:type="dcterms:W3CDTF">2026-08-19T13:09:55Z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