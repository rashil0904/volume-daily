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571.63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688.95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570.48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662.85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591.6900000000001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398.53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414.05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345.01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414.39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380.53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413.82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406.36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870.76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349.21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329.27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385.43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977.08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956.6799999999999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991.0700000000001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597.78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598.88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677.36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669.9299999999999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574.48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628.42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619.35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612.45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693.6799999999999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617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441.5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386.09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435.16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356.27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364.89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412.36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893.51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799.52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826.86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479.66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531.37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531.58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480.95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420.15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428.89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425.11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371.59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642.52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638.36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654.01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564.1900000000001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632.15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497.9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494.64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504.61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490.99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467.3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542.37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461.59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526.41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520.62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518.99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446.93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463.48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628.4299999999999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636.76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600.27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589.6900000000001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602.4299999999999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591.6799999999999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295.71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337.53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288.92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191.96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296.17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500.39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461.42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464.33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497.5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520.71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458.31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395.29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347.81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385.69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315.59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318.31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359.64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316.7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361.08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521.52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461.23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798.96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492.69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115.49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0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574.33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481.35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481.07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inlineStr"/>
      <c r="H246" s="25" t="inlineStr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50.15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inlineStr"/>
      <c r="H247" s="25" t="inlineStr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50.15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inlineStr"/>
      <c r="H248" s="25" t="inlineStr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14.75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inlineStr"/>
      <c r="H249" s="25" t="inlineStr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14.75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inlineStr"/>
      <c r="H250" s="25" t="inlineStr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50.15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1" s="23" t="inlineStr">
        <is>
          <t>UNICHEMLAB</t>
        </is>
      </c>
      <c r="C251" s="23" t="inlineStr">
        <is>
          <t>LONG</t>
        </is>
      </c>
      <c r="D251" s="24" t="n">
        <v>46294</v>
      </c>
      <c r="E251" s="25" t="n">
        <v>571.4527</v>
      </c>
      <c r="F251" s="26" t="n">
        <v>375</v>
      </c>
      <c r="G251" s="24" t="inlineStr"/>
      <c r="H251" s="25" t="inlineStr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50.15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ELECTCAST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EMUDHRA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FILATEX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FMGOETZE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FOSECOIND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FRONTSP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GKENERGY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GNA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GNRL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GOCLCORP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GOPAL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GRAUWEIL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GREAVESCOT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GUJTHEM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HERITGFOOD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HIKAL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HINDOILEXP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HUBTOWN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INDIAGLYCO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INDNIPPON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INDOCO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INDORAMA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IPL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JASH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JAYKAY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JGCHEM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JINDRILL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KCP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KIRIINDUS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KIRLOSIND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KLBRENG-B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KROSS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KSCL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KSL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LUXIND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MAITHANALL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MANGLMCEM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MASTEK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MOBIKWIK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MUKANDLTD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NETWORK18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NILKAMAL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NORTHARC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NOVARTIND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NPST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NRBBEARING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OMAXE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ONEPOINT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OPTIEMUS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ORIENTHOT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PACEDIGITK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PITTIENG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PROTEAN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QUADFUTURE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RACLGEAR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RAMRAT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RAYMOND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RAYMONDREL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REFEX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RESPONIND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RML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ROSSTECH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RPGLIFE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RSYSTEMS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SAATVIKGL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SAKAR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SAMBHV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SAMHI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SANGAMIND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SDBL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SHANTIGOLD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SHAREINDIA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SHOPERSTOP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SIKA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SINDHUTRAD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SMCGLOBAL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SMSPHARMA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SOLARA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SOTL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SSWL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STEELCAS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SYMPHONY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SYNCOMF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TALBROAUTO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TBZ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TCIEXP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THOMASCOOK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UNICHEMLAB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VENKEYS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VENUSPIPES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VERANDA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VSSL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WELSPLSOL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WENDT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WINDLAS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XPROINDIA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ZAGGLE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ZOTA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3" t="inlineStr">
        <is>
          <t>TOTAL</t>
        </is>
      </c>
      <c r="B119" s="30">
        <f>SUM(B4:B118)</f>
        <v/>
      </c>
      <c r="C119" s="30">
        <f>SUM(C4:C118)</f>
        <v/>
      </c>
      <c r="D119" s="30">
        <f>SUM(D4:D118)</f>
        <v/>
      </c>
      <c r="E119" s="31">
        <f>IFERROR(C119/B119,"")</f>
        <v/>
      </c>
      <c r="F119" s="32">
        <f>SUM(F4:F118)</f>
        <v/>
      </c>
      <c r="G119" s="32">
        <f>SUM(G4:G118)</f>
        <v/>
      </c>
      <c r="H119" s="32">
        <f>IFERROR(G119/B119,"")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107.54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150.55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107.37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128.69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126.23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59.49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71.89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43.2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71.67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78.91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72.04000000000001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61.39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314.43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46.99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46.98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28.07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44.83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98.38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82.05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98.79000000000001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157.33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157.77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156.25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98.86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97.03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87.84999999999999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50.12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44.19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53.72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57.51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274.37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274.45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276.19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96.90000000000001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91.65000000000001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91.51000000000001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91.75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90.54000000000001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78.44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72.27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109.11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70.45999999999999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58.73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114.09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128.29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113.45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112.39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178.51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176.87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186.28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170.97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184.32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57.33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57.45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53.01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52.75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43.94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60.28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67.93000000000001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79.43000000000001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135.75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126.34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137.33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126.84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29.23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29.96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17.97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10.57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30.06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31.75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56.21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59.94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31.75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52.89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56.08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17.61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10.58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10.51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14.65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17.57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14.69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17.42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19.21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55.06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53.93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20</v>
      </c>
      <c r="F240" s="4" t="n">
        <v>299.83</v>
      </c>
      <c r="G240" s="4" t="n">
        <v>9.199999999999999</v>
      </c>
      <c r="H240" s="4" t="n">
        <v>0.3</v>
      </c>
      <c r="I240" s="4" t="n">
        <v>44.97</v>
      </c>
      <c r="J240" s="4" t="n">
        <v>5.31</v>
      </c>
      <c r="K240" s="4" t="n">
        <v>14.75</v>
      </c>
      <c r="L240" s="4" t="n">
        <v>35.4</v>
      </c>
      <c r="M240" s="4" t="n">
        <v>62.93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0</v>
      </c>
      <c r="F241" s="4" t="n">
        <v>0</v>
      </c>
      <c r="G241" s="4" t="n">
        <v>0</v>
      </c>
      <c r="H241" s="4" t="n">
        <v>0</v>
      </c>
      <c r="I241" s="4" t="n">
        <v>0</v>
      </c>
      <c r="J241" s="4" t="n">
        <v>0</v>
      </c>
      <c r="K241" s="4" t="n">
        <v>14.75</v>
      </c>
      <c r="L241" s="4" t="n">
        <v>35.4</v>
      </c>
      <c r="M241" s="4" t="n">
        <v>65.34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0</v>
      </c>
      <c r="F242" s="4" t="n">
        <v>0</v>
      </c>
      <c r="G242" s="4" t="n">
        <v>0</v>
      </c>
      <c r="H242" s="4" t="n">
        <v>0</v>
      </c>
      <c r="I242" s="4" t="n">
        <v>0</v>
      </c>
      <c r="J242" s="4" t="n">
        <v>0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89.91</v>
      </c>
      <c r="F243" s="4" t="n">
        <v>299.53</v>
      </c>
      <c r="G243" s="4" t="n">
        <v>9.199999999999999</v>
      </c>
      <c r="H243" s="4" t="n">
        <v>0.3</v>
      </c>
      <c r="I243" s="4" t="n">
        <v>44.93</v>
      </c>
      <c r="J243" s="4" t="n">
        <v>17.89</v>
      </c>
      <c r="K243" s="4" t="n">
        <v>14.75</v>
      </c>
      <c r="L243" s="4" t="n">
        <v>35.4</v>
      </c>
      <c r="M243" s="4" t="n">
        <v>62.42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20</v>
      </c>
      <c r="F244" s="4" t="n">
        <v>300.06</v>
      </c>
      <c r="G244" s="4" t="n">
        <v>9.210000000000001</v>
      </c>
      <c r="H244" s="4" t="n">
        <v>0.3</v>
      </c>
      <c r="I244" s="4" t="n">
        <v>45.01</v>
      </c>
      <c r="J244" s="4" t="n">
        <v>5.31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20</v>
      </c>
      <c r="F245" s="4" t="n">
        <v>299.85</v>
      </c>
      <c r="G245" s="4" t="n">
        <v>9.210000000000001</v>
      </c>
      <c r="H245" s="4" t="n">
        <v>0.3</v>
      </c>
      <c r="I245" s="4" t="n">
        <v>44.98</v>
      </c>
      <c r="J245" s="4" t="n">
        <v>5.31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inlineStr"/>
      <c r="E246" s="4" t="n">
        <v>0</v>
      </c>
      <c r="F246" s="4" t="n">
        <v>0</v>
      </c>
      <c r="G246" s="4" t="n">
        <v>0</v>
      </c>
      <c r="H246" s="4" t="n">
        <v>0</v>
      </c>
      <c r="I246" s="4" t="n">
        <v>0</v>
      </c>
      <c r="J246" s="4" t="n">
        <v>0</v>
      </c>
      <c r="K246" s="4" t="n">
        <v>14.75</v>
      </c>
      <c r="L246" s="4" t="n">
        <v>35.4</v>
      </c>
      <c r="M246" s="4" t="n">
        <v>0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inlineStr"/>
      <c r="E247" s="4" t="n">
        <v>0</v>
      </c>
      <c r="F247" s="4" t="n">
        <v>0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14.75</v>
      </c>
      <c r="L247" s="4" t="n">
        <v>35.4</v>
      </c>
      <c r="M247" s="4" t="n">
        <v>0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inlineStr"/>
      <c r="E248" s="4" t="n">
        <v>0</v>
      </c>
      <c r="F248" s="4" t="n">
        <v>0</v>
      </c>
      <c r="G248" s="4" t="n">
        <v>0</v>
      </c>
      <c r="H248" s="4" t="n">
        <v>0</v>
      </c>
      <c r="I248" s="4" t="n">
        <v>0</v>
      </c>
      <c r="J248" s="4" t="n">
        <v>0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inlineStr"/>
      <c r="E249" s="4" t="n">
        <v>0</v>
      </c>
      <c r="F249" s="4" t="n">
        <v>0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inlineStr"/>
      <c r="E250" s="4" t="n">
        <v>0</v>
      </c>
      <c r="F250" s="4" t="n">
        <v>0</v>
      </c>
      <c r="G250" s="4" t="n">
        <v>0</v>
      </c>
      <c r="H250" s="4" t="n">
        <v>0</v>
      </c>
      <c r="I250" s="4" t="n">
        <v>0</v>
      </c>
      <c r="J250" s="4" t="n">
        <v>0</v>
      </c>
      <c r="K250" s="4" t="n">
        <v>14.75</v>
      </c>
      <c r="L250" s="4" t="n">
        <v>35.4</v>
      </c>
      <c r="M250" s="4" t="n">
        <v>0</v>
      </c>
      <c r="N250" s="21">
        <f>SUM(E250:M250)</f>
        <v/>
      </c>
    </row>
    <row r="251">
      <c r="A251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1" s="23" t="inlineStr">
        <is>
          <t>UNICHEMLAB</t>
        </is>
      </c>
      <c r="C251" s="23" t="inlineStr">
        <is>
          <t>LONG</t>
        </is>
      </c>
      <c r="D251" s="24" t="inlineStr"/>
      <c r="E251" s="4" t="n">
        <v>0</v>
      </c>
      <c r="F251" s="4" t="n">
        <v>0</v>
      </c>
      <c r="G251" s="4" t="n">
        <v>0</v>
      </c>
      <c r="H251" s="4" t="n">
        <v>0</v>
      </c>
      <c r="I251" s="4" t="n">
        <v>0</v>
      </c>
      <c r="J251" s="4" t="n">
        <v>0</v>
      </c>
      <c r="K251" s="4" t="n">
        <v>14.75</v>
      </c>
      <c r="L251" s="4" t="n">
        <v>35.4</v>
      </c>
      <c r="M251" s="4" t="n">
        <v>0</v>
      </c>
      <c r="N251" s="21">
        <f>SUM(E251:M251)</f>
        <v/>
      </c>
    </row>
    <row r="252">
      <c r="A252" s="3" t="inlineStr">
        <is>
          <t>TOTAL</t>
        </is>
      </c>
      <c r="E252" s="32">
        <f>SUM(E4:E251)</f>
        <v/>
      </c>
      <c r="F252" s="32">
        <f>SUM(F4:F251)</f>
        <v/>
      </c>
      <c r="G252" s="32">
        <f>SUM(G4:G251)</f>
        <v/>
      </c>
      <c r="H252" s="32">
        <f>SUM(H4:H251)</f>
        <v/>
      </c>
      <c r="I252" s="32">
        <f>SUM(I4:I251)</f>
        <v/>
      </c>
      <c r="J252" s="32">
        <f>SUM(J4:J251)</f>
        <v/>
      </c>
      <c r="K252" s="32">
        <f>SUM(K4:K251)</f>
        <v/>
      </c>
      <c r="L252" s="32">
        <f>SUM(L4:L251)</f>
        <v/>
      </c>
      <c r="M252" s="32">
        <f>SUM(M4:M251)</f>
        <v/>
      </c>
      <c r="N252" s="32">
        <f>SUM(N4:N251)</f>
        <v/>
      </c>
    </row>
  </sheetData>
  <autoFilter ref="A3:N251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28" t="n">
        <v>46293</v>
      </c>
      <c r="B17" s="20">
        <f>COUNTIFS('Trade Log'!$G$4:$G$503,"&gt;="&amp;DATE(2026,9,28),'Trade Log'!$G$4:$G$503,"&lt;"&amp;DATE(2026,10,5))</f>
        <v/>
      </c>
      <c r="C17" s="20">
        <f>COUNTIFS('Trade Log'!$G$4:$G$503,"&gt;="&amp;DATE(2026,9,28),'Trade Log'!$G$4:$G$503,"&lt;"&amp;DATE(2026,10,5),'Trade Log'!$L$4:$L$503,"&gt;0")</f>
        <v/>
      </c>
      <c r="D17" s="20">
        <f>COUNTIFS('Trade Log'!$G$4:$G$503,"&gt;="&amp;DATE(2026,9,28),'Trade Log'!$G$4:$G$503,"&lt;"&amp;DATE(2026,10,5),'Trade Log'!$L$4:$L$503,"&lt;0")</f>
        <v/>
      </c>
      <c r="E17" s="22">
        <f>IFERROR($C17/$B17,"")</f>
        <v/>
      </c>
      <c r="F17" s="21">
        <f>SUMIFS('Trade Log'!$I$4:$I$503,'Trade Log'!$G$4:$G$503,"&gt;="&amp;DATE(2026,9,28),'Trade Log'!$G$4:$G$503,"&lt;"&amp;DATE(2026,10,5))</f>
        <v/>
      </c>
      <c r="G17" s="21">
        <f>SUMIFS('Trade Log'!$L$4:$L$503,'Trade Log'!$G$4:$G$503,"&gt;="&amp;DATE(2026,9,28),'Trade Log'!$G$4:$G$503,"&lt;"&amp;DATE(2026,10,5))</f>
        <v/>
      </c>
      <c r="H17" s="21">
        <f>IFERROR($G17/$B17,"")</f>
        <v/>
      </c>
      <c r="I17" s="21">
        <f>IFERROR(_xlfn.MAXIFS('Trade Log'!$L$4:$L$503,'Trade Log'!$G$4:$G$503,"&gt;="&amp;DATE(2026,9,28),'Trade Log'!$G$4:$G$503,"&lt;"&amp;DATE(2026,10,5)),"")</f>
        <v/>
      </c>
      <c r="J17" s="21">
        <f>IFERROR(_xlfn.MINIFS('Trade Log'!$L$4:$L$503,'Trade Log'!$G$4:$G$503,"&gt;="&amp;DATE(2026,9,28),'Trade Log'!$G$4:$G$503,"&lt;"&amp;DATE(2026,10,5)),"")</f>
        <v/>
      </c>
      <c r="K17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8">
      <c r="A18" s="3" t="inlineStr">
        <is>
          <t>TOTAL</t>
        </is>
      </c>
      <c r="B18" s="30">
        <f>SUM(B11:B17)</f>
        <v/>
      </c>
      <c r="C18" s="30">
        <f>SUM(C11:C17)</f>
        <v/>
      </c>
      <c r="D18" s="30">
        <f>SUM(D11:D17)</f>
        <v/>
      </c>
      <c r="E18" s="31">
        <f>IFERROR(C18/B18,"")</f>
        <v/>
      </c>
      <c r="F18" s="32">
        <f>SUM(F11:F17)</f>
        <v/>
      </c>
      <c r="G18" s="32">
        <f>SUM(G11:G17)</f>
        <v/>
      </c>
      <c r="H18" s="32">
        <f>IFERROR(G18/B18,"")</f>
        <v/>
      </c>
      <c r="K1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2026-09-29T10:16:09Z</dcterms:created>
  <dcterms:modified xmlns:dcterms="http://purl.org/dc/terms/" xmlns:xsi="http://www.w3.org/2001/XMLSchema-instance" xsi:type="dcterms:W3CDTF">2026-09-29T10:16:09Z</dcterms:modified>
</cp:coreProperties>
</file>