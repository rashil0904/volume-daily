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824.42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827.9299999999999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831.08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inlineStr"/>
      <c r="H10" s="25" t="inlineStr"/>
      <c r="I10" s="21">
        <f>IF(OR($B10="",$H10=""),"",IF($C10="LONG",($H10-$E10)*$F10,($E10-$H10)*$F10))</f>
        <v/>
      </c>
      <c r="J10" s="4" t="n">
        <v>270.27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inlineStr"/>
      <c r="H12" s="25" t="inlineStr"/>
      <c r="I12" s="21">
        <f>IF(OR($B12="",$H12=""),"",IF($C12="LONG",($H12-$E12)*$F12,($E12-$H12)*$F12))</f>
        <v/>
      </c>
      <c r="J12" s="4" t="n">
        <v>271.65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inlineStr"/>
      <c r="H13" s="25" t="inlineStr"/>
      <c r="I13" s="21">
        <f>IF(OR($B13="",$H13=""),"",IF($C13="LONG",($H13-$E13)*$F13,($E13-$H13)*$F13))</f>
        <v/>
      </c>
      <c r="J13" s="4" t="n">
        <v>271.95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inlineStr"/>
      <c r="H14" s="25" t="inlineStr"/>
      <c r="I14" s="21">
        <f>IF(OR($B14="",$H14=""),"",IF($C14="LONG",($H14-$E14)*$F14,($E14-$H14)*$F14))</f>
        <v/>
      </c>
      <c r="J14" s="4" t="n">
        <v>271.02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inlineStr"/>
      <c r="H15" s="25" t="inlineStr"/>
      <c r="I15" s="21">
        <f>IF(OR($B15="",$H15=""),"",IF($C15="LONG",($H15-$E15)*$F15,($E15-$H15)*$F15))</f>
        <v/>
      </c>
      <c r="J15" s="4" t="n">
        <v>271.77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inlineStr"/>
      <c r="H18" s="25" t="inlineStr"/>
      <c r="I18" s="21">
        <f>IF(OR($B18="",$H18=""),"",IF($C18="LONG",($H18-$E18)*$F18,($E18-$H18)*$F18))</f>
        <v/>
      </c>
      <c r="J18" s="4" t="n">
        <v>272.06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DHAN-22126082044909</t>
        </is>
      </c>
      <c r="B19" s="23" t="inlineStr">
        <is>
          <t>ZAGGLE</t>
        </is>
      </c>
      <c r="C19" s="23" t="inlineStr">
        <is>
          <t>SHORT</t>
        </is>
      </c>
      <c r="D19" s="24" t="n">
        <v>46254</v>
      </c>
      <c r="E19" s="25" t="n">
        <v>190.82</v>
      </c>
      <c r="F19" s="26" t="n">
        <v>1609</v>
      </c>
      <c r="G19" s="24" t="n">
        <v>46254</v>
      </c>
      <c r="H19" s="25" t="n">
        <v>197.6402</v>
      </c>
      <c r="I19" s="21">
        <f>IF(OR($B19="",$H19=""),"",IF($C19="LONG",($H19-$E19)*$F19,($E19-$H19)*$F19))</f>
        <v/>
      </c>
      <c r="J19" s="4" t="n">
        <v>156.88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n"/>
      <c r="B20" s="23" t="n"/>
      <c r="C20" s="23" t="n"/>
      <c r="D20" s="24" t="n"/>
      <c r="E20" s="25" t="n"/>
      <c r="F20" s="26" t="n"/>
      <c r="G20" s="24" t="n"/>
      <c r="H20" s="25" t="n"/>
      <c r="I20" s="21">
        <f>IF(OR($B20="",$H20=""),"",IF($C20="LONG",($H20-$E20)*$F20,($E20-$H20)*$F20))</f>
        <v/>
      </c>
      <c r="J20" s="4" t="n"/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n"/>
      <c r="B21" s="23" t="n"/>
      <c r="C21" s="23" t="n"/>
      <c r="D21" s="24" t="n"/>
      <c r="E21" s="25" t="n"/>
      <c r="F21" s="26" t="n"/>
      <c r="G21" s="24" t="n"/>
      <c r="H21" s="25" t="n"/>
      <c r="I21" s="21">
        <f>IF(OR($B21="",$H21=""),"",IF($C21="LONG",($H21-$E21)*$F21,($E21-$H21)*$F21))</f>
        <v/>
      </c>
      <c r="J21" s="4" t="n"/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n"/>
      <c r="B22" s="23" t="n"/>
      <c r="C22" s="23" t="n"/>
      <c r="D22" s="24" t="n"/>
      <c r="E22" s="25" t="n"/>
      <c r="F22" s="26" t="n"/>
      <c r="G22" s="24" t="n"/>
      <c r="H22" s="25" t="n"/>
      <c r="I22" s="21">
        <f>IF(OR($B22="",$H22=""),"",IF($C22="LONG",($H22-$E22)*$F22,($E22-$H22)*$F22))</f>
        <v/>
      </c>
      <c r="J22" s="4" t="n"/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n"/>
      <c r="B23" s="23" t="n"/>
      <c r="C23" s="23" t="n"/>
      <c r="D23" s="24" t="n"/>
      <c r="E23" s="25" t="n"/>
      <c r="F23" s="26" t="n"/>
      <c r="G23" s="24" t="n"/>
      <c r="H23" s="25" t="n"/>
      <c r="I23" s="21">
        <f>IF(OR($B23="",$H23=""),"",IF($C23="LONG",($H23-$E23)*$F23,($E23-$H23)*$F23))</f>
        <v/>
      </c>
      <c r="J23" s="4" t="n"/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n"/>
      <c r="B24" s="23" t="n"/>
      <c r="C24" s="23" t="n"/>
      <c r="D24" s="24" t="n"/>
      <c r="E24" s="25" t="n"/>
      <c r="F24" s="26" t="n"/>
      <c r="G24" s="24" t="n"/>
      <c r="H24" s="25" t="n"/>
      <c r="I24" s="21">
        <f>IF(OR($B24="",$H24=""),"",IF($C24="LONG",($H24-$E24)*$F24,($E24-$H24)*$F24))</f>
        <v/>
      </c>
      <c r="J24" s="4" t="n"/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n"/>
      <c r="B25" s="23" t="n"/>
      <c r="C25" s="23" t="n"/>
      <c r="D25" s="24" t="n"/>
      <c r="E25" s="25" t="n"/>
      <c r="F25" s="26" t="n"/>
      <c r="G25" s="24" t="n"/>
      <c r="H25" s="25" t="n"/>
      <c r="I25" s="21">
        <f>IF(OR($B25="",$H25=""),"",IF($C25="LONG",($H25-$E25)*$F25,($E25-$H25)*$F25))</f>
        <v/>
      </c>
      <c r="J25" s="4" t="n"/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n"/>
      <c r="B26" s="23" t="n"/>
      <c r="C26" s="23" t="n"/>
      <c r="D26" s="24" t="n"/>
      <c r="E26" s="25" t="n"/>
      <c r="F26" s="26" t="n"/>
      <c r="G26" s="24" t="n"/>
      <c r="H26" s="25" t="n"/>
      <c r="I26" s="21">
        <f>IF(OR($B26="",$H26=""),"",IF($C26="LONG",($H26-$E26)*$F26,($E26-$H26)*$F26))</f>
        <v/>
      </c>
      <c r="J26" s="4" t="n"/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n"/>
      <c r="B27" s="23" t="n"/>
      <c r="C27" s="23" t="n"/>
      <c r="D27" s="24" t="n"/>
      <c r="E27" s="25" t="n"/>
      <c r="F27" s="26" t="n"/>
      <c r="G27" s="24" t="n"/>
      <c r="H27" s="25" t="n"/>
      <c r="I27" s="21">
        <f>IF(OR($B27="",$H27=""),"",IF($C27="LONG",($H27-$E27)*$F27,($E27-$H27)*$F27))</f>
        <v/>
      </c>
      <c r="J27" s="4" t="n"/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n"/>
      <c r="B28" s="23" t="n"/>
      <c r="C28" s="23" t="n"/>
      <c r="D28" s="24" t="n"/>
      <c r="E28" s="25" t="n"/>
      <c r="F28" s="26" t="n"/>
      <c r="G28" s="24" t="n"/>
      <c r="H28" s="25" t="n"/>
      <c r="I28" s="21">
        <f>IF(OR($B28="",$H28=""),"",IF($C28="LONG",($H28-$E28)*$F28,($E28-$H28)*$F28))</f>
        <v/>
      </c>
      <c r="J28" s="4" t="n"/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n"/>
      <c r="B29" s="23" t="n"/>
      <c r="C29" s="23" t="n"/>
      <c r="D29" s="24" t="n"/>
      <c r="E29" s="25" t="n"/>
      <c r="F29" s="26" t="n"/>
      <c r="G29" s="24" t="n"/>
      <c r="H29" s="25" t="n"/>
      <c r="I29" s="21">
        <f>IF(OR($B29="",$H29=""),"",IF($C29="LONG",($H29-$E29)*$F29,($E29-$H29)*$F29))</f>
        <v/>
      </c>
      <c r="J29" s="4" t="n"/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n"/>
      <c r="B30" s="23" t="n"/>
      <c r="C30" s="23" t="n"/>
      <c r="D30" s="24" t="n"/>
      <c r="E30" s="25" t="n"/>
      <c r="F30" s="26" t="n"/>
      <c r="G30" s="24" t="n"/>
      <c r="H30" s="25" t="n"/>
      <c r="I30" s="21">
        <f>IF(OR($B30="",$H30=""),"",IF($C30="LONG",($H30-$E30)*$F30,($E30-$H30)*$F30))</f>
        <v/>
      </c>
      <c r="J30" s="4" t="n"/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n"/>
      <c r="B31" s="23" t="n"/>
      <c r="C31" s="23" t="n"/>
      <c r="D31" s="24" t="n"/>
      <c r="E31" s="25" t="n"/>
      <c r="F31" s="26" t="n"/>
      <c r="G31" s="24" t="n"/>
      <c r="H31" s="25" t="n"/>
      <c r="I31" s="21">
        <f>IF(OR($B31="",$H31=""),"",IF($C31="LONG",($H31-$E31)*$F31,($E31-$H31)*$F31))</f>
        <v/>
      </c>
      <c r="J31" s="4" t="n"/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n"/>
      <c r="B32" s="23" t="n"/>
      <c r="C32" s="23" t="n"/>
      <c r="D32" s="24" t="n"/>
      <c r="E32" s="25" t="n"/>
      <c r="F32" s="26" t="n"/>
      <c r="G32" s="24" t="n"/>
      <c r="H32" s="25" t="n"/>
      <c r="I32" s="21">
        <f>IF(OR($B32="",$H32=""),"",IF($C32="LONG",($H32-$E32)*$F32,($E32-$H32)*$F32))</f>
        <v/>
      </c>
      <c r="J32" s="4" t="n"/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4" t="n"/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4" t="n"/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4" t="n"/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4" t="n"/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4" t="n"/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4" t="n"/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4" t="n"/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4" t="n"/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4" t="n"/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4" t="n"/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4" t="n"/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4" t="n"/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4" t="n"/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4" t="n"/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4" t="n"/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4" t="n"/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4" t="n"/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4" t="n"/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4" t="n"/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4" t="n"/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4" t="n"/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4" t="n"/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4" t="n"/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4" t="n"/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4" t="n"/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4" t="n"/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4" t="n"/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4" t="n"/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4" t="n"/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4" t="n"/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4" t="n"/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4" t="n"/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4" t="n"/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4" t="n"/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4" t="n"/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4" t="n"/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4" t="n"/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4" t="n"/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4" t="n"/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4" t="n"/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4" t="n"/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4" t="n"/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4" t="n"/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4" t="n"/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4" t="n"/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4" t="n"/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4" t="n"/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4" t="n"/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4" t="n"/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4" t="n"/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4" t="n"/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4" t="n"/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4" t="n"/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4" t="n"/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4" t="n"/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4" t="n"/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4" t="n"/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4" t="n"/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4" t="n"/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4" t="n"/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4" t="n"/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4" t="n"/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4" t="n"/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4" t="n"/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4" t="n"/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4" t="n"/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4" t="n"/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4" t="n"/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4" t="n"/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BAJAJHIND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BANARISUG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GOPAL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HUBTOWN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KIRIINDUS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MANGLMCEM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NETWORK18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NILKAMAL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ORIENTHOT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SOLARA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ZAGGLE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3" t="inlineStr">
        <is>
          <t>TOTAL</t>
        </is>
      </c>
      <c r="B15" s="30">
        <f>SUM(B4:B14)</f>
        <v/>
      </c>
      <c r="C15" s="30">
        <f>SUM(C4:C14)</f>
        <v/>
      </c>
      <c r="D15" s="30">
        <f>SUM(D4:D14)</f>
        <v/>
      </c>
      <c r="E15" s="31">
        <f>IFERROR(C15/B15,"")</f>
        <v/>
      </c>
      <c r="F15" s="32">
        <f>SUM(F4:F14)</f>
        <v/>
      </c>
      <c r="G15" s="32">
        <f>SUM(G4:G14)</f>
        <v/>
      </c>
      <c r="H15" s="32">
        <f>IFERROR(G15/B15,"")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2026-08-20T09:51:41Z</dcterms:created>
  <dcterms:modified xmlns:dcterms="http://purl.org/dc/terms/" xmlns:xsi="http://www.w3.org/2001/XMLSchema-instance" xsi:type="dcterms:W3CDTF">2026-08-20T09:51:41Z</dcterms:modified>
</cp:coreProperties>
</file>