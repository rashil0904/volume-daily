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'Charges'!$A$3:$N$254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515.25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610.3099999999999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514.1900000000001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595.38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526.14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367.34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376.36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337.6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376.81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339.17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376.04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0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803.47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377.89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336.52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301.2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373.47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950.51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934.51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964.38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612.7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613.84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694.16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661.67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587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610.39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601.67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596.23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687.71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610.36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437.66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384.09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382.7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431.78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393.8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341.34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346.98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393.4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349.44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833.8200000000001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739.8200000000001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766.78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432.72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430.76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487.6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487.69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437.77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382.63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394.51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494.15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391.57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343.5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587.9400000000001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583.85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592.88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509.91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578.39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468.38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465.39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407.26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463.37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442.78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512.58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459.79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524.72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519.0599999999999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517.4400000000001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445.64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461.95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626.4400000000001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634.4299999999999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661.85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647.29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665.03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649.5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294.85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336.65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288.39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191.65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290.15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499.46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459.14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462.67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517.1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519.16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456.45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411.86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357.77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161.97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395.59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329.38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334.85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365.48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333.1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379.12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221.04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521.77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n">
        <v>46293</v>
      </c>
      <c r="H234" s="25" t="n">
        <v>384.93</v>
      </c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288.97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n">
        <v>46293</v>
      </c>
      <c r="H235" s="25" t="n">
        <v>79</v>
      </c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753.75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n">
        <v>46293</v>
      </c>
      <c r="H236" s="25" t="n">
        <v>616.9</v>
      </c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844.87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n">
        <v>46293</v>
      </c>
      <c r="H237" s="25" t="n">
        <v>310.62</v>
      </c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737.0700000000001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n">
        <v>46293</v>
      </c>
      <c r="H238" s="25" t="n">
        <v>421.35</v>
      </c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871.05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n">
        <v>46293</v>
      </c>
      <c r="H239" s="25" t="n">
        <v>376.65</v>
      </c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807.85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46293</v>
      </c>
      <c r="E240" s="25" t="n">
        <v>625.9431</v>
      </c>
      <c r="F240" s="26" t="n">
        <v>479</v>
      </c>
      <c r="G240" s="24" t="n">
        <v>46294</v>
      </c>
      <c r="H240" s="25" t="n">
        <v>602.61</v>
      </c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>
        <v>816.16</v>
      </c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inlineStr">
        <is>
          <t>5-10</t>
        </is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46293</v>
      </c>
      <c r="E241" s="25" t="n">
        <v>282.74</v>
      </c>
      <c r="F241" s="26" t="n">
        <v>1061</v>
      </c>
      <c r="G241" s="24" t="n">
        <v>46294</v>
      </c>
      <c r="H241" s="25" t="n">
        <v>297</v>
      </c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>
        <v>149.34</v>
      </c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inlineStr">
        <is>
          <t>15-20</t>
        </is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25" t="n">
        <v>297.01</v>
      </c>
      <c r="F242" s="26" t="n">
        <v>1061</v>
      </c>
      <c r="G242" s="24" t="n">
        <v>46294</v>
      </c>
      <c r="H242" s="25" t="n">
        <v>298.99</v>
      </c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>
        <v>398.29</v>
      </c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inlineStr">
        <is>
          <t>15-20</t>
        </is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46293</v>
      </c>
      <c r="E243" s="25" t="n">
        <v>80.2633</v>
      </c>
      <c r="F243" s="26" t="n">
        <v>3732</v>
      </c>
      <c r="G243" s="24" t="n">
        <v>46294</v>
      </c>
      <c r="H243" s="25" t="n">
        <v>78.87</v>
      </c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>
        <v>904.12</v>
      </c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inlineStr">
        <is>
          <t>5-10</t>
        </is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46293</v>
      </c>
      <c r="E244" s="25" t="n">
        <v>97.1964</v>
      </c>
      <c r="F244" s="26" t="n">
        <v>3087</v>
      </c>
      <c r="G244" s="24" t="n">
        <v>46294</v>
      </c>
      <c r="H244" s="25" t="n">
        <v>92.37</v>
      </c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>
        <v>786.4</v>
      </c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inlineStr">
        <is>
          <t>15-20</t>
        </is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46293</v>
      </c>
      <c r="E245" s="25" t="n">
        <v>22.1897</v>
      </c>
      <c r="F245" s="26" t="n">
        <v>13513</v>
      </c>
      <c r="G245" s="24" t="n">
        <v>46294</v>
      </c>
      <c r="H245" s="25" t="n">
        <v>22.65</v>
      </c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>
        <v>762.1</v>
      </c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inlineStr">
        <is>
          <t>10-15</t>
        </is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46294</v>
      </c>
      <c r="E246" s="25" t="n">
        <v>76.3257</v>
      </c>
      <c r="F246" s="26" t="n">
        <v>2805</v>
      </c>
      <c r="G246" s="24" t="n">
        <v>46295</v>
      </c>
      <c r="H246" s="25" t="n">
        <v>77.04000000000001</v>
      </c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>
        <v>622.3</v>
      </c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inlineStr">
        <is>
          <t>5-10</t>
        </is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46294</v>
      </c>
      <c r="E247" s="25" t="n">
        <v>272.5066</v>
      </c>
      <c r="F247" s="26" t="n">
        <v>788</v>
      </c>
      <c r="G247" s="24" t="n">
        <v>46295</v>
      </c>
      <c r="H247" s="25" t="n">
        <v>265.34</v>
      </c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>
        <v>613.75</v>
      </c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inlineStr">
        <is>
          <t>5-10</t>
        </is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46294</v>
      </c>
      <c r="E248" s="25" t="n">
        <v>298.4</v>
      </c>
      <c r="F248" s="26" t="n">
        <v>359</v>
      </c>
      <c r="G248" s="24" t="n">
        <v>46295</v>
      </c>
      <c r="H248" s="25" t="n">
        <v>292.46</v>
      </c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>
        <v>174.87</v>
      </c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inlineStr">
        <is>
          <t>5-10</t>
        </is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46294</v>
      </c>
      <c r="E249" s="25" t="n">
        <v>26.45</v>
      </c>
      <c r="F249" s="26" t="n">
        <v>4058</v>
      </c>
      <c r="G249" s="24" t="n">
        <v>46295</v>
      </c>
      <c r="H249" s="25" t="n">
        <v>24.94</v>
      </c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>
        <v>198.04</v>
      </c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inlineStr">
        <is>
          <t>15-20</t>
        </is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46294</v>
      </c>
      <c r="E250" s="25" t="n">
        <v>526.5716</v>
      </c>
      <c r="F250" s="26" t="n">
        <v>407</v>
      </c>
      <c r="G250" s="24" t="n">
        <v>46295</v>
      </c>
      <c r="H250" s="25" t="n">
        <v>545.84</v>
      </c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>
        <v>456.38</v>
      </c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inlineStr">
        <is>
          <t>5-10</t>
        </is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25" t="n">
        <v>547.72</v>
      </c>
      <c r="F251" s="26" t="n">
        <v>407</v>
      </c>
      <c r="G251" s="24" t="n">
        <v>46295</v>
      </c>
      <c r="H251" s="25" t="n">
        <v>530.67</v>
      </c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>
        <v>321.81</v>
      </c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inlineStr">
        <is>
          <t>5-10</t>
        </is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46294</v>
      </c>
      <c r="E252" s="25" t="n">
        <v>571.4527</v>
      </c>
      <c r="F252" s="26" t="n">
        <v>375</v>
      </c>
      <c r="G252" s="24" t="n">
        <v>46295</v>
      </c>
      <c r="H252" s="25" t="n">
        <v>566.01</v>
      </c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>
        <v>668.21</v>
      </c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inlineStr">
        <is>
          <t>5-10</t>
        </is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46295</v>
      </c>
      <c r="E253" s="25" t="n">
        <v>1112.4101</v>
      </c>
      <c r="F253" s="26" t="n">
        <v>338</v>
      </c>
      <c r="G253" s="24" t="n">
        <v>46296</v>
      </c>
      <c r="H253" s="25" t="n">
        <v>1092.88</v>
      </c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>
        <v>670.53</v>
      </c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inlineStr">
        <is>
          <t>5-10</t>
        </is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46295</v>
      </c>
      <c r="E254" s="25" t="n">
        <v>1772</v>
      </c>
      <c r="F254" s="26" t="n">
        <v>105</v>
      </c>
      <c r="G254" s="24" t="n">
        <v>46296</v>
      </c>
      <c r="H254" s="25" t="n">
        <v>1775.08</v>
      </c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>
        <v>235.89</v>
      </c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inlineStr">
        <is>
          <t>5-10</t>
        </is>
      </c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DIAMONDYD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DPABHUSHAN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EIEL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ELECTCAST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EMUDHRA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FILATEX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FMGOETZE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FOSECOIND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FRONTSP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GKENERGY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GNA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GNRL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GOCLCORP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GOPAL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GRAUWEIL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GREAVESCOT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GUJTHEM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HERITGFOOD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HIKAL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HINDOILEXP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HUBTOWN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INDIAGLYCO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INDNIPPON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INDOCO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INDORAMA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IPL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JASH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JAYKAY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JGCHEM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JINDRILL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KCP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KIRIINDUS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KIRLOSIND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KLBRENG-B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KROSS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KSCL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KSL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LUXIND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MAITHANALL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MANGLMCEM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MASTEK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MOBIKWIK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MUKANDLTD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NETWORK18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NILKAMAL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NORTHARC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NOVARTIND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NPST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NRBBEARING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OMAXE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ONEPOINT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OPTIEMUS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ORIENTHOT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PACEDIGITK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PITTIENG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PROTEAN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QUADFUTURE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RACLGEAR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RAMRAT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RAYMOND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RAYMONDREL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REFEX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RESPONIND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RML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ROSSTECH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RPGLIFE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RSYSTEMS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SAATVIKGL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SAKAR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SAMBHV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SAMHI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SANGAMIND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SDBL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SHANTIGOLD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SHAREINDIA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SHOPERSTOP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SIKA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SINDHUTRAD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SMCGLOBAL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SMSPHARMA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SOLARA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SOTL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SSWL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STEELCAS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SYMPHONY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SYNCOMF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TALBROAUTO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TBZ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TCIEXP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THOMASCOOK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UNICHEMLAB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VENKEYS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27" t="inlineStr">
        <is>
          <t>VENUSPIPES</t>
        </is>
      </c>
      <c r="B112" s="20">
        <f>COUNTIF('Trade Log'!$B$4:$B$503,$A112)</f>
        <v/>
      </c>
      <c r="C112" s="20">
        <f>COUNTIFS('Trade Log'!$B$4:$B$503,$A112,'Trade Log'!$L$4:$L$503,"&gt;0")</f>
        <v/>
      </c>
      <c r="D112" s="20">
        <f>COUNTIFS('Trade Log'!$B$4:$B$503,$A112,'Trade Log'!$L$4:$L$503,"&lt;0")</f>
        <v/>
      </c>
      <c r="E112" s="22">
        <f>IFERROR($C112/$B112,"")</f>
        <v/>
      </c>
      <c r="F112" s="21">
        <f>SUMIF('Trade Log'!$B$4:$B$503,$A112,'Trade Log'!$I$4:$I$503)</f>
        <v/>
      </c>
      <c r="G112" s="21">
        <f>SUMIF('Trade Log'!$B$4:$B$503,$A112,'Trade Log'!$L$4:$L$503)</f>
        <v/>
      </c>
      <c r="H112" s="21">
        <f>IFERROR($G112/$B112,"")</f>
        <v/>
      </c>
      <c r="I112" s="21">
        <f>IFERROR(_xlfn.MAXIFS('Trade Log'!$L$4:$L$503,'Trade Log'!$B$4:$B$503,$A112),"")</f>
        <v/>
      </c>
      <c r="J112" s="21">
        <f>IFERROR(_xlfn.MINIFS('Trade Log'!$L$4:$L$503,'Trade Log'!$B$4:$B$503,$A112),"")</f>
        <v/>
      </c>
    </row>
    <row r="113">
      <c r="A113" s="27" t="inlineStr">
        <is>
          <t>VERANDA</t>
        </is>
      </c>
      <c r="B113" s="20">
        <f>COUNTIF('Trade Log'!$B$4:$B$503,$A113)</f>
        <v/>
      </c>
      <c r="C113" s="20">
        <f>COUNTIFS('Trade Log'!$B$4:$B$503,$A113,'Trade Log'!$L$4:$L$503,"&gt;0")</f>
        <v/>
      </c>
      <c r="D113" s="20">
        <f>COUNTIFS('Trade Log'!$B$4:$B$503,$A113,'Trade Log'!$L$4:$L$503,"&lt;0")</f>
        <v/>
      </c>
      <c r="E113" s="22">
        <f>IFERROR($C113/$B113,"")</f>
        <v/>
      </c>
      <c r="F113" s="21">
        <f>SUMIF('Trade Log'!$B$4:$B$503,$A113,'Trade Log'!$I$4:$I$503)</f>
        <v/>
      </c>
      <c r="G113" s="21">
        <f>SUMIF('Trade Log'!$B$4:$B$503,$A113,'Trade Log'!$L$4:$L$503)</f>
        <v/>
      </c>
      <c r="H113" s="21">
        <f>IFERROR($G113/$B113,"")</f>
        <v/>
      </c>
      <c r="I113" s="21">
        <f>IFERROR(_xlfn.MAXIFS('Trade Log'!$L$4:$L$503,'Trade Log'!$B$4:$B$503,$A113),"")</f>
        <v/>
      </c>
      <c r="J113" s="21">
        <f>IFERROR(_xlfn.MINIFS('Trade Log'!$L$4:$L$503,'Trade Log'!$B$4:$B$503,$A113),"")</f>
        <v/>
      </c>
    </row>
    <row r="114">
      <c r="A114" s="27" t="inlineStr">
        <is>
          <t>VSSL</t>
        </is>
      </c>
      <c r="B114" s="20">
        <f>COUNTIF('Trade Log'!$B$4:$B$503,$A114)</f>
        <v/>
      </c>
      <c r="C114" s="20">
        <f>COUNTIFS('Trade Log'!$B$4:$B$503,$A114,'Trade Log'!$L$4:$L$503,"&gt;0")</f>
        <v/>
      </c>
      <c r="D114" s="20">
        <f>COUNTIFS('Trade Log'!$B$4:$B$503,$A114,'Trade Log'!$L$4:$L$503,"&lt;0")</f>
        <v/>
      </c>
      <c r="E114" s="22">
        <f>IFERROR($C114/$B114,"")</f>
        <v/>
      </c>
      <c r="F114" s="21">
        <f>SUMIF('Trade Log'!$B$4:$B$503,$A114,'Trade Log'!$I$4:$I$503)</f>
        <v/>
      </c>
      <c r="G114" s="21">
        <f>SUMIF('Trade Log'!$B$4:$B$503,$A114,'Trade Log'!$L$4:$L$503)</f>
        <v/>
      </c>
      <c r="H114" s="21">
        <f>IFERROR($G114/$B114,"")</f>
        <v/>
      </c>
      <c r="I114" s="21">
        <f>IFERROR(_xlfn.MAXIFS('Trade Log'!$L$4:$L$503,'Trade Log'!$B$4:$B$503,$A114),"")</f>
        <v/>
      </c>
      <c r="J114" s="21">
        <f>IFERROR(_xlfn.MINIFS('Trade Log'!$L$4:$L$503,'Trade Log'!$B$4:$B$503,$A114),"")</f>
        <v/>
      </c>
    </row>
    <row r="115">
      <c r="A115" s="27" t="inlineStr">
        <is>
          <t>WELSPLSOL</t>
        </is>
      </c>
      <c r="B115" s="20">
        <f>COUNTIF('Trade Log'!$B$4:$B$503,$A115)</f>
        <v/>
      </c>
      <c r="C115" s="20">
        <f>COUNTIFS('Trade Log'!$B$4:$B$503,$A115,'Trade Log'!$L$4:$L$503,"&gt;0")</f>
        <v/>
      </c>
      <c r="D115" s="20">
        <f>COUNTIFS('Trade Log'!$B$4:$B$503,$A115,'Trade Log'!$L$4:$L$503,"&lt;0")</f>
        <v/>
      </c>
      <c r="E115" s="22">
        <f>IFERROR($C115/$B115,"")</f>
        <v/>
      </c>
      <c r="F115" s="21">
        <f>SUMIF('Trade Log'!$B$4:$B$503,$A115,'Trade Log'!$I$4:$I$503)</f>
        <v/>
      </c>
      <c r="G115" s="21">
        <f>SUMIF('Trade Log'!$B$4:$B$503,$A115,'Trade Log'!$L$4:$L$503)</f>
        <v/>
      </c>
      <c r="H115" s="21">
        <f>IFERROR($G115/$B115,"")</f>
        <v/>
      </c>
      <c r="I115" s="21">
        <f>IFERROR(_xlfn.MAXIFS('Trade Log'!$L$4:$L$503,'Trade Log'!$B$4:$B$503,$A115),"")</f>
        <v/>
      </c>
      <c r="J115" s="21">
        <f>IFERROR(_xlfn.MINIFS('Trade Log'!$L$4:$L$503,'Trade Log'!$B$4:$B$503,$A115),"")</f>
        <v/>
      </c>
    </row>
    <row r="116">
      <c r="A116" s="27" t="inlineStr">
        <is>
          <t>WENDT</t>
        </is>
      </c>
      <c r="B116" s="20">
        <f>COUNTIF('Trade Log'!$B$4:$B$503,$A116)</f>
        <v/>
      </c>
      <c r="C116" s="20">
        <f>COUNTIFS('Trade Log'!$B$4:$B$503,$A116,'Trade Log'!$L$4:$L$503,"&gt;0")</f>
        <v/>
      </c>
      <c r="D116" s="20">
        <f>COUNTIFS('Trade Log'!$B$4:$B$503,$A116,'Trade Log'!$L$4:$L$503,"&lt;0")</f>
        <v/>
      </c>
      <c r="E116" s="22">
        <f>IFERROR($C116/$B116,"")</f>
        <v/>
      </c>
      <c r="F116" s="21">
        <f>SUMIF('Trade Log'!$B$4:$B$503,$A116,'Trade Log'!$I$4:$I$503)</f>
        <v/>
      </c>
      <c r="G116" s="21">
        <f>SUMIF('Trade Log'!$B$4:$B$503,$A116,'Trade Log'!$L$4:$L$503)</f>
        <v/>
      </c>
      <c r="H116" s="21">
        <f>IFERROR($G116/$B116,"")</f>
        <v/>
      </c>
      <c r="I116" s="21">
        <f>IFERROR(_xlfn.MAXIFS('Trade Log'!$L$4:$L$503,'Trade Log'!$B$4:$B$503,$A116),"")</f>
        <v/>
      </c>
      <c r="J116" s="21">
        <f>IFERROR(_xlfn.MINIFS('Trade Log'!$L$4:$L$503,'Trade Log'!$B$4:$B$503,$A116),"")</f>
        <v/>
      </c>
    </row>
    <row r="117">
      <c r="A117" s="27" t="inlineStr">
        <is>
          <t>WINDLAS</t>
        </is>
      </c>
      <c r="B117" s="20">
        <f>COUNTIF('Trade Log'!$B$4:$B$503,$A117)</f>
        <v/>
      </c>
      <c r="C117" s="20">
        <f>COUNTIFS('Trade Log'!$B$4:$B$503,$A117,'Trade Log'!$L$4:$L$503,"&gt;0")</f>
        <v/>
      </c>
      <c r="D117" s="20">
        <f>COUNTIFS('Trade Log'!$B$4:$B$503,$A117,'Trade Log'!$L$4:$L$503,"&lt;0")</f>
        <v/>
      </c>
      <c r="E117" s="22">
        <f>IFERROR($C117/$B117,"")</f>
        <v/>
      </c>
      <c r="F117" s="21">
        <f>SUMIF('Trade Log'!$B$4:$B$503,$A117,'Trade Log'!$I$4:$I$503)</f>
        <v/>
      </c>
      <c r="G117" s="21">
        <f>SUMIF('Trade Log'!$B$4:$B$503,$A117,'Trade Log'!$L$4:$L$503)</f>
        <v/>
      </c>
      <c r="H117" s="21">
        <f>IFERROR($G117/$B117,"")</f>
        <v/>
      </c>
      <c r="I117" s="21">
        <f>IFERROR(_xlfn.MAXIFS('Trade Log'!$L$4:$L$503,'Trade Log'!$B$4:$B$503,$A117),"")</f>
        <v/>
      </c>
      <c r="J117" s="21">
        <f>IFERROR(_xlfn.MINIFS('Trade Log'!$L$4:$L$503,'Trade Log'!$B$4:$B$503,$A117),"")</f>
        <v/>
      </c>
    </row>
    <row r="118">
      <c r="A118" s="27" t="inlineStr">
        <is>
          <t>XPROINDIA</t>
        </is>
      </c>
      <c r="B118" s="20">
        <f>COUNTIF('Trade Log'!$B$4:$B$503,$A118)</f>
        <v/>
      </c>
      <c r="C118" s="20">
        <f>COUNTIFS('Trade Log'!$B$4:$B$503,$A118,'Trade Log'!$L$4:$L$503,"&gt;0")</f>
        <v/>
      </c>
      <c r="D118" s="20">
        <f>COUNTIFS('Trade Log'!$B$4:$B$503,$A118,'Trade Log'!$L$4:$L$503,"&lt;0")</f>
        <v/>
      </c>
      <c r="E118" s="22">
        <f>IFERROR($C118/$B118,"")</f>
        <v/>
      </c>
      <c r="F118" s="21">
        <f>SUMIF('Trade Log'!$B$4:$B$503,$A118,'Trade Log'!$I$4:$I$503)</f>
        <v/>
      </c>
      <c r="G118" s="21">
        <f>SUMIF('Trade Log'!$B$4:$B$503,$A118,'Trade Log'!$L$4:$L$503)</f>
        <v/>
      </c>
      <c r="H118" s="21">
        <f>IFERROR($G118/$B118,"")</f>
        <v/>
      </c>
      <c r="I118" s="21">
        <f>IFERROR(_xlfn.MAXIFS('Trade Log'!$L$4:$L$503,'Trade Log'!$B$4:$B$503,$A118),"")</f>
        <v/>
      </c>
      <c r="J118" s="21">
        <f>IFERROR(_xlfn.MINIFS('Trade Log'!$L$4:$L$503,'Trade Log'!$B$4:$B$503,$A118),"")</f>
        <v/>
      </c>
    </row>
    <row r="119">
      <c r="A119" s="27" t="inlineStr">
        <is>
          <t>ZAGGLE</t>
        </is>
      </c>
      <c r="B119" s="20">
        <f>COUNTIF('Trade Log'!$B$4:$B$503,$A119)</f>
        <v/>
      </c>
      <c r="C119" s="20">
        <f>COUNTIFS('Trade Log'!$B$4:$B$503,$A119,'Trade Log'!$L$4:$L$503,"&gt;0")</f>
        <v/>
      </c>
      <c r="D119" s="20">
        <f>COUNTIFS('Trade Log'!$B$4:$B$503,$A119,'Trade Log'!$L$4:$L$503,"&lt;0")</f>
        <v/>
      </c>
      <c r="E119" s="22">
        <f>IFERROR($C119/$B119,"")</f>
        <v/>
      </c>
      <c r="F119" s="21">
        <f>SUMIF('Trade Log'!$B$4:$B$503,$A119,'Trade Log'!$I$4:$I$503)</f>
        <v/>
      </c>
      <c r="G119" s="21">
        <f>SUMIF('Trade Log'!$B$4:$B$503,$A119,'Trade Log'!$L$4:$L$503)</f>
        <v/>
      </c>
      <c r="H119" s="21">
        <f>IFERROR($G119/$B119,"")</f>
        <v/>
      </c>
      <c r="I119" s="21">
        <f>IFERROR(_xlfn.MAXIFS('Trade Log'!$L$4:$L$503,'Trade Log'!$B$4:$B$503,$A119),"")</f>
        <v/>
      </c>
      <c r="J119" s="21">
        <f>IFERROR(_xlfn.MINIFS('Trade Log'!$L$4:$L$503,'Trade Log'!$B$4:$B$503,$A119),"")</f>
        <v/>
      </c>
    </row>
    <row r="120">
      <c r="A120" s="27" t="inlineStr">
        <is>
          <t>ZOTA</t>
        </is>
      </c>
      <c r="B120" s="20">
        <f>COUNTIF('Trade Log'!$B$4:$B$503,$A120)</f>
        <v/>
      </c>
      <c r="C120" s="20">
        <f>COUNTIFS('Trade Log'!$B$4:$B$503,$A120,'Trade Log'!$L$4:$L$503,"&gt;0")</f>
        <v/>
      </c>
      <c r="D120" s="20">
        <f>COUNTIFS('Trade Log'!$B$4:$B$503,$A120,'Trade Log'!$L$4:$L$503,"&lt;0")</f>
        <v/>
      </c>
      <c r="E120" s="22">
        <f>IFERROR($C120/$B120,"")</f>
        <v/>
      </c>
      <c r="F120" s="21">
        <f>SUMIF('Trade Log'!$B$4:$B$503,$A120,'Trade Log'!$I$4:$I$503)</f>
        <v/>
      </c>
      <c r="G120" s="21">
        <f>SUMIF('Trade Log'!$B$4:$B$503,$A120,'Trade Log'!$L$4:$L$503)</f>
        <v/>
      </c>
      <c r="H120" s="21">
        <f>IFERROR($G120/$B120,"")</f>
        <v/>
      </c>
      <c r="I120" s="21">
        <f>IFERROR(_xlfn.MAXIFS('Trade Log'!$L$4:$L$503,'Trade Log'!$B$4:$B$503,$A120),"")</f>
        <v/>
      </c>
      <c r="J120" s="21">
        <f>IFERROR(_xlfn.MINIFS('Trade Log'!$L$4:$L$503,'Trade Log'!$B$4:$B$503,$A120),"")</f>
        <v/>
      </c>
    </row>
    <row r="121">
      <c r="A121" s="3" t="inlineStr">
        <is>
          <t>TOTAL</t>
        </is>
      </c>
      <c r="B121" s="30">
        <f>SUM(B4:B120)</f>
        <v/>
      </c>
      <c r="C121" s="30">
        <f>SUM(C4:C120)</f>
        <v/>
      </c>
      <c r="D121" s="30">
        <f>SUM(D4:D120)</f>
        <v/>
      </c>
      <c r="E121" s="31">
        <f>IFERROR(C121/B121,"")</f>
        <v/>
      </c>
      <c r="F121" s="32">
        <f>SUM(F4:F120)</f>
        <v/>
      </c>
      <c r="G121" s="32">
        <f>SUM(G4:G120)</f>
        <v/>
      </c>
      <c r="H121" s="32">
        <f>IFERROR(G121/B121,"")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55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51.16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71.92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51.07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61.22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60.68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28.3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34.2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35.79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34.09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37.55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34.27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247.15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34.3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34.29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0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32.87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71.81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59.89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72.11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172.25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172.74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188.5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148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144.52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80.81999999999999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79.34999999999999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71.63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72.09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79.34999999999999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46.28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41.11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40.91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40.81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36.01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29.87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35.81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38.56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37.52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214.69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214.74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216.11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49.97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47.81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47.74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47.86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47.36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40.92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37.89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56.92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36.93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30.64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59.51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59.44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67.16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59.18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58.63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148.99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147.62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88.93000000000001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143.34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123.76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154.54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55.52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55.76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51.45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51.2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42.65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58.76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65.93000000000001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77.09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197.33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183.94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199.94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184.66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28.37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29.08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17.44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10.26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24.04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DHAN-321260922619209+221260922652409+34126092266209+34126092266109+23126092273409+221260922650709+23126092273309+321260922616909+34126092265709+34126092265509+34126092265409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95.05</v>
      </c>
      <c r="F194" s="4" t="n">
        <v>250.29</v>
      </c>
      <c r="G194" s="4" t="n">
        <v>15.19</v>
      </c>
      <c r="H194" s="4" t="n">
        <v>0.49</v>
      </c>
      <c r="I194" s="4" t="n">
        <v>37.54</v>
      </c>
      <c r="J194" s="4" t="n">
        <v>19.93</v>
      </c>
      <c r="K194" s="4" t="n">
        <v>14.75</v>
      </c>
      <c r="L194" s="4" t="n">
        <v>35.4</v>
      </c>
      <c r="M194" s="4" t="n">
        <v>30.82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53.93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58.28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51.35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51.34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54.21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DHAN-34126092398609+321260923716809+34126092398409+221260923706809+321260923715609+23126092396009+23126092395709+34126092397609+221260923704609+34126092397409+23126092394409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69.98</v>
      </c>
      <c r="F206" s="4" t="n">
        <v>207.6</v>
      </c>
      <c r="G206" s="4" t="n">
        <v>10.16</v>
      </c>
      <c r="H206" s="4" t="n">
        <v>0.33</v>
      </c>
      <c r="I206" s="4" t="n">
        <v>24.98</v>
      </c>
      <c r="J206" s="4" t="n">
        <v>14.49</v>
      </c>
      <c r="K206" s="4" t="n">
        <v>14.75</v>
      </c>
      <c r="L206" s="4" t="n">
        <v>35.4</v>
      </c>
      <c r="M206" s="4" t="n">
        <v>34.18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DHAN-221260923706909+321260923715509+23126092395909+321260923715009+34126092397909+221260923705109+34126092397709+321260923713609+23126092394709+23126092394509+221260923703109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70.02</v>
      </c>
      <c r="F208" s="4" t="n">
        <v>166.76</v>
      </c>
      <c r="G208" s="4" t="n">
        <v>10.41</v>
      </c>
      <c r="H208" s="4" t="n">
        <v>0.34</v>
      </c>
      <c r="I208" s="4" t="n">
        <v>25.02</v>
      </c>
      <c r="J208" s="4" t="n">
        <v>14.54</v>
      </c>
      <c r="K208" s="4" t="n">
        <v>14.75</v>
      </c>
      <c r="L208" s="4" t="n">
        <v>35.4</v>
      </c>
      <c r="M208" s="4" t="n">
        <v>20.53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DHAN-34126092398509+221260923707409+221260923707009+34126092398209+34126092398009+321260923714709+321260923714009+23126092395009+221260923704209+221260923703809+221260923703209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104.79</v>
      </c>
      <c r="G210" s="4" t="n">
        <v>5.25</v>
      </c>
      <c r="H210" s="4" t="n">
        <v>0.17</v>
      </c>
      <c r="I210" s="4" t="n">
        <v>12.43</v>
      </c>
      <c r="J210" s="4" t="n">
        <v>4.58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DHAN-23126092396309+321260923717309+321260923716709+23126092396209+34126092398309+221260923706209+34126092397809+34126092397509+221260923704109+34126092397209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69.73999999999999</v>
      </c>
      <c r="F212" s="4" t="n">
        <v>205.68</v>
      </c>
      <c r="G212" s="4" t="n">
        <v>10.01</v>
      </c>
      <c r="H212" s="4" t="n">
        <v>0.33</v>
      </c>
      <c r="I212" s="4" t="n">
        <v>24.86</v>
      </c>
      <c r="J212" s="4" t="n">
        <v>14.41</v>
      </c>
      <c r="K212" s="4" t="n">
        <v>14.75</v>
      </c>
      <c r="L212" s="4" t="n">
        <v>35.4</v>
      </c>
      <c r="M212" s="4" t="n">
        <v>20.4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28.44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34.1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20.53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33.82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37.25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55.07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DHAN-34126092474609+23126092484409+34126092474109+321260924761509+321260924761309+221260924777809+221260924777309+221260924776009+321260924759409+221260924775609+23126092484109+321260924758509+321260924758109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154.7</v>
      </c>
      <c r="G226" s="4" t="n">
        <v>7.68</v>
      </c>
      <c r="H226" s="4" t="n">
        <v>0.25</v>
      </c>
      <c r="I226" s="4" t="n">
        <v>18.64</v>
      </c>
      <c r="J226" s="4" t="n">
        <v>5.03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54.17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57.2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DHAN-34126092589909+23126092590609+321260925635709+23126092590509+221260925652809+23126092590209+23126092589909+321260925634109+34126092589509+23126092589709+321260925632309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46293</v>
      </c>
      <c r="E234" s="4" t="n">
        <v>0</v>
      </c>
      <c r="F234" s="4" t="n">
        <v>246.31</v>
      </c>
      <c r="G234" s="4" t="n">
        <v>7.56</v>
      </c>
      <c r="H234" s="4" t="n">
        <v>0.25</v>
      </c>
      <c r="I234" s="4" t="n">
        <v>18.7</v>
      </c>
      <c r="J234" s="4" t="n">
        <v>1.41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46293</v>
      </c>
      <c r="E235" s="4" t="n">
        <v>40</v>
      </c>
      <c r="F235" s="4" t="n">
        <v>507.4</v>
      </c>
      <c r="G235" s="4" t="n">
        <v>15.58</v>
      </c>
      <c r="H235" s="4" t="n">
        <v>0.51</v>
      </c>
      <c r="I235" s="4" t="n">
        <v>37.55</v>
      </c>
      <c r="J235" s="4" t="n">
        <v>10.1</v>
      </c>
      <c r="K235" s="4" t="n">
        <v>14.75</v>
      </c>
      <c r="L235" s="4" t="n">
        <v>35.4</v>
      </c>
      <c r="M235" s="4" t="n">
        <v>92.47</v>
      </c>
      <c r="N235" s="21">
        <f>SUM(E235:M235)</f>
        <v/>
      </c>
    </row>
    <row r="236">
      <c r="A236" s="23" t="inlineStr">
        <is>
          <t>DHAN-34126092589809+221260925653309+221260925652709+23126092590409+23126092590109+34126092589609+321260925634209+321260925633309+34126092589109+321260925632409+34126092588909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46293</v>
      </c>
      <c r="E236" s="4" t="n">
        <v>94.84999999999999</v>
      </c>
      <c r="F236" s="4" t="n">
        <v>498.73</v>
      </c>
      <c r="G236" s="4" t="n">
        <v>15.31</v>
      </c>
      <c r="H236" s="4" t="n">
        <v>0.5</v>
      </c>
      <c r="I236" s="4" t="n">
        <v>37.42</v>
      </c>
      <c r="J236" s="4" t="n">
        <v>19.92</v>
      </c>
      <c r="K236" s="4" t="n">
        <v>14.75</v>
      </c>
      <c r="L236" s="4" t="n">
        <v>35.4</v>
      </c>
      <c r="M236" s="4" t="n">
        <v>127.99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46293</v>
      </c>
      <c r="E237" s="4" t="n">
        <v>40</v>
      </c>
      <c r="F237" s="4" t="n">
        <v>490.83</v>
      </c>
      <c r="G237" s="4" t="n">
        <v>15.07</v>
      </c>
      <c r="H237" s="4" t="n">
        <v>0.49</v>
      </c>
      <c r="I237" s="4" t="n">
        <v>37.7</v>
      </c>
      <c r="J237" s="4" t="n">
        <v>10</v>
      </c>
      <c r="K237" s="4" t="n">
        <v>14.75</v>
      </c>
      <c r="L237" s="4" t="n">
        <v>35.4</v>
      </c>
      <c r="M237" s="4" t="n">
        <v>92.84</v>
      </c>
      <c r="N237" s="21">
        <f>SUM(E237:M237)</f>
        <v/>
      </c>
    </row>
    <row r="238">
      <c r="A238" s="23" t="inlineStr">
        <is>
          <t>DHAN-221260925653209+34126092589709+221260925652409+23126092590009+221260925651309+23126092589809+321260925633809+34126092589409+34126092589309+34126092589209+34126092588809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46293</v>
      </c>
      <c r="E238" s="4" t="n">
        <v>94.97</v>
      </c>
      <c r="F238" s="4" t="n">
        <v>498.88</v>
      </c>
      <c r="G238" s="4" t="n">
        <v>15.32</v>
      </c>
      <c r="H238" s="4" t="n">
        <v>0.5</v>
      </c>
      <c r="I238" s="4" t="n">
        <v>37.48</v>
      </c>
      <c r="J238" s="4" t="n">
        <v>19.94</v>
      </c>
      <c r="K238" s="4" t="n">
        <v>14.75</v>
      </c>
      <c r="L238" s="4" t="n">
        <v>35.4</v>
      </c>
      <c r="M238" s="4" t="n">
        <v>153.82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46293</v>
      </c>
      <c r="E239" s="4" t="n">
        <v>40</v>
      </c>
      <c r="F239" s="4" t="n">
        <v>500.26</v>
      </c>
      <c r="G239" s="4" t="n">
        <v>15.36</v>
      </c>
      <c r="H239" s="4" t="n">
        <v>0.5</v>
      </c>
      <c r="I239" s="4" t="n">
        <v>37.76</v>
      </c>
      <c r="J239" s="4" t="n">
        <v>10.05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23" t="inlineStr">
        <is>
          <t>DHAN-341260928158909</t>
        </is>
      </c>
      <c r="B240" s="23" t="inlineStr">
        <is>
          <t>JINDRILL</t>
        </is>
      </c>
      <c r="C240" s="23" t="inlineStr">
        <is>
          <t>LONG</t>
        </is>
      </c>
      <c r="D240" s="24" t="n">
        <v>46294</v>
      </c>
      <c r="E240" s="4" t="n">
        <v>40</v>
      </c>
      <c r="F240" s="4" t="n">
        <v>588.48</v>
      </c>
      <c r="G240" s="4" t="n">
        <v>18.07</v>
      </c>
      <c r="H240" s="4" t="n">
        <v>0.59</v>
      </c>
      <c r="I240" s="4" t="n">
        <v>44.97</v>
      </c>
      <c r="J240" s="4" t="n">
        <v>10.56</v>
      </c>
      <c r="K240" s="4" t="n">
        <v>14.75</v>
      </c>
      <c r="L240" s="4" t="n">
        <v>35.4</v>
      </c>
      <c r="M240" s="4" t="n">
        <v>63.35</v>
      </c>
      <c r="N240" s="21">
        <f>SUM(E240:M240)</f>
        <v/>
      </c>
    </row>
    <row r="241">
      <c r="A241" s="23" t="inlineStr">
        <is>
          <t>DHAN-reconciled_dup_buy_20260928</t>
        </is>
      </c>
      <c r="B241" s="23" t="inlineStr">
        <is>
          <t>RSYSTEMS</t>
        </is>
      </c>
      <c r="C241" s="23" t="inlineStr">
        <is>
          <t>LONG</t>
        </is>
      </c>
      <c r="D241" s="24" t="n">
        <v>46294</v>
      </c>
      <c r="E241" s="4" t="n">
        <v>20</v>
      </c>
      <c r="F241" s="4" t="n">
        <v>0</v>
      </c>
      <c r="G241" s="4" t="n">
        <v>9.67</v>
      </c>
      <c r="H241" s="4" t="n">
        <v>0.32</v>
      </c>
      <c r="I241" s="4" t="n">
        <v>0</v>
      </c>
      <c r="J241" s="4" t="n">
        <v>5.4</v>
      </c>
      <c r="K241" s="4" t="n">
        <v>14.75</v>
      </c>
      <c r="L241" s="4" t="n">
        <v>35.4</v>
      </c>
      <c r="M241" s="4" t="n">
        <v>63.8</v>
      </c>
      <c r="N241" s="21">
        <f>SUM(E241:M241)</f>
        <v/>
      </c>
    </row>
    <row r="242">
      <c r="A242" s="23" t="inlineStr">
        <is>
          <t>DHAN-23126092924109</t>
        </is>
      </c>
      <c r="B242" s="23" t="inlineStr">
        <is>
          <t>RSYSTEMS</t>
        </is>
      </c>
      <c r="C242" s="23" t="inlineStr">
        <is>
          <t>SHORT</t>
        </is>
      </c>
      <c r="D242" s="24" t="n">
        <v>46294</v>
      </c>
      <c r="E242" s="4" t="n">
        <v>40</v>
      </c>
      <c r="F242" s="4" t="n">
        <v>314.71</v>
      </c>
      <c r="G242" s="4" t="n">
        <v>19.41</v>
      </c>
      <c r="H242" s="4" t="n">
        <v>0.63</v>
      </c>
      <c r="I242" s="4" t="n">
        <v>12.73</v>
      </c>
      <c r="J242" s="4" t="n">
        <v>10.81</v>
      </c>
      <c r="K242" s="4" t="n">
        <v>0</v>
      </c>
      <c r="L242" s="4" t="n">
        <v>0</v>
      </c>
      <c r="M242" s="4" t="n">
        <v>0</v>
      </c>
      <c r="N242" s="21">
        <f>SUM(E242:M242)</f>
        <v/>
      </c>
    </row>
    <row r="243">
      <c r="A243" s="23" t="inlineStr">
        <is>
          <t>DHAN-341260928158709+341260928158609+221260928823209+341260928158409+341260928158209+341260928158009+341260928157909+221260928821609+341260928157709+221260928820609+341260928157509</t>
        </is>
      </c>
      <c r="B243" s="23" t="inlineStr">
        <is>
          <t>SDBL</t>
        </is>
      </c>
      <c r="C243" s="23" t="inlineStr">
        <is>
          <t>LONG</t>
        </is>
      </c>
      <c r="D243" s="24" t="n">
        <v>46294</v>
      </c>
      <c r="E243" s="4" t="n">
        <v>109.91</v>
      </c>
      <c r="F243" s="4" t="n">
        <v>594.33</v>
      </c>
      <c r="G243" s="4" t="n">
        <v>18.23</v>
      </c>
      <c r="H243" s="4" t="n">
        <v>0.59</v>
      </c>
      <c r="I243" s="4" t="n">
        <v>44.93</v>
      </c>
      <c r="J243" s="4" t="n">
        <v>23.17</v>
      </c>
      <c r="K243" s="4" t="n">
        <v>14.75</v>
      </c>
      <c r="L243" s="4" t="n">
        <v>35.4</v>
      </c>
      <c r="M243" s="4" t="n">
        <v>62.81</v>
      </c>
      <c r="N243" s="21">
        <f>SUM(E243:M243)</f>
        <v/>
      </c>
    </row>
    <row r="244">
      <c r="A244" s="23" t="inlineStr">
        <is>
          <t>DHAN-341260928159209</t>
        </is>
      </c>
      <c r="B244" s="23" t="inlineStr">
        <is>
          <t>SMCGLOBAL</t>
        </is>
      </c>
      <c r="C244" s="23" t="inlineStr">
        <is>
          <t>LONG</t>
        </is>
      </c>
      <c r="D244" s="24" t="n">
        <v>46294</v>
      </c>
      <c r="E244" s="4" t="n">
        <v>40</v>
      </c>
      <c r="F244" s="4" t="n">
        <v>585.21</v>
      </c>
      <c r="G244" s="4" t="n">
        <v>17.96</v>
      </c>
      <c r="H244" s="4" t="n">
        <v>0.59</v>
      </c>
      <c r="I244" s="4" t="n">
        <v>45.01</v>
      </c>
      <c r="J244" s="4" t="n">
        <v>10.54</v>
      </c>
      <c r="K244" s="4" t="n">
        <v>14.75</v>
      </c>
      <c r="L244" s="4" t="n">
        <v>35.4</v>
      </c>
      <c r="M244" s="4" t="n">
        <v>36.94</v>
      </c>
      <c r="N244" s="21">
        <f>SUM(E244:M244)</f>
        <v/>
      </c>
    </row>
    <row r="245">
      <c r="A245" s="23" t="inlineStr">
        <is>
          <t>DHAN-341260928159109</t>
        </is>
      </c>
      <c r="B245" s="23" t="inlineStr">
        <is>
          <t>SYNCOMF</t>
        </is>
      </c>
      <c r="C245" s="23" t="inlineStr">
        <is>
          <t>LONG</t>
        </is>
      </c>
      <c r="D245" s="24" t="n">
        <v>46294</v>
      </c>
      <c r="E245" s="4" t="n">
        <v>60</v>
      </c>
      <c r="F245" s="4" t="n">
        <v>522.23</v>
      </c>
      <c r="G245" s="4" t="n">
        <v>18.6</v>
      </c>
      <c r="H245" s="4" t="n">
        <v>0.61</v>
      </c>
      <c r="I245" s="4" t="n">
        <v>44.98</v>
      </c>
      <c r="J245" s="4" t="n">
        <v>14.26</v>
      </c>
      <c r="K245" s="4" t="n">
        <v>14.75</v>
      </c>
      <c r="L245" s="4" t="n">
        <v>35.4</v>
      </c>
      <c r="M245" s="4" t="n">
        <v>51.27</v>
      </c>
      <c r="N245" s="21">
        <f>SUM(E245:M245)</f>
        <v/>
      </c>
    </row>
    <row r="246">
      <c r="A246" s="23" t="inlineStr">
        <is>
          <t>DHAN-221260929652409</t>
        </is>
      </c>
      <c r="B246" s="23" t="inlineStr">
        <is>
          <t>ELECTCAST</t>
        </is>
      </c>
      <c r="C246" s="23" t="inlineStr">
        <is>
          <t>LONG</t>
        </is>
      </c>
      <c r="D246" s="24" t="n">
        <v>46295</v>
      </c>
      <c r="E246" s="4" t="n">
        <v>40</v>
      </c>
      <c r="F246" s="4" t="n">
        <v>430.21</v>
      </c>
      <c r="G246" s="4" t="n">
        <v>13.21</v>
      </c>
      <c r="H246" s="4" t="n">
        <v>0.43</v>
      </c>
      <c r="I246" s="4" t="n">
        <v>32.11</v>
      </c>
      <c r="J246" s="4" t="n">
        <v>9.65</v>
      </c>
      <c r="K246" s="4" t="n">
        <v>14.75</v>
      </c>
      <c r="L246" s="4" t="n">
        <v>35.4</v>
      </c>
      <c r="M246" s="4" t="n">
        <v>46.54</v>
      </c>
      <c r="N246" s="21">
        <f>SUM(E246:M246)</f>
        <v/>
      </c>
    </row>
    <row r="247">
      <c r="A247" s="23" t="inlineStr">
        <is>
          <t>DHAN-221260929652309</t>
        </is>
      </c>
      <c r="B247" s="23" t="inlineStr">
        <is>
          <t>INDOCO</t>
        </is>
      </c>
      <c r="C247" s="23" t="inlineStr">
        <is>
          <t>LONG</t>
        </is>
      </c>
      <c r="D247" s="24" t="n">
        <v>46295</v>
      </c>
      <c r="E247" s="4" t="n">
        <v>40</v>
      </c>
      <c r="F247" s="4" t="n">
        <v>423.83</v>
      </c>
      <c r="G247" s="4" t="n">
        <v>13.01</v>
      </c>
      <c r="H247" s="4" t="n">
        <v>0.42</v>
      </c>
      <c r="I247" s="4" t="n">
        <v>32.65</v>
      </c>
      <c r="J247" s="4" t="n">
        <v>9.619999999999999</v>
      </c>
      <c r="K247" s="4" t="n">
        <v>14.75</v>
      </c>
      <c r="L247" s="4" t="n">
        <v>35.4</v>
      </c>
      <c r="M247" s="4" t="n">
        <v>44.06</v>
      </c>
      <c r="N247" s="21">
        <f>SUM(E247:M247)</f>
        <v/>
      </c>
    </row>
    <row r="248">
      <c r="A248" s="23" t="inlineStr">
        <is>
          <t>DHAN-221260929652509</t>
        </is>
      </c>
      <c r="B248" s="23" t="inlineStr">
        <is>
          <t>RSYSTEMS</t>
        </is>
      </c>
      <c r="C248" s="23" t="inlineStr">
        <is>
          <t>LONG</t>
        </is>
      </c>
      <c r="D248" s="24" t="n">
        <v>46295</v>
      </c>
      <c r="E248" s="4" t="n">
        <v>40</v>
      </c>
      <c r="F248" s="4" t="n">
        <v>104.99</v>
      </c>
      <c r="G248" s="4" t="n">
        <v>6.51</v>
      </c>
      <c r="H248" s="4" t="n">
        <v>0.21</v>
      </c>
      <c r="I248" s="4" t="n">
        <v>0</v>
      </c>
      <c r="J248" s="4" t="n">
        <v>8.41</v>
      </c>
      <c r="K248" s="4" t="n">
        <v>14.75</v>
      </c>
      <c r="L248" s="4" t="n">
        <v>0</v>
      </c>
      <c r="M248" s="4" t="n">
        <v>0</v>
      </c>
      <c r="N248" s="21">
        <f>SUM(E248:M248)</f>
        <v/>
      </c>
    </row>
    <row r="249">
      <c r="A249" s="23" t="inlineStr">
        <is>
          <t>DHAN-321260929420709</t>
        </is>
      </c>
      <c r="B249" s="23" t="inlineStr">
        <is>
          <t>SYNCOMF</t>
        </is>
      </c>
      <c r="C249" s="23" t="inlineStr">
        <is>
          <t>LONG</t>
        </is>
      </c>
      <c r="D249" s="24" t="n">
        <v>46295</v>
      </c>
      <c r="E249" s="4" t="n">
        <v>40</v>
      </c>
      <c r="F249" s="4" t="n">
        <v>125.07</v>
      </c>
      <c r="G249" s="4" t="n">
        <v>6.4</v>
      </c>
      <c r="H249" s="4" t="n">
        <v>0.21</v>
      </c>
      <c r="I249" s="4" t="n">
        <v>3.22</v>
      </c>
      <c r="J249" s="4" t="n">
        <v>8.390000000000001</v>
      </c>
      <c r="K249" s="4" t="n">
        <v>14.75</v>
      </c>
      <c r="L249" s="4" t="n">
        <v>0</v>
      </c>
      <c r="M249" s="4" t="n">
        <v>0</v>
      </c>
      <c r="N249" s="21">
        <f>SUM(E249:M249)</f>
        <v/>
      </c>
    </row>
    <row r="250">
      <c r="A250" s="23" t="inlineStr">
        <is>
          <t>DHAN-34126092973909+321260929416609+34126092974209+34126092974309+221260929647009+221260929647509+23126092975109+34126092974609+23126092975209+221260929648209+221260929648709+23126092975409+23126092975509+34126092974709</t>
        </is>
      </c>
      <c r="B250" s="23" t="inlineStr">
        <is>
          <t>TCIEXP</t>
        </is>
      </c>
      <c r="C250" s="23" t="inlineStr">
        <is>
          <t>LONG</t>
        </is>
      </c>
      <c r="D250" s="24" t="n">
        <v>46295</v>
      </c>
      <c r="E250" s="4" t="n">
        <v>84.29000000000001</v>
      </c>
      <c r="F250" s="4" t="n">
        <v>214.31</v>
      </c>
      <c r="G250" s="4" t="n">
        <v>13.4</v>
      </c>
      <c r="H250" s="4" t="n">
        <v>0.44</v>
      </c>
      <c r="I250" s="4" t="n">
        <v>32.15</v>
      </c>
      <c r="J250" s="4" t="n">
        <v>17.66</v>
      </c>
      <c r="K250" s="4" t="n">
        <v>14.75</v>
      </c>
      <c r="L250" s="4" t="n">
        <v>35.4</v>
      </c>
      <c r="M250" s="4" t="n">
        <v>43.98</v>
      </c>
      <c r="N250" s="21">
        <f>SUM(E250:M250)</f>
        <v/>
      </c>
    </row>
    <row r="251">
      <c r="A251" s="23" t="inlineStr">
        <is>
          <t>DHAN-32126093049609</t>
        </is>
      </c>
      <c r="B251" s="23" t="inlineStr">
        <is>
          <t>TCIEXP</t>
        </is>
      </c>
      <c r="C251" s="23" t="inlineStr">
        <is>
          <t>SHORT</t>
        </is>
      </c>
      <c r="D251" s="24" t="n">
        <v>46295</v>
      </c>
      <c r="E251" s="4" t="n">
        <v>20</v>
      </c>
      <c r="F251" s="4" t="n">
        <v>275.31</v>
      </c>
      <c r="G251" s="4" t="n">
        <v>13.48</v>
      </c>
      <c r="H251" s="4" t="n">
        <v>0.44</v>
      </c>
      <c r="I251" s="4" t="n">
        <v>6.48</v>
      </c>
      <c r="J251" s="4" t="n">
        <v>6.1</v>
      </c>
      <c r="K251" s="4" t="n">
        <v>0</v>
      </c>
      <c r="L251" s="4" t="n">
        <v>0</v>
      </c>
      <c r="M251" s="4" t="n">
        <v>0</v>
      </c>
      <c r="N251" s="21">
        <f>SUM(E251:M251)</f>
        <v/>
      </c>
    </row>
    <row r="252">
      <c r="A252" s="23" t="inlineStr">
        <is>
          <t>DHAN-321260929416409+34126092974109+23126092974809+34126092974409+321260929417209+221260929647409+321260929417509+321260929417709+23126092975309+321260929418309+221260929648809+321260929418709+34126092974809</t>
        </is>
      </c>
      <c r="B252" s="23" t="inlineStr">
        <is>
          <t>UNICHEMLAB</t>
        </is>
      </c>
      <c r="C252" s="23" t="inlineStr">
        <is>
          <t>LONG</t>
        </is>
      </c>
      <c r="D252" s="24" t="n">
        <v>46295</v>
      </c>
      <c r="E252" s="4" t="n">
        <v>84.28</v>
      </c>
      <c r="F252" s="4" t="n">
        <v>426.54</v>
      </c>
      <c r="G252" s="4" t="n">
        <v>13.09</v>
      </c>
      <c r="H252" s="4" t="n">
        <v>0.43</v>
      </c>
      <c r="I252" s="4" t="n">
        <v>32.14</v>
      </c>
      <c r="J252" s="4" t="n">
        <v>17.6</v>
      </c>
      <c r="K252" s="4" t="n">
        <v>14.75</v>
      </c>
      <c r="L252" s="4" t="n">
        <v>35.4</v>
      </c>
      <c r="M252" s="4" t="n">
        <v>43.97</v>
      </c>
      <c r="N252" s="21">
        <f>SUM(E252:M252)</f>
        <v/>
      </c>
    </row>
    <row r="253">
      <c r="A253" s="23" t="inlineStr">
        <is>
          <t>DHAN-321260930406209+321260930406609+221260930616009+321260930406809+23126093060509+321260930407609+221260930618609+34126093061409+321260930408909+23126093060609+34126093061509</t>
        </is>
      </c>
      <c r="B253" s="23" t="inlineStr">
        <is>
          <t>DIAMONDYD</t>
        </is>
      </c>
      <c r="C253" s="23" t="inlineStr">
        <is>
          <t>LONG</t>
        </is>
      </c>
      <c r="D253" s="24" t="n">
        <v>46296</v>
      </c>
      <c r="E253" s="4" t="n">
        <v>82.01000000000001</v>
      </c>
      <c r="F253" s="4" t="n">
        <v>375.99</v>
      </c>
      <c r="G253" s="4" t="n">
        <v>11.54</v>
      </c>
      <c r="H253" s="4" t="n">
        <v>0.38</v>
      </c>
      <c r="I253" s="4" t="n">
        <v>56.4</v>
      </c>
      <c r="J253" s="4" t="n">
        <v>16.91</v>
      </c>
      <c r="K253" s="4" t="n">
        <v>14.75</v>
      </c>
      <c r="L253" s="4" t="n">
        <v>35.4</v>
      </c>
      <c r="M253" s="4" t="n">
        <v>77.15000000000001</v>
      </c>
      <c r="N253" s="21">
        <f>SUM(E253:M253)</f>
        <v/>
      </c>
    </row>
    <row r="254">
      <c r="A254" s="23" t="inlineStr">
        <is>
          <t>DHAN-221260930623409</t>
        </is>
      </c>
      <c r="B254" s="23" t="inlineStr">
        <is>
          <t>DPABHUSHAN</t>
        </is>
      </c>
      <c r="C254" s="23" t="inlineStr">
        <is>
          <t>LONG</t>
        </is>
      </c>
      <c r="D254" s="24" t="n">
        <v>46296</v>
      </c>
      <c r="E254" s="4" t="n">
        <v>0</v>
      </c>
      <c r="F254" s="4" t="n">
        <v>186.06</v>
      </c>
      <c r="G254" s="4" t="n">
        <v>5.71</v>
      </c>
      <c r="H254" s="4" t="n">
        <v>0.19</v>
      </c>
      <c r="I254" s="4" t="n">
        <v>28.12</v>
      </c>
      <c r="J254" s="4" t="n">
        <v>1.06</v>
      </c>
      <c r="K254" s="4" t="n">
        <v>14.75</v>
      </c>
      <c r="L254" s="4" t="n">
        <v>0</v>
      </c>
      <c r="M254" s="4" t="n">
        <v>0</v>
      </c>
      <c r="N254" s="21">
        <f>SUM(E254:M254)</f>
        <v/>
      </c>
    </row>
    <row r="255">
      <c r="A255" s="3" t="inlineStr">
        <is>
          <t>TOTAL</t>
        </is>
      </c>
      <c r="E255" s="32">
        <f>SUM(E4:E254)</f>
        <v/>
      </c>
      <c r="F255" s="32">
        <f>SUM(F4:F254)</f>
        <v/>
      </c>
      <c r="G255" s="32">
        <f>SUM(G4:G254)</f>
        <v/>
      </c>
      <c r="H255" s="32">
        <f>SUM(H4:H254)</f>
        <v/>
      </c>
      <c r="I255" s="32">
        <f>SUM(I4:I254)</f>
        <v/>
      </c>
      <c r="J255" s="32">
        <f>SUM(J4:J254)</f>
        <v/>
      </c>
      <c r="K255" s="32">
        <f>SUM(K4:K254)</f>
        <v/>
      </c>
      <c r="L255" s="32">
        <f>SUM(L4:L254)</f>
        <v/>
      </c>
      <c r="M255" s="32">
        <f>SUM(M4:M254)</f>
        <v/>
      </c>
      <c r="N255" s="32">
        <f>SUM(N4:N254)</f>
        <v/>
      </c>
    </row>
  </sheetData>
  <autoFilter ref="A3:N254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27" t="inlineStr">
        <is>
          <t>2026-10</t>
        </is>
      </c>
      <c r="B7" s="20">
        <f>COUNTIFS('Trade Log'!$G$4:$G$503,"&gt;="&amp;DATE(2026,10,1),'Trade Log'!$G$4:$G$503,"&lt;"&amp;DATE(2026,11,1))</f>
        <v/>
      </c>
      <c r="C7" s="20">
        <f>COUNTIFS('Trade Log'!$G$4:$G$503,"&gt;="&amp;DATE(2026,10,1),'Trade Log'!$G$4:$G$503,"&lt;"&amp;DATE(2026,11,1),'Trade Log'!$L$4:$L$503,"&gt;0")</f>
        <v/>
      </c>
      <c r="D7" s="20">
        <f>COUNTIFS('Trade Log'!$G$4:$G$503,"&gt;="&amp;DATE(2026,10,1),'Trade Log'!$G$4:$G$503,"&lt;"&amp;DATE(2026,11,1),'Trade Log'!$L$4:$L$503,"&lt;0")</f>
        <v/>
      </c>
      <c r="E7" s="22">
        <f>IFERROR($C7/$B7,"")</f>
        <v/>
      </c>
      <c r="F7" s="21">
        <f>SUMIFS('Trade Log'!$I$4:$I$503,'Trade Log'!$G$4:$G$503,"&gt;="&amp;DATE(2026,10,1),'Trade Log'!$G$4:$G$503,"&lt;"&amp;DATE(2026,11,1))</f>
        <v/>
      </c>
      <c r="G7" s="21">
        <f>SUMIFS('Trade Log'!$L$4:$L$503,'Trade Log'!$G$4:$G$503,"&gt;="&amp;DATE(2026,10,1),'Trade Log'!$G$4:$G$503,"&lt;"&amp;DATE(2026,11,1))</f>
        <v/>
      </c>
      <c r="H7" s="21">
        <f>IFERROR($G7/$B7,"")</f>
        <v/>
      </c>
      <c r="I7" s="21">
        <f>IFERROR(_xlfn.MAXIFS('Trade Log'!$L$4:$L$503,'Trade Log'!$G$4:$G$503,"&gt;="&amp;DATE(2026,10,1),'Trade Log'!$G$4:$G$503,"&lt;"&amp;DATE(2026,11,1)),"")</f>
        <v/>
      </c>
      <c r="J7" s="21">
        <f>IFERROR(_xlfn.MINIFS('Trade Log'!$L$4:$L$503,'Trade Log'!$G$4:$G$503,"&gt;="&amp;DATE(2026,10,1),'Trade Log'!$G$4:$G$503,"&lt;"&amp;DATE(2026,11,1)),"")</f>
        <v/>
      </c>
      <c r="K7" s="29">
        <f>IFERROR(SUMIFS('Trade Log'!$L$4:$L$503,'Trade Log'!$G$4:$G$503,"&gt;="&amp;DATE(2026,10,1),'Trade Log'!$G$4:$G$503,"&lt;"&amp;DATE(2026,11,1),'Trade Log'!$L$4:$L$503,"&gt;0")/ABS(SUMIFS('Trade Log'!$L$4:$L$503,'Trade Log'!$G$4:$G$503,"&gt;="&amp;DATE(2026,10,1),'Trade Log'!$G$4:$G$503,"&lt;"&amp;DATE(2026,11,1),'Trade Log'!$L$4:$L$503,"&lt;0")),"")</f>
        <v/>
      </c>
    </row>
    <row r="8">
      <c r="A8" s="3" t="inlineStr">
        <is>
          <t>TOTAL</t>
        </is>
      </c>
      <c r="B8" s="30">
        <f>SUM(B5:B7)</f>
        <v/>
      </c>
      <c r="C8" s="30">
        <f>SUM(C5:C7)</f>
        <v/>
      </c>
      <c r="D8" s="30">
        <f>SUM(D5:D7)</f>
        <v/>
      </c>
      <c r="E8" s="31">
        <f>IFERROR(C8/B8,"")</f>
        <v/>
      </c>
      <c r="F8" s="32">
        <f>SUM(F5:F7)</f>
        <v/>
      </c>
      <c r="G8" s="32">
        <f>SUM(G5:G7)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  <row r="10">
      <c r="A10" s="3" t="inlineStr">
        <is>
          <t>WEEKLY PnL</t>
        </is>
      </c>
    </row>
    <row r="11">
      <c r="A11" s="19" t="inlineStr">
        <is>
          <t>Period</t>
        </is>
      </c>
      <c r="B11" s="19" t="inlineStr">
        <is>
          <t>Trades</t>
        </is>
      </c>
      <c r="C11" s="19" t="inlineStr">
        <is>
          <t>Wins</t>
        </is>
      </c>
      <c r="D11" s="19" t="inlineStr">
        <is>
          <t>Losses</t>
        </is>
      </c>
      <c r="E11" s="19" t="inlineStr">
        <is>
          <t>Win Rate</t>
        </is>
      </c>
      <c r="F11" s="19" t="inlineStr">
        <is>
          <t>Gross P&amp;L</t>
        </is>
      </c>
      <c r="G11" s="19" t="inlineStr">
        <is>
          <t>Net P&amp;L</t>
        </is>
      </c>
      <c r="H11" s="19" t="inlineStr">
        <is>
          <t>Avg Net P&amp;L / Trade</t>
        </is>
      </c>
      <c r="I11" s="19" t="inlineStr">
        <is>
          <t>Best Trade</t>
        </is>
      </c>
      <c r="J11" s="19" t="inlineStr">
        <is>
          <t>Worst Trade</t>
        </is>
      </c>
      <c r="K11" s="19" t="inlineStr">
        <is>
          <t>Profit Factor</t>
        </is>
      </c>
    </row>
    <row r="12">
      <c r="A12" s="28" t="n">
        <v>46251</v>
      </c>
      <c r="B12" s="20">
        <f>COUNTIFS('Trade Log'!$G$4:$G$503,"&gt;="&amp;DATE(2026,8,17),'Trade Log'!$G$4:$G$503,"&lt;"&amp;DATE(2026,8,24))</f>
        <v/>
      </c>
      <c r="C12" s="20">
        <f>COUNTIFS('Trade Log'!$G$4:$G$503,"&gt;="&amp;DATE(2026,8,17),'Trade Log'!$G$4:$G$503,"&lt;"&amp;DATE(2026,8,24),'Trade Log'!$L$4:$L$503,"&gt;0")</f>
        <v/>
      </c>
      <c r="D12" s="20">
        <f>COUNTIFS('Trade Log'!$G$4:$G$503,"&gt;="&amp;DATE(2026,8,17),'Trade Log'!$G$4:$G$503,"&lt;"&amp;DATE(2026,8,24),'Trade Log'!$L$4:$L$503,"&lt;0")</f>
        <v/>
      </c>
      <c r="E12" s="22">
        <f>IFERROR($C12/$B12,"")</f>
        <v/>
      </c>
      <c r="F12" s="21">
        <f>SUMIFS('Trade Log'!$I$4:$I$503,'Trade Log'!$G$4:$G$503,"&gt;="&amp;DATE(2026,8,17),'Trade Log'!$G$4:$G$503,"&lt;"&amp;DATE(2026,8,24))</f>
        <v/>
      </c>
      <c r="G12" s="21">
        <f>SUMIFS('Trade Log'!$L$4:$L$503,'Trade Log'!$G$4:$G$503,"&gt;="&amp;DATE(2026,8,17),'Trade Log'!$G$4:$G$503,"&lt;"&amp;DATE(2026,8,24))</f>
        <v/>
      </c>
      <c r="H12" s="21">
        <f>IFERROR($G12/$B12,"")</f>
        <v/>
      </c>
      <c r="I12" s="21">
        <f>IFERROR(_xlfn.MAXIFS('Trade Log'!$L$4:$L$503,'Trade Log'!$G$4:$G$503,"&gt;="&amp;DATE(2026,8,17),'Trade Log'!$G$4:$G$503,"&lt;"&amp;DATE(2026,8,24)),"")</f>
        <v/>
      </c>
      <c r="J12" s="21">
        <f>IFERROR(_xlfn.MINIFS('Trade Log'!$L$4:$L$503,'Trade Log'!$G$4:$G$503,"&gt;="&amp;DATE(2026,8,17),'Trade Log'!$G$4:$G$503,"&lt;"&amp;DATE(2026,8,24)),"")</f>
        <v/>
      </c>
      <c r="K12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3">
      <c r="A13" s="28" t="n">
        <v>46258</v>
      </c>
      <c r="B13" s="20">
        <f>COUNTIFS('Trade Log'!$G$4:$G$503,"&gt;="&amp;DATE(2026,8,24),'Trade Log'!$G$4:$G$503,"&lt;"&amp;DATE(2026,8,31))</f>
        <v/>
      </c>
      <c r="C13" s="20">
        <f>COUNTIFS('Trade Log'!$G$4:$G$503,"&gt;="&amp;DATE(2026,8,24),'Trade Log'!$G$4:$G$503,"&lt;"&amp;DATE(2026,8,31),'Trade Log'!$L$4:$L$503,"&gt;0")</f>
        <v/>
      </c>
      <c r="D13" s="20">
        <f>COUNTIFS('Trade Log'!$G$4:$G$503,"&gt;="&amp;DATE(2026,8,24),'Trade Log'!$G$4:$G$503,"&lt;"&amp;DATE(2026,8,31),'Trade Log'!$L$4:$L$503,"&lt;0")</f>
        <v/>
      </c>
      <c r="E13" s="22">
        <f>IFERROR($C13/$B13,"")</f>
        <v/>
      </c>
      <c r="F13" s="21">
        <f>SUMIFS('Trade Log'!$I$4:$I$503,'Trade Log'!$G$4:$G$503,"&gt;="&amp;DATE(2026,8,24),'Trade Log'!$G$4:$G$503,"&lt;"&amp;DATE(2026,8,31))</f>
        <v/>
      </c>
      <c r="G13" s="21">
        <f>SUMIFS('Trade Log'!$L$4:$L$503,'Trade Log'!$G$4:$G$503,"&gt;="&amp;DATE(2026,8,24),'Trade Log'!$G$4:$G$503,"&lt;"&amp;DATE(2026,8,31))</f>
        <v/>
      </c>
      <c r="H13" s="21">
        <f>IFERROR($G13/$B13,"")</f>
        <v/>
      </c>
      <c r="I13" s="21">
        <f>IFERROR(_xlfn.MAXIFS('Trade Log'!$L$4:$L$503,'Trade Log'!$G$4:$G$503,"&gt;="&amp;DATE(2026,8,24),'Trade Log'!$G$4:$G$503,"&lt;"&amp;DATE(2026,8,31)),"")</f>
        <v/>
      </c>
      <c r="J13" s="21">
        <f>IFERROR(_xlfn.MINIFS('Trade Log'!$L$4:$L$503,'Trade Log'!$G$4:$G$503,"&gt;="&amp;DATE(2026,8,24),'Trade Log'!$G$4:$G$503,"&lt;"&amp;DATE(2026,8,31)),"")</f>
        <v/>
      </c>
      <c r="K13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4">
      <c r="A14" s="28" t="n">
        <v>46265</v>
      </c>
      <c r="B14" s="20">
        <f>COUNTIFS('Trade Log'!$G$4:$G$503,"&gt;="&amp;DATE(2026,8,31),'Trade Log'!$G$4:$G$503,"&lt;"&amp;DATE(2026,9,7))</f>
        <v/>
      </c>
      <c r="C14" s="20">
        <f>COUNTIFS('Trade Log'!$G$4:$G$503,"&gt;="&amp;DATE(2026,8,31),'Trade Log'!$G$4:$G$503,"&lt;"&amp;DATE(2026,9,7),'Trade Log'!$L$4:$L$503,"&gt;0")</f>
        <v/>
      </c>
      <c r="D14" s="20">
        <f>COUNTIFS('Trade Log'!$G$4:$G$503,"&gt;="&amp;DATE(2026,8,31),'Trade Log'!$G$4:$G$503,"&lt;"&amp;DATE(2026,9,7),'Trade Log'!$L$4:$L$503,"&lt;0")</f>
        <v/>
      </c>
      <c r="E14" s="22">
        <f>IFERROR($C14/$B14,"")</f>
        <v/>
      </c>
      <c r="F14" s="21">
        <f>SUMIFS('Trade Log'!$I$4:$I$503,'Trade Log'!$G$4:$G$503,"&gt;="&amp;DATE(2026,8,31),'Trade Log'!$G$4:$G$503,"&lt;"&amp;DATE(2026,9,7))</f>
        <v/>
      </c>
      <c r="G14" s="21">
        <f>SUMIFS('Trade Log'!$L$4:$L$503,'Trade Log'!$G$4:$G$503,"&gt;="&amp;DATE(2026,8,31),'Trade Log'!$G$4:$G$503,"&lt;"&amp;DATE(2026,9,7))</f>
        <v/>
      </c>
      <c r="H14" s="21">
        <f>IFERROR($G14/$B14,"")</f>
        <v/>
      </c>
      <c r="I14" s="21">
        <f>IFERROR(_xlfn.MAXIFS('Trade Log'!$L$4:$L$503,'Trade Log'!$G$4:$G$503,"&gt;="&amp;DATE(2026,8,31),'Trade Log'!$G$4:$G$503,"&lt;"&amp;DATE(2026,9,7)),"")</f>
        <v/>
      </c>
      <c r="J14" s="21">
        <f>IFERROR(_xlfn.MINIFS('Trade Log'!$L$4:$L$503,'Trade Log'!$G$4:$G$503,"&gt;="&amp;DATE(2026,8,31),'Trade Log'!$G$4:$G$503,"&lt;"&amp;DATE(2026,9,7)),"")</f>
        <v/>
      </c>
      <c r="K14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5">
      <c r="A15" s="28" t="n">
        <v>46272</v>
      </c>
      <c r="B15" s="20">
        <f>COUNTIFS('Trade Log'!$G$4:$G$503,"&gt;="&amp;DATE(2026,9,7),'Trade Log'!$G$4:$G$503,"&lt;"&amp;DATE(2026,9,14))</f>
        <v/>
      </c>
      <c r="C15" s="20">
        <f>COUNTIFS('Trade Log'!$G$4:$G$503,"&gt;="&amp;DATE(2026,9,7),'Trade Log'!$G$4:$G$503,"&lt;"&amp;DATE(2026,9,14),'Trade Log'!$L$4:$L$503,"&gt;0")</f>
        <v/>
      </c>
      <c r="D15" s="20">
        <f>COUNTIFS('Trade Log'!$G$4:$G$503,"&gt;="&amp;DATE(2026,9,7),'Trade Log'!$G$4:$G$503,"&lt;"&amp;DATE(2026,9,14),'Trade Log'!$L$4:$L$503,"&lt;0")</f>
        <v/>
      </c>
      <c r="E15" s="22">
        <f>IFERROR($C15/$B15,"")</f>
        <v/>
      </c>
      <c r="F15" s="21">
        <f>SUMIFS('Trade Log'!$I$4:$I$503,'Trade Log'!$G$4:$G$503,"&gt;="&amp;DATE(2026,9,7),'Trade Log'!$G$4:$G$503,"&lt;"&amp;DATE(2026,9,14))</f>
        <v/>
      </c>
      <c r="G15" s="21">
        <f>SUMIFS('Trade Log'!$L$4:$L$503,'Trade Log'!$G$4:$G$503,"&gt;="&amp;DATE(2026,9,7),'Trade Log'!$G$4:$G$503,"&lt;"&amp;DATE(2026,9,14))</f>
        <v/>
      </c>
      <c r="H15" s="21">
        <f>IFERROR($G15/$B15,"")</f>
        <v/>
      </c>
      <c r="I15" s="21">
        <f>IFERROR(_xlfn.MAXIFS('Trade Log'!$L$4:$L$503,'Trade Log'!$G$4:$G$503,"&gt;="&amp;DATE(2026,9,7),'Trade Log'!$G$4:$G$503,"&lt;"&amp;DATE(2026,9,14)),"")</f>
        <v/>
      </c>
      <c r="J15" s="21">
        <f>IFERROR(_xlfn.MINIFS('Trade Log'!$L$4:$L$503,'Trade Log'!$G$4:$G$503,"&gt;="&amp;DATE(2026,9,7),'Trade Log'!$G$4:$G$503,"&lt;"&amp;DATE(2026,9,14)),"")</f>
        <v/>
      </c>
      <c r="K15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6">
      <c r="A16" s="28" t="n">
        <v>46279</v>
      </c>
      <c r="B16" s="20">
        <f>COUNTIFS('Trade Log'!$G$4:$G$503,"&gt;="&amp;DATE(2026,9,14),'Trade Log'!$G$4:$G$503,"&lt;"&amp;DATE(2026,9,21))</f>
        <v/>
      </c>
      <c r="C16" s="20">
        <f>COUNTIFS('Trade Log'!$G$4:$G$503,"&gt;="&amp;DATE(2026,9,14),'Trade Log'!$G$4:$G$503,"&lt;"&amp;DATE(2026,9,21),'Trade Log'!$L$4:$L$503,"&gt;0")</f>
        <v/>
      </c>
      <c r="D16" s="20">
        <f>COUNTIFS('Trade Log'!$G$4:$G$503,"&gt;="&amp;DATE(2026,9,14),'Trade Log'!$G$4:$G$503,"&lt;"&amp;DATE(2026,9,21),'Trade Log'!$L$4:$L$503,"&lt;0")</f>
        <v/>
      </c>
      <c r="E16" s="22">
        <f>IFERROR($C16/$B16,"")</f>
        <v/>
      </c>
      <c r="F16" s="21">
        <f>SUMIFS('Trade Log'!$I$4:$I$503,'Trade Log'!$G$4:$G$503,"&gt;="&amp;DATE(2026,9,14),'Trade Log'!$G$4:$G$503,"&lt;"&amp;DATE(2026,9,21))</f>
        <v/>
      </c>
      <c r="G16" s="21">
        <f>SUMIFS('Trade Log'!$L$4:$L$503,'Trade Log'!$G$4:$G$503,"&gt;="&amp;DATE(2026,9,14),'Trade Log'!$G$4:$G$503,"&lt;"&amp;DATE(2026,9,21))</f>
        <v/>
      </c>
      <c r="H16" s="21">
        <f>IFERROR($G16/$B16,"")</f>
        <v/>
      </c>
      <c r="I16" s="21">
        <f>IFERROR(_xlfn.MAXIFS('Trade Log'!$L$4:$L$503,'Trade Log'!$G$4:$G$503,"&gt;="&amp;DATE(2026,9,14),'Trade Log'!$G$4:$G$503,"&lt;"&amp;DATE(2026,9,21)),"")</f>
        <v/>
      </c>
      <c r="J16" s="21">
        <f>IFERROR(_xlfn.MINIFS('Trade Log'!$L$4:$L$503,'Trade Log'!$G$4:$G$503,"&gt;="&amp;DATE(2026,9,14),'Trade Log'!$G$4:$G$503,"&lt;"&amp;DATE(2026,9,21)),"")</f>
        <v/>
      </c>
      <c r="K16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7">
      <c r="A17" s="28" t="n">
        <v>46286</v>
      </c>
      <c r="B17" s="20">
        <f>COUNTIFS('Trade Log'!$G$4:$G$503,"&gt;="&amp;DATE(2026,9,21),'Trade Log'!$G$4:$G$503,"&lt;"&amp;DATE(2026,9,28))</f>
        <v/>
      </c>
      <c r="C17" s="20">
        <f>COUNTIFS('Trade Log'!$G$4:$G$503,"&gt;="&amp;DATE(2026,9,21),'Trade Log'!$G$4:$G$503,"&lt;"&amp;DATE(2026,9,28),'Trade Log'!$L$4:$L$503,"&gt;0")</f>
        <v/>
      </c>
      <c r="D17" s="20">
        <f>COUNTIFS('Trade Log'!$G$4:$G$503,"&gt;="&amp;DATE(2026,9,21),'Trade Log'!$G$4:$G$503,"&lt;"&amp;DATE(2026,9,28),'Trade Log'!$L$4:$L$503,"&lt;0")</f>
        <v/>
      </c>
      <c r="E17" s="22">
        <f>IFERROR($C17/$B17,"")</f>
        <v/>
      </c>
      <c r="F17" s="21">
        <f>SUMIFS('Trade Log'!$I$4:$I$503,'Trade Log'!$G$4:$G$503,"&gt;="&amp;DATE(2026,9,21),'Trade Log'!$G$4:$G$503,"&lt;"&amp;DATE(2026,9,28))</f>
        <v/>
      </c>
      <c r="G17" s="21">
        <f>SUMIFS('Trade Log'!$L$4:$L$503,'Trade Log'!$G$4:$G$503,"&gt;="&amp;DATE(2026,9,21),'Trade Log'!$G$4:$G$503,"&lt;"&amp;DATE(2026,9,28))</f>
        <v/>
      </c>
      <c r="H17" s="21">
        <f>IFERROR($G17/$B17,"")</f>
        <v/>
      </c>
      <c r="I17" s="21">
        <f>IFERROR(_xlfn.MAXIFS('Trade Log'!$L$4:$L$503,'Trade Log'!$G$4:$G$503,"&gt;="&amp;DATE(2026,9,21),'Trade Log'!$G$4:$G$503,"&lt;"&amp;DATE(2026,9,28)),"")</f>
        <v/>
      </c>
      <c r="J17" s="21">
        <f>IFERROR(_xlfn.MINIFS('Trade Log'!$L$4:$L$503,'Trade Log'!$G$4:$G$503,"&gt;="&amp;DATE(2026,9,21),'Trade Log'!$G$4:$G$503,"&lt;"&amp;DATE(2026,9,28)),"")</f>
        <v/>
      </c>
      <c r="K17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8">
      <c r="A18" s="28" t="n">
        <v>46293</v>
      </c>
      <c r="B18" s="20">
        <f>COUNTIFS('Trade Log'!$G$4:$G$503,"&gt;="&amp;DATE(2026,9,28),'Trade Log'!$G$4:$G$503,"&lt;"&amp;DATE(2026,10,5))</f>
        <v/>
      </c>
      <c r="C18" s="20">
        <f>COUNTIFS('Trade Log'!$G$4:$G$503,"&gt;="&amp;DATE(2026,9,28),'Trade Log'!$G$4:$G$503,"&lt;"&amp;DATE(2026,10,5),'Trade Log'!$L$4:$L$503,"&gt;0")</f>
        <v/>
      </c>
      <c r="D18" s="20">
        <f>COUNTIFS('Trade Log'!$G$4:$G$503,"&gt;="&amp;DATE(2026,9,28),'Trade Log'!$G$4:$G$503,"&lt;"&amp;DATE(2026,10,5),'Trade Log'!$L$4:$L$503,"&lt;0")</f>
        <v/>
      </c>
      <c r="E18" s="22">
        <f>IFERROR($C18/$B18,"")</f>
        <v/>
      </c>
      <c r="F18" s="21">
        <f>SUMIFS('Trade Log'!$I$4:$I$503,'Trade Log'!$G$4:$G$503,"&gt;="&amp;DATE(2026,9,28),'Trade Log'!$G$4:$G$503,"&lt;"&amp;DATE(2026,10,5))</f>
        <v/>
      </c>
      <c r="G18" s="21">
        <f>SUMIFS('Trade Log'!$L$4:$L$503,'Trade Log'!$G$4:$G$503,"&gt;="&amp;DATE(2026,9,28),'Trade Log'!$G$4:$G$503,"&lt;"&amp;DATE(2026,10,5))</f>
        <v/>
      </c>
      <c r="H18" s="21">
        <f>IFERROR($G18/$B18,"")</f>
        <v/>
      </c>
      <c r="I18" s="21">
        <f>IFERROR(_xlfn.MAXIFS('Trade Log'!$L$4:$L$503,'Trade Log'!$G$4:$G$503,"&gt;="&amp;DATE(2026,9,28),'Trade Log'!$G$4:$G$503,"&lt;"&amp;DATE(2026,10,5)),"")</f>
        <v/>
      </c>
      <c r="J18" s="21">
        <f>IFERROR(_xlfn.MINIFS('Trade Log'!$L$4:$L$503,'Trade Log'!$G$4:$G$503,"&gt;="&amp;DATE(2026,9,28),'Trade Log'!$G$4:$G$503,"&lt;"&amp;DATE(2026,10,5)),"")</f>
        <v/>
      </c>
      <c r="K18" s="29">
        <f>IFERROR(SUMIFS('Trade Log'!$L$4:$L$503,'Trade Log'!$G$4:$G$503,"&gt;="&amp;DATE(2026,9,28),'Trade Log'!$G$4:$G$503,"&lt;"&amp;DATE(2026,10,5),'Trade Log'!$L$4:$L$503,"&gt;0")/ABS(SUMIFS('Trade Log'!$L$4:$L$503,'Trade Log'!$G$4:$G$503,"&gt;="&amp;DATE(2026,9,28),'Trade Log'!$G$4:$G$503,"&lt;"&amp;DATE(2026,10,5),'Trade Log'!$L$4:$L$503,"&lt;0")),"")</f>
        <v/>
      </c>
    </row>
    <row r="19">
      <c r="A19" s="3" t="inlineStr">
        <is>
          <t>TOTAL</t>
        </is>
      </c>
      <c r="B19" s="30">
        <f>SUM(B12:B18)</f>
        <v/>
      </c>
      <c r="C19" s="30">
        <f>SUM(C12:C18)</f>
        <v/>
      </c>
      <c r="D19" s="30">
        <f>SUM(D12:D18)</f>
        <v/>
      </c>
      <c r="E19" s="31">
        <f>IFERROR(C19/B19,"")</f>
        <v/>
      </c>
      <c r="F19" s="32">
        <f>SUM(F12:F18)</f>
        <v/>
      </c>
      <c r="G19" s="32">
        <f>SUM(G12:G18)</f>
        <v/>
      </c>
      <c r="H19" s="32">
        <f>IFERROR(G19/B19,"")</f>
        <v/>
      </c>
      <c r="K19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2026-10-15T10:16:37Z</dcterms:created>
  <dcterms:modified xmlns:dcterms="http://purl.org/dc/terms/" xmlns:xsi="http://www.w3.org/2001/XMLSchema-instance" xsi:type="dcterms:W3CDTF">2026-10-15T10:16:37Z</dcterms:modified>
</cp:coreProperties>
</file>