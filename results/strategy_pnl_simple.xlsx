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571.63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662.86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414.06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345.01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414.39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380.54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406.37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870.55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390.57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349.19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329.26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385.4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977.05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956.65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991.03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597.72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598.83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677.24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670.4299999999999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574.4299999999999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628.42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619.39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612.4299999999999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693.6799999999999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387.49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386.09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435.16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412.31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893.51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799.53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826.87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479.58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531.37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420.15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428.89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425.04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371.59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642.52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638.36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654.42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564.1900000000001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497.9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504.47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490.94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467.31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542.35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463.89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528.75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522.78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521.15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448.73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465.91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631.21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640.01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605.97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594.85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608.03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596.85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296.91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338.75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289.65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192.39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297.41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93.83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463.67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466.8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498.79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522.87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460.55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131.89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91.13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63.56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130.64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316.19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319.03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360.24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317.41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361.87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204.98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n">
        <v>46290</v>
      </c>
      <c r="H216" s="25" t="n">
        <v>157.11</v>
      </c>
      <c r="I216" s="21">
        <f>IF(OR($B216="",$H216=""),"",IF($C216="LONG",($H216-$E216)*$F216,($E216-$H216)*$F216))</f>
        <v/>
      </c>
      <c r="J216" s="4" t="n">
        <v>459.2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258.86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n">
        <v>46290</v>
      </c>
      <c r="H218" s="25" t="n">
        <v>1533.8</v>
      </c>
      <c r="I218" s="21">
        <f>IF(OR($B218="",$H218=""),"",IF($C218="LONG",($H218-$E218)*$F218,($E218-$H218)*$F218))</f>
        <v/>
      </c>
      <c r="J218" s="4" t="n">
        <v>73.48999999999999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120.38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n">
        <v>46290</v>
      </c>
      <c r="H220" s="25" t="n">
        <v>223.36</v>
      </c>
      <c r="I220" s="21">
        <f>IF(OR($B220="",$H220=""),"",IF($C220="LONG",($H220-$E220)*$F220,($E220-$H220)*$F220))</f>
        <v/>
      </c>
      <c r="J220" s="4" t="n">
        <v>521.5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n">
        <v>46290</v>
      </c>
      <c r="H221" s="25" t="n">
        <v>308.29</v>
      </c>
      <c r="I221" s="21">
        <f>IF(OR($B221="",$H221=""),"",IF($C221="LONG",($H221-$E221)*$F221,($E221-$H221)*$F221))</f>
        <v/>
      </c>
      <c r="J221" s="4" t="n">
        <v>190.87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200.09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243.64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n">
        <v>46290</v>
      </c>
      <c r="H224" s="25" t="n">
        <v>824.01</v>
      </c>
      <c r="I224" s="21">
        <f>IF(OR($B224="",$H224=""),"",IF($C224="LONG",($H224-$E224)*$F224,($E224-$H224)*$F224))</f>
        <v/>
      </c>
      <c r="J224" s="4" t="n">
        <v>461.32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248.07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213.84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n">
        <v>46290</v>
      </c>
      <c r="H227" s="25" t="n">
        <v>713.5029</v>
      </c>
      <c r="I227" s="21">
        <f>IF(OR($B227="",$H227=""),"",IF($C227="LONG",($H227-$E227)*$F227,($E227-$H227)*$F227))</f>
        <v/>
      </c>
      <c r="J227" s="4" t="n">
        <v>43.01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190.03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201.68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inlineStr">
        <is>
          <t>DHAN-34126092552909</t>
        </is>
      </c>
      <c r="B230" s="23" t="inlineStr">
        <is>
          <t>AVANTEL</t>
        </is>
      </c>
      <c r="C230" s="23" t="inlineStr">
        <is>
          <t>SHORT</t>
        </is>
      </c>
      <c r="D230" s="24" t="n">
        <v>46290</v>
      </c>
      <c r="E230" s="25" t="n">
        <v>157.03</v>
      </c>
      <c r="F230" s="26" t="n">
        <v>1614</v>
      </c>
      <c r="G230" s="24" t="n">
        <v>46290</v>
      </c>
      <c r="H230" s="25" t="n">
        <v>156.4</v>
      </c>
      <c r="I230" s="21">
        <f>IF(OR($B230="",$H230=""),"",IF($C230="LONG",($H230-$E230)*$F230,($E230-$H230)*$F230))</f>
        <v/>
      </c>
      <c r="J230" s="4" t="n">
        <v>366.54</v>
      </c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inlineStr">
        <is>
          <t>DHAN-limit_entry_multi</t>
        </is>
      </c>
      <c r="B231" s="23" t="inlineStr">
        <is>
          <t>BHAGERIA</t>
        </is>
      </c>
      <c r="C231" s="23" t="inlineStr">
        <is>
          <t>LONG</t>
        </is>
      </c>
      <c r="D231" s="24" t="n">
        <v>46290</v>
      </c>
      <c r="E231" s="25" t="n">
        <v>394.528</v>
      </c>
      <c r="F231" s="26" t="n">
        <v>316</v>
      </c>
      <c r="G231" s="24" t="inlineStr"/>
      <c r="H231" s="25" t="inlineStr"/>
      <c r="I231" s="21">
        <f>IF(OR($B231="",$H231=""),"",IF($C231="LONG",($H231-$E231)*$F231,($E231-$H231)*$F231))</f>
        <v/>
      </c>
      <c r="J231" s="4" t="n">
        <v>14.75</v>
      </c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inlineStr">
        <is>
          <t>DHAN-321260925638609</t>
        </is>
      </c>
      <c r="B232" s="23" t="inlineStr">
        <is>
          <t>DELTACORP</t>
        </is>
      </c>
      <c r="C232" s="23" t="inlineStr">
        <is>
          <t>LONG</t>
        </is>
      </c>
      <c r="D232" s="24" t="n">
        <v>46290</v>
      </c>
      <c r="E232" s="25" t="n">
        <v>76.9342</v>
      </c>
      <c r="F232" s="26" t="n">
        <v>3254</v>
      </c>
      <c r="G232" s="24" t="inlineStr"/>
      <c r="H232" s="25" t="inlineStr"/>
      <c r="I232" s="21">
        <f>IF(OR($B232="",$H232=""),"",IF($C232="LONG",($H232-$E232)*$F232,($E232-$H232)*$F232))</f>
        <v/>
      </c>
      <c r="J232" s="4" t="n">
        <v>531.9400000000001</v>
      </c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inlineStr">
        <is>
          <t>DHAN-22126092551109</t>
        </is>
      </c>
      <c r="B233" s="23" t="inlineStr">
        <is>
          <t>GREAVESCOT</t>
        </is>
      </c>
      <c r="C233" s="23" t="inlineStr">
        <is>
          <t>SHORT</t>
        </is>
      </c>
      <c r="D233" s="24" t="n">
        <v>46290</v>
      </c>
      <c r="E233" s="25" t="n">
        <v>222.61</v>
      </c>
      <c r="F233" s="26" t="n">
        <v>1128</v>
      </c>
      <c r="G233" s="24" t="n">
        <v>46290</v>
      </c>
      <c r="H233" s="25" t="n">
        <v>233.98</v>
      </c>
      <c r="I233" s="21">
        <f>IF(OR($B233="",$H233=""),"",IF($C233="LONG",($H233-$E233)*$F233,($E233-$H233)*$F233))</f>
        <v/>
      </c>
      <c r="J233" s="4" t="n">
        <v>306.44</v>
      </c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inlineStr">
        <is>
          <t>DHAN-32126092550109</t>
        </is>
      </c>
      <c r="B234" s="23" t="inlineStr">
        <is>
          <t>INDIAGLYCO</t>
        </is>
      </c>
      <c r="C234" s="23" t="inlineStr">
        <is>
          <t>SHORT</t>
        </is>
      </c>
      <c r="D234" s="24" t="n">
        <v>46290</v>
      </c>
      <c r="E234" s="25" t="n">
        <v>308</v>
      </c>
      <c r="F234" s="26" t="n">
        <v>409</v>
      </c>
      <c r="G234" s="24" t="n">
        <v>46290</v>
      </c>
      <c r="H234" s="25" t="n">
        <v>308.52</v>
      </c>
      <c r="I234" s="21">
        <f>IF(OR($B234="",$H234=""),"",IF($C234="LONG",($H234-$E234)*$F234,($E234-$H234)*$F234))</f>
        <v/>
      </c>
      <c r="J234" s="4" t="n">
        <v>194.42</v>
      </c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inlineStr">
        <is>
          <t>DHAN-32126092550209</t>
        </is>
      </c>
      <c r="B235" s="23" t="inlineStr">
        <is>
          <t>KSCL</t>
        </is>
      </c>
      <c r="C235" s="23" t="inlineStr">
        <is>
          <t>SHORT</t>
        </is>
      </c>
      <c r="D235" s="24" t="n">
        <v>46290</v>
      </c>
      <c r="E235" s="25" t="n">
        <v>826.46</v>
      </c>
      <c r="F235" s="26" t="n">
        <v>319</v>
      </c>
      <c r="G235" s="24" t="n">
        <v>46290</v>
      </c>
      <c r="H235" s="25" t="n">
        <v>785.15</v>
      </c>
      <c r="I235" s="21">
        <f>IF(OR($B235="",$H235=""),"",IF($C235="LONG",($H235-$E235)*$F235,($E235-$H235)*$F235))</f>
        <v/>
      </c>
      <c r="J235" s="4" t="n">
        <v>374.42</v>
      </c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4" t="n">
        <v>61.09</v>
      </c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4" t="n">
        <v>526.92</v>
      </c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4" t="n">
        <v>61.09</v>
      </c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4" t="n">
        <v>524.41</v>
      </c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Log'!$K$4:$K$503,"&gt;0")</f>
        <v/>
      </c>
      <c r="D108" s="20">
        <f>COUNTIFS('Trade Log'!$B$4:$B$503,$A108,'Trade Log'!$K$4:$K$503,"&lt;0")</f>
        <v/>
      </c>
      <c r="E108" s="29">
        <f>IFERROR($C108/$B108,"")</f>
        <v/>
      </c>
      <c r="F108" s="21">
        <f>SUMIF('Trade Log'!$B$4:$B$503,$A108,'Trade Log'!$I$4:$I$503)</f>
        <v/>
      </c>
      <c r="G108" s="21">
        <f>SUMIF('Trade Log'!$B$4:$B$503,$A108,'Trade Log'!$K$4:$K$503)</f>
        <v/>
      </c>
      <c r="H108" s="21">
        <f>IFERROR($G108/$B108,"")</f>
        <v/>
      </c>
      <c r="I108" s="21">
        <f>IFERROR(_xlfn.MAXIFS('Trade Log'!$K$4:$K$503,'Trade Log'!$B$4:$B$503,$A108),"")</f>
        <v/>
      </c>
      <c r="J108" s="21">
        <f>IFERROR(_xlfn.MINIFS('Trade Log'!$K$4:$K$503,'Trade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Log'!$K$4:$K$503,"&gt;0")</f>
        <v/>
      </c>
      <c r="D109" s="20">
        <f>COUNTIFS('Trade Log'!$B$4:$B$503,$A109,'Trade Log'!$K$4:$K$503,"&lt;0")</f>
        <v/>
      </c>
      <c r="E109" s="29">
        <f>IFERROR($C109/$B109,"")</f>
        <v/>
      </c>
      <c r="F109" s="21">
        <f>SUMIF('Trade Log'!$B$4:$B$503,$A109,'Trade Log'!$I$4:$I$503)</f>
        <v/>
      </c>
      <c r="G109" s="21">
        <f>SUMIF('Trade Log'!$B$4:$B$503,$A109,'Trade Log'!$K$4:$K$503)</f>
        <v/>
      </c>
      <c r="H109" s="21">
        <f>IFERROR($G109/$B109,"")</f>
        <v/>
      </c>
      <c r="I109" s="21">
        <f>IFERROR(_xlfn.MAXIFS('Trade Log'!$K$4:$K$503,'Trade Log'!$B$4:$B$503,$A109),"")</f>
        <v/>
      </c>
      <c r="J109" s="21">
        <f>IFERROR(_xlfn.MINIFS('Trade Log'!$K$4:$K$503,'Trade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Log'!$K$4:$K$503,"&gt;0")</f>
        <v/>
      </c>
      <c r="D110" s="20">
        <f>COUNTIFS('Trade Log'!$B$4:$B$503,$A110,'Trade Log'!$K$4:$K$503,"&lt;0")</f>
        <v/>
      </c>
      <c r="E110" s="29">
        <f>IFERROR($C110/$B110,"")</f>
        <v/>
      </c>
      <c r="F110" s="21">
        <f>SUMIF('Trade Log'!$B$4:$B$503,$A110,'Trade Log'!$I$4:$I$503)</f>
        <v/>
      </c>
      <c r="G110" s="21">
        <f>SUMIF('Trade Log'!$B$4:$B$503,$A110,'Trade Log'!$K$4:$K$503)</f>
        <v/>
      </c>
      <c r="H110" s="21">
        <f>IFERROR($G110/$B110,"")</f>
        <v/>
      </c>
      <c r="I110" s="21">
        <f>IFERROR(_xlfn.MAXIFS('Trade Log'!$K$4:$K$503,'Trade Log'!$B$4:$B$503,$A110),"")</f>
        <v/>
      </c>
      <c r="J110" s="21">
        <f>IFERROR(_xlfn.MINIFS('Trade Log'!$K$4:$K$503,'Trade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Log'!$K$4:$K$503,"&gt;0")</f>
        <v/>
      </c>
      <c r="D111" s="20">
        <f>COUNTIFS('Trade Log'!$B$4:$B$503,$A111,'Trade Log'!$K$4:$K$503,"&lt;0")</f>
        <v/>
      </c>
      <c r="E111" s="29">
        <f>IFERROR($C111/$B111,"")</f>
        <v/>
      </c>
      <c r="F111" s="21">
        <f>SUMIF('Trade Log'!$B$4:$B$503,$A111,'Trade Log'!$I$4:$I$503)</f>
        <v/>
      </c>
      <c r="G111" s="21">
        <f>SUMIF('Trade Log'!$B$4:$B$503,$A111,'Trade Log'!$K$4:$K$503)</f>
        <v/>
      </c>
      <c r="H111" s="21">
        <f>IFERROR($G111/$B111,"")</f>
        <v/>
      </c>
      <c r="I111" s="21">
        <f>IFERROR(_xlfn.MAXIFS('Trade Log'!$K$4:$K$503,'Trade Log'!$B$4:$B$503,$A111),"")</f>
        <v/>
      </c>
      <c r="J111" s="21">
        <f>IFERROR(_xlfn.MINIFS('Trade Log'!$K$4:$K$503,'Trade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2026-09-28T00:18:46Z</dcterms:created>
  <dcterms:modified xmlns:dcterms="http://purl.org/dc/terms/" xmlns:xsi="http://www.w3.org/2001/XMLSchema-instance" xsi:type="dcterms:W3CDTF">2026-09-28T00:18:46Z</dcterms:modified>
</cp:coreProperties>
</file>