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570.0599999999999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686.25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568.91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660.97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588.4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451.6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397.66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346.76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413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375.65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413.34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378.85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427.19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341.04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412.76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405.47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444.79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197.25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203.83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251.98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n">
        <v>46258</v>
      </c>
      <c r="H24" s="25" t="n">
        <v>389.171</v>
      </c>
      <c r="I24" s="21">
        <f>IF(OR($B24="",$H24=""),"",IF($C24="LONG",($H24-$E24)*$F24,($E24-$H24)*$F24))</f>
        <v/>
      </c>
      <c r="J24" s="4" t="n">
        <v>534.25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208.81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248.04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200.87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870.97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210.52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517.89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DHAN-221260824719309</t>
        </is>
      </c>
      <c r="B31" s="23" t="inlineStr">
        <is>
          <t>GUJTHEM</t>
        </is>
      </c>
      <c r="C31" s="23" t="inlineStr">
        <is>
          <t>LONG</t>
        </is>
      </c>
      <c r="D31" s="24" t="n">
        <v>46258</v>
      </c>
      <c r="E31" s="25" t="n">
        <v>412.7273</v>
      </c>
      <c r="F31" s="26" t="n">
        <v>405</v>
      </c>
      <c r="G31" s="24" t="n">
        <v>46259</v>
      </c>
      <c r="H31" s="25" t="n">
        <v>412.7043</v>
      </c>
      <c r="I31" s="21">
        <f>IF(OR($B31="",$H31=""),"",IF($C31="LONG",($H31-$E31)*$F31,($E31-$H31)*$F31))</f>
        <v/>
      </c>
      <c r="J31" s="4" t="n">
        <v>395.75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DHAN-321260824740509</t>
        </is>
      </c>
      <c r="B32" s="23" t="inlineStr">
        <is>
          <t>KCP</t>
        </is>
      </c>
      <c r="C32" s="23" t="inlineStr">
        <is>
          <t>LONG</t>
        </is>
      </c>
      <c r="D32" s="24" t="n">
        <v>46258</v>
      </c>
      <c r="E32" s="25" t="n">
        <v>177.3833</v>
      </c>
      <c r="F32" s="26" t="n">
        <v>942</v>
      </c>
      <c r="G32" s="24" t="n">
        <v>46259</v>
      </c>
      <c r="H32" s="25" t="n">
        <v>173.0689</v>
      </c>
      <c r="I32" s="21">
        <f>IF(OR($B32="",$H32=""),"",IF($C32="LONG",($H32-$E32)*$F32,($E32-$H32)*$F32))</f>
        <v/>
      </c>
      <c r="J32" s="4" t="n">
        <v>354.37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inlineStr">
        <is>
          <t>DHAN-23126082451109</t>
        </is>
      </c>
      <c r="B33" s="23" t="inlineStr">
        <is>
          <t>KLBRENG-B</t>
        </is>
      </c>
      <c r="C33" s="23" t="inlineStr">
        <is>
          <t>SHORT</t>
        </is>
      </c>
      <c r="D33" s="24" t="n">
        <v>46258</v>
      </c>
      <c r="E33" s="25" t="n">
        <v>389.0013</v>
      </c>
      <c r="F33" s="26" t="n">
        <v>950</v>
      </c>
      <c r="G33" s="24" t="n">
        <v>46258</v>
      </c>
      <c r="H33" s="25" t="n">
        <v>392.9899</v>
      </c>
      <c r="I33" s="21">
        <f>IF(OR($B33="",$H33=""),"",IF($C33="LONG",($H33-$E33)*$F33,($E33-$H33)*$F33))</f>
        <v/>
      </c>
      <c r="J33" s="4" t="n">
        <v>526.1799999999999</v>
      </c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inlineStr">
        <is>
          <t>DHAN-23126082483409</t>
        </is>
      </c>
      <c r="B34" s="23" t="inlineStr">
        <is>
          <t>OPTIEMUS</t>
        </is>
      </c>
      <c r="C34" s="23" t="inlineStr">
        <is>
          <t>LONG</t>
        </is>
      </c>
      <c r="D34" s="24" t="n">
        <v>46258</v>
      </c>
      <c r="E34" s="25" t="n">
        <v>586</v>
      </c>
      <c r="F34" s="26" t="n">
        <v>284</v>
      </c>
      <c r="G34" s="24" t="n">
        <v>46259</v>
      </c>
      <c r="H34" s="25" t="n">
        <v>587.8211</v>
      </c>
      <c r="I34" s="21">
        <f>IF(OR($B34="",$H34=""),"",IF($C34="LONG",($H34-$E34)*$F34,($E34-$H34)*$F34))</f>
        <v/>
      </c>
      <c r="J34" s="4" t="n">
        <v>354.52</v>
      </c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inlineStr">
        <is>
          <t>DHAN-23126082483509</t>
        </is>
      </c>
      <c r="B35" s="23" t="inlineStr">
        <is>
          <t>QUADFUTURE</t>
        </is>
      </c>
      <c r="C35" s="23" t="inlineStr">
        <is>
          <t>LONG</t>
        </is>
      </c>
      <c r="D35" s="24" t="n">
        <v>46258</v>
      </c>
      <c r="E35" s="25" t="n">
        <v>443.9459</v>
      </c>
      <c r="F35" s="26" t="n">
        <v>375</v>
      </c>
      <c r="G35" s="24" t="n">
        <v>46259</v>
      </c>
      <c r="H35" s="25" t="n">
        <v>424.3155</v>
      </c>
      <c r="I35" s="21">
        <f>IF(OR($B35="",$H35=""),"",IF($C35="LONG",($H35-$E35)*$F35,($E35-$H35)*$F35))</f>
        <v/>
      </c>
      <c r="J35" s="4" t="n">
        <v>390.79</v>
      </c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inlineStr">
        <is>
          <t>DHAN-34126082414109</t>
        </is>
      </c>
      <c r="B36" s="23" t="inlineStr">
        <is>
          <t>THOMASCOOK</t>
        </is>
      </c>
      <c r="C36" s="23" t="inlineStr">
        <is>
          <t>SHORT</t>
        </is>
      </c>
      <c r="D36" s="24" t="n">
        <v>46258</v>
      </c>
      <c r="E36" s="25" t="n">
        <v>115.202</v>
      </c>
      <c r="F36" s="26" t="n">
        <v>3301</v>
      </c>
      <c r="G36" s="24" t="n">
        <v>46258</v>
      </c>
      <c r="H36" s="25" t="n">
        <v>113.5099</v>
      </c>
      <c r="I36" s="21">
        <f>IF(OR($B36="",$H36=""),"",IF($C36="LONG",($H36-$E36)*$F36,($E36-$H36)*$F36))</f>
        <v/>
      </c>
      <c r="J36" s="4" t="n">
        <v>536.1</v>
      </c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inlineStr">
        <is>
          <t>DHAN-34126082414209</t>
        </is>
      </c>
      <c r="B37" s="23" t="inlineStr">
        <is>
          <t>WELSPLSOL</t>
        </is>
      </c>
      <c r="C37" s="23" t="inlineStr">
        <is>
          <t>SHORT</t>
        </is>
      </c>
      <c r="D37" s="24" t="n">
        <v>46258</v>
      </c>
      <c r="E37" s="25" t="n">
        <v>51.8309</v>
      </c>
      <c r="F37" s="26" t="n">
        <v>7230</v>
      </c>
      <c r="G37" s="24" t="n">
        <v>46258</v>
      </c>
      <c r="H37" s="25" t="n">
        <v>51.2492</v>
      </c>
      <c r="I37" s="21">
        <f>IF(OR($B37="",$H37=""),"",IF($C37="LONG",($H37-$E37)*$F37,($E37-$H37)*$F37))</f>
        <v/>
      </c>
      <c r="J37" s="4" t="n">
        <v>529.84</v>
      </c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inlineStr">
        <is>
          <t>DHAN-23126082553409</t>
        </is>
      </c>
      <c r="B38" s="23" t="inlineStr">
        <is>
          <t>GUJTHEM</t>
        </is>
      </c>
      <c r="C38" s="23" t="inlineStr">
        <is>
          <t>SHORT</t>
        </is>
      </c>
      <c r="D38" s="24" t="n">
        <v>46259</v>
      </c>
      <c r="E38" s="25" t="n">
        <v>412.5647</v>
      </c>
      <c r="F38" s="26" t="n">
        <v>405</v>
      </c>
      <c r="G38" s="24" t="n">
        <v>46259</v>
      </c>
      <c r="H38" s="25" t="n">
        <v>404.7939</v>
      </c>
      <c r="I38" s="21">
        <f>IF(OR($B38="",$H38=""),"",IF($C38="LONG",($H38-$E38)*$F38,($E38-$H38)*$F38))</f>
        <v/>
      </c>
      <c r="J38" s="4" t="n">
        <v>207.3</v>
      </c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inlineStr">
        <is>
          <t>DHAN-221260825378209</t>
        </is>
      </c>
      <c r="B39" s="23" t="inlineStr">
        <is>
          <t>KCP</t>
        </is>
      </c>
      <c r="C39" s="23" t="inlineStr">
        <is>
          <t>SHORT</t>
        </is>
      </c>
      <c r="D39" s="24" t="n">
        <v>46259</v>
      </c>
      <c r="E39" s="25" t="n">
        <v>173.0006</v>
      </c>
      <c r="F39" s="26" t="n">
        <v>942</v>
      </c>
      <c r="G39" s="24" t="n">
        <v>46259</v>
      </c>
      <c r="H39" s="25" t="n">
        <v>177.3819</v>
      </c>
      <c r="I39" s="21">
        <f>IF(OR($B39="",$H39=""),"",IF($C39="LONG",($H39-$E39)*$F39,($E39-$H39)*$F39))</f>
        <v/>
      </c>
      <c r="J39" s="4" t="n">
        <v>246.41</v>
      </c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inlineStr">
        <is>
          <t>DHAN-321260825110209</t>
        </is>
      </c>
      <c r="B40" s="23" t="inlineStr">
        <is>
          <t>OPTIEMUS</t>
        </is>
      </c>
      <c r="C40" s="23" t="inlineStr">
        <is>
          <t>SHORT</t>
        </is>
      </c>
      <c r="D40" s="24" t="n">
        <v>46259</v>
      </c>
      <c r="E40" s="25" t="n">
        <v>587.5364</v>
      </c>
      <c r="F40" s="26" t="n">
        <v>284</v>
      </c>
      <c r="G40" s="24" t="n">
        <v>46259</v>
      </c>
      <c r="H40" s="25" t="n">
        <v>595.4639</v>
      </c>
      <c r="I40" s="21">
        <f>IF(OR($B40="",$H40=""),"",IF($C40="LONG",($H40-$E40)*$F40,($E40-$H40)*$F40))</f>
        <v/>
      </c>
      <c r="J40" s="4" t="n">
        <v>251.07</v>
      </c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4" t="n">
        <v>198.63</v>
      </c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4" t="n">
        <v>987.89</v>
      </c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4" t="n">
        <v>965.7</v>
      </c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4" t="n">
        <v>1001.93</v>
      </c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4" t="n">
        <v>545.22</v>
      </c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inlineStr">
        <is>
          <t>DHAN-2312608281035809</t>
        </is>
      </c>
      <c r="B46" s="23" t="inlineStr">
        <is>
          <t>JGCHEM</t>
        </is>
      </c>
      <c r="C46" s="23" t="inlineStr">
        <is>
          <t>LONG</t>
        </is>
      </c>
      <c r="D46" s="24" t="n">
        <v>46262</v>
      </c>
      <c r="E46" s="25" t="n">
        <v>655.6077</v>
      </c>
      <c r="F46" s="26" t="n">
        <v>428</v>
      </c>
      <c r="G46" s="24" t="n">
        <v>46265</v>
      </c>
      <c r="H46" s="25" t="n">
        <v>650.2959</v>
      </c>
      <c r="I46" s="21">
        <f>IF(OR($B46="",$H46=""),"",IF($C46="LONG",($H46-$E46)*$F46,($E46-$H46)*$F46))</f>
        <v/>
      </c>
      <c r="J46" s="4" t="n">
        <v>616.22</v>
      </c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inlineStr">
        <is>
          <t>DHAN-2312608281035709</t>
        </is>
      </c>
      <c r="B47" s="23" t="inlineStr">
        <is>
          <t>MASTEK</t>
        </is>
      </c>
      <c r="C47" s="23" t="inlineStr">
        <is>
          <t>LONG</t>
        </is>
      </c>
      <c r="D47" s="24" t="n">
        <v>46262</v>
      </c>
      <c r="E47" s="25" t="n">
        <v>1908.9741</v>
      </c>
      <c r="F47" s="26" t="n">
        <v>147</v>
      </c>
      <c r="G47" s="24" t="n">
        <v>46265</v>
      </c>
      <c r="H47" s="25" t="n">
        <v>1777.534</v>
      </c>
      <c r="I47" s="21">
        <f>IF(OR($B47="",$H47=""),"",IF($C47="LONG",($H47-$E47)*$F47,($E47-$H47)*$F47))</f>
        <v/>
      </c>
      <c r="J47" s="4" t="n">
        <v>695.01</v>
      </c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inlineStr">
        <is>
          <t>DHAN-2212608281405909</t>
        </is>
      </c>
      <c r="B48" s="23" t="inlineStr">
        <is>
          <t>OMAXE</t>
        </is>
      </c>
      <c r="C48" s="23" t="inlineStr">
        <is>
          <t>LONG</t>
        </is>
      </c>
      <c r="D48" s="24" t="n">
        <v>46262</v>
      </c>
      <c r="E48" s="25" t="n">
        <v>130.8863</v>
      </c>
      <c r="F48" s="26" t="n">
        <v>2161</v>
      </c>
      <c r="G48" s="24" t="n">
        <v>46265</v>
      </c>
      <c r="H48" s="25" t="n">
        <v>130.9149</v>
      </c>
      <c r="I48" s="21">
        <f>IF(OR($B48="",$H48=""),"",IF($C48="LONG",($H48-$E48)*$F48,($E48-$H48)*$F48))</f>
        <v/>
      </c>
      <c r="J48" s="4" t="n">
        <v>619.58</v>
      </c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inlineStr">
        <is>
          <t>DHAN-2312608281035909</t>
        </is>
      </c>
      <c r="B49" s="23" t="inlineStr">
        <is>
          <t>SYNCOMF</t>
        </is>
      </c>
      <c r="C49" s="23" t="inlineStr">
        <is>
          <t>LONG</t>
        </is>
      </c>
      <c r="D49" s="24" t="n">
        <v>46262</v>
      </c>
      <c r="E49" s="25" t="n">
        <v>19.4799</v>
      </c>
      <c r="F49" s="26" t="n">
        <v>14462</v>
      </c>
      <c r="G49" s="24" t="n">
        <v>46265</v>
      </c>
      <c r="H49" s="25" t="n">
        <v>19.6094</v>
      </c>
      <c r="I49" s="21">
        <f>IF(OR($B49="",$H49=""),"",IF($C49="LONG",($H49-$E49)*$F49,($E49-$H49)*$F49))</f>
        <v/>
      </c>
      <c r="J49" s="4" t="n">
        <v>547.97</v>
      </c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inlineStr">
        <is>
          <t>DHAN-231260831122409</t>
        </is>
      </c>
      <c r="B50" s="23" t="inlineStr">
        <is>
          <t>ASHOKA</t>
        </is>
      </c>
      <c r="C50" s="23" t="inlineStr">
        <is>
          <t>LONG</t>
        </is>
      </c>
      <c r="D50" s="24" t="n">
        <v>46265</v>
      </c>
      <c r="E50" s="25" t="n">
        <v>120.2727</v>
      </c>
      <c r="F50" s="26" t="n">
        <v>2933</v>
      </c>
      <c r="G50" s="24" t="n">
        <v>46266</v>
      </c>
      <c r="H50" s="25" t="n">
        <v>121.8089</v>
      </c>
      <c r="I50" s="21">
        <f>IF(OR($B50="",$H50=""),"",IF($C50="LONG",($H50-$E50)*$F50,($E50-$H50)*$F50))</f>
        <v/>
      </c>
      <c r="J50" s="4" t="n">
        <v>631.8</v>
      </c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inlineStr">
        <is>
          <t>DHAN-221260831109609</t>
        </is>
      </c>
      <c r="B51" s="23" t="inlineStr">
        <is>
          <t>FMGOETZE</t>
        </is>
      </c>
      <c r="C51" s="23" t="inlineStr">
        <is>
          <t>SHORT</t>
        </is>
      </c>
      <c r="D51" s="24" t="n">
        <v>46265</v>
      </c>
      <c r="E51" s="25" t="n">
        <v>625.4782</v>
      </c>
      <c r="F51" s="26" t="n">
        <v>464</v>
      </c>
      <c r="G51" s="24" t="n">
        <v>46265</v>
      </c>
      <c r="H51" s="25" t="n">
        <v>620</v>
      </c>
      <c r="I51" s="21">
        <f>IF(OR($B51="",$H51=""),"",IF($C51="LONG",($H51-$E51)*$F51,($E51-$H51)*$F51))</f>
        <v/>
      </c>
      <c r="J51" s="4" t="n">
        <v>415.51</v>
      </c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inlineStr">
        <is>
          <t>DHAN-321260831423609</t>
        </is>
      </c>
      <c r="B52" s="23" t="inlineStr">
        <is>
          <t>JGCHEM</t>
        </is>
      </c>
      <c r="C52" s="23" t="inlineStr">
        <is>
          <t>SHORT</t>
        </is>
      </c>
      <c r="D52" s="24" t="n">
        <v>46265</v>
      </c>
      <c r="E52" s="25" t="n">
        <v>648.4623</v>
      </c>
      <c r="F52" s="26" t="n">
        <v>428</v>
      </c>
      <c r="G52" s="24" t="n">
        <v>46265</v>
      </c>
      <c r="H52" s="25" t="n">
        <v>638.2939</v>
      </c>
      <c r="I52" s="21">
        <f>IF(OR($B52="",$H52=""),"",IF($C52="LONG",($H52-$E52)*$F52,($E52-$H52)*$F52))</f>
        <v/>
      </c>
      <c r="J52" s="4" t="n">
        <v>397.84</v>
      </c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inlineStr">
        <is>
          <t>DHAN-23126083156509</t>
        </is>
      </c>
      <c r="B53" s="23" t="inlineStr">
        <is>
          <t>MASTEK</t>
        </is>
      </c>
      <c r="C53" s="23" t="inlineStr">
        <is>
          <t>SHORT</t>
        </is>
      </c>
      <c r="D53" s="24" t="n">
        <v>46265</v>
      </c>
      <c r="E53" s="25" t="n">
        <v>1777.6041</v>
      </c>
      <c r="F53" s="26" t="n">
        <v>147</v>
      </c>
      <c r="G53" s="24" t="n">
        <v>46265</v>
      </c>
      <c r="H53" s="25" t="n">
        <v>1777.866</v>
      </c>
      <c r="I53" s="21">
        <f>IF(OR($B53="",$H53=""),"",IF($C53="LONG",($H53-$E53)*$F53,($E53-$H53)*$F53))</f>
        <v/>
      </c>
      <c r="J53" s="4" t="n">
        <v>312.31</v>
      </c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inlineStr">
        <is>
          <t>DHAN-231260831122309</t>
        </is>
      </c>
      <c r="B54" s="23" t="inlineStr">
        <is>
          <t>NORTHARC</t>
        </is>
      </c>
      <c r="C54" s="23" t="inlineStr">
        <is>
          <t>LONG</t>
        </is>
      </c>
      <c r="D54" s="24" t="n">
        <v>46265</v>
      </c>
      <c r="E54" s="25" t="n">
        <v>310.5</v>
      </c>
      <c r="F54" s="26" t="n">
        <v>1117</v>
      </c>
      <c r="G54" s="24" t="n">
        <v>46266</v>
      </c>
      <c r="H54" s="25" t="n">
        <v>303.0902</v>
      </c>
      <c r="I54" s="21">
        <f>IF(OR($B54="",$H54=""),"",IF($C54="LONG",($H54-$E54)*$F54,($E54-$H54)*$F54))</f>
        <v/>
      </c>
      <c r="J54" s="4" t="n">
        <v>623.02</v>
      </c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inlineStr">
        <is>
          <t>DHAN-23126083118409</t>
        </is>
      </c>
      <c r="B55" s="23" t="inlineStr">
        <is>
          <t>OMAXE</t>
        </is>
      </c>
      <c r="C55" s="23" t="inlineStr">
        <is>
          <t>SHORT</t>
        </is>
      </c>
      <c r="D55" s="24" t="n">
        <v>46265</v>
      </c>
      <c r="E55" s="25" t="n">
        <v>130.7703</v>
      </c>
      <c r="F55" s="26" t="n">
        <v>2161</v>
      </c>
      <c r="G55" s="24" t="n">
        <v>46265</v>
      </c>
      <c r="H55" s="25" t="n">
        <v>126.3456</v>
      </c>
      <c r="I55" s="21">
        <f>IF(OR($B55="",$H55=""),"",IF($C55="LONG",($H55-$E55)*$F55,($E55-$H55)*$F55))</f>
        <v/>
      </c>
      <c r="J55" s="4" t="n">
        <v>332.07</v>
      </c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inlineStr">
        <is>
          <t>DHAN-321260831104409</t>
        </is>
      </c>
      <c r="B56" s="23" t="inlineStr">
        <is>
          <t>SYNCOMF</t>
        </is>
      </c>
      <c r="C56" s="23" t="inlineStr">
        <is>
          <t>SHORT</t>
        </is>
      </c>
      <c r="D56" s="24" t="n">
        <v>46265</v>
      </c>
      <c r="E56" s="25" t="n">
        <v>19.6247</v>
      </c>
      <c r="F56" s="26" t="n">
        <v>14462</v>
      </c>
      <c r="G56" s="24" t="n">
        <v>46265</v>
      </c>
      <c r="H56" s="25" t="n">
        <v>19.5263</v>
      </c>
      <c r="I56" s="21">
        <f>IF(OR($B56="",$H56=""),"",IF($C56="LONG",($H56-$E56)*$F56,($E56-$H56)*$F56))</f>
        <v/>
      </c>
      <c r="J56" s="4" t="n">
        <v>407.39</v>
      </c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inlineStr">
        <is>
          <t>DHAN-321260831702509</t>
        </is>
      </c>
      <c r="B57" s="23" t="inlineStr">
        <is>
          <t>VENKEYS</t>
        </is>
      </c>
      <c r="C57" s="23" t="inlineStr">
        <is>
          <t>LONG</t>
        </is>
      </c>
      <c r="D57" s="24" t="n">
        <v>46265</v>
      </c>
      <c r="E57" s="25" t="n">
        <v>1702.7395</v>
      </c>
      <c r="F57" s="26" t="n">
        <v>205</v>
      </c>
      <c r="G57" s="24" t="n">
        <v>46266</v>
      </c>
      <c r="H57" s="25" t="n">
        <v>1666.1965</v>
      </c>
      <c r="I57" s="21">
        <f>IF(OR($B57="",$H57=""),"",IF($C57="LONG",($H57-$E57)*$F57,($E57-$H57)*$F57))</f>
        <v/>
      </c>
      <c r="J57" s="4" t="n">
        <v>615.9</v>
      </c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inlineStr">
        <is>
          <t>DHAN-22126090197109</t>
        </is>
      </c>
      <c r="B58" s="23" t="inlineStr">
        <is>
          <t>ASHOKA</t>
        </is>
      </c>
      <c r="C58" s="23" t="inlineStr">
        <is>
          <t>SHORT</t>
        </is>
      </c>
      <c r="D58" s="24" t="n">
        <v>46266</v>
      </c>
      <c r="E58" s="25" t="n">
        <v>121.775</v>
      </c>
      <c r="F58" s="26" t="n">
        <v>2933</v>
      </c>
      <c r="G58" s="24" t="n">
        <v>46266</v>
      </c>
      <c r="H58" s="25" t="n">
        <v>122.25</v>
      </c>
      <c r="I58" s="21">
        <f>IF(OR($B58="",$H58=""),"",IF($C58="LONG",($H58-$E58)*$F58,($E58-$H58)*$F58))</f>
        <v/>
      </c>
      <c r="J58" s="4" t="n">
        <v>508.65</v>
      </c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inlineStr">
        <is>
          <t>DHAN-221260901437609</t>
        </is>
      </c>
      <c r="B59" s="23" t="inlineStr">
        <is>
          <t>NORTHARC</t>
        </is>
      </c>
      <c r="C59" s="23" t="inlineStr">
        <is>
          <t>SHORT</t>
        </is>
      </c>
      <c r="D59" s="24" t="n">
        <v>46266</v>
      </c>
      <c r="E59" s="25" t="n">
        <v>303.0625</v>
      </c>
      <c r="F59" s="26" t="n">
        <v>1117</v>
      </c>
      <c r="G59" s="24" t="n">
        <v>46266</v>
      </c>
      <c r="H59" s="25" t="n">
        <v>299.1408</v>
      </c>
      <c r="I59" s="21">
        <f>IF(OR($B59="",$H59=""),"",IF($C59="LONG",($H59-$E59)*$F59,($E59-$H59)*$F59))</f>
        <v/>
      </c>
      <c r="J59" s="4" t="n">
        <v>480.12</v>
      </c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inlineStr">
        <is>
          <t>DHAN-221260901669709</t>
        </is>
      </c>
      <c r="B60" s="23" t="inlineStr">
        <is>
          <t>SAKAR</t>
        </is>
      </c>
      <c r="C60" s="23" t="inlineStr">
        <is>
          <t>LONG</t>
        </is>
      </c>
      <c r="D60" s="24" t="n">
        <v>46266</v>
      </c>
      <c r="E60" s="25" t="n">
        <v>961.5373</v>
      </c>
      <c r="F60" s="26" t="n">
        <v>181</v>
      </c>
      <c r="G60" s="24" t="n">
        <v>46267</v>
      </c>
      <c r="H60" s="25" t="n">
        <v>987.1939</v>
      </c>
      <c r="I60" s="21">
        <f>IF(OR($B60="",$H60=""),"",IF($C60="LONG",($H60-$E60)*$F60,($E60-$H60)*$F60))</f>
        <v/>
      </c>
      <c r="J60" s="4" t="n">
        <v>296.33</v>
      </c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inlineStr">
        <is>
          <t>DHAN-321260901678509</t>
        </is>
      </c>
      <c r="B61" s="23" t="inlineStr">
        <is>
          <t>SOTL</t>
        </is>
      </c>
      <c r="C61" s="23" t="inlineStr">
        <is>
          <t>LONG</t>
        </is>
      </c>
      <c r="D61" s="24" t="n">
        <v>46266</v>
      </c>
      <c r="E61" s="25" t="n">
        <v>773.7782999999999</v>
      </c>
      <c r="F61" s="26" t="n">
        <v>454</v>
      </c>
      <c r="G61" s="24" t="n">
        <v>46267</v>
      </c>
      <c r="H61" s="25" t="n">
        <v>781.4043</v>
      </c>
      <c r="I61" s="21">
        <f>IF(OR($B61="",$H61=""),"",IF($C61="LONG",($H61-$E61)*$F61,($E61-$H61)*$F61))</f>
        <v/>
      </c>
      <c r="J61" s="4" t="n">
        <v>689.77</v>
      </c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inlineStr">
        <is>
          <t>DHAN-34126090172909</t>
        </is>
      </c>
      <c r="B62" s="23" t="inlineStr">
        <is>
          <t>SSWL</t>
        </is>
      </c>
      <c r="C62" s="23" t="inlineStr">
        <is>
          <t>LONG</t>
        </is>
      </c>
      <c r="D62" s="24" t="n">
        <v>46266</v>
      </c>
      <c r="E62" s="25" t="n">
        <v>361.4802</v>
      </c>
      <c r="F62" s="26" t="n">
        <v>981</v>
      </c>
      <c r="G62" s="24" t="n">
        <v>46267</v>
      </c>
      <c r="H62" s="25" t="n">
        <v>340.3868</v>
      </c>
      <c r="I62" s="21">
        <f>IF(OR($B62="",$H62=""),"",IF($C62="LONG",($H62-$E62)*$F62,($E62-$H62)*$F62))</f>
        <v/>
      </c>
      <c r="J62" s="4" t="n">
        <v>613.25</v>
      </c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inlineStr">
        <is>
          <t>DHAN-23126090154109</t>
        </is>
      </c>
      <c r="B63" s="23" t="inlineStr">
        <is>
          <t>VENKEYS</t>
        </is>
      </c>
      <c r="C63" s="23" t="inlineStr">
        <is>
          <t>SHORT</t>
        </is>
      </c>
      <c r="D63" s="24" t="n">
        <v>46266</v>
      </c>
      <c r="E63" s="25" t="n">
        <v>1664.2166</v>
      </c>
      <c r="F63" s="26" t="n">
        <v>205</v>
      </c>
      <c r="G63" s="24" t="n">
        <v>46266</v>
      </c>
      <c r="H63" s="25" t="n">
        <v>1647.3204</v>
      </c>
      <c r="I63" s="21">
        <f>IF(OR($B63="",$H63=""),"",IF($C63="LONG",($H63-$E63)*$F63,($E63-$H63)*$F63))</f>
        <v/>
      </c>
      <c r="J63" s="4" t="n">
        <v>484.3</v>
      </c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inlineStr">
        <is>
          <t>DHAN-231260902149109</t>
        </is>
      </c>
      <c r="B64" s="23" t="inlineStr">
        <is>
          <t>HERITGFOOD</t>
        </is>
      </c>
      <c r="C64" s="23" t="inlineStr">
        <is>
          <t>LONG</t>
        </is>
      </c>
      <c r="D64" s="24" t="n">
        <v>46267</v>
      </c>
      <c r="E64" s="25" t="n">
        <v>378</v>
      </c>
      <c r="F64" s="26" t="n">
        <v>529</v>
      </c>
      <c r="G64" s="24" t="n">
        <v>46268</v>
      </c>
      <c r="H64" s="25" t="n">
        <v>372.563</v>
      </c>
      <c r="I64" s="21">
        <f>IF(OR($B64="",$H64=""),"",IF($C64="LONG",($H64-$E64)*$F64,($E64-$H64)*$F64))</f>
        <v/>
      </c>
      <c r="J64" s="4" t="n">
        <v>439.24</v>
      </c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inlineStr">
        <is>
          <t>DHAN-321260902743009</t>
        </is>
      </c>
      <c r="B65" s="23" t="inlineStr">
        <is>
          <t>INDOCO</t>
        </is>
      </c>
      <c r="C65" s="23" t="inlineStr">
        <is>
          <t>LONG</t>
        </is>
      </c>
      <c r="D65" s="24" t="n">
        <v>46267</v>
      </c>
      <c r="E65" s="25" t="n">
        <v>274.0386</v>
      </c>
      <c r="F65" s="26" t="n">
        <v>731</v>
      </c>
      <c r="G65" s="24" t="n">
        <v>46268</v>
      </c>
      <c r="H65" s="25" t="n">
        <v>274.9479</v>
      </c>
      <c r="I65" s="21">
        <f>IF(OR($B65="",$H65=""),"",IF($C65="LONG",($H65-$E65)*$F65,($E65-$H65)*$F65))</f>
        <v/>
      </c>
      <c r="J65" s="4" t="n">
        <v>385.26</v>
      </c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inlineStr">
        <is>
          <t>DHAN-221260902120009</t>
        </is>
      </c>
      <c r="B66" s="23" t="inlineStr">
        <is>
          <t>SAKAR</t>
        </is>
      </c>
      <c r="C66" s="23" t="inlineStr">
        <is>
          <t>SHORT</t>
        </is>
      </c>
      <c r="D66" s="24" t="n">
        <v>46267</v>
      </c>
      <c r="E66" s="25" t="n">
        <v>987.1041</v>
      </c>
      <c r="F66" s="26" t="n">
        <v>181</v>
      </c>
      <c r="G66" s="24" t="n">
        <v>46267</v>
      </c>
      <c r="H66" s="25" t="n">
        <v>984.9721</v>
      </c>
      <c r="I66" s="21">
        <f>IF(OR($B66="",$H66=""),"",IF($C66="LONG",($H66-$E66)*$F66,($E66-$H66)*$F66))</f>
        <v/>
      </c>
      <c r="J66" s="4" t="n">
        <v>220.84</v>
      </c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inlineStr">
        <is>
          <t>DHAN-23126090223909</t>
        </is>
      </c>
      <c r="B67" s="23" t="inlineStr">
        <is>
          <t>SOTL</t>
        </is>
      </c>
      <c r="C67" s="23" t="inlineStr">
        <is>
          <t>SHORT</t>
        </is>
      </c>
      <c r="D67" s="24" t="n">
        <v>46267</v>
      </c>
      <c r="E67" s="25" t="n">
        <v>781.15</v>
      </c>
      <c r="F67" s="26" t="n">
        <v>454</v>
      </c>
      <c r="G67" s="24" t="n">
        <v>46267</v>
      </c>
      <c r="H67" s="25" t="n">
        <v>759.8953</v>
      </c>
      <c r="I67" s="21">
        <f>IF(OR($B67="",$H67=""),"",IF($C67="LONG",($H67-$E67)*$F67,($E67-$H67)*$F67))</f>
        <v/>
      </c>
      <c r="J67" s="4" t="n">
        <v>411.42</v>
      </c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inlineStr">
        <is>
          <t>DHAN-231260902110309</t>
        </is>
      </c>
      <c r="B68" s="23" t="inlineStr">
        <is>
          <t>SSWL</t>
        </is>
      </c>
      <c r="C68" s="23" t="inlineStr">
        <is>
          <t>SHORT</t>
        </is>
      </c>
      <c r="D68" s="24" t="n">
        <v>46267</v>
      </c>
      <c r="E68" s="25" t="n">
        <v>340.3105</v>
      </c>
      <c r="F68" s="26" t="n">
        <v>981</v>
      </c>
      <c r="G68" s="24" t="n">
        <v>46267</v>
      </c>
      <c r="H68" s="25" t="n">
        <v>345.273</v>
      </c>
      <c r="I68" s="21">
        <f>IF(OR($B68="",$H68=""),"",IF($C68="LONG",($H68-$E68)*$F68,($E68-$H68)*$F68))</f>
        <v/>
      </c>
      <c r="J68" s="4" t="n">
        <v>478.28</v>
      </c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inlineStr">
        <is>
          <t>DHAN-221260902724009</t>
        </is>
      </c>
      <c r="B69" s="23" t="inlineStr">
        <is>
          <t>TBZ</t>
        </is>
      </c>
      <c r="C69" s="23" t="inlineStr">
        <is>
          <t>LONG</t>
        </is>
      </c>
      <c r="D69" s="24" t="n">
        <v>46267</v>
      </c>
      <c r="E69" s="25" t="n">
        <v>416.35</v>
      </c>
      <c r="F69" s="26" t="n">
        <v>242</v>
      </c>
      <c r="G69" s="24" t="n">
        <v>46268</v>
      </c>
      <c r="H69" s="25" t="n">
        <v>422.9651</v>
      </c>
      <c r="I69" s="21">
        <f>IF(OR($B69="",$H69=""),"",IF($C69="LONG",($H69-$E69)*$F69,($E69-$H69)*$F69))</f>
        <v/>
      </c>
      <c r="J69" s="4" t="n">
        <v>161.82</v>
      </c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inlineStr">
        <is>
          <t>DHAN-321260902743109</t>
        </is>
      </c>
      <c r="B70" s="23" t="inlineStr">
        <is>
          <t>WINDLAS</t>
        </is>
      </c>
      <c r="C70" s="23" t="inlineStr">
        <is>
          <t>LONG</t>
        </is>
      </c>
      <c r="D70" s="24" t="n">
        <v>46267</v>
      </c>
      <c r="E70" s="25" t="n">
        <v>1101.477</v>
      </c>
      <c r="F70" s="26" t="n">
        <v>181</v>
      </c>
      <c r="G70" s="24" t="n">
        <v>46268</v>
      </c>
      <c r="H70" s="25" t="n">
        <v>1138.2559</v>
      </c>
      <c r="I70" s="21">
        <f>IF(OR($B70="",$H70=""),"",IF($C70="LONG",($H70-$E70)*$F70,($E70-$H70)*$F70))</f>
        <v/>
      </c>
      <c r="J70" s="4" t="n">
        <v>383.87</v>
      </c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inlineStr">
        <is>
          <t>DHAN-321260902743209</t>
        </is>
      </c>
      <c r="B71" s="23" t="inlineStr">
        <is>
          <t>XPROINDIA</t>
        </is>
      </c>
      <c r="C71" s="23" t="inlineStr">
        <is>
          <t>LONG</t>
        </is>
      </c>
      <c r="D71" s="24" t="n">
        <v>46267</v>
      </c>
      <c r="E71" s="25" t="n">
        <v>1291.5</v>
      </c>
      <c r="F71" s="26" t="n">
        <v>154</v>
      </c>
      <c r="G71" s="24" t="n">
        <v>46268</v>
      </c>
      <c r="H71" s="25" t="n">
        <v>1300.3182</v>
      </c>
      <c r="I71" s="21">
        <f>IF(OR($B71="",$H71=""),"",IF($C71="LONG",($H71-$E71)*$F71,($E71-$H71)*$F71))</f>
        <v/>
      </c>
      <c r="J71" s="4" t="n">
        <v>432.95</v>
      </c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inlineStr">
        <is>
          <t>DHAN-34126090364809</t>
        </is>
      </c>
      <c r="B72" s="23" t="inlineStr">
        <is>
          <t>ALEMBICLTD</t>
        </is>
      </c>
      <c r="C72" s="23" t="inlineStr">
        <is>
          <t>LONG</t>
        </is>
      </c>
      <c r="D72" s="24" t="n">
        <v>46268</v>
      </c>
      <c r="E72" s="25" t="n">
        <v>109.8863</v>
      </c>
      <c r="F72" s="26" t="n">
        <v>1597</v>
      </c>
      <c r="G72" s="24" t="n">
        <v>46269</v>
      </c>
      <c r="H72" s="25" t="n">
        <v>114.1086</v>
      </c>
      <c r="I72" s="21">
        <f>IF(OR($B72="",$H72=""),"",IF($C72="LONG",($H72-$E72)*$F72,($E72-$H72)*$F72))</f>
        <v/>
      </c>
      <c r="J72" s="4" t="n">
        <v>376.31</v>
      </c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inlineStr">
        <is>
          <t>DHAN-321260903596709</t>
        </is>
      </c>
      <c r="B73" s="23" t="inlineStr">
        <is>
          <t>ANTELOPUS</t>
        </is>
      </c>
      <c r="C73" s="23" t="inlineStr">
        <is>
          <t>LONG</t>
        </is>
      </c>
      <c r="D73" s="24" t="n">
        <v>46268</v>
      </c>
      <c r="E73" s="25" t="n">
        <v>1012.0773</v>
      </c>
      <c r="F73" s="26" t="n">
        <v>86</v>
      </c>
      <c r="G73" s="24" t="n">
        <v>46269</v>
      </c>
      <c r="H73" s="25" t="n">
        <v>1004.061</v>
      </c>
      <c r="I73" s="21">
        <f>IF(OR($B73="",$H73=""),"",IF($C73="LONG",($H73-$E73)*$F73,($E73-$H73)*$F73))</f>
        <v/>
      </c>
      <c r="J73" s="4" t="n">
        <v>166.41</v>
      </c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inlineStr">
        <is>
          <t>DHAN-34126090364909</t>
        </is>
      </c>
      <c r="B74" s="23" t="inlineStr">
        <is>
          <t>BFUTILITIE</t>
        </is>
      </c>
      <c r="C74" s="23" t="inlineStr">
        <is>
          <t>LONG</t>
        </is>
      </c>
      <c r="D74" s="24" t="n">
        <v>46268</v>
      </c>
      <c r="E74" s="25" t="n">
        <v>544.1489</v>
      </c>
      <c r="F74" s="26" t="n">
        <v>321</v>
      </c>
      <c r="G74" s="24" t="n">
        <v>46269</v>
      </c>
      <c r="H74" s="25" t="n">
        <v>559.1366</v>
      </c>
      <c r="I74" s="21">
        <f>IF(OR($B74="",$H74=""),"",IF($C74="LONG",($H74-$E74)*$F74,($E74-$H74)*$F74))</f>
        <v/>
      </c>
      <c r="J74" s="4" t="n">
        <v>326.83</v>
      </c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inlineStr">
        <is>
          <t>DHAN-221260903780209</t>
        </is>
      </c>
      <c r="B75" s="23" t="inlineStr">
        <is>
          <t>GOCLCORP</t>
        </is>
      </c>
      <c r="C75" s="23" t="inlineStr">
        <is>
          <t>LONG</t>
        </is>
      </c>
      <c r="D75" s="24" t="n">
        <v>46268</v>
      </c>
      <c r="E75" s="25" t="n">
        <v>421.586</v>
      </c>
      <c r="F75" s="26" t="n">
        <v>414</v>
      </c>
      <c r="G75" s="24" t="n">
        <v>46269</v>
      </c>
      <c r="H75" s="25" t="n">
        <v>424.026</v>
      </c>
      <c r="I75" s="21">
        <f>IF(OR($B75="",$H75=""),"",IF($C75="LONG",($H75-$E75)*$F75,($E75-$H75)*$F75))</f>
        <v/>
      </c>
      <c r="J75" s="4" t="n">
        <v>329.58</v>
      </c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inlineStr">
        <is>
          <t>DHAN-23126090343709</t>
        </is>
      </c>
      <c r="B76" s="23" t="inlineStr">
        <is>
          <t>HERITGFOOD</t>
        </is>
      </c>
      <c r="C76" s="23" t="inlineStr">
        <is>
          <t>SHORT</t>
        </is>
      </c>
      <c r="D76" s="24" t="n">
        <v>46268</v>
      </c>
      <c r="E76" s="25" t="n">
        <v>372.1501</v>
      </c>
      <c r="F76" s="26" t="n">
        <v>529</v>
      </c>
      <c r="G76" s="24" t="n">
        <v>46268</v>
      </c>
      <c r="H76" s="25" t="n">
        <v>372.0471</v>
      </c>
      <c r="I76" s="21">
        <f>IF(OR($B76="",$H76=""),"",IF($C76="LONG",($H76-$E76)*$F76,($E76-$H76)*$F76))</f>
        <v/>
      </c>
      <c r="J76" s="4" t="n">
        <v>241.15</v>
      </c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inlineStr">
        <is>
          <t>DHAN-23126090365609</t>
        </is>
      </c>
      <c r="B77" s="23" t="inlineStr">
        <is>
          <t>HINDOILEXP</t>
        </is>
      </c>
      <c r="C77" s="23" t="inlineStr">
        <is>
          <t>LONG</t>
        </is>
      </c>
      <c r="D77" s="24" t="n">
        <v>46268</v>
      </c>
      <c r="E77" s="25" t="n">
        <v>183.9966</v>
      </c>
      <c r="F77" s="26" t="n">
        <v>951</v>
      </c>
      <c r="G77" s="24" t="n">
        <v>46269</v>
      </c>
      <c r="H77" s="25" t="n">
        <v>181.9446</v>
      </c>
      <c r="I77" s="21">
        <f>IF(OR($B77="",$H77=""),"",IF($C77="LONG",($H77-$E77)*$F77,($E77-$H77)*$F77))</f>
        <v/>
      </c>
      <c r="J77" s="4" t="n">
        <v>374.48</v>
      </c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inlineStr">
        <is>
          <t>DHAN-22126090392509</t>
        </is>
      </c>
      <c r="B78" s="23" t="inlineStr">
        <is>
          <t>INDOCO</t>
        </is>
      </c>
      <c r="C78" s="23" t="inlineStr">
        <is>
          <t>SHORT</t>
        </is>
      </c>
      <c r="D78" s="24" t="n">
        <v>46268</v>
      </c>
      <c r="E78" s="25" t="n">
        <v>274.0624</v>
      </c>
      <c r="F78" s="26" t="n">
        <v>731</v>
      </c>
      <c r="G78" s="24" t="n">
        <v>46268</v>
      </c>
      <c r="H78" s="25" t="n">
        <v>278.0089</v>
      </c>
      <c r="I78" s="21">
        <f>IF(OR($B78="",$H78=""),"",IF($C78="LONG",($H78-$E78)*$F78,($E78-$H78)*$F78))</f>
        <v/>
      </c>
      <c r="J78" s="4" t="n">
        <v>296.69</v>
      </c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inlineStr">
        <is>
          <t>DHAN-23126090365509</t>
        </is>
      </c>
      <c r="B79" s="23" t="inlineStr">
        <is>
          <t>KIRIINDUS</t>
        </is>
      </c>
      <c r="C79" s="23" t="inlineStr">
        <is>
          <t>LONG</t>
        </is>
      </c>
      <c r="D79" s="24" t="n">
        <v>46268</v>
      </c>
      <c r="E79" s="25" t="n">
        <v>579.35</v>
      </c>
      <c r="F79" s="26" t="n">
        <v>302</v>
      </c>
      <c r="G79" s="24" t="n">
        <v>46269</v>
      </c>
      <c r="H79" s="25" t="n">
        <v>591.2967</v>
      </c>
      <c r="I79" s="21">
        <f>IF(OR($B79="",$H79=""),"",IF($C79="LONG",($H79-$E79)*$F79,($E79-$H79)*$F79))</f>
        <v/>
      </c>
      <c r="J79" s="4" t="n">
        <v>331.14</v>
      </c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inlineStr">
        <is>
          <t>DHAN-34126090365009</t>
        </is>
      </c>
      <c r="B80" s="23" t="inlineStr">
        <is>
          <t>RAYMOND</t>
        </is>
      </c>
      <c r="C80" s="23" t="inlineStr">
        <is>
          <t>LONG</t>
        </is>
      </c>
      <c r="D80" s="24" t="n">
        <v>46268</v>
      </c>
      <c r="E80" s="25" t="n">
        <v>763</v>
      </c>
      <c r="F80" s="26" t="n">
        <v>231</v>
      </c>
      <c r="G80" s="24" t="n">
        <v>46269</v>
      </c>
      <c r="H80" s="25" t="n">
        <v>751.7106</v>
      </c>
      <c r="I80" s="21">
        <f>IF(OR($B80="",$H80=""),"",IF($C80="LONG",($H80-$E80)*$F80,($E80-$H80)*$F80))</f>
        <v/>
      </c>
      <c r="J80" s="4" t="n">
        <v>332.59</v>
      </c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inlineStr">
        <is>
          <t>DHAN-32126090398709</t>
        </is>
      </c>
      <c r="B81" s="23" t="inlineStr">
        <is>
          <t>TBZ</t>
        </is>
      </c>
      <c r="C81" s="23" t="inlineStr">
        <is>
          <t>SHORT</t>
        </is>
      </c>
      <c r="D81" s="24" t="n">
        <v>46268</v>
      </c>
      <c r="E81" s="25" t="n">
        <v>423.45</v>
      </c>
      <c r="F81" s="26" t="n">
        <v>242</v>
      </c>
      <c r="G81" s="24" t="n">
        <v>46268</v>
      </c>
      <c r="H81" s="25" t="n">
        <v>423.6072</v>
      </c>
      <c r="I81" s="21">
        <f>IF(OR($B81="",$H81=""),"",IF($C81="LONG",($H81-$E81)*$F81,($E81-$H81)*$F81))</f>
        <v/>
      </c>
      <c r="J81" s="4" t="n">
        <v>162.41</v>
      </c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inlineStr">
        <is>
          <t>DHAN-321260903384009</t>
        </is>
      </c>
      <c r="B82" s="23" t="inlineStr">
        <is>
          <t>WINDLAS</t>
        </is>
      </c>
      <c r="C82" s="23" t="inlineStr">
        <is>
          <t>SHORT</t>
        </is>
      </c>
      <c r="D82" s="24" t="n">
        <v>46268</v>
      </c>
      <c r="E82" s="25" t="n">
        <v>1139.3014</v>
      </c>
      <c r="F82" s="26" t="n">
        <v>181</v>
      </c>
      <c r="G82" s="24" t="n">
        <v>46268</v>
      </c>
      <c r="H82" s="25" t="n">
        <v>1127.3989</v>
      </c>
      <c r="I82" s="21">
        <f>IF(OR($B82="",$H82=""),"",IF($C82="LONG",($H82-$E82)*$F82,($E82-$H82)*$F82))</f>
        <v/>
      </c>
      <c r="J82" s="4" t="n">
        <v>302.18</v>
      </c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inlineStr">
        <is>
          <t>DHAN-34126090316409</t>
        </is>
      </c>
      <c r="B83" s="23" t="inlineStr">
        <is>
          <t>XPROINDIA</t>
        </is>
      </c>
      <c r="C83" s="23" t="inlineStr">
        <is>
          <t>SHORT</t>
        </is>
      </c>
      <c r="D83" s="24" t="n">
        <v>46268</v>
      </c>
      <c r="E83" s="25" t="n">
        <v>1302.759</v>
      </c>
      <c r="F83" s="26" t="n">
        <v>154</v>
      </c>
      <c r="G83" s="24" t="n">
        <v>46268</v>
      </c>
      <c r="H83" s="25" t="n">
        <v>1290.8416</v>
      </c>
      <c r="I83" s="21">
        <f>IF(OR($B83="",$H83=""),"",IF($C83="LONG",($H83-$E83)*$F83,($E83-$H83)*$F83))</f>
        <v/>
      </c>
      <c r="J83" s="4" t="n">
        <v>244.39</v>
      </c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inlineStr">
        <is>
          <t>DHAN-32126090489209</t>
        </is>
      </c>
      <c r="B84" s="23" t="inlineStr">
        <is>
          <t>ALEMBICLTD</t>
        </is>
      </c>
      <c r="C84" s="23" t="inlineStr">
        <is>
          <t>SHORT</t>
        </is>
      </c>
      <c r="D84" s="24" t="n">
        <v>46269</v>
      </c>
      <c r="E84" s="25" t="n">
        <v>114.098</v>
      </c>
      <c r="F84" s="26" t="n">
        <v>1597</v>
      </c>
      <c r="G84" s="24" t="n">
        <v>46269</v>
      </c>
      <c r="H84" s="25" t="n">
        <v>111.8446</v>
      </c>
      <c r="I84" s="21">
        <f>IF(OR($B84="",$H84=""),"",IF($C84="LONG",($H84-$E84)*$F84,($E84-$H84)*$F84))</f>
        <v/>
      </c>
      <c r="J84" s="4" t="n">
        <v>223.48</v>
      </c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inlineStr">
        <is>
          <t>DHAN-34126090463509</t>
        </is>
      </c>
      <c r="B85" s="23" t="inlineStr">
        <is>
          <t>ANTELOPUS</t>
        </is>
      </c>
      <c r="C85" s="23" t="inlineStr">
        <is>
          <t>SHORT</t>
        </is>
      </c>
      <c r="D85" s="24" t="n">
        <v>46269</v>
      </c>
      <c r="E85" s="25" t="n">
        <v>1003.9</v>
      </c>
      <c r="F85" s="26" t="n">
        <v>86</v>
      </c>
      <c r="G85" s="24" t="n">
        <v>46269</v>
      </c>
      <c r="H85" s="25" t="n">
        <v>987.1866</v>
      </c>
      <c r="I85" s="21">
        <f>IF(OR($B85="",$H85=""),"",IF($C85="LONG",($H85-$E85)*$F85,($E85-$H85)*$F85))</f>
        <v/>
      </c>
      <c r="J85" s="4" t="n">
        <v>118.41</v>
      </c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inlineStr">
        <is>
          <t>DHAN-34126090416009</t>
        </is>
      </c>
      <c r="B86" s="23" t="inlineStr">
        <is>
          <t>BFUTILITIE</t>
        </is>
      </c>
      <c r="C86" s="23" t="inlineStr">
        <is>
          <t>SHORT</t>
        </is>
      </c>
      <c r="D86" s="24" t="n">
        <v>46269</v>
      </c>
      <c r="E86" s="25" t="n">
        <v>557.8248</v>
      </c>
      <c r="F86" s="26" t="n">
        <v>321</v>
      </c>
      <c r="G86" s="24" t="n">
        <v>46269</v>
      </c>
      <c r="H86" s="25" t="n">
        <v>545.7992</v>
      </c>
      <c r="I86" s="21">
        <f>IF(OR($B86="",$H86=""),"",IF($C86="LONG",($H86-$E86)*$F86,($E86-$H86)*$F86))</f>
        <v/>
      </c>
      <c r="J86" s="4" t="n">
        <v>264.5</v>
      </c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inlineStr">
        <is>
          <t>DHAN-22126090492309</t>
        </is>
      </c>
      <c r="B87" s="23" t="inlineStr">
        <is>
          <t>GOCLCORP</t>
        </is>
      </c>
      <c r="C87" s="23" t="inlineStr">
        <is>
          <t>SHORT</t>
        </is>
      </c>
      <c r="D87" s="24" t="n">
        <v>46269</v>
      </c>
      <c r="E87" s="25" t="n">
        <v>423.9067</v>
      </c>
      <c r="F87" s="26" t="n">
        <v>414</v>
      </c>
      <c r="G87" s="24" t="n">
        <v>46269</v>
      </c>
      <c r="H87" s="25" t="n">
        <v>429.4497</v>
      </c>
      <c r="I87" s="21">
        <f>IF(OR($B87="",$H87=""),"",IF($C87="LONG",($H87-$E87)*$F87,($E87-$H87)*$F87))</f>
        <v/>
      </c>
      <c r="J87" s="4" t="n">
        <v>262.49</v>
      </c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inlineStr">
        <is>
          <t>DHAN-34126090463609</t>
        </is>
      </c>
      <c r="B88" s="23" t="inlineStr">
        <is>
          <t>HINDOILEXP</t>
        </is>
      </c>
      <c r="C88" s="23" t="inlineStr">
        <is>
          <t>SHORT</t>
        </is>
      </c>
      <c r="D88" s="24" t="n">
        <v>46269</v>
      </c>
      <c r="E88" s="25" t="n">
        <v>181.8259</v>
      </c>
      <c r="F88" s="26" t="n">
        <v>951</v>
      </c>
      <c r="G88" s="24" t="n">
        <v>46269</v>
      </c>
      <c r="H88" s="25" t="n">
        <v>182</v>
      </c>
      <c r="I88" s="21">
        <f>IF(OR($B88="",$H88=""),"",IF($C88="LONG",($H88-$E88)*$F88,($E88-$H88)*$F88))</f>
        <v/>
      </c>
      <c r="J88" s="4" t="n">
        <v>214.74</v>
      </c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inlineStr">
        <is>
          <t>DHAN-23126090415409</t>
        </is>
      </c>
      <c r="B89" s="23" t="inlineStr">
        <is>
          <t>KIRIINDUS</t>
        </is>
      </c>
      <c r="C89" s="23" t="inlineStr">
        <is>
          <t>SHORT</t>
        </is>
      </c>
      <c r="D89" s="24" t="n">
        <v>46269</v>
      </c>
      <c r="E89" s="25" t="n">
        <v>591.654</v>
      </c>
      <c r="F89" s="26" t="n">
        <v>302</v>
      </c>
      <c r="G89" s="24" t="n">
        <v>46269</v>
      </c>
      <c r="H89" s="25" t="n">
        <v>562.05</v>
      </c>
      <c r="I89" s="21">
        <f>IF(OR($B89="",$H89=""),"",IF($C89="LONG",($H89-$E89)*$F89,($E89-$H89)*$F89))</f>
        <v/>
      </c>
      <c r="J89" s="4" t="n">
        <v>261.3</v>
      </c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inlineStr">
        <is>
          <t>DHAN-34126090488609</t>
        </is>
      </c>
      <c r="B90" s="23" t="inlineStr">
        <is>
          <t>MAITHANALL</t>
        </is>
      </c>
      <c r="C90" s="23" t="inlineStr">
        <is>
          <t>LONG</t>
        </is>
      </c>
      <c r="D90" s="24" t="n">
        <v>46269</v>
      </c>
      <c r="E90" s="25" t="n">
        <v>1086.426</v>
      </c>
      <c r="F90" s="26" t="n">
        <v>321</v>
      </c>
      <c r="G90" s="24" t="n">
        <v>46272</v>
      </c>
      <c r="H90" s="25" t="n">
        <v>1185</v>
      </c>
      <c r="I90" s="21">
        <f>IF(OR($B90="",$H90=""),"",IF($C90="LONG",($H90-$E90)*$F90,($E90-$H90)*$F90))</f>
        <v/>
      </c>
      <c r="J90" s="4" t="n">
        <v>833.8200000000001</v>
      </c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inlineStr">
        <is>
          <t>DHAN-321260904383309</t>
        </is>
      </c>
      <c r="B91" s="23" t="inlineStr">
        <is>
          <t>RAYMOND</t>
        </is>
      </c>
      <c r="C91" s="23" t="inlineStr">
        <is>
          <t>SHORT</t>
        </is>
      </c>
      <c r="D91" s="24" t="n">
        <v>46269</v>
      </c>
      <c r="E91" s="25" t="n">
        <v>752.5812</v>
      </c>
      <c r="F91" s="26" t="n">
        <v>231</v>
      </c>
      <c r="G91" s="24" t="n">
        <v>46269</v>
      </c>
      <c r="H91" s="25" t="n">
        <v>740.4414</v>
      </c>
      <c r="I91" s="21">
        <f>IF(OR($B91="",$H91=""),"",IF($C91="LONG",($H91-$E91)*$F91,($E91-$H91)*$F91))</f>
        <v/>
      </c>
      <c r="J91" s="4" t="n">
        <v>257.68</v>
      </c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inlineStr">
        <is>
          <t>DHAN-221260904639609</t>
        </is>
      </c>
      <c r="B92" s="23" t="inlineStr">
        <is>
          <t>RML</t>
        </is>
      </c>
      <c r="C92" s="23" t="inlineStr">
        <is>
          <t>LONG</t>
        </is>
      </c>
      <c r="D92" s="24" t="n">
        <v>46269</v>
      </c>
      <c r="E92" s="25" t="n">
        <v>1291.9929</v>
      </c>
      <c r="F92" s="26" t="n">
        <v>270</v>
      </c>
      <c r="G92" s="24" t="n">
        <v>46272</v>
      </c>
      <c r="H92" s="25" t="n">
        <v>1337.4363</v>
      </c>
      <c r="I92" s="21">
        <f>IF(OR($B92="",$H92=""),"",IF($C92="LONG",($H92-$E92)*$F92,($E92-$H92)*$F92))</f>
        <v/>
      </c>
      <c r="J92" s="4" t="n">
        <v>739.8200000000001</v>
      </c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inlineStr">
        <is>
          <t>DHAN-23126090486609</t>
        </is>
      </c>
      <c r="B93" s="23" t="inlineStr">
        <is>
          <t>SINDHUTRAD</t>
        </is>
      </c>
      <c r="C93" s="23" t="inlineStr">
        <is>
          <t>LONG</t>
        </is>
      </c>
      <c r="D93" s="24" t="n">
        <v>46269</v>
      </c>
      <c r="E93" s="25" t="n">
        <v>25.2263</v>
      </c>
      <c r="F93" s="26" t="n">
        <v>13916</v>
      </c>
      <c r="G93" s="24" t="n">
        <v>46272</v>
      </c>
      <c r="H93" s="25" t="n">
        <v>24.6576</v>
      </c>
      <c r="I93" s="21">
        <f>IF(OR($B93="",$H93=""),"",IF($C93="LONG",($H93-$E93)*$F93,($E93-$H93)*$F93))</f>
        <v/>
      </c>
      <c r="J93" s="4" t="n">
        <v>766.78</v>
      </c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inlineStr">
        <is>
          <t>DHAN-221260907740209</t>
        </is>
      </c>
      <c r="B94" s="23" t="inlineStr">
        <is>
          <t>CHEMPLASTS</t>
        </is>
      </c>
      <c r="C94" s="23" t="inlineStr">
        <is>
          <t>LONG</t>
        </is>
      </c>
      <c r="D94" s="24" t="n">
        <v>46272</v>
      </c>
      <c r="E94" s="25" t="n">
        <v>184.7831</v>
      </c>
      <c r="F94" s="26" t="n">
        <v>1261</v>
      </c>
      <c r="G94" s="24" t="inlineStr"/>
      <c r="H94" s="25" t="inlineStr"/>
      <c r="I94" s="21">
        <f>IF(OR($B94="",$H94=""),"",IF($C94="LONG",($H94-$E94)*$F94,($E94-$H94)*$F94))</f>
        <v/>
      </c>
      <c r="J94" s="4" t="n">
        <v>401.26</v>
      </c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inlineStr">
        <is>
          <t>DHAN-23126090769809</t>
        </is>
      </c>
      <c r="B95" s="23" t="inlineStr">
        <is>
          <t>GNRL</t>
        </is>
      </c>
      <c r="C95" s="23" t="inlineStr">
        <is>
          <t>LONG</t>
        </is>
      </c>
      <c r="D95" s="24" t="n">
        <v>46272</v>
      </c>
      <c r="E95" s="25" t="n">
        <v>114.89</v>
      </c>
      <c r="F95" s="26" t="n">
        <v>1019</v>
      </c>
      <c r="G95" s="24" t="inlineStr"/>
      <c r="H95" s="25" t="inlineStr"/>
      <c r="I95" s="21">
        <f>IF(OR($B95="",$H95=""),"",IF($C95="LONG",($H95-$E95)*$F95,($E95-$H95)*$F95))</f>
        <v/>
      </c>
      <c r="J95" s="4" t="n">
        <v>153.76</v>
      </c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inlineStr">
        <is>
          <t>DHAN-23126090769609</t>
        </is>
      </c>
      <c r="B96" s="23" t="inlineStr">
        <is>
          <t>HIKAL</t>
        </is>
      </c>
      <c r="C96" s="23" t="inlineStr">
        <is>
          <t>LONG</t>
        </is>
      </c>
      <c r="D96" s="24" t="n">
        <v>46272</v>
      </c>
      <c r="E96" s="25" t="n">
        <v>242.9411</v>
      </c>
      <c r="F96" s="26" t="n">
        <v>959</v>
      </c>
      <c r="G96" s="24" t="inlineStr"/>
      <c r="H96" s="25" t="inlineStr"/>
      <c r="I96" s="21">
        <f>IF(OR($B96="",$H96=""),"",IF($C96="LONG",($H96-$E96)*$F96,($E96-$H96)*$F96))</f>
        <v/>
      </c>
      <c r="J96" s="4" t="n">
        <v>398.2</v>
      </c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inlineStr">
        <is>
          <t>DHAN-23126090714709</t>
        </is>
      </c>
      <c r="B97" s="23" t="inlineStr">
        <is>
          <t>MAITHANALL</t>
        </is>
      </c>
      <c r="C97" s="23" t="inlineStr">
        <is>
          <t>SHORT</t>
        </is>
      </c>
      <c r="D97" s="24" t="n">
        <v>46272</v>
      </c>
      <c r="E97" s="25" t="n">
        <v>1183.4504</v>
      </c>
      <c r="F97" s="26" t="n">
        <v>321</v>
      </c>
      <c r="G97" s="24" t="n">
        <v>46272</v>
      </c>
      <c r="H97" s="25" t="n">
        <v>1129.9305</v>
      </c>
      <c r="I97" s="21">
        <f>IF(OR($B97="",$H97=""),"",IF($C97="LONG",($H97-$E97)*$F97,($E97-$H97)*$F97))</f>
        <v/>
      </c>
      <c r="J97" s="4" t="n">
        <v>437.06</v>
      </c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inlineStr">
        <is>
          <t>DHAN-23126090769709</t>
        </is>
      </c>
      <c r="B98" s="23" t="inlineStr">
        <is>
          <t>PITTIENG</t>
        </is>
      </c>
      <c r="C98" s="23" t="inlineStr">
        <is>
          <t>LONG</t>
        </is>
      </c>
      <c r="D98" s="24" t="n">
        <v>46272</v>
      </c>
      <c r="E98" s="25" t="n">
        <v>1174.901</v>
      </c>
      <c r="F98" s="26" t="n">
        <v>198</v>
      </c>
      <c r="G98" s="24" t="inlineStr"/>
      <c r="H98" s="25" t="inlineStr"/>
      <c r="I98" s="21">
        <f>IF(OR($B98="",$H98=""),"",IF($C98="LONG",($H98-$E98)*$F98,($E98-$H98)*$F98))</f>
        <v/>
      </c>
      <c r="J98" s="4" t="n">
        <v>397.89</v>
      </c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inlineStr">
        <is>
          <t>DHAN-211260907540809</t>
        </is>
      </c>
      <c r="B99" s="23" t="inlineStr">
        <is>
          <t>RML</t>
        </is>
      </c>
      <c r="C99" s="23" t="inlineStr">
        <is>
          <t>LONG</t>
        </is>
      </c>
      <c r="D99" s="24" t="n">
        <v>46272</v>
      </c>
      <c r="E99" s="25" t="n">
        <v>1397.9</v>
      </c>
      <c r="F99" s="26" t="n">
        <v>167</v>
      </c>
      <c r="G99" s="24" t="inlineStr"/>
      <c r="H99" s="25" t="inlineStr"/>
      <c r="I99" s="21">
        <f>IF(OR($B99="",$H99=""),"",IF($C99="LONG",($H99-$E99)*$F99,($E99-$H99)*$F99))</f>
        <v/>
      </c>
      <c r="J99" s="4" t="n">
        <v>47.08</v>
      </c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inlineStr">
        <is>
          <t>DHAN-321260907112709</t>
        </is>
      </c>
      <c r="B100" s="23" t="inlineStr">
        <is>
          <t>RML</t>
        </is>
      </c>
      <c r="C100" s="23" t="inlineStr">
        <is>
          <t>SHORT</t>
        </is>
      </c>
      <c r="D100" s="24" t="n">
        <v>46272</v>
      </c>
      <c r="E100" s="25" t="n">
        <v>1345.7526</v>
      </c>
      <c r="F100" s="26" t="n">
        <v>270</v>
      </c>
      <c r="G100" s="24" t="n">
        <v>46272</v>
      </c>
      <c r="H100" s="25" t="n">
        <v>1363.1344</v>
      </c>
      <c r="I100" s="21">
        <f>IF(OR($B100="",$H100=""),"",IF($C100="LONG",($H100-$E100)*$F100,($E100-$H100)*$F100))</f>
        <v/>
      </c>
      <c r="J100" s="4" t="n">
        <v>380.66</v>
      </c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inlineStr">
        <is>
          <t>DHAN-34126090734409</t>
        </is>
      </c>
      <c r="B101" s="23" t="inlineStr">
        <is>
          <t>SINDHUTRAD</t>
        </is>
      </c>
      <c r="C101" s="23" t="inlineStr">
        <is>
          <t>SHORT</t>
        </is>
      </c>
      <c r="D101" s="24" t="n">
        <v>46272</v>
      </c>
      <c r="E101" s="25" t="n">
        <v>24.65</v>
      </c>
      <c r="F101" s="26" t="n">
        <v>13916</v>
      </c>
      <c r="G101" s="24" t="n">
        <v>46272</v>
      </c>
      <c r="H101" s="25" t="n">
        <v>25.2993</v>
      </c>
      <c r="I101" s="21">
        <f>IF(OR($B101="",$H101=""),"",IF($C101="LONG",($H101-$E101)*$F101,($E101-$H101)*$F101))</f>
        <v/>
      </c>
      <c r="J101" s="4" t="n">
        <v>516.37</v>
      </c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inlineStr">
        <is>
          <t>DHAN-321260907804109</t>
        </is>
      </c>
      <c r="B102" s="23" t="inlineStr">
        <is>
          <t>TALBROAUTO</t>
        </is>
      </c>
      <c r="C102" s="23" t="inlineStr">
        <is>
          <t>LONG</t>
        </is>
      </c>
      <c r="D102" s="24" t="n">
        <v>46272</v>
      </c>
      <c r="E102" s="25" t="n">
        <v>433.5513</v>
      </c>
      <c r="F102" s="26" t="n">
        <v>538</v>
      </c>
      <c r="G102" s="24" t="inlineStr"/>
      <c r="H102" s="25" t="inlineStr"/>
      <c r="I102" s="21">
        <f>IF(OR($B102="",$H102=""),"",IF($C102="LONG",($H102-$E102)*$F102,($E102-$H102)*$F102))</f>
        <v/>
      </c>
      <c r="J102" s="4" t="n">
        <v>398.58</v>
      </c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4" t="n"/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4" t="n"/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4" t="n"/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4" t="n"/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4" t="n"/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4" t="n"/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4" t="n"/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4" t="n"/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4" t="n"/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4" t="n"/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4" t="n"/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4" t="n"/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4" t="n"/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4" t="n"/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4" t="n"/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4" t="n"/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4" t="n"/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4" t="n"/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4" t="n"/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4" t="n"/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4" t="n"/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4" t="n"/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4" t="n"/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4" t="n"/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4" t="n"/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4" t="n"/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4" t="n"/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4" t="n"/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4" t="n"/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4" t="n"/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4" t="n"/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4" t="n"/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4" t="n"/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4" t="n"/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4" t="n"/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4" t="n"/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4" t="n"/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4" t="n"/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4" t="n"/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4" t="n"/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4" t="n"/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4" t="n"/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4" t="n"/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4" t="n"/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4" t="n"/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4" t="n"/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4" t="n"/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4" t="n"/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4" t="n"/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4" t="n"/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4" t="n"/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4" t="n"/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4" t="n"/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4" t="n"/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4" t="n"/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4" t="n"/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4" t="n"/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4" t="n"/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4" t="n"/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ASHOKA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BAJAJHIND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BANARISUG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BFUTILITIE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BOMDYEING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CHEMPLASTS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FMGOETZE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GKENERGY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GNRL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GOCLCORP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GOPAL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GUJTHEM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HERITGFOOD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27" t="inlineStr">
        <is>
          <t>HIKAL</t>
        </is>
      </c>
      <c r="B19" s="20">
        <f>COUNTIF('Trade Log'!$B$4:$B$503,$A19)</f>
        <v/>
      </c>
      <c r="C19" s="20">
        <f>COUNTIFS('Trade Log'!$B$4:$B$503,$A19,'Trade Log'!$K$4:$K$503,"&gt;0")</f>
        <v/>
      </c>
      <c r="D19" s="20">
        <f>COUNTIFS('Trade Log'!$B$4:$B$503,$A19,'Trade Log'!$K$4:$K$503,"&lt;0")</f>
        <v/>
      </c>
      <c r="E19" s="29">
        <f>IFERROR($C19/$B19,"")</f>
        <v/>
      </c>
      <c r="F19" s="21">
        <f>SUMIF('Trade Log'!$B$4:$B$503,$A19,'Trade Log'!$I$4:$I$503)</f>
        <v/>
      </c>
      <c r="G19" s="21">
        <f>SUMIF('Trade Log'!$B$4:$B$503,$A19,'Trade Log'!$K$4:$K$503)</f>
        <v/>
      </c>
      <c r="H19" s="21">
        <f>IFERROR($G19/$B19,"")</f>
        <v/>
      </c>
      <c r="I19" s="21">
        <f>IFERROR(_xlfn.MAXIFS('Trade Log'!$K$4:$K$503,'Trade Log'!$B$4:$B$503,$A19),"")</f>
        <v/>
      </c>
      <c r="J19" s="21">
        <f>IFERROR(_xlfn.MINIFS('Trade Log'!$K$4:$K$503,'Trade Log'!$B$4:$B$503,$A19),"")</f>
        <v/>
      </c>
    </row>
    <row r="20">
      <c r="A20" s="27" t="inlineStr">
        <is>
          <t>HINDOILEXP</t>
        </is>
      </c>
      <c r="B20" s="20">
        <f>COUNTIF('Trade Log'!$B$4:$B$503,$A20)</f>
        <v/>
      </c>
      <c r="C20" s="20">
        <f>COUNTIFS('Trade Log'!$B$4:$B$503,$A20,'Trade Log'!$K$4:$K$503,"&gt;0")</f>
        <v/>
      </c>
      <c r="D20" s="20">
        <f>COUNTIFS('Trade Log'!$B$4:$B$503,$A20,'Trade Log'!$K$4:$K$503,"&lt;0")</f>
        <v/>
      </c>
      <c r="E20" s="29">
        <f>IFERROR($C20/$B20,"")</f>
        <v/>
      </c>
      <c r="F20" s="21">
        <f>SUMIF('Trade Log'!$B$4:$B$503,$A20,'Trade Log'!$I$4:$I$503)</f>
        <v/>
      </c>
      <c r="G20" s="21">
        <f>SUMIF('Trade Log'!$B$4:$B$503,$A20,'Trade Log'!$K$4:$K$503)</f>
        <v/>
      </c>
      <c r="H20" s="21">
        <f>IFERROR($G20/$B20,"")</f>
        <v/>
      </c>
      <c r="I20" s="21">
        <f>IFERROR(_xlfn.MAXIFS('Trade Log'!$K$4:$K$503,'Trade Log'!$B$4:$B$503,$A20),"")</f>
        <v/>
      </c>
      <c r="J20" s="21">
        <f>IFERROR(_xlfn.MINIFS('Trade Log'!$K$4:$K$503,'Trade Log'!$B$4:$B$503,$A20),"")</f>
        <v/>
      </c>
    </row>
    <row r="21">
      <c r="A21" s="27" t="inlineStr">
        <is>
          <t>HUBTOWN</t>
        </is>
      </c>
      <c r="B21" s="20">
        <f>COUNTIF('Trade Log'!$B$4:$B$503,$A21)</f>
        <v/>
      </c>
      <c r="C21" s="20">
        <f>COUNTIFS('Trade Log'!$B$4:$B$503,$A21,'Trade Log'!$K$4:$K$503,"&gt;0")</f>
        <v/>
      </c>
      <c r="D21" s="20">
        <f>COUNTIFS('Trade Log'!$B$4:$B$503,$A21,'Trade Log'!$K$4:$K$503,"&lt;0")</f>
        <v/>
      </c>
      <c r="E21" s="29">
        <f>IFERROR($C21/$B21,"")</f>
        <v/>
      </c>
      <c r="F21" s="21">
        <f>SUMIF('Trade Log'!$B$4:$B$503,$A21,'Trade Log'!$I$4:$I$503)</f>
        <v/>
      </c>
      <c r="G21" s="21">
        <f>SUMIF('Trade Log'!$B$4:$B$503,$A21,'Trade Log'!$K$4:$K$503)</f>
        <v/>
      </c>
      <c r="H21" s="21">
        <f>IFERROR($G21/$B21,"")</f>
        <v/>
      </c>
      <c r="I21" s="21">
        <f>IFERROR(_xlfn.MAXIFS('Trade Log'!$K$4:$K$503,'Trade Log'!$B$4:$B$503,$A21),"")</f>
        <v/>
      </c>
      <c r="J21" s="21">
        <f>IFERROR(_xlfn.MINIFS('Trade Log'!$K$4:$K$503,'Trade Log'!$B$4:$B$503,$A21),"")</f>
        <v/>
      </c>
    </row>
    <row r="22">
      <c r="A22" s="27" t="inlineStr">
        <is>
          <t>INDOCO</t>
        </is>
      </c>
      <c r="B22" s="20">
        <f>COUNTIF('Trade Log'!$B$4:$B$503,$A22)</f>
        <v/>
      </c>
      <c r="C22" s="20">
        <f>COUNTIFS('Trade Log'!$B$4:$B$503,$A22,'Trade Log'!$K$4:$K$503,"&gt;0")</f>
        <v/>
      </c>
      <c r="D22" s="20">
        <f>COUNTIFS('Trade Log'!$B$4:$B$503,$A22,'Trade Log'!$K$4:$K$503,"&lt;0")</f>
        <v/>
      </c>
      <c r="E22" s="29">
        <f>IFERROR($C22/$B22,"")</f>
        <v/>
      </c>
      <c r="F22" s="21">
        <f>SUMIF('Trade Log'!$B$4:$B$503,$A22,'Trade Log'!$I$4:$I$503)</f>
        <v/>
      </c>
      <c r="G22" s="21">
        <f>SUMIF('Trade Log'!$B$4:$B$503,$A22,'Trade Log'!$K$4:$K$503)</f>
        <v/>
      </c>
      <c r="H22" s="21">
        <f>IFERROR($G22/$B22,"")</f>
        <v/>
      </c>
      <c r="I22" s="21">
        <f>IFERROR(_xlfn.MAXIFS('Trade Log'!$K$4:$K$503,'Trade Log'!$B$4:$B$503,$A22),"")</f>
        <v/>
      </c>
      <c r="J22" s="21">
        <f>IFERROR(_xlfn.MINIFS('Trade Log'!$K$4:$K$503,'Trade Log'!$B$4:$B$503,$A22),"")</f>
        <v/>
      </c>
    </row>
    <row r="23">
      <c r="A23" s="27" t="inlineStr">
        <is>
          <t>JGCHEM</t>
        </is>
      </c>
      <c r="B23" s="20">
        <f>COUNTIF('Trade Log'!$B$4:$B$503,$A23)</f>
        <v/>
      </c>
      <c r="C23" s="20">
        <f>COUNTIFS('Trade Log'!$B$4:$B$503,$A23,'Trade Log'!$K$4:$K$503,"&gt;0")</f>
        <v/>
      </c>
      <c r="D23" s="20">
        <f>COUNTIFS('Trade Log'!$B$4:$B$503,$A23,'Trade Log'!$K$4:$K$503,"&lt;0")</f>
        <v/>
      </c>
      <c r="E23" s="29">
        <f>IFERROR($C23/$B23,"")</f>
        <v/>
      </c>
      <c r="F23" s="21">
        <f>SUMIF('Trade Log'!$B$4:$B$503,$A23,'Trade Log'!$I$4:$I$503)</f>
        <v/>
      </c>
      <c r="G23" s="21">
        <f>SUMIF('Trade Log'!$B$4:$B$503,$A23,'Trade Log'!$K$4:$K$503)</f>
        <v/>
      </c>
      <c r="H23" s="21">
        <f>IFERROR($G23/$B23,"")</f>
        <v/>
      </c>
      <c r="I23" s="21">
        <f>IFERROR(_xlfn.MAXIFS('Trade Log'!$K$4:$K$503,'Trade Log'!$B$4:$B$503,$A23),"")</f>
        <v/>
      </c>
      <c r="J23" s="21">
        <f>IFERROR(_xlfn.MINIFS('Trade Log'!$K$4:$K$503,'Trade Log'!$B$4:$B$503,$A23),"")</f>
        <v/>
      </c>
    </row>
    <row r="24">
      <c r="A24" s="27" t="inlineStr">
        <is>
          <t>KCP</t>
        </is>
      </c>
      <c r="B24" s="20">
        <f>COUNTIF('Trade Log'!$B$4:$B$503,$A24)</f>
        <v/>
      </c>
      <c r="C24" s="20">
        <f>COUNTIFS('Trade Log'!$B$4:$B$503,$A24,'Trade Log'!$K$4:$K$503,"&gt;0")</f>
        <v/>
      </c>
      <c r="D24" s="20">
        <f>COUNTIFS('Trade Log'!$B$4:$B$503,$A24,'Trade Log'!$K$4:$K$503,"&lt;0")</f>
        <v/>
      </c>
      <c r="E24" s="29">
        <f>IFERROR($C24/$B24,"")</f>
        <v/>
      </c>
      <c r="F24" s="21">
        <f>SUMIF('Trade Log'!$B$4:$B$503,$A24,'Trade Log'!$I$4:$I$503)</f>
        <v/>
      </c>
      <c r="G24" s="21">
        <f>SUMIF('Trade Log'!$B$4:$B$503,$A24,'Trade Log'!$K$4:$K$503)</f>
        <v/>
      </c>
      <c r="H24" s="21">
        <f>IFERROR($G24/$B24,"")</f>
        <v/>
      </c>
      <c r="I24" s="21">
        <f>IFERROR(_xlfn.MAXIFS('Trade Log'!$K$4:$K$503,'Trade Log'!$B$4:$B$503,$A24),"")</f>
        <v/>
      </c>
      <c r="J24" s="21">
        <f>IFERROR(_xlfn.MINIFS('Trade Log'!$K$4:$K$503,'Trade Log'!$B$4:$B$503,$A24),"")</f>
        <v/>
      </c>
    </row>
    <row r="25">
      <c r="A25" s="27" t="inlineStr">
        <is>
          <t>KIRIINDUS</t>
        </is>
      </c>
      <c r="B25" s="20">
        <f>COUNTIF('Trade Log'!$B$4:$B$503,$A25)</f>
        <v/>
      </c>
      <c r="C25" s="20">
        <f>COUNTIFS('Trade Log'!$B$4:$B$503,$A25,'Trade Log'!$K$4:$K$503,"&gt;0")</f>
        <v/>
      </c>
      <c r="D25" s="20">
        <f>COUNTIFS('Trade Log'!$B$4:$B$503,$A25,'Trade Log'!$K$4:$K$503,"&lt;0")</f>
        <v/>
      </c>
      <c r="E25" s="29">
        <f>IFERROR($C25/$B25,"")</f>
        <v/>
      </c>
      <c r="F25" s="21">
        <f>SUMIF('Trade Log'!$B$4:$B$503,$A25,'Trade Log'!$I$4:$I$503)</f>
        <v/>
      </c>
      <c r="G25" s="21">
        <f>SUMIF('Trade Log'!$B$4:$B$503,$A25,'Trade Log'!$K$4:$K$503)</f>
        <v/>
      </c>
      <c r="H25" s="21">
        <f>IFERROR($G25/$B25,"")</f>
        <v/>
      </c>
      <c r="I25" s="21">
        <f>IFERROR(_xlfn.MAXIFS('Trade Log'!$K$4:$K$503,'Trade Log'!$B$4:$B$503,$A25),"")</f>
        <v/>
      </c>
      <c r="J25" s="21">
        <f>IFERROR(_xlfn.MINIFS('Trade Log'!$K$4:$K$503,'Trade Log'!$B$4:$B$503,$A25),"")</f>
        <v/>
      </c>
    </row>
    <row r="26">
      <c r="A26" s="27" t="inlineStr">
        <is>
          <t>KLBRENG-B</t>
        </is>
      </c>
      <c r="B26" s="20">
        <f>COUNTIF('Trade Log'!$B$4:$B$503,$A26)</f>
        <v/>
      </c>
      <c r="C26" s="20">
        <f>COUNTIFS('Trade Log'!$B$4:$B$503,$A26,'Trade Log'!$K$4:$K$503,"&gt;0")</f>
        <v/>
      </c>
      <c r="D26" s="20">
        <f>COUNTIFS('Trade Log'!$B$4:$B$503,$A26,'Trade Log'!$K$4:$K$503,"&lt;0")</f>
        <v/>
      </c>
      <c r="E26" s="29">
        <f>IFERROR($C26/$B26,"")</f>
        <v/>
      </c>
      <c r="F26" s="21">
        <f>SUMIF('Trade Log'!$B$4:$B$503,$A26,'Trade Log'!$I$4:$I$503)</f>
        <v/>
      </c>
      <c r="G26" s="21">
        <f>SUMIF('Trade Log'!$B$4:$B$503,$A26,'Trade Log'!$K$4:$K$503)</f>
        <v/>
      </c>
      <c r="H26" s="21">
        <f>IFERROR($G26/$B26,"")</f>
        <v/>
      </c>
      <c r="I26" s="21">
        <f>IFERROR(_xlfn.MAXIFS('Trade Log'!$K$4:$K$503,'Trade Log'!$B$4:$B$503,$A26),"")</f>
        <v/>
      </c>
      <c r="J26" s="21">
        <f>IFERROR(_xlfn.MINIFS('Trade Log'!$K$4:$K$503,'Trade Log'!$B$4:$B$503,$A26),"")</f>
        <v/>
      </c>
    </row>
    <row r="27">
      <c r="A27" s="27" t="inlineStr">
        <is>
          <t>MAITHANALL</t>
        </is>
      </c>
      <c r="B27" s="20">
        <f>COUNTIF('Trade Log'!$B$4:$B$503,$A27)</f>
        <v/>
      </c>
      <c r="C27" s="20">
        <f>COUNTIFS('Trade Log'!$B$4:$B$503,$A27,'Trade Log'!$K$4:$K$503,"&gt;0")</f>
        <v/>
      </c>
      <c r="D27" s="20">
        <f>COUNTIFS('Trade Log'!$B$4:$B$503,$A27,'Trade Log'!$K$4:$K$503,"&lt;0")</f>
        <v/>
      </c>
      <c r="E27" s="29">
        <f>IFERROR($C27/$B27,"")</f>
        <v/>
      </c>
      <c r="F27" s="21">
        <f>SUMIF('Trade Log'!$B$4:$B$503,$A27,'Trade Log'!$I$4:$I$503)</f>
        <v/>
      </c>
      <c r="G27" s="21">
        <f>SUMIF('Trade Log'!$B$4:$B$503,$A27,'Trade Log'!$K$4:$K$503)</f>
        <v/>
      </c>
      <c r="H27" s="21">
        <f>IFERROR($G27/$B27,"")</f>
        <v/>
      </c>
      <c r="I27" s="21">
        <f>IFERROR(_xlfn.MAXIFS('Trade Log'!$K$4:$K$503,'Trade Log'!$B$4:$B$503,$A27),"")</f>
        <v/>
      </c>
      <c r="J27" s="21">
        <f>IFERROR(_xlfn.MINIFS('Trade Log'!$K$4:$K$503,'Trade Log'!$B$4:$B$503,$A27),"")</f>
        <v/>
      </c>
    </row>
    <row r="28">
      <c r="A28" s="27" t="inlineStr">
        <is>
          <t>MANGLMCEM</t>
        </is>
      </c>
      <c r="B28" s="20">
        <f>COUNTIF('Trade Log'!$B$4:$B$503,$A28)</f>
        <v/>
      </c>
      <c r="C28" s="20">
        <f>COUNTIFS('Trade Log'!$B$4:$B$503,$A28,'Trade Log'!$K$4:$K$503,"&gt;0")</f>
        <v/>
      </c>
      <c r="D28" s="20">
        <f>COUNTIFS('Trade Log'!$B$4:$B$503,$A28,'Trade Log'!$K$4:$K$503,"&lt;0")</f>
        <v/>
      </c>
      <c r="E28" s="29">
        <f>IFERROR($C28/$B28,"")</f>
        <v/>
      </c>
      <c r="F28" s="21">
        <f>SUMIF('Trade Log'!$B$4:$B$503,$A28,'Trade Log'!$I$4:$I$503)</f>
        <v/>
      </c>
      <c r="G28" s="21">
        <f>SUMIF('Trade Log'!$B$4:$B$503,$A28,'Trade Log'!$K$4:$K$503)</f>
        <v/>
      </c>
      <c r="H28" s="21">
        <f>IFERROR($G28/$B28,"")</f>
        <v/>
      </c>
      <c r="I28" s="21">
        <f>IFERROR(_xlfn.MAXIFS('Trade Log'!$K$4:$K$503,'Trade Log'!$B$4:$B$503,$A28),"")</f>
        <v/>
      </c>
      <c r="J28" s="21">
        <f>IFERROR(_xlfn.MINIFS('Trade Log'!$K$4:$K$503,'Trade Log'!$B$4:$B$503,$A28),"")</f>
        <v/>
      </c>
    </row>
    <row r="29">
      <c r="A29" s="27" t="inlineStr">
        <is>
          <t>MASTEK</t>
        </is>
      </c>
      <c r="B29" s="20">
        <f>COUNTIF('Trade Log'!$B$4:$B$503,$A29)</f>
        <v/>
      </c>
      <c r="C29" s="20">
        <f>COUNTIFS('Trade Log'!$B$4:$B$503,$A29,'Trade Log'!$K$4:$K$503,"&gt;0")</f>
        <v/>
      </c>
      <c r="D29" s="20">
        <f>COUNTIFS('Trade Log'!$B$4:$B$503,$A29,'Trade Log'!$K$4:$K$503,"&lt;0")</f>
        <v/>
      </c>
      <c r="E29" s="29">
        <f>IFERROR($C29/$B29,"")</f>
        <v/>
      </c>
      <c r="F29" s="21">
        <f>SUMIF('Trade Log'!$B$4:$B$503,$A29,'Trade Log'!$I$4:$I$503)</f>
        <v/>
      </c>
      <c r="G29" s="21">
        <f>SUMIF('Trade Log'!$B$4:$B$503,$A29,'Trade Log'!$K$4:$K$503)</f>
        <v/>
      </c>
      <c r="H29" s="21">
        <f>IFERROR($G29/$B29,"")</f>
        <v/>
      </c>
      <c r="I29" s="21">
        <f>IFERROR(_xlfn.MAXIFS('Trade Log'!$K$4:$K$503,'Trade Log'!$B$4:$B$503,$A29),"")</f>
        <v/>
      </c>
      <c r="J29" s="21">
        <f>IFERROR(_xlfn.MINIFS('Trade Log'!$K$4:$K$503,'Trade Log'!$B$4:$B$503,$A29),"")</f>
        <v/>
      </c>
    </row>
    <row r="30">
      <c r="A30" s="27" t="inlineStr">
        <is>
          <t>NETWORK18</t>
        </is>
      </c>
      <c r="B30" s="20">
        <f>COUNTIF('Trade Log'!$B$4:$B$503,$A30)</f>
        <v/>
      </c>
      <c r="C30" s="20">
        <f>COUNTIFS('Trade Log'!$B$4:$B$503,$A30,'Trade Log'!$K$4:$K$503,"&gt;0")</f>
        <v/>
      </c>
      <c r="D30" s="20">
        <f>COUNTIFS('Trade Log'!$B$4:$B$503,$A30,'Trade Log'!$K$4:$K$503,"&lt;0")</f>
        <v/>
      </c>
      <c r="E30" s="29">
        <f>IFERROR($C30/$B30,"")</f>
        <v/>
      </c>
      <c r="F30" s="21">
        <f>SUMIF('Trade Log'!$B$4:$B$503,$A30,'Trade Log'!$I$4:$I$503)</f>
        <v/>
      </c>
      <c r="G30" s="21">
        <f>SUMIF('Trade Log'!$B$4:$B$503,$A30,'Trade Log'!$K$4:$K$503)</f>
        <v/>
      </c>
      <c r="H30" s="21">
        <f>IFERROR($G30/$B30,"")</f>
        <v/>
      </c>
      <c r="I30" s="21">
        <f>IFERROR(_xlfn.MAXIFS('Trade Log'!$K$4:$K$503,'Trade Log'!$B$4:$B$503,$A30),"")</f>
        <v/>
      </c>
      <c r="J30" s="21">
        <f>IFERROR(_xlfn.MINIFS('Trade Log'!$K$4:$K$503,'Trade Log'!$B$4:$B$503,$A30),"")</f>
        <v/>
      </c>
    </row>
    <row r="31">
      <c r="A31" s="27" t="inlineStr">
        <is>
          <t>NILKAMAL</t>
        </is>
      </c>
      <c r="B31" s="20">
        <f>COUNTIF('Trade Log'!$B$4:$B$503,$A31)</f>
        <v/>
      </c>
      <c r="C31" s="20">
        <f>COUNTIFS('Trade Log'!$B$4:$B$503,$A31,'Trade Log'!$K$4:$K$503,"&gt;0")</f>
        <v/>
      </c>
      <c r="D31" s="20">
        <f>COUNTIFS('Trade Log'!$B$4:$B$503,$A31,'Trade Log'!$K$4:$K$503,"&lt;0")</f>
        <v/>
      </c>
      <c r="E31" s="29">
        <f>IFERROR($C31/$B31,"")</f>
        <v/>
      </c>
      <c r="F31" s="21">
        <f>SUMIF('Trade Log'!$B$4:$B$503,$A31,'Trade Log'!$I$4:$I$503)</f>
        <v/>
      </c>
      <c r="G31" s="21">
        <f>SUMIF('Trade Log'!$B$4:$B$503,$A31,'Trade Log'!$K$4:$K$503)</f>
        <v/>
      </c>
      <c r="H31" s="21">
        <f>IFERROR($G31/$B31,"")</f>
        <v/>
      </c>
      <c r="I31" s="21">
        <f>IFERROR(_xlfn.MAXIFS('Trade Log'!$K$4:$K$503,'Trade Log'!$B$4:$B$503,$A31),"")</f>
        <v/>
      </c>
      <c r="J31" s="21">
        <f>IFERROR(_xlfn.MINIFS('Trade Log'!$K$4:$K$503,'Trade Log'!$B$4:$B$503,$A31),"")</f>
        <v/>
      </c>
    </row>
    <row r="32">
      <c r="A32" s="27" t="inlineStr">
        <is>
          <t>NORTHARC</t>
        </is>
      </c>
      <c r="B32" s="20">
        <f>COUNTIF('Trade Log'!$B$4:$B$503,$A32)</f>
        <v/>
      </c>
      <c r="C32" s="20">
        <f>COUNTIFS('Trade Log'!$B$4:$B$503,$A32,'Trade Log'!$K$4:$K$503,"&gt;0")</f>
        <v/>
      </c>
      <c r="D32" s="20">
        <f>COUNTIFS('Trade Log'!$B$4:$B$503,$A32,'Trade Log'!$K$4:$K$503,"&lt;0")</f>
        <v/>
      </c>
      <c r="E32" s="29">
        <f>IFERROR($C32/$B32,"")</f>
        <v/>
      </c>
      <c r="F32" s="21">
        <f>SUMIF('Trade Log'!$B$4:$B$503,$A32,'Trade Log'!$I$4:$I$503)</f>
        <v/>
      </c>
      <c r="G32" s="21">
        <f>SUMIF('Trade Log'!$B$4:$B$503,$A32,'Trade Log'!$K$4:$K$503)</f>
        <v/>
      </c>
      <c r="H32" s="21">
        <f>IFERROR($G32/$B32,"")</f>
        <v/>
      </c>
      <c r="I32" s="21">
        <f>IFERROR(_xlfn.MAXIFS('Trade Log'!$K$4:$K$503,'Trade Log'!$B$4:$B$503,$A32),"")</f>
        <v/>
      </c>
      <c r="J32" s="21">
        <f>IFERROR(_xlfn.MINIFS('Trade Log'!$K$4:$K$503,'Trade Log'!$B$4:$B$503,$A32),"")</f>
        <v/>
      </c>
    </row>
    <row r="33">
      <c r="A33" s="27" t="inlineStr">
        <is>
          <t>OMAXE</t>
        </is>
      </c>
      <c r="B33" s="20">
        <f>COUNTIF('Trade Log'!$B$4:$B$503,$A33)</f>
        <v/>
      </c>
      <c r="C33" s="20">
        <f>COUNTIFS('Trade Log'!$B$4:$B$503,$A33,'Trade Log'!$K$4:$K$503,"&gt;0")</f>
        <v/>
      </c>
      <c r="D33" s="20">
        <f>COUNTIFS('Trade Log'!$B$4:$B$503,$A33,'Trade Log'!$K$4:$K$503,"&lt;0")</f>
        <v/>
      </c>
      <c r="E33" s="29">
        <f>IFERROR($C33/$B33,"")</f>
        <v/>
      </c>
      <c r="F33" s="21">
        <f>SUMIF('Trade Log'!$B$4:$B$503,$A33,'Trade Log'!$I$4:$I$503)</f>
        <v/>
      </c>
      <c r="G33" s="21">
        <f>SUMIF('Trade Log'!$B$4:$B$503,$A33,'Trade Log'!$K$4:$K$503)</f>
        <v/>
      </c>
      <c r="H33" s="21">
        <f>IFERROR($G33/$B33,"")</f>
        <v/>
      </c>
      <c r="I33" s="21">
        <f>IFERROR(_xlfn.MAXIFS('Trade Log'!$K$4:$K$503,'Trade Log'!$B$4:$B$503,$A33),"")</f>
        <v/>
      </c>
      <c r="J33" s="21">
        <f>IFERROR(_xlfn.MINIFS('Trade Log'!$K$4:$K$503,'Trade Log'!$B$4:$B$503,$A33),"")</f>
        <v/>
      </c>
    </row>
    <row r="34">
      <c r="A34" s="27" t="inlineStr">
        <is>
          <t>OPTIEMUS</t>
        </is>
      </c>
      <c r="B34" s="20">
        <f>COUNTIF('Trade Log'!$B$4:$B$503,$A34)</f>
        <v/>
      </c>
      <c r="C34" s="20">
        <f>COUNTIFS('Trade Log'!$B$4:$B$503,$A34,'Trade Log'!$K$4:$K$503,"&gt;0")</f>
        <v/>
      </c>
      <c r="D34" s="20">
        <f>COUNTIFS('Trade Log'!$B$4:$B$503,$A34,'Trade Log'!$K$4:$K$503,"&lt;0")</f>
        <v/>
      </c>
      <c r="E34" s="29">
        <f>IFERROR($C34/$B34,"")</f>
        <v/>
      </c>
      <c r="F34" s="21">
        <f>SUMIF('Trade Log'!$B$4:$B$503,$A34,'Trade Log'!$I$4:$I$503)</f>
        <v/>
      </c>
      <c r="G34" s="21">
        <f>SUMIF('Trade Log'!$B$4:$B$503,$A34,'Trade Log'!$K$4:$K$503)</f>
        <v/>
      </c>
      <c r="H34" s="21">
        <f>IFERROR($G34/$B34,"")</f>
        <v/>
      </c>
      <c r="I34" s="21">
        <f>IFERROR(_xlfn.MAXIFS('Trade Log'!$K$4:$K$503,'Trade Log'!$B$4:$B$503,$A34),"")</f>
        <v/>
      </c>
      <c r="J34" s="21">
        <f>IFERROR(_xlfn.MINIFS('Trade Log'!$K$4:$K$503,'Trade Log'!$B$4:$B$503,$A34),"")</f>
        <v/>
      </c>
    </row>
    <row r="35">
      <c r="A35" s="27" t="inlineStr">
        <is>
          <t>ORIENTHOT</t>
        </is>
      </c>
      <c r="B35" s="20">
        <f>COUNTIF('Trade Log'!$B$4:$B$503,$A35)</f>
        <v/>
      </c>
      <c r="C35" s="20">
        <f>COUNTIFS('Trade Log'!$B$4:$B$503,$A35,'Trade Log'!$K$4:$K$503,"&gt;0")</f>
        <v/>
      </c>
      <c r="D35" s="20">
        <f>COUNTIFS('Trade Log'!$B$4:$B$503,$A35,'Trade Log'!$K$4:$K$503,"&lt;0")</f>
        <v/>
      </c>
      <c r="E35" s="29">
        <f>IFERROR($C35/$B35,"")</f>
        <v/>
      </c>
      <c r="F35" s="21">
        <f>SUMIF('Trade Log'!$B$4:$B$503,$A35,'Trade Log'!$I$4:$I$503)</f>
        <v/>
      </c>
      <c r="G35" s="21">
        <f>SUMIF('Trade Log'!$B$4:$B$503,$A35,'Trade Log'!$K$4:$K$503)</f>
        <v/>
      </c>
      <c r="H35" s="21">
        <f>IFERROR($G35/$B35,"")</f>
        <v/>
      </c>
      <c r="I35" s="21">
        <f>IFERROR(_xlfn.MAXIFS('Trade Log'!$K$4:$K$503,'Trade Log'!$B$4:$B$503,$A35),"")</f>
        <v/>
      </c>
      <c r="J35" s="21">
        <f>IFERROR(_xlfn.MINIFS('Trade Log'!$K$4:$K$503,'Trade Log'!$B$4:$B$503,$A35),"")</f>
        <v/>
      </c>
    </row>
    <row r="36">
      <c r="A36" s="27" t="inlineStr">
        <is>
          <t>PITTIENG</t>
        </is>
      </c>
      <c r="B36" s="20">
        <f>COUNTIF('Trade Log'!$B$4:$B$503,$A36)</f>
        <v/>
      </c>
      <c r="C36" s="20">
        <f>COUNTIFS('Trade Log'!$B$4:$B$503,$A36,'Trade Log'!$K$4:$K$503,"&gt;0")</f>
        <v/>
      </c>
      <c r="D36" s="20">
        <f>COUNTIFS('Trade Log'!$B$4:$B$503,$A36,'Trade Log'!$K$4:$K$503,"&lt;0")</f>
        <v/>
      </c>
      <c r="E36" s="29">
        <f>IFERROR($C36/$B36,"")</f>
        <v/>
      </c>
      <c r="F36" s="21">
        <f>SUMIF('Trade Log'!$B$4:$B$503,$A36,'Trade Log'!$I$4:$I$503)</f>
        <v/>
      </c>
      <c r="G36" s="21">
        <f>SUMIF('Trade Log'!$B$4:$B$503,$A36,'Trade Log'!$K$4:$K$503)</f>
        <v/>
      </c>
      <c r="H36" s="21">
        <f>IFERROR($G36/$B36,"")</f>
        <v/>
      </c>
      <c r="I36" s="21">
        <f>IFERROR(_xlfn.MAXIFS('Trade Log'!$K$4:$K$503,'Trade Log'!$B$4:$B$503,$A36),"")</f>
        <v/>
      </c>
      <c r="J36" s="21">
        <f>IFERROR(_xlfn.MINIFS('Trade Log'!$K$4:$K$503,'Trade Log'!$B$4:$B$503,$A36),"")</f>
        <v/>
      </c>
    </row>
    <row r="37">
      <c r="A37" s="27" t="inlineStr">
        <is>
          <t>QUADFUTURE</t>
        </is>
      </c>
      <c r="B37" s="20">
        <f>COUNTIF('Trade Log'!$B$4:$B$503,$A37)</f>
        <v/>
      </c>
      <c r="C37" s="20">
        <f>COUNTIFS('Trade Log'!$B$4:$B$503,$A37,'Trade Log'!$K$4:$K$503,"&gt;0")</f>
        <v/>
      </c>
      <c r="D37" s="20">
        <f>COUNTIFS('Trade Log'!$B$4:$B$503,$A37,'Trade Log'!$K$4:$K$503,"&lt;0")</f>
        <v/>
      </c>
      <c r="E37" s="29">
        <f>IFERROR($C37/$B37,"")</f>
        <v/>
      </c>
      <c r="F37" s="21">
        <f>SUMIF('Trade Log'!$B$4:$B$503,$A37,'Trade Log'!$I$4:$I$503)</f>
        <v/>
      </c>
      <c r="G37" s="21">
        <f>SUMIF('Trade Log'!$B$4:$B$503,$A37,'Trade Log'!$K$4:$K$503)</f>
        <v/>
      </c>
      <c r="H37" s="21">
        <f>IFERROR($G37/$B37,"")</f>
        <v/>
      </c>
      <c r="I37" s="21">
        <f>IFERROR(_xlfn.MAXIFS('Trade Log'!$K$4:$K$503,'Trade Log'!$B$4:$B$503,$A37),"")</f>
        <v/>
      </c>
      <c r="J37" s="21">
        <f>IFERROR(_xlfn.MINIFS('Trade Log'!$K$4:$K$503,'Trade Log'!$B$4:$B$503,$A37),"")</f>
        <v/>
      </c>
    </row>
    <row r="38">
      <c r="A38" s="27" t="inlineStr">
        <is>
          <t>RAMRAT</t>
        </is>
      </c>
      <c r="B38" s="20">
        <f>COUNTIF('Trade Log'!$B$4:$B$503,$A38)</f>
        <v/>
      </c>
      <c r="C38" s="20">
        <f>COUNTIFS('Trade Log'!$B$4:$B$503,$A38,'Trade Log'!$K$4:$K$503,"&gt;0")</f>
        <v/>
      </c>
      <c r="D38" s="20">
        <f>COUNTIFS('Trade Log'!$B$4:$B$503,$A38,'Trade Log'!$K$4:$K$503,"&lt;0")</f>
        <v/>
      </c>
      <c r="E38" s="29">
        <f>IFERROR($C38/$B38,"")</f>
        <v/>
      </c>
      <c r="F38" s="21">
        <f>SUMIF('Trade Log'!$B$4:$B$503,$A38,'Trade Log'!$I$4:$I$503)</f>
        <v/>
      </c>
      <c r="G38" s="21">
        <f>SUMIF('Trade Log'!$B$4:$B$503,$A38,'Trade Log'!$K$4:$K$503)</f>
        <v/>
      </c>
      <c r="H38" s="21">
        <f>IFERROR($G38/$B38,"")</f>
        <v/>
      </c>
      <c r="I38" s="21">
        <f>IFERROR(_xlfn.MAXIFS('Trade Log'!$K$4:$K$503,'Trade Log'!$B$4:$B$503,$A38),"")</f>
        <v/>
      </c>
      <c r="J38" s="21">
        <f>IFERROR(_xlfn.MINIFS('Trade Log'!$K$4:$K$503,'Trade Log'!$B$4:$B$503,$A38),"")</f>
        <v/>
      </c>
    </row>
    <row r="39">
      <c r="A39" s="27" t="inlineStr">
        <is>
          <t>RAYMOND</t>
        </is>
      </c>
      <c r="B39" s="20">
        <f>COUNTIF('Trade Log'!$B$4:$B$503,$A39)</f>
        <v/>
      </c>
      <c r="C39" s="20">
        <f>COUNTIFS('Trade Log'!$B$4:$B$503,$A39,'Trade Log'!$K$4:$K$503,"&gt;0")</f>
        <v/>
      </c>
      <c r="D39" s="20">
        <f>COUNTIFS('Trade Log'!$B$4:$B$503,$A39,'Trade Log'!$K$4:$K$503,"&lt;0")</f>
        <v/>
      </c>
      <c r="E39" s="29">
        <f>IFERROR($C39/$B39,"")</f>
        <v/>
      </c>
      <c r="F39" s="21">
        <f>SUMIF('Trade Log'!$B$4:$B$503,$A39,'Trade Log'!$I$4:$I$503)</f>
        <v/>
      </c>
      <c r="G39" s="21">
        <f>SUMIF('Trade Log'!$B$4:$B$503,$A39,'Trade Log'!$K$4:$K$503)</f>
        <v/>
      </c>
      <c r="H39" s="21">
        <f>IFERROR($G39/$B39,"")</f>
        <v/>
      </c>
      <c r="I39" s="21">
        <f>IFERROR(_xlfn.MAXIFS('Trade Log'!$K$4:$K$503,'Trade Log'!$B$4:$B$503,$A39),"")</f>
        <v/>
      </c>
      <c r="J39" s="21">
        <f>IFERROR(_xlfn.MINIFS('Trade Log'!$K$4:$K$503,'Trade Log'!$B$4:$B$503,$A39),"")</f>
        <v/>
      </c>
    </row>
    <row r="40">
      <c r="A40" s="27" t="inlineStr">
        <is>
          <t>RML</t>
        </is>
      </c>
      <c r="B40" s="20">
        <f>COUNTIF('Trade Log'!$B$4:$B$503,$A40)</f>
        <v/>
      </c>
      <c r="C40" s="20">
        <f>COUNTIFS('Trade Log'!$B$4:$B$503,$A40,'Trade Log'!$K$4:$K$503,"&gt;0")</f>
        <v/>
      </c>
      <c r="D40" s="20">
        <f>COUNTIFS('Trade Log'!$B$4:$B$503,$A40,'Trade Log'!$K$4:$K$503,"&lt;0")</f>
        <v/>
      </c>
      <c r="E40" s="29">
        <f>IFERROR($C40/$B40,"")</f>
        <v/>
      </c>
      <c r="F40" s="21">
        <f>SUMIF('Trade Log'!$B$4:$B$503,$A40,'Trade Log'!$I$4:$I$503)</f>
        <v/>
      </c>
      <c r="G40" s="21">
        <f>SUMIF('Trade Log'!$B$4:$B$503,$A40,'Trade Log'!$K$4:$K$503)</f>
        <v/>
      </c>
      <c r="H40" s="21">
        <f>IFERROR($G40/$B40,"")</f>
        <v/>
      </c>
      <c r="I40" s="21">
        <f>IFERROR(_xlfn.MAXIFS('Trade Log'!$K$4:$K$503,'Trade Log'!$B$4:$B$503,$A40),"")</f>
        <v/>
      </c>
      <c r="J40" s="21">
        <f>IFERROR(_xlfn.MINIFS('Trade Log'!$K$4:$K$503,'Trade Log'!$B$4:$B$503,$A40),"")</f>
        <v/>
      </c>
    </row>
    <row r="41">
      <c r="A41" s="27" t="inlineStr">
        <is>
          <t>SAKAR</t>
        </is>
      </c>
      <c r="B41" s="20">
        <f>COUNTIF('Trade Log'!$B$4:$B$503,$A41)</f>
        <v/>
      </c>
      <c r="C41" s="20">
        <f>COUNTIFS('Trade Log'!$B$4:$B$503,$A41,'Trade Log'!$K$4:$K$503,"&gt;0")</f>
        <v/>
      </c>
      <c r="D41" s="20">
        <f>COUNTIFS('Trade Log'!$B$4:$B$503,$A41,'Trade Log'!$K$4:$K$503,"&lt;0")</f>
        <v/>
      </c>
      <c r="E41" s="29">
        <f>IFERROR($C41/$B41,"")</f>
        <v/>
      </c>
      <c r="F41" s="21">
        <f>SUMIF('Trade Log'!$B$4:$B$503,$A41,'Trade Log'!$I$4:$I$503)</f>
        <v/>
      </c>
      <c r="G41" s="21">
        <f>SUMIF('Trade Log'!$B$4:$B$503,$A41,'Trade Log'!$K$4:$K$503)</f>
        <v/>
      </c>
      <c r="H41" s="21">
        <f>IFERROR($G41/$B41,"")</f>
        <v/>
      </c>
      <c r="I41" s="21">
        <f>IFERROR(_xlfn.MAXIFS('Trade Log'!$K$4:$K$503,'Trade Log'!$B$4:$B$503,$A41),"")</f>
        <v/>
      </c>
      <c r="J41" s="21">
        <f>IFERROR(_xlfn.MINIFS('Trade Log'!$K$4:$K$503,'Trade Log'!$B$4:$B$503,$A41),"")</f>
        <v/>
      </c>
    </row>
    <row r="42">
      <c r="A42" s="27" t="inlineStr">
        <is>
          <t>SINDHUTRAD</t>
        </is>
      </c>
      <c r="B42" s="20">
        <f>COUNTIF('Trade Log'!$B$4:$B$503,$A42)</f>
        <v/>
      </c>
      <c r="C42" s="20">
        <f>COUNTIFS('Trade Log'!$B$4:$B$503,$A42,'Trade Log'!$K$4:$K$503,"&gt;0")</f>
        <v/>
      </c>
      <c r="D42" s="20">
        <f>COUNTIFS('Trade Log'!$B$4:$B$503,$A42,'Trade Log'!$K$4:$K$503,"&lt;0")</f>
        <v/>
      </c>
      <c r="E42" s="29">
        <f>IFERROR($C42/$B42,"")</f>
        <v/>
      </c>
      <c r="F42" s="21">
        <f>SUMIF('Trade Log'!$B$4:$B$503,$A42,'Trade Log'!$I$4:$I$503)</f>
        <v/>
      </c>
      <c r="G42" s="21">
        <f>SUMIF('Trade Log'!$B$4:$B$503,$A42,'Trade Log'!$K$4:$K$503)</f>
        <v/>
      </c>
      <c r="H42" s="21">
        <f>IFERROR($G42/$B42,"")</f>
        <v/>
      </c>
      <c r="I42" s="21">
        <f>IFERROR(_xlfn.MAXIFS('Trade Log'!$K$4:$K$503,'Trade Log'!$B$4:$B$503,$A42),"")</f>
        <v/>
      </c>
      <c r="J42" s="21">
        <f>IFERROR(_xlfn.MINIFS('Trade Log'!$K$4:$K$503,'Trade Log'!$B$4:$B$503,$A42),"")</f>
        <v/>
      </c>
    </row>
    <row r="43">
      <c r="A43" s="27" t="inlineStr">
        <is>
          <t>SOLARA</t>
        </is>
      </c>
      <c r="B43" s="20">
        <f>COUNTIF('Trade Log'!$B$4:$B$503,$A43)</f>
        <v/>
      </c>
      <c r="C43" s="20">
        <f>COUNTIFS('Trade Log'!$B$4:$B$503,$A43,'Trade Log'!$K$4:$K$503,"&gt;0")</f>
        <v/>
      </c>
      <c r="D43" s="20">
        <f>COUNTIFS('Trade Log'!$B$4:$B$503,$A43,'Trade Log'!$K$4:$K$503,"&lt;0")</f>
        <v/>
      </c>
      <c r="E43" s="29">
        <f>IFERROR($C43/$B43,"")</f>
        <v/>
      </c>
      <c r="F43" s="21">
        <f>SUMIF('Trade Log'!$B$4:$B$503,$A43,'Trade Log'!$I$4:$I$503)</f>
        <v/>
      </c>
      <c r="G43" s="21">
        <f>SUMIF('Trade Log'!$B$4:$B$503,$A43,'Trade Log'!$K$4:$K$503)</f>
        <v/>
      </c>
      <c r="H43" s="21">
        <f>IFERROR($G43/$B43,"")</f>
        <v/>
      </c>
      <c r="I43" s="21">
        <f>IFERROR(_xlfn.MAXIFS('Trade Log'!$K$4:$K$503,'Trade Log'!$B$4:$B$503,$A43),"")</f>
        <v/>
      </c>
      <c r="J43" s="21">
        <f>IFERROR(_xlfn.MINIFS('Trade Log'!$K$4:$K$503,'Trade Log'!$B$4:$B$503,$A43),"")</f>
        <v/>
      </c>
    </row>
    <row r="44">
      <c r="A44" s="27" t="inlineStr">
        <is>
          <t>SOTL</t>
        </is>
      </c>
      <c r="B44" s="20">
        <f>COUNTIF('Trade Log'!$B$4:$B$503,$A44)</f>
        <v/>
      </c>
      <c r="C44" s="20">
        <f>COUNTIFS('Trade Log'!$B$4:$B$503,$A44,'Trade Log'!$K$4:$K$503,"&gt;0")</f>
        <v/>
      </c>
      <c r="D44" s="20">
        <f>COUNTIFS('Trade Log'!$B$4:$B$503,$A44,'Trade Log'!$K$4:$K$503,"&lt;0")</f>
        <v/>
      </c>
      <c r="E44" s="29">
        <f>IFERROR($C44/$B44,"")</f>
        <v/>
      </c>
      <c r="F44" s="21">
        <f>SUMIF('Trade Log'!$B$4:$B$503,$A44,'Trade Log'!$I$4:$I$503)</f>
        <v/>
      </c>
      <c r="G44" s="21">
        <f>SUMIF('Trade Log'!$B$4:$B$503,$A44,'Trade Log'!$K$4:$K$503)</f>
        <v/>
      </c>
      <c r="H44" s="21">
        <f>IFERROR($G44/$B44,"")</f>
        <v/>
      </c>
      <c r="I44" s="21">
        <f>IFERROR(_xlfn.MAXIFS('Trade Log'!$K$4:$K$503,'Trade Log'!$B$4:$B$503,$A44),"")</f>
        <v/>
      </c>
      <c r="J44" s="21">
        <f>IFERROR(_xlfn.MINIFS('Trade Log'!$K$4:$K$503,'Trade Log'!$B$4:$B$503,$A44),"")</f>
        <v/>
      </c>
    </row>
    <row r="45">
      <c r="A45" s="27" t="inlineStr">
        <is>
          <t>SSWL</t>
        </is>
      </c>
      <c r="B45" s="20">
        <f>COUNTIF('Trade Log'!$B$4:$B$503,$A45)</f>
        <v/>
      </c>
      <c r="C45" s="20">
        <f>COUNTIFS('Trade Log'!$B$4:$B$503,$A45,'Trade Log'!$K$4:$K$503,"&gt;0")</f>
        <v/>
      </c>
      <c r="D45" s="20">
        <f>COUNTIFS('Trade Log'!$B$4:$B$503,$A45,'Trade Log'!$K$4:$K$503,"&lt;0")</f>
        <v/>
      </c>
      <c r="E45" s="29">
        <f>IFERROR($C45/$B45,"")</f>
        <v/>
      </c>
      <c r="F45" s="21">
        <f>SUMIF('Trade Log'!$B$4:$B$503,$A45,'Trade Log'!$I$4:$I$503)</f>
        <v/>
      </c>
      <c r="G45" s="21">
        <f>SUMIF('Trade Log'!$B$4:$B$503,$A45,'Trade Log'!$K$4:$K$503)</f>
        <v/>
      </c>
      <c r="H45" s="21">
        <f>IFERROR($G45/$B45,"")</f>
        <v/>
      </c>
      <c r="I45" s="21">
        <f>IFERROR(_xlfn.MAXIFS('Trade Log'!$K$4:$K$503,'Trade Log'!$B$4:$B$503,$A45),"")</f>
        <v/>
      </c>
      <c r="J45" s="21">
        <f>IFERROR(_xlfn.MINIFS('Trade Log'!$K$4:$K$503,'Trade Log'!$B$4:$B$503,$A45),"")</f>
        <v/>
      </c>
    </row>
    <row r="46">
      <c r="A46" s="27" t="inlineStr">
        <is>
          <t>SYNCOMF</t>
        </is>
      </c>
      <c r="B46" s="20">
        <f>COUNTIF('Trade Log'!$B$4:$B$503,$A46)</f>
        <v/>
      </c>
      <c r="C46" s="20">
        <f>COUNTIFS('Trade Log'!$B$4:$B$503,$A46,'Trade Log'!$K$4:$K$503,"&gt;0")</f>
        <v/>
      </c>
      <c r="D46" s="20">
        <f>COUNTIFS('Trade Log'!$B$4:$B$503,$A46,'Trade Log'!$K$4:$K$503,"&lt;0")</f>
        <v/>
      </c>
      <c r="E46" s="29">
        <f>IFERROR($C46/$B46,"")</f>
        <v/>
      </c>
      <c r="F46" s="21">
        <f>SUMIF('Trade Log'!$B$4:$B$503,$A46,'Trade Log'!$I$4:$I$503)</f>
        <v/>
      </c>
      <c r="G46" s="21">
        <f>SUMIF('Trade Log'!$B$4:$B$503,$A46,'Trade Log'!$K$4:$K$503)</f>
        <v/>
      </c>
      <c r="H46" s="21">
        <f>IFERROR($G46/$B46,"")</f>
        <v/>
      </c>
      <c r="I46" s="21">
        <f>IFERROR(_xlfn.MAXIFS('Trade Log'!$K$4:$K$503,'Trade Log'!$B$4:$B$503,$A46),"")</f>
        <v/>
      </c>
      <c r="J46" s="21">
        <f>IFERROR(_xlfn.MINIFS('Trade Log'!$K$4:$K$503,'Trade Log'!$B$4:$B$503,$A46),"")</f>
        <v/>
      </c>
    </row>
    <row r="47">
      <c r="A47" s="27" t="inlineStr">
        <is>
          <t>TALBROAUTO</t>
        </is>
      </c>
      <c r="B47" s="20">
        <f>COUNTIF('Trade Log'!$B$4:$B$503,$A47)</f>
        <v/>
      </c>
      <c r="C47" s="20">
        <f>COUNTIFS('Trade Log'!$B$4:$B$503,$A47,'Trade Log'!$K$4:$K$503,"&gt;0")</f>
        <v/>
      </c>
      <c r="D47" s="20">
        <f>COUNTIFS('Trade Log'!$B$4:$B$503,$A47,'Trade Log'!$K$4:$K$503,"&lt;0")</f>
        <v/>
      </c>
      <c r="E47" s="29">
        <f>IFERROR($C47/$B47,"")</f>
        <v/>
      </c>
      <c r="F47" s="21">
        <f>SUMIF('Trade Log'!$B$4:$B$503,$A47,'Trade Log'!$I$4:$I$503)</f>
        <v/>
      </c>
      <c r="G47" s="21">
        <f>SUMIF('Trade Log'!$B$4:$B$503,$A47,'Trade Log'!$K$4:$K$503)</f>
        <v/>
      </c>
      <c r="H47" s="21">
        <f>IFERROR($G47/$B47,"")</f>
        <v/>
      </c>
      <c r="I47" s="21">
        <f>IFERROR(_xlfn.MAXIFS('Trade Log'!$K$4:$K$503,'Trade Log'!$B$4:$B$503,$A47),"")</f>
        <v/>
      </c>
      <c r="J47" s="21">
        <f>IFERROR(_xlfn.MINIFS('Trade Log'!$K$4:$K$503,'Trade Log'!$B$4:$B$503,$A47),"")</f>
        <v/>
      </c>
    </row>
    <row r="48">
      <c r="A48" s="27" t="inlineStr">
        <is>
          <t>TBZ</t>
        </is>
      </c>
      <c r="B48" s="20">
        <f>COUNTIF('Trade Log'!$B$4:$B$503,$A48)</f>
        <v/>
      </c>
      <c r="C48" s="20">
        <f>COUNTIFS('Trade Log'!$B$4:$B$503,$A48,'Trade Log'!$K$4:$K$503,"&gt;0")</f>
        <v/>
      </c>
      <c r="D48" s="20">
        <f>COUNTIFS('Trade Log'!$B$4:$B$503,$A48,'Trade Log'!$K$4:$K$503,"&lt;0")</f>
        <v/>
      </c>
      <c r="E48" s="29">
        <f>IFERROR($C48/$B48,"")</f>
        <v/>
      </c>
      <c r="F48" s="21">
        <f>SUMIF('Trade Log'!$B$4:$B$503,$A48,'Trade Log'!$I$4:$I$503)</f>
        <v/>
      </c>
      <c r="G48" s="21">
        <f>SUMIF('Trade Log'!$B$4:$B$503,$A48,'Trade Log'!$K$4:$K$503)</f>
        <v/>
      </c>
      <c r="H48" s="21">
        <f>IFERROR($G48/$B48,"")</f>
        <v/>
      </c>
      <c r="I48" s="21">
        <f>IFERROR(_xlfn.MAXIFS('Trade Log'!$K$4:$K$503,'Trade Log'!$B$4:$B$503,$A48),"")</f>
        <v/>
      </c>
      <c r="J48" s="21">
        <f>IFERROR(_xlfn.MINIFS('Trade Log'!$K$4:$K$503,'Trade Log'!$B$4:$B$503,$A48),"")</f>
        <v/>
      </c>
    </row>
    <row r="49">
      <c r="A49" s="27" t="inlineStr">
        <is>
          <t>THOMASCOOK</t>
        </is>
      </c>
      <c r="B49" s="20">
        <f>COUNTIF('Trade Log'!$B$4:$B$503,$A49)</f>
        <v/>
      </c>
      <c r="C49" s="20">
        <f>COUNTIFS('Trade Log'!$B$4:$B$503,$A49,'Trade Log'!$K$4:$K$503,"&gt;0")</f>
        <v/>
      </c>
      <c r="D49" s="20">
        <f>COUNTIFS('Trade Log'!$B$4:$B$503,$A49,'Trade Log'!$K$4:$K$503,"&lt;0")</f>
        <v/>
      </c>
      <c r="E49" s="29">
        <f>IFERROR($C49/$B49,"")</f>
        <v/>
      </c>
      <c r="F49" s="21">
        <f>SUMIF('Trade Log'!$B$4:$B$503,$A49,'Trade Log'!$I$4:$I$503)</f>
        <v/>
      </c>
      <c r="G49" s="21">
        <f>SUMIF('Trade Log'!$B$4:$B$503,$A49,'Trade Log'!$K$4:$K$503)</f>
        <v/>
      </c>
      <c r="H49" s="21">
        <f>IFERROR($G49/$B49,"")</f>
        <v/>
      </c>
      <c r="I49" s="21">
        <f>IFERROR(_xlfn.MAXIFS('Trade Log'!$K$4:$K$503,'Trade Log'!$B$4:$B$503,$A49),"")</f>
        <v/>
      </c>
      <c r="J49" s="21">
        <f>IFERROR(_xlfn.MINIFS('Trade Log'!$K$4:$K$503,'Trade Log'!$B$4:$B$503,$A49),"")</f>
        <v/>
      </c>
    </row>
    <row r="50">
      <c r="A50" s="27" t="inlineStr">
        <is>
          <t>VENKEYS</t>
        </is>
      </c>
      <c r="B50" s="20">
        <f>COUNTIF('Trade Log'!$B$4:$B$503,$A50)</f>
        <v/>
      </c>
      <c r="C50" s="20">
        <f>COUNTIFS('Trade Log'!$B$4:$B$503,$A50,'Trade Log'!$K$4:$K$503,"&gt;0")</f>
        <v/>
      </c>
      <c r="D50" s="20">
        <f>COUNTIFS('Trade Log'!$B$4:$B$503,$A50,'Trade Log'!$K$4:$K$503,"&lt;0")</f>
        <v/>
      </c>
      <c r="E50" s="29">
        <f>IFERROR($C50/$B50,"")</f>
        <v/>
      </c>
      <c r="F50" s="21">
        <f>SUMIF('Trade Log'!$B$4:$B$503,$A50,'Trade Log'!$I$4:$I$503)</f>
        <v/>
      </c>
      <c r="G50" s="21">
        <f>SUMIF('Trade Log'!$B$4:$B$503,$A50,'Trade Log'!$K$4:$K$503)</f>
        <v/>
      </c>
      <c r="H50" s="21">
        <f>IFERROR($G50/$B50,"")</f>
        <v/>
      </c>
      <c r="I50" s="21">
        <f>IFERROR(_xlfn.MAXIFS('Trade Log'!$K$4:$K$503,'Trade Log'!$B$4:$B$503,$A50),"")</f>
        <v/>
      </c>
      <c r="J50" s="21">
        <f>IFERROR(_xlfn.MINIFS('Trade Log'!$K$4:$K$503,'Trade Log'!$B$4:$B$503,$A50),"")</f>
        <v/>
      </c>
    </row>
    <row r="51">
      <c r="A51" s="27" t="inlineStr">
        <is>
          <t>VERANDA</t>
        </is>
      </c>
      <c r="B51" s="20">
        <f>COUNTIF('Trade Log'!$B$4:$B$503,$A51)</f>
        <v/>
      </c>
      <c r="C51" s="20">
        <f>COUNTIFS('Trade Log'!$B$4:$B$503,$A51,'Trade Log'!$K$4:$K$503,"&gt;0")</f>
        <v/>
      </c>
      <c r="D51" s="20">
        <f>COUNTIFS('Trade Log'!$B$4:$B$503,$A51,'Trade Log'!$K$4:$K$503,"&lt;0")</f>
        <v/>
      </c>
      <c r="E51" s="29">
        <f>IFERROR($C51/$B51,"")</f>
        <v/>
      </c>
      <c r="F51" s="21">
        <f>SUMIF('Trade Log'!$B$4:$B$503,$A51,'Trade Log'!$I$4:$I$503)</f>
        <v/>
      </c>
      <c r="G51" s="21">
        <f>SUMIF('Trade Log'!$B$4:$B$503,$A51,'Trade Log'!$K$4:$K$503)</f>
        <v/>
      </c>
      <c r="H51" s="21">
        <f>IFERROR($G51/$B51,"")</f>
        <v/>
      </c>
      <c r="I51" s="21">
        <f>IFERROR(_xlfn.MAXIFS('Trade Log'!$K$4:$K$503,'Trade Log'!$B$4:$B$503,$A51),"")</f>
        <v/>
      </c>
      <c r="J51" s="21">
        <f>IFERROR(_xlfn.MINIFS('Trade Log'!$K$4:$K$503,'Trade Log'!$B$4:$B$503,$A51),"")</f>
        <v/>
      </c>
    </row>
    <row r="52">
      <c r="A52" s="27" t="inlineStr">
        <is>
          <t>WELSPLSOL</t>
        </is>
      </c>
      <c r="B52" s="20">
        <f>COUNTIF('Trade Log'!$B$4:$B$503,$A52)</f>
        <v/>
      </c>
      <c r="C52" s="20">
        <f>COUNTIFS('Trade Log'!$B$4:$B$503,$A52,'Trade Log'!$K$4:$K$503,"&gt;0")</f>
        <v/>
      </c>
      <c r="D52" s="20">
        <f>COUNTIFS('Trade Log'!$B$4:$B$503,$A52,'Trade Log'!$K$4:$K$503,"&lt;0")</f>
        <v/>
      </c>
      <c r="E52" s="29">
        <f>IFERROR($C52/$B52,"")</f>
        <v/>
      </c>
      <c r="F52" s="21">
        <f>SUMIF('Trade Log'!$B$4:$B$503,$A52,'Trade Log'!$I$4:$I$503)</f>
        <v/>
      </c>
      <c r="G52" s="21">
        <f>SUMIF('Trade Log'!$B$4:$B$503,$A52,'Trade Log'!$K$4:$K$503)</f>
        <v/>
      </c>
      <c r="H52" s="21">
        <f>IFERROR($G52/$B52,"")</f>
        <v/>
      </c>
      <c r="I52" s="21">
        <f>IFERROR(_xlfn.MAXIFS('Trade Log'!$K$4:$K$503,'Trade Log'!$B$4:$B$503,$A52),"")</f>
        <v/>
      </c>
      <c r="J52" s="21">
        <f>IFERROR(_xlfn.MINIFS('Trade Log'!$K$4:$K$503,'Trade Log'!$B$4:$B$503,$A52),"")</f>
        <v/>
      </c>
    </row>
    <row r="53">
      <c r="A53" s="27" t="inlineStr">
        <is>
          <t>WINDLAS</t>
        </is>
      </c>
      <c r="B53" s="20">
        <f>COUNTIF('Trade Log'!$B$4:$B$503,$A53)</f>
        <v/>
      </c>
      <c r="C53" s="20">
        <f>COUNTIFS('Trade Log'!$B$4:$B$503,$A53,'Trade Log'!$K$4:$K$503,"&gt;0")</f>
        <v/>
      </c>
      <c r="D53" s="20">
        <f>COUNTIFS('Trade Log'!$B$4:$B$503,$A53,'Trade Log'!$K$4:$K$503,"&lt;0")</f>
        <v/>
      </c>
      <c r="E53" s="29">
        <f>IFERROR($C53/$B53,"")</f>
        <v/>
      </c>
      <c r="F53" s="21">
        <f>SUMIF('Trade Log'!$B$4:$B$503,$A53,'Trade Log'!$I$4:$I$503)</f>
        <v/>
      </c>
      <c r="G53" s="21">
        <f>SUMIF('Trade Log'!$B$4:$B$503,$A53,'Trade Log'!$K$4:$K$503)</f>
        <v/>
      </c>
      <c r="H53" s="21">
        <f>IFERROR($G53/$B53,"")</f>
        <v/>
      </c>
      <c r="I53" s="21">
        <f>IFERROR(_xlfn.MAXIFS('Trade Log'!$K$4:$K$503,'Trade Log'!$B$4:$B$503,$A53),"")</f>
        <v/>
      </c>
      <c r="J53" s="21">
        <f>IFERROR(_xlfn.MINIFS('Trade Log'!$K$4:$K$503,'Trade Log'!$B$4:$B$503,$A53),"")</f>
        <v/>
      </c>
    </row>
    <row r="54">
      <c r="A54" s="27" t="inlineStr">
        <is>
          <t>XPROINDIA</t>
        </is>
      </c>
      <c r="B54" s="20">
        <f>COUNTIF('Trade Log'!$B$4:$B$503,$A54)</f>
        <v/>
      </c>
      <c r="C54" s="20">
        <f>COUNTIFS('Trade Log'!$B$4:$B$503,$A54,'Trade Log'!$K$4:$K$503,"&gt;0")</f>
        <v/>
      </c>
      <c r="D54" s="20">
        <f>COUNTIFS('Trade Log'!$B$4:$B$503,$A54,'Trade Log'!$K$4:$K$503,"&lt;0")</f>
        <v/>
      </c>
      <c r="E54" s="29">
        <f>IFERROR($C54/$B54,"")</f>
        <v/>
      </c>
      <c r="F54" s="21">
        <f>SUMIF('Trade Log'!$B$4:$B$503,$A54,'Trade Log'!$I$4:$I$503)</f>
        <v/>
      </c>
      <c r="G54" s="21">
        <f>SUMIF('Trade Log'!$B$4:$B$503,$A54,'Trade Log'!$K$4:$K$503)</f>
        <v/>
      </c>
      <c r="H54" s="21">
        <f>IFERROR($G54/$B54,"")</f>
        <v/>
      </c>
      <c r="I54" s="21">
        <f>IFERROR(_xlfn.MAXIFS('Trade Log'!$K$4:$K$503,'Trade Log'!$B$4:$B$503,$A54),"")</f>
        <v/>
      </c>
      <c r="J54" s="21">
        <f>IFERROR(_xlfn.MINIFS('Trade Log'!$K$4:$K$503,'Trade Log'!$B$4:$B$503,$A54),"")</f>
        <v/>
      </c>
    </row>
    <row r="55">
      <c r="A55" s="27" t="inlineStr">
        <is>
          <t>ZAGGLE</t>
        </is>
      </c>
      <c r="B55" s="20">
        <f>COUNTIF('Trade Log'!$B$4:$B$503,$A55)</f>
        <v/>
      </c>
      <c r="C55" s="20">
        <f>COUNTIFS('Trade Log'!$B$4:$B$503,$A55,'Trade Log'!$K$4:$K$503,"&gt;0")</f>
        <v/>
      </c>
      <c r="D55" s="20">
        <f>COUNTIFS('Trade Log'!$B$4:$B$503,$A55,'Trade Log'!$K$4:$K$503,"&lt;0")</f>
        <v/>
      </c>
      <c r="E55" s="29">
        <f>IFERROR($C55/$B55,"")</f>
        <v/>
      </c>
      <c r="F55" s="21">
        <f>SUMIF('Trade Log'!$B$4:$B$503,$A55,'Trade Log'!$I$4:$I$503)</f>
        <v/>
      </c>
      <c r="G55" s="21">
        <f>SUMIF('Trade Log'!$B$4:$B$503,$A55,'Trade Log'!$K$4:$K$503)</f>
        <v/>
      </c>
      <c r="H55" s="21">
        <f>IFERROR($G55/$B55,"")</f>
        <v/>
      </c>
      <c r="I55" s="21">
        <f>IFERROR(_xlfn.MAXIFS('Trade Log'!$K$4:$K$503,'Trade Log'!$B$4:$B$503,$A55),"")</f>
        <v/>
      </c>
      <c r="J55" s="21">
        <f>IFERROR(_xlfn.MINIFS('Trade Log'!$K$4:$K$503,'Trade Log'!$B$4:$B$503,$A55),"")</f>
        <v/>
      </c>
    </row>
    <row r="56">
      <c r="A56" s="3" t="inlineStr">
        <is>
          <t>TOTAL</t>
        </is>
      </c>
      <c r="B56" s="30">
        <f>SUM(B4:B55)</f>
        <v/>
      </c>
      <c r="C56" s="30">
        <f>SUM(C4:C55)</f>
        <v/>
      </c>
      <c r="D56" s="30">
        <f>SUM(D4:D55)</f>
        <v/>
      </c>
      <c r="E56" s="31">
        <f>IFERROR(C56/B56,"")</f>
        <v/>
      </c>
      <c r="F56" s="32">
        <f>SUM(F4:F55)</f>
        <v/>
      </c>
      <c r="G56" s="32">
        <f>SUM(G4:G55)</f>
        <v/>
      </c>
      <c r="H56" s="32">
        <f>IFERROR(G56/B56,"")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2026-09-08T03:38:59Z</dcterms:created>
  <dcterms:modified xmlns:dcterms="http://purl.org/dc/terms/" xmlns:xsi="http://www.w3.org/2001/XMLSchema-instance" xsi:type="dcterms:W3CDTF">2026-09-08T03:39:00Z</dcterms:modified>
</cp:coreProperties>
</file>