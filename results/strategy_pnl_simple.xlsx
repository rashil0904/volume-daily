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571.8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688.92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570.65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663.05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590.75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398.62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414.17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345.08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414.5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380.31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413.93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406.46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870.51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391.15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349.77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349.93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386.08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978.27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957.67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992.26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599.6799999999999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600.78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678.63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672.62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538.66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627.89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619.12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612.2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691.97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615.91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440.52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386.52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385.13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434.2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376.86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327.29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330.13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375.07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323.33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324.62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833.8200000000001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739.8200000000001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766.78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433.66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181.46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430.76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487.6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311.54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487.69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161.36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185.66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337.14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172.01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343.41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187.34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278.06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437.61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275.39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382.63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n">
        <v>46275</v>
      </c>
      <c r="H113" s="25" t="n">
        <v>1137.85</v>
      </c>
      <c r="I113" s="21">
        <f>IF(OR($B113="",$H113=""),"",IF($C113="LONG",($H113-$E113)*$F113,($E113-$H113)*$F113))</f>
        <v/>
      </c>
      <c r="J113" s="4" t="n">
        <v>68.40000000000001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126.99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133.49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n">
        <v>46275</v>
      </c>
      <c r="H116" s="25" t="n">
        <v>213.8</v>
      </c>
      <c r="I116" s="21">
        <f>IF(OR($B116="",$H116=""),"",IF($C116="LONG",($H116-$E116)*$F116,($E116-$H116)*$F116))</f>
        <v/>
      </c>
      <c r="J116" s="4" t="n">
        <v>394.18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n">
        <v>46275</v>
      </c>
      <c r="H117" s="25" t="n">
        <v>1460.09</v>
      </c>
      <c r="I117" s="21">
        <f>IF(OR($B117="",$H117=""),"",IF($C117="LONG",($H117-$E117)*$F117,($E117-$H117)*$F117))</f>
        <v/>
      </c>
      <c r="J117" s="4" t="n">
        <v>494.15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n">
        <v>46275</v>
      </c>
      <c r="H118" s="25" t="n">
        <v>87.33</v>
      </c>
      <c r="I118" s="21">
        <f>IF(OR($B118="",$H118=""),"",IF($C118="LONG",($H118-$E118)*$F118,($E118-$H118)*$F118))</f>
        <v/>
      </c>
      <c r="J118" s="4" t="n">
        <v>145.41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n">
        <v>46274</v>
      </c>
      <c r="H119" s="25" t="n">
        <v>2159.2258</v>
      </c>
      <c r="I119" s="21">
        <f>IF(OR($B119="",$H119=""),"",IF($C119="LONG",($H119-$E119)*$F119,($E119-$H119)*$F119))</f>
        <v/>
      </c>
      <c r="J119" s="4" t="n">
        <v>145.85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n">
        <v>46275</v>
      </c>
      <c r="H120" s="25" t="n">
        <v>172.17</v>
      </c>
      <c r="I120" s="21">
        <f>IF(OR($B120="",$H120=""),"",IF($C120="LONG",($H120-$E120)*$F120,($E120-$H120)*$F120))</f>
        <v/>
      </c>
      <c r="J120" s="4" t="n">
        <v>391.36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n">
        <v>46275</v>
      </c>
      <c r="H121" s="25" t="n">
        <v>201.1</v>
      </c>
      <c r="I121" s="21">
        <f>IF(OR($B121="",$H121=""),"",IF($C121="LONG",($H121-$E121)*$F121,($E121-$H121)*$F121))</f>
        <v/>
      </c>
      <c r="J121" s="4" t="n">
        <v>343.5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243.77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296.19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inlineStr">
        <is>
          <t>DHAN-23126091046509</t>
        </is>
      </c>
      <c r="B124" s="23" t="inlineStr">
        <is>
          <t>ANTELOPUS</t>
        </is>
      </c>
      <c r="C124" s="23" t="inlineStr">
        <is>
          <t>SHORT</t>
        </is>
      </c>
      <c r="D124" s="24" t="n">
        <v>46275</v>
      </c>
      <c r="E124" s="25" t="n">
        <v>1137.38</v>
      </c>
      <c r="F124" s="26" t="n">
        <v>75</v>
      </c>
      <c r="G124" s="24" t="n">
        <v>46275</v>
      </c>
      <c r="H124" s="25" t="n">
        <v>1134.24</v>
      </c>
      <c r="I124" s="21">
        <f>IF(OR($B124="",$H124=""),"",IF($C124="LONG",($H124-$E124)*$F124,($E124-$H124)*$F124))</f>
        <v/>
      </c>
      <c r="J124" s="4" t="n">
        <v>139.07</v>
      </c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inlineStr">
        <is>
          <t>DHAN-34126091019209</t>
        </is>
      </c>
      <c r="B125" s="23" t="inlineStr">
        <is>
          <t>EIEL</t>
        </is>
      </c>
      <c r="C125" s="23" t="inlineStr">
        <is>
          <t>SHORT</t>
        </is>
      </c>
      <c r="D125" s="24" t="n">
        <v>46275</v>
      </c>
      <c r="E125" s="25" t="n">
        <v>213.59</v>
      </c>
      <c r="F125" s="26" t="n">
        <v>847</v>
      </c>
      <c r="G125" s="24" t="n">
        <v>46275</v>
      </c>
      <c r="H125" s="25" t="n">
        <v>213.18</v>
      </c>
      <c r="I125" s="21">
        <f>IF(OR($B125="",$H125=""),"",IF($C125="LONG",($H125-$E125)*$F125,($E125-$H125)*$F125))</f>
        <v/>
      </c>
      <c r="J125" s="4" t="n">
        <v>223.4</v>
      </c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inlineStr">
        <is>
          <t>DHAN-32126091099109</t>
        </is>
      </c>
      <c r="B126" s="23" t="inlineStr">
        <is>
          <t>INDNIPPON</t>
        </is>
      </c>
      <c r="C126" s="23" t="inlineStr">
        <is>
          <t>SHORT</t>
        </is>
      </c>
      <c r="D126" s="24" t="n">
        <v>46275</v>
      </c>
      <c r="E126" s="25" t="n">
        <v>1456.15</v>
      </c>
      <c r="F126" s="26" t="n">
        <v>207</v>
      </c>
      <c r="G126" s="24" t="n">
        <v>46275</v>
      </c>
      <c r="H126" s="25" t="n">
        <v>1552.9169</v>
      </c>
      <c r="I126" s="21">
        <f>IF(OR($B126="",$H126=""),"",IF($C126="LONG",($H126-$E126)*$F126,($E126-$H126)*$F126))</f>
        <v/>
      </c>
      <c r="J126" s="4" t="n">
        <v>442.09</v>
      </c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inlineStr">
        <is>
          <t>DHAN-321260910622509</t>
        </is>
      </c>
      <c r="B127" s="23" t="inlineStr">
        <is>
          <t>INDOCO</t>
        </is>
      </c>
      <c r="C127" s="23" t="inlineStr">
        <is>
          <t>LONG</t>
        </is>
      </c>
      <c r="D127" s="24" t="n">
        <v>46275</v>
      </c>
      <c r="E127" s="25" t="n">
        <v>253.0721</v>
      </c>
      <c r="F127" s="26" t="n">
        <v>1146</v>
      </c>
      <c r="G127" s="24" t="n">
        <v>46276</v>
      </c>
      <c r="H127" s="25" t="n">
        <v>263.23</v>
      </c>
      <c r="I127" s="21">
        <f>IF(OR($B127="",$H127=""),"",IF($C127="LONG",($H127-$E127)*$F127,($E127-$H127)*$F127))</f>
        <v/>
      </c>
      <c r="J127" s="4" t="n">
        <v>587.9400000000001</v>
      </c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inlineStr">
        <is>
          <t>DHAN-221260910389009</t>
        </is>
      </c>
      <c r="B128" s="23" t="inlineStr">
        <is>
          <t>INDORAMA</t>
        </is>
      </c>
      <c r="C128" s="23" t="inlineStr">
        <is>
          <t>SHORT</t>
        </is>
      </c>
      <c r="D128" s="24" t="n">
        <v>46275</v>
      </c>
      <c r="E128" s="25" t="n">
        <v>87.26000000000001</v>
      </c>
      <c r="F128" s="26" t="n">
        <v>1022</v>
      </c>
      <c r="G128" s="24" t="n">
        <v>46275</v>
      </c>
      <c r="H128" s="25" t="n">
        <v>84.66</v>
      </c>
      <c r="I128" s="21">
        <f>IF(OR($B128="",$H128=""),"",IF($C128="LONG",($H128-$E128)*$F128,($E128-$H128)*$F128))</f>
        <v/>
      </c>
      <c r="J128" s="4" t="n">
        <v>143.17</v>
      </c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inlineStr">
        <is>
          <t>DHAN-23126091079309</t>
        </is>
      </c>
      <c r="B129" s="23" t="inlineStr">
        <is>
          <t>KSL</t>
        </is>
      </c>
      <c r="C129" s="23" t="inlineStr">
        <is>
          <t>LONG</t>
        </is>
      </c>
      <c r="D129" s="24" t="n">
        <v>46275</v>
      </c>
      <c r="E129" s="25" t="n">
        <v>968.7272</v>
      </c>
      <c r="F129" s="26" t="n">
        <v>299</v>
      </c>
      <c r="G129" s="24" t="n">
        <v>46276</v>
      </c>
      <c r="H129" s="25" t="n">
        <v>970.53</v>
      </c>
      <c r="I129" s="21">
        <f>IF(OR($B129="",$H129=""),"",IF($C129="LONG",($H129-$E129)*$F129,($E129-$H129)*$F129))</f>
        <v/>
      </c>
      <c r="J129" s="4" t="n">
        <v>583.85</v>
      </c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inlineStr">
        <is>
          <t>DHAN-23126091046609</t>
        </is>
      </c>
      <c r="B130" s="23" t="inlineStr">
        <is>
          <t>RESPONIND</t>
        </is>
      </c>
      <c r="C130" s="23" t="inlineStr">
        <is>
          <t>SHORT</t>
        </is>
      </c>
      <c r="D130" s="24" t="n">
        <v>46275</v>
      </c>
      <c r="E130" s="25" t="n">
        <v>172.11</v>
      </c>
      <c r="F130" s="26" t="n">
        <v>1026</v>
      </c>
      <c r="G130" s="24" t="n">
        <v>46275</v>
      </c>
      <c r="H130" s="25" t="n">
        <v>171.29</v>
      </c>
      <c r="I130" s="21">
        <f>IF(OR($B130="",$H130=""),"",IF($C130="LONG",($H130-$E130)*$F130,($E130-$H130)*$F130))</f>
        <v/>
      </c>
      <c r="J130" s="4" t="n">
        <v>218.38</v>
      </c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inlineStr">
        <is>
          <t>DHAN-321260910622409</t>
        </is>
      </c>
      <c r="B131" s="23" t="inlineStr">
        <is>
          <t>SAMHI</t>
        </is>
      </c>
      <c r="C131" s="23" t="inlineStr">
        <is>
          <t>LONG</t>
        </is>
      </c>
      <c r="D131" s="24" t="n">
        <v>46275</v>
      </c>
      <c r="E131" s="25" t="n">
        <v>160.6529</v>
      </c>
      <c r="F131" s="26" t="n">
        <v>1815</v>
      </c>
      <c r="G131" s="24" t="n">
        <v>46276</v>
      </c>
      <c r="H131" s="25" t="n">
        <v>157.65</v>
      </c>
      <c r="I131" s="21">
        <f>IF(OR($B131="",$H131=""),"",IF($C131="LONG",($H131-$E131)*$F131,($E131-$H131)*$F131))</f>
        <v/>
      </c>
      <c r="J131" s="4" t="n">
        <v>592.84</v>
      </c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inlineStr">
        <is>
          <t>DHAN-221260910101209</t>
        </is>
      </c>
      <c r="B132" s="23" t="inlineStr">
        <is>
          <t>SHAREINDIA</t>
        </is>
      </c>
      <c r="C132" s="23" t="inlineStr">
        <is>
          <t>SHORT</t>
        </is>
      </c>
      <c r="D132" s="24" t="n">
        <v>46275</v>
      </c>
      <c r="E132" s="25" t="n">
        <v>201.46</v>
      </c>
      <c r="F132" s="26" t="n">
        <v>923</v>
      </c>
      <c r="G132" s="24" t="n">
        <v>46275</v>
      </c>
      <c r="H132" s="25" t="n">
        <v>205</v>
      </c>
      <c r="I132" s="21">
        <f>IF(OR($B132="",$H132=""),"",IF($C132="LONG",($H132-$E132)*$F132,($E132-$H132)*$F132))</f>
        <v/>
      </c>
      <c r="J132" s="4" t="n">
        <v>276.97</v>
      </c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inlineStr">
        <is>
          <t>DHAN-34126091072709</t>
        </is>
      </c>
      <c r="B133" s="23" t="inlineStr">
        <is>
          <t>VSSL</t>
        </is>
      </c>
      <c r="C133" s="23" t="inlineStr">
        <is>
          <t>LONG</t>
        </is>
      </c>
      <c r="D133" s="24" t="n">
        <v>46275</v>
      </c>
      <c r="E133" s="25" t="n">
        <v>390.2742</v>
      </c>
      <c r="F133" s="26" t="n">
        <v>739</v>
      </c>
      <c r="G133" s="24" t="n">
        <v>46276</v>
      </c>
      <c r="H133" s="25" t="n">
        <v>395.2</v>
      </c>
      <c r="I133" s="21">
        <f>IF(OR($B133="",$H133=""),"",IF($C133="LONG",($H133-$E133)*$F133,($E133-$H133)*$F133))</f>
        <v/>
      </c>
      <c r="J133" s="4" t="n">
        <v>509.91</v>
      </c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inlineStr">
        <is>
          <t>DHAN-321260910622609</t>
        </is>
      </c>
      <c r="B134" s="23" t="inlineStr">
        <is>
          <t>WENDT</t>
        </is>
      </c>
      <c r="C134" s="23" t="inlineStr">
        <is>
          <t>LONG</t>
        </is>
      </c>
      <c r="D134" s="24" t="n">
        <v>46275</v>
      </c>
      <c r="E134" s="25" t="n">
        <v>8657.606</v>
      </c>
      <c r="F134" s="26" t="n">
        <v>33</v>
      </c>
      <c r="G134" s="24" t="n">
        <v>46276</v>
      </c>
      <c r="H134" s="25" t="n">
        <v>8730.18</v>
      </c>
      <c r="I134" s="21">
        <f>IF(OR($B134="",$H134=""),"",IF($C134="LONG",($H134-$E134)*$F134,($E134-$H134)*$F134))</f>
        <v/>
      </c>
      <c r="J134" s="4" t="n">
        <v>578.39</v>
      </c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inlineStr">
        <is>
          <t>DHAN-23126091161109</t>
        </is>
      </c>
      <c r="B135" s="23" t="inlineStr">
        <is>
          <t>AWFIS</t>
        </is>
      </c>
      <c r="C135" s="23" t="inlineStr">
        <is>
          <t>LONG</t>
        </is>
      </c>
      <c r="D135" s="24" t="n">
        <v>46276</v>
      </c>
      <c r="E135" s="25" t="n">
        <v>293.7202</v>
      </c>
      <c r="F135" s="26" t="n">
        <v>618</v>
      </c>
      <c r="G135" s="24" t="inlineStr"/>
      <c r="H135" s="25" t="inlineStr"/>
      <c r="I135" s="21">
        <f>IF(OR($B135="",$H135=""),"",IF($C135="LONG",($H135-$E135)*$F135,($E135-$H135)*$F135))</f>
        <v/>
      </c>
      <c r="J135" s="4" t="n">
        <v>401.03</v>
      </c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inlineStr">
        <is>
          <t>DHAN-221260911696009</t>
        </is>
      </c>
      <c r="B136" s="23" t="inlineStr">
        <is>
          <t>FILATEX</t>
        </is>
      </c>
      <c r="C136" s="23" t="inlineStr">
        <is>
          <t>LONG</t>
        </is>
      </c>
      <c r="D136" s="24" t="n">
        <v>46276</v>
      </c>
      <c r="E136" s="25" t="n">
        <v>87.3199</v>
      </c>
      <c r="F136" s="26" t="n">
        <v>1042</v>
      </c>
      <c r="G136" s="24" t="inlineStr"/>
      <c r="H136" s="25" t="inlineStr"/>
      <c r="I136" s="21">
        <f>IF(OR($B136="",$H136=""),"",IF($C136="LONG",($H136-$E136)*$F136,($E136-$H136)*$F136))</f>
        <v/>
      </c>
      <c r="J136" s="4" t="n">
        <v>122.79</v>
      </c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inlineStr">
        <is>
          <t>DHAN-23126091115309</t>
        </is>
      </c>
      <c r="B137" s="23" t="inlineStr">
        <is>
          <t>INDOCO</t>
        </is>
      </c>
      <c r="C137" s="23" t="inlineStr">
        <is>
          <t>SHORT</t>
        </is>
      </c>
      <c r="D137" s="24" t="n">
        <v>46276</v>
      </c>
      <c r="E137" s="25" t="n">
        <v>263.46</v>
      </c>
      <c r="F137" s="26" t="n">
        <v>1146</v>
      </c>
      <c r="G137" s="24" t="n">
        <v>46276</v>
      </c>
      <c r="H137" s="25" t="n">
        <v>262.88</v>
      </c>
      <c r="I137" s="21">
        <f>IF(OR($B137="",$H137=""),"",IF($C137="LONG",($H137-$E137)*$F137,($E137-$H137)*$F137))</f>
        <v/>
      </c>
      <c r="J137" s="4" t="n">
        <v>357.16</v>
      </c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inlineStr">
        <is>
          <t>DHAN-321260911696409</t>
        </is>
      </c>
      <c r="B138" s="23" t="inlineStr">
        <is>
          <t>KIRLOSIND</t>
        </is>
      </c>
      <c r="C138" s="23" t="inlineStr">
        <is>
          <t>LONG</t>
        </is>
      </c>
      <c r="D138" s="24" t="n">
        <v>46276</v>
      </c>
      <c r="E138" s="25" t="n">
        <v>3826.583</v>
      </c>
      <c r="F138" s="26" t="n">
        <v>47</v>
      </c>
      <c r="G138" s="24" t="inlineStr"/>
      <c r="H138" s="25" t="inlineStr"/>
      <c r="I138" s="21">
        <f>IF(OR($B138="",$H138=""),"",IF($C138="LONG",($H138-$E138)*$F138,($E138-$H138)*$F138))</f>
        <v/>
      </c>
      <c r="J138" s="4" t="n">
        <v>398.02</v>
      </c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inlineStr">
        <is>
          <t>DHAN-321260911440509</t>
        </is>
      </c>
      <c r="B139" s="23" t="inlineStr">
        <is>
          <t>KSL</t>
        </is>
      </c>
      <c r="C139" s="23" t="inlineStr">
        <is>
          <t>SHORT</t>
        </is>
      </c>
      <c r="D139" s="24" t="n">
        <v>46276</v>
      </c>
      <c r="E139" s="25" t="n">
        <v>970.4299999999999</v>
      </c>
      <c r="F139" s="26" t="n">
        <v>299</v>
      </c>
      <c r="G139" s="24" t="n">
        <v>46276</v>
      </c>
      <c r="H139" s="25" t="n">
        <v>959.9299999999999</v>
      </c>
      <c r="I139" s="21">
        <f>IF(OR($B139="",$H139=""),"",IF($C139="LONG",($H139-$E139)*$F139,($E139-$H139)*$F139))</f>
        <v/>
      </c>
      <c r="J139" s="4" t="n">
        <v>342.92</v>
      </c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inlineStr">
        <is>
          <t>DHAN-321260911696509</t>
        </is>
      </c>
      <c r="B140" s="23" t="inlineStr">
        <is>
          <t>MOBIKWIK</t>
        </is>
      </c>
      <c r="C140" s="23" t="inlineStr">
        <is>
          <t>LONG</t>
        </is>
      </c>
      <c r="D140" s="24" t="n">
        <v>46276</v>
      </c>
      <c r="E140" s="25" t="n">
        <v>209.9685</v>
      </c>
      <c r="F140" s="26" t="n">
        <v>860</v>
      </c>
      <c r="G140" s="24" t="inlineStr"/>
      <c r="H140" s="25" t="inlineStr"/>
      <c r="I140" s="21">
        <f>IF(OR($B140="",$H140=""),"",IF($C140="LONG",($H140-$E140)*$F140,($E140-$H140)*$F140))</f>
        <v/>
      </c>
      <c r="J140" s="4" t="n">
        <v>404.66</v>
      </c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inlineStr">
        <is>
          <t>DHAN-321260911696609</t>
        </is>
      </c>
      <c r="B141" s="23" t="inlineStr">
        <is>
          <t>QUADFUTURE</t>
        </is>
      </c>
      <c r="C141" s="23" t="inlineStr">
        <is>
          <t>LONG</t>
        </is>
      </c>
      <c r="D141" s="24" t="n">
        <v>46276</v>
      </c>
      <c r="E141" s="25" t="n">
        <v>481.45</v>
      </c>
      <c r="F141" s="26" t="n">
        <v>377</v>
      </c>
      <c r="G141" s="24" t="inlineStr"/>
      <c r="H141" s="25" t="inlineStr"/>
      <c r="I141" s="21">
        <f>IF(OR($B141="",$H141=""),"",IF($C141="LONG",($H141-$E141)*$F141,($E141-$H141)*$F141))</f>
        <v/>
      </c>
      <c r="J141" s="4" t="n">
        <v>396.69</v>
      </c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inlineStr">
        <is>
          <t>DHAN-321260911696809</t>
        </is>
      </c>
      <c r="B142" s="23" t="inlineStr">
        <is>
          <t>RACLGEAR</t>
        </is>
      </c>
      <c r="C142" s="23" t="inlineStr">
        <is>
          <t>LONG</t>
        </is>
      </c>
      <c r="D142" s="24" t="n">
        <v>46276</v>
      </c>
      <c r="E142" s="25" t="n">
        <v>1756.5941</v>
      </c>
      <c r="F142" s="26" t="n">
        <v>103</v>
      </c>
      <c r="G142" s="24" t="inlineStr"/>
      <c r="H142" s="25" t="inlineStr"/>
      <c r="I142" s="21">
        <f>IF(OR($B142="",$H142=""),"",IF($C142="LONG",($H142-$E142)*$F142,($E142-$H142)*$F142))</f>
        <v/>
      </c>
      <c r="J142" s="4" t="n">
        <v>381.4</v>
      </c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inlineStr">
        <is>
          <t>DHAN-221260911438509</t>
        </is>
      </c>
      <c r="B143" s="23" t="inlineStr">
        <is>
          <t>SAMHI</t>
        </is>
      </c>
      <c r="C143" s="23" t="inlineStr">
        <is>
          <t>SHORT</t>
        </is>
      </c>
      <c r="D143" s="24" t="n">
        <v>46276</v>
      </c>
      <c r="E143" s="25" t="n">
        <v>157.53</v>
      </c>
      <c r="F143" s="26" t="n">
        <v>1815</v>
      </c>
      <c r="G143" s="24" t="n">
        <v>46276</v>
      </c>
      <c r="H143" s="25" t="n">
        <v>157.18</v>
      </c>
      <c r="I143" s="21">
        <f>IF(OR($B143="",$H143=""),"",IF($C143="LONG",($H143-$E143)*$F143,($E143-$H143)*$F143))</f>
        <v/>
      </c>
      <c r="J143" s="4" t="n">
        <v>339.3</v>
      </c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inlineStr">
        <is>
          <t>DHAN-23126091161209</t>
        </is>
      </c>
      <c r="B144" s="23" t="inlineStr">
        <is>
          <t>SIKA</t>
        </is>
      </c>
      <c r="C144" s="23" t="inlineStr">
        <is>
          <t>LONG</t>
        </is>
      </c>
      <c r="D144" s="24" t="n">
        <v>46276</v>
      </c>
      <c r="E144" s="25" t="n">
        <v>1087.1632</v>
      </c>
      <c r="F144" s="26" t="n">
        <v>83</v>
      </c>
      <c r="G144" s="24" t="inlineStr"/>
      <c r="H144" s="25" t="inlineStr"/>
      <c r="I144" s="21">
        <f>IF(OR($B144="",$H144=""),"",IF($C144="LONG",($H144-$E144)*$F144,($E144-$H144)*$F144))</f>
        <v/>
      </c>
      <c r="J144" s="4" t="n">
        <v>121.9</v>
      </c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inlineStr">
        <is>
          <t>DHAN-221260911696209</t>
        </is>
      </c>
      <c r="B145" s="23" t="inlineStr">
        <is>
          <t>SMSPHARMA</t>
        </is>
      </c>
      <c r="C145" s="23" t="inlineStr">
        <is>
          <t>LONG</t>
        </is>
      </c>
      <c r="D145" s="24" t="n">
        <v>46276</v>
      </c>
      <c r="E145" s="25" t="n">
        <v>462.4796</v>
      </c>
      <c r="F145" s="26" t="n">
        <v>391</v>
      </c>
      <c r="G145" s="24" t="inlineStr"/>
      <c r="H145" s="25" t="inlineStr"/>
      <c r="I145" s="21">
        <f>IF(OR($B145="",$H145=""),"",IF($C145="LONG",($H145-$E145)*$F145,($E145-$H145)*$F145))</f>
        <v/>
      </c>
      <c r="J145" s="4" t="n">
        <v>405.65</v>
      </c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inlineStr">
        <is>
          <t>DHAN-23126091141909</t>
        </is>
      </c>
      <c r="B146" s="23" t="inlineStr">
        <is>
          <t>VSSL</t>
        </is>
      </c>
      <c r="C146" s="23" t="inlineStr">
        <is>
          <t>SHORT</t>
        </is>
      </c>
      <c r="D146" s="24" t="n">
        <v>46276</v>
      </c>
      <c r="E146" s="25" t="n">
        <v>394.09</v>
      </c>
      <c r="F146" s="26" t="n">
        <v>739</v>
      </c>
      <c r="G146" s="24" t="n">
        <v>46276</v>
      </c>
      <c r="H146" s="25" t="n">
        <v>401.45</v>
      </c>
      <c r="I146" s="21">
        <f>IF(OR($B146="",$H146=""),"",IF($C146="LONG",($H146-$E146)*$F146,($E146-$H146)*$F146))</f>
        <v/>
      </c>
      <c r="J146" s="4" t="n">
        <v>421.14</v>
      </c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inlineStr">
        <is>
          <t>DHAN-34126091130609</t>
        </is>
      </c>
      <c r="B147" s="23" t="inlineStr">
        <is>
          <t>WENDT</t>
        </is>
      </c>
      <c r="C147" s="23" t="inlineStr">
        <is>
          <t>SHORT</t>
        </is>
      </c>
      <c r="D147" s="24" t="n">
        <v>46276</v>
      </c>
      <c r="E147" s="25" t="n">
        <v>8724.209999999999</v>
      </c>
      <c r="F147" s="26" t="n">
        <v>33</v>
      </c>
      <c r="G147" s="24" t="n">
        <v>46276</v>
      </c>
      <c r="H147" s="25" t="n">
        <v>8867.91</v>
      </c>
      <c r="I147" s="21">
        <f>IF(OR($B147="",$H147=""),"",IF($C147="LONG",($H147-$E147)*$F147,($E147-$H147)*$F147))</f>
        <v/>
      </c>
      <c r="J147" s="4" t="n">
        <v>343.65</v>
      </c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ASHOKA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AWFIS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BAJAJHIND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BANARISUG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BCG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BFUTILITIE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BOMDYEING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CHEMPLASTS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EIEL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FILATEX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FMGOETZE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GKENERGY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GNRL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GOCLCORP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GOPAL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GUJTHEM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HERITGFOOD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HIKAL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HINDOILEXP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HUBTOWN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INDNIPPON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INDOCO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INDORAMA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JGCHEM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KCP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KIRIINDUS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KIRLOSIND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KLBRENG-B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KSL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MAITHANALL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MANGLMCEM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MASTEK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MOBIKWIK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NETWORK18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NILKAMAL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NORTHARC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NOVARTIND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OMAXE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OPTIEMUS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ORIENTHOT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PITTIENG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QUADFUTURE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RACLGEAR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RAMRAT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RAYMOND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RESPONIND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RML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SAKAR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SAMHI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SHAREINDIA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SIKA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SINDHUTRAD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SMSPHARMA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SOLARA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SOTL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SSWL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SYMPHONY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SYNCOMF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TALBROAUTO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27" t="inlineStr">
        <is>
          <t>TBZ</t>
        </is>
      </c>
      <c r="B65" s="20">
        <f>COUNTIF('Trade Log'!$B$4:$B$503,$A65)</f>
        <v/>
      </c>
      <c r="C65" s="20">
        <f>COUNTIFS('Trade Log'!$B$4:$B$503,$A65,'Trade Log'!$K$4:$K$503,"&gt;0")</f>
        <v/>
      </c>
      <c r="D65" s="20">
        <f>COUNTIFS('Trade Log'!$B$4:$B$503,$A65,'Trade Log'!$K$4:$K$503,"&lt;0")</f>
        <v/>
      </c>
      <c r="E65" s="29">
        <f>IFERROR($C65/$B65,"")</f>
        <v/>
      </c>
      <c r="F65" s="21">
        <f>SUMIF('Trade Log'!$B$4:$B$503,$A65,'Trade Log'!$I$4:$I$503)</f>
        <v/>
      </c>
      <c r="G65" s="21">
        <f>SUMIF('Trade Log'!$B$4:$B$503,$A65,'Trade Log'!$K$4:$K$503)</f>
        <v/>
      </c>
      <c r="H65" s="21">
        <f>IFERROR($G65/$B65,"")</f>
        <v/>
      </c>
      <c r="I65" s="21">
        <f>IFERROR(_xlfn.MAXIFS('Trade Log'!$K$4:$K$503,'Trade Log'!$B$4:$B$503,$A65),"")</f>
        <v/>
      </c>
      <c r="J65" s="21">
        <f>IFERROR(_xlfn.MINIFS('Trade Log'!$K$4:$K$503,'Trade Log'!$B$4:$B$503,$A65),"")</f>
        <v/>
      </c>
    </row>
    <row r="66">
      <c r="A66" s="27" t="inlineStr">
        <is>
          <t>THOMASCOOK</t>
        </is>
      </c>
      <c r="B66" s="20">
        <f>COUNTIF('Trade Log'!$B$4:$B$503,$A66)</f>
        <v/>
      </c>
      <c r="C66" s="20">
        <f>COUNTIFS('Trade Log'!$B$4:$B$503,$A66,'Trade Log'!$K$4:$K$503,"&gt;0")</f>
        <v/>
      </c>
      <c r="D66" s="20">
        <f>COUNTIFS('Trade Log'!$B$4:$B$503,$A66,'Trade Log'!$K$4:$K$503,"&lt;0")</f>
        <v/>
      </c>
      <c r="E66" s="29">
        <f>IFERROR($C66/$B66,"")</f>
        <v/>
      </c>
      <c r="F66" s="21">
        <f>SUMIF('Trade Log'!$B$4:$B$503,$A66,'Trade Log'!$I$4:$I$503)</f>
        <v/>
      </c>
      <c r="G66" s="21">
        <f>SUMIF('Trade Log'!$B$4:$B$503,$A66,'Trade Log'!$K$4:$K$503)</f>
        <v/>
      </c>
      <c r="H66" s="21">
        <f>IFERROR($G66/$B66,"")</f>
        <v/>
      </c>
      <c r="I66" s="21">
        <f>IFERROR(_xlfn.MAXIFS('Trade Log'!$K$4:$K$503,'Trade Log'!$B$4:$B$503,$A66),"")</f>
        <v/>
      </c>
      <c r="J66" s="21">
        <f>IFERROR(_xlfn.MINIFS('Trade Log'!$K$4:$K$503,'Trade Log'!$B$4:$B$503,$A66),"")</f>
        <v/>
      </c>
    </row>
    <row r="67">
      <c r="A67" s="27" t="inlineStr">
        <is>
          <t>VENKEYS</t>
        </is>
      </c>
      <c r="B67" s="20">
        <f>COUNTIF('Trade Log'!$B$4:$B$503,$A67)</f>
        <v/>
      </c>
      <c r="C67" s="20">
        <f>COUNTIFS('Trade Log'!$B$4:$B$503,$A67,'Trade Log'!$K$4:$K$503,"&gt;0")</f>
        <v/>
      </c>
      <c r="D67" s="20">
        <f>COUNTIFS('Trade Log'!$B$4:$B$503,$A67,'Trade Log'!$K$4:$K$503,"&lt;0")</f>
        <v/>
      </c>
      <c r="E67" s="29">
        <f>IFERROR($C67/$B67,"")</f>
        <v/>
      </c>
      <c r="F67" s="21">
        <f>SUMIF('Trade Log'!$B$4:$B$503,$A67,'Trade Log'!$I$4:$I$503)</f>
        <v/>
      </c>
      <c r="G67" s="21">
        <f>SUMIF('Trade Log'!$B$4:$B$503,$A67,'Trade Log'!$K$4:$K$503)</f>
        <v/>
      </c>
      <c r="H67" s="21">
        <f>IFERROR($G67/$B67,"")</f>
        <v/>
      </c>
      <c r="I67" s="21">
        <f>IFERROR(_xlfn.MAXIFS('Trade Log'!$K$4:$K$503,'Trade Log'!$B$4:$B$503,$A67),"")</f>
        <v/>
      </c>
      <c r="J67" s="21">
        <f>IFERROR(_xlfn.MINIFS('Trade Log'!$K$4:$K$503,'Trade Log'!$B$4:$B$503,$A67),"")</f>
        <v/>
      </c>
    </row>
    <row r="68">
      <c r="A68" s="27" t="inlineStr">
        <is>
          <t>VENUSPIPES</t>
        </is>
      </c>
      <c r="B68" s="20">
        <f>COUNTIF('Trade Log'!$B$4:$B$503,$A68)</f>
        <v/>
      </c>
      <c r="C68" s="20">
        <f>COUNTIFS('Trade Log'!$B$4:$B$503,$A68,'Trade Log'!$K$4:$K$503,"&gt;0")</f>
        <v/>
      </c>
      <c r="D68" s="20">
        <f>COUNTIFS('Trade Log'!$B$4:$B$503,$A68,'Trade Log'!$K$4:$K$503,"&lt;0")</f>
        <v/>
      </c>
      <c r="E68" s="29">
        <f>IFERROR($C68/$B68,"")</f>
        <v/>
      </c>
      <c r="F68" s="21">
        <f>SUMIF('Trade Log'!$B$4:$B$503,$A68,'Trade Log'!$I$4:$I$503)</f>
        <v/>
      </c>
      <c r="G68" s="21">
        <f>SUMIF('Trade Log'!$B$4:$B$503,$A68,'Trade Log'!$K$4:$K$503)</f>
        <v/>
      </c>
      <c r="H68" s="21">
        <f>IFERROR($G68/$B68,"")</f>
        <v/>
      </c>
      <c r="I68" s="21">
        <f>IFERROR(_xlfn.MAXIFS('Trade Log'!$K$4:$K$503,'Trade Log'!$B$4:$B$503,$A68),"")</f>
        <v/>
      </c>
      <c r="J68" s="21">
        <f>IFERROR(_xlfn.MINIFS('Trade Log'!$K$4:$K$503,'Trade Log'!$B$4:$B$503,$A68),"")</f>
        <v/>
      </c>
    </row>
    <row r="69">
      <c r="A69" s="27" t="inlineStr">
        <is>
          <t>VERANDA</t>
        </is>
      </c>
      <c r="B69" s="20">
        <f>COUNTIF('Trade Log'!$B$4:$B$503,$A69)</f>
        <v/>
      </c>
      <c r="C69" s="20">
        <f>COUNTIFS('Trade Log'!$B$4:$B$503,$A69,'Trade Log'!$K$4:$K$503,"&gt;0")</f>
        <v/>
      </c>
      <c r="D69" s="20">
        <f>COUNTIFS('Trade Log'!$B$4:$B$503,$A69,'Trade Log'!$K$4:$K$503,"&lt;0")</f>
        <v/>
      </c>
      <c r="E69" s="29">
        <f>IFERROR($C69/$B69,"")</f>
        <v/>
      </c>
      <c r="F69" s="21">
        <f>SUMIF('Trade Log'!$B$4:$B$503,$A69,'Trade Log'!$I$4:$I$503)</f>
        <v/>
      </c>
      <c r="G69" s="21">
        <f>SUMIF('Trade Log'!$B$4:$B$503,$A69,'Trade Log'!$K$4:$K$503)</f>
        <v/>
      </c>
      <c r="H69" s="21">
        <f>IFERROR($G69/$B69,"")</f>
        <v/>
      </c>
      <c r="I69" s="21">
        <f>IFERROR(_xlfn.MAXIFS('Trade Log'!$K$4:$K$503,'Trade Log'!$B$4:$B$503,$A69),"")</f>
        <v/>
      </c>
      <c r="J69" s="21">
        <f>IFERROR(_xlfn.MINIFS('Trade Log'!$K$4:$K$503,'Trade Log'!$B$4:$B$503,$A69),"")</f>
        <v/>
      </c>
    </row>
    <row r="70">
      <c r="A70" s="27" t="inlineStr">
        <is>
          <t>VSSL</t>
        </is>
      </c>
      <c r="B70" s="20">
        <f>COUNTIF('Trade Log'!$B$4:$B$503,$A70)</f>
        <v/>
      </c>
      <c r="C70" s="20">
        <f>COUNTIFS('Trade Log'!$B$4:$B$503,$A70,'Trade Log'!$K$4:$K$503,"&gt;0")</f>
        <v/>
      </c>
      <c r="D70" s="20">
        <f>COUNTIFS('Trade Log'!$B$4:$B$503,$A70,'Trade Log'!$K$4:$K$503,"&lt;0")</f>
        <v/>
      </c>
      <c r="E70" s="29">
        <f>IFERROR($C70/$B70,"")</f>
        <v/>
      </c>
      <c r="F70" s="21">
        <f>SUMIF('Trade Log'!$B$4:$B$503,$A70,'Trade Log'!$I$4:$I$503)</f>
        <v/>
      </c>
      <c r="G70" s="21">
        <f>SUMIF('Trade Log'!$B$4:$B$503,$A70,'Trade Log'!$K$4:$K$503)</f>
        <v/>
      </c>
      <c r="H70" s="21">
        <f>IFERROR($G70/$B70,"")</f>
        <v/>
      </c>
      <c r="I70" s="21">
        <f>IFERROR(_xlfn.MAXIFS('Trade Log'!$K$4:$K$503,'Trade Log'!$B$4:$B$503,$A70),"")</f>
        <v/>
      </c>
      <c r="J70" s="21">
        <f>IFERROR(_xlfn.MINIFS('Trade Log'!$K$4:$K$503,'Trade Log'!$B$4:$B$503,$A70),"")</f>
        <v/>
      </c>
    </row>
    <row r="71">
      <c r="A71" s="27" t="inlineStr">
        <is>
          <t>WELSPLSOL</t>
        </is>
      </c>
      <c r="B71" s="20">
        <f>COUNTIF('Trade Log'!$B$4:$B$503,$A71)</f>
        <v/>
      </c>
      <c r="C71" s="20">
        <f>COUNTIFS('Trade Log'!$B$4:$B$503,$A71,'Trade Log'!$K$4:$K$503,"&gt;0")</f>
        <v/>
      </c>
      <c r="D71" s="20">
        <f>COUNTIFS('Trade Log'!$B$4:$B$503,$A71,'Trade Log'!$K$4:$K$503,"&lt;0")</f>
        <v/>
      </c>
      <c r="E71" s="29">
        <f>IFERROR($C71/$B71,"")</f>
        <v/>
      </c>
      <c r="F71" s="21">
        <f>SUMIF('Trade Log'!$B$4:$B$503,$A71,'Trade Log'!$I$4:$I$503)</f>
        <v/>
      </c>
      <c r="G71" s="21">
        <f>SUMIF('Trade Log'!$B$4:$B$503,$A71,'Trade Log'!$K$4:$K$503)</f>
        <v/>
      </c>
      <c r="H71" s="21">
        <f>IFERROR($G71/$B71,"")</f>
        <v/>
      </c>
      <c r="I71" s="21">
        <f>IFERROR(_xlfn.MAXIFS('Trade Log'!$K$4:$K$503,'Trade Log'!$B$4:$B$503,$A71),"")</f>
        <v/>
      </c>
      <c r="J71" s="21">
        <f>IFERROR(_xlfn.MINIFS('Trade Log'!$K$4:$K$503,'Trade Log'!$B$4:$B$503,$A71),"")</f>
        <v/>
      </c>
    </row>
    <row r="72">
      <c r="A72" s="27" t="inlineStr">
        <is>
          <t>WENDT</t>
        </is>
      </c>
      <c r="B72" s="20">
        <f>COUNTIF('Trade Log'!$B$4:$B$503,$A72)</f>
        <v/>
      </c>
      <c r="C72" s="20">
        <f>COUNTIFS('Trade Log'!$B$4:$B$503,$A72,'Trade Log'!$K$4:$K$503,"&gt;0")</f>
        <v/>
      </c>
      <c r="D72" s="20">
        <f>COUNTIFS('Trade Log'!$B$4:$B$503,$A72,'Trade Log'!$K$4:$K$503,"&lt;0")</f>
        <v/>
      </c>
      <c r="E72" s="29">
        <f>IFERROR($C72/$B72,"")</f>
        <v/>
      </c>
      <c r="F72" s="21">
        <f>SUMIF('Trade Log'!$B$4:$B$503,$A72,'Trade Log'!$I$4:$I$503)</f>
        <v/>
      </c>
      <c r="G72" s="21">
        <f>SUMIF('Trade Log'!$B$4:$B$503,$A72,'Trade Log'!$K$4:$K$503)</f>
        <v/>
      </c>
      <c r="H72" s="21">
        <f>IFERROR($G72/$B72,"")</f>
        <v/>
      </c>
      <c r="I72" s="21">
        <f>IFERROR(_xlfn.MAXIFS('Trade Log'!$K$4:$K$503,'Trade Log'!$B$4:$B$503,$A72),"")</f>
        <v/>
      </c>
      <c r="J72" s="21">
        <f>IFERROR(_xlfn.MINIFS('Trade Log'!$K$4:$K$503,'Trade Log'!$B$4:$B$503,$A72),"")</f>
        <v/>
      </c>
    </row>
    <row r="73">
      <c r="A73" s="27" t="inlineStr">
        <is>
          <t>WINDLAS</t>
        </is>
      </c>
      <c r="B73" s="20">
        <f>COUNTIF('Trade Log'!$B$4:$B$503,$A73)</f>
        <v/>
      </c>
      <c r="C73" s="20">
        <f>COUNTIFS('Trade Log'!$B$4:$B$503,$A73,'Trade Log'!$K$4:$K$503,"&gt;0")</f>
        <v/>
      </c>
      <c r="D73" s="20">
        <f>COUNTIFS('Trade Log'!$B$4:$B$503,$A73,'Trade Log'!$K$4:$K$503,"&lt;0")</f>
        <v/>
      </c>
      <c r="E73" s="29">
        <f>IFERROR($C73/$B73,"")</f>
        <v/>
      </c>
      <c r="F73" s="21">
        <f>SUMIF('Trade Log'!$B$4:$B$503,$A73,'Trade Log'!$I$4:$I$503)</f>
        <v/>
      </c>
      <c r="G73" s="21">
        <f>SUMIF('Trade Log'!$B$4:$B$503,$A73,'Trade Log'!$K$4:$K$503)</f>
        <v/>
      </c>
      <c r="H73" s="21">
        <f>IFERROR($G73/$B73,"")</f>
        <v/>
      </c>
      <c r="I73" s="21">
        <f>IFERROR(_xlfn.MAXIFS('Trade Log'!$K$4:$K$503,'Trade Log'!$B$4:$B$503,$A73),"")</f>
        <v/>
      </c>
      <c r="J73" s="21">
        <f>IFERROR(_xlfn.MINIFS('Trade Log'!$K$4:$K$503,'Trade Log'!$B$4:$B$503,$A73),"")</f>
        <v/>
      </c>
    </row>
    <row r="74">
      <c r="A74" s="27" t="inlineStr">
        <is>
          <t>XPROINDIA</t>
        </is>
      </c>
      <c r="B74" s="20">
        <f>COUNTIF('Trade Log'!$B$4:$B$503,$A74)</f>
        <v/>
      </c>
      <c r="C74" s="20">
        <f>COUNTIFS('Trade Log'!$B$4:$B$503,$A74,'Trade Log'!$K$4:$K$503,"&gt;0")</f>
        <v/>
      </c>
      <c r="D74" s="20">
        <f>COUNTIFS('Trade Log'!$B$4:$B$503,$A74,'Trade Log'!$K$4:$K$503,"&lt;0")</f>
        <v/>
      </c>
      <c r="E74" s="29">
        <f>IFERROR($C74/$B74,"")</f>
        <v/>
      </c>
      <c r="F74" s="21">
        <f>SUMIF('Trade Log'!$B$4:$B$503,$A74,'Trade Log'!$I$4:$I$503)</f>
        <v/>
      </c>
      <c r="G74" s="21">
        <f>SUMIF('Trade Log'!$B$4:$B$503,$A74,'Trade Log'!$K$4:$K$503)</f>
        <v/>
      </c>
      <c r="H74" s="21">
        <f>IFERROR($G74/$B74,"")</f>
        <v/>
      </c>
      <c r="I74" s="21">
        <f>IFERROR(_xlfn.MAXIFS('Trade Log'!$K$4:$K$503,'Trade Log'!$B$4:$B$503,$A74),"")</f>
        <v/>
      </c>
      <c r="J74" s="21">
        <f>IFERROR(_xlfn.MINIFS('Trade Log'!$K$4:$K$503,'Trade Log'!$B$4:$B$503,$A74),"")</f>
        <v/>
      </c>
    </row>
    <row r="75">
      <c r="A75" s="27" t="inlineStr">
        <is>
          <t>ZAGGLE</t>
        </is>
      </c>
      <c r="B75" s="20">
        <f>COUNTIF('Trade Log'!$B$4:$B$503,$A75)</f>
        <v/>
      </c>
      <c r="C75" s="20">
        <f>COUNTIFS('Trade Log'!$B$4:$B$503,$A75,'Trade Log'!$K$4:$K$503,"&gt;0")</f>
        <v/>
      </c>
      <c r="D75" s="20">
        <f>COUNTIFS('Trade Log'!$B$4:$B$503,$A75,'Trade Log'!$K$4:$K$503,"&lt;0")</f>
        <v/>
      </c>
      <c r="E75" s="29">
        <f>IFERROR($C75/$B75,"")</f>
        <v/>
      </c>
      <c r="F75" s="21">
        <f>SUMIF('Trade Log'!$B$4:$B$503,$A75,'Trade Log'!$I$4:$I$503)</f>
        <v/>
      </c>
      <c r="G75" s="21">
        <f>SUMIF('Trade Log'!$B$4:$B$503,$A75,'Trade Log'!$K$4:$K$503)</f>
        <v/>
      </c>
      <c r="H75" s="21">
        <f>IFERROR($G75/$B75,"")</f>
        <v/>
      </c>
      <c r="I75" s="21">
        <f>IFERROR(_xlfn.MAXIFS('Trade Log'!$K$4:$K$503,'Trade Log'!$B$4:$B$503,$A75),"")</f>
        <v/>
      </c>
      <c r="J75" s="21">
        <f>IFERROR(_xlfn.MINIFS('Trade Log'!$K$4:$K$503,'Trade Log'!$B$4:$B$503,$A75),"")</f>
        <v/>
      </c>
    </row>
    <row r="76">
      <c r="A76" s="3" t="inlineStr">
        <is>
          <t>TOTAL</t>
        </is>
      </c>
      <c r="B76" s="30">
        <f>SUM(B4:B75)</f>
        <v/>
      </c>
      <c r="C76" s="30">
        <f>SUM(C4:C75)</f>
        <v/>
      </c>
      <c r="D76" s="30">
        <f>SUM(D4:D75)</f>
        <v/>
      </c>
      <c r="E76" s="31">
        <f>IFERROR(C76/B76,"")</f>
        <v/>
      </c>
      <c r="F76" s="32">
        <f>SUM(F4:F75)</f>
        <v/>
      </c>
      <c r="G76" s="32">
        <f>SUM(G4:G75)</f>
        <v/>
      </c>
      <c r="H76" s="32">
        <f>IFERROR(G76/B76,"")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2026-09-14T09:09:02Z</dcterms:created>
  <dcterms:modified xmlns:dcterms="http://purl.org/dc/terms/" xmlns:xsi="http://www.w3.org/2001/XMLSchema-instance" xsi:type="dcterms:W3CDTF">2026-09-14T09:09:02Z</dcterms:modified>
</cp:coreProperties>
</file>