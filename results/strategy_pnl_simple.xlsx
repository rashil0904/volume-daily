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Company Stats" sheetId="5" state="visible" r:id="rId5"/>
  </sheets>
  <definedNames>
    <definedName name="_xlnm._FilterDatabase" localSheetId="1" hidden="1">'Trade Log'!$A$3:$M$503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#,##0;(#,##0);&quot;-&quot;"/>
    <numFmt numFmtId="166" formatCode="₹#,##0;(₹#,##0);&quot;-&quot;"/>
    <numFmt numFmtId="167" formatCode="0.00%;(0.00%);&quot;-&quot;"/>
    <numFmt numFmtId="168" formatCode="0.0%;(0.0%);&quot;-&quot;"/>
    <numFmt numFmtId="169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8" fontId="9" fillId="6" borderId="0" applyAlignment="1" pivotButton="0" quotePrefix="0" xfId="0">
      <alignment horizontal="center" vertical="center"/>
    </xf>
    <xf numFmtId="169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8" fontId="6" fillId="0" borderId="0" pivotButton="0" quotePrefix="0" xfId="0"/>
    <xf numFmtId="166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'Day Wise PnL'!H3</f>
            </strRef>
          </tx>
          <spPr>
            <a:ln xmlns:a="http://schemas.openxmlformats.org/drawingml/2006/main" w="2000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'Day Wise PnL'!$A$4:$A$403</f>
            </numRef>
          </cat>
          <val>
            <numRef>
              <f>'Day Wise PnL'!$H$4:$H$403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 Net P&amp;L (₹)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Win / Loss Split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cat>
            <numRef>
              <f>'Total PnL'!$B$13:$B$14</f>
            </numRef>
          </cat>
          <val>
            <numRef>
              <f>'Total PnL'!$C$13:$C$14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Gross vs Net P&amp;L</a:t>
            </a:r>
          </a:p>
        </rich>
      </tx>
    </title>
    <plotArea>
      <barChart>
        <barDir val="col"/>
        <grouping val="clustered"/>
        <ser>
          <idx val="0"/>
          <order val="0"/>
          <tx>
            <v>Gross P&amp;L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val>
            <numRef>
              <f>'Total PnL'!$C$19</f>
            </numRef>
          </val>
        </ser>
        <ser>
          <idx val="1"/>
          <order val="1"/>
          <tx>
            <v>Net P&amp;L</v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prstDash val="solid"/>
            </a:ln>
          </spPr>
          <val>
            <numRef>
              <f>'Total PnL'!$B$6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23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23</row>
      <rowOff>0</rowOff>
    </from>
    <ext cx="46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23</row>
      <rowOff>0</rowOff>
    </from>
    <ext cx="468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Log'!$K$4:$K$503)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Log'!$K$4:$K$503,"&gt;0")/ABS(SUMIF('Trade Log'!$K$4:$K$503,"&lt;0")),"")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Log'!$K$4:$K$503)</f>
        <v/>
      </c>
    </row>
    <row r="13">
      <c r="B13" s="3" t="inlineStr">
        <is>
          <t>Winning Trades</t>
        </is>
      </c>
      <c r="C13" s="20">
        <f>COUNTIF('Trade Log'!$K$4:$K$503,"&gt;0")</f>
        <v/>
      </c>
    </row>
    <row r="14">
      <c r="B14" s="3" t="inlineStr">
        <is>
          <t>Losing Trades</t>
        </is>
      </c>
      <c r="C14" s="20">
        <f>COUNTIF('Trade Log'!$K$4:$K$503,"&lt;0")</f>
        <v/>
      </c>
    </row>
    <row r="15">
      <c r="B15" s="3" t="inlineStr">
        <is>
          <t>Average Win (₹)</t>
        </is>
      </c>
      <c r="C15" s="21">
        <f>IFERROR(AVERAGEIF('Trade Log'!$K$4:$K$503,"&gt;0"),"")</f>
        <v/>
      </c>
    </row>
    <row r="16">
      <c r="B16" s="3" t="inlineStr">
        <is>
          <t>Average Loss (₹)</t>
        </is>
      </c>
      <c r="C16" s="21">
        <f>IFERROR(AVERAGEIF('Trade Log'!$K$4:$K$503,"&lt;0"),"")</f>
        <v/>
      </c>
    </row>
    <row r="17">
      <c r="B17" s="3" t="inlineStr">
        <is>
          <t>Best Trade (₹)</t>
        </is>
      </c>
      <c r="C17" s="21">
        <f>IFERROR(MAX('Trade Log'!$K$4:$K$503),"")</f>
        <v/>
      </c>
    </row>
    <row r="18">
      <c r="B18" s="3" t="inlineStr">
        <is>
          <t>Worst Trade (₹)</t>
        </is>
      </c>
      <c r="C18" s="21">
        <f>IFERROR(MIN('Trade Log'!$K$4:$K$503),"")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  <row r="22" ht="18" customHeight="1">
      <c r="A22" s="5" t="inlineStr">
        <is>
          <t>VISUALS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</sheetData>
  <mergeCells count="13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22:P22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0" customWidth="1" min="10" max="10"/>
    <col width="12" customWidth="1" min="11" max="11"/>
    <col width="12" customWidth="1" min="12" max="12"/>
    <col width="10" customWidth="1" min="13" max="13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 and J; formulas compute I, K, L, M.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Costs</t>
        </is>
      </c>
      <c r="K3" s="19" t="inlineStr">
        <is>
          <t>Net P&amp;L</t>
        </is>
      </c>
      <c r="L3" s="19" t="inlineStr">
        <is>
          <t>Net Return %</t>
        </is>
      </c>
      <c r="M3" s="19" t="inlineStr">
        <is>
          <t>Status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n">
        <v>46254</v>
      </c>
      <c r="H4" s="25" t="n">
        <v>20.9689</v>
      </c>
      <c r="I4" s="21">
        <f>IF(OR($B4="",$H4=""),"",IF($C4="LONG",($H4-$E4)*$F4,($E4-$H4)*$F4))</f>
        <v/>
      </c>
      <c r="J4" s="4" t="n">
        <v>50.15</v>
      </c>
      <c r="K4" s="21">
        <f>IF(OR($B4="",$I4=""),"",$I4-IF($J4="",0,$J4))</f>
        <v/>
      </c>
      <c r="L4" s="22">
        <f>IF(OR($B4="",$K4="",$E4=0,$F4=0),"",$K4/($E4*$F4))</f>
        <v/>
      </c>
      <c r="M4" s="27">
        <f>IF($B4="","",IF($H4="","Open","Closed"))</f>
        <v/>
      </c>
    </row>
    <row r="5">
      <c r="A5" s="23" t="inlineStr">
        <is>
          <t>DHAN-221260819775909</t>
        </is>
      </c>
      <c r="B5" s="23" t="inlineStr">
        <is>
          <t>GOPAL</t>
        </is>
      </c>
      <c r="C5" s="23" t="inlineStr">
        <is>
          <t>LONG</t>
        </is>
      </c>
      <c r="D5" s="24" t="n">
        <v>46253</v>
      </c>
      <c r="E5" s="25" t="n">
        <v>289.4016</v>
      </c>
      <c r="F5" s="26" t="n">
        <v>1038</v>
      </c>
      <c r="G5" s="24" t="n">
        <v>46254</v>
      </c>
      <c r="H5" s="25" t="n">
        <v>281.1859</v>
      </c>
      <c r="I5" s="21">
        <f>IF(OR($B5="",$H5=""),"",IF($C5="LONG",($H5-$E5)*$F5,($E5-$H5)*$F5))</f>
        <v/>
      </c>
      <c r="J5" s="4" t="n">
        <v>50.15</v>
      </c>
      <c r="K5" s="21">
        <f>IF(OR($B5="",$I5=""),"",$I5-IF($J5="",0,$J5))</f>
        <v/>
      </c>
      <c r="L5" s="22">
        <f>IF(OR($B5="",$K5="",$E5=0,$F5=0),"",$K5/($E5*$F5))</f>
        <v/>
      </c>
      <c r="M5" s="27">
        <f>IF($B5="","",IF($H5="","Open","Closed"))</f>
        <v/>
      </c>
    </row>
    <row r="6">
      <c r="A6" s="23" t="inlineStr">
        <is>
          <t>DHAN-321260819763709</t>
        </is>
      </c>
      <c r="B6" s="23" t="inlineStr">
        <is>
          <t>NILKAMAL</t>
        </is>
      </c>
      <c r="C6" s="23" t="inlineStr">
        <is>
          <t>LONG</t>
        </is>
      </c>
      <c r="D6" s="24" t="n">
        <v>46253</v>
      </c>
      <c r="E6" s="25" t="n">
        <v>2031.8572</v>
      </c>
      <c r="F6" s="26" t="n">
        <v>147</v>
      </c>
      <c r="G6" s="24" t="n">
        <v>46254</v>
      </c>
      <c r="H6" s="25" t="n">
        <v>2020.8687</v>
      </c>
      <c r="I6" s="21">
        <f>IF(OR($B6="",$H6=""),"",IF($C6="LONG",($H6-$E6)*$F6,($E6-$H6)*$F6))</f>
        <v/>
      </c>
      <c r="J6" s="4" t="n">
        <v>101.22</v>
      </c>
      <c r="K6" s="21">
        <f>IF(OR($B6="",$I6=""),"",$I6-IF($J6="",0,$J6))</f>
        <v/>
      </c>
      <c r="L6" s="22">
        <f>IF(OR($B6="",$K6="",$E6=0,$F6=0),"",$K6/($E6*$F6))</f>
        <v/>
      </c>
      <c r="M6" s="27">
        <f>IF($B6="","",IF($H6="","Open","Closed"))</f>
        <v/>
      </c>
    </row>
    <row r="7">
      <c r="A7" s="23" t="inlineStr">
        <is>
          <t>DHAN-321260819763909</t>
        </is>
      </c>
      <c r="B7" s="23" t="inlineStr">
        <is>
          <t>ORIENTHOT</t>
        </is>
      </c>
      <c r="C7" s="23" t="inlineStr">
        <is>
          <t>LONG</t>
        </is>
      </c>
      <c r="D7" s="24" t="n">
        <v>46253</v>
      </c>
      <c r="E7" s="25" t="n">
        <v>139.6107</v>
      </c>
      <c r="F7" s="26" t="n">
        <v>2137</v>
      </c>
      <c r="G7" s="24" t="n">
        <v>46254</v>
      </c>
      <c r="H7" s="25" t="n">
        <v>134.2087</v>
      </c>
      <c r="I7" s="21">
        <f>IF(OR($B7="",$H7=""),"",IF($C7="LONG",($H7-$E7)*$F7,($E7-$H7)*$F7))</f>
        <v/>
      </c>
      <c r="J7" s="4" t="n">
        <v>111.37</v>
      </c>
      <c r="K7" s="21">
        <f>IF(OR($B7="",$I7=""),"",$I7-IF($J7="",0,$J7))</f>
        <v/>
      </c>
      <c r="L7" s="22">
        <f>IF(OR($B7="",$K7="",$E7=0,$F7=0),"",$K7/($E7*$F7))</f>
        <v/>
      </c>
      <c r="M7" s="27">
        <f>IF($B7="","",IF($H7="","Open","Closed"))</f>
        <v/>
      </c>
    </row>
    <row r="8">
      <c r="A8" s="23" t="inlineStr">
        <is>
          <t>DHAN-321260819764209</t>
        </is>
      </c>
      <c r="B8" s="23" t="inlineStr">
        <is>
          <t>ZAGGLE</t>
        </is>
      </c>
      <c r="C8" s="23" t="inlineStr">
        <is>
          <t>LONG</t>
        </is>
      </c>
      <c r="D8" s="24" t="n">
        <v>46253</v>
      </c>
      <c r="E8" s="25" t="n">
        <v>186.67</v>
      </c>
      <c r="F8" s="26" t="n">
        <v>1609</v>
      </c>
      <c r="G8" s="24" t="n">
        <v>46254</v>
      </c>
      <c r="H8" s="25" t="n">
        <v>190.697</v>
      </c>
      <c r="I8" s="21">
        <f>IF(OR($B8="",$H8=""),"",IF($C8="LONG",($H8-$E8)*$F8,($E8-$H8)*$F8))</f>
        <v/>
      </c>
      <c r="J8" s="4" t="n">
        <v>109.94</v>
      </c>
      <c r="K8" s="21">
        <f>IF(OR($B8="",$I8=""),"",$I8-IF($J8="",0,$J8))</f>
        <v/>
      </c>
      <c r="L8" s="22">
        <f>IF(OR($B8="",$K8="",$E8=0,$F8=0),"",$K8/($E8*$F8))</f>
        <v/>
      </c>
      <c r="M8" s="27">
        <f>IF($B8="","",IF($H8="","Open","Closed"))</f>
        <v/>
      </c>
    </row>
    <row r="9">
      <c r="A9" s="23" t="inlineStr">
        <is>
          <t>DHAN-23126082016509</t>
        </is>
      </c>
      <c r="B9" s="23" t="inlineStr">
        <is>
          <t>BAJAJHIND</t>
        </is>
      </c>
      <c r="C9" s="23" t="inlineStr">
        <is>
          <t>SHORT</t>
        </is>
      </c>
      <c r="D9" s="24" t="n">
        <v>46254</v>
      </c>
      <c r="E9" s="25" t="n">
        <v>20.9605</v>
      </c>
      <c r="F9" s="26" t="n">
        <v>14742</v>
      </c>
      <c r="G9" s="24" t="n">
        <v>46254</v>
      </c>
      <c r="H9" s="25" t="n">
        <v>22.2519</v>
      </c>
      <c r="I9" s="21">
        <f>IF(OR($B9="",$H9=""),"",IF($C9="LONG",($H9-$E9)*$F9,($E9-$H9)*$F9))</f>
        <v/>
      </c>
      <c r="J9" s="4" t="n">
        <v>0</v>
      </c>
      <c r="K9" s="21">
        <f>IF(OR($B9="",$I9=""),"",$I9-IF($J9="",0,$J9))</f>
        <v/>
      </c>
      <c r="L9" s="22">
        <f>IF(OR($B9="",$K9="",$E9=0,$F9=0),"",$K9/($E9*$F9))</f>
        <v/>
      </c>
      <c r="M9" s="27">
        <f>IF($B9="","",IF($H9="","Open","Closed"))</f>
        <v/>
      </c>
    </row>
    <row r="10">
      <c r="A10" s="23" t="inlineStr">
        <is>
          <t>DHAN-34126082075909</t>
        </is>
      </c>
      <c r="B10" s="23" t="inlineStr">
        <is>
          <t>BANARISUG</t>
        </is>
      </c>
      <c r="C10" s="23" t="inlineStr">
        <is>
          <t>LONG</t>
        </is>
      </c>
      <c r="D10" s="24" t="n">
        <v>46254</v>
      </c>
      <c r="E10" s="25" t="n">
        <v>4243.582</v>
      </c>
      <c r="F10" s="26" t="n">
        <v>39</v>
      </c>
      <c r="G10" s="24" t="n">
        <v>46255</v>
      </c>
      <c r="H10" s="25" t="n">
        <v>4030.5</v>
      </c>
      <c r="I10" s="21">
        <f>IF(OR($B10="",$H10=""),"",IF($C10="LONG",($H10-$E10)*$F10,($E10-$H10)*$F10))</f>
        <v/>
      </c>
      <c r="J10" s="4" t="n">
        <v>78.45</v>
      </c>
      <c r="K10" s="21">
        <f>IF(OR($B10="",$I10=""),"",$I10-IF($J10="",0,$J10))</f>
        <v/>
      </c>
      <c r="L10" s="22">
        <f>IF(OR($B10="",$K10="",$E10=0,$F10=0),"",$K10/($E10*$F10))</f>
        <v/>
      </c>
      <c r="M10" s="27">
        <f>IF($B10="","",IF($H10="","Open","Closed"))</f>
        <v/>
      </c>
    </row>
    <row r="11">
      <c r="A11" s="23" t="inlineStr">
        <is>
          <t>DHAN-22126082044409</t>
        </is>
      </c>
      <c r="B11" s="23" t="inlineStr">
        <is>
          <t>GOPAL</t>
        </is>
      </c>
      <c r="C11" s="23" t="inlineStr">
        <is>
          <t>SHORT</t>
        </is>
      </c>
      <c r="D11" s="24" t="n">
        <v>46254</v>
      </c>
      <c r="E11" s="25" t="n">
        <v>281.1067</v>
      </c>
      <c r="F11" s="26" t="n">
        <v>1038</v>
      </c>
      <c r="G11" s="24" t="n">
        <v>46254</v>
      </c>
      <c r="H11" s="25" t="n">
        <v>282.9361</v>
      </c>
      <c r="I11" s="21">
        <f>IF(OR($B11="",$H11=""),"",IF($C11="LONG",($H11-$E11)*$F11,($E11-$H11)*$F11))</f>
        <v/>
      </c>
      <c r="J11" s="4" t="n">
        <v>0</v>
      </c>
      <c r="K11" s="21">
        <f>IF(OR($B11="",$I11=""),"",$I11-IF($J11="",0,$J11))</f>
        <v/>
      </c>
      <c r="L11" s="22">
        <f>IF(OR($B11="",$K11="",$E11=0,$F11=0),"",$K11/($E11*$F11))</f>
        <v/>
      </c>
      <c r="M11" s="27">
        <f>IF($B11="","",IF($H11="","Open","Closed"))</f>
        <v/>
      </c>
    </row>
    <row r="12">
      <c r="A12" s="23" t="inlineStr">
        <is>
          <t>DHAN-22126082081809</t>
        </is>
      </c>
      <c r="B12" s="23" t="inlineStr">
        <is>
          <t>HUBTOWN</t>
        </is>
      </c>
      <c r="C12" s="23" t="inlineStr">
        <is>
          <t>LONG</t>
        </is>
      </c>
      <c r="D12" s="24" t="n">
        <v>46254</v>
      </c>
      <c r="E12" s="25" t="n">
        <v>201.5272</v>
      </c>
      <c r="F12" s="26" t="n">
        <v>827</v>
      </c>
      <c r="G12" s="24" t="n">
        <v>46255</v>
      </c>
      <c r="H12" s="25" t="n">
        <v>197.7805</v>
      </c>
      <c r="I12" s="21">
        <f>IF(OR($B12="",$H12=""),"",IF($C12="LONG",($H12-$E12)*$F12,($E12-$H12)*$F12))</f>
        <v/>
      </c>
      <c r="J12" s="4" t="n">
        <v>84.34999999999999</v>
      </c>
      <c r="K12" s="21">
        <f>IF(OR($B12="",$I12=""),"",$I12-IF($J12="",0,$J12))</f>
        <v/>
      </c>
      <c r="L12" s="22">
        <f>IF(OR($B12="",$K12="",$E12=0,$F12=0),"",$K12/($E12*$F12))</f>
        <v/>
      </c>
      <c r="M12" s="27">
        <f>IF($B12="","",IF($H12="","Open","Closed"))</f>
        <v/>
      </c>
    </row>
    <row r="13">
      <c r="A13" s="23" t="inlineStr">
        <is>
          <t>DHAN-321260820757209</t>
        </is>
      </c>
      <c r="B13" s="23" t="inlineStr">
        <is>
          <t>KIRIINDUS</t>
        </is>
      </c>
      <c r="C13" s="23" t="inlineStr">
        <is>
          <t>LONG</t>
        </is>
      </c>
      <c r="D13" s="24" t="n">
        <v>46254</v>
      </c>
      <c r="E13" s="25" t="n">
        <v>462.385</v>
      </c>
      <c r="F13" s="26" t="n">
        <v>361</v>
      </c>
      <c r="G13" s="24" t="n">
        <v>46255</v>
      </c>
      <c r="H13" s="25" t="n">
        <v>463.0857</v>
      </c>
      <c r="I13" s="21">
        <f>IF(OR($B13="",$H13=""),"",IF($C13="LONG",($H13-$E13)*$F13,($E13-$H13)*$F13))</f>
        <v/>
      </c>
      <c r="J13" s="4" t="n">
        <v>70.7</v>
      </c>
      <c r="K13" s="21">
        <f>IF(OR($B13="",$I13=""),"",$I13-IF($J13="",0,$J13))</f>
        <v/>
      </c>
      <c r="L13" s="22">
        <f>IF(OR($B13="",$K13="",$E13=0,$F13=0),"",$K13/($E13*$F13))</f>
        <v/>
      </c>
      <c r="M13" s="27">
        <f>IF($B13="","",IF($H13="","Open","Closed"))</f>
        <v/>
      </c>
    </row>
    <row r="14">
      <c r="A14" s="23" t="inlineStr">
        <is>
          <t>DHAN-321260820757609</t>
        </is>
      </c>
      <c r="B14" s="23" t="inlineStr">
        <is>
          <t>MANGLMCEM</t>
        </is>
      </c>
      <c r="C14" s="23" t="inlineStr">
        <is>
          <t>LONG</t>
        </is>
      </c>
      <c r="D14" s="24" t="n">
        <v>46254</v>
      </c>
      <c r="E14" s="25" t="n">
        <v>988.9262</v>
      </c>
      <c r="F14" s="26" t="n">
        <v>168</v>
      </c>
      <c r="G14" s="24" t="n">
        <v>46255</v>
      </c>
      <c r="H14" s="25" t="n">
        <v>989.1455</v>
      </c>
      <c r="I14" s="21">
        <f>IF(OR($B14="",$H14=""),"",IF($C14="LONG",($H14-$E14)*$F14,($E14-$H14)*$F14))</f>
        <v/>
      </c>
      <c r="J14" s="4" t="n">
        <v>84.23999999999999</v>
      </c>
      <c r="K14" s="21">
        <f>IF(OR($B14="",$I14=""),"",$I14-IF($J14="",0,$J14))</f>
        <v/>
      </c>
      <c r="L14" s="22">
        <f>IF(OR($B14="",$K14="",$E14=0,$F14=0),"",$K14/($E14*$F14))</f>
        <v/>
      </c>
      <c r="M14" s="27">
        <f>IF($B14="","",IF($H14="","Open","Closed"))</f>
        <v/>
      </c>
    </row>
    <row r="15">
      <c r="A15" s="23" t="inlineStr">
        <is>
          <t>DHAN-321260820757709</t>
        </is>
      </c>
      <c r="B15" s="23" t="inlineStr">
        <is>
          <t>NETWORK18</t>
        </is>
      </c>
      <c r="C15" s="23" t="inlineStr">
        <is>
          <t>LONG</t>
        </is>
      </c>
      <c r="D15" s="24" t="n">
        <v>46254</v>
      </c>
      <c r="E15" s="25" t="n">
        <v>30.4987</v>
      </c>
      <c r="F15" s="26" t="n">
        <v>5468</v>
      </c>
      <c r="G15" s="24" t="n">
        <v>46255</v>
      </c>
      <c r="H15" s="25" t="n">
        <v>30.5039</v>
      </c>
      <c r="I15" s="21">
        <f>IF(OR($B15="",$H15=""),"",IF($C15="LONG",($H15-$E15)*$F15,($E15-$H15)*$F15))</f>
        <v/>
      </c>
      <c r="J15" s="4" t="n">
        <v>87.63</v>
      </c>
      <c r="K15" s="21">
        <f>IF(OR($B15="",$I15=""),"",$I15-IF($J15="",0,$J15))</f>
        <v/>
      </c>
      <c r="L15" s="22">
        <f>IF(OR($B15="",$K15="",$E15=0,$F15=0),"",$K15/($E15*$F15))</f>
        <v/>
      </c>
      <c r="M15" s="27">
        <f>IF($B15="","",IF($H15="","Open","Closed"))</f>
        <v/>
      </c>
    </row>
    <row r="16">
      <c r="A16" s="23" t="inlineStr">
        <is>
          <t>DHAN-321260820468709</t>
        </is>
      </c>
      <c r="B16" s="23" t="inlineStr">
        <is>
          <t>NILKAMAL</t>
        </is>
      </c>
      <c r="C16" s="23" t="inlineStr">
        <is>
          <t>SHORT</t>
        </is>
      </c>
      <c r="D16" s="24" t="n">
        <v>46254</v>
      </c>
      <c r="E16" s="25" t="n">
        <v>2019.2572</v>
      </c>
      <c r="F16" s="26" t="n">
        <v>147</v>
      </c>
      <c r="G16" s="24" t="n">
        <v>46254</v>
      </c>
      <c r="H16" s="25" t="n">
        <v>2037.9993</v>
      </c>
      <c r="I16" s="21">
        <f>IF(OR($B16="",$H16=""),"",IF($C16="LONG",($H16-$E16)*$F16,($E16-$H16)*$F16))</f>
        <v/>
      </c>
      <c r="J16" s="4" t="n">
        <v>0</v>
      </c>
      <c r="K16" s="21">
        <f>IF(OR($B16="",$I16=""),"",$I16-IF($J16="",0,$J16))</f>
        <v/>
      </c>
      <c r="L16" s="22">
        <f>IF(OR($B16="",$K16="",$E16=0,$F16=0),"",$K16/($E16*$F16))</f>
        <v/>
      </c>
      <c r="M16" s="27">
        <f>IF($B16="","",IF($H16="","Open","Closed"))</f>
        <v/>
      </c>
    </row>
    <row r="17">
      <c r="A17" s="23" t="inlineStr">
        <is>
          <t>DHAN-22126082044709</t>
        </is>
      </c>
      <c r="B17" s="23" t="inlineStr">
        <is>
          <t>ORIENTHOT</t>
        </is>
      </c>
      <c r="C17" s="23" t="inlineStr">
        <is>
          <t>SHORT</t>
        </is>
      </c>
      <c r="D17" s="24" t="n">
        <v>46254</v>
      </c>
      <c r="E17" s="25" t="n">
        <v>134.1808</v>
      </c>
      <c r="F17" s="26" t="n">
        <v>2137</v>
      </c>
      <c r="G17" s="24" t="n">
        <v>46254</v>
      </c>
      <c r="H17" s="25" t="n">
        <v>134.9144</v>
      </c>
      <c r="I17" s="21">
        <f>IF(OR($B17="",$H17=""),"",IF($C17="LONG",($H17-$E17)*$F17,($E17-$H17)*$F17))</f>
        <v/>
      </c>
      <c r="J17" s="4" t="n">
        <v>0</v>
      </c>
      <c r="K17" s="21">
        <f>IF(OR($B17="",$I17=""),"",$I17-IF($J17="",0,$J17))</f>
        <v/>
      </c>
      <c r="L17" s="22">
        <f>IF(OR($B17="",$K17="",$E17=0,$F17=0),"",$K17/($E17*$F17))</f>
        <v/>
      </c>
      <c r="M17" s="27">
        <f>IF($B17="","",IF($H17="","Open","Closed"))</f>
        <v/>
      </c>
    </row>
    <row r="18">
      <c r="A18" s="23" t="inlineStr">
        <is>
          <t>DHAN-321260820757909</t>
        </is>
      </c>
      <c r="B18" s="23" t="inlineStr">
        <is>
          <t>SOLARA</t>
        </is>
      </c>
      <c r="C18" s="23" t="inlineStr">
        <is>
          <t>LONG</t>
        </is>
      </c>
      <c r="D18" s="24" t="n">
        <v>46254</v>
      </c>
      <c r="E18" s="25" t="n">
        <v>639.9</v>
      </c>
      <c r="F18" s="26" t="n">
        <v>261</v>
      </c>
      <c r="G18" s="24" t="n">
        <v>46255</v>
      </c>
      <c r="H18" s="25" t="n">
        <v>615.2594</v>
      </c>
      <c r="I18" s="21">
        <f>IF(OR($B18="",$H18=""),"",IF($C18="LONG",($H18-$E18)*$F18,($E18-$H18)*$F18))</f>
        <v/>
      </c>
      <c r="J18" s="4" t="n">
        <v>84.42</v>
      </c>
      <c r="K18" s="21">
        <f>IF(OR($B18="",$I18=""),"",$I18-IF($J18="",0,$J18))</f>
        <v/>
      </c>
      <c r="L18" s="22">
        <f>IF(OR($B18="",$K18="",$E18=0,$F18=0),"",$K18/($E18*$F18))</f>
        <v/>
      </c>
      <c r="M18" s="27">
        <f>IF($B18="","",IF($H18="","Open","Closed"))</f>
        <v/>
      </c>
    </row>
    <row r="19">
      <c r="A19" s="23" t="inlineStr">
        <is>
          <t>DHAN-23126082074409</t>
        </is>
      </c>
      <c r="B19" s="23" t="inlineStr">
        <is>
          <t>VERANDA</t>
        </is>
      </c>
      <c r="C19" s="23" t="inlineStr">
        <is>
          <t>LONG</t>
        </is>
      </c>
      <c r="D19" s="24" t="n">
        <v>46254</v>
      </c>
      <c r="E19" s="25" t="n">
        <v>257.6</v>
      </c>
      <c r="F19" s="26" t="n">
        <v>650</v>
      </c>
      <c r="G19" s="24" t="n">
        <v>46255</v>
      </c>
      <c r="H19" s="25" t="n">
        <v>259.5025</v>
      </c>
      <c r="I19" s="21">
        <f>IF(OR($B19="",$H19=""),"",IF($C19="LONG",($H19-$E19)*$F19,($E19-$H19)*$F19))</f>
        <v/>
      </c>
      <c r="J19" s="4" t="n">
        <v>79.34999999999999</v>
      </c>
      <c r="K19" s="21">
        <f>IF(OR($B19="",$I19=""),"",$I19-IF($J19="",0,$J19))</f>
        <v/>
      </c>
      <c r="L19" s="22">
        <f>IF(OR($B19="",$K19="",$E19=0,$F19=0),"",$K19/($E19*$F19))</f>
        <v/>
      </c>
      <c r="M19" s="27">
        <f>IF($B19="","",IF($H19="","Open","Closed"))</f>
        <v/>
      </c>
    </row>
    <row r="20">
      <c r="A20" s="23" t="inlineStr">
        <is>
          <t>DHAN-22126082044909</t>
        </is>
      </c>
      <c r="B20" s="23" t="inlineStr">
        <is>
          <t>ZAGGLE</t>
        </is>
      </c>
      <c r="C20" s="23" t="inlineStr">
        <is>
          <t>SHORT</t>
        </is>
      </c>
      <c r="D20" s="24" t="n">
        <v>46254</v>
      </c>
      <c r="E20" s="25" t="n">
        <v>190.82</v>
      </c>
      <c r="F20" s="26" t="n">
        <v>1609</v>
      </c>
      <c r="G20" s="24" t="n">
        <v>46254</v>
      </c>
      <c r="H20" s="25" t="n">
        <v>197.6402</v>
      </c>
      <c r="I20" s="21">
        <f>IF(OR($B20="",$H20=""),"",IF($C20="LONG",($H20-$E20)*$F20,($E20-$H20)*$F20))</f>
        <v/>
      </c>
      <c r="J20" s="4" t="n">
        <v>0</v>
      </c>
      <c r="K20" s="21">
        <f>IF(OR($B20="",$I20=""),"",$I20-IF($J20="",0,$J20))</f>
        <v/>
      </c>
      <c r="L20" s="22">
        <f>IF(OR($B20="",$K20="",$E20=0,$F20=0),"",$K20/($E20*$F20))</f>
        <v/>
      </c>
      <c r="M20" s="27">
        <f>IF($B20="","",IF($H20="","Open","Closed"))</f>
        <v/>
      </c>
    </row>
    <row r="21">
      <c r="A21" s="23" t="inlineStr">
        <is>
          <t>DHAN-23126082147609</t>
        </is>
      </c>
      <c r="B21" s="23" t="inlineStr">
        <is>
          <t>BANARISUG</t>
        </is>
      </c>
      <c r="C21" s="23" t="inlineStr">
        <is>
          <t>SHORT</t>
        </is>
      </c>
      <c r="D21" s="24" t="n">
        <v>46255</v>
      </c>
      <c r="E21" s="25" t="n">
        <v>4030.5103</v>
      </c>
      <c r="F21" s="26" t="n">
        <v>39</v>
      </c>
      <c r="G21" s="24" t="n">
        <v>46255</v>
      </c>
      <c r="H21" s="25" t="n">
        <v>4029.782</v>
      </c>
      <c r="I21" s="21">
        <f>IF(OR($B21="",$H21=""),"",IF($C21="LONG",($H21-$E21)*$F21,($E21-$H21)*$F21))</f>
        <v/>
      </c>
      <c r="J21" s="4" t="n">
        <v>0</v>
      </c>
      <c r="K21" s="21">
        <f>IF(OR($B21="",$I21=""),"",$I21-IF($J21="",0,$J21))</f>
        <v/>
      </c>
      <c r="L21" s="22">
        <f>IF(OR($B21="",$K21="",$E21=0,$F21=0),"",$K21/($E21*$F21))</f>
        <v/>
      </c>
      <c r="M21" s="27">
        <f>IF($B21="","",IF($H21="","Open","Closed"))</f>
        <v/>
      </c>
    </row>
    <row r="22">
      <c r="A22" s="23" t="inlineStr">
        <is>
          <t>DHAN-34126082146909</t>
        </is>
      </c>
      <c r="B22" s="23" t="inlineStr">
        <is>
          <t>HUBTOWN</t>
        </is>
      </c>
      <c r="C22" s="23" t="inlineStr">
        <is>
          <t>SHORT</t>
        </is>
      </c>
      <c r="D22" s="24" t="n">
        <v>46255</v>
      </c>
      <c r="E22" s="25" t="n">
        <v>197.3558</v>
      </c>
      <c r="F22" s="26" t="n">
        <v>827</v>
      </c>
      <c r="G22" s="24" t="n">
        <v>46255</v>
      </c>
      <c r="H22" s="25" t="n">
        <v>196.7219</v>
      </c>
      <c r="I22" s="21">
        <f>IF(OR($B22="",$H22=""),"",IF($C22="LONG",($H22-$E22)*$F22,($E22-$H22)*$F22))</f>
        <v/>
      </c>
      <c r="J22" s="4" t="n">
        <v>0</v>
      </c>
      <c r="K22" s="21">
        <f>IF(OR($B22="",$I22=""),"",$I22-IF($J22="",0,$J22))</f>
        <v/>
      </c>
      <c r="L22" s="22">
        <f>IF(OR($B22="",$K22="",$E22=0,$F22=0),"",$K22/($E22*$F22))</f>
        <v/>
      </c>
      <c r="M22" s="27">
        <f>IF($B22="","",IF($H22="","Open","Closed"))</f>
        <v/>
      </c>
    </row>
    <row r="23">
      <c r="A23" s="23" t="inlineStr">
        <is>
          <t>DHAN-23126082116409</t>
        </is>
      </c>
      <c r="B23" s="23" t="inlineStr">
        <is>
          <t>KIRIINDUS</t>
        </is>
      </c>
      <c r="C23" s="23" t="inlineStr">
        <is>
          <t>SHORT</t>
        </is>
      </c>
      <c r="D23" s="24" t="n">
        <v>46255</v>
      </c>
      <c r="E23" s="25" t="n">
        <v>462.9753</v>
      </c>
      <c r="F23" s="26" t="n">
        <v>361</v>
      </c>
      <c r="G23" s="24" t="n">
        <v>46255</v>
      </c>
      <c r="H23" s="25" t="n">
        <v>474</v>
      </c>
      <c r="I23" s="21">
        <f>IF(OR($B23="",$H23=""),"",IF($C23="LONG",($H23-$E23)*$F23,($E23-$H23)*$F23))</f>
        <v/>
      </c>
      <c r="J23" s="4" t="n">
        <v>0</v>
      </c>
      <c r="K23" s="21">
        <f>IF(OR($B23="",$I23=""),"",$I23-IF($J23="",0,$J23))</f>
        <v/>
      </c>
      <c r="L23" s="22">
        <f>IF(OR($B23="",$K23="",$E23=0,$F23=0),"",$K23/($E23*$F23))</f>
        <v/>
      </c>
      <c r="M23" s="27">
        <f>IF($B23="","",IF($H23="","Open","Closed"))</f>
        <v/>
      </c>
    </row>
    <row r="24">
      <c r="A24" s="23" t="inlineStr">
        <is>
          <t>DHAN-361260821483209</t>
        </is>
      </c>
      <c r="B24" s="23" t="inlineStr">
        <is>
          <t>KLBRENG-B</t>
        </is>
      </c>
      <c r="C24" s="23" t="inlineStr">
        <is>
          <t>LONG</t>
        </is>
      </c>
      <c r="D24" s="24" t="n">
        <v>46255</v>
      </c>
      <c r="E24" s="25" t="n">
        <v>406</v>
      </c>
      <c r="F24" s="26" t="n">
        <v>950</v>
      </c>
      <c r="G24" s="24" t="n">
        <v>46258</v>
      </c>
      <c r="H24" s="25" t="n">
        <v>389.171</v>
      </c>
      <c r="I24" s="21">
        <f>IF(OR($B24="",$H24=""),"",IF($C24="LONG",($H24-$E24)*$F24,($E24-$H24)*$F24))</f>
        <v/>
      </c>
      <c r="J24" s="4" t="n">
        <v>14.75</v>
      </c>
      <c r="K24" s="21">
        <f>IF(OR($B24="",$I24=""),"",$I24-IF($J24="",0,$J24))</f>
        <v/>
      </c>
      <c r="L24" s="22">
        <f>IF(OR($B24="",$K24="",$E24=0,$F24=0),"",$K24/($E24*$F24))</f>
        <v/>
      </c>
      <c r="M24" s="27">
        <f>IF($B24="","",IF($H24="","Open","Closed"))</f>
        <v/>
      </c>
    </row>
    <row r="25">
      <c r="A25" s="23" t="inlineStr">
        <is>
          <t>DHAN-321260821106109</t>
        </is>
      </c>
      <c r="B25" s="23" t="inlineStr">
        <is>
          <t>MANGLMCEM</t>
        </is>
      </c>
      <c r="C25" s="23" t="inlineStr">
        <is>
          <t>SHORT</t>
        </is>
      </c>
      <c r="D25" s="24" t="n">
        <v>46255</v>
      </c>
      <c r="E25" s="25" t="n">
        <v>988.4104</v>
      </c>
      <c r="F25" s="26" t="n">
        <v>168</v>
      </c>
      <c r="G25" s="24" t="n">
        <v>46255</v>
      </c>
      <c r="H25" s="25" t="n">
        <v>1013.811</v>
      </c>
      <c r="I25" s="21">
        <f>IF(OR($B25="",$H25=""),"",IF($C25="LONG",($H25-$E25)*$F25,($E25-$H25)*$F25))</f>
        <v/>
      </c>
      <c r="J25" s="4" t="n">
        <v>0</v>
      </c>
      <c r="K25" s="21">
        <f>IF(OR($B25="",$I25=""),"",$I25-IF($J25="",0,$J25))</f>
        <v/>
      </c>
      <c r="L25" s="22">
        <f>IF(OR($B25="",$K25="",$E25=0,$F25=0),"",$K25/($E25*$F25))</f>
        <v/>
      </c>
      <c r="M25" s="27">
        <f>IF($B25="","",IF($H25="","Open","Closed"))</f>
        <v/>
      </c>
    </row>
    <row r="26">
      <c r="A26" s="23" t="inlineStr">
        <is>
          <t>DHAN-321260821106709</t>
        </is>
      </c>
      <c r="B26" s="23" t="inlineStr">
        <is>
          <t>NETWORK18</t>
        </is>
      </c>
      <c r="C26" s="23" t="inlineStr">
        <is>
          <t>SHORT</t>
        </is>
      </c>
      <c r="D26" s="24" t="n">
        <v>46255</v>
      </c>
      <c r="E26" s="25" t="n">
        <v>30.5074</v>
      </c>
      <c r="F26" s="26" t="n">
        <v>5468</v>
      </c>
      <c r="G26" s="24" t="n">
        <v>46255</v>
      </c>
      <c r="H26" s="25" t="n">
        <v>29.9088</v>
      </c>
      <c r="I26" s="21">
        <f>IF(OR($B26="",$H26=""),"",IF($C26="LONG",($H26-$E26)*$F26,($E26-$H26)*$F26))</f>
        <v/>
      </c>
      <c r="J26" s="4" t="n">
        <v>0</v>
      </c>
      <c r="K26" s="21">
        <f>IF(OR($B26="",$I26=""),"",$I26-IF($J26="",0,$J26))</f>
        <v/>
      </c>
      <c r="L26" s="22">
        <f>IF(OR($B26="",$K26="",$E26=0,$F26=0),"",$K26/($E26*$F26))</f>
        <v/>
      </c>
      <c r="M26" s="27">
        <f>IF($B26="","",IF($H26="","Open","Closed"))</f>
        <v/>
      </c>
    </row>
    <row r="27">
      <c r="A27" s="23" t="inlineStr">
        <is>
          <t>DHAN-23126082147809</t>
        </is>
      </c>
      <c r="B27" s="23" t="inlineStr">
        <is>
          <t>SOLARA</t>
        </is>
      </c>
      <c r="C27" s="23" t="inlineStr">
        <is>
          <t>SHORT</t>
        </is>
      </c>
      <c r="D27" s="24" t="n">
        <v>46255</v>
      </c>
      <c r="E27" s="25" t="n">
        <v>614.6021</v>
      </c>
      <c r="F27" s="26" t="n">
        <v>261</v>
      </c>
      <c r="G27" s="24" t="n">
        <v>46255</v>
      </c>
      <c r="H27" s="25" t="n">
        <v>614.4914</v>
      </c>
      <c r="I27" s="21">
        <f>IF(OR($B27="",$H27=""),"",IF($C27="LONG",($H27-$E27)*$F27,($E27-$H27)*$F27))</f>
        <v/>
      </c>
      <c r="J27" s="4" t="n">
        <v>0</v>
      </c>
      <c r="K27" s="21">
        <f>IF(OR($B27="",$I27=""),"",$I27-IF($J27="",0,$J27))</f>
        <v/>
      </c>
      <c r="L27" s="22">
        <f>IF(OR($B27="",$K27="",$E27=0,$F27=0),"",$K27/($E27*$F27))</f>
        <v/>
      </c>
      <c r="M27" s="27">
        <f>IF($B27="","",IF($H27="","Open","Closed"))</f>
        <v/>
      </c>
    </row>
    <row r="28">
      <c r="A28" s="23" t="inlineStr">
        <is>
          <t>DHAN-321260821720509</t>
        </is>
      </c>
      <c r="B28" s="23" t="inlineStr">
        <is>
          <t>THOMASCOOK</t>
        </is>
      </c>
      <c r="C28" s="23" t="inlineStr">
        <is>
          <t>LONG</t>
        </is>
      </c>
      <c r="D28" s="24" t="n">
        <v>46255</v>
      </c>
      <c r="E28" s="25" t="n">
        <v>113.4719</v>
      </c>
      <c r="F28" s="26" t="n">
        <v>3301</v>
      </c>
      <c r="G28" s="24" t="n">
        <v>46258</v>
      </c>
      <c r="H28" s="25" t="n">
        <v>115.0974</v>
      </c>
      <c r="I28" s="21">
        <f>IF(OR($B28="",$H28=""),"",IF($C28="LONG",($H28-$E28)*$F28,($E28-$H28)*$F28))</f>
        <v/>
      </c>
      <c r="J28" s="4" t="n">
        <v>295.22</v>
      </c>
      <c r="K28" s="21">
        <f>IF(OR($B28="",$I28=""),"",$I28-IF($J28="",0,$J28))</f>
        <v/>
      </c>
      <c r="L28" s="22">
        <f>IF(OR($B28="",$K28="",$E28=0,$F28=0),"",$K28/($E28*$F28))</f>
        <v/>
      </c>
      <c r="M28" s="27">
        <f>IF($B28="","",IF($H28="","Open","Closed"))</f>
        <v/>
      </c>
    </row>
    <row r="29">
      <c r="A29" s="23" t="inlineStr">
        <is>
          <t>DHAN-34126082115309</t>
        </is>
      </c>
      <c r="B29" s="23" t="inlineStr">
        <is>
          <t>VERANDA</t>
        </is>
      </c>
      <c r="C29" s="23" t="inlineStr">
        <is>
          <t>SHORT</t>
        </is>
      </c>
      <c r="D29" s="24" t="n">
        <v>46255</v>
      </c>
      <c r="E29" s="25" t="n">
        <v>259.503</v>
      </c>
      <c r="F29" s="26" t="n">
        <v>650</v>
      </c>
      <c r="G29" s="24" t="n">
        <v>46255</v>
      </c>
      <c r="H29" s="25" t="n">
        <v>261.6704</v>
      </c>
      <c r="I29" s="21">
        <f>IF(OR($B29="",$H29=""),"",IF($C29="LONG",($H29-$E29)*$F29,($E29-$H29)*$F29))</f>
        <v/>
      </c>
      <c r="J29" s="4" t="n">
        <v>0</v>
      </c>
      <c r="K29" s="21">
        <f>IF(OR($B29="",$I29=""),"",$I29-IF($J29="",0,$J29))</f>
        <v/>
      </c>
      <c r="L29" s="22">
        <f>IF(OR($B29="",$K29="",$E29=0,$F29=0),"",$K29/($E29*$F29))</f>
        <v/>
      </c>
      <c r="M29" s="27">
        <f>IF($B29="","",IF($H29="","Open","Closed"))</f>
        <v/>
      </c>
    </row>
    <row r="30">
      <c r="A30" s="23" t="inlineStr">
        <is>
          <t>DHAN-241260821716609</t>
        </is>
      </c>
      <c r="B30" s="23" t="inlineStr">
        <is>
          <t>WELSPLSOL</t>
        </is>
      </c>
      <c r="C30" s="23" t="inlineStr">
        <is>
          <t>LONG</t>
        </is>
      </c>
      <c r="D30" s="24" t="n">
        <v>46255</v>
      </c>
      <c r="E30" s="25" t="n">
        <v>51.46937</v>
      </c>
      <c r="F30" s="26" t="n">
        <v>7230</v>
      </c>
      <c r="G30" s="24" t="n">
        <v>46258</v>
      </c>
      <c r="H30" s="25" t="n">
        <v>52.017</v>
      </c>
      <c r="I30" s="21">
        <f>IF(OR($B30="",$H30=""),"",IF($C30="LONG",($H30-$E30)*$F30,($E30-$H30)*$F30))</f>
        <v/>
      </c>
      <c r="J30" s="4" t="n">
        <v>14.75</v>
      </c>
      <c r="K30" s="21">
        <f>IF(OR($B30="",$I30=""),"",$I30-IF($J30="",0,$J30))</f>
        <v/>
      </c>
      <c r="L30" s="22">
        <f>IF(OR($B30="",$K30="",$E30=0,$F30=0),"",$K30/($E30*$F30))</f>
        <v/>
      </c>
      <c r="M30" s="27">
        <f>IF($B30="","",IF($H30="","Open","Closed"))</f>
        <v/>
      </c>
    </row>
    <row r="31">
      <c r="A31" s="23" t="inlineStr">
        <is>
          <t>DHAN-221260824719309</t>
        </is>
      </c>
      <c r="B31" s="23" t="inlineStr">
        <is>
          <t>GUJTHEM</t>
        </is>
      </c>
      <c r="C31" s="23" t="inlineStr">
        <is>
          <t>LONG</t>
        </is>
      </c>
      <c r="D31" s="24" t="n">
        <v>46258</v>
      </c>
      <c r="E31" s="25" t="n">
        <v>412.7273</v>
      </c>
      <c r="F31" s="26" t="n">
        <v>405</v>
      </c>
      <c r="G31" s="24" t="n">
        <v>46259</v>
      </c>
      <c r="H31" s="25" t="n">
        <v>412.7043</v>
      </c>
      <c r="I31" s="21">
        <f>IF(OR($B31="",$H31=""),"",IF($C31="LONG",($H31-$E31)*$F31,($E31-$H31)*$F31))</f>
        <v/>
      </c>
      <c r="J31" s="4" t="n">
        <v>84.45</v>
      </c>
      <c r="K31" s="21">
        <f>IF(OR($B31="",$I31=""),"",$I31-IF($J31="",0,$J31))</f>
        <v/>
      </c>
      <c r="L31" s="22">
        <f>IF(OR($B31="",$K31="",$E31=0,$F31=0),"",$K31/($E31*$F31))</f>
        <v/>
      </c>
      <c r="M31" s="27">
        <f>IF($B31="","",IF($H31="","Open","Closed"))</f>
        <v/>
      </c>
    </row>
    <row r="32">
      <c r="A32" s="23" t="inlineStr">
        <is>
          <t>DHAN-321260824740509</t>
        </is>
      </c>
      <c r="B32" s="23" t="inlineStr">
        <is>
          <t>KCP</t>
        </is>
      </c>
      <c r="C32" s="23" t="inlineStr">
        <is>
          <t>LONG</t>
        </is>
      </c>
      <c r="D32" s="24" t="n">
        <v>46258</v>
      </c>
      <c r="E32" s="25" t="n">
        <v>177.3833</v>
      </c>
      <c r="F32" s="26" t="n">
        <v>942</v>
      </c>
      <c r="G32" s="24" t="n">
        <v>46259</v>
      </c>
      <c r="H32" s="25" t="n">
        <v>173.0689</v>
      </c>
      <c r="I32" s="21">
        <f>IF(OR($B32="",$H32=""),"",IF($C32="LONG",($H32-$E32)*$F32,($E32-$H32)*$F32))</f>
        <v/>
      </c>
      <c r="J32" s="4" t="n">
        <v>84.44</v>
      </c>
      <c r="K32" s="21">
        <f>IF(OR($B32="",$I32=""),"",$I32-IF($J32="",0,$J32))</f>
        <v/>
      </c>
      <c r="L32" s="22">
        <f>IF(OR($B32="",$K32="",$E32=0,$F32=0),"",$K32/($E32*$F32))</f>
        <v/>
      </c>
      <c r="M32" s="27">
        <f>IF($B32="","",IF($H32="","Open","Closed"))</f>
        <v/>
      </c>
    </row>
    <row r="33">
      <c r="A33" s="23" t="inlineStr">
        <is>
          <t>DHAN-23126082451109</t>
        </is>
      </c>
      <c r="B33" s="23" t="inlineStr">
        <is>
          <t>KLBRENG-B</t>
        </is>
      </c>
      <c r="C33" s="23" t="inlineStr">
        <is>
          <t>SHORT</t>
        </is>
      </c>
      <c r="D33" s="24" t="n">
        <v>46258</v>
      </c>
      <c r="E33" s="25" t="n">
        <v>389.0013</v>
      </c>
      <c r="F33" s="26" t="n">
        <v>950</v>
      </c>
      <c r="G33" s="24" t="n">
        <v>46258</v>
      </c>
      <c r="H33" s="25" t="n">
        <v>392.9899</v>
      </c>
      <c r="I33" s="21">
        <f>IF(OR($B33="",$H33=""),"",IF($C33="LONG",($H33-$E33)*$F33,($E33-$H33)*$F33))</f>
        <v/>
      </c>
      <c r="J33" s="4" t="n">
        <v>0</v>
      </c>
      <c r="K33" s="21">
        <f>IF(OR($B33="",$I33=""),"",$I33-IF($J33="",0,$J33))</f>
        <v/>
      </c>
      <c r="L33" s="22">
        <f>IF(OR($B33="",$K33="",$E33=0,$F33=0),"",$K33/($E33*$F33))</f>
        <v/>
      </c>
      <c r="M33" s="27">
        <f>IF($B33="","",IF($H33="","Open","Closed"))</f>
        <v/>
      </c>
    </row>
    <row r="34">
      <c r="A34" s="23" t="inlineStr">
        <is>
          <t>DHAN-23126082483409</t>
        </is>
      </c>
      <c r="B34" s="23" t="inlineStr">
        <is>
          <t>OPTIEMUS</t>
        </is>
      </c>
      <c r="C34" s="23" t="inlineStr">
        <is>
          <t>LONG</t>
        </is>
      </c>
      <c r="D34" s="24" t="n">
        <v>46258</v>
      </c>
      <c r="E34" s="25" t="n">
        <v>586</v>
      </c>
      <c r="F34" s="26" t="n">
        <v>284</v>
      </c>
      <c r="G34" s="24" t="n">
        <v>46259</v>
      </c>
      <c r="H34" s="25" t="n">
        <v>587.8211</v>
      </c>
      <c r="I34" s="21">
        <f>IF(OR($B34="",$H34=""),"",IF($C34="LONG",($H34-$E34)*$F34,($E34-$H34)*$F34))</f>
        <v/>
      </c>
      <c r="J34" s="4" t="n">
        <v>84.20999999999999</v>
      </c>
      <c r="K34" s="21">
        <f>IF(OR($B34="",$I34=""),"",$I34-IF($J34="",0,$J34))</f>
        <v/>
      </c>
      <c r="L34" s="22">
        <f>IF(OR($B34="",$K34="",$E34=0,$F34=0),"",$K34/($E34*$F34))</f>
        <v/>
      </c>
      <c r="M34" s="27">
        <f>IF($B34="","",IF($H34="","Open","Closed"))</f>
        <v/>
      </c>
    </row>
    <row r="35">
      <c r="A35" s="23" t="inlineStr">
        <is>
          <t>DHAN-23126082483509</t>
        </is>
      </c>
      <c r="B35" s="23" t="inlineStr">
        <is>
          <t>QUADFUTURE</t>
        </is>
      </c>
      <c r="C35" s="23" t="inlineStr">
        <is>
          <t>LONG</t>
        </is>
      </c>
      <c r="D35" s="24" t="n">
        <v>46258</v>
      </c>
      <c r="E35" s="25" t="n">
        <v>443.9459</v>
      </c>
      <c r="F35" s="26" t="n">
        <v>375</v>
      </c>
      <c r="G35" s="24" t="n">
        <v>46259</v>
      </c>
      <c r="H35" s="25" t="n">
        <v>424.3155</v>
      </c>
      <c r="I35" s="21">
        <f>IF(OR($B35="",$H35=""),"",IF($C35="LONG",($H35-$E35)*$F35,($E35-$H35)*$F35))</f>
        <v/>
      </c>
      <c r="J35" s="4" t="n">
        <v>83.05</v>
      </c>
      <c r="K35" s="21">
        <f>IF(OR($B35="",$I35=""),"",$I35-IF($J35="",0,$J35))</f>
        <v/>
      </c>
      <c r="L35" s="22">
        <f>IF(OR($B35="",$K35="",$E35=0,$F35=0),"",$K35/($E35*$F35))</f>
        <v/>
      </c>
      <c r="M35" s="27">
        <f>IF($B35="","",IF($H35="","Open","Closed"))</f>
        <v/>
      </c>
    </row>
    <row r="36">
      <c r="A36" s="23" t="inlineStr">
        <is>
          <t>DHAN-34126082414109</t>
        </is>
      </c>
      <c r="B36" s="23" t="inlineStr">
        <is>
          <t>THOMASCOOK</t>
        </is>
      </c>
      <c r="C36" s="23" t="inlineStr">
        <is>
          <t>SHORT</t>
        </is>
      </c>
      <c r="D36" s="24" t="n">
        <v>46258</v>
      </c>
      <c r="E36" s="25" t="n">
        <v>115.202</v>
      </c>
      <c r="F36" s="26" t="n">
        <v>3301</v>
      </c>
      <c r="G36" s="24" t="n">
        <v>46258</v>
      </c>
      <c r="H36" s="25" t="n">
        <v>113.5099</v>
      </c>
      <c r="I36" s="21">
        <f>IF(OR($B36="",$H36=""),"",IF($C36="LONG",($H36-$E36)*$F36,($E36-$H36)*$F36))</f>
        <v/>
      </c>
      <c r="J36" s="4" t="n">
        <v>0</v>
      </c>
      <c r="K36" s="21">
        <f>IF(OR($B36="",$I36=""),"",$I36-IF($J36="",0,$J36))</f>
        <v/>
      </c>
      <c r="L36" s="22">
        <f>IF(OR($B36="",$K36="",$E36=0,$F36=0),"",$K36/($E36*$F36))</f>
        <v/>
      </c>
      <c r="M36" s="27">
        <f>IF($B36="","",IF($H36="","Open","Closed"))</f>
        <v/>
      </c>
    </row>
    <row r="37">
      <c r="A37" s="23" t="inlineStr">
        <is>
          <t>DHAN-34126082414209</t>
        </is>
      </c>
      <c r="B37" s="23" t="inlineStr">
        <is>
          <t>WELSPLSOL</t>
        </is>
      </c>
      <c r="C37" s="23" t="inlineStr">
        <is>
          <t>SHORT</t>
        </is>
      </c>
      <c r="D37" s="24" t="n">
        <v>46258</v>
      </c>
      <c r="E37" s="25" t="n">
        <v>51.8309</v>
      </c>
      <c r="F37" s="26" t="n">
        <v>7230</v>
      </c>
      <c r="G37" s="24" t="n">
        <v>46258</v>
      </c>
      <c r="H37" s="25" t="n">
        <v>51.2492</v>
      </c>
      <c r="I37" s="21">
        <f>IF(OR($B37="",$H37=""),"",IF($C37="LONG",($H37-$E37)*$F37,($E37-$H37)*$F37))</f>
        <v/>
      </c>
      <c r="J37" s="4" t="n">
        <v>0</v>
      </c>
      <c r="K37" s="21">
        <f>IF(OR($B37="",$I37=""),"",$I37-IF($J37="",0,$J37))</f>
        <v/>
      </c>
      <c r="L37" s="22">
        <f>IF(OR($B37="",$K37="",$E37=0,$F37=0),"",$K37/($E37*$F37))</f>
        <v/>
      </c>
      <c r="M37" s="27">
        <f>IF($B37="","",IF($H37="","Open","Closed"))</f>
        <v/>
      </c>
    </row>
    <row r="38">
      <c r="A38" s="23" t="inlineStr">
        <is>
          <t>DHAN-23126082553409</t>
        </is>
      </c>
      <c r="B38" s="23" t="inlineStr">
        <is>
          <t>GUJTHEM</t>
        </is>
      </c>
      <c r="C38" s="23" t="inlineStr">
        <is>
          <t>SHORT</t>
        </is>
      </c>
      <c r="D38" s="24" t="n">
        <v>46259</v>
      </c>
      <c r="E38" s="25" t="n">
        <v>412.5647</v>
      </c>
      <c r="F38" s="26" t="n">
        <v>405</v>
      </c>
      <c r="G38" s="24" t="n">
        <v>46259</v>
      </c>
      <c r="H38" s="25" t="n">
        <v>404.7939</v>
      </c>
      <c r="I38" s="21">
        <f>IF(OR($B38="",$H38=""),"",IF($C38="LONG",($H38-$E38)*$F38,($E38-$H38)*$F38))</f>
        <v/>
      </c>
      <c r="J38" s="4" t="n">
        <v>0</v>
      </c>
      <c r="K38" s="21">
        <f>IF(OR($B38="",$I38=""),"",$I38-IF($J38="",0,$J38))</f>
        <v/>
      </c>
      <c r="L38" s="22">
        <f>IF(OR($B38="",$K38="",$E38=0,$F38=0),"",$K38/($E38*$F38))</f>
        <v/>
      </c>
      <c r="M38" s="27">
        <f>IF($B38="","",IF($H38="","Open","Closed"))</f>
        <v/>
      </c>
    </row>
    <row r="39">
      <c r="A39" s="23" t="inlineStr">
        <is>
          <t>DHAN-221260825378209</t>
        </is>
      </c>
      <c r="B39" s="23" t="inlineStr">
        <is>
          <t>KCP</t>
        </is>
      </c>
      <c r="C39" s="23" t="inlineStr">
        <is>
          <t>SHORT</t>
        </is>
      </c>
      <c r="D39" s="24" t="n">
        <v>46259</v>
      </c>
      <c r="E39" s="25" t="n">
        <v>173.0006</v>
      </c>
      <c r="F39" s="26" t="n">
        <v>942</v>
      </c>
      <c r="G39" s="24" t="n">
        <v>46259</v>
      </c>
      <c r="H39" s="25" t="n">
        <v>177.3819</v>
      </c>
      <c r="I39" s="21">
        <f>IF(OR($B39="",$H39=""),"",IF($C39="LONG",($H39-$E39)*$F39,($E39-$H39)*$F39))</f>
        <v/>
      </c>
      <c r="J39" s="4" t="n">
        <v>0</v>
      </c>
      <c r="K39" s="21">
        <f>IF(OR($B39="",$I39=""),"",$I39-IF($J39="",0,$J39))</f>
        <v/>
      </c>
      <c r="L39" s="22">
        <f>IF(OR($B39="",$K39="",$E39=0,$F39=0),"",$K39/($E39*$F39))</f>
        <v/>
      </c>
      <c r="M39" s="27">
        <f>IF($B39="","",IF($H39="","Open","Closed"))</f>
        <v/>
      </c>
    </row>
    <row r="40">
      <c r="A40" s="23" t="inlineStr">
        <is>
          <t>DHAN-321260825110209</t>
        </is>
      </c>
      <c r="B40" s="23" t="inlineStr">
        <is>
          <t>OPTIEMUS</t>
        </is>
      </c>
      <c r="C40" s="23" t="inlineStr">
        <is>
          <t>SHORT</t>
        </is>
      </c>
      <c r="D40" s="24" t="n">
        <v>46259</v>
      </c>
      <c r="E40" s="25" t="n">
        <v>587.5364</v>
      </c>
      <c r="F40" s="26" t="n">
        <v>284</v>
      </c>
      <c r="G40" s="24" t="n">
        <v>46259</v>
      </c>
      <c r="H40" s="25" t="n">
        <v>595.4639</v>
      </c>
      <c r="I40" s="21">
        <f>IF(OR($B40="",$H40=""),"",IF($C40="LONG",($H40-$E40)*$F40,($E40-$H40)*$F40))</f>
        <v/>
      </c>
      <c r="J40" s="4" t="n">
        <v>0</v>
      </c>
      <c r="K40" s="21">
        <f>IF(OR($B40="",$I40=""),"",$I40-IF($J40="",0,$J40))</f>
        <v/>
      </c>
      <c r="L40" s="22">
        <f>IF(OR($B40="",$K40="",$E40=0,$F40=0),"",$K40/($E40*$F40))</f>
        <v/>
      </c>
      <c r="M40" s="27">
        <f>IF($B40="","",IF($H40="","Open","Closed"))</f>
        <v/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25" t="n">
        <v>424.2342</v>
      </c>
      <c r="F41" s="26" t="n">
        <v>375</v>
      </c>
      <c r="G41" s="24" t="n">
        <v>46259</v>
      </c>
      <c r="H41" s="25" t="n">
        <v>419.3061</v>
      </c>
      <c r="I41" s="21">
        <f>IF(OR($B41="",$H41=""),"",IF($C41="LONG",($H41-$E41)*$F41,($E41-$H41)*$F41))</f>
        <v/>
      </c>
      <c r="J41" s="4" t="n">
        <v>0</v>
      </c>
      <c r="K41" s="21">
        <f>IF(OR($B41="",$I41=""),"",$I41-IF($J41="",0,$J41))</f>
        <v/>
      </c>
      <c r="L41" s="22">
        <f>IF(OR($B41="",$K41="",$E41=0,$F41=0),"",$K41/($E41*$F41))</f>
        <v/>
      </c>
      <c r="M41" s="27">
        <f>IF($B41="","",IF($H41="","Open","Closed"))</f>
        <v/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46261</v>
      </c>
      <c r="E42" s="25" t="n">
        <v>116.9946</v>
      </c>
      <c r="F42" s="26" t="n">
        <v>2991</v>
      </c>
      <c r="G42" s="24" t="n">
        <v>46262</v>
      </c>
      <c r="H42" s="25" t="n">
        <v>117.67849</v>
      </c>
      <c r="I42" s="21">
        <f>IF(OR($B42="",$H42=""),"",IF($C42="LONG",($H42-$E42)*$F42,($E42-$H42)*$F42))</f>
        <v/>
      </c>
      <c r="J42" s="4" t="n">
        <v>121.96</v>
      </c>
      <c r="K42" s="21">
        <f>IF(OR($B42="",$I42=""),"",$I42-IF($J42="",0,$J42))</f>
        <v/>
      </c>
      <c r="L42" s="22">
        <f>IF(OR($B42="",$K42="",$E42=0,$F42=0),"",$K42/($E42*$F42))</f>
        <v/>
      </c>
      <c r="M42" s="27">
        <f>IF($B42="","",IF($H42="","Open","Closed"))</f>
        <v/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46261</v>
      </c>
      <c r="E43" s="25" t="n">
        <v>139.6491</v>
      </c>
      <c r="F43" s="26" t="n">
        <v>2508</v>
      </c>
      <c r="G43" s="24" t="n">
        <v>46262</v>
      </c>
      <c r="H43" s="25" t="n">
        <v>138.89584</v>
      </c>
      <c r="I43" s="21">
        <f>IF(OR($B43="",$H43=""),"",IF($C43="LONG",($H43-$E43)*$F43,($E43-$H43)*$F43))</f>
        <v/>
      </c>
      <c r="J43" s="4" t="n">
        <v>110.04</v>
      </c>
      <c r="K43" s="21">
        <f>IF(OR($B43="",$I43=""),"",$I43-IF($J43="",0,$J43))</f>
        <v/>
      </c>
      <c r="L43" s="22">
        <f>IF(OR($B43="",$K43="",$E43=0,$F43=0),"",$K43/($E43*$F43))</f>
        <v/>
      </c>
      <c r="M43" s="27">
        <f>IF($B43="","",IF($H43="","Open","Closed"))</f>
        <v/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46261</v>
      </c>
      <c r="E44" s="25" t="n">
        <v>572.3033</v>
      </c>
      <c r="F44" s="26" t="n">
        <v>614</v>
      </c>
      <c r="G44" s="24" t="n">
        <v>46262</v>
      </c>
      <c r="H44" s="25" t="n">
        <v>592.9806</v>
      </c>
      <c r="I44" s="21">
        <f>IF(OR($B44="",$H44=""),"",IF($C44="LONG",($H44-$E44)*$F44,($E44-$H44)*$F44))</f>
        <v/>
      </c>
      <c r="J44" s="4" t="n">
        <v>122.26</v>
      </c>
      <c r="K44" s="21">
        <f>IF(OR($B44="",$I44=""),"",$I44-IF($J44="",0,$J44))</f>
        <v/>
      </c>
      <c r="L44" s="22">
        <f>IF(OR($B44="",$K44="",$E44=0,$F44=0),"",$K44/($E44*$F44))</f>
        <v/>
      </c>
      <c r="M44" s="27">
        <f>IF($B44="","",IF($H44="","Open","Closed"))</f>
        <v/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46262</v>
      </c>
      <c r="E45" s="25" t="n">
        <v>603.0422</v>
      </c>
      <c r="F45" s="26" t="n">
        <v>464</v>
      </c>
      <c r="G45" s="24" t="n">
        <v>46265</v>
      </c>
      <c r="H45" s="25" t="n">
        <v>625.1997</v>
      </c>
      <c r="I45" s="21">
        <f>IF(OR($B45="",$H45=""),"",IF($C45="LONG",($H45-$E45)*$F45,($E45-$H45)*$F45))</f>
        <v/>
      </c>
      <c r="J45" s="4" t="n">
        <v>222.4</v>
      </c>
      <c r="K45" s="21">
        <f>IF(OR($B45="",$I45=""),"",$I45-IF($J45="",0,$J45))</f>
        <v/>
      </c>
      <c r="L45" s="22">
        <f>IF(OR($B45="",$K45="",$E45=0,$F45=0),"",$K45/($E45*$F45))</f>
        <v/>
      </c>
      <c r="M45" s="27">
        <f>IF($B45="","",IF($H45="","Open","Closed"))</f>
        <v/>
      </c>
    </row>
    <row r="46">
      <c r="A46" s="23" t="inlineStr">
        <is>
          <t>DHAN-2312608281035809</t>
        </is>
      </c>
      <c r="B46" s="23" t="inlineStr">
        <is>
          <t>JGCHEM</t>
        </is>
      </c>
      <c r="C46" s="23" t="inlineStr">
        <is>
          <t>LONG</t>
        </is>
      </c>
      <c r="D46" s="24" t="n">
        <v>46262</v>
      </c>
      <c r="E46" s="25" t="n">
        <v>655.6077</v>
      </c>
      <c r="F46" s="26" t="n">
        <v>428</v>
      </c>
      <c r="G46" s="24" t="n">
        <v>46265</v>
      </c>
      <c r="H46" s="25" t="n">
        <v>650.2959</v>
      </c>
      <c r="I46" s="21">
        <f>IF(OR($B46="",$H46=""),"",IF($C46="LONG",($H46-$E46)*$F46,($E46-$H46)*$F46))</f>
        <v/>
      </c>
      <c r="J46" s="4" t="n">
        <v>222.89</v>
      </c>
      <c r="K46" s="21">
        <f>IF(OR($B46="",$I46=""),"",$I46-IF($J46="",0,$J46))</f>
        <v/>
      </c>
      <c r="L46" s="22">
        <f>IF(OR($B46="",$K46="",$E46=0,$F46=0),"",$K46/($E46*$F46))</f>
        <v/>
      </c>
      <c r="M46" s="27">
        <f>IF($B46="","",IF($H46="","Open","Closed"))</f>
        <v/>
      </c>
    </row>
    <row r="47">
      <c r="A47" s="23" t="inlineStr">
        <is>
          <t>DHAN-2312608281035709</t>
        </is>
      </c>
      <c r="B47" s="23" t="inlineStr">
        <is>
          <t>MASTEK</t>
        </is>
      </c>
      <c r="C47" s="23" t="inlineStr">
        <is>
          <t>LONG</t>
        </is>
      </c>
      <c r="D47" s="24" t="n">
        <v>46262</v>
      </c>
      <c r="E47" s="25" t="n">
        <v>1908.9741</v>
      </c>
      <c r="F47" s="26" t="n">
        <v>147</v>
      </c>
      <c r="G47" s="24" t="n">
        <v>46265</v>
      </c>
      <c r="H47" s="25" t="n">
        <v>1777.534</v>
      </c>
      <c r="I47" s="21">
        <f>IF(OR($B47="",$H47=""),"",IF($C47="LONG",($H47-$E47)*$F47,($E47-$H47)*$F47))</f>
        <v/>
      </c>
      <c r="J47" s="4" t="n">
        <v>237.84</v>
      </c>
      <c r="K47" s="21">
        <f>IF(OR($B47="",$I47=""),"",$I47-IF($J47="",0,$J47))</f>
        <v/>
      </c>
      <c r="L47" s="22">
        <f>IF(OR($B47="",$K47="",$E47=0,$F47=0),"",$K47/($E47*$F47))</f>
        <v/>
      </c>
      <c r="M47" s="27">
        <f>IF($B47="","",IF($H47="","Open","Closed"))</f>
        <v/>
      </c>
    </row>
    <row r="48">
      <c r="A48" s="23" t="inlineStr">
        <is>
          <t>DHAN-2212608281405909</t>
        </is>
      </c>
      <c r="B48" s="23" t="inlineStr">
        <is>
          <t>OMAXE</t>
        </is>
      </c>
      <c r="C48" s="23" t="inlineStr">
        <is>
          <t>LONG</t>
        </is>
      </c>
      <c r="D48" s="24" t="n">
        <v>46262</v>
      </c>
      <c r="E48" s="25" t="n">
        <v>130.8863</v>
      </c>
      <c r="F48" s="26" t="n">
        <v>2161</v>
      </c>
      <c r="G48" s="24" t="n">
        <v>46265</v>
      </c>
      <c r="H48" s="25" t="n">
        <v>130.9149</v>
      </c>
      <c r="I48" s="21">
        <f>IF(OR($B48="",$H48=""),"",IF($C48="LONG",($H48-$E48)*$F48,($E48-$H48)*$F48))</f>
        <v/>
      </c>
      <c r="J48" s="4" t="n">
        <v>222.06</v>
      </c>
      <c r="K48" s="21">
        <f>IF(OR($B48="",$I48=""),"",$I48-IF($J48="",0,$J48))</f>
        <v/>
      </c>
      <c r="L48" s="22">
        <f>IF(OR($B48="",$K48="",$E48=0,$F48=0),"",$K48/($E48*$F48))</f>
        <v/>
      </c>
      <c r="M48" s="27">
        <f>IF($B48="","",IF($H48="","Open","Closed"))</f>
        <v/>
      </c>
    </row>
    <row r="49">
      <c r="A49" s="23" t="inlineStr">
        <is>
          <t>DHAN-2312608281035909</t>
        </is>
      </c>
      <c r="B49" s="23" t="inlineStr">
        <is>
          <t>SYNCOMF</t>
        </is>
      </c>
      <c r="C49" s="23" t="inlineStr">
        <is>
          <t>LONG</t>
        </is>
      </c>
      <c r="D49" s="24" t="n">
        <v>46262</v>
      </c>
      <c r="E49" s="25" t="n">
        <v>19.4799</v>
      </c>
      <c r="F49" s="26" t="n">
        <v>14462</v>
      </c>
      <c r="G49" s="24" t="n">
        <v>46265</v>
      </c>
      <c r="H49" s="25" t="n">
        <v>19.6094</v>
      </c>
      <c r="I49" s="21">
        <f>IF(OR($B49="",$H49=""),"",IF($C49="LONG",($H49-$E49)*$F49,($E49-$H49)*$F49))</f>
        <v/>
      </c>
      <c r="J49" s="4" t="n">
        <v>154.21</v>
      </c>
      <c r="K49" s="21">
        <f>IF(OR($B49="",$I49=""),"",$I49-IF($J49="",0,$J49))</f>
        <v/>
      </c>
      <c r="L49" s="22">
        <f>IF(OR($B49="",$K49="",$E49=0,$F49=0),"",$K49/($E49*$F49))</f>
        <v/>
      </c>
      <c r="M49" s="27">
        <f>IF($B49="","",IF($H49="","Open","Closed"))</f>
        <v/>
      </c>
    </row>
    <row r="50">
      <c r="A50" s="23" t="inlineStr">
        <is>
          <t>DHAN-231260831122409</t>
        </is>
      </c>
      <c r="B50" s="23" t="inlineStr">
        <is>
          <t>ASHOKA</t>
        </is>
      </c>
      <c r="C50" s="23" t="inlineStr">
        <is>
          <t>LONG</t>
        </is>
      </c>
      <c r="D50" s="24" t="n">
        <v>46265</v>
      </c>
      <c r="E50" s="25" t="n">
        <v>120.2727</v>
      </c>
      <c r="F50" s="26" t="n">
        <v>2933</v>
      </c>
      <c r="G50" s="24" t="n">
        <v>46266</v>
      </c>
      <c r="H50" s="25" t="n">
        <v>121.8089</v>
      </c>
      <c r="I50" s="21">
        <f>IF(OR($B50="",$H50=""),"",IF($C50="LONG",($H50-$E50)*$F50,($E50-$H50)*$F50))</f>
        <v/>
      </c>
      <c r="J50" s="4" t="n">
        <v>130.61</v>
      </c>
      <c r="K50" s="21">
        <f>IF(OR($B50="",$I50=""),"",$I50-IF($J50="",0,$J50))</f>
        <v/>
      </c>
      <c r="L50" s="22">
        <f>IF(OR($B50="",$K50="",$E50=0,$F50=0),"",$K50/($E50*$F50))</f>
        <v/>
      </c>
      <c r="M50" s="27">
        <f>IF($B50="","",IF($H50="","Open","Closed"))</f>
        <v/>
      </c>
    </row>
    <row r="51">
      <c r="A51" s="23" t="inlineStr">
        <is>
          <t>DHAN-221260831109609</t>
        </is>
      </c>
      <c r="B51" s="23" t="inlineStr">
        <is>
          <t>FMGOETZE</t>
        </is>
      </c>
      <c r="C51" s="23" t="inlineStr">
        <is>
          <t>SHORT</t>
        </is>
      </c>
      <c r="D51" s="24" t="n">
        <v>46265</v>
      </c>
      <c r="E51" s="25" t="n">
        <v>625.4782</v>
      </c>
      <c r="F51" s="26" t="n">
        <v>464</v>
      </c>
      <c r="G51" s="24" t="n">
        <v>46265</v>
      </c>
      <c r="H51" s="25" t="n">
        <v>620</v>
      </c>
      <c r="I51" s="21">
        <f>IF(OR($B51="",$H51=""),"",IF($C51="LONG",($H51-$E51)*$F51,($E51-$H51)*$F51))</f>
        <v/>
      </c>
      <c r="J51" s="4" t="n">
        <v>0</v>
      </c>
      <c r="K51" s="21">
        <f>IF(OR($B51="",$I51=""),"",$I51-IF($J51="",0,$J51))</f>
        <v/>
      </c>
      <c r="L51" s="22">
        <f>IF(OR($B51="",$K51="",$E51=0,$F51=0),"",$K51/($E51*$F51))</f>
        <v/>
      </c>
      <c r="M51" s="27">
        <f>IF($B51="","",IF($H51="","Open","Closed"))</f>
        <v/>
      </c>
    </row>
    <row r="52">
      <c r="A52" s="23" t="inlineStr">
        <is>
          <t>DHAN-321260831423609</t>
        </is>
      </c>
      <c r="B52" s="23" t="inlineStr">
        <is>
          <t>JGCHEM</t>
        </is>
      </c>
      <c r="C52" s="23" t="inlineStr">
        <is>
          <t>SHORT</t>
        </is>
      </c>
      <c r="D52" s="24" t="n">
        <v>46265</v>
      </c>
      <c r="E52" s="25" t="n">
        <v>648.4623</v>
      </c>
      <c r="F52" s="26" t="n">
        <v>428</v>
      </c>
      <c r="G52" s="24" t="n">
        <v>46265</v>
      </c>
      <c r="H52" s="25" t="n">
        <v>638.2939</v>
      </c>
      <c r="I52" s="21">
        <f>IF(OR($B52="",$H52=""),"",IF($C52="LONG",($H52-$E52)*$F52,($E52-$H52)*$F52))</f>
        <v/>
      </c>
      <c r="J52" s="4" t="n">
        <v>0</v>
      </c>
      <c r="K52" s="21">
        <f>IF(OR($B52="",$I52=""),"",$I52-IF($J52="",0,$J52))</f>
        <v/>
      </c>
      <c r="L52" s="22">
        <f>IF(OR($B52="",$K52="",$E52=0,$F52=0),"",$K52/($E52*$F52))</f>
        <v/>
      </c>
      <c r="M52" s="27">
        <f>IF($B52="","",IF($H52="","Open","Closed"))</f>
        <v/>
      </c>
    </row>
    <row r="53">
      <c r="A53" s="23" t="inlineStr">
        <is>
          <t>DHAN-23126083156509</t>
        </is>
      </c>
      <c r="B53" s="23" t="inlineStr">
        <is>
          <t>MASTEK</t>
        </is>
      </c>
      <c r="C53" s="23" t="inlineStr">
        <is>
          <t>SHORT</t>
        </is>
      </c>
      <c r="D53" s="24" t="n">
        <v>46265</v>
      </c>
      <c r="E53" s="25" t="n">
        <v>1777.6041</v>
      </c>
      <c r="F53" s="26" t="n">
        <v>147</v>
      </c>
      <c r="G53" s="24" t="n">
        <v>46265</v>
      </c>
      <c r="H53" s="25" t="n">
        <v>1777.866</v>
      </c>
      <c r="I53" s="21">
        <f>IF(OR($B53="",$H53=""),"",IF($C53="LONG",($H53-$E53)*$F53,($E53-$H53)*$F53))</f>
        <v/>
      </c>
      <c r="J53" s="4" t="n">
        <v>0</v>
      </c>
      <c r="K53" s="21">
        <f>IF(OR($B53="",$I53=""),"",$I53-IF($J53="",0,$J53))</f>
        <v/>
      </c>
      <c r="L53" s="22">
        <f>IF(OR($B53="",$K53="",$E53=0,$F53=0),"",$K53/($E53*$F53))</f>
        <v/>
      </c>
      <c r="M53" s="27">
        <f>IF($B53="","",IF($H53="","Open","Closed"))</f>
        <v/>
      </c>
    </row>
    <row r="54">
      <c r="A54" s="23" t="inlineStr">
        <is>
          <t>DHAN-231260831122309</t>
        </is>
      </c>
      <c r="B54" s="23" t="inlineStr">
        <is>
          <t>NORTHARC</t>
        </is>
      </c>
      <c r="C54" s="23" t="inlineStr">
        <is>
          <t>LONG</t>
        </is>
      </c>
      <c r="D54" s="24" t="n">
        <v>46265</v>
      </c>
      <c r="E54" s="25" t="n">
        <v>310.5</v>
      </c>
      <c r="F54" s="26" t="n">
        <v>1117</v>
      </c>
      <c r="G54" s="24" t="n">
        <v>46266</v>
      </c>
      <c r="H54" s="25" t="n">
        <v>303.0902</v>
      </c>
      <c r="I54" s="21">
        <f>IF(OR($B54="",$H54=""),"",IF($C54="LONG",($H54-$E54)*$F54,($E54-$H54)*$F54))</f>
        <v/>
      </c>
      <c r="J54" s="4" t="n">
        <v>129.27</v>
      </c>
      <c r="K54" s="21">
        <f>IF(OR($B54="",$I54=""),"",$I54-IF($J54="",0,$J54))</f>
        <v/>
      </c>
      <c r="L54" s="22">
        <f>IF(OR($B54="",$K54="",$E54=0,$F54=0),"",$K54/($E54*$F54))</f>
        <v/>
      </c>
      <c r="M54" s="27">
        <f>IF($B54="","",IF($H54="","Open","Closed"))</f>
        <v/>
      </c>
    </row>
    <row r="55">
      <c r="A55" s="23" t="inlineStr">
        <is>
          <t>DHAN-23126083118409</t>
        </is>
      </c>
      <c r="B55" s="23" t="inlineStr">
        <is>
          <t>OMAXE</t>
        </is>
      </c>
      <c r="C55" s="23" t="inlineStr">
        <is>
          <t>SHORT</t>
        </is>
      </c>
      <c r="D55" s="24" t="n">
        <v>46265</v>
      </c>
      <c r="E55" s="25" t="n">
        <v>130.7703</v>
      </c>
      <c r="F55" s="26" t="n">
        <v>2161</v>
      </c>
      <c r="G55" s="24" t="n">
        <v>46265</v>
      </c>
      <c r="H55" s="25" t="n">
        <v>126.3456</v>
      </c>
      <c r="I55" s="21">
        <f>IF(OR($B55="",$H55=""),"",IF($C55="LONG",($H55-$E55)*$F55,($E55-$H55)*$F55))</f>
        <v/>
      </c>
      <c r="J55" s="4" t="n">
        <v>0</v>
      </c>
      <c r="K55" s="21">
        <f>IF(OR($B55="",$I55=""),"",$I55-IF($J55="",0,$J55))</f>
        <v/>
      </c>
      <c r="L55" s="22">
        <f>IF(OR($B55="",$K55="",$E55=0,$F55=0),"",$K55/($E55*$F55))</f>
        <v/>
      </c>
      <c r="M55" s="27">
        <f>IF($B55="","",IF($H55="","Open","Closed"))</f>
        <v/>
      </c>
    </row>
    <row r="56">
      <c r="A56" s="23" t="inlineStr">
        <is>
          <t>DHAN-321260831104409</t>
        </is>
      </c>
      <c r="B56" s="23" t="inlineStr">
        <is>
          <t>SYNCOMF</t>
        </is>
      </c>
      <c r="C56" s="23" t="inlineStr">
        <is>
          <t>SHORT</t>
        </is>
      </c>
      <c r="D56" s="24" t="n">
        <v>46265</v>
      </c>
      <c r="E56" s="25" t="n">
        <v>19.6247</v>
      </c>
      <c r="F56" s="26" t="n">
        <v>14462</v>
      </c>
      <c r="G56" s="24" t="n">
        <v>46265</v>
      </c>
      <c r="H56" s="25" t="n">
        <v>19.5263</v>
      </c>
      <c r="I56" s="21">
        <f>IF(OR($B56="",$H56=""),"",IF($C56="LONG",($H56-$E56)*$F56,($E56-$H56)*$F56))</f>
        <v/>
      </c>
      <c r="J56" s="4" t="n">
        <v>0</v>
      </c>
      <c r="K56" s="21">
        <f>IF(OR($B56="",$I56=""),"",$I56-IF($J56="",0,$J56))</f>
        <v/>
      </c>
      <c r="L56" s="22">
        <f>IF(OR($B56="",$K56="",$E56=0,$F56=0),"",$K56/($E56*$F56))</f>
        <v/>
      </c>
      <c r="M56" s="27">
        <f>IF($B56="","",IF($H56="","Open","Closed"))</f>
        <v/>
      </c>
    </row>
    <row r="57">
      <c r="A57" s="23" t="inlineStr">
        <is>
          <t>DHAN-321260831702509</t>
        </is>
      </c>
      <c r="B57" s="23" t="inlineStr">
        <is>
          <t>VENKEYS</t>
        </is>
      </c>
      <c r="C57" s="23" t="inlineStr">
        <is>
          <t>LONG</t>
        </is>
      </c>
      <c r="D57" s="24" t="n">
        <v>46265</v>
      </c>
      <c r="E57" s="25" t="n">
        <v>1702.7395</v>
      </c>
      <c r="F57" s="26" t="n">
        <v>205</v>
      </c>
      <c r="G57" s="24" t="n">
        <v>46266</v>
      </c>
      <c r="H57" s="25" t="n">
        <v>1666.1965</v>
      </c>
      <c r="I57" s="21">
        <f>IF(OR($B57="",$H57=""),"",IF($C57="LONG",($H57-$E57)*$F57,($E57-$H57)*$F57))</f>
        <v/>
      </c>
      <c r="J57" s="4" t="n">
        <v>121.78</v>
      </c>
      <c r="K57" s="21">
        <f>IF(OR($B57="",$I57=""),"",$I57-IF($J57="",0,$J57))</f>
        <v/>
      </c>
      <c r="L57" s="22">
        <f>IF(OR($B57="",$K57="",$E57=0,$F57=0),"",$K57/($E57*$F57))</f>
        <v/>
      </c>
      <c r="M57" s="27">
        <f>IF($B57="","",IF($H57="","Open","Closed"))</f>
        <v/>
      </c>
    </row>
    <row r="58">
      <c r="A58" s="23" t="inlineStr">
        <is>
          <t>DHAN-22126090197109</t>
        </is>
      </c>
      <c r="B58" s="23" t="inlineStr">
        <is>
          <t>ASHOKA</t>
        </is>
      </c>
      <c r="C58" s="23" t="inlineStr">
        <is>
          <t>SHORT</t>
        </is>
      </c>
      <c r="D58" s="24" t="n">
        <v>46266</v>
      </c>
      <c r="E58" s="25" t="n">
        <v>121.775</v>
      </c>
      <c r="F58" s="26" t="n">
        <v>2933</v>
      </c>
      <c r="G58" s="24" t="n">
        <v>46266</v>
      </c>
      <c r="H58" s="25" t="n">
        <v>122.25</v>
      </c>
      <c r="I58" s="21">
        <f>IF(OR($B58="",$H58=""),"",IF($C58="LONG",($H58-$E58)*$F58,($E58-$H58)*$F58))</f>
        <v/>
      </c>
      <c r="J58" s="4" t="n">
        <v>0</v>
      </c>
      <c r="K58" s="21">
        <f>IF(OR($B58="",$I58=""),"",$I58-IF($J58="",0,$J58))</f>
        <v/>
      </c>
      <c r="L58" s="22">
        <f>IF(OR($B58="",$K58="",$E58=0,$F58=0),"",$K58/($E58*$F58))</f>
        <v/>
      </c>
      <c r="M58" s="27">
        <f>IF($B58="","",IF($H58="","Open","Closed"))</f>
        <v/>
      </c>
    </row>
    <row r="59">
      <c r="A59" s="23" t="inlineStr">
        <is>
          <t>DHAN-221260901437609</t>
        </is>
      </c>
      <c r="B59" s="23" t="inlineStr">
        <is>
          <t>NORTHARC</t>
        </is>
      </c>
      <c r="C59" s="23" t="inlineStr">
        <is>
          <t>SHORT</t>
        </is>
      </c>
      <c r="D59" s="24" t="n">
        <v>46266</v>
      </c>
      <c r="E59" s="25" t="n">
        <v>303.0625</v>
      </c>
      <c r="F59" s="26" t="n">
        <v>1117</v>
      </c>
      <c r="G59" s="24" t="n">
        <v>46266</v>
      </c>
      <c r="H59" s="25" t="n">
        <v>299.1408</v>
      </c>
      <c r="I59" s="21">
        <f>IF(OR($B59="",$H59=""),"",IF($C59="LONG",($H59-$E59)*$F59,($E59-$H59)*$F59))</f>
        <v/>
      </c>
      <c r="J59" s="4" t="n">
        <v>0</v>
      </c>
      <c r="K59" s="21">
        <f>IF(OR($B59="",$I59=""),"",$I59-IF($J59="",0,$J59))</f>
        <v/>
      </c>
      <c r="L59" s="22">
        <f>IF(OR($B59="",$K59="",$E59=0,$F59=0),"",$K59/($E59*$F59))</f>
        <v/>
      </c>
      <c r="M59" s="27">
        <f>IF($B59="","",IF($H59="","Open","Closed"))</f>
        <v/>
      </c>
    </row>
    <row r="60">
      <c r="A60" s="23" t="inlineStr">
        <is>
          <t>DHAN-221260901669709</t>
        </is>
      </c>
      <c r="B60" s="23" t="inlineStr">
        <is>
          <t>SAKAR</t>
        </is>
      </c>
      <c r="C60" s="23" t="inlineStr">
        <is>
          <t>LONG</t>
        </is>
      </c>
      <c r="D60" s="24" t="n">
        <v>46266</v>
      </c>
      <c r="E60" s="25" t="n">
        <v>961.5373</v>
      </c>
      <c r="F60" s="26" t="n">
        <v>181</v>
      </c>
      <c r="G60" s="24" t="n">
        <v>46267</v>
      </c>
      <c r="H60" s="25" t="n">
        <v>987.1939</v>
      </c>
      <c r="I60" s="21">
        <f>IF(OR($B60="",$H60=""),"",IF($C60="LONG",($H60-$E60)*$F60,($E60-$H60)*$F60))</f>
        <v/>
      </c>
      <c r="J60" s="4" t="n">
        <v>14.75</v>
      </c>
      <c r="K60" s="21">
        <f>IF(OR($B60="",$I60=""),"",$I60-IF($J60="",0,$J60))</f>
        <v/>
      </c>
      <c r="L60" s="22">
        <f>IF(OR($B60="",$K60="",$E60=0,$F60=0),"",$K60/($E60*$F60))</f>
        <v/>
      </c>
      <c r="M60" s="27">
        <f>IF($B60="","",IF($H60="","Open","Closed"))</f>
        <v/>
      </c>
    </row>
    <row r="61">
      <c r="A61" s="23" t="inlineStr">
        <is>
          <t>DHAN-321260901678509</t>
        </is>
      </c>
      <c r="B61" s="23" t="inlineStr">
        <is>
          <t>SOTL</t>
        </is>
      </c>
      <c r="C61" s="23" t="inlineStr">
        <is>
          <t>LONG</t>
        </is>
      </c>
      <c r="D61" s="24" t="n">
        <v>46266</v>
      </c>
      <c r="E61" s="25" t="n">
        <v>773.7782999999999</v>
      </c>
      <c r="F61" s="26" t="n">
        <v>454</v>
      </c>
      <c r="G61" s="24" t="n">
        <v>46267</v>
      </c>
      <c r="H61" s="25" t="n">
        <v>781.4043</v>
      </c>
      <c r="I61" s="21">
        <f>IF(OR($B61="",$H61=""),"",IF($C61="LONG",($H61-$E61)*$F61,($E61-$H61)*$F61))</f>
        <v/>
      </c>
      <c r="J61" s="4" t="n">
        <v>122.24</v>
      </c>
      <c r="K61" s="21">
        <f>IF(OR($B61="",$I61=""),"",$I61-IF($J61="",0,$J61))</f>
        <v/>
      </c>
      <c r="L61" s="22">
        <f>IF(OR($B61="",$K61="",$E61=0,$F61=0),"",$K61/($E61*$F61))</f>
        <v/>
      </c>
      <c r="M61" s="27">
        <f>IF($B61="","",IF($H61="","Open","Closed"))</f>
        <v/>
      </c>
    </row>
    <row r="62">
      <c r="A62" s="23" t="inlineStr">
        <is>
          <t>DHAN-34126090172909</t>
        </is>
      </c>
      <c r="B62" s="23" t="inlineStr">
        <is>
          <t>SSWL</t>
        </is>
      </c>
      <c r="C62" s="23" t="inlineStr">
        <is>
          <t>LONG</t>
        </is>
      </c>
      <c r="D62" s="24" t="n">
        <v>46266</v>
      </c>
      <c r="E62" s="25" t="n">
        <v>361.4802</v>
      </c>
      <c r="F62" s="26" t="n">
        <v>981</v>
      </c>
      <c r="G62" s="24" t="n">
        <v>46267</v>
      </c>
      <c r="H62" s="25" t="n">
        <v>340.3868</v>
      </c>
      <c r="I62" s="21">
        <f>IF(OR($B62="",$H62=""),"",IF($C62="LONG",($H62-$E62)*$F62,($E62-$H62)*$F62))</f>
        <v/>
      </c>
      <c r="J62" s="4" t="n">
        <v>129.45</v>
      </c>
      <c r="K62" s="21">
        <f>IF(OR($B62="",$I62=""),"",$I62-IF($J62="",0,$J62))</f>
        <v/>
      </c>
      <c r="L62" s="22">
        <f>IF(OR($B62="",$K62="",$E62=0,$F62=0),"",$K62/($E62*$F62))</f>
        <v/>
      </c>
      <c r="M62" s="27">
        <f>IF($B62="","",IF($H62="","Open","Closed"))</f>
        <v/>
      </c>
    </row>
    <row r="63">
      <c r="A63" s="23" t="inlineStr">
        <is>
          <t>DHAN-23126090154109</t>
        </is>
      </c>
      <c r="B63" s="23" t="inlineStr">
        <is>
          <t>VENKEYS</t>
        </is>
      </c>
      <c r="C63" s="23" t="inlineStr">
        <is>
          <t>SHORT</t>
        </is>
      </c>
      <c r="D63" s="24" t="n">
        <v>46266</v>
      </c>
      <c r="E63" s="25" t="n">
        <v>1664.2166</v>
      </c>
      <c r="F63" s="26" t="n">
        <v>205</v>
      </c>
      <c r="G63" s="24" t="n">
        <v>46266</v>
      </c>
      <c r="H63" s="25" t="n">
        <v>1647.3204</v>
      </c>
      <c r="I63" s="21">
        <f>IF(OR($B63="",$H63=""),"",IF($C63="LONG",($H63-$E63)*$F63,($E63-$H63)*$F63))</f>
        <v/>
      </c>
      <c r="J63" s="4" t="n">
        <v>0</v>
      </c>
      <c r="K63" s="21">
        <f>IF(OR($B63="",$I63=""),"",$I63-IF($J63="",0,$J63))</f>
        <v/>
      </c>
      <c r="L63" s="22">
        <f>IF(OR($B63="",$K63="",$E63=0,$F63=0),"",$K63/($E63*$F63))</f>
        <v/>
      </c>
      <c r="M63" s="27">
        <f>IF($B63="","",IF($H63="","Open","Closed"))</f>
        <v/>
      </c>
    </row>
    <row r="64">
      <c r="A64" s="23" t="inlineStr">
        <is>
          <t>DHAN-231260902149109</t>
        </is>
      </c>
      <c r="B64" s="23" t="inlineStr">
        <is>
          <t>HERITGFOOD</t>
        </is>
      </c>
      <c r="C64" s="23" t="inlineStr">
        <is>
          <t>LONG</t>
        </is>
      </c>
      <c r="D64" s="24" t="n">
        <v>46267</v>
      </c>
      <c r="E64" s="25" t="n">
        <v>378</v>
      </c>
      <c r="F64" s="26" t="n">
        <v>529</v>
      </c>
      <c r="G64" s="24" t="n">
        <v>46268</v>
      </c>
      <c r="H64" s="25" t="n">
        <v>372.563</v>
      </c>
      <c r="I64" s="21">
        <f>IF(OR($B64="",$H64=""),"",IF($C64="LONG",($H64-$E64)*$F64,($E64-$H64)*$F64))</f>
        <v/>
      </c>
      <c r="J64" s="4" t="n">
        <v>96.40000000000001</v>
      </c>
      <c r="K64" s="21">
        <f>IF(OR($B64="",$I64=""),"",$I64-IF($J64="",0,$J64))</f>
        <v/>
      </c>
      <c r="L64" s="22">
        <f>IF(OR($B64="",$K64="",$E64=0,$F64=0),"",$K64/($E64*$F64))</f>
        <v/>
      </c>
      <c r="M64" s="27">
        <f>IF($B64="","",IF($H64="","Open","Closed"))</f>
        <v/>
      </c>
    </row>
    <row r="65">
      <c r="A65" s="23" t="inlineStr">
        <is>
          <t>DHAN-321260902743009</t>
        </is>
      </c>
      <c r="B65" s="23" t="inlineStr">
        <is>
          <t>INDOCO</t>
        </is>
      </c>
      <c r="C65" s="23" t="inlineStr">
        <is>
          <t>LONG</t>
        </is>
      </c>
      <c r="D65" s="24" t="n">
        <v>46267</v>
      </c>
      <c r="E65" s="25" t="n">
        <v>274.0386</v>
      </c>
      <c r="F65" s="26" t="n">
        <v>731</v>
      </c>
      <c r="G65" s="24" t="n">
        <v>46268</v>
      </c>
      <c r="H65" s="25" t="n">
        <v>274.9479</v>
      </c>
      <c r="I65" s="21">
        <f>IF(OR($B65="",$H65=""),"",IF($C65="LONG",($H65-$E65)*$F65,($E65-$H65)*$F65))</f>
        <v/>
      </c>
      <c r="J65" s="4" t="n">
        <v>91.26000000000001</v>
      </c>
      <c r="K65" s="21">
        <f>IF(OR($B65="",$I65=""),"",$I65-IF($J65="",0,$J65))</f>
        <v/>
      </c>
      <c r="L65" s="22">
        <f>IF(OR($B65="",$K65="",$E65=0,$F65=0),"",$K65/($E65*$F65))</f>
        <v/>
      </c>
      <c r="M65" s="27">
        <f>IF($B65="","",IF($H65="","Open","Closed"))</f>
        <v/>
      </c>
    </row>
    <row r="66">
      <c r="A66" s="23" t="inlineStr">
        <is>
          <t>DHAN-221260902120009</t>
        </is>
      </c>
      <c r="B66" s="23" t="inlineStr">
        <is>
          <t>SAKAR</t>
        </is>
      </c>
      <c r="C66" s="23" t="inlineStr">
        <is>
          <t>SHORT</t>
        </is>
      </c>
      <c r="D66" s="24" t="n">
        <v>46267</v>
      </c>
      <c r="E66" s="25" t="n">
        <v>987.1041</v>
      </c>
      <c r="F66" s="26" t="n">
        <v>181</v>
      </c>
      <c r="G66" s="24" t="n">
        <v>46267</v>
      </c>
      <c r="H66" s="25" t="n">
        <v>984.9721</v>
      </c>
      <c r="I66" s="21">
        <f>IF(OR($B66="",$H66=""),"",IF($C66="LONG",($H66-$E66)*$F66,($E66-$H66)*$F66))</f>
        <v/>
      </c>
      <c r="J66" s="4" t="n">
        <v>0</v>
      </c>
      <c r="K66" s="21">
        <f>IF(OR($B66="",$I66=""),"",$I66-IF($J66="",0,$J66))</f>
        <v/>
      </c>
      <c r="L66" s="22">
        <f>IF(OR($B66="",$K66="",$E66=0,$F66=0),"",$K66/($E66*$F66))</f>
        <v/>
      </c>
      <c r="M66" s="27">
        <f>IF($B66="","",IF($H66="","Open","Closed"))</f>
        <v/>
      </c>
    </row>
    <row r="67">
      <c r="A67" s="23" t="inlineStr">
        <is>
          <t>DHAN-23126090223909</t>
        </is>
      </c>
      <c r="B67" s="23" t="inlineStr">
        <is>
          <t>SOTL</t>
        </is>
      </c>
      <c r="C67" s="23" t="inlineStr">
        <is>
          <t>SHORT</t>
        </is>
      </c>
      <c r="D67" s="24" t="n">
        <v>46267</v>
      </c>
      <c r="E67" s="25" t="n">
        <v>781.15</v>
      </c>
      <c r="F67" s="26" t="n">
        <v>454</v>
      </c>
      <c r="G67" s="24" t="n">
        <v>46267</v>
      </c>
      <c r="H67" s="25" t="n">
        <v>759.8953</v>
      </c>
      <c r="I67" s="21">
        <f>IF(OR($B67="",$H67=""),"",IF($C67="LONG",($H67-$E67)*$F67,($E67-$H67)*$F67))</f>
        <v/>
      </c>
      <c r="J67" s="4" t="n">
        <v>0</v>
      </c>
      <c r="K67" s="21">
        <f>IF(OR($B67="",$I67=""),"",$I67-IF($J67="",0,$J67))</f>
        <v/>
      </c>
      <c r="L67" s="22">
        <f>IF(OR($B67="",$K67="",$E67=0,$F67=0),"",$K67/($E67*$F67))</f>
        <v/>
      </c>
      <c r="M67" s="27">
        <f>IF($B67="","",IF($H67="","Open","Closed"))</f>
        <v/>
      </c>
    </row>
    <row r="68">
      <c r="A68" s="23" t="inlineStr">
        <is>
          <t>DHAN-231260902110309</t>
        </is>
      </c>
      <c r="B68" s="23" t="inlineStr">
        <is>
          <t>SSWL</t>
        </is>
      </c>
      <c r="C68" s="23" t="inlineStr">
        <is>
          <t>SHORT</t>
        </is>
      </c>
      <c r="D68" s="24" t="n">
        <v>46267</v>
      </c>
      <c r="E68" s="25" t="n">
        <v>340.3105</v>
      </c>
      <c r="F68" s="26" t="n">
        <v>981</v>
      </c>
      <c r="G68" s="24" t="n">
        <v>46267</v>
      </c>
      <c r="H68" s="25" t="n">
        <v>345.273</v>
      </c>
      <c r="I68" s="21">
        <f>IF(OR($B68="",$H68=""),"",IF($C68="LONG",($H68-$E68)*$F68,($E68-$H68)*$F68))</f>
        <v/>
      </c>
      <c r="J68" s="4" t="n">
        <v>0</v>
      </c>
      <c r="K68" s="21">
        <f>IF(OR($B68="",$I68=""),"",$I68-IF($J68="",0,$J68))</f>
        <v/>
      </c>
      <c r="L68" s="22">
        <f>IF(OR($B68="",$K68="",$E68=0,$F68=0),"",$K68/($E68*$F68))</f>
        <v/>
      </c>
      <c r="M68" s="27">
        <f>IF($B68="","",IF($H68="","Open","Closed"))</f>
        <v/>
      </c>
    </row>
    <row r="69">
      <c r="A69" s="23" t="inlineStr">
        <is>
          <t>DHAN-221260902724009</t>
        </is>
      </c>
      <c r="B69" s="23" t="inlineStr">
        <is>
          <t>TBZ</t>
        </is>
      </c>
      <c r="C69" s="23" t="inlineStr">
        <is>
          <t>LONG</t>
        </is>
      </c>
      <c r="D69" s="24" t="n">
        <v>46267</v>
      </c>
      <c r="E69" s="25" t="n">
        <v>416.35</v>
      </c>
      <c r="F69" s="26" t="n">
        <v>242</v>
      </c>
      <c r="G69" s="24" t="n">
        <v>46268</v>
      </c>
      <c r="H69" s="25" t="n">
        <v>422.9651</v>
      </c>
      <c r="I69" s="21">
        <f>IF(OR($B69="",$H69=""),"",IF($C69="LONG",($H69-$E69)*$F69,($E69-$H69)*$F69))</f>
        <v/>
      </c>
      <c r="J69" s="4" t="n">
        <v>14.75</v>
      </c>
      <c r="K69" s="21">
        <f>IF(OR($B69="",$I69=""),"",$I69-IF($J69="",0,$J69))</f>
        <v/>
      </c>
      <c r="L69" s="22">
        <f>IF(OR($B69="",$K69="",$E69=0,$F69=0),"",$K69/($E69*$F69))</f>
        <v/>
      </c>
      <c r="M69" s="27">
        <f>IF($B69="","",IF($H69="","Open","Closed"))</f>
        <v/>
      </c>
    </row>
    <row r="70">
      <c r="A70" s="23" t="inlineStr">
        <is>
          <t>DHAN-321260902743109</t>
        </is>
      </c>
      <c r="B70" s="23" t="inlineStr">
        <is>
          <t>WINDLAS</t>
        </is>
      </c>
      <c r="C70" s="23" t="inlineStr">
        <is>
          <t>LONG</t>
        </is>
      </c>
      <c r="D70" s="24" t="n">
        <v>46267</v>
      </c>
      <c r="E70" s="25" t="n">
        <v>1101.477</v>
      </c>
      <c r="F70" s="26" t="n">
        <v>181</v>
      </c>
      <c r="G70" s="24" t="n">
        <v>46268</v>
      </c>
      <c r="H70" s="25" t="n">
        <v>1138.2559</v>
      </c>
      <c r="I70" s="21">
        <f>IF(OR($B70="",$H70=""),"",IF($C70="LONG",($H70-$E70)*$F70,($E70-$H70)*$F70))</f>
        <v/>
      </c>
      <c r="J70" s="4" t="n">
        <v>91.06</v>
      </c>
      <c r="K70" s="21">
        <f>IF(OR($B70="",$I70=""),"",$I70-IF($J70="",0,$J70))</f>
        <v/>
      </c>
      <c r="L70" s="22">
        <f>IF(OR($B70="",$K70="",$E70=0,$F70=0),"",$K70/($E70*$F70))</f>
        <v/>
      </c>
      <c r="M70" s="27">
        <f>IF($B70="","",IF($H70="","Open","Closed"))</f>
        <v/>
      </c>
    </row>
    <row r="71">
      <c r="A71" s="23" t="inlineStr">
        <is>
          <t>DHAN-321260902743209</t>
        </is>
      </c>
      <c r="B71" s="23" t="inlineStr">
        <is>
          <t>XPROINDIA</t>
        </is>
      </c>
      <c r="C71" s="23" t="inlineStr">
        <is>
          <t>LONG</t>
        </is>
      </c>
      <c r="D71" s="24" t="n">
        <v>46267</v>
      </c>
      <c r="E71" s="25" t="n">
        <v>1291.5</v>
      </c>
      <c r="F71" s="26" t="n">
        <v>154</v>
      </c>
      <c r="G71" s="24" t="n">
        <v>46268</v>
      </c>
      <c r="H71" s="25" t="n">
        <v>1300.3182</v>
      </c>
      <c r="I71" s="21">
        <f>IF(OR($B71="",$H71=""),"",IF($C71="LONG",($H71-$E71)*$F71,($E71-$H71)*$F71))</f>
        <v/>
      </c>
      <c r="J71" s="4" t="n">
        <v>90.95999999999999</v>
      </c>
      <c r="K71" s="21">
        <f>IF(OR($B71="",$I71=""),"",$I71-IF($J71="",0,$J71))</f>
        <v/>
      </c>
      <c r="L71" s="22">
        <f>IF(OR($B71="",$K71="",$E71=0,$F71=0),"",$K71/($E71*$F71))</f>
        <v/>
      </c>
      <c r="M71" s="27">
        <f>IF($B71="","",IF($H71="","Open","Closed"))</f>
        <v/>
      </c>
    </row>
    <row r="72">
      <c r="A72" s="23" t="inlineStr">
        <is>
          <t>DHAN-34126090364809</t>
        </is>
      </c>
      <c r="B72" s="23" t="inlineStr">
        <is>
          <t>ALEMBICLTD</t>
        </is>
      </c>
      <c r="C72" s="23" t="inlineStr">
        <is>
          <t>LONG</t>
        </is>
      </c>
      <c r="D72" s="24" t="n">
        <v>46268</v>
      </c>
      <c r="E72" s="25" t="n">
        <v>109.8863</v>
      </c>
      <c r="F72" s="26" t="n">
        <v>1597</v>
      </c>
      <c r="G72" s="24" t="n">
        <v>46269</v>
      </c>
      <c r="H72" s="25" t="n">
        <v>114.1086</v>
      </c>
      <c r="I72" s="21">
        <f>IF(OR($B72="",$H72=""),"",IF($C72="LONG",($H72-$E72)*$F72,($E72-$H72)*$F72))</f>
        <v/>
      </c>
      <c r="J72" s="4" t="n">
        <v>86.16</v>
      </c>
      <c r="K72" s="21">
        <f>IF(OR($B72="",$I72=""),"",$I72-IF($J72="",0,$J72))</f>
        <v/>
      </c>
      <c r="L72" s="22">
        <f>IF(OR($B72="",$K72="",$E72=0,$F72=0),"",$K72/($E72*$F72))</f>
        <v/>
      </c>
      <c r="M72" s="27">
        <f>IF($B72="","",IF($H72="","Open","Closed"))</f>
        <v/>
      </c>
    </row>
    <row r="73">
      <c r="A73" s="23" t="inlineStr">
        <is>
          <t>DHAN-321260903596709</t>
        </is>
      </c>
      <c r="B73" s="23" t="inlineStr">
        <is>
          <t>ANTELOPUS</t>
        </is>
      </c>
      <c r="C73" s="23" t="inlineStr">
        <is>
          <t>LONG</t>
        </is>
      </c>
      <c r="D73" s="24" t="n">
        <v>46268</v>
      </c>
      <c r="E73" s="25" t="n">
        <v>1012.0773</v>
      </c>
      <c r="F73" s="26" t="n">
        <v>86</v>
      </c>
      <c r="G73" s="24" t="n">
        <v>46269</v>
      </c>
      <c r="H73" s="25" t="n">
        <v>1004.061</v>
      </c>
      <c r="I73" s="21">
        <f>IF(OR($B73="",$H73=""),"",IF($C73="LONG",($H73-$E73)*$F73,($E73-$H73)*$F73))</f>
        <v/>
      </c>
      <c r="J73" s="4" t="n">
        <v>14.75</v>
      </c>
      <c r="K73" s="21">
        <f>IF(OR($B73="",$I73=""),"",$I73-IF($J73="",0,$J73))</f>
        <v/>
      </c>
      <c r="L73" s="22">
        <f>IF(OR($B73="",$K73="",$E73=0,$F73=0),"",$K73/($E73*$F73))</f>
        <v/>
      </c>
      <c r="M73" s="27">
        <f>IF($B73="","",IF($H73="","Open","Closed"))</f>
        <v/>
      </c>
    </row>
    <row r="74">
      <c r="A74" s="23" t="inlineStr">
        <is>
          <t>DHAN-34126090364909</t>
        </is>
      </c>
      <c r="B74" s="23" t="inlineStr">
        <is>
          <t>BFUTILITIE</t>
        </is>
      </c>
      <c r="C74" s="23" t="inlineStr">
        <is>
          <t>LONG</t>
        </is>
      </c>
      <c r="D74" s="24" t="n">
        <v>46268</v>
      </c>
      <c r="E74" s="25" t="n">
        <v>544.1489</v>
      </c>
      <c r="F74" s="26" t="n">
        <v>321</v>
      </c>
      <c r="G74" s="24" t="n">
        <v>46269</v>
      </c>
      <c r="H74" s="25" t="n">
        <v>559.1366</v>
      </c>
      <c r="I74" s="21">
        <f>IF(OR($B74="",$H74=""),"",IF($C74="LONG",($H74-$E74)*$F74,($E74-$H74)*$F74))</f>
        <v/>
      </c>
      <c r="J74" s="4" t="n">
        <v>80.02</v>
      </c>
      <c r="K74" s="21">
        <f>IF(OR($B74="",$I74=""),"",$I74-IF($J74="",0,$J74))</f>
        <v/>
      </c>
      <c r="L74" s="22">
        <f>IF(OR($B74="",$K74="",$E74=0,$F74=0),"",$K74/($E74*$F74))</f>
        <v/>
      </c>
      <c r="M74" s="27">
        <f>IF($B74="","",IF($H74="","Open","Closed"))</f>
        <v/>
      </c>
    </row>
    <row r="75">
      <c r="A75" s="23" t="inlineStr">
        <is>
          <t>DHAN-221260903780209</t>
        </is>
      </c>
      <c r="B75" s="23" t="inlineStr">
        <is>
          <t>GOCLCORP</t>
        </is>
      </c>
      <c r="C75" s="23" t="inlineStr">
        <is>
          <t>LONG</t>
        </is>
      </c>
      <c r="D75" s="24" t="n">
        <v>46268</v>
      </c>
      <c r="E75" s="25" t="n">
        <v>421.586</v>
      </c>
      <c r="F75" s="26" t="n">
        <v>414</v>
      </c>
      <c r="G75" s="24" t="n">
        <v>46269</v>
      </c>
      <c r="H75" s="25" t="n">
        <v>424.026</v>
      </c>
      <c r="I75" s="21">
        <f>IF(OR($B75="",$H75=""),"",IF($C75="LONG",($H75-$E75)*$F75,($E75-$H75)*$F75))</f>
        <v/>
      </c>
      <c r="J75" s="4" t="n">
        <v>85.95999999999999</v>
      </c>
      <c r="K75" s="21">
        <f>IF(OR($B75="",$I75=""),"",$I75-IF($J75="",0,$J75))</f>
        <v/>
      </c>
      <c r="L75" s="22">
        <f>IF(OR($B75="",$K75="",$E75=0,$F75=0),"",$K75/($E75*$F75))</f>
        <v/>
      </c>
      <c r="M75" s="27">
        <f>IF($B75="","",IF($H75="","Open","Closed"))</f>
        <v/>
      </c>
    </row>
    <row r="76">
      <c r="A76" s="23" t="inlineStr">
        <is>
          <t>DHAN-23126090343709</t>
        </is>
      </c>
      <c r="B76" s="23" t="inlineStr">
        <is>
          <t>HERITGFOOD</t>
        </is>
      </c>
      <c r="C76" s="23" t="inlineStr">
        <is>
          <t>SHORT</t>
        </is>
      </c>
      <c r="D76" s="24" t="n">
        <v>46268</v>
      </c>
      <c r="E76" s="25" t="n">
        <v>372.1501</v>
      </c>
      <c r="F76" s="26" t="n">
        <v>529</v>
      </c>
      <c r="G76" s="24" t="n">
        <v>46268</v>
      </c>
      <c r="H76" s="25" t="n">
        <v>372.0471</v>
      </c>
      <c r="I76" s="21">
        <f>IF(OR($B76="",$H76=""),"",IF($C76="LONG",($H76-$E76)*$F76,($E76-$H76)*$F76))</f>
        <v/>
      </c>
      <c r="J76" s="4" t="n">
        <v>0</v>
      </c>
      <c r="K76" s="21">
        <f>IF(OR($B76="",$I76=""),"",$I76-IF($J76="",0,$J76))</f>
        <v/>
      </c>
      <c r="L76" s="22">
        <f>IF(OR($B76="",$K76="",$E76=0,$F76=0),"",$K76/($E76*$F76))</f>
        <v/>
      </c>
      <c r="M76" s="27">
        <f>IF($B76="","",IF($H76="","Open","Closed"))</f>
        <v/>
      </c>
    </row>
    <row r="77">
      <c r="A77" s="23" t="inlineStr">
        <is>
          <t>DHAN-23126090365609</t>
        </is>
      </c>
      <c r="B77" s="23" t="inlineStr">
        <is>
          <t>HINDOILEXP</t>
        </is>
      </c>
      <c r="C77" s="23" t="inlineStr">
        <is>
          <t>LONG</t>
        </is>
      </c>
      <c r="D77" s="24" t="n">
        <v>46268</v>
      </c>
      <c r="E77" s="25" t="n">
        <v>183.9966</v>
      </c>
      <c r="F77" s="26" t="n">
        <v>951</v>
      </c>
      <c r="G77" s="24" t="n">
        <v>46269</v>
      </c>
      <c r="H77" s="25" t="n">
        <v>181.9446</v>
      </c>
      <c r="I77" s="21">
        <f>IF(OR($B77="",$H77=""),"",IF($C77="LONG",($H77-$E77)*$F77,($E77-$H77)*$F77))</f>
        <v/>
      </c>
      <c r="J77" s="4" t="n">
        <v>88.37</v>
      </c>
      <c r="K77" s="21">
        <f>IF(OR($B77="",$I77=""),"",$I77-IF($J77="",0,$J77))</f>
        <v/>
      </c>
      <c r="L77" s="22">
        <f>IF(OR($B77="",$K77="",$E77=0,$F77=0),"",$K77/($E77*$F77))</f>
        <v/>
      </c>
      <c r="M77" s="27">
        <f>IF($B77="","",IF($H77="","Open","Closed"))</f>
        <v/>
      </c>
    </row>
    <row r="78">
      <c r="A78" s="23" t="inlineStr">
        <is>
          <t>DHAN-22126090392509</t>
        </is>
      </c>
      <c r="B78" s="23" t="inlineStr">
        <is>
          <t>INDOCO</t>
        </is>
      </c>
      <c r="C78" s="23" t="inlineStr">
        <is>
          <t>SHORT</t>
        </is>
      </c>
      <c r="D78" s="24" t="n">
        <v>46268</v>
      </c>
      <c r="E78" s="25" t="n">
        <v>274.0624</v>
      </c>
      <c r="F78" s="26" t="n">
        <v>731</v>
      </c>
      <c r="G78" s="24" t="n">
        <v>46268</v>
      </c>
      <c r="H78" s="25" t="n">
        <v>278.0089</v>
      </c>
      <c r="I78" s="21">
        <f>IF(OR($B78="",$H78=""),"",IF($C78="LONG",($H78-$E78)*$F78,($E78-$H78)*$F78))</f>
        <v/>
      </c>
      <c r="J78" s="4" t="n">
        <v>0</v>
      </c>
      <c r="K78" s="21">
        <f>IF(OR($B78="",$I78=""),"",$I78-IF($J78="",0,$J78))</f>
        <v/>
      </c>
      <c r="L78" s="22">
        <f>IF(OR($B78="",$K78="",$E78=0,$F78=0),"",$K78/($E78*$F78))</f>
        <v/>
      </c>
      <c r="M78" s="27">
        <f>IF($B78="","",IF($H78="","Open","Closed"))</f>
        <v/>
      </c>
    </row>
    <row r="79">
      <c r="A79" s="23" t="inlineStr">
        <is>
          <t>DHAN-23126090365509</t>
        </is>
      </c>
      <c r="B79" s="23" t="inlineStr">
        <is>
          <t>KIRIINDUS</t>
        </is>
      </c>
      <c r="C79" s="23" t="inlineStr">
        <is>
          <t>LONG</t>
        </is>
      </c>
      <c r="D79" s="24" t="n">
        <v>46268</v>
      </c>
      <c r="E79" s="25" t="n">
        <v>579.35</v>
      </c>
      <c r="F79" s="26" t="n">
        <v>302</v>
      </c>
      <c r="G79" s="24" t="n">
        <v>46269</v>
      </c>
      <c r="H79" s="25" t="n">
        <v>591.2967</v>
      </c>
      <c r="I79" s="21">
        <f>IF(OR($B79="",$H79=""),"",IF($C79="LONG",($H79-$E79)*$F79,($E79-$H79)*$F79))</f>
        <v/>
      </c>
      <c r="J79" s="4" t="n">
        <v>71.69</v>
      </c>
      <c r="K79" s="21">
        <f>IF(OR($B79="",$I79=""),"",$I79-IF($J79="",0,$J79))</f>
        <v/>
      </c>
      <c r="L79" s="22">
        <f>IF(OR($B79="",$K79="",$E79=0,$F79=0),"",$K79/($E79*$F79))</f>
        <v/>
      </c>
      <c r="M79" s="27">
        <f>IF($B79="","",IF($H79="","Open","Closed"))</f>
        <v/>
      </c>
    </row>
    <row r="80">
      <c r="A80" s="23" t="inlineStr">
        <is>
          <t>DHAN-34126090365009</t>
        </is>
      </c>
      <c r="B80" s="23" t="inlineStr">
        <is>
          <t>RAYMOND</t>
        </is>
      </c>
      <c r="C80" s="23" t="inlineStr">
        <is>
          <t>LONG</t>
        </is>
      </c>
      <c r="D80" s="24" t="n">
        <v>46268</v>
      </c>
      <c r="E80" s="25" t="n">
        <v>763</v>
      </c>
      <c r="F80" s="26" t="n">
        <v>231</v>
      </c>
      <c r="G80" s="24" t="n">
        <v>46269</v>
      </c>
      <c r="H80" s="25" t="n">
        <v>751.7106</v>
      </c>
      <c r="I80" s="21">
        <f>IF(OR($B80="",$H80=""),"",IF($C80="LONG",($H80-$E80)*$F80,($E80-$H80)*$F80))</f>
        <v/>
      </c>
      <c r="J80" s="4" t="n">
        <v>50.15</v>
      </c>
      <c r="K80" s="21">
        <f>IF(OR($B80="",$I80=""),"",$I80-IF($J80="",0,$J80))</f>
        <v/>
      </c>
      <c r="L80" s="22">
        <f>IF(OR($B80="",$K80="",$E80=0,$F80=0),"",$K80/($E80*$F80))</f>
        <v/>
      </c>
      <c r="M80" s="27">
        <f>IF($B80="","",IF($H80="","Open","Closed"))</f>
        <v/>
      </c>
    </row>
    <row r="81">
      <c r="A81" s="23" t="inlineStr">
        <is>
          <t>DHAN-32126090398709</t>
        </is>
      </c>
      <c r="B81" s="23" t="inlineStr">
        <is>
          <t>TBZ</t>
        </is>
      </c>
      <c r="C81" s="23" t="inlineStr">
        <is>
          <t>SHORT</t>
        </is>
      </c>
      <c r="D81" s="24" t="n">
        <v>46268</v>
      </c>
      <c r="E81" s="25" t="n">
        <v>423.45</v>
      </c>
      <c r="F81" s="26" t="n">
        <v>242</v>
      </c>
      <c r="G81" s="24" t="n">
        <v>46268</v>
      </c>
      <c r="H81" s="25" t="n">
        <v>423.6072</v>
      </c>
      <c r="I81" s="21">
        <f>IF(OR($B81="",$H81=""),"",IF($C81="LONG",($H81-$E81)*$F81,($E81-$H81)*$F81))</f>
        <v/>
      </c>
      <c r="J81" s="4" t="n">
        <v>0</v>
      </c>
      <c r="K81" s="21">
        <f>IF(OR($B81="",$I81=""),"",$I81-IF($J81="",0,$J81))</f>
        <v/>
      </c>
      <c r="L81" s="22">
        <f>IF(OR($B81="",$K81="",$E81=0,$F81=0),"",$K81/($E81*$F81))</f>
        <v/>
      </c>
      <c r="M81" s="27">
        <f>IF($B81="","",IF($H81="","Open","Closed"))</f>
        <v/>
      </c>
    </row>
    <row r="82">
      <c r="A82" s="23" t="inlineStr">
        <is>
          <t>DHAN-321260903384009</t>
        </is>
      </c>
      <c r="B82" s="23" t="inlineStr">
        <is>
          <t>WINDLAS</t>
        </is>
      </c>
      <c r="C82" s="23" t="inlineStr">
        <is>
          <t>SHORT</t>
        </is>
      </c>
      <c r="D82" s="24" t="n">
        <v>46268</v>
      </c>
      <c r="E82" s="25" t="n">
        <v>1139.3014</v>
      </c>
      <c r="F82" s="26" t="n">
        <v>181</v>
      </c>
      <c r="G82" s="24" t="n">
        <v>46268</v>
      </c>
      <c r="H82" s="25" t="n">
        <v>1127.3989</v>
      </c>
      <c r="I82" s="21">
        <f>IF(OR($B82="",$H82=""),"",IF($C82="LONG",($H82-$E82)*$F82,($E82-$H82)*$F82))</f>
        <v/>
      </c>
      <c r="J82" s="4" t="n">
        <v>0</v>
      </c>
      <c r="K82" s="21">
        <f>IF(OR($B82="",$I82=""),"",$I82-IF($J82="",0,$J82))</f>
        <v/>
      </c>
      <c r="L82" s="22">
        <f>IF(OR($B82="",$K82="",$E82=0,$F82=0),"",$K82/($E82*$F82))</f>
        <v/>
      </c>
      <c r="M82" s="27">
        <f>IF($B82="","",IF($H82="","Open","Closed"))</f>
        <v/>
      </c>
    </row>
    <row r="83">
      <c r="A83" s="23" t="inlineStr">
        <is>
          <t>DHAN-34126090316409</t>
        </is>
      </c>
      <c r="B83" s="23" t="inlineStr">
        <is>
          <t>XPROINDIA</t>
        </is>
      </c>
      <c r="C83" s="23" t="inlineStr">
        <is>
          <t>SHORT</t>
        </is>
      </c>
      <c r="D83" s="24" t="n">
        <v>46268</v>
      </c>
      <c r="E83" s="25" t="n">
        <v>1302.759</v>
      </c>
      <c r="F83" s="26" t="n">
        <v>154</v>
      </c>
      <c r="G83" s="24" t="n">
        <v>46268</v>
      </c>
      <c r="H83" s="25" t="n">
        <v>1290.8416</v>
      </c>
      <c r="I83" s="21">
        <f>IF(OR($B83="",$H83=""),"",IF($C83="LONG",($H83-$E83)*$F83,($E83-$H83)*$F83))</f>
        <v/>
      </c>
      <c r="J83" s="4" t="n">
        <v>0</v>
      </c>
      <c r="K83" s="21">
        <f>IF(OR($B83="",$I83=""),"",$I83-IF($J83="",0,$J83))</f>
        <v/>
      </c>
      <c r="L83" s="22">
        <f>IF(OR($B83="",$K83="",$E83=0,$F83=0),"",$K83/($E83*$F83))</f>
        <v/>
      </c>
      <c r="M83" s="27">
        <f>IF($B83="","",IF($H83="","Open","Closed"))</f>
        <v/>
      </c>
    </row>
    <row r="84">
      <c r="A84" s="23" t="inlineStr">
        <is>
          <t>DHAN-32126090489209</t>
        </is>
      </c>
      <c r="B84" s="23" t="inlineStr">
        <is>
          <t>ALEMBICLTD</t>
        </is>
      </c>
      <c r="C84" s="23" t="inlineStr">
        <is>
          <t>SHORT</t>
        </is>
      </c>
      <c r="D84" s="24" t="n">
        <v>46269</v>
      </c>
      <c r="E84" s="25" t="n">
        <v>114.098</v>
      </c>
      <c r="F84" s="26" t="n">
        <v>1597</v>
      </c>
      <c r="G84" s="24" t="n">
        <v>46269</v>
      </c>
      <c r="H84" s="25" t="n">
        <v>111.8446</v>
      </c>
      <c r="I84" s="21">
        <f>IF(OR($B84="",$H84=""),"",IF($C84="LONG",($H84-$E84)*$F84,($E84-$H84)*$F84))</f>
        <v/>
      </c>
      <c r="J84" s="4" t="n">
        <v>0</v>
      </c>
      <c r="K84" s="21">
        <f>IF(OR($B84="",$I84=""),"",$I84-IF($J84="",0,$J84))</f>
        <v/>
      </c>
      <c r="L84" s="22">
        <f>IF(OR($B84="",$K84="",$E84=0,$F84=0),"",$K84/($E84*$F84))</f>
        <v/>
      </c>
      <c r="M84" s="27">
        <f>IF($B84="","",IF($H84="","Open","Closed"))</f>
        <v/>
      </c>
    </row>
    <row r="85">
      <c r="A85" s="23" t="inlineStr">
        <is>
          <t>DHAN-34126090463509</t>
        </is>
      </c>
      <c r="B85" s="23" t="inlineStr">
        <is>
          <t>ANTELOPUS</t>
        </is>
      </c>
      <c r="C85" s="23" t="inlineStr">
        <is>
          <t>SHORT</t>
        </is>
      </c>
      <c r="D85" s="24" t="n">
        <v>46269</v>
      </c>
      <c r="E85" s="25" t="n">
        <v>1003.9</v>
      </c>
      <c r="F85" s="26" t="n">
        <v>86</v>
      </c>
      <c r="G85" s="24" t="n">
        <v>46269</v>
      </c>
      <c r="H85" s="25" t="n">
        <v>987.1866</v>
      </c>
      <c r="I85" s="21">
        <f>IF(OR($B85="",$H85=""),"",IF($C85="LONG",($H85-$E85)*$F85,($E85-$H85)*$F85))</f>
        <v/>
      </c>
      <c r="J85" s="4" t="n">
        <v>0</v>
      </c>
      <c r="K85" s="21">
        <f>IF(OR($B85="",$I85=""),"",$I85-IF($J85="",0,$J85))</f>
        <v/>
      </c>
      <c r="L85" s="22">
        <f>IF(OR($B85="",$K85="",$E85=0,$F85=0),"",$K85/($E85*$F85))</f>
        <v/>
      </c>
      <c r="M85" s="27">
        <f>IF($B85="","",IF($H85="","Open","Closed"))</f>
        <v/>
      </c>
    </row>
    <row r="86">
      <c r="A86" s="23" t="inlineStr">
        <is>
          <t>DHAN-34126090416009</t>
        </is>
      </c>
      <c r="B86" s="23" t="inlineStr">
        <is>
          <t>BFUTILITIE</t>
        </is>
      </c>
      <c r="C86" s="23" t="inlineStr">
        <is>
          <t>SHORT</t>
        </is>
      </c>
      <c r="D86" s="24" t="n">
        <v>46269</v>
      </c>
      <c r="E86" s="25" t="n">
        <v>557.8248</v>
      </c>
      <c r="F86" s="26" t="n">
        <v>321</v>
      </c>
      <c r="G86" s="24" t="n">
        <v>46269</v>
      </c>
      <c r="H86" s="25" t="n">
        <v>545.7992</v>
      </c>
      <c r="I86" s="21">
        <f>IF(OR($B86="",$H86=""),"",IF($C86="LONG",($H86-$E86)*$F86,($E86-$H86)*$F86))</f>
        <v/>
      </c>
      <c r="J86" s="4" t="n">
        <v>0</v>
      </c>
      <c r="K86" s="21">
        <f>IF(OR($B86="",$I86=""),"",$I86-IF($J86="",0,$J86))</f>
        <v/>
      </c>
      <c r="L86" s="22">
        <f>IF(OR($B86="",$K86="",$E86=0,$F86=0),"",$K86/($E86*$F86))</f>
        <v/>
      </c>
      <c r="M86" s="27">
        <f>IF($B86="","",IF($H86="","Open","Closed"))</f>
        <v/>
      </c>
    </row>
    <row r="87">
      <c r="A87" s="23" t="inlineStr">
        <is>
          <t>DHAN-22126090492309</t>
        </is>
      </c>
      <c r="B87" s="23" t="inlineStr">
        <is>
          <t>GOCLCORP</t>
        </is>
      </c>
      <c r="C87" s="23" t="inlineStr">
        <is>
          <t>SHORT</t>
        </is>
      </c>
      <c r="D87" s="24" t="n">
        <v>46269</v>
      </c>
      <c r="E87" s="25" t="n">
        <v>423.9067</v>
      </c>
      <c r="F87" s="26" t="n">
        <v>414</v>
      </c>
      <c r="G87" s="24" t="n">
        <v>46269</v>
      </c>
      <c r="H87" s="25" t="n">
        <v>429.4497</v>
      </c>
      <c r="I87" s="21">
        <f>IF(OR($B87="",$H87=""),"",IF($C87="LONG",($H87-$E87)*$F87,($E87-$H87)*$F87))</f>
        <v/>
      </c>
      <c r="J87" s="4" t="n">
        <v>0</v>
      </c>
      <c r="K87" s="21">
        <f>IF(OR($B87="",$I87=""),"",$I87-IF($J87="",0,$J87))</f>
        <v/>
      </c>
      <c r="L87" s="22">
        <f>IF(OR($B87="",$K87="",$E87=0,$F87=0),"",$K87/($E87*$F87))</f>
        <v/>
      </c>
      <c r="M87" s="27">
        <f>IF($B87="","",IF($H87="","Open","Closed"))</f>
        <v/>
      </c>
    </row>
    <row r="88">
      <c r="A88" s="23" t="inlineStr">
        <is>
          <t>DHAN-34126090463609</t>
        </is>
      </c>
      <c r="B88" s="23" t="inlineStr">
        <is>
          <t>HINDOILEXP</t>
        </is>
      </c>
      <c r="C88" s="23" t="inlineStr">
        <is>
          <t>SHORT</t>
        </is>
      </c>
      <c r="D88" s="24" t="n">
        <v>46269</v>
      </c>
      <c r="E88" s="25" t="n">
        <v>181.8259</v>
      </c>
      <c r="F88" s="26" t="n">
        <v>951</v>
      </c>
      <c r="G88" s="24" t="n">
        <v>46269</v>
      </c>
      <c r="H88" s="25" t="n">
        <v>182</v>
      </c>
      <c r="I88" s="21">
        <f>IF(OR($B88="",$H88=""),"",IF($C88="LONG",($H88-$E88)*$F88,($E88-$H88)*$F88))</f>
        <v/>
      </c>
      <c r="J88" s="4" t="n">
        <v>0</v>
      </c>
      <c r="K88" s="21">
        <f>IF(OR($B88="",$I88=""),"",$I88-IF($J88="",0,$J88))</f>
        <v/>
      </c>
      <c r="L88" s="22">
        <f>IF(OR($B88="",$K88="",$E88=0,$F88=0),"",$K88/($E88*$F88))</f>
        <v/>
      </c>
      <c r="M88" s="27">
        <f>IF($B88="","",IF($H88="","Open","Closed"))</f>
        <v/>
      </c>
    </row>
    <row r="89">
      <c r="A89" s="23" t="inlineStr">
        <is>
          <t>DHAN-23126090415409</t>
        </is>
      </c>
      <c r="B89" s="23" t="inlineStr">
        <is>
          <t>KIRIINDUS</t>
        </is>
      </c>
      <c r="C89" s="23" t="inlineStr">
        <is>
          <t>SHORT</t>
        </is>
      </c>
      <c r="D89" s="24" t="n">
        <v>46269</v>
      </c>
      <c r="E89" s="25" t="n">
        <v>591.654</v>
      </c>
      <c r="F89" s="26" t="n">
        <v>302</v>
      </c>
      <c r="G89" s="24" t="n">
        <v>46269</v>
      </c>
      <c r="H89" s="25" t="n">
        <v>562.05</v>
      </c>
      <c r="I89" s="21">
        <f>IF(OR($B89="",$H89=""),"",IF($C89="LONG",($H89-$E89)*$F89,($E89-$H89)*$F89))</f>
        <v/>
      </c>
      <c r="J89" s="4" t="n">
        <v>0</v>
      </c>
      <c r="K89" s="21">
        <f>IF(OR($B89="",$I89=""),"",$I89-IF($J89="",0,$J89))</f>
        <v/>
      </c>
      <c r="L89" s="22">
        <f>IF(OR($B89="",$K89="",$E89=0,$F89=0),"",$K89/($E89*$F89))</f>
        <v/>
      </c>
      <c r="M89" s="27">
        <f>IF($B89="","",IF($H89="","Open","Closed"))</f>
        <v/>
      </c>
    </row>
    <row r="90">
      <c r="A90" s="23" t="inlineStr">
        <is>
          <t>DHAN-34126090488609</t>
        </is>
      </c>
      <c r="B90" s="23" t="inlineStr">
        <is>
          <t>MAITHANALL</t>
        </is>
      </c>
      <c r="C90" s="23" t="inlineStr">
        <is>
          <t>LONG</t>
        </is>
      </c>
      <c r="D90" s="24" t="n">
        <v>46269</v>
      </c>
      <c r="E90" s="25" t="n">
        <v>1086.426</v>
      </c>
      <c r="F90" s="26" t="n">
        <v>321</v>
      </c>
      <c r="G90" s="24" t="n">
        <v>46272</v>
      </c>
      <c r="H90" s="25" t="n">
        <v>1185</v>
      </c>
      <c r="I90" s="21">
        <f>IF(OR($B90="",$H90=""),"",IF($C90="LONG",($H90-$E90)*$F90,($E90-$H90)*$F90))</f>
        <v/>
      </c>
      <c r="J90" s="4" t="n">
        <v>264.84</v>
      </c>
      <c r="K90" s="21">
        <f>IF(OR($B90="",$I90=""),"",$I90-IF($J90="",0,$J90))</f>
        <v/>
      </c>
      <c r="L90" s="22">
        <f>IF(OR($B90="",$K90="",$E90=0,$F90=0),"",$K90/($E90*$F90))</f>
        <v/>
      </c>
      <c r="M90" s="27">
        <f>IF($B90="","",IF($H90="","Open","Closed"))</f>
        <v/>
      </c>
    </row>
    <row r="91">
      <c r="A91" s="23" t="inlineStr">
        <is>
          <t>DHAN-321260904383309</t>
        </is>
      </c>
      <c r="B91" s="23" t="inlineStr">
        <is>
          <t>RAYMOND</t>
        </is>
      </c>
      <c r="C91" s="23" t="inlineStr">
        <is>
          <t>SHORT</t>
        </is>
      </c>
      <c r="D91" s="24" t="n">
        <v>46269</v>
      </c>
      <c r="E91" s="25" t="n">
        <v>752.5812</v>
      </c>
      <c r="F91" s="26" t="n">
        <v>231</v>
      </c>
      <c r="G91" s="24" t="n">
        <v>46269</v>
      </c>
      <c r="H91" s="25" t="n">
        <v>740.4414</v>
      </c>
      <c r="I91" s="21">
        <f>IF(OR($B91="",$H91=""),"",IF($C91="LONG",($H91-$E91)*$F91,($E91-$H91)*$F91))</f>
        <v/>
      </c>
      <c r="J91" s="4" t="n">
        <v>0</v>
      </c>
      <c r="K91" s="21">
        <f>IF(OR($B91="",$I91=""),"",$I91-IF($J91="",0,$J91))</f>
        <v/>
      </c>
      <c r="L91" s="22">
        <f>IF(OR($B91="",$K91="",$E91=0,$F91=0),"",$K91/($E91*$F91))</f>
        <v/>
      </c>
      <c r="M91" s="27">
        <f>IF($B91="","",IF($H91="","Open","Closed"))</f>
        <v/>
      </c>
    </row>
    <row r="92">
      <c r="A92" s="23" t="inlineStr">
        <is>
          <t>DHAN-221260904639609</t>
        </is>
      </c>
      <c r="B92" s="23" t="inlineStr">
        <is>
          <t>RML</t>
        </is>
      </c>
      <c r="C92" s="23" t="inlineStr">
        <is>
          <t>LONG</t>
        </is>
      </c>
      <c r="D92" s="24" t="n">
        <v>46269</v>
      </c>
      <c r="E92" s="25" t="n">
        <v>1291.9929</v>
      </c>
      <c r="F92" s="26" t="n">
        <v>270</v>
      </c>
      <c r="G92" s="24" t="n">
        <v>46272</v>
      </c>
      <c r="H92" s="25" t="n">
        <v>1337.4363</v>
      </c>
      <c r="I92" s="21">
        <f>IF(OR($B92="",$H92=""),"",IF($C92="LONG",($H92-$E92)*$F92,($E92-$H92)*$F92))</f>
        <v/>
      </c>
      <c r="J92" s="4" t="n">
        <v>264.89</v>
      </c>
      <c r="K92" s="21">
        <f>IF(OR($B92="",$I92=""),"",$I92-IF($J92="",0,$J92))</f>
        <v/>
      </c>
      <c r="L92" s="22">
        <f>IF(OR($B92="",$K92="",$E92=0,$F92=0),"",$K92/($E92*$F92))</f>
        <v/>
      </c>
      <c r="M92" s="27">
        <f>IF($B92="","",IF($H92="","Open","Closed"))</f>
        <v/>
      </c>
    </row>
    <row r="93">
      <c r="A93" s="23" t="inlineStr">
        <is>
          <t>DHAN-23126090486609</t>
        </is>
      </c>
      <c r="B93" s="23" t="inlineStr">
        <is>
          <t>SINDHUTRAD</t>
        </is>
      </c>
      <c r="C93" s="23" t="inlineStr">
        <is>
          <t>LONG</t>
        </is>
      </c>
      <c r="D93" s="24" t="n">
        <v>46269</v>
      </c>
      <c r="E93" s="25" t="n">
        <v>25.2263</v>
      </c>
      <c r="F93" s="26" t="n">
        <v>13916</v>
      </c>
      <c r="G93" s="24" t="n">
        <v>46272</v>
      </c>
      <c r="H93" s="25" t="n">
        <v>24.6576</v>
      </c>
      <c r="I93" s="21">
        <f>IF(OR($B93="",$H93=""),"",IF($C93="LONG",($H93-$E93)*$F93,($E93-$H93)*$F93))</f>
        <v/>
      </c>
      <c r="J93" s="4" t="n">
        <v>266.26</v>
      </c>
      <c r="K93" s="21">
        <f>IF(OR($B93="",$I93=""),"",$I93-IF($J93="",0,$J93))</f>
        <v/>
      </c>
      <c r="L93" s="22">
        <f>IF(OR($B93="",$K93="",$E93=0,$F93=0),"",$K93/($E93*$F93))</f>
        <v/>
      </c>
      <c r="M93" s="27">
        <f>IF($B93="","",IF($H93="","Open","Closed"))</f>
        <v/>
      </c>
    </row>
    <row r="94">
      <c r="A94" s="23" t="inlineStr">
        <is>
          <t>DHAN-221260907740209</t>
        </is>
      </c>
      <c r="B94" s="23" t="inlineStr">
        <is>
          <t>CHEMPLASTS</t>
        </is>
      </c>
      <c r="C94" s="23" t="inlineStr">
        <is>
          <t>LONG</t>
        </is>
      </c>
      <c r="D94" s="24" t="n">
        <v>46272</v>
      </c>
      <c r="E94" s="25" t="n">
        <v>184.7831</v>
      </c>
      <c r="F94" s="26" t="n">
        <v>1261</v>
      </c>
      <c r="G94" s="24" t="n">
        <v>46273</v>
      </c>
      <c r="H94" s="25" t="n">
        <v>185.135</v>
      </c>
      <c r="I94" s="21">
        <f>IF(OR($B94="",$H94=""),"",IF($C94="LONG",($H94-$E94)*$F94,($E94-$H94)*$F94))</f>
        <v/>
      </c>
      <c r="J94" s="4" t="n">
        <v>100.63</v>
      </c>
      <c r="K94" s="21">
        <f>IF(OR($B94="",$I94=""),"",$I94-IF($J94="",0,$J94))</f>
        <v/>
      </c>
      <c r="L94" s="22">
        <f>IF(OR($B94="",$K94="",$E94=0,$F94=0),"",$K94/($E94*$F94))</f>
        <v/>
      </c>
      <c r="M94" s="27">
        <f>IF($B94="","",IF($H94="","Open","Closed"))</f>
        <v/>
      </c>
    </row>
    <row r="95">
      <c r="A95" s="23" t="inlineStr">
        <is>
          <t>DHAN-23126090769809</t>
        </is>
      </c>
      <c r="B95" s="23" t="inlineStr">
        <is>
          <t>GNRL</t>
        </is>
      </c>
      <c r="C95" s="23" t="inlineStr">
        <is>
          <t>LONG</t>
        </is>
      </c>
      <c r="D95" s="24" t="n">
        <v>46272</v>
      </c>
      <c r="E95" s="25" t="n">
        <v>114.89</v>
      </c>
      <c r="F95" s="26" t="n">
        <v>1019</v>
      </c>
      <c r="G95" s="24" t="n">
        <v>46273</v>
      </c>
      <c r="H95" s="25" t="n">
        <v>107.5603</v>
      </c>
      <c r="I95" s="21">
        <f>IF(OR($B95="",$H95=""),"",IF($C95="LONG",($H95-$E95)*$F95,($E95-$H95)*$F95))</f>
        <v/>
      </c>
      <c r="J95" s="4" t="n">
        <v>14.75</v>
      </c>
      <c r="K95" s="21">
        <f>IF(OR($B95="",$I95=""),"",$I95-IF($J95="",0,$J95))</f>
        <v/>
      </c>
      <c r="L95" s="22">
        <f>IF(OR($B95="",$K95="",$E95=0,$F95=0),"",$K95/($E95*$F95))</f>
        <v/>
      </c>
      <c r="M95" s="27">
        <f>IF($B95="","",IF($H95="","Open","Closed"))</f>
        <v/>
      </c>
    </row>
    <row r="96">
      <c r="A96" s="23" t="inlineStr">
        <is>
          <t>DHAN-23126090769609</t>
        </is>
      </c>
      <c r="B96" s="23" t="inlineStr">
        <is>
          <t>HIKAL</t>
        </is>
      </c>
      <c r="C96" s="23" t="inlineStr">
        <is>
          <t>LONG</t>
        </is>
      </c>
      <c r="D96" s="24" t="n">
        <v>46272</v>
      </c>
      <c r="E96" s="25" t="n">
        <v>242.9411</v>
      </c>
      <c r="F96" s="26" t="n">
        <v>959</v>
      </c>
      <c r="G96" s="24" t="n">
        <v>46273</v>
      </c>
      <c r="H96" s="25" t="n">
        <v>249.6418</v>
      </c>
      <c r="I96" s="21">
        <f>IF(OR($B96="",$H96=""),"",IF($C96="LONG",($H96-$E96)*$F96,($E96-$H96)*$F96))</f>
        <v/>
      </c>
      <c r="J96" s="4" t="n">
        <v>97.95999999999999</v>
      </c>
      <c r="K96" s="21">
        <f>IF(OR($B96="",$I96=""),"",$I96-IF($J96="",0,$J96))</f>
        <v/>
      </c>
      <c r="L96" s="22">
        <f>IF(OR($B96="",$K96="",$E96=0,$F96=0),"",$K96/($E96*$F96))</f>
        <v/>
      </c>
      <c r="M96" s="27">
        <f>IF($B96="","",IF($H96="","Open","Closed"))</f>
        <v/>
      </c>
    </row>
    <row r="97">
      <c r="A97" s="23" t="inlineStr">
        <is>
          <t>DHAN-23126090714709</t>
        </is>
      </c>
      <c r="B97" s="23" t="inlineStr">
        <is>
          <t>MAITHANALL</t>
        </is>
      </c>
      <c r="C97" s="23" t="inlineStr">
        <is>
          <t>SHORT</t>
        </is>
      </c>
      <c r="D97" s="24" t="n">
        <v>46272</v>
      </c>
      <c r="E97" s="25" t="n">
        <v>1183.4504</v>
      </c>
      <c r="F97" s="26" t="n">
        <v>321</v>
      </c>
      <c r="G97" s="24" t="n">
        <v>46272</v>
      </c>
      <c r="H97" s="25" t="n">
        <v>1129.9305</v>
      </c>
      <c r="I97" s="21">
        <f>IF(OR($B97="",$H97=""),"",IF($C97="LONG",($H97-$E97)*$F97,($E97-$H97)*$F97))</f>
        <v/>
      </c>
      <c r="J97" s="4" t="n">
        <v>0</v>
      </c>
      <c r="K97" s="21">
        <f>IF(OR($B97="",$I97=""),"",$I97-IF($J97="",0,$J97))</f>
        <v/>
      </c>
      <c r="L97" s="22">
        <f>IF(OR($B97="",$K97="",$E97=0,$F97=0),"",$K97/($E97*$F97))</f>
        <v/>
      </c>
      <c r="M97" s="27">
        <f>IF($B97="","",IF($H97="","Open","Closed"))</f>
        <v/>
      </c>
    </row>
    <row r="98">
      <c r="A98" s="23" t="inlineStr">
        <is>
          <t>DHAN-23126090769709</t>
        </is>
      </c>
      <c r="B98" s="23" t="inlineStr">
        <is>
          <t>PITTIENG</t>
        </is>
      </c>
      <c r="C98" s="23" t="inlineStr">
        <is>
          <t>LONG</t>
        </is>
      </c>
      <c r="D98" s="24" t="n">
        <v>46272</v>
      </c>
      <c r="E98" s="25" t="n">
        <v>1174.901</v>
      </c>
      <c r="F98" s="26" t="n">
        <v>198</v>
      </c>
      <c r="G98" s="24" t="n">
        <v>46273</v>
      </c>
      <c r="H98" s="25" t="n">
        <v>1155.7843</v>
      </c>
      <c r="I98" s="21">
        <f>IF(OR($B98="",$H98=""),"",IF($C98="LONG",($H98-$E98)*$F98,($E98-$H98)*$F98))</f>
        <v/>
      </c>
      <c r="J98" s="4" t="n">
        <v>97.89</v>
      </c>
      <c r="K98" s="21">
        <f>IF(OR($B98="",$I98=""),"",$I98-IF($J98="",0,$J98))</f>
        <v/>
      </c>
      <c r="L98" s="22">
        <f>IF(OR($B98="",$K98="",$E98=0,$F98=0),"",$K98/($E98*$F98))</f>
        <v/>
      </c>
      <c r="M98" s="27">
        <f>IF($B98="","",IF($H98="","Open","Closed"))</f>
        <v/>
      </c>
    </row>
    <row r="99">
      <c r="A99" s="23" t="inlineStr">
        <is>
          <t>DHAN-211260907540809</t>
        </is>
      </c>
      <c r="B99" s="23" t="inlineStr">
        <is>
          <t>RML</t>
        </is>
      </c>
      <c r="C99" s="23" t="inlineStr">
        <is>
          <t>LONG</t>
        </is>
      </c>
      <c r="D99" s="24" t="n">
        <v>46272</v>
      </c>
      <c r="E99" s="25" t="n">
        <v>1397.9</v>
      </c>
      <c r="F99" s="26" t="n">
        <v>167</v>
      </c>
      <c r="G99" s="24" t="n">
        <v>46273</v>
      </c>
      <c r="H99" s="25" t="n">
        <v>1390.2426</v>
      </c>
      <c r="I99" s="21">
        <f>IF(OR($B99="",$H99=""),"",IF($C99="LONG",($H99-$E99)*$F99,($E99-$H99)*$F99))</f>
        <v/>
      </c>
      <c r="J99" s="4" t="n">
        <v>14.75</v>
      </c>
      <c r="K99" s="21">
        <f>IF(OR($B99="",$I99=""),"",$I99-IF($J99="",0,$J99))</f>
        <v/>
      </c>
      <c r="L99" s="22">
        <f>IF(OR($B99="",$K99="",$E99=0,$F99=0),"",$K99/($E99*$F99))</f>
        <v/>
      </c>
      <c r="M99" s="27">
        <f>IF($B99="","",IF($H99="","Open","Closed"))</f>
        <v/>
      </c>
    </row>
    <row r="100">
      <c r="A100" s="23" t="inlineStr">
        <is>
          <t>DHAN-321260907112709</t>
        </is>
      </c>
      <c r="B100" s="23" t="inlineStr">
        <is>
          <t>RML</t>
        </is>
      </c>
      <c r="C100" s="23" t="inlineStr">
        <is>
          <t>SHORT</t>
        </is>
      </c>
      <c r="D100" s="24" t="n">
        <v>46272</v>
      </c>
      <c r="E100" s="25" t="n">
        <v>1345.7526</v>
      </c>
      <c r="F100" s="26" t="n">
        <v>270</v>
      </c>
      <c r="G100" s="24" t="n">
        <v>46272</v>
      </c>
      <c r="H100" s="25" t="n">
        <v>1363.1344</v>
      </c>
      <c r="I100" s="21">
        <f>IF(OR($B100="",$H100=""),"",IF($C100="LONG",($H100-$E100)*$F100,($E100-$H100)*$F100))</f>
        <v/>
      </c>
      <c r="J100" s="4" t="n">
        <v>0</v>
      </c>
      <c r="K100" s="21">
        <f>IF(OR($B100="",$I100=""),"",$I100-IF($J100="",0,$J100))</f>
        <v/>
      </c>
      <c r="L100" s="22">
        <f>IF(OR($B100="",$K100="",$E100=0,$F100=0),"",$K100/($E100*$F100))</f>
        <v/>
      </c>
      <c r="M100" s="27">
        <f>IF($B100="","",IF($H100="","Open","Closed"))</f>
        <v/>
      </c>
    </row>
    <row r="101">
      <c r="A101" s="23" t="inlineStr">
        <is>
          <t>DHAN-34126090734409</t>
        </is>
      </c>
      <c r="B101" s="23" t="inlineStr">
        <is>
          <t>SINDHUTRAD</t>
        </is>
      </c>
      <c r="C101" s="23" t="inlineStr">
        <is>
          <t>SHORT</t>
        </is>
      </c>
      <c r="D101" s="24" t="n">
        <v>46272</v>
      </c>
      <c r="E101" s="25" t="n">
        <v>24.65</v>
      </c>
      <c r="F101" s="26" t="n">
        <v>13916</v>
      </c>
      <c r="G101" s="24" t="n">
        <v>46272</v>
      </c>
      <c r="H101" s="25" t="n">
        <v>25.2993</v>
      </c>
      <c r="I101" s="21">
        <f>IF(OR($B101="",$H101=""),"",IF($C101="LONG",($H101-$E101)*$F101,($E101-$H101)*$F101))</f>
        <v/>
      </c>
      <c r="J101" s="4" t="n">
        <v>0</v>
      </c>
      <c r="K101" s="21">
        <f>IF(OR($B101="",$I101=""),"",$I101-IF($J101="",0,$J101))</f>
        <v/>
      </c>
      <c r="L101" s="22">
        <f>IF(OR($B101="",$K101="",$E101=0,$F101=0),"",$K101/($E101*$F101))</f>
        <v/>
      </c>
      <c r="M101" s="27">
        <f>IF($B101="","",IF($H101="","Open","Closed"))</f>
        <v/>
      </c>
    </row>
    <row r="102">
      <c r="A102" s="23" t="inlineStr">
        <is>
          <t>DHAN-321260907804109</t>
        </is>
      </c>
      <c r="B102" s="23" t="inlineStr">
        <is>
          <t>TALBROAUTO</t>
        </is>
      </c>
      <c r="C102" s="23" t="inlineStr">
        <is>
          <t>LONG</t>
        </is>
      </c>
      <c r="D102" s="24" t="n">
        <v>46272</v>
      </c>
      <c r="E102" s="25" t="n">
        <v>433.5513</v>
      </c>
      <c r="F102" s="26" t="n">
        <v>538</v>
      </c>
      <c r="G102" s="24" t="n">
        <v>46273</v>
      </c>
      <c r="H102" s="25" t="n">
        <v>424.0808</v>
      </c>
      <c r="I102" s="21">
        <f>IF(OR($B102="",$H102=""),"",IF($C102="LONG",($H102-$E102)*$F102,($E102-$H102)*$F102))</f>
        <v/>
      </c>
      <c r="J102" s="4" t="n">
        <v>98.01000000000001</v>
      </c>
      <c r="K102" s="21">
        <f>IF(OR($B102="",$I102=""),"",$I102-IF($J102="",0,$J102))</f>
        <v/>
      </c>
      <c r="L102" s="22">
        <f>IF(OR($B102="",$K102="",$E102=0,$F102=0),"",$K102/($E102*$F102))</f>
        <v/>
      </c>
      <c r="M102" s="27">
        <f>IF($B102="","",IF($H102="","Open","Closed"))</f>
        <v/>
      </c>
    </row>
    <row r="103">
      <c r="A103" s="23" t="inlineStr">
        <is>
          <t>DHAN-34126090862909</t>
        </is>
      </c>
      <c r="B103" s="23" t="inlineStr">
        <is>
          <t>ANTELOPUS</t>
        </is>
      </c>
      <c r="C103" s="23" t="inlineStr">
        <is>
          <t>LONG</t>
        </is>
      </c>
      <c r="D103" s="24" t="n">
        <v>46273</v>
      </c>
      <c r="E103" s="25" t="n">
        <v>1102.5764</v>
      </c>
      <c r="F103" s="26" t="n">
        <v>91</v>
      </c>
      <c r="G103" s="24" t="n">
        <v>46274</v>
      </c>
      <c r="H103" s="25" t="n">
        <v>1138.4203</v>
      </c>
      <c r="I103" s="21">
        <f>IF(OR($B103="",$H103=""),"",IF($C103="LONG",($H103-$E103)*$F103,($E103-$H103)*$F103))</f>
        <v/>
      </c>
      <c r="J103" s="4" t="n">
        <v>14.75</v>
      </c>
      <c r="K103" s="21">
        <f>IF(OR($B103="",$I103=""),"",$I103-IF($J103="",0,$J103))</f>
        <v/>
      </c>
      <c r="L103" s="22">
        <f>IF(OR($B103="",$K103="",$E103=0,$F103=0),"",$K103/($E103*$F103))</f>
        <v/>
      </c>
      <c r="M103" s="27">
        <f>IF($B103="","",IF($H103="","Open","Closed"))</f>
        <v/>
      </c>
    </row>
    <row r="104">
      <c r="A104" s="23" t="inlineStr">
        <is>
          <t>DHAN-221260908659309</t>
        </is>
      </c>
      <c r="B104" s="23" t="inlineStr">
        <is>
          <t>BCG</t>
        </is>
      </c>
      <c r="C104" s="23" t="inlineStr">
        <is>
          <t>LONG</t>
        </is>
      </c>
      <c r="D104" s="24" t="n">
        <v>46273</v>
      </c>
      <c r="E104" s="25" t="n">
        <v>10.548</v>
      </c>
      <c r="F104" s="26" t="n">
        <v>9469</v>
      </c>
      <c r="G104" s="24" t="n">
        <v>46274</v>
      </c>
      <c r="H104" s="25" t="n">
        <v>10.7</v>
      </c>
      <c r="I104" s="21">
        <f>IF(OR($B104="",$H104=""),"",IF($C104="LONG",($H104-$E104)*$F104,($E104-$H104)*$F104))</f>
        <v/>
      </c>
      <c r="J104" s="4" t="n">
        <v>14.75</v>
      </c>
      <c r="K104" s="21">
        <f>IF(OR($B104="",$I104=""),"",$I104-IF($J104="",0,$J104))</f>
        <v/>
      </c>
      <c r="L104" s="22">
        <f>IF(OR($B104="",$K104="",$E104=0,$F104=0),"",$K104/($E104*$F104))</f>
        <v/>
      </c>
      <c r="M104" s="27">
        <f>IF($B104="","",IF($H104="","Open","Closed"))</f>
        <v/>
      </c>
    </row>
    <row r="105">
      <c r="A105" s="23" t="inlineStr">
        <is>
          <t>DHAN-23126090817409</t>
        </is>
      </c>
      <c r="B105" s="23" t="inlineStr">
        <is>
          <t>CHEMPLASTS</t>
        </is>
      </c>
      <c r="C105" s="23" t="inlineStr">
        <is>
          <t>SHORT</t>
        </is>
      </c>
      <c r="D105" s="24" t="n">
        <v>46273</v>
      </c>
      <c r="E105" s="25" t="n">
        <v>184.8514</v>
      </c>
      <c r="F105" s="26" t="n">
        <v>1261</v>
      </c>
      <c r="G105" s="24" t="n">
        <v>46273</v>
      </c>
      <c r="H105" s="25" t="n">
        <v>180.8919</v>
      </c>
      <c r="I105" s="21">
        <f>IF(OR($B105="",$H105=""),"",IF($C105="LONG",($H105-$E105)*$F105,($E105-$H105)*$F105))</f>
        <v/>
      </c>
      <c r="J105" s="4" t="n">
        <v>0</v>
      </c>
      <c r="K105" s="21">
        <f>IF(OR($B105="",$I105=""),"",$I105-IF($J105="",0,$J105))</f>
        <v/>
      </c>
      <c r="L105" s="22">
        <f>IF(OR($B105="",$K105="",$E105=0,$F105=0),"",$K105/($E105*$F105))</f>
        <v/>
      </c>
      <c r="M105" s="27">
        <f>IF($B105="","",IF($H105="","Open","Closed"))</f>
        <v/>
      </c>
    </row>
    <row r="106">
      <c r="A106" s="23" t="inlineStr">
        <is>
          <t>DHAN-221260908413109</t>
        </is>
      </c>
      <c r="B106" s="23" t="inlineStr">
        <is>
          <t>GNRL</t>
        </is>
      </c>
      <c r="C106" s="23" t="inlineStr">
        <is>
          <t>SHORT</t>
        </is>
      </c>
      <c r="D106" s="24" t="n">
        <v>46273</v>
      </c>
      <c r="E106" s="25" t="n">
        <v>107.3351</v>
      </c>
      <c r="F106" s="26" t="n">
        <v>1019</v>
      </c>
      <c r="G106" s="24" t="n">
        <v>46273</v>
      </c>
      <c r="H106" s="25" t="n">
        <v>107.6045</v>
      </c>
      <c r="I106" s="21">
        <f>IF(OR($B106="",$H106=""),"",IF($C106="LONG",($H106-$E106)*$F106,($E106-$H106)*$F106))</f>
        <v/>
      </c>
      <c r="J106" s="4" t="n">
        <v>0</v>
      </c>
      <c r="K106" s="21">
        <f>IF(OR($B106="",$I106=""),"",$I106-IF($J106="",0,$J106))</f>
        <v/>
      </c>
      <c r="L106" s="22">
        <f>IF(OR($B106="",$K106="",$E106=0,$F106=0),"",$K106/($E106*$F106))</f>
        <v/>
      </c>
      <c r="M106" s="27">
        <f>IF($B106="","",IF($H106="","Open","Closed"))</f>
        <v/>
      </c>
    </row>
    <row r="107">
      <c r="A107" s="23" t="inlineStr">
        <is>
          <t>DHAN-23126090817509</t>
        </is>
      </c>
      <c r="B107" s="23" t="inlineStr">
        <is>
          <t>HIKAL</t>
        </is>
      </c>
      <c r="C107" s="23" t="inlineStr">
        <is>
          <t>SHORT</t>
        </is>
      </c>
      <c r="D107" s="24" t="n">
        <v>46273</v>
      </c>
      <c r="E107" s="25" t="n">
        <v>250.9033</v>
      </c>
      <c r="F107" s="26" t="n">
        <v>959</v>
      </c>
      <c r="G107" s="24" t="n">
        <v>46273</v>
      </c>
      <c r="H107" s="25" t="n">
        <v>238.36</v>
      </c>
      <c r="I107" s="21">
        <f>IF(OR($B107="",$H107=""),"",IF($C107="LONG",($H107-$E107)*$F107,($E107-$H107)*$F107))</f>
        <v/>
      </c>
      <c r="J107" s="4" t="n">
        <v>0</v>
      </c>
      <c r="K107" s="21">
        <f>IF(OR($B107="",$I107=""),"",$I107-IF($J107="",0,$J107))</f>
        <v/>
      </c>
      <c r="L107" s="22">
        <f>IF(OR($B107="",$K107="",$E107=0,$F107=0),"",$K107/($E107*$F107))</f>
        <v/>
      </c>
      <c r="M107" s="27">
        <f>IF($B107="","",IF($H107="","Open","Closed"))</f>
        <v/>
      </c>
    </row>
    <row r="108">
      <c r="A108" s="23" t="inlineStr">
        <is>
          <t>DHAN-34126090863109</t>
        </is>
      </c>
      <c r="B108" s="23" t="inlineStr">
        <is>
          <t>NOVARTIND</t>
        </is>
      </c>
      <c r="C108" s="23" t="inlineStr">
        <is>
          <t>LONG</t>
        </is>
      </c>
      <c r="D108" s="24" t="n">
        <v>46273</v>
      </c>
      <c r="E108" s="25" t="n">
        <v>1830.287</v>
      </c>
      <c r="F108" s="26" t="n">
        <v>54</v>
      </c>
      <c r="G108" s="24" t="n">
        <v>46274</v>
      </c>
      <c r="H108" s="25" t="n">
        <v>1990.874</v>
      </c>
      <c r="I108" s="21">
        <f>IF(OR($B108="",$H108=""),"",IF($C108="LONG",($H108-$E108)*$F108,($E108-$H108)*$F108))</f>
        <v/>
      </c>
      <c r="J108" s="4" t="n">
        <v>14.75</v>
      </c>
      <c r="K108" s="21">
        <f>IF(OR($B108="",$I108=""),"",$I108-IF($J108="",0,$J108))</f>
        <v/>
      </c>
      <c r="L108" s="22">
        <f>IF(OR($B108="",$K108="",$E108=0,$F108=0),"",$K108/($E108*$F108))</f>
        <v/>
      </c>
      <c r="M108" s="27">
        <f>IF($B108="","",IF($H108="","Open","Closed"))</f>
        <v/>
      </c>
    </row>
    <row r="109">
      <c r="A109" s="23" t="inlineStr">
        <is>
          <t>DHAN-34126090837009</t>
        </is>
      </c>
      <c r="B109" s="23" t="inlineStr">
        <is>
          <t>PITTIENG</t>
        </is>
      </c>
      <c r="C109" s="23" t="inlineStr">
        <is>
          <t>SHORT</t>
        </is>
      </c>
      <c r="D109" s="24" t="n">
        <v>46273</v>
      </c>
      <c r="E109" s="25" t="n">
        <v>1156.1207</v>
      </c>
      <c r="F109" s="26" t="n">
        <v>198</v>
      </c>
      <c r="G109" s="24" t="n">
        <v>46273</v>
      </c>
      <c r="H109" s="25" t="n">
        <v>1175.9915</v>
      </c>
      <c r="I109" s="21">
        <f>IF(OR($B109="",$H109=""),"",IF($C109="LONG",($H109-$E109)*$F109,($E109-$H109)*$F109))</f>
        <v/>
      </c>
      <c r="J109" s="4" t="n">
        <v>0</v>
      </c>
      <c r="K109" s="21">
        <f>IF(OR($B109="",$I109=""),"",$I109-IF($J109="",0,$J109))</f>
        <v/>
      </c>
      <c r="L109" s="22">
        <f>IF(OR($B109="",$K109="",$E109=0,$F109=0),"",$K109/($E109*$F109))</f>
        <v/>
      </c>
      <c r="M109" s="27">
        <f>IF($B109="","",IF($H109="","Open","Closed"))</f>
        <v/>
      </c>
    </row>
    <row r="110">
      <c r="A110" s="23" t="inlineStr">
        <is>
          <t>DHAN-23126090859209</t>
        </is>
      </c>
      <c r="B110" s="23" t="inlineStr">
        <is>
          <t>SYMPHONY</t>
        </is>
      </c>
      <c r="C110" s="23" t="inlineStr">
        <is>
          <t>LONG</t>
        </is>
      </c>
      <c r="D110" s="24" t="n">
        <v>46273</v>
      </c>
      <c r="E110" s="25" t="n">
        <v>614</v>
      </c>
      <c r="F110" s="26" t="n">
        <v>324</v>
      </c>
      <c r="G110" s="24" t="n">
        <v>46274</v>
      </c>
      <c r="H110" s="25" t="n">
        <v>614.6335</v>
      </c>
      <c r="I110" s="21">
        <f>IF(OR($B110="",$H110=""),"",IF($C110="LONG",($H110-$E110)*$F110,($E110-$H110)*$F110))</f>
        <v/>
      </c>
      <c r="J110" s="4" t="n">
        <v>97.34999999999999</v>
      </c>
      <c r="K110" s="21">
        <f>IF(OR($B110="",$I110=""),"",$I110-IF($J110="",0,$J110))</f>
        <v/>
      </c>
      <c r="L110" s="22">
        <f>IF(OR($B110="",$K110="",$E110=0,$F110=0),"",$K110/($E110*$F110))</f>
        <v/>
      </c>
      <c r="M110" s="27">
        <f>IF($B110="","",IF($H110="","Open","Closed"))</f>
        <v/>
      </c>
    </row>
    <row r="111">
      <c r="A111" s="23" t="inlineStr">
        <is>
          <t>DHAN-34126090836909</t>
        </is>
      </c>
      <c r="B111" s="23" t="inlineStr">
        <is>
          <t>TALBROAUTO</t>
        </is>
      </c>
      <c r="C111" s="23" t="inlineStr">
        <is>
          <t>SHORT</t>
        </is>
      </c>
      <c r="D111" s="24" t="n">
        <v>46273</v>
      </c>
      <c r="E111" s="25" t="n">
        <v>423.2118</v>
      </c>
      <c r="F111" s="26" t="n">
        <v>538</v>
      </c>
      <c r="G111" s="24" t="n">
        <v>46273</v>
      </c>
      <c r="H111" s="25" t="n">
        <v>423.5558</v>
      </c>
      <c r="I111" s="21">
        <f>IF(OR($B111="",$H111=""),"",IF($C111="LONG",($H111-$E111)*$F111,($E111-$H111)*$F111))</f>
        <v/>
      </c>
      <c r="J111" s="4" t="n">
        <v>0</v>
      </c>
      <c r="K111" s="21">
        <f>IF(OR($B111="",$I111=""),"",$I111-IF($J111="",0,$J111))</f>
        <v/>
      </c>
      <c r="L111" s="22">
        <f>IF(OR($B111="",$K111="",$E111=0,$F111=0),"",$K111/($E111*$F111))</f>
        <v/>
      </c>
      <c r="M111" s="27">
        <f>IF($B111="","",IF($H111="","Open","Closed"))</f>
        <v/>
      </c>
    </row>
    <row r="112">
      <c r="A112" s="23" t="inlineStr">
        <is>
          <t>DHAN-23126090859309</t>
        </is>
      </c>
      <c r="B112" s="23" t="inlineStr">
        <is>
          <t>VENUSPIPES</t>
        </is>
      </c>
      <c r="C112" s="23" t="inlineStr">
        <is>
          <t>LONG</t>
        </is>
      </c>
      <c r="D112" s="24" t="n">
        <v>46273</v>
      </c>
      <c r="E112" s="25" t="n">
        <v>1954.9</v>
      </c>
      <c r="F112" s="26" t="n">
        <v>102</v>
      </c>
      <c r="G112" s="24" t="n">
        <v>46274</v>
      </c>
      <c r="H112" s="25" t="n">
        <v>1990.0922</v>
      </c>
      <c r="I112" s="21">
        <f>IF(OR($B112="",$H112=""),"",IF($C112="LONG",($H112-$E112)*$F112,($E112-$H112)*$F112))</f>
        <v/>
      </c>
      <c r="J112" s="4" t="n">
        <v>91.06999999999999</v>
      </c>
      <c r="K112" s="21">
        <f>IF(OR($B112="",$I112=""),"",$I112-IF($J112="",0,$J112))</f>
        <v/>
      </c>
      <c r="L112" s="22">
        <f>IF(OR($B112="",$K112="",$E112=0,$F112=0),"",$K112/($E112*$F112))</f>
        <v/>
      </c>
      <c r="M112" s="27">
        <f>IF($B112="","",IF($H112="","Open","Closed"))</f>
        <v/>
      </c>
    </row>
    <row r="113">
      <c r="A113" s="23" t="inlineStr">
        <is>
          <t>DHAN-321260909716709</t>
        </is>
      </c>
      <c r="B113" s="23" t="inlineStr">
        <is>
          <t>ANTELOPUS</t>
        </is>
      </c>
      <c r="C113" s="23" t="inlineStr">
        <is>
          <t>LONG</t>
        </is>
      </c>
      <c r="D113" s="24" t="n">
        <v>46274</v>
      </c>
      <c r="E113" s="25" t="n">
        <v>1162.9767</v>
      </c>
      <c r="F113" s="26" t="n">
        <v>75</v>
      </c>
      <c r="G113" s="24" t="n">
        <v>46275</v>
      </c>
      <c r="H113" s="25" t="n">
        <v>1137.85</v>
      </c>
      <c r="I113" s="21">
        <f>IF(OR($B113="",$H113=""),"",IF($C113="LONG",($H113-$E113)*$F113,($E113-$H113)*$F113))</f>
        <v/>
      </c>
      <c r="J113" s="4" t="n">
        <v>14.75</v>
      </c>
      <c r="K113" s="21">
        <f>IF(OR($B113="",$I113=""),"",$I113-IF($J113="",0,$J113))</f>
        <v/>
      </c>
      <c r="L113" s="22">
        <f>IF(OR($B113="",$K113="",$E113=0,$F113=0),"",$K113/($E113*$F113))</f>
        <v/>
      </c>
      <c r="M113" s="27">
        <f>IF($B113="","",IF($H113="","Open","Closed"))</f>
        <v/>
      </c>
    </row>
    <row r="114">
      <c r="A114" s="23" t="inlineStr">
        <is>
          <t>DHAN-321260909102909</t>
        </is>
      </c>
      <c r="B114" s="23" t="inlineStr">
        <is>
          <t>ANTELOPUS</t>
        </is>
      </c>
      <c r="C114" s="23" t="inlineStr">
        <is>
          <t>SHORT</t>
        </is>
      </c>
      <c r="D114" s="24" t="n">
        <v>46274</v>
      </c>
      <c r="E114" s="25" t="n">
        <v>1140.9686</v>
      </c>
      <c r="F114" s="26" t="n">
        <v>91</v>
      </c>
      <c r="G114" s="24" t="n">
        <v>46274</v>
      </c>
      <c r="H114" s="25" t="n">
        <v>1162.65</v>
      </c>
      <c r="I114" s="21">
        <f>IF(OR($B114="",$H114=""),"",IF($C114="LONG",($H114-$E114)*$F114,($E114-$H114)*$F114))</f>
        <v/>
      </c>
      <c r="J114" s="4" t="n">
        <v>0</v>
      </c>
      <c r="K114" s="21">
        <f>IF(OR($B114="",$I114=""),"",$I114-IF($J114="",0,$J114))</f>
        <v/>
      </c>
      <c r="L114" s="22">
        <f>IF(OR($B114="",$K114="",$E114=0,$F114=0),"",$K114/($E114*$F114))</f>
        <v/>
      </c>
      <c r="M114" s="27">
        <f>IF($B114="","",IF($H114="","Open","Closed"))</f>
        <v/>
      </c>
    </row>
    <row r="115">
      <c r="A115" s="23" t="inlineStr">
        <is>
          <t>DHAN-321260909102809</t>
        </is>
      </c>
      <c r="B115" s="23" t="inlineStr">
        <is>
          <t>BCG</t>
        </is>
      </c>
      <c r="C115" s="23" t="inlineStr">
        <is>
          <t>SHORT</t>
        </is>
      </c>
      <c r="D115" s="24" t="n">
        <v>46274</v>
      </c>
      <c r="E115" s="25" t="n">
        <v>10.7</v>
      </c>
      <c r="F115" s="26" t="n">
        <v>9469</v>
      </c>
      <c r="G115" s="24" t="n">
        <v>46274</v>
      </c>
      <c r="H115" s="25" t="n">
        <v>10.16</v>
      </c>
      <c r="I115" s="21">
        <f>IF(OR($B115="",$H115=""),"",IF($C115="LONG",($H115-$E115)*$F115,($E115-$H115)*$F115))</f>
        <v/>
      </c>
      <c r="J115" s="4" t="n">
        <v>0</v>
      </c>
      <c r="K115" s="21">
        <f>IF(OR($B115="",$I115=""),"",$I115-IF($J115="",0,$J115))</f>
        <v/>
      </c>
      <c r="L115" s="22">
        <f>IF(OR($B115="",$K115="",$E115=0,$F115=0),"",$K115/($E115*$F115))</f>
        <v/>
      </c>
      <c r="M115" s="27">
        <f>IF($B115="","",IF($H115="","Open","Closed"))</f>
        <v/>
      </c>
    </row>
    <row r="116">
      <c r="A116" s="23" t="inlineStr">
        <is>
          <t>DHAN-34126090981309</t>
        </is>
      </c>
      <c r="B116" s="23" t="inlineStr">
        <is>
          <t>EIEL</t>
        </is>
      </c>
      <c r="C116" s="23" t="inlineStr">
        <is>
          <t>LONG</t>
        </is>
      </c>
      <c r="D116" s="24" t="n">
        <v>46274</v>
      </c>
      <c r="E116" s="25" t="n">
        <v>206.0991</v>
      </c>
      <c r="F116" s="26" t="n">
        <v>847</v>
      </c>
      <c r="G116" s="24" t="n">
        <v>46275</v>
      </c>
      <c r="H116" s="25" t="n">
        <v>213.8</v>
      </c>
      <c r="I116" s="21">
        <f>IF(OR($B116="",$H116=""),"",IF($C116="LONG",($H116-$E116)*$F116,($E116-$H116)*$F116))</f>
        <v/>
      </c>
      <c r="J116" s="4" t="n">
        <v>87.77</v>
      </c>
      <c r="K116" s="21">
        <f>IF(OR($B116="",$I116=""),"",$I116-IF($J116="",0,$J116))</f>
        <v/>
      </c>
      <c r="L116" s="22">
        <f>IF(OR($B116="",$K116="",$E116=0,$F116=0),"",$K116/($E116*$F116))</f>
        <v/>
      </c>
      <c r="M116" s="27">
        <f>IF($B116="","",IF($H116="","Open","Closed"))</f>
        <v/>
      </c>
    </row>
    <row r="117">
      <c r="A117" s="23" t="inlineStr">
        <is>
          <t>DHAN-34126090980209</t>
        </is>
      </c>
      <c r="B117" s="23" t="inlineStr">
        <is>
          <t>INDNIPPON</t>
        </is>
      </c>
      <c r="C117" s="23" t="inlineStr">
        <is>
          <t>LONG</t>
        </is>
      </c>
      <c r="D117" s="24" t="n">
        <v>46274</v>
      </c>
      <c r="E117" s="25" t="n">
        <v>1340</v>
      </c>
      <c r="F117" s="26" t="n">
        <v>207</v>
      </c>
      <c r="G117" s="24" t="n">
        <v>46275</v>
      </c>
      <c r="H117" s="25" t="n">
        <v>1460.09</v>
      </c>
      <c r="I117" s="21">
        <f>IF(OR($B117="",$H117=""),"",IF($C117="LONG",($H117-$E117)*$F117,($E117-$H117)*$F117))</f>
        <v/>
      </c>
      <c r="J117" s="4" t="n">
        <v>107.07</v>
      </c>
      <c r="K117" s="21">
        <f>IF(OR($B117="",$I117=""),"",$I117-IF($J117="",0,$J117))</f>
        <v/>
      </c>
      <c r="L117" s="22">
        <f>IF(OR($B117="",$K117="",$E117=0,$F117=0),"",$K117/($E117*$F117))</f>
        <v/>
      </c>
      <c r="M117" s="27">
        <f>IF($B117="","",IF($H117="","Open","Closed"))</f>
        <v/>
      </c>
    </row>
    <row r="118">
      <c r="A118" s="23" t="inlineStr">
        <is>
          <t>DHAN-34126090981209</t>
        </is>
      </c>
      <c r="B118" s="23" t="inlineStr">
        <is>
          <t>INDORAMA</t>
        </is>
      </c>
      <c r="C118" s="23" t="inlineStr">
        <is>
          <t>LONG</t>
        </is>
      </c>
      <c r="D118" s="24" t="n">
        <v>46274</v>
      </c>
      <c r="E118" s="25" t="n">
        <v>85.4701</v>
      </c>
      <c r="F118" s="26" t="n">
        <v>1022</v>
      </c>
      <c r="G118" s="24" t="n">
        <v>46275</v>
      </c>
      <c r="H118" s="25" t="n">
        <v>87.33</v>
      </c>
      <c r="I118" s="21">
        <f>IF(OR($B118="",$H118=""),"",IF($C118="LONG",($H118-$E118)*$F118,($E118-$H118)*$F118))</f>
        <v/>
      </c>
      <c r="J118" s="4" t="n">
        <v>14.75</v>
      </c>
      <c r="K118" s="21">
        <f>IF(OR($B118="",$I118=""),"",$I118-IF($J118="",0,$J118))</f>
        <v/>
      </c>
      <c r="L118" s="22">
        <f>IF(OR($B118="",$K118="",$E118=0,$F118=0),"",$K118/($E118*$F118))</f>
        <v/>
      </c>
      <c r="M118" s="27">
        <f>IF($B118="","",IF($H118="","Open","Closed"))</f>
        <v/>
      </c>
    </row>
    <row r="119">
      <c r="A119" s="23" t="inlineStr">
        <is>
          <t>DHAN-221260909100409</t>
        </is>
      </c>
      <c r="B119" s="23" t="inlineStr">
        <is>
          <t>NOVARTIND</t>
        </is>
      </c>
      <c r="C119" s="23" t="inlineStr">
        <is>
          <t>SHORT</t>
        </is>
      </c>
      <c r="D119" s="24" t="n">
        <v>46274</v>
      </c>
      <c r="E119" s="25" t="n">
        <v>1982.2908</v>
      </c>
      <c r="F119" s="26" t="n">
        <v>54</v>
      </c>
      <c r="G119" s="24" t="n">
        <v>46274</v>
      </c>
      <c r="H119" s="25" t="n">
        <v>2159.2258</v>
      </c>
      <c r="I119" s="21">
        <f>IF(OR($B119="",$H119=""),"",IF($C119="LONG",($H119-$E119)*$F119,($E119-$H119)*$F119))</f>
        <v/>
      </c>
      <c r="J119" s="4" t="n">
        <v>0</v>
      </c>
      <c r="K119" s="21">
        <f>IF(OR($B119="",$I119=""),"",$I119-IF($J119="",0,$J119))</f>
        <v/>
      </c>
      <c r="L119" s="22">
        <f>IF(OR($B119="",$K119="",$E119=0,$F119=0),"",$K119/($E119*$F119))</f>
        <v/>
      </c>
      <c r="M119" s="27">
        <f>IF($B119="","",IF($H119="","Open","Closed"))</f>
        <v/>
      </c>
    </row>
    <row r="120">
      <c r="A120" s="23" t="inlineStr">
        <is>
          <t>DHAN-221260909672309</t>
        </is>
      </c>
      <c r="B120" s="23" t="inlineStr">
        <is>
          <t>RESPONIND</t>
        </is>
      </c>
      <c r="C120" s="23" t="inlineStr">
        <is>
          <t>LONG</t>
        </is>
      </c>
      <c r="D120" s="24" t="n">
        <v>46274</v>
      </c>
      <c r="E120" s="25" t="n">
        <v>169.585</v>
      </c>
      <c r="F120" s="26" t="n">
        <v>1026</v>
      </c>
      <c r="G120" s="24" t="n">
        <v>46275</v>
      </c>
      <c r="H120" s="25" t="n">
        <v>172.17</v>
      </c>
      <c r="I120" s="21">
        <f>IF(OR($B120="",$H120=""),"",IF($C120="LONG",($H120-$E120)*$F120,($E120-$H120)*$F120))</f>
        <v/>
      </c>
      <c r="J120" s="4" t="n">
        <v>86.84</v>
      </c>
      <c r="K120" s="21">
        <f>IF(OR($B120="",$I120=""),"",$I120-IF($J120="",0,$J120))</f>
        <v/>
      </c>
      <c r="L120" s="22">
        <f>IF(OR($B120="",$K120="",$E120=0,$F120=0),"",$K120/($E120*$F120))</f>
        <v/>
      </c>
      <c r="M120" s="27">
        <f>IF($B120="","",IF($H120="","Open","Closed"))</f>
        <v/>
      </c>
    </row>
    <row r="121">
      <c r="A121" s="23" t="inlineStr">
        <is>
          <t>DHAN-23126090989309</t>
        </is>
      </c>
      <c r="B121" s="23" t="inlineStr">
        <is>
          <t>SHAREINDIA</t>
        </is>
      </c>
      <c r="C121" s="23" t="inlineStr">
        <is>
          <t>LONG</t>
        </is>
      </c>
      <c r="D121" s="24" t="n">
        <v>46274</v>
      </c>
      <c r="E121" s="25" t="n">
        <v>190.2983</v>
      </c>
      <c r="F121" s="26" t="n">
        <v>923</v>
      </c>
      <c r="G121" s="24" t="n">
        <v>46275</v>
      </c>
      <c r="H121" s="25" t="n">
        <v>201.1</v>
      </c>
      <c r="I121" s="21">
        <f>IF(OR($B121="",$H121=""),"",IF($C121="LONG",($H121-$E121)*$F121,($E121-$H121)*$F121))</f>
        <v/>
      </c>
      <c r="J121" s="4" t="n">
        <v>80.79000000000001</v>
      </c>
      <c r="K121" s="21">
        <f>IF(OR($B121="",$I121=""),"",$I121-IF($J121="",0,$J121))</f>
        <v/>
      </c>
      <c r="L121" s="22">
        <f>IF(OR($B121="",$K121="",$E121=0,$F121=0),"",$K121/($E121*$F121))</f>
        <v/>
      </c>
      <c r="M121" s="27">
        <f>IF($B121="","",IF($H121="","Open","Closed"))</f>
        <v/>
      </c>
    </row>
    <row r="122">
      <c r="A122" s="23" t="inlineStr">
        <is>
          <t>DHAN-34126090953709</t>
        </is>
      </c>
      <c r="B122" s="23" t="inlineStr">
        <is>
          <t>SYMPHONY</t>
        </is>
      </c>
      <c r="C122" s="23" t="inlineStr">
        <is>
          <t>SHORT</t>
        </is>
      </c>
      <c r="D122" s="24" t="n">
        <v>46274</v>
      </c>
      <c r="E122" s="25" t="n">
        <v>613.9752</v>
      </c>
      <c r="F122" s="26" t="n">
        <v>324</v>
      </c>
      <c r="G122" s="24" t="n">
        <v>46274</v>
      </c>
      <c r="H122" s="25" t="n">
        <v>616.5076</v>
      </c>
      <c r="I122" s="21">
        <f>IF(OR($B122="",$H122=""),"",IF($C122="LONG",($H122-$E122)*$F122,($E122-$H122)*$F122))</f>
        <v/>
      </c>
      <c r="J122" s="4" t="n">
        <v>0</v>
      </c>
      <c r="K122" s="21">
        <f>IF(OR($B122="",$I122=""),"",$I122-IF($J122="",0,$J122))</f>
        <v/>
      </c>
      <c r="L122" s="22">
        <f>IF(OR($B122="",$K122="",$E122=0,$F122=0),"",$K122/($E122*$F122))</f>
        <v/>
      </c>
      <c r="M122" s="27">
        <f>IF($B122="","",IF($H122="","Open","Closed"))</f>
        <v/>
      </c>
    </row>
    <row r="123">
      <c r="A123" s="23" t="inlineStr">
        <is>
          <t>DHAN-221260909100309</t>
        </is>
      </c>
      <c r="B123" s="23" t="inlineStr">
        <is>
          <t>VENUSPIPES</t>
        </is>
      </c>
      <c r="C123" s="23" t="inlineStr">
        <is>
          <t>SHORT</t>
        </is>
      </c>
      <c r="D123" s="24" t="n">
        <v>46274</v>
      </c>
      <c r="E123" s="25" t="n">
        <v>1987.3264</v>
      </c>
      <c r="F123" s="26" t="n">
        <v>102</v>
      </c>
      <c r="G123" s="24" t="n">
        <v>46274</v>
      </c>
      <c r="H123" s="25" t="n">
        <v>1943.597</v>
      </c>
      <c r="I123" s="21">
        <f>IF(OR($B123="",$H123=""),"",IF($C123="LONG",($H123-$E123)*$F123,($E123-$H123)*$F123))</f>
        <v/>
      </c>
      <c r="J123" s="4" t="n">
        <v>0</v>
      </c>
      <c r="K123" s="21">
        <f>IF(OR($B123="",$I123=""),"",$I123-IF($J123="",0,$J123))</f>
        <v/>
      </c>
      <c r="L123" s="22">
        <f>IF(OR($B123="",$K123="",$E123=0,$F123=0),"",$K123/($E123*$F123))</f>
        <v/>
      </c>
      <c r="M123" s="27">
        <f>IF($B123="","",IF($H123="","Open","Closed"))</f>
        <v/>
      </c>
    </row>
    <row r="124">
      <c r="A124" s="23" t="inlineStr">
        <is>
          <t>DHAN-23126091046509</t>
        </is>
      </c>
      <c r="B124" s="23" t="inlineStr">
        <is>
          <t>ANTELOPUS</t>
        </is>
      </c>
      <c r="C124" s="23" t="inlineStr">
        <is>
          <t>SHORT</t>
        </is>
      </c>
      <c r="D124" s="24" t="n">
        <v>46275</v>
      </c>
      <c r="E124" s="25" t="n">
        <v>1137.38</v>
      </c>
      <c r="F124" s="26" t="n">
        <v>75</v>
      </c>
      <c r="G124" s="24" t="n">
        <v>46275</v>
      </c>
      <c r="H124" s="25" t="n">
        <v>1134.24</v>
      </c>
      <c r="I124" s="21">
        <f>IF(OR($B124="",$H124=""),"",IF($C124="LONG",($H124-$E124)*$F124,($E124-$H124)*$F124))</f>
        <v/>
      </c>
      <c r="J124" s="4" t="n">
        <v>0</v>
      </c>
      <c r="K124" s="21">
        <f>IF(OR($B124="",$I124=""),"",$I124-IF($J124="",0,$J124))</f>
        <v/>
      </c>
      <c r="L124" s="22">
        <f>IF(OR($B124="",$K124="",$E124=0,$F124=0),"",$K124/($E124*$F124))</f>
        <v/>
      </c>
      <c r="M124" s="27">
        <f>IF($B124="","",IF($H124="","Open","Closed"))</f>
        <v/>
      </c>
    </row>
    <row r="125">
      <c r="A125" s="23" t="inlineStr">
        <is>
          <t>DHAN-34126091019209</t>
        </is>
      </c>
      <c r="B125" s="23" t="inlineStr">
        <is>
          <t>EIEL</t>
        </is>
      </c>
      <c r="C125" s="23" t="inlineStr">
        <is>
          <t>SHORT</t>
        </is>
      </c>
      <c r="D125" s="24" t="n">
        <v>46275</v>
      </c>
      <c r="E125" s="25" t="n">
        <v>213.59</v>
      </c>
      <c r="F125" s="26" t="n">
        <v>847</v>
      </c>
      <c r="G125" s="24" t="n">
        <v>46275</v>
      </c>
      <c r="H125" s="25" t="n">
        <v>213.18</v>
      </c>
      <c r="I125" s="21">
        <f>IF(OR($B125="",$H125=""),"",IF($C125="LONG",($H125-$E125)*$F125,($E125-$H125)*$F125))</f>
        <v/>
      </c>
      <c r="J125" s="4" t="n">
        <v>0</v>
      </c>
      <c r="K125" s="21">
        <f>IF(OR($B125="",$I125=""),"",$I125-IF($J125="",0,$J125))</f>
        <v/>
      </c>
      <c r="L125" s="22">
        <f>IF(OR($B125="",$K125="",$E125=0,$F125=0),"",$K125/($E125*$F125))</f>
        <v/>
      </c>
      <c r="M125" s="27">
        <f>IF($B125="","",IF($H125="","Open","Closed"))</f>
        <v/>
      </c>
    </row>
    <row r="126">
      <c r="A126" s="23" t="inlineStr">
        <is>
          <t>DHAN-32126091099109</t>
        </is>
      </c>
      <c r="B126" s="23" t="inlineStr">
        <is>
          <t>INDNIPPON</t>
        </is>
      </c>
      <c r="C126" s="23" t="inlineStr">
        <is>
          <t>SHORT</t>
        </is>
      </c>
      <c r="D126" s="24" t="n">
        <v>46275</v>
      </c>
      <c r="E126" s="25" t="n">
        <v>1456.15</v>
      </c>
      <c r="F126" s="26" t="n">
        <v>207</v>
      </c>
      <c r="G126" s="24" t="n">
        <v>46275</v>
      </c>
      <c r="H126" s="25" t="n">
        <v>1552.9169</v>
      </c>
      <c r="I126" s="21">
        <f>IF(OR($B126="",$H126=""),"",IF($C126="LONG",($H126-$E126)*$F126,($E126-$H126)*$F126))</f>
        <v/>
      </c>
      <c r="J126" s="4" t="n">
        <v>0</v>
      </c>
      <c r="K126" s="21">
        <f>IF(OR($B126="",$I126=""),"",$I126-IF($J126="",0,$J126))</f>
        <v/>
      </c>
      <c r="L126" s="22">
        <f>IF(OR($B126="",$K126="",$E126=0,$F126=0),"",$K126/($E126*$F126))</f>
        <v/>
      </c>
      <c r="M126" s="27">
        <f>IF($B126="","",IF($H126="","Open","Closed"))</f>
        <v/>
      </c>
    </row>
    <row r="127">
      <c r="A127" s="23" t="inlineStr">
        <is>
          <t>DHAN-321260910622509</t>
        </is>
      </c>
      <c r="B127" s="23" t="inlineStr">
        <is>
          <t>INDOCO</t>
        </is>
      </c>
      <c r="C127" s="23" t="inlineStr">
        <is>
          <t>LONG</t>
        </is>
      </c>
      <c r="D127" s="24" t="n">
        <v>46275</v>
      </c>
      <c r="E127" s="25" t="n">
        <v>253.0721</v>
      </c>
      <c r="F127" s="26" t="n">
        <v>1146</v>
      </c>
      <c r="G127" s="24" t="n">
        <v>46276</v>
      </c>
      <c r="H127" s="25" t="n">
        <v>263.23</v>
      </c>
      <c r="I127" s="21">
        <f>IF(OR($B127="",$H127=""),"",IF($C127="LONG",($H127-$E127)*$F127,($E127-$H127)*$F127))</f>
        <v/>
      </c>
      <c r="J127" s="4" t="n">
        <v>109.66</v>
      </c>
      <c r="K127" s="21">
        <f>IF(OR($B127="",$I127=""),"",$I127-IF($J127="",0,$J127))</f>
        <v/>
      </c>
      <c r="L127" s="22">
        <f>IF(OR($B127="",$K127="",$E127=0,$F127=0),"",$K127/($E127*$F127))</f>
        <v/>
      </c>
      <c r="M127" s="27">
        <f>IF($B127="","",IF($H127="","Open","Closed"))</f>
        <v/>
      </c>
    </row>
    <row r="128">
      <c r="A128" s="23" t="inlineStr">
        <is>
          <t>DHAN-221260910389009</t>
        </is>
      </c>
      <c r="B128" s="23" t="inlineStr">
        <is>
          <t>INDORAMA</t>
        </is>
      </c>
      <c r="C128" s="23" t="inlineStr">
        <is>
          <t>SHORT</t>
        </is>
      </c>
      <c r="D128" s="24" t="n">
        <v>46275</v>
      </c>
      <c r="E128" s="25" t="n">
        <v>87.26000000000001</v>
      </c>
      <c r="F128" s="26" t="n">
        <v>1022</v>
      </c>
      <c r="G128" s="24" t="n">
        <v>46275</v>
      </c>
      <c r="H128" s="25" t="n">
        <v>84.66</v>
      </c>
      <c r="I128" s="21">
        <f>IF(OR($B128="",$H128=""),"",IF($C128="LONG",($H128-$E128)*$F128,($E128-$H128)*$F128))</f>
        <v/>
      </c>
      <c r="J128" s="4" t="n">
        <v>0</v>
      </c>
      <c r="K128" s="21">
        <f>IF(OR($B128="",$I128=""),"",$I128-IF($J128="",0,$J128))</f>
        <v/>
      </c>
      <c r="L128" s="22">
        <f>IF(OR($B128="",$K128="",$E128=0,$F128=0),"",$K128/($E128*$F128))</f>
        <v/>
      </c>
      <c r="M128" s="27">
        <f>IF($B128="","",IF($H128="","Open","Closed"))</f>
        <v/>
      </c>
    </row>
    <row r="129">
      <c r="A129" s="23" t="inlineStr">
        <is>
          <t>DHAN-23126091079309</t>
        </is>
      </c>
      <c r="B129" s="23" t="inlineStr">
        <is>
          <t>KSL</t>
        </is>
      </c>
      <c r="C129" s="23" t="inlineStr">
        <is>
          <t>LONG</t>
        </is>
      </c>
      <c r="D129" s="24" t="n">
        <v>46275</v>
      </c>
      <c r="E129" s="25" t="n">
        <v>968.7272</v>
      </c>
      <c r="F129" s="26" t="n">
        <v>299</v>
      </c>
      <c r="G129" s="24" t="n">
        <v>46276</v>
      </c>
      <c r="H129" s="25" t="n">
        <v>970.53</v>
      </c>
      <c r="I129" s="21">
        <f>IF(OR($B129="",$H129=""),"",IF($C129="LONG",($H129-$E129)*$F129,($E129-$H129)*$F129))</f>
        <v/>
      </c>
      <c r="J129" s="4" t="n">
        <v>109.59</v>
      </c>
      <c r="K129" s="21">
        <f>IF(OR($B129="",$I129=""),"",$I129-IF($J129="",0,$J129))</f>
        <v/>
      </c>
      <c r="L129" s="22">
        <f>IF(OR($B129="",$K129="",$E129=0,$F129=0),"",$K129/($E129*$F129))</f>
        <v/>
      </c>
      <c r="M129" s="27">
        <f>IF($B129="","",IF($H129="","Open","Closed"))</f>
        <v/>
      </c>
    </row>
    <row r="130">
      <c r="A130" s="23" t="inlineStr">
        <is>
          <t>DHAN-23126091046609</t>
        </is>
      </c>
      <c r="B130" s="23" t="inlineStr">
        <is>
          <t>RESPONIND</t>
        </is>
      </c>
      <c r="C130" s="23" t="inlineStr">
        <is>
          <t>SHORT</t>
        </is>
      </c>
      <c r="D130" s="24" t="n">
        <v>46275</v>
      </c>
      <c r="E130" s="25" t="n">
        <v>172.11</v>
      </c>
      <c r="F130" s="26" t="n">
        <v>1026</v>
      </c>
      <c r="G130" s="24" t="n">
        <v>46275</v>
      </c>
      <c r="H130" s="25" t="n">
        <v>171.29</v>
      </c>
      <c r="I130" s="21">
        <f>IF(OR($B130="",$H130=""),"",IF($C130="LONG",($H130-$E130)*$F130,($E130-$H130)*$F130))</f>
        <v/>
      </c>
      <c r="J130" s="4" t="n">
        <v>0</v>
      </c>
      <c r="K130" s="21">
        <f>IF(OR($B130="",$I130=""),"",$I130-IF($J130="",0,$J130))</f>
        <v/>
      </c>
      <c r="L130" s="22">
        <f>IF(OR($B130="",$K130="",$E130=0,$F130=0),"",$K130/($E130*$F130))</f>
        <v/>
      </c>
      <c r="M130" s="27">
        <f>IF($B130="","",IF($H130="","Open","Closed"))</f>
        <v/>
      </c>
    </row>
    <row r="131">
      <c r="A131" s="23" t="inlineStr">
        <is>
          <t>DHAN-321260910622409</t>
        </is>
      </c>
      <c r="B131" s="23" t="inlineStr">
        <is>
          <t>SAMHI</t>
        </is>
      </c>
      <c r="C131" s="23" t="inlineStr">
        <is>
          <t>LONG</t>
        </is>
      </c>
      <c r="D131" s="24" t="n">
        <v>46275</v>
      </c>
      <c r="E131" s="25" t="n">
        <v>160.6529</v>
      </c>
      <c r="F131" s="26" t="n">
        <v>1815</v>
      </c>
      <c r="G131" s="24" t="n">
        <v>46276</v>
      </c>
      <c r="H131" s="25" t="n">
        <v>157.65</v>
      </c>
      <c r="I131" s="21">
        <f>IF(OR($B131="",$H131=""),"",IF($C131="LONG",($H131-$E131)*$F131,($E131-$H131)*$F131))</f>
        <v/>
      </c>
      <c r="J131" s="4" t="n">
        <v>117.16</v>
      </c>
      <c r="K131" s="21">
        <f>IF(OR($B131="",$I131=""),"",$I131-IF($J131="",0,$J131))</f>
        <v/>
      </c>
      <c r="L131" s="22">
        <f>IF(OR($B131="",$K131="",$E131=0,$F131=0),"",$K131/($E131*$F131))</f>
        <v/>
      </c>
      <c r="M131" s="27">
        <f>IF($B131="","",IF($H131="","Open","Closed"))</f>
        <v/>
      </c>
    </row>
    <row r="132">
      <c r="A132" s="23" t="inlineStr">
        <is>
          <t>DHAN-221260910101209</t>
        </is>
      </c>
      <c r="B132" s="23" t="inlineStr">
        <is>
          <t>SHAREINDIA</t>
        </is>
      </c>
      <c r="C132" s="23" t="inlineStr">
        <is>
          <t>SHORT</t>
        </is>
      </c>
      <c r="D132" s="24" t="n">
        <v>46275</v>
      </c>
      <c r="E132" s="25" t="n">
        <v>201.46</v>
      </c>
      <c r="F132" s="26" t="n">
        <v>923</v>
      </c>
      <c r="G132" s="24" t="n">
        <v>46275</v>
      </c>
      <c r="H132" s="25" t="n">
        <v>205</v>
      </c>
      <c r="I132" s="21">
        <f>IF(OR($B132="",$H132=""),"",IF($C132="LONG",($H132-$E132)*$F132,($E132-$H132)*$F132))</f>
        <v/>
      </c>
      <c r="J132" s="4" t="n">
        <v>0</v>
      </c>
      <c r="K132" s="21">
        <f>IF(OR($B132="",$I132=""),"",$I132-IF($J132="",0,$J132))</f>
        <v/>
      </c>
      <c r="L132" s="22">
        <f>IF(OR($B132="",$K132="",$E132=0,$F132=0),"",$K132/($E132*$F132))</f>
        <v/>
      </c>
      <c r="M132" s="27">
        <f>IF($B132="","",IF($H132="","Open","Closed"))</f>
        <v/>
      </c>
    </row>
    <row r="133">
      <c r="A133" s="23" t="inlineStr">
        <is>
          <t>DHAN-34126091072709</t>
        </is>
      </c>
      <c r="B133" s="23" t="inlineStr">
        <is>
          <t>VSSL</t>
        </is>
      </c>
      <c r="C133" s="23" t="inlineStr">
        <is>
          <t>LONG</t>
        </is>
      </c>
      <c r="D133" s="24" t="n">
        <v>46275</v>
      </c>
      <c r="E133" s="25" t="n">
        <v>390.2742</v>
      </c>
      <c r="F133" s="26" t="n">
        <v>739</v>
      </c>
      <c r="G133" s="24" t="n">
        <v>46276</v>
      </c>
      <c r="H133" s="25" t="n">
        <v>395.2</v>
      </c>
      <c r="I133" s="21">
        <f>IF(OR($B133="",$H133=""),"",IF($C133="LONG",($H133-$E133)*$F133,($E133-$H133)*$F133))</f>
        <v/>
      </c>
      <c r="J133" s="4" t="n">
        <v>109.33</v>
      </c>
      <c r="K133" s="21">
        <f>IF(OR($B133="",$I133=""),"",$I133-IF($J133="",0,$J133))</f>
        <v/>
      </c>
      <c r="L133" s="22">
        <f>IF(OR($B133="",$K133="",$E133=0,$F133=0),"",$K133/($E133*$F133))</f>
        <v/>
      </c>
      <c r="M133" s="27">
        <f>IF($B133="","",IF($H133="","Open","Closed"))</f>
        <v/>
      </c>
    </row>
    <row r="134">
      <c r="A134" s="23" t="inlineStr">
        <is>
          <t>DHAN-321260910622609</t>
        </is>
      </c>
      <c r="B134" s="23" t="inlineStr">
        <is>
          <t>WENDT</t>
        </is>
      </c>
      <c r="C134" s="23" t="inlineStr">
        <is>
          <t>LONG</t>
        </is>
      </c>
      <c r="D134" s="24" t="n">
        <v>46275</v>
      </c>
      <c r="E134" s="25" t="n">
        <v>8657.606</v>
      </c>
      <c r="F134" s="26" t="n">
        <v>33</v>
      </c>
      <c r="G134" s="24" t="n">
        <v>46276</v>
      </c>
      <c r="H134" s="25" t="n">
        <v>8730.18</v>
      </c>
      <c r="I134" s="21">
        <f>IF(OR($B134="",$H134=""),"",IF($C134="LONG",($H134-$E134)*$F134,($E134-$H134)*$F134))</f>
        <v/>
      </c>
      <c r="J134" s="4" t="n">
        <v>108.78</v>
      </c>
      <c r="K134" s="21">
        <f>IF(OR($B134="",$I134=""),"",$I134-IF($J134="",0,$J134))</f>
        <v/>
      </c>
      <c r="L134" s="22">
        <f>IF(OR($B134="",$K134="",$E134=0,$F134=0),"",$K134/($E134*$F134))</f>
        <v/>
      </c>
      <c r="M134" s="27">
        <f>IF($B134="","",IF($H134="","Open","Closed"))</f>
        <v/>
      </c>
    </row>
    <row r="135">
      <c r="A135" s="23" t="inlineStr">
        <is>
          <t>DHAN-23126091161109</t>
        </is>
      </c>
      <c r="B135" s="23" t="inlineStr">
        <is>
          <t>AWFIS</t>
        </is>
      </c>
      <c r="C135" s="23" t="inlineStr">
        <is>
          <t>LONG</t>
        </is>
      </c>
      <c r="D135" s="24" t="n">
        <v>46276</v>
      </c>
      <c r="E135" s="25" t="n">
        <v>293.7202</v>
      </c>
      <c r="F135" s="26" t="n">
        <v>618</v>
      </c>
      <c r="G135" s="24" t="n">
        <v>46280</v>
      </c>
      <c r="H135" s="25" t="n">
        <v>281.0708</v>
      </c>
      <c r="I135" s="21">
        <f>IF(OR($B135="",$H135=""),"",IF($C135="LONG",($H135-$E135)*$F135,($E135-$H135)*$F135))</f>
        <v/>
      </c>
      <c r="J135" s="4" t="n">
        <v>199.14</v>
      </c>
      <c r="K135" s="21">
        <f>IF(OR($B135="",$I135=""),"",$I135-IF($J135="",0,$J135))</f>
        <v/>
      </c>
      <c r="L135" s="22">
        <f>IF(OR($B135="",$K135="",$E135=0,$F135=0),"",$K135/($E135*$F135))</f>
        <v/>
      </c>
      <c r="M135" s="27">
        <f>IF($B135="","",IF($H135="","Open","Closed"))</f>
        <v/>
      </c>
    </row>
    <row r="136">
      <c r="A136" s="23" t="inlineStr">
        <is>
          <t>DHAN-221260911696009</t>
        </is>
      </c>
      <c r="B136" s="23" t="inlineStr">
        <is>
          <t>FILATEX</t>
        </is>
      </c>
      <c r="C136" s="23" t="inlineStr">
        <is>
          <t>LONG</t>
        </is>
      </c>
      <c r="D136" s="24" t="n">
        <v>46276</v>
      </c>
      <c r="E136" s="25" t="n">
        <v>87.3199</v>
      </c>
      <c r="F136" s="26" t="n">
        <v>1042</v>
      </c>
      <c r="G136" s="24" t="n">
        <v>46280</v>
      </c>
      <c r="H136" s="25" t="n">
        <v>87.90260000000001</v>
      </c>
      <c r="I136" s="21">
        <f>IF(OR($B136="",$H136=""),"",IF($C136="LONG",($H136-$E136)*$F136,($E136-$H136)*$F136))</f>
        <v/>
      </c>
      <c r="J136" s="4" t="n">
        <v>14.75</v>
      </c>
      <c r="K136" s="21">
        <f>IF(OR($B136="",$I136=""),"",$I136-IF($J136="",0,$J136))</f>
        <v/>
      </c>
      <c r="L136" s="22">
        <f>IF(OR($B136="",$K136="",$E136=0,$F136=0),"",$K136/($E136*$F136))</f>
        <v/>
      </c>
      <c r="M136" s="27">
        <f>IF($B136="","",IF($H136="","Open","Closed"))</f>
        <v/>
      </c>
    </row>
    <row r="137">
      <c r="A137" s="23" t="inlineStr">
        <is>
          <t>DHAN-23126091115309</t>
        </is>
      </c>
      <c r="B137" s="23" t="inlineStr">
        <is>
          <t>INDOCO</t>
        </is>
      </c>
      <c r="C137" s="23" t="inlineStr">
        <is>
          <t>SHORT</t>
        </is>
      </c>
      <c r="D137" s="24" t="n">
        <v>46276</v>
      </c>
      <c r="E137" s="25" t="n">
        <v>263.46</v>
      </c>
      <c r="F137" s="26" t="n">
        <v>1146</v>
      </c>
      <c r="G137" s="24" t="n">
        <v>46276</v>
      </c>
      <c r="H137" s="25" t="n">
        <v>262.88</v>
      </c>
      <c r="I137" s="21">
        <f>IF(OR($B137="",$H137=""),"",IF($C137="LONG",($H137-$E137)*$F137,($E137-$H137)*$F137))</f>
        <v/>
      </c>
      <c r="J137" s="4" t="n">
        <v>0</v>
      </c>
      <c r="K137" s="21">
        <f>IF(OR($B137="",$I137=""),"",$I137-IF($J137="",0,$J137))</f>
        <v/>
      </c>
      <c r="L137" s="22">
        <f>IF(OR($B137="",$K137="",$E137=0,$F137=0),"",$K137/($E137*$F137))</f>
        <v/>
      </c>
      <c r="M137" s="27">
        <f>IF($B137="","",IF($H137="","Open","Closed"))</f>
        <v/>
      </c>
    </row>
    <row r="138">
      <c r="A138" s="23" t="inlineStr">
        <is>
          <t>DHAN-321260911696409</t>
        </is>
      </c>
      <c r="B138" s="23" t="inlineStr">
        <is>
          <t>KIRLOSIND</t>
        </is>
      </c>
      <c r="C138" s="23" t="inlineStr">
        <is>
          <t>LONG</t>
        </is>
      </c>
      <c r="D138" s="24" t="n">
        <v>46276</v>
      </c>
      <c r="E138" s="25" t="n">
        <v>3826.583</v>
      </c>
      <c r="F138" s="26" t="n">
        <v>47</v>
      </c>
      <c r="G138" s="24" t="n">
        <v>46280</v>
      </c>
      <c r="H138" s="25" t="n">
        <v>3905.0383</v>
      </c>
      <c r="I138" s="21">
        <f>IF(OR($B138="",$H138=""),"",IF($C138="LONG",($H138-$E138)*$F138,($E138-$H138)*$F138))</f>
        <v/>
      </c>
      <c r="J138" s="4" t="n">
        <v>197.77</v>
      </c>
      <c r="K138" s="21">
        <f>IF(OR($B138="",$I138=""),"",$I138-IF($J138="",0,$J138))</f>
        <v/>
      </c>
      <c r="L138" s="22">
        <f>IF(OR($B138="",$K138="",$E138=0,$F138=0),"",$K138/($E138*$F138))</f>
        <v/>
      </c>
      <c r="M138" s="27">
        <f>IF($B138="","",IF($H138="","Open","Closed"))</f>
        <v/>
      </c>
    </row>
    <row r="139">
      <c r="A139" s="23" t="inlineStr">
        <is>
          <t>DHAN-321260911440509</t>
        </is>
      </c>
      <c r="B139" s="23" t="inlineStr">
        <is>
          <t>KSL</t>
        </is>
      </c>
      <c r="C139" s="23" t="inlineStr">
        <is>
          <t>SHORT</t>
        </is>
      </c>
      <c r="D139" s="24" t="n">
        <v>46276</v>
      </c>
      <c r="E139" s="25" t="n">
        <v>970.4299999999999</v>
      </c>
      <c r="F139" s="26" t="n">
        <v>299</v>
      </c>
      <c r="G139" s="24" t="n">
        <v>46276</v>
      </c>
      <c r="H139" s="25" t="n">
        <v>959.9299999999999</v>
      </c>
      <c r="I139" s="21">
        <f>IF(OR($B139="",$H139=""),"",IF($C139="LONG",($H139-$E139)*$F139,($E139-$H139)*$F139))</f>
        <v/>
      </c>
      <c r="J139" s="4" t="n">
        <v>0</v>
      </c>
      <c r="K139" s="21">
        <f>IF(OR($B139="",$I139=""),"",$I139-IF($J139="",0,$J139))</f>
        <v/>
      </c>
      <c r="L139" s="22">
        <f>IF(OR($B139="",$K139="",$E139=0,$F139=0),"",$K139/($E139*$F139))</f>
        <v/>
      </c>
      <c r="M139" s="27">
        <f>IF($B139="","",IF($H139="","Open","Closed"))</f>
        <v/>
      </c>
    </row>
    <row r="140">
      <c r="A140" s="23" t="inlineStr">
        <is>
          <t>DHAN-321260911696509</t>
        </is>
      </c>
      <c r="B140" s="23" t="inlineStr">
        <is>
          <t>MOBIKWIK</t>
        </is>
      </c>
      <c r="C140" s="23" t="inlineStr">
        <is>
          <t>LONG</t>
        </is>
      </c>
      <c r="D140" s="24" t="n">
        <v>46276</v>
      </c>
      <c r="E140" s="25" t="n">
        <v>209.9685</v>
      </c>
      <c r="F140" s="26" t="n">
        <v>860</v>
      </c>
      <c r="G140" s="24" t="n">
        <v>46280</v>
      </c>
      <c r="H140" s="25" t="n">
        <v>204.1101</v>
      </c>
      <c r="I140" s="21">
        <f>IF(OR($B140="",$H140=""),"",IF($C140="LONG",($H140-$E140)*$F140,($E140-$H140)*$F140))</f>
        <v/>
      </c>
      <c r="J140" s="4" t="n">
        <v>205.28</v>
      </c>
      <c r="K140" s="21">
        <f>IF(OR($B140="",$I140=""),"",$I140-IF($J140="",0,$J140))</f>
        <v/>
      </c>
      <c r="L140" s="22">
        <f>IF(OR($B140="",$K140="",$E140=0,$F140=0),"",$K140/($E140*$F140))</f>
        <v/>
      </c>
      <c r="M140" s="27">
        <f>IF($B140="","",IF($H140="","Open","Closed"))</f>
        <v/>
      </c>
    </row>
    <row r="141">
      <c r="A141" s="23" t="inlineStr">
        <is>
          <t>DHAN-321260911696609</t>
        </is>
      </c>
      <c r="B141" s="23" t="inlineStr">
        <is>
          <t>QUADFUTURE</t>
        </is>
      </c>
      <c r="C141" s="23" t="inlineStr">
        <is>
          <t>LONG</t>
        </is>
      </c>
      <c r="D141" s="24" t="n">
        <v>46276</v>
      </c>
      <c r="E141" s="25" t="n">
        <v>481.45</v>
      </c>
      <c r="F141" s="26" t="n">
        <v>377</v>
      </c>
      <c r="G141" s="24" t="n">
        <v>46280</v>
      </c>
      <c r="H141" s="25" t="n">
        <v>497.2753</v>
      </c>
      <c r="I141" s="21">
        <f>IF(OR($B141="",$H141=""),"",IF($C141="LONG",($H141-$E141)*$F141,($E141-$H141)*$F141))</f>
        <v/>
      </c>
      <c r="J141" s="4" t="n">
        <v>193.64</v>
      </c>
      <c r="K141" s="21">
        <f>IF(OR($B141="",$I141=""),"",$I141-IF($J141="",0,$J141))</f>
        <v/>
      </c>
      <c r="L141" s="22">
        <f>IF(OR($B141="",$K141="",$E141=0,$F141=0),"",$K141/($E141*$F141))</f>
        <v/>
      </c>
      <c r="M141" s="27">
        <f>IF($B141="","",IF($H141="","Open","Closed"))</f>
        <v/>
      </c>
    </row>
    <row r="142">
      <c r="A142" s="23" t="inlineStr">
        <is>
          <t>DHAN-321260911696809</t>
        </is>
      </c>
      <c r="B142" s="23" t="inlineStr">
        <is>
          <t>RACLGEAR</t>
        </is>
      </c>
      <c r="C142" s="23" t="inlineStr">
        <is>
          <t>LONG</t>
        </is>
      </c>
      <c r="D142" s="24" t="n">
        <v>46276</v>
      </c>
      <c r="E142" s="25" t="n">
        <v>1756.5941</v>
      </c>
      <c r="F142" s="26" t="n">
        <v>103</v>
      </c>
      <c r="G142" s="24" t="n">
        <v>46280</v>
      </c>
      <c r="H142" s="25" t="n">
        <v>1775.6097</v>
      </c>
      <c r="I142" s="21">
        <f>IF(OR($B142="",$H142=""),"",IF($C142="LONG",($H142-$E142)*$F142,($E142-$H142)*$F142))</f>
        <v/>
      </c>
      <c r="J142" s="4" t="n">
        <v>173.91</v>
      </c>
      <c r="K142" s="21">
        <f>IF(OR($B142="",$I142=""),"",$I142-IF($J142="",0,$J142))</f>
        <v/>
      </c>
      <c r="L142" s="22">
        <f>IF(OR($B142="",$K142="",$E142=0,$F142=0),"",$K142/($E142*$F142))</f>
        <v/>
      </c>
      <c r="M142" s="27">
        <f>IF($B142="","",IF($H142="","Open","Closed"))</f>
        <v/>
      </c>
    </row>
    <row r="143">
      <c r="A143" s="23" t="inlineStr">
        <is>
          <t>DHAN-221260911438509</t>
        </is>
      </c>
      <c r="B143" s="23" t="inlineStr">
        <is>
          <t>SAMHI</t>
        </is>
      </c>
      <c r="C143" s="23" t="inlineStr">
        <is>
          <t>SHORT</t>
        </is>
      </c>
      <c r="D143" s="24" t="n">
        <v>46276</v>
      </c>
      <c r="E143" s="25" t="n">
        <v>157.53</v>
      </c>
      <c r="F143" s="26" t="n">
        <v>1815</v>
      </c>
      <c r="G143" s="24" t="n">
        <v>46276</v>
      </c>
      <c r="H143" s="25" t="n">
        <v>157.18</v>
      </c>
      <c r="I143" s="21">
        <f>IF(OR($B143="",$H143=""),"",IF($C143="LONG",($H143-$E143)*$F143,($E143-$H143)*$F143))</f>
        <v/>
      </c>
      <c r="J143" s="4" t="n">
        <v>0</v>
      </c>
      <c r="K143" s="21">
        <f>IF(OR($B143="",$I143=""),"",$I143-IF($J143="",0,$J143))</f>
        <v/>
      </c>
      <c r="L143" s="22">
        <f>IF(OR($B143="",$K143="",$E143=0,$F143=0),"",$K143/($E143*$F143))</f>
        <v/>
      </c>
      <c r="M143" s="27">
        <f>IF($B143="","",IF($H143="","Open","Closed"))</f>
        <v/>
      </c>
    </row>
    <row r="144">
      <c r="A144" s="23" t="inlineStr">
        <is>
          <t>DHAN-23126091161209</t>
        </is>
      </c>
      <c r="B144" s="23" t="inlineStr">
        <is>
          <t>SIKA</t>
        </is>
      </c>
      <c r="C144" s="23" t="inlineStr">
        <is>
          <t>LONG</t>
        </is>
      </c>
      <c r="D144" s="24" t="n">
        <v>46276</v>
      </c>
      <c r="E144" s="25" t="n">
        <v>1087.1632</v>
      </c>
      <c r="F144" s="26" t="n">
        <v>83</v>
      </c>
      <c r="G144" s="24" t="n">
        <v>46280</v>
      </c>
      <c r="H144" s="25" t="n">
        <v>1035.862</v>
      </c>
      <c r="I144" s="21">
        <f>IF(OR($B144="",$H144=""),"",IF($C144="LONG",($H144-$E144)*$F144,($E144-$H144)*$F144))</f>
        <v/>
      </c>
      <c r="J144" s="4" t="n">
        <v>14.75</v>
      </c>
      <c r="K144" s="21">
        <f>IF(OR($B144="",$I144=""),"",$I144-IF($J144="",0,$J144))</f>
        <v/>
      </c>
      <c r="L144" s="22">
        <f>IF(OR($B144="",$K144="",$E144=0,$F144=0),"",$K144/($E144*$F144))</f>
        <v/>
      </c>
      <c r="M144" s="27">
        <f>IF($B144="","",IF($H144="","Open","Closed"))</f>
        <v/>
      </c>
    </row>
    <row r="145">
      <c r="A145" s="23" t="inlineStr">
        <is>
          <t>DHAN-221260911696209</t>
        </is>
      </c>
      <c r="B145" s="23" t="inlineStr">
        <is>
          <t>SMSPHARMA</t>
        </is>
      </c>
      <c r="C145" s="23" t="inlineStr">
        <is>
          <t>LONG</t>
        </is>
      </c>
      <c r="D145" s="24" t="n">
        <v>46276</v>
      </c>
      <c r="E145" s="25" t="n">
        <v>462.4796</v>
      </c>
      <c r="F145" s="26" t="n">
        <v>391</v>
      </c>
      <c r="G145" s="24" t="n">
        <v>46280</v>
      </c>
      <c r="H145" s="25" t="n">
        <v>409.8205</v>
      </c>
      <c r="I145" s="21">
        <f>IF(OR($B145="",$H145=""),"",IF($C145="LONG",($H145-$E145)*$F145,($E145-$H145)*$F145))</f>
        <v/>
      </c>
      <c r="J145" s="4" t="n">
        <v>203.6</v>
      </c>
      <c r="K145" s="21">
        <f>IF(OR($B145="",$I145=""),"",$I145-IF($J145="",0,$J145))</f>
        <v/>
      </c>
      <c r="L145" s="22">
        <f>IF(OR($B145="",$K145="",$E145=0,$F145=0),"",$K145/($E145*$F145))</f>
        <v/>
      </c>
      <c r="M145" s="27">
        <f>IF($B145="","",IF($H145="","Open","Closed"))</f>
        <v/>
      </c>
    </row>
    <row r="146">
      <c r="A146" s="23" t="inlineStr">
        <is>
          <t>DHAN-23126091141909</t>
        </is>
      </c>
      <c r="B146" s="23" t="inlineStr">
        <is>
          <t>VSSL</t>
        </is>
      </c>
      <c r="C146" s="23" t="inlineStr">
        <is>
          <t>SHORT</t>
        </is>
      </c>
      <c r="D146" s="24" t="n">
        <v>46276</v>
      </c>
      <c r="E146" s="25" t="n">
        <v>394.09</v>
      </c>
      <c r="F146" s="26" t="n">
        <v>739</v>
      </c>
      <c r="G146" s="24" t="n">
        <v>46276</v>
      </c>
      <c r="H146" s="25" t="n">
        <v>401.45</v>
      </c>
      <c r="I146" s="21">
        <f>IF(OR($B146="",$H146=""),"",IF($C146="LONG",($H146-$E146)*$F146,($E146-$H146)*$F146))</f>
        <v/>
      </c>
      <c r="J146" s="4" t="n">
        <v>0</v>
      </c>
      <c r="K146" s="21">
        <f>IF(OR($B146="",$I146=""),"",$I146-IF($J146="",0,$J146))</f>
        <v/>
      </c>
      <c r="L146" s="22">
        <f>IF(OR($B146="",$K146="",$E146=0,$F146=0),"",$K146/($E146*$F146))</f>
        <v/>
      </c>
      <c r="M146" s="27">
        <f>IF($B146="","",IF($H146="","Open","Closed"))</f>
        <v/>
      </c>
    </row>
    <row r="147">
      <c r="A147" s="23" t="inlineStr">
        <is>
          <t>DHAN-34126091130609</t>
        </is>
      </c>
      <c r="B147" s="23" t="inlineStr">
        <is>
          <t>WENDT</t>
        </is>
      </c>
      <c r="C147" s="23" t="inlineStr">
        <is>
          <t>SHORT</t>
        </is>
      </c>
      <c r="D147" s="24" t="n">
        <v>46276</v>
      </c>
      <c r="E147" s="25" t="n">
        <v>8724.209999999999</v>
      </c>
      <c r="F147" s="26" t="n">
        <v>33</v>
      </c>
      <c r="G147" s="24" t="n">
        <v>46276</v>
      </c>
      <c r="H147" s="25" t="n">
        <v>8867.91</v>
      </c>
      <c r="I147" s="21">
        <f>IF(OR($B147="",$H147=""),"",IF($C147="LONG",($H147-$E147)*$F147,($E147-$H147)*$F147))</f>
        <v/>
      </c>
      <c r="J147" s="4" t="n">
        <v>0</v>
      </c>
      <c r="K147" s="21">
        <f>IF(OR($B147="",$I147=""),"",$I147-IF($J147="",0,$J147))</f>
        <v/>
      </c>
      <c r="L147" s="22">
        <f>IF(OR($B147="",$K147="",$E147=0,$F147=0),"",$K147/($E147*$F147))</f>
        <v/>
      </c>
      <c r="M147" s="27">
        <f>IF($B147="","",IF($H147="","Open","Closed"))</f>
        <v/>
      </c>
    </row>
    <row r="148">
      <c r="A148" s="23" t="inlineStr">
        <is>
          <t>DHAN-221260915461009</t>
        </is>
      </c>
      <c r="B148" s="23" t="inlineStr">
        <is>
          <t>AWFIS</t>
        </is>
      </c>
      <c r="C148" s="23" t="inlineStr">
        <is>
          <t>SHORT</t>
        </is>
      </c>
      <c r="D148" s="24" t="n">
        <v>46280</v>
      </c>
      <c r="E148" s="25" t="n">
        <v>280.9703</v>
      </c>
      <c r="F148" s="26" t="n">
        <v>618</v>
      </c>
      <c r="G148" s="24" t="n">
        <v>46280</v>
      </c>
      <c r="H148" s="25" t="n">
        <v>274.7952</v>
      </c>
      <c r="I148" s="21">
        <f>IF(OR($B148="",$H148=""),"",IF($C148="LONG",($H148-$E148)*$F148,($E148-$H148)*$F148))</f>
        <v/>
      </c>
      <c r="J148" s="4" t="n">
        <v>0</v>
      </c>
      <c r="K148" s="21">
        <f>IF(OR($B148="",$I148=""),"",$I148-IF($J148="",0,$J148))</f>
        <v/>
      </c>
      <c r="L148" s="22">
        <f>IF(OR($B148="",$K148="",$E148=0,$F148=0),"",$K148/($E148*$F148))</f>
        <v/>
      </c>
      <c r="M148" s="27">
        <f>IF($B148="","",IF($H148="","Open","Closed"))</f>
        <v/>
      </c>
    </row>
    <row r="149">
      <c r="A149" s="23" t="inlineStr">
        <is>
          <t>DHAN-23126091516209</t>
        </is>
      </c>
      <c r="B149" s="23" t="inlineStr">
        <is>
          <t>FILATEX</t>
        </is>
      </c>
      <c r="C149" s="23" t="inlineStr">
        <is>
          <t>SHORT</t>
        </is>
      </c>
      <c r="D149" s="24" t="n">
        <v>46280</v>
      </c>
      <c r="E149" s="25" t="n">
        <v>87.81999999999999</v>
      </c>
      <c r="F149" s="26" t="n">
        <v>1042</v>
      </c>
      <c r="G149" s="24" t="n">
        <v>46280</v>
      </c>
      <c r="H149" s="25" t="n">
        <v>83.43000000000001</v>
      </c>
      <c r="I149" s="21">
        <f>IF(OR($B149="",$H149=""),"",IF($C149="LONG",($H149-$E149)*$F149,($E149-$H149)*$F149))</f>
        <v/>
      </c>
      <c r="J149" s="4" t="n">
        <v>0</v>
      </c>
      <c r="K149" s="21">
        <f>IF(OR($B149="",$I149=""),"",$I149-IF($J149="",0,$J149))</f>
        <v/>
      </c>
      <c r="L149" s="22">
        <f>IF(OR($B149="",$K149="",$E149=0,$F149=0),"",$K149/($E149*$F149))</f>
        <v/>
      </c>
      <c r="M149" s="27">
        <f>IF($B149="","",IF($H149="","Open","Closed"))</f>
        <v/>
      </c>
    </row>
    <row r="150">
      <c r="A150" s="23" t="inlineStr">
        <is>
          <t>DHAN-23126091516309</t>
        </is>
      </c>
      <c r="B150" s="23" t="inlineStr">
        <is>
          <t>KIRLOSIND</t>
        </is>
      </c>
      <c r="C150" s="23" t="inlineStr">
        <is>
          <t>SHORT</t>
        </is>
      </c>
      <c r="D150" s="24" t="n">
        <v>46280</v>
      </c>
      <c r="E150" s="25" t="n">
        <v>3900.0042</v>
      </c>
      <c r="F150" s="26" t="n">
        <v>47</v>
      </c>
      <c r="G150" s="24" t="n">
        <v>46280</v>
      </c>
      <c r="H150" s="25" t="n">
        <v>3823.1084</v>
      </c>
      <c r="I150" s="21">
        <f>IF(OR($B150="",$H150=""),"",IF($C150="LONG",($H150-$E150)*$F150,($E150-$H150)*$F150))</f>
        <v/>
      </c>
      <c r="J150" s="4" t="n">
        <v>0</v>
      </c>
      <c r="K150" s="21">
        <f>IF(OR($B150="",$I150=""),"",$I150-IF($J150="",0,$J150))</f>
        <v/>
      </c>
      <c r="L150" s="22">
        <f>IF(OR($B150="",$K150="",$E150=0,$F150=0),"",$K150/($E150*$F150))</f>
        <v/>
      </c>
      <c r="M150" s="27">
        <f>IF($B150="","",IF($H150="","Open","Closed"))</f>
        <v/>
      </c>
    </row>
    <row r="151">
      <c r="A151" s="23" t="inlineStr">
        <is>
          <t>DHAN-221260915460909</t>
        </is>
      </c>
      <c r="B151" s="23" t="inlineStr">
        <is>
          <t>MOBIKWIK</t>
        </is>
      </c>
      <c r="C151" s="23" t="inlineStr">
        <is>
          <t>SHORT</t>
        </is>
      </c>
      <c r="D151" s="24" t="n">
        <v>46280</v>
      </c>
      <c r="E151" s="25" t="n">
        <v>204.3287</v>
      </c>
      <c r="F151" s="26" t="n">
        <v>860</v>
      </c>
      <c r="G151" s="24" t="n">
        <v>46280</v>
      </c>
      <c r="H151" s="25" t="n">
        <v>205.9936</v>
      </c>
      <c r="I151" s="21">
        <f>IF(OR($B151="",$H151=""),"",IF($C151="LONG",($H151-$E151)*$F151,($E151-$H151)*$F151))</f>
        <v/>
      </c>
      <c r="J151" s="4" t="n">
        <v>0</v>
      </c>
      <c r="K151" s="21">
        <f>IF(OR($B151="",$I151=""),"",$I151-IF($J151="",0,$J151))</f>
        <v/>
      </c>
      <c r="L151" s="22">
        <f>IF(OR($B151="",$K151="",$E151=0,$F151=0),"",$K151/($E151*$F151))</f>
        <v/>
      </c>
      <c r="M151" s="27">
        <f>IF($B151="","",IF($H151="","Open","Closed"))</f>
        <v/>
      </c>
    </row>
    <row r="152">
      <c r="A152" s="23" t="inlineStr">
        <is>
          <t>DHAN-34126091550709</t>
        </is>
      </c>
      <c r="B152" s="23" t="inlineStr">
        <is>
          <t>QUADFUTURE</t>
        </is>
      </c>
      <c r="C152" s="23" t="inlineStr">
        <is>
          <t>SHORT</t>
        </is>
      </c>
      <c r="D152" s="24" t="n">
        <v>46280</v>
      </c>
      <c r="E152" s="25" t="n">
        <v>496.9672</v>
      </c>
      <c r="F152" s="26" t="n">
        <v>377</v>
      </c>
      <c r="G152" s="24" t="n">
        <v>46280</v>
      </c>
      <c r="H152" s="25" t="n">
        <v>490</v>
      </c>
      <c r="I152" s="21">
        <f>IF(OR($B152="",$H152=""),"",IF($C152="LONG",($H152-$E152)*$F152,($E152-$H152)*$F152))</f>
        <v/>
      </c>
      <c r="J152" s="4" t="n">
        <v>0</v>
      </c>
      <c r="K152" s="21">
        <f>IF(OR($B152="",$I152=""),"",$I152-IF($J152="",0,$J152))</f>
        <v/>
      </c>
      <c r="L152" s="22">
        <f>IF(OR($B152="",$K152="",$E152=0,$F152=0),"",$K152/($E152*$F152))</f>
        <v/>
      </c>
      <c r="M152" s="27">
        <f>IF($B152="","",IF($H152="","Open","Closed"))</f>
        <v/>
      </c>
    </row>
    <row r="153">
      <c r="A153" s="23" t="inlineStr">
        <is>
          <t>DHAN-34126091518009</t>
        </is>
      </c>
      <c r="B153" s="23" t="inlineStr">
        <is>
          <t>RACLGEAR</t>
        </is>
      </c>
      <c r="C153" s="23" t="inlineStr">
        <is>
          <t>SHORT</t>
        </is>
      </c>
      <c r="D153" s="24" t="n">
        <v>46280</v>
      </c>
      <c r="E153" s="25" t="n">
        <v>1779.6</v>
      </c>
      <c r="F153" s="26" t="n">
        <v>103</v>
      </c>
      <c r="G153" s="24" t="n">
        <v>46280</v>
      </c>
      <c r="H153" s="25" t="n">
        <v>1690.6</v>
      </c>
      <c r="I153" s="21">
        <f>IF(OR($B153="",$H153=""),"",IF($C153="LONG",($H153-$E153)*$F153,($E153-$H153)*$F153))</f>
        <v/>
      </c>
      <c r="J153" s="4" t="n">
        <v>0</v>
      </c>
      <c r="K153" s="21">
        <f>IF(OR($B153="",$I153=""),"",$I153-IF($J153="",0,$J153))</f>
        <v/>
      </c>
      <c r="L153" s="22">
        <f>IF(OR($B153="",$K153="",$E153=0,$F153=0),"",$K153/($E153*$F153))</f>
        <v/>
      </c>
      <c r="M153" s="27">
        <f>IF($B153="","",IF($H153="","Open","Closed"))</f>
        <v/>
      </c>
    </row>
    <row r="154">
      <c r="A154" s="23" t="inlineStr">
        <is>
          <t>DHAN-23126091546509</t>
        </is>
      </c>
      <c r="B154" s="23" t="inlineStr">
        <is>
          <t>SIKA</t>
        </is>
      </c>
      <c r="C154" s="23" t="inlineStr">
        <is>
          <t>SHORT</t>
        </is>
      </c>
      <c r="D154" s="24" t="n">
        <v>46280</v>
      </c>
      <c r="E154" s="25" t="n">
        <v>1034.3916</v>
      </c>
      <c r="F154" s="26" t="n">
        <v>83</v>
      </c>
      <c r="G154" s="24" t="n">
        <v>46280</v>
      </c>
      <c r="H154" s="25" t="n">
        <v>1044.0566</v>
      </c>
      <c r="I154" s="21">
        <f>IF(OR($B154="",$H154=""),"",IF($C154="LONG",($H154-$E154)*$F154,($E154-$H154)*$F154))</f>
        <v/>
      </c>
      <c r="J154" s="4" t="n">
        <v>0</v>
      </c>
      <c r="K154" s="21">
        <f>IF(OR($B154="",$I154=""),"",$I154-IF($J154="",0,$J154))</f>
        <v/>
      </c>
      <c r="L154" s="22">
        <f>IF(OR($B154="",$K154="",$E154=0,$F154=0),"",$K154/($E154*$F154))</f>
        <v/>
      </c>
      <c r="M154" s="27">
        <f>IF($B154="","",IF($H154="","Open","Closed"))</f>
        <v/>
      </c>
    </row>
    <row r="155">
      <c r="A155" s="23" t="inlineStr">
        <is>
          <t>DHAN-34126091550609</t>
        </is>
      </c>
      <c r="B155" s="23" t="inlineStr">
        <is>
          <t>SMSPHARMA</t>
        </is>
      </c>
      <c r="C155" s="23" t="inlineStr">
        <is>
          <t>SHORT</t>
        </is>
      </c>
      <c r="D155" s="24" t="n">
        <v>46280</v>
      </c>
      <c r="E155" s="25" t="n">
        <v>409.8</v>
      </c>
      <c r="F155" s="26" t="n">
        <v>391</v>
      </c>
      <c r="G155" s="24" t="n">
        <v>46280</v>
      </c>
      <c r="H155" s="25" t="n">
        <v>407.7166</v>
      </c>
      <c r="I155" s="21">
        <f>IF(OR($B155="",$H155=""),"",IF($C155="LONG",($H155-$E155)*$F155,($E155-$H155)*$F155))</f>
        <v/>
      </c>
      <c r="J155" s="4" t="n">
        <v>0</v>
      </c>
      <c r="K155" s="21">
        <f>IF(OR($B155="",$I155=""),"",$I155-IF($J155="",0,$J155))</f>
        <v/>
      </c>
      <c r="L155" s="22">
        <f>IF(OR($B155="",$K155="",$E155=0,$F155=0),"",$K155/($E155*$F155))</f>
        <v/>
      </c>
      <c r="M155" s="27">
        <f>IF($B155="","",IF($H155="","Open","Closed"))</f>
        <v/>
      </c>
    </row>
    <row r="156">
      <c r="A156" s="23" t="inlineStr">
        <is>
          <t>DHAN-23126091659109</t>
        </is>
      </c>
      <c r="B156" s="23" t="inlineStr">
        <is>
          <t>EMUDHRA</t>
        </is>
      </c>
      <c r="C156" s="23" t="inlineStr">
        <is>
          <t>LONG</t>
        </is>
      </c>
      <c r="D156" s="24" t="n">
        <v>46281</v>
      </c>
      <c r="E156" s="25" t="n">
        <v>635.303</v>
      </c>
      <c r="F156" s="26" t="n">
        <v>395</v>
      </c>
      <c r="G156" s="24" t="n">
        <v>46282</v>
      </c>
      <c r="H156" s="25" t="n">
        <v>634</v>
      </c>
      <c r="I156" s="21">
        <f>IF(OR($B156="",$H156=""),"",IF($C156="LONG",($H156-$E156)*$F156,($E156-$H156)*$F156))</f>
        <v/>
      </c>
      <c r="J156" s="4" t="n">
        <v>81.05</v>
      </c>
      <c r="K156" s="21">
        <f>IF(OR($B156="",$I156=""),"",$I156-IF($J156="",0,$J156))</f>
        <v/>
      </c>
      <c r="L156" s="22">
        <f>IF(OR($B156="",$K156="",$E156=0,$F156=0),"",$K156/($E156*$F156))</f>
        <v/>
      </c>
      <c r="M156" s="27">
        <f>IF($B156="","",IF($H156="","Open","Closed"))</f>
        <v/>
      </c>
    </row>
    <row r="157">
      <c r="A157" s="23" t="inlineStr">
        <is>
          <t>DHAN-34126091663709</t>
        </is>
      </c>
      <c r="B157" s="23" t="inlineStr">
        <is>
          <t>FOSECOIND</t>
        </is>
      </c>
      <c r="C157" s="23" t="inlineStr">
        <is>
          <t>LONG</t>
        </is>
      </c>
      <c r="D157" s="24" t="n">
        <v>46281</v>
      </c>
      <c r="E157" s="25" t="n">
        <v>6778.811</v>
      </c>
      <c r="F157" s="26" t="n">
        <v>37</v>
      </c>
      <c r="G157" s="24" t="n">
        <v>46282</v>
      </c>
      <c r="H157" s="25" t="n">
        <v>6992.324</v>
      </c>
      <c r="I157" s="21">
        <f>IF(OR($B157="",$H157=""),"",IF($C157="LONG",($H157-$E157)*$F157,($E157-$H157)*$F157))</f>
        <v/>
      </c>
      <c r="J157" s="4" t="n">
        <v>105.91</v>
      </c>
      <c r="K157" s="21">
        <f>IF(OR($B157="",$I157=""),"",$I157-IF($J157="",0,$J157))</f>
        <v/>
      </c>
      <c r="L157" s="22">
        <f>IF(OR($B157="",$K157="",$E157=0,$F157=0),"",$K157/($E157*$F157))</f>
        <v/>
      </c>
      <c r="M157" s="27">
        <f>IF($B157="","",IF($H157="","Open","Closed"))</f>
        <v/>
      </c>
    </row>
    <row r="158">
      <c r="A158" s="23" t="inlineStr">
        <is>
          <t>DHAN-221260916649209</t>
        </is>
      </c>
      <c r="B158" s="23" t="inlineStr">
        <is>
          <t>IPL</t>
        </is>
      </c>
      <c r="C158" s="23" t="inlineStr">
        <is>
          <t>LONG</t>
        </is>
      </c>
      <c r="D158" s="24" t="n">
        <v>46281</v>
      </c>
      <c r="E158" s="25" t="n">
        <v>136.1157</v>
      </c>
      <c r="F158" s="26" t="n">
        <v>1842</v>
      </c>
      <c r="G158" s="24" t="n">
        <v>46282</v>
      </c>
      <c r="H158" s="25" t="n">
        <v>136.6183</v>
      </c>
      <c r="I158" s="21">
        <f>IF(OR($B158="",$H158=""),"",IF($C158="LONG",($H158-$E158)*$F158,($E158-$H158)*$F158))</f>
        <v/>
      </c>
      <c r="J158" s="4" t="n">
        <v>101.6</v>
      </c>
      <c r="K158" s="21">
        <f>IF(OR($B158="",$I158=""),"",$I158-IF($J158="",0,$J158))</f>
        <v/>
      </c>
      <c r="L158" s="22">
        <f>IF(OR($B158="",$K158="",$E158=0,$F158=0),"",$K158/($E158*$F158))</f>
        <v/>
      </c>
      <c r="M158" s="27">
        <f>IF($B158="","",IF($H158="","Open","Closed"))</f>
        <v/>
      </c>
    </row>
    <row r="159">
      <c r="A159" s="23" t="inlineStr">
        <is>
          <t>DHAN-221260916649109</t>
        </is>
      </c>
      <c r="B159" s="23" t="inlineStr">
        <is>
          <t>NPST</t>
        </is>
      </c>
      <c r="C159" s="23" t="inlineStr">
        <is>
          <t>LONG</t>
        </is>
      </c>
      <c r="D159" s="24" t="n">
        <v>46281</v>
      </c>
      <c r="E159" s="25" t="n">
        <v>1848.2214</v>
      </c>
      <c r="F159" s="26" t="n">
        <v>135</v>
      </c>
      <c r="G159" s="24" t="n">
        <v>46282</v>
      </c>
      <c r="H159" s="25" t="n">
        <v>1877.0074</v>
      </c>
      <c r="I159" s="21">
        <f>IF(OR($B159="",$H159=""),"",IF($C159="LONG",($H159-$E159)*$F159,($E159-$H159)*$F159))</f>
        <v/>
      </c>
      <c r="J159" s="4" t="n">
        <v>101.35</v>
      </c>
      <c r="K159" s="21">
        <f>IF(OR($B159="",$I159=""),"",$I159-IF($J159="",0,$J159))</f>
        <v/>
      </c>
      <c r="L159" s="22">
        <f>IF(OR($B159="",$K159="",$E159=0,$F159=0),"",$K159/($E159*$F159))</f>
        <v/>
      </c>
      <c r="M159" s="27">
        <f>IF($B159="","",IF($H159="","Open","Closed"))</f>
        <v/>
      </c>
    </row>
    <row r="160">
      <c r="A160" s="23" t="inlineStr">
        <is>
          <t>DHAN-34126091663809</t>
        </is>
      </c>
      <c r="B160" s="23" t="inlineStr">
        <is>
          <t>ROSSTECH</t>
        </is>
      </c>
      <c r="C160" s="23" t="inlineStr">
        <is>
          <t>LONG</t>
        </is>
      </c>
      <c r="D160" s="24" t="n">
        <v>46281</v>
      </c>
      <c r="E160" s="25" t="n">
        <v>1340.8882</v>
      </c>
      <c r="F160" s="26" t="n">
        <v>186</v>
      </c>
      <c r="G160" s="24" t="n">
        <v>46282</v>
      </c>
      <c r="H160" s="25" t="n">
        <v>1364.2269</v>
      </c>
      <c r="I160" s="21">
        <f>IF(OR($B160="",$H160=""),"",IF($C160="LONG",($H160-$E160)*$F160,($E160-$H160)*$F160))</f>
        <v/>
      </c>
      <c r="J160" s="4" t="n">
        <v>92.8</v>
      </c>
      <c r="K160" s="21">
        <f>IF(OR($B160="",$I160=""),"",$I160-IF($J160="",0,$J160))</f>
        <v/>
      </c>
      <c r="L160" s="22">
        <f>IF(OR($B160="",$K160="",$E160=0,$F160=0),"",$K160/($E160*$F160))</f>
        <v/>
      </c>
      <c r="M160" s="27">
        <f>IF($B160="","",IF($H160="","Open","Closed"))</f>
        <v/>
      </c>
    </row>
    <row r="161">
      <c r="A161" s="23" t="inlineStr">
        <is>
          <t>DHAN-221260916649309</t>
        </is>
      </c>
      <c r="B161" s="23" t="inlineStr">
        <is>
          <t>SAATVIKGL</t>
        </is>
      </c>
      <c r="C161" s="23" t="inlineStr">
        <is>
          <t>LONG</t>
        </is>
      </c>
      <c r="D161" s="24" t="n">
        <v>46281</v>
      </c>
      <c r="E161" s="25" t="n">
        <v>414.316</v>
      </c>
      <c r="F161" s="26" t="n">
        <v>603</v>
      </c>
      <c r="G161" s="24" t="n">
        <v>46282</v>
      </c>
      <c r="H161" s="25" t="n">
        <v>407.7921</v>
      </c>
      <c r="I161" s="21">
        <f>IF(OR($B161="",$H161=""),"",IF($C161="LONG",($H161-$E161)*$F161,($E161-$H161)*$F161))</f>
        <v/>
      </c>
      <c r="J161" s="4" t="n">
        <v>108.61</v>
      </c>
      <c r="K161" s="21">
        <f>IF(OR($B161="",$I161=""),"",$I161-IF($J161="",0,$J161))</f>
        <v/>
      </c>
      <c r="L161" s="22">
        <f>IF(OR($B161="",$K161="",$E161=0,$F161=0),"",$K161/($E161*$F161))</f>
        <v/>
      </c>
      <c r="M161" s="27">
        <f>IF($B161="","",IF($H161="","Open","Closed"))</f>
        <v/>
      </c>
    </row>
    <row r="162">
      <c r="A162" s="23" t="inlineStr">
        <is>
          <t>DHAN-23126091746909</t>
        </is>
      </c>
      <c r="B162" s="23" t="inlineStr">
        <is>
          <t>EMUDHRA</t>
        </is>
      </c>
      <c r="C162" s="23" t="inlineStr">
        <is>
          <t>SHORT</t>
        </is>
      </c>
      <c r="D162" s="24" t="n">
        <v>46282</v>
      </c>
      <c r="E162" s="25" t="n">
        <v>633.678</v>
      </c>
      <c r="F162" s="26" t="n">
        <v>395</v>
      </c>
      <c r="G162" s="24" t="n">
        <v>46282</v>
      </c>
      <c r="H162" s="25" t="n">
        <v>648.2501999999999</v>
      </c>
      <c r="I162" s="21">
        <f>IF(OR($B162="",$H162=""),"",IF($C162="LONG",($H162-$E162)*$F162,($E162-$H162)*$F162))</f>
        <v/>
      </c>
      <c r="J162" s="4" t="n">
        <v>0</v>
      </c>
      <c r="K162" s="21">
        <f>IF(OR($B162="",$I162=""),"",$I162-IF($J162="",0,$J162))</f>
        <v/>
      </c>
      <c r="L162" s="22">
        <f>IF(OR($B162="",$K162="",$E162=0,$F162=0),"",$K162/($E162*$F162))</f>
        <v/>
      </c>
      <c r="M162" s="27">
        <f>IF($B162="","",IF($H162="","Open","Closed"))</f>
        <v/>
      </c>
    </row>
    <row r="163">
      <c r="A163" s="23" t="inlineStr">
        <is>
          <t>DHAN-23126091718009</t>
        </is>
      </c>
      <c r="B163" s="23" t="inlineStr">
        <is>
          <t>FOSECOIND</t>
        </is>
      </c>
      <c r="C163" s="23" t="inlineStr">
        <is>
          <t>SHORT</t>
        </is>
      </c>
      <c r="D163" s="24" t="n">
        <v>46282</v>
      </c>
      <c r="E163" s="25" t="n">
        <v>6984.243</v>
      </c>
      <c r="F163" s="26" t="n">
        <v>37</v>
      </c>
      <c r="G163" s="24" t="n">
        <v>46282</v>
      </c>
      <c r="H163" s="25" t="n">
        <v>6814.2974</v>
      </c>
      <c r="I163" s="21">
        <f>IF(OR($B163="",$H163=""),"",IF($C163="LONG",($H163-$E163)*$F163,($E163-$H163)*$F163))</f>
        <v/>
      </c>
      <c r="J163" s="4" t="n">
        <v>0</v>
      </c>
      <c r="K163" s="21">
        <f>IF(OR($B163="",$I163=""),"",$I163-IF($J163="",0,$J163))</f>
        <v/>
      </c>
      <c r="L163" s="22">
        <f>IF(OR($B163="",$K163="",$E163=0,$F163=0),"",$K163/($E163*$F163))</f>
        <v/>
      </c>
      <c r="M163" s="27">
        <f>IF($B163="","",IF($H163="","Open","Closed"))</f>
        <v/>
      </c>
    </row>
    <row r="164">
      <c r="A164" s="23" t="inlineStr">
        <is>
          <t>DHAN-34126091721009</t>
        </is>
      </c>
      <c r="B164" s="23" t="inlineStr">
        <is>
          <t>IPL</t>
        </is>
      </c>
      <c r="C164" s="23" t="inlineStr">
        <is>
          <t>SHORT</t>
        </is>
      </c>
      <c r="D164" s="24" t="n">
        <v>46282</v>
      </c>
      <c r="E164" s="25" t="n">
        <v>136.5789</v>
      </c>
      <c r="F164" s="26" t="n">
        <v>1842</v>
      </c>
      <c r="G164" s="24" t="n">
        <v>46282</v>
      </c>
      <c r="H164" s="25" t="n">
        <v>138.1175</v>
      </c>
      <c r="I164" s="21">
        <f>IF(OR($B164="",$H164=""),"",IF($C164="LONG",($H164-$E164)*$F164,($E164-$H164)*$F164))</f>
        <v/>
      </c>
      <c r="J164" s="4" t="n">
        <v>0</v>
      </c>
      <c r="K164" s="21">
        <f>IF(OR($B164="",$I164=""),"",$I164-IF($J164="",0,$J164))</f>
        <v/>
      </c>
      <c r="L164" s="22">
        <f>IF(OR($B164="",$K164="",$E164=0,$F164=0),"",$K164/($E164*$F164))</f>
        <v/>
      </c>
      <c r="M164" s="27">
        <f>IF($B164="","",IF($H164="","Open","Closed"))</f>
        <v/>
      </c>
    </row>
    <row r="165">
      <c r="A165" s="23" t="inlineStr">
        <is>
          <t>DHAN-22126091785509</t>
        </is>
      </c>
      <c r="B165" s="23" t="inlineStr">
        <is>
          <t>NPST</t>
        </is>
      </c>
      <c r="C165" s="23" t="inlineStr">
        <is>
          <t>SHORT</t>
        </is>
      </c>
      <c r="D165" s="24" t="n">
        <v>46282</v>
      </c>
      <c r="E165" s="25" t="n">
        <v>1880.0497</v>
      </c>
      <c r="F165" s="26" t="n">
        <v>135</v>
      </c>
      <c r="G165" s="24" t="n">
        <v>46282</v>
      </c>
      <c r="H165" s="25" t="n">
        <v>1855.7349</v>
      </c>
      <c r="I165" s="21">
        <f>IF(OR($B165="",$H165=""),"",IF($C165="LONG",($H165-$E165)*$F165,($E165-$H165)*$F165))</f>
        <v/>
      </c>
      <c r="J165" s="4" t="n">
        <v>0</v>
      </c>
      <c r="K165" s="21">
        <f>IF(OR($B165="",$I165=""),"",$I165-IF($J165="",0,$J165))</f>
        <v/>
      </c>
      <c r="L165" s="22">
        <f>IF(OR($B165="",$K165="",$E165=0,$F165=0),"",$K165/($E165*$F165))</f>
        <v/>
      </c>
      <c r="M165" s="27">
        <f>IF($B165="","",IF($H165="","Open","Closed"))</f>
        <v/>
      </c>
    </row>
    <row r="166">
      <c r="A166" s="23" t="inlineStr">
        <is>
          <t>DHAN-22126091785609</t>
        </is>
      </c>
      <c r="B166" s="23" t="inlineStr">
        <is>
          <t>ROSSTECH</t>
        </is>
      </c>
      <c r="C166" s="23" t="inlineStr">
        <is>
          <t>SHORT</t>
        </is>
      </c>
      <c r="D166" s="24" t="n">
        <v>46282</v>
      </c>
      <c r="E166" s="25" t="n">
        <v>1366.5123</v>
      </c>
      <c r="F166" s="26" t="n">
        <v>186</v>
      </c>
      <c r="G166" s="24" t="n">
        <v>46282</v>
      </c>
      <c r="H166" s="25" t="n">
        <v>1364.1118</v>
      </c>
      <c r="I166" s="21">
        <f>IF(OR($B166="",$H166=""),"",IF($C166="LONG",($H166-$E166)*$F166,($E166-$H166)*$F166))</f>
        <v/>
      </c>
      <c r="J166" s="4" t="n">
        <v>0</v>
      </c>
      <c r="K166" s="21">
        <f>IF(OR($B166="",$I166=""),"",$I166-IF($J166="",0,$J166))</f>
        <v/>
      </c>
      <c r="L166" s="22">
        <f>IF(OR($B166="",$K166="",$E166=0,$F166=0),"",$K166/($E166*$F166))</f>
        <v/>
      </c>
      <c r="M166" s="27">
        <f>IF($B166="","",IF($H166="","Open","Closed"))</f>
        <v/>
      </c>
    </row>
    <row r="167">
      <c r="A167" s="23" t="inlineStr">
        <is>
          <t>DHAN-221260917413309</t>
        </is>
      </c>
      <c r="B167" s="23" t="inlineStr">
        <is>
          <t>SAATVIKGL</t>
        </is>
      </c>
      <c r="C167" s="23" t="inlineStr">
        <is>
          <t>SHORT</t>
        </is>
      </c>
      <c r="D167" s="24" t="n">
        <v>46282</v>
      </c>
      <c r="E167" s="25" t="n">
        <v>407.1779</v>
      </c>
      <c r="F167" s="26" t="n">
        <v>603</v>
      </c>
      <c r="G167" s="24" t="n">
        <v>46282</v>
      </c>
      <c r="H167" s="25" t="n">
        <v>404.5646</v>
      </c>
      <c r="I167" s="21">
        <f>IF(OR($B167="",$H167=""),"",IF($C167="LONG",($H167-$E167)*$F167,($E167-$H167)*$F167))</f>
        <v/>
      </c>
      <c r="J167" s="4" t="n">
        <v>0</v>
      </c>
      <c r="K167" s="21">
        <f>IF(OR($B167="",$I167=""),"",$I167-IF($J167="",0,$J167))</f>
        <v/>
      </c>
      <c r="L167" s="22">
        <f>IF(OR($B167="",$K167="",$E167=0,$F167=0),"",$K167/($E167*$F167))</f>
        <v/>
      </c>
      <c r="M167" s="27">
        <f>IF($B167="","",IF($H167="","Open","Closed"))</f>
        <v/>
      </c>
    </row>
    <row r="168">
      <c r="A168" s="23" t="inlineStr">
        <is>
          <t>DHAN-221260917656409</t>
        </is>
      </c>
      <c r="B168" s="23" t="inlineStr">
        <is>
          <t>SHAREINDIA</t>
        </is>
      </c>
      <c r="C168" s="23" t="inlineStr">
        <is>
          <t>LONG</t>
        </is>
      </c>
      <c r="D168" s="24" t="n">
        <v>46282</v>
      </c>
      <c r="E168" s="25" t="n">
        <v>219.5</v>
      </c>
      <c r="F168" s="26" t="n">
        <v>1722</v>
      </c>
      <c r="G168" s="24" t="n">
        <v>46283</v>
      </c>
      <c r="H168" s="25" t="n">
        <v>222.63</v>
      </c>
      <c r="I168" s="21">
        <f>IF(OR($B168="",$H168=""),"",IF($C168="LONG",($H168-$E168)*$F168,($E168-$H168)*$F168))</f>
        <v/>
      </c>
      <c r="J168" s="4" t="n">
        <v>116.08</v>
      </c>
      <c r="K168" s="21">
        <f>IF(OR($B168="",$I168=""),"",$I168-IF($J168="",0,$J168))</f>
        <v/>
      </c>
      <c r="L168" s="22">
        <f>IF(OR($B168="",$K168="",$E168=0,$F168=0),"",$K168/($E168*$F168))</f>
        <v/>
      </c>
      <c r="M168" s="27">
        <f>IF($B168="","",IF($H168="","Open","Closed"))</f>
        <v/>
      </c>
    </row>
    <row r="169">
      <c r="A169" s="23" t="inlineStr">
        <is>
          <t>DHAN-321260917609709</t>
        </is>
      </c>
      <c r="B169" s="23" t="inlineStr">
        <is>
          <t>VENUSPIPES</t>
        </is>
      </c>
      <c r="C169" s="23" t="inlineStr">
        <is>
          <t>LONG</t>
        </is>
      </c>
      <c r="D169" s="24" t="n">
        <v>46282</v>
      </c>
      <c r="E169" s="25" t="n">
        <v>2134.6694</v>
      </c>
      <c r="F169" s="26" t="n">
        <v>176</v>
      </c>
      <c r="G169" s="24" t="n">
        <v>46283</v>
      </c>
      <c r="H169" s="25" t="n">
        <v>2164.58</v>
      </c>
      <c r="I169" s="21">
        <f>IF(OR($B169="",$H169=""),"",IF($C169="LONG",($H169-$E169)*$F169,($E169-$H169)*$F169))</f>
        <v/>
      </c>
      <c r="J169" s="4" t="n">
        <v>127.24</v>
      </c>
      <c r="K169" s="21">
        <f>IF(OR($B169="",$I169=""),"",$I169-IF($J169="",0,$J169))</f>
        <v/>
      </c>
      <c r="L169" s="22">
        <f>IF(OR($B169="",$K169="",$E169=0,$F169=0),"",$K169/($E169*$F169))</f>
        <v/>
      </c>
      <c r="M169" s="27">
        <f>IF($B169="","",IF($H169="","Open","Closed"))</f>
        <v/>
      </c>
    </row>
    <row r="170">
      <c r="A170" s="23" t="inlineStr">
        <is>
          <t>DHAN-34126091878509</t>
        </is>
      </c>
      <c r="B170" s="23" t="inlineStr">
        <is>
          <t>GRAUWEIL</t>
        </is>
      </c>
      <c r="C170" s="23" t="inlineStr">
        <is>
          <t>LONG</t>
        </is>
      </c>
      <c r="D170" s="24" t="n">
        <v>46283</v>
      </c>
      <c r="E170" s="25" t="n">
        <v>86.8737</v>
      </c>
      <c r="F170" s="26" t="n">
        <v>1726</v>
      </c>
      <c r="G170" s="24" t="n">
        <v>46286</v>
      </c>
      <c r="H170" s="25" t="n">
        <v>85.17</v>
      </c>
      <c r="I170" s="21">
        <f>IF(OR($B170="",$H170=""),"",IF($C170="LONG",($H170-$E170)*$F170,($E170-$H170)*$F170))</f>
        <v/>
      </c>
      <c r="J170" s="4" t="n">
        <v>14.75</v>
      </c>
      <c r="K170" s="21">
        <f>IF(OR($B170="",$I170=""),"",$I170-IF($J170="",0,$J170))</f>
        <v/>
      </c>
      <c r="L170" s="22">
        <f>IF(OR($B170="",$K170="",$E170=0,$F170=0),"",$K170/($E170*$F170))</f>
        <v/>
      </c>
      <c r="M170" s="27">
        <f>IF($B170="","",IF($H170="","Open","Closed"))</f>
        <v/>
      </c>
    </row>
    <row r="171">
      <c r="A171" s="23" t="inlineStr">
        <is>
          <t>DHAN-221260918730609</t>
        </is>
      </c>
      <c r="B171" s="23" t="inlineStr">
        <is>
          <t>LUXIND</t>
        </is>
      </c>
      <c r="C171" s="23" t="inlineStr">
        <is>
          <t>LONG</t>
        </is>
      </c>
      <c r="D171" s="24" t="n">
        <v>46283</v>
      </c>
      <c r="E171" s="25" t="n">
        <v>1139.811</v>
      </c>
      <c r="F171" s="26" t="n">
        <v>263</v>
      </c>
      <c r="G171" s="24" t="n">
        <v>46286</v>
      </c>
      <c r="H171" s="25" t="n">
        <v>1139.97</v>
      </c>
      <c r="I171" s="21">
        <f>IF(OR($B171="",$H171=""),"",IF($C171="LONG",($H171-$E171)*$F171,($E171-$H171)*$F171))</f>
        <v/>
      </c>
      <c r="J171" s="4" t="n">
        <v>247.73</v>
      </c>
      <c r="K171" s="21">
        <f>IF(OR($B171="",$I171=""),"",$I171-IF($J171="",0,$J171))</f>
        <v/>
      </c>
      <c r="L171" s="22">
        <f>IF(OR($B171="",$K171="",$E171=0,$F171=0),"",$K171/($E171*$F171))</f>
        <v/>
      </c>
      <c r="M171" s="27">
        <f>IF($B171="","",IF($H171="","Open","Closed"))</f>
        <v/>
      </c>
    </row>
    <row r="172">
      <c r="A172" s="23" t="inlineStr">
        <is>
          <t>DHAN-23126091873309</t>
        </is>
      </c>
      <c r="B172" s="23" t="inlineStr">
        <is>
          <t>NRBBEARING</t>
        </is>
      </c>
      <c r="C172" s="23" t="inlineStr">
        <is>
          <t>LONG</t>
        </is>
      </c>
      <c r="D172" s="24" t="n">
        <v>46283</v>
      </c>
      <c r="E172" s="25" t="n">
        <v>526.0403</v>
      </c>
      <c r="F172" s="26" t="n">
        <v>568</v>
      </c>
      <c r="G172" s="24" t="n">
        <v>46286</v>
      </c>
      <c r="H172" s="25" t="n">
        <v>533.65</v>
      </c>
      <c r="I172" s="21">
        <f>IF(OR($B172="",$H172=""),"",IF($C172="LONG",($H172-$E172)*$F172,($E172-$H172)*$F172))</f>
        <v/>
      </c>
      <c r="J172" s="4" t="n">
        <v>234.09</v>
      </c>
      <c r="K172" s="21">
        <f>IF(OR($B172="",$I172=""),"",$I172-IF($J172="",0,$J172))</f>
        <v/>
      </c>
      <c r="L172" s="22">
        <f>IF(OR($B172="",$K172="",$E172=0,$F172=0),"",$K172/($E172*$F172))</f>
        <v/>
      </c>
      <c r="M172" s="27">
        <f>IF($B172="","",IF($H172="","Open","Closed"))</f>
        <v/>
      </c>
    </row>
    <row r="173">
      <c r="A173" s="23" t="inlineStr">
        <is>
          <t>DHAN-23126091873409</t>
        </is>
      </c>
      <c r="B173" s="23" t="inlineStr">
        <is>
          <t>SAMBHV</t>
        </is>
      </c>
      <c r="C173" s="23" t="inlineStr">
        <is>
          <t>LONG</t>
        </is>
      </c>
      <c r="D173" s="24" t="n">
        <v>46283</v>
      </c>
      <c r="E173" s="25" t="n">
        <v>148.3417</v>
      </c>
      <c r="F173" s="26" t="n">
        <v>2021</v>
      </c>
      <c r="G173" s="24" t="n">
        <v>46286</v>
      </c>
      <c r="H173" s="25" t="n">
        <v>155.57</v>
      </c>
      <c r="I173" s="21">
        <f>IF(OR($B173="",$H173=""),"",IF($C173="LONG",($H173-$E173)*$F173,($E173-$H173)*$F173))</f>
        <v/>
      </c>
      <c r="J173" s="4" t="n">
        <v>250.09</v>
      </c>
      <c r="K173" s="21">
        <f>IF(OR($B173="",$I173=""),"",$I173-IF($J173="",0,$J173))</f>
        <v/>
      </c>
      <c r="L173" s="22">
        <f>IF(OR($B173="",$K173="",$E173=0,$F173=0),"",$K173/($E173*$F173))</f>
        <v/>
      </c>
      <c r="M173" s="27">
        <f>IF($B173="","",IF($H173="","Open","Closed"))</f>
        <v/>
      </c>
    </row>
    <row r="174">
      <c r="A174" s="23" t="inlineStr">
        <is>
          <t>DHAN-34126091813609</t>
        </is>
      </c>
      <c r="B174" s="23" t="inlineStr">
        <is>
          <t>SHAREINDIA</t>
        </is>
      </c>
      <c r="C174" s="23" t="inlineStr">
        <is>
          <t>SHORT</t>
        </is>
      </c>
      <c r="D174" s="24" t="n">
        <v>46283</v>
      </c>
      <c r="E174" s="25" t="n">
        <v>223.51</v>
      </c>
      <c r="F174" s="26" t="n">
        <v>1722</v>
      </c>
      <c r="G174" s="24" t="n">
        <v>46283</v>
      </c>
      <c r="H174" s="25" t="n">
        <v>227.78</v>
      </c>
      <c r="I174" s="21">
        <f>IF(OR($B174="",$H174=""),"",IF($C174="LONG",($H174-$E174)*$F174,($E174-$H174)*$F174))</f>
        <v/>
      </c>
      <c r="J174" s="4" t="n">
        <v>0</v>
      </c>
      <c r="K174" s="21">
        <f>IF(OR($B174="",$I174=""),"",$I174-IF($J174="",0,$J174))</f>
        <v/>
      </c>
      <c r="L174" s="22">
        <f>IF(OR($B174="",$K174="",$E174=0,$F174=0),"",$K174/($E174*$F174))</f>
        <v/>
      </c>
      <c r="M174" s="27">
        <f>IF($B174="","",IF($H174="","Open","Closed"))</f>
        <v/>
      </c>
    </row>
    <row r="175">
      <c r="A175" s="23" t="inlineStr">
        <is>
          <t>DHAN-34126091878409</t>
        </is>
      </c>
      <c r="B175" s="23" t="inlineStr">
        <is>
          <t>TALBROAUTO</t>
        </is>
      </c>
      <c r="C175" s="23" t="inlineStr">
        <is>
          <t>LONG</t>
        </is>
      </c>
      <c r="D175" s="24" t="n">
        <v>46283</v>
      </c>
      <c r="E175" s="25" t="n">
        <v>474.6399</v>
      </c>
      <c r="F175" s="26" t="n">
        <v>632</v>
      </c>
      <c r="G175" s="24" t="n">
        <v>46286</v>
      </c>
      <c r="H175" s="25" t="n">
        <v>477.78</v>
      </c>
      <c r="I175" s="21">
        <f>IF(OR($B175="",$H175=""),"",IF($C175="LONG",($H175-$E175)*$F175,($E175-$H175)*$F175))</f>
        <v/>
      </c>
      <c r="J175" s="4" t="n">
        <v>234.81</v>
      </c>
      <c r="K175" s="21">
        <f>IF(OR($B175="",$I175=""),"",$I175-IF($J175="",0,$J175))</f>
        <v/>
      </c>
      <c r="L175" s="22">
        <f>IF(OR($B175="",$K175="",$E175=0,$F175=0),"",$K175/($E175*$F175))</f>
        <v/>
      </c>
      <c r="M175" s="27">
        <f>IF($B175="","",IF($H175="","Open","Closed"))</f>
        <v/>
      </c>
    </row>
    <row r="176">
      <c r="A176" s="23" t="inlineStr">
        <is>
          <t>DHAN-22126091853309</t>
        </is>
      </c>
      <c r="B176" s="23" t="inlineStr">
        <is>
          <t>VENUSPIPES</t>
        </is>
      </c>
      <c r="C176" s="23" t="inlineStr">
        <is>
          <t>SHORT</t>
        </is>
      </c>
      <c r="D176" s="24" t="n">
        <v>46283</v>
      </c>
      <c r="E176" s="25" t="n">
        <v>2168.7</v>
      </c>
      <c r="F176" s="26" t="n">
        <v>176</v>
      </c>
      <c r="G176" s="24" t="n">
        <v>46283</v>
      </c>
      <c r="H176" s="25" t="n">
        <v>2291</v>
      </c>
      <c r="I176" s="21">
        <f>IF(OR($B176="",$H176=""),"",IF($C176="LONG",($H176-$E176)*$F176,($E176-$H176)*$F176))</f>
        <v/>
      </c>
      <c r="J176" s="4" t="n">
        <v>0</v>
      </c>
      <c r="K176" s="21">
        <f>IF(OR($B176="",$I176=""),"",$I176-IF($J176="",0,$J176))</f>
        <v/>
      </c>
      <c r="L176" s="22">
        <f>IF(OR($B176="",$K176="",$E176=0,$F176=0),"",$K176/($E176*$F176))</f>
        <v/>
      </c>
      <c r="M176" s="27">
        <f>IF($B176="","",IF($H176="","Open","Closed"))</f>
        <v/>
      </c>
    </row>
    <row r="177">
      <c r="A177" s="23" t="inlineStr">
        <is>
          <t>DHAN-241260921697209</t>
        </is>
      </c>
      <c r="B177" s="23" t="inlineStr">
        <is>
          <t>ASHIANA</t>
        </is>
      </c>
      <c r="C177" s="23" t="inlineStr">
        <is>
          <t>LONG</t>
        </is>
      </c>
      <c r="D177" s="24" t="n">
        <v>46286</v>
      </c>
      <c r="E177" s="25" t="n">
        <v>406.58957</v>
      </c>
      <c r="F177" s="26" t="n">
        <v>340</v>
      </c>
      <c r="G177" s="24" t="n">
        <v>46287</v>
      </c>
      <c r="H177" s="25" t="n">
        <v>392.12</v>
      </c>
      <c r="I177" s="21">
        <f>IF(OR($B177="",$H177=""),"",IF($C177="LONG",($H177-$E177)*$F177,($E177-$H177)*$F177))</f>
        <v/>
      </c>
      <c r="J177" s="4" t="n">
        <v>78.52</v>
      </c>
      <c r="K177" s="21">
        <f>IF(OR($B177="",$I177=""),"",$I177-IF($J177="",0,$J177))</f>
        <v/>
      </c>
      <c r="L177" s="22">
        <f>IF(OR($B177="",$K177="",$E177=0,$F177=0),"",$K177/($E177*$F177))</f>
        <v/>
      </c>
      <c r="M177" s="27">
        <f>IF($B177="","",IF($H177="","Open","Closed"))</f>
        <v/>
      </c>
    </row>
    <row r="178">
      <c r="A178" s="23" t="inlineStr">
        <is>
          <t>DHAN-321260921417509</t>
        </is>
      </c>
      <c r="B178" s="23" t="inlineStr">
        <is>
          <t>GRAUWEIL</t>
        </is>
      </c>
      <c r="C178" s="23" t="inlineStr">
        <is>
          <t>SHORT</t>
        </is>
      </c>
      <c r="D178" s="24" t="n">
        <v>46286</v>
      </c>
      <c r="E178" s="25" t="n">
        <v>85.12</v>
      </c>
      <c r="F178" s="26" t="n">
        <v>1726</v>
      </c>
      <c r="G178" s="24" t="n">
        <v>46286</v>
      </c>
      <c r="H178" s="25" t="n">
        <v>84.69</v>
      </c>
      <c r="I178" s="21">
        <f>IF(OR($B178="",$H178=""),"",IF($C178="LONG",($H178-$E178)*$F178,($E178-$H178)*$F178))</f>
        <v/>
      </c>
      <c r="J178" s="4" t="n">
        <v>0</v>
      </c>
      <c r="K178" s="21">
        <f>IF(OR($B178="",$I178=""),"",$I178-IF($J178="",0,$J178))</f>
        <v/>
      </c>
      <c r="L178" s="22">
        <f>IF(OR($B178="",$K178="",$E178=0,$F178=0),"",$K178/($E178*$F178))</f>
        <v/>
      </c>
      <c r="M178" s="27">
        <f>IF($B178="","",IF($H178="","Open","Closed"))</f>
        <v/>
      </c>
    </row>
    <row r="179">
      <c r="A179" s="23" t="inlineStr">
        <is>
          <t>DHAN-241260921699009</t>
        </is>
      </c>
      <c r="B179" s="23" t="inlineStr">
        <is>
          <t>INDORAMA</t>
        </is>
      </c>
      <c r="C179" s="23" t="inlineStr">
        <is>
          <t>LONG</t>
        </is>
      </c>
      <c r="D179" s="24" t="n">
        <v>46286</v>
      </c>
      <c r="E179" s="25" t="n">
        <v>105.67</v>
      </c>
      <c r="F179" s="26" t="n">
        <v>1300</v>
      </c>
      <c r="G179" s="24" t="n">
        <v>46287</v>
      </c>
      <c r="H179" s="25" t="n">
        <v>107.2</v>
      </c>
      <c r="I179" s="21">
        <f>IF(OR($B179="",$H179=""),"",IF($C179="LONG",($H179-$E179)*$F179,($E179-$H179)*$F179))</f>
        <v/>
      </c>
      <c r="J179" s="4" t="n">
        <v>50.15</v>
      </c>
      <c r="K179" s="21">
        <f>IF(OR($B179="",$I179=""),"",$I179-IF($J179="",0,$J179))</f>
        <v/>
      </c>
      <c r="L179" s="22">
        <f>IF(OR($B179="",$K179="",$E179=0,$F179=0),"",$K179/($E179*$F179))</f>
        <v/>
      </c>
      <c r="M179" s="27">
        <f>IF($B179="","",IF($H179="","Open","Closed"))</f>
        <v/>
      </c>
    </row>
    <row r="180">
      <c r="A180" s="23" t="inlineStr">
        <is>
          <t>DHAN-351260921486209</t>
        </is>
      </c>
      <c r="B180" s="23" t="inlineStr">
        <is>
          <t>JASH</t>
        </is>
      </c>
      <c r="C180" s="23" t="inlineStr">
        <is>
          <t>LONG</t>
        </is>
      </c>
      <c r="D180" s="24" t="n">
        <v>46286</v>
      </c>
      <c r="E180" s="25" t="n">
        <v>580.8</v>
      </c>
      <c r="F180" s="26" t="n">
        <v>244</v>
      </c>
      <c r="G180" s="24" t="n">
        <v>46287</v>
      </c>
      <c r="H180" s="25" t="n">
        <v>593.59</v>
      </c>
      <c r="I180" s="21">
        <f>IF(OR($B180="",$H180=""),"",IF($C180="LONG",($H180-$E180)*$F180,($E180-$H180)*$F180))</f>
        <v/>
      </c>
      <c r="J180" s="4" t="n">
        <v>79.23</v>
      </c>
      <c r="K180" s="21">
        <f>IF(OR($B180="",$I180=""),"",$I180-IF($J180="",0,$J180))</f>
        <v/>
      </c>
      <c r="L180" s="22">
        <f>IF(OR($B180="",$K180="",$E180=0,$F180=0),"",$K180/($E180*$F180))</f>
        <v/>
      </c>
      <c r="M180" s="27">
        <f>IF($B180="","",IF($H180="","Open","Closed"))</f>
        <v/>
      </c>
    </row>
    <row r="181">
      <c r="A181" s="23" t="inlineStr">
        <is>
          <t>DHAN-211260921155609</t>
        </is>
      </c>
      <c r="B181" s="23" t="inlineStr">
        <is>
          <t>JAYKAY</t>
        </is>
      </c>
      <c r="C181" s="23" t="inlineStr">
        <is>
          <t>LONG</t>
        </is>
      </c>
      <c r="D181" s="24" t="n">
        <v>46286</v>
      </c>
      <c r="E181" s="25" t="n">
        <v>188.91</v>
      </c>
      <c r="F181" s="26" t="n">
        <v>750</v>
      </c>
      <c r="G181" s="24" t="n">
        <v>46287</v>
      </c>
      <c r="H181" s="25" t="n">
        <v>191.21</v>
      </c>
      <c r="I181" s="21">
        <f>IF(OR($B181="",$H181=""),"",IF($C181="LONG",($H181-$E181)*$F181,($E181-$H181)*$F181))</f>
        <v/>
      </c>
      <c r="J181" s="4" t="n">
        <v>77.90000000000001</v>
      </c>
      <c r="K181" s="21">
        <f>IF(OR($B181="",$I181=""),"",$I181-IF($J181="",0,$J181))</f>
        <v/>
      </c>
      <c r="L181" s="22">
        <f>IF(OR($B181="",$K181="",$E181=0,$F181=0),"",$K181/($E181*$F181))</f>
        <v/>
      </c>
      <c r="M181" s="27">
        <f>IF($B181="","",IF($H181="","Open","Closed"))</f>
        <v/>
      </c>
    </row>
    <row r="182">
      <c r="A182" s="23" t="inlineStr">
        <is>
          <t>DHAN-241260921702409</t>
        </is>
      </c>
      <c r="B182" s="23" t="inlineStr">
        <is>
          <t>KROSS</t>
        </is>
      </c>
      <c r="C182" s="23" t="inlineStr">
        <is>
          <t>LONG</t>
        </is>
      </c>
      <c r="D182" s="24" t="n">
        <v>46286</v>
      </c>
      <c r="E182" s="25" t="n">
        <v>257.49</v>
      </c>
      <c r="F182" s="26" t="n">
        <v>233</v>
      </c>
      <c r="G182" s="24" t="n">
        <v>46287</v>
      </c>
      <c r="H182" s="25" t="n">
        <v>260.01</v>
      </c>
      <c r="I182" s="21">
        <f>IF(OR($B182="",$H182=""),"",IF($C182="LONG",($H182-$E182)*$F182,($E182-$H182)*$F182))</f>
        <v/>
      </c>
      <c r="J182" s="4" t="n">
        <v>60.41</v>
      </c>
      <c r="K182" s="21">
        <f>IF(OR($B182="",$I182=""),"",$I182-IF($J182="",0,$J182))</f>
        <v/>
      </c>
      <c r="L182" s="22">
        <f>IF(OR($B182="",$K182="",$E182=0,$F182=0),"",$K182/($E182*$F182))</f>
        <v/>
      </c>
      <c r="M182" s="27">
        <f>IF($B182="","",IF($H182="","Open","Closed"))</f>
        <v/>
      </c>
    </row>
    <row r="183">
      <c r="A183" s="23" t="inlineStr">
        <is>
          <t>DHAN-23126092113309</t>
        </is>
      </c>
      <c r="B183" s="23" t="inlineStr">
        <is>
          <t>LUXIND</t>
        </is>
      </c>
      <c r="C183" s="23" t="inlineStr">
        <is>
          <t>SHORT</t>
        </is>
      </c>
      <c r="D183" s="24" t="n">
        <v>46286</v>
      </c>
      <c r="E183" s="25" t="n">
        <v>1142.1</v>
      </c>
      <c r="F183" s="26" t="n">
        <v>263</v>
      </c>
      <c r="G183" s="24" t="n">
        <v>46286</v>
      </c>
      <c r="H183" s="25" t="n">
        <v>1197.67</v>
      </c>
      <c r="I183" s="21">
        <f>IF(OR($B183="",$H183=""),"",IF($C183="LONG",($H183-$E183)*$F183,($E183-$H183)*$F183))</f>
        <v/>
      </c>
      <c r="J183" s="4" t="n">
        <v>0</v>
      </c>
      <c r="K183" s="21">
        <f>IF(OR($B183="",$I183=""),"",$I183-IF($J183="",0,$J183))</f>
        <v/>
      </c>
      <c r="L183" s="22">
        <f>IF(OR($B183="",$K183="",$E183=0,$F183=0),"",$K183/($E183*$F183))</f>
        <v/>
      </c>
      <c r="M183" s="27">
        <f>IF($B183="","",IF($H183="","Open","Closed"))</f>
        <v/>
      </c>
    </row>
    <row r="184">
      <c r="A184" s="23" t="inlineStr">
        <is>
          <t>DHAN-22126092158309</t>
        </is>
      </c>
      <c r="B184" s="23" t="inlineStr">
        <is>
          <t>NRBBEARING</t>
        </is>
      </c>
      <c r="C184" s="23" t="inlineStr">
        <is>
          <t>SHORT</t>
        </is>
      </c>
      <c r="D184" s="24" t="n">
        <v>46286</v>
      </c>
      <c r="E184" s="25" t="n">
        <v>535.51</v>
      </c>
      <c r="F184" s="26" t="n">
        <v>568</v>
      </c>
      <c r="G184" s="24" t="n">
        <v>46286</v>
      </c>
      <c r="H184" s="25" t="n">
        <v>531.6799999999999</v>
      </c>
      <c r="I184" s="21">
        <f>IF(OR($B184="",$H184=""),"",IF($C184="LONG",($H184-$E184)*$F184,($E184-$H184)*$F184))</f>
        <v/>
      </c>
      <c r="J184" s="4" t="n">
        <v>0</v>
      </c>
      <c r="K184" s="21">
        <f>IF(OR($B184="",$I184=""),"",$I184-IF($J184="",0,$J184))</f>
        <v/>
      </c>
      <c r="L184" s="22">
        <f>IF(OR($B184="",$K184="",$E184=0,$F184=0),"",$K184/($E184*$F184))</f>
        <v/>
      </c>
      <c r="M184" s="27">
        <f>IF($B184="","",IF($H184="","Open","Closed"))</f>
        <v/>
      </c>
    </row>
    <row r="185">
      <c r="A185" s="23" t="inlineStr">
        <is>
          <t>DHAN-221260921659609</t>
        </is>
      </c>
      <c r="B185" s="23" t="inlineStr">
        <is>
          <t>REFEX</t>
        </is>
      </c>
      <c r="C185" s="23" t="inlineStr">
        <is>
          <t>LONG</t>
        </is>
      </c>
      <c r="D185" s="24" t="n">
        <v>46286</v>
      </c>
      <c r="E185" s="25" t="n">
        <v>293.2</v>
      </c>
      <c r="F185" s="26" t="n">
        <v>470</v>
      </c>
      <c r="G185" s="24" t="n">
        <v>46287</v>
      </c>
      <c r="H185" s="25" t="n">
        <v>292.43</v>
      </c>
      <c r="I185" s="21">
        <f>IF(OR($B185="",$H185=""),"",IF($C185="LONG",($H185-$E185)*$F185,($E185-$H185)*$F185))</f>
        <v/>
      </c>
      <c r="J185" s="4" t="n">
        <v>79.26000000000001</v>
      </c>
      <c r="K185" s="21">
        <f>IF(OR($B185="",$I185=""),"",$I185-IF($J185="",0,$J185))</f>
        <v/>
      </c>
      <c r="L185" s="22">
        <f>IF(OR($B185="",$K185="",$E185=0,$F185=0),"",$K185/($E185*$F185))</f>
        <v/>
      </c>
      <c r="M185" s="27">
        <f>IF($B185="","",IF($H185="","Open","Closed"))</f>
        <v/>
      </c>
    </row>
    <row r="186">
      <c r="A186" s="23" t="inlineStr">
        <is>
          <t>DHAN-32126092161209</t>
        </is>
      </c>
      <c r="B186" s="23" t="inlineStr">
        <is>
          <t>SAMBHV</t>
        </is>
      </c>
      <c r="C186" s="23" t="inlineStr">
        <is>
          <t>SHORT</t>
        </is>
      </c>
      <c r="D186" s="24" t="n">
        <v>46286</v>
      </c>
      <c r="E186" s="25" t="n">
        <v>156.2</v>
      </c>
      <c r="F186" s="26" t="n">
        <v>2021</v>
      </c>
      <c r="G186" s="24" t="n">
        <v>46286</v>
      </c>
      <c r="H186" s="25" t="n">
        <v>153.42</v>
      </c>
      <c r="I186" s="21">
        <f>IF(OR($B186="",$H186=""),"",IF($C186="LONG",($H186-$E186)*$F186,($E186-$H186)*$F186))</f>
        <v/>
      </c>
      <c r="J186" s="4" t="n">
        <v>0</v>
      </c>
      <c r="K186" s="21">
        <f>IF(OR($B186="",$I186=""),"",$I186-IF($J186="",0,$J186))</f>
        <v/>
      </c>
      <c r="L186" s="22">
        <f>IF(OR($B186="",$K186="",$E186=0,$F186=0),"",$K186/($E186*$F186))</f>
        <v/>
      </c>
      <c r="M186" s="27">
        <f>IF($B186="","",IF($H186="","Open","Closed"))</f>
        <v/>
      </c>
    </row>
    <row r="187">
      <c r="A187" s="23" t="inlineStr">
        <is>
          <t>DHAN-23126092113209</t>
        </is>
      </c>
      <c r="B187" s="23" t="inlineStr">
        <is>
          <t>TALBROAUTO</t>
        </is>
      </c>
      <c r="C187" s="23" t="inlineStr">
        <is>
          <t>SHORT</t>
        </is>
      </c>
      <c r="D187" s="24" t="n">
        <v>46286</v>
      </c>
      <c r="E187" s="25" t="n">
        <v>478.39</v>
      </c>
      <c r="F187" s="26" t="n">
        <v>632</v>
      </c>
      <c r="G187" s="24" t="n">
        <v>46286</v>
      </c>
      <c r="H187" s="25" t="n">
        <v>465.51</v>
      </c>
      <c r="I187" s="21">
        <f>IF(OR($B187="",$H187=""),"",IF($C187="LONG",($H187-$E187)*$F187,($E187-$H187)*$F187))</f>
        <v/>
      </c>
      <c r="J187" s="4" t="n">
        <v>0</v>
      </c>
      <c r="K187" s="21">
        <f>IF(OR($B187="",$I187=""),"",$I187-IF($J187="",0,$J187))</f>
        <v/>
      </c>
      <c r="L187" s="22">
        <f>IF(OR($B187="",$K187="",$E187=0,$F187=0),"",$K187/($E187*$F187))</f>
        <v/>
      </c>
      <c r="M187" s="27">
        <f>IF($B187="","",IF($H187="","Open","Closed"))</f>
        <v/>
      </c>
    </row>
    <row r="188">
      <c r="A188" s="23" t="inlineStr">
        <is>
          <t>DHAN-34126092243009</t>
        </is>
      </c>
      <c r="B188" s="23" t="inlineStr">
        <is>
          <t>ASHIANA</t>
        </is>
      </c>
      <c r="C188" s="23" t="inlineStr">
        <is>
          <t>SHORT</t>
        </is>
      </c>
      <c r="D188" s="24" t="n">
        <v>46287</v>
      </c>
      <c r="E188" s="25" t="n">
        <v>391.52</v>
      </c>
      <c r="F188" s="26" t="n">
        <v>340</v>
      </c>
      <c r="G188" s="24" t="n">
        <v>46287</v>
      </c>
      <c r="H188" s="25" t="n">
        <v>386.54</v>
      </c>
      <c r="I188" s="21">
        <f>IF(OR($B188="",$H188=""),"",IF($C188="LONG",($H188-$E188)*$F188,($E188-$H188)*$F188))</f>
        <v/>
      </c>
      <c r="J188" s="4" t="n">
        <v>0</v>
      </c>
      <c r="K188" s="21">
        <f>IF(OR($B188="",$I188=""),"",$I188-IF($J188="",0,$J188))</f>
        <v/>
      </c>
      <c r="L188" s="22">
        <f>IF(OR($B188="",$K188="",$E188=0,$F188=0),"",$K188/($E188*$F188))</f>
        <v/>
      </c>
      <c r="M188" s="27">
        <f>IF($B188="","",IF($H188="","Open","Closed"))</f>
        <v/>
      </c>
    </row>
    <row r="189">
      <c r="A189" s="23" t="inlineStr">
        <is>
          <t>DHAN-limit_entry_multi</t>
        </is>
      </c>
      <c r="B189" s="23" t="inlineStr">
        <is>
          <t>ASTEC</t>
        </is>
      </c>
      <c r="C189" s="23" t="inlineStr">
        <is>
          <t>LONG</t>
        </is>
      </c>
      <c r="D189" s="24" t="n">
        <v>46287</v>
      </c>
      <c r="E189" s="25" t="n">
        <v>794.5626999999999</v>
      </c>
      <c r="F189" s="26" t="n">
        <v>315</v>
      </c>
      <c r="G189" s="24" t="n">
        <v>46288</v>
      </c>
      <c r="H189" s="25" t="n">
        <v>775.9299999999999</v>
      </c>
      <c r="I189" s="21">
        <f>IF(OR($B189="",$H189=""),"",IF($C189="LONG",($H189-$E189)*$F189,($E189-$H189)*$F189))</f>
        <v/>
      </c>
      <c r="J189" s="4" t="n">
        <v>99.33</v>
      </c>
      <c r="K189" s="21">
        <f>IF(OR($B189="",$I189=""),"",$I189-IF($J189="",0,$J189))</f>
        <v/>
      </c>
      <c r="L189" s="22">
        <f>IF(OR($B189="",$K189="",$E189=0,$F189=0),"",$K189/($E189*$F189))</f>
        <v/>
      </c>
      <c r="M189" s="27">
        <f>IF($B189="","",IF($H189="","Open","Closed"))</f>
        <v/>
      </c>
    </row>
    <row r="190">
      <c r="A190" s="23" t="inlineStr">
        <is>
          <t>DHAN-23126092274109</t>
        </is>
      </c>
      <c r="B190" s="23" t="inlineStr">
        <is>
          <t>CHEMPLASTS</t>
        </is>
      </c>
      <c r="C190" s="23" t="inlineStr">
        <is>
          <t>LONG</t>
        </is>
      </c>
      <c r="D190" s="24" t="n">
        <v>46287</v>
      </c>
      <c r="E190" s="25" t="n">
        <v>200.3954</v>
      </c>
      <c r="F190" s="26" t="n">
        <v>1255</v>
      </c>
      <c r="G190" s="24" t="n">
        <v>46288</v>
      </c>
      <c r="H190" s="25" t="n">
        <v>196.71</v>
      </c>
      <c r="I190" s="21">
        <f>IF(OR($B190="",$H190=""),"",IF($C190="LONG",($H190-$E190)*$F190,($E190-$H190)*$F190))</f>
        <v/>
      </c>
      <c r="J190" s="4" t="n">
        <v>104.63</v>
      </c>
      <c r="K190" s="21">
        <f>IF(OR($B190="",$I190=""),"",$I190-IF($J190="",0,$J190))</f>
        <v/>
      </c>
      <c r="L190" s="22">
        <f>IF(OR($B190="",$K190="",$E190=0,$F190=0),"",$K190/($E190*$F190))</f>
        <v/>
      </c>
      <c r="M190" s="27">
        <f>IF($B190="","",IF($H190="","Open","Closed"))</f>
        <v/>
      </c>
    </row>
    <row r="191">
      <c r="A191" s="23" t="inlineStr">
        <is>
          <t>DHAN-23126092251309</t>
        </is>
      </c>
      <c r="B191" s="23" t="inlineStr">
        <is>
          <t>INDORAMA</t>
        </is>
      </c>
      <c r="C191" s="23" t="inlineStr">
        <is>
          <t>SHORT</t>
        </is>
      </c>
      <c r="D191" s="24" t="n">
        <v>46287</v>
      </c>
      <c r="E191" s="25" t="n">
        <v>107.16</v>
      </c>
      <c r="F191" s="26" t="n">
        <v>1300</v>
      </c>
      <c r="G191" s="24" t="n">
        <v>46287</v>
      </c>
      <c r="H191" s="25" t="n">
        <v>105.33</v>
      </c>
      <c r="I191" s="21">
        <f>IF(OR($B191="",$H191=""),"",IF($C191="LONG",($H191-$E191)*$F191,($E191-$H191)*$F191))</f>
        <v/>
      </c>
      <c r="J191" s="4" t="n">
        <v>0</v>
      </c>
      <c r="K191" s="21">
        <f>IF(OR($B191="",$I191=""),"",$I191-IF($J191="",0,$J191))</f>
        <v/>
      </c>
      <c r="L191" s="22">
        <f>IF(OR($B191="",$K191="",$E191=0,$F191=0),"",$K191/($E191*$F191))</f>
        <v/>
      </c>
      <c r="M191" s="27">
        <f>IF($B191="","",IF($H191="","Open","Closed"))</f>
        <v/>
      </c>
    </row>
    <row r="192">
      <c r="A192" s="23" t="inlineStr">
        <is>
          <t>DHAN-34126092213209</t>
        </is>
      </c>
      <c r="B192" s="23" t="inlineStr">
        <is>
          <t>JASH</t>
        </is>
      </c>
      <c r="C192" s="23" t="inlineStr">
        <is>
          <t>SHORT</t>
        </is>
      </c>
      <c r="D192" s="24" t="n">
        <v>46287</v>
      </c>
      <c r="E192" s="25" t="n">
        <v>595.99</v>
      </c>
      <c r="F192" s="26" t="n">
        <v>244</v>
      </c>
      <c r="G192" s="24" t="n">
        <v>46287</v>
      </c>
      <c r="H192" s="25" t="n">
        <v>584.99</v>
      </c>
      <c r="I192" s="21">
        <f>IF(OR($B192="",$H192=""),"",IF($C192="LONG",($H192-$E192)*$F192,($E192-$H192)*$F192))</f>
        <v/>
      </c>
      <c r="J192" s="4" t="n">
        <v>0</v>
      </c>
      <c r="K192" s="21">
        <f>IF(OR($B192="",$I192=""),"",$I192-IF($J192="",0,$J192))</f>
        <v/>
      </c>
      <c r="L192" s="22">
        <f>IF(OR($B192="",$K192="",$E192=0,$F192=0),"",$K192/($E192*$F192))</f>
        <v/>
      </c>
      <c r="M192" s="27">
        <f>IF($B192="","",IF($H192="","Open","Closed"))</f>
        <v/>
      </c>
    </row>
    <row r="193">
      <c r="A193" s="23" t="inlineStr">
        <is>
          <t>DHAN-32126092252109</t>
        </is>
      </c>
      <c r="B193" s="23" t="inlineStr">
        <is>
          <t>JAYKAY</t>
        </is>
      </c>
      <c r="C193" s="23" t="inlineStr">
        <is>
          <t>SHORT</t>
        </is>
      </c>
      <c r="D193" s="24" t="n">
        <v>46287</v>
      </c>
      <c r="E193" s="25" t="n">
        <v>190.59</v>
      </c>
      <c r="F193" s="26" t="n">
        <v>750</v>
      </c>
      <c r="G193" s="24" t="n">
        <v>46287</v>
      </c>
      <c r="H193" s="25" t="n">
        <v>188.34</v>
      </c>
      <c r="I193" s="21">
        <f>IF(OR($B193="",$H193=""),"",IF($C193="LONG",($H193-$E193)*$F193,($E193-$H193)*$F193))</f>
        <v/>
      </c>
      <c r="J193" s="4" t="n">
        <v>0</v>
      </c>
      <c r="K193" s="21">
        <f>IF(OR($B193="",$I193=""),"",$I193-IF($J193="",0,$J193))</f>
        <v/>
      </c>
      <c r="L193" s="22">
        <f>IF(OR($B193="",$K193="",$E193=0,$F193=0),"",$K193/($E193*$F193))</f>
        <v/>
      </c>
      <c r="M193" s="27">
        <f>IF($B193="","",IF($H193="","Open","Closed"))</f>
        <v/>
      </c>
    </row>
    <row r="194">
      <c r="A194" s="23" t="inlineStr">
        <is>
          <t>DHAN-22126092254109</t>
        </is>
      </c>
      <c r="B194" s="23" t="inlineStr">
        <is>
          <t>KROSS</t>
        </is>
      </c>
      <c r="C194" s="23" t="inlineStr">
        <is>
          <t>SHORT</t>
        </is>
      </c>
      <c r="D194" s="24" t="n">
        <v>46287</v>
      </c>
      <c r="E194" s="25" t="n">
        <v>259</v>
      </c>
      <c r="F194" s="26" t="n">
        <v>233</v>
      </c>
      <c r="G194" s="24" t="n">
        <v>46287</v>
      </c>
      <c r="H194" s="25" t="n">
        <v>256.71</v>
      </c>
      <c r="I194" s="21">
        <f>IF(OR($B194="",$H194=""),"",IF($C194="LONG",($H194-$E194)*$F194,($E194-$H194)*$F194))</f>
        <v/>
      </c>
      <c r="J194" s="4" t="n">
        <v>0</v>
      </c>
      <c r="K194" s="21">
        <f>IF(OR($B194="",$I194=""),"",$I194-IF($J194="",0,$J194))</f>
        <v/>
      </c>
      <c r="L194" s="22">
        <f>IF(OR($B194="",$K194="",$E194=0,$F194=0),"",$K194/($E194*$F194))</f>
        <v/>
      </c>
      <c r="M194" s="27">
        <f>IF($B194="","",IF($H194="","Open","Closed"))</f>
        <v/>
      </c>
    </row>
    <row r="195">
      <c r="A195" s="23" t="inlineStr">
        <is>
          <t>DHAN-221260922659909</t>
        </is>
      </c>
      <c r="B195" s="23" t="inlineStr">
        <is>
          <t>PACEDIGITK</t>
        </is>
      </c>
      <c r="C195" s="23" t="inlineStr">
        <is>
          <t>LONG</t>
        </is>
      </c>
      <c r="D195" s="24" t="n">
        <v>46287</v>
      </c>
      <c r="E195" s="25" t="n">
        <v>168.7</v>
      </c>
      <c r="F195" s="26" t="n">
        <v>1482</v>
      </c>
      <c r="G195" s="24" t="n">
        <v>46288</v>
      </c>
      <c r="H195" s="25" t="n">
        <v>170.47</v>
      </c>
      <c r="I195" s="21">
        <f>IF(OR($B195="",$H195=""),"",IF($C195="LONG",($H195-$E195)*$F195,($E195-$H195)*$F195))</f>
        <v/>
      </c>
      <c r="J195" s="4" t="n">
        <v>108.26</v>
      </c>
      <c r="K195" s="21">
        <f>IF(OR($B195="",$I195=""),"",$I195-IF($J195="",0,$J195))</f>
        <v/>
      </c>
      <c r="L195" s="22">
        <f>IF(OR($B195="",$K195="",$E195=0,$F195=0),"",$K195/($E195*$F195))</f>
        <v/>
      </c>
      <c r="M195" s="27">
        <f>IF($B195="","",IF($H195="","Open","Closed"))</f>
        <v/>
      </c>
    </row>
    <row r="196">
      <c r="A196" s="23" t="inlineStr">
        <is>
          <t>DHAN-23126092274009</t>
        </is>
      </c>
      <c r="B196" s="23" t="inlineStr">
        <is>
          <t>PROTEAN</t>
        </is>
      </c>
      <c r="C196" s="23" t="inlineStr">
        <is>
          <t>LONG</t>
        </is>
      </c>
      <c r="D196" s="24" t="n">
        <v>46287</v>
      </c>
      <c r="E196" s="25" t="n">
        <v>620.9959</v>
      </c>
      <c r="F196" s="26" t="n">
        <v>403</v>
      </c>
      <c r="G196" s="24" t="n">
        <v>46288</v>
      </c>
      <c r="H196" s="25" t="n">
        <v>607.61</v>
      </c>
      <c r="I196" s="21">
        <f>IF(OR($B196="",$H196=""),"",IF($C196="LONG",($H196-$E196)*$F196,($E196-$H196)*$F196))</f>
        <v/>
      </c>
      <c r="J196" s="4" t="n">
        <v>101.5</v>
      </c>
      <c r="K196" s="21">
        <f>IF(OR($B196="",$I196=""),"",$I196-IF($J196="",0,$J196))</f>
        <v/>
      </c>
      <c r="L196" s="22">
        <f>IF(OR($B196="",$K196="",$E196=0,$F196=0),"",$K196/($E196*$F196))</f>
        <v/>
      </c>
      <c r="M196" s="27">
        <f>IF($B196="","",IF($H196="","Open","Closed"))</f>
        <v/>
      </c>
    </row>
    <row r="197">
      <c r="A197" s="23" t="inlineStr">
        <is>
          <t>DHAN-23126092251409</t>
        </is>
      </c>
      <c r="B197" s="23" t="inlineStr">
        <is>
          <t>REFEX</t>
        </is>
      </c>
      <c r="C197" s="23" t="inlineStr">
        <is>
          <t>SHORT</t>
        </is>
      </c>
      <c r="D197" s="24" t="n">
        <v>46287</v>
      </c>
      <c r="E197" s="25" t="n">
        <v>292.4</v>
      </c>
      <c r="F197" s="26" t="n">
        <v>470</v>
      </c>
      <c r="G197" s="24" t="n">
        <v>46287</v>
      </c>
      <c r="H197" s="25" t="n">
        <v>292</v>
      </c>
      <c r="I197" s="21">
        <f>IF(OR($B197="",$H197=""),"",IF($C197="LONG",($H197-$E197)*$F197,($E197-$H197)*$F197))</f>
        <v/>
      </c>
      <c r="J197" s="4" t="n">
        <v>0</v>
      </c>
      <c r="K197" s="21">
        <f>IF(OR($B197="",$I197=""),"",$I197-IF($J197="",0,$J197))</f>
        <v/>
      </c>
      <c r="L197" s="22">
        <f>IF(OR($B197="",$K197="",$E197=0,$F197=0),"",$K197/($E197*$F197))</f>
        <v/>
      </c>
      <c r="M197" s="27">
        <f>IF($B197="","",IF($H197="","Open","Closed"))</f>
        <v/>
      </c>
    </row>
    <row r="198">
      <c r="A198" s="23" t="inlineStr">
        <is>
          <t>DHAN-321260922627909</t>
        </is>
      </c>
      <c r="B198" s="23" t="inlineStr">
        <is>
          <t>STEELCAS</t>
        </is>
      </c>
      <c r="C198" s="23" t="inlineStr">
        <is>
          <t>LONG</t>
        </is>
      </c>
      <c r="D198" s="24" t="n">
        <v>46287</v>
      </c>
      <c r="E198" s="25" t="n">
        <v>349.9038</v>
      </c>
      <c r="F198" s="26" t="n">
        <v>715</v>
      </c>
      <c r="G198" s="24" t="n">
        <v>46288</v>
      </c>
      <c r="H198" s="25" t="n">
        <v>357.47</v>
      </c>
      <c r="I198" s="21">
        <f>IF(OR($B198="",$H198=""),"",IF($C198="LONG",($H198-$E198)*$F198,($E198-$H198)*$F198))</f>
        <v/>
      </c>
      <c r="J198" s="4" t="n">
        <v>101.49</v>
      </c>
      <c r="K198" s="21">
        <f>IF(OR($B198="",$I198=""),"",$I198-IF($J198="",0,$J198))</f>
        <v/>
      </c>
      <c r="L198" s="22">
        <f>IF(OR($B198="",$K198="",$E198=0,$F198=0),"",$K198/($E198*$F198))</f>
        <v/>
      </c>
      <c r="M198" s="27">
        <f>IF($B198="","",IF($H198="","Open","Closed"))</f>
        <v/>
      </c>
    </row>
    <row r="199">
      <c r="A199" s="23" t="inlineStr">
        <is>
          <t>DHAN-34126092267009</t>
        </is>
      </c>
      <c r="B199" s="23" t="inlineStr">
        <is>
          <t>ZOTA</t>
        </is>
      </c>
      <c r="C199" s="23" t="inlineStr">
        <is>
          <t>LONG</t>
        </is>
      </c>
      <c r="D199" s="24" t="n">
        <v>46287</v>
      </c>
      <c r="E199" s="25" t="n">
        <v>1359.8431</v>
      </c>
      <c r="F199" s="26" t="n">
        <v>183</v>
      </c>
      <c r="G199" s="24" t="n">
        <v>46288</v>
      </c>
      <c r="H199" s="25" t="n">
        <v>1372.32</v>
      </c>
      <c r="I199" s="21">
        <f>IF(OR($B199="",$H199=""),"",IF($C199="LONG",($H199-$E199)*$F199,($E199-$H199)*$F199))</f>
        <v/>
      </c>
      <c r="J199" s="4" t="n">
        <v>104.5</v>
      </c>
      <c r="K199" s="21">
        <f>IF(OR($B199="",$I199=""),"",$I199-IF($J199="",0,$J199))</f>
        <v/>
      </c>
      <c r="L199" s="22">
        <f>IF(OR($B199="",$K199="",$E199=0,$F199=0),"",$K199/($E199*$F199))</f>
        <v/>
      </c>
      <c r="M199" s="27">
        <f>IF($B199="","",IF($H199="","Open","Closed"))</f>
        <v/>
      </c>
    </row>
    <row r="200">
      <c r="A200" s="23" t="inlineStr">
        <is>
          <t>DHAN-limit_entry_multi</t>
        </is>
      </c>
      <c r="B200" s="23" t="inlineStr">
        <is>
          <t>ARVSMART</t>
        </is>
      </c>
      <c r="C200" s="23" t="inlineStr">
        <is>
          <t>LONG</t>
        </is>
      </c>
      <c r="D200" s="24" t="n">
        <v>46288</v>
      </c>
      <c r="E200" s="25" t="n">
        <v>635.6889</v>
      </c>
      <c r="F200" s="26" t="n">
        <v>262</v>
      </c>
      <c r="G200" s="24" t="inlineStr"/>
      <c r="H200" s="25" t="inlineStr"/>
      <c r="I200" s="21">
        <f>IF(OR($B200="",$H200=""),"",IF($C200="LONG",($H200-$E200)*$F200,($E200-$H200)*$F200))</f>
        <v/>
      </c>
      <c r="J200" s="4" t="n">
        <v>50.15</v>
      </c>
      <c r="K200" s="21">
        <f>IF(OR($B200="",$I200=""),"",$I200-IF($J200="",0,$J200))</f>
        <v/>
      </c>
      <c r="L200" s="22">
        <f>IF(OR($B200="",$K200="",$E200=0,$F200=0),"",$K200/($E200*$F200))</f>
        <v/>
      </c>
      <c r="M200" s="27">
        <f>IF($B200="","",IF($H200="","Open","Closed"))</f>
        <v/>
      </c>
    </row>
    <row r="201">
      <c r="A201" s="23" t="inlineStr">
        <is>
          <t>DHAN-221260923445309</t>
        </is>
      </c>
      <c r="B201" s="23" t="inlineStr">
        <is>
          <t>ASTEC</t>
        </is>
      </c>
      <c r="C201" s="23" t="inlineStr">
        <is>
          <t>SHORT</t>
        </is>
      </c>
      <c r="D201" s="24" t="n">
        <v>46288</v>
      </c>
      <c r="E201" s="25" t="n">
        <v>775.25</v>
      </c>
      <c r="F201" s="26" t="n">
        <v>315</v>
      </c>
      <c r="G201" s="24" t="n">
        <v>46288</v>
      </c>
      <c r="H201" s="25" t="n">
        <v>764.5</v>
      </c>
      <c r="I201" s="21">
        <f>IF(OR($B201="",$H201=""),"",IF($C201="LONG",($H201-$E201)*$F201,($E201-$H201)*$F201))</f>
        <v/>
      </c>
      <c r="J201" s="4" t="n">
        <v>0</v>
      </c>
      <c r="K201" s="21">
        <f>IF(OR($B201="",$I201=""),"",$I201-IF($J201="",0,$J201))</f>
        <v/>
      </c>
      <c r="L201" s="22">
        <f>IF(OR($B201="",$K201="",$E201=0,$F201=0),"",$K201/($E201*$F201))</f>
        <v/>
      </c>
      <c r="M201" s="27">
        <f>IF($B201="","",IF($H201="","Open","Closed"))</f>
        <v/>
      </c>
    </row>
    <row r="202">
      <c r="A202" s="23" t="inlineStr">
        <is>
          <t>DHAN-34126092354709</t>
        </is>
      </c>
      <c r="B202" s="23" t="inlineStr">
        <is>
          <t>CHEMPLASTS</t>
        </is>
      </c>
      <c r="C202" s="23" t="inlineStr">
        <is>
          <t>SHORT</t>
        </is>
      </c>
      <c r="D202" s="24" t="n">
        <v>46288</v>
      </c>
      <c r="E202" s="25" t="n">
        <v>196.53</v>
      </c>
      <c r="F202" s="26" t="n">
        <v>1255</v>
      </c>
      <c r="G202" s="24" t="n">
        <v>46288</v>
      </c>
      <c r="H202" s="25" t="n">
        <v>199.17</v>
      </c>
      <c r="I202" s="21">
        <f>IF(OR($B202="",$H202=""),"",IF($C202="LONG",($H202-$E202)*$F202,($E202-$H202)*$F202))</f>
        <v/>
      </c>
      <c r="J202" s="4" t="n">
        <v>0</v>
      </c>
      <c r="K202" s="21">
        <f>IF(OR($B202="",$I202=""),"",$I202-IF($J202="",0,$J202))</f>
        <v/>
      </c>
      <c r="L202" s="22">
        <f>IF(OR($B202="",$K202="",$E202=0,$F202=0),"",$K202/($E202*$F202))</f>
        <v/>
      </c>
      <c r="M202" s="27">
        <f>IF($B202="","",IF($H202="","Open","Closed"))</f>
        <v/>
      </c>
    </row>
    <row r="203">
      <c r="A203" s="23" t="inlineStr">
        <is>
          <t>DHAN-limit_entry_multi</t>
        </is>
      </c>
      <c r="B203" s="23" t="inlineStr">
        <is>
          <t>DELTACORP</t>
        </is>
      </c>
      <c r="C203" s="23" t="inlineStr">
        <is>
          <t>LONG</t>
        </is>
      </c>
      <c r="D203" s="24" t="n">
        <v>46288</v>
      </c>
      <c r="E203" s="25" t="n">
        <v>68.7423</v>
      </c>
      <c r="F203" s="26" t="n">
        <v>2426</v>
      </c>
      <c r="G203" s="24" t="inlineStr"/>
      <c r="H203" s="25" t="inlineStr"/>
      <c r="I203" s="21">
        <f>IF(OR($B203="",$H203=""),"",IF($C203="LONG",($H203-$E203)*$F203,($E203-$H203)*$F203))</f>
        <v/>
      </c>
      <c r="J203" s="4" t="n">
        <v>50.15</v>
      </c>
      <c r="K203" s="21">
        <f>IF(OR($B203="",$I203=""),"",$I203-IF($J203="",0,$J203))</f>
        <v/>
      </c>
      <c r="L203" s="22">
        <f>IF(OR($B203="",$K203="",$E203=0,$F203=0),"",$K203/($E203*$F203))</f>
        <v/>
      </c>
      <c r="M203" s="27">
        <f>IF($B203="","",IF($H203="","Open","Closed"))</f>
        <v/>
      </c>
    </row>
    <row r="204">
      <c r="A204" s="23" t="inlineStr">
        <is>
          <t>DHAN-limit_entry_multi</t>
        </is>
      </c>
      <c r="B204" s="23" t="inlineStr">
        <is>
          <t>GNA</t>
        </is>
      </c>
      <c r="C204" s="23" t="inlineStr">
        <is>
          <t>LONG</t>
        </is>
      </c>
      <c r="D204" s="24" t="n">
        <v>46288</v>
      </c>
      <c r="E204" s="25" t="n">
        <v>596.2712</v>
      </c>
      <c r="F204" s="26" t="n">
        <v>139</v>
      </c>
      <c r="G204" s="24" t="inlineStr"/>
      <c r="H204" s="25" t="inlineStr"/>
      <c r="I204" s="21">
        <f>IF(OR($B204="",$H204=""),"",IF($C204="LONG",($H204-$E204)*$F204,($E204-$H204)*$F204))</f>
        <v/>
      </c>
      <c r="J204" s="4" t="n">
        <v>14.75</v>
      </c>
      <c r="K204" s="21">
        <f>IF(OR($B204="",$I204=""),"",$I204-IF($J204="",0,$J204))</f>
        <v/>
      </c>
      <c r="L204" s="22">
        <f>IF(OR($B204="",$K204="",$E204=0,$F204=0),"",$K204/($E204*$F204))</f>
        <v/>
      </c>
      <c r="M204" s="27">
        <f>IF($B204="","",IF($H204="","Open","Closed"))</f>
        <v/>
      </c>
    </row>
    <row r="205">
      <c r="A205" s="23" t="inlineStr">
        <is>
          <t>DHAN-limit_entry_multi</t>
        </is>
      </c>
      <c r="B205" s="23" t="inlineStr">
        <is>
          <t>JAYKAY</t>
        </is>
      </c>
      <c r="C205" s="23" t="inlineStr">
        <is>
          <t>LONG</t>
        </is>
      </c>
      <c r="D205" s="24" t="n">
        <v>46288</v>
      </c>
      <c r="E205" s="25" t="n">
        <v>212.4728</v>
      </c>
      <c r="F205" s="26" t="n">
        <v>780</v>
      </c>
      <c r="G205" s="24" t="inlineStr"/>
      <c r="H205" s="25" t="inlineStr"/>
      <c r="I205" s="21">
        <f>IF(OR($B205="",$H205=""),"",IF($C205="LONG",($H205-$E205)*$F205,($E205-$H205)*$F205))</f>
        <v/>
      </c>
      <c r="J205" s="4" t="n">
        <v>50.15</v>
      </c>
      <c r="K205" s="21">
        <f>IF(OR($B205="",$I205=""),"",$I205-IF($J205="",0,$J205))</f>
        <v/>
      </c>
      <c r="L205" s="22">
        <f>IF(OR($B205="",$K205="",$E205=0,$F205=0),"",$K205/($E205*$F205))</f>
        <v/>
      </c>
      <c r="M205" s="27">
        <f>IF($B205="","",IF($H205="","Open","Closed"))</f>
        <v/>
      </c>
    </row>
    <row r="206">
      <c r="A206" s="23" t="inlineStr">
        <is>
          <t>DHAN-23126092396409</t>
        </is>
      </c>
      <c r="B206" s="23" t="inlineStr">
        <is>
          <t>KROSS</t>
        </is>
      </c>
      <c r="C206" s="23" t="inlineStr">
        <is>
          <t>LONG</t>
        </is>
      </c>
      <c r="D206" s="24" t="n">
        <v>46288</v>
      </c>
      <c r="E206" s="25" t="n">
        <v>278.5987</v>
      </c>
      <c r="F206" s="26" t="n">
        <v>597</v>
      </c>
      <c r="G206" s="24" t="inlineStr"/>
      <c r="H206" s="25" t="inlineStr"/>
      <c r="I206" s="21">
        <f>IF(OR($B206="",$H206=""),"",IF($C206="LONG",($H206-$E206)*$F206,($E206-$H206)*$F206))</f>
        <v/>
      </c>
      <c r="J206" s="4" t="n">
        <v>50.15</v>
      </c>
      <c r="K206" s="21">
        <f>IF(OR($B206="",$I206=""),"",$I206-IF($J206="",0,$J206))</f>
        <v/>
      </c>
      <c r="L206" s="22">
        <f>IF(OR($B206="",$K206="",$E206=0,$F206=0),"",$K206/($E206*$F206))</f>
        <v/>
      </c>
      <c r="M206" s="27">
        <f>IF($B206="","",IF($H206="","Open","Closed"))</f>
        <v/>
      </c>
    </row>
    <row r="207">
      <c r="A207" s="23" t="inlineStr">
        <is>
          <t>DHAN-221260923710209</t>
        </is>
      </c>
      <c r="B207" s="23" t="inlineStr">
        <is>
          <t>MUKANDLTD</t>
        </is>
      </c>
      <c r="C207" s="23" t="inlineStr">
        <is>
          <t>LONG</t>
        </is>
      </c>
      <c r="D207" s="24" t="n">
        <v>46288</v>
      </c>
      <c r="E207" s="25" t="n">
        <v>156.9292</v>
      </c>
      <c r="F207" s="26" t="n">
        <v>1059</v>
      </c>
      <c r="G207" s="24" t="inlineStr"/>
      <c r="H207" s="25" t="inlineStr"/>
      <c r="I207" s="21">
        <f>IF(OR($B207="",$H207=""),"",IF($C207="LONG",($H207-$E207)*$F207,($E207-$H207)*$F207))</f>
        <v/>
      </c>
      <c r="J207" s="4" t="n">
        <v>50.15</v>
      </c>
      <c r="K207" s="21">
        <f>IF(OR($B207="",$I207=""),"",$I207-IF($J207="",0,$J207))</f>
        <v/>
      </c>
      <c r="L207" s="22">
        <f>IF(OR($B207="",$K207="",$E207=0,$F207=0),"",$K207/($E207*$F207))</f>
        <v/>
      </c>
      <c r="M207" s="27">
        <f>IF($B207="","",IF($H207="","Open","Closed"))</f>
        <v/>
      </c>
    </row>
    <row r="208">
      <c r="A208" s="23" t="inlineStr">
        <is>
          <t>DHAN-34126092398809</t>
        </is>
      </c>
      <c r="B208" s="23" t="inlineStr">
        <is>
          <t>ONEPOINT</t>
        </is>
      </c>
      <c r="C208" s="23" t="inlineStr">
        <is>
          <t>LONG</t>
        </is>
      </c>
      <c r="D208" s="24" t="n">
        <v>46288</v>
      </c>
      <c r="E208" s="25" t="n">
        <v>68.3674</v>
      </c>
      <c r="F208" s="26" t="n">
        <v>2439</v>
      </c>
      <c r="G208" s="24" t="inlineStr"/>
      <c r="H208" s="25" t="inlineStr"/>
      <c r="I208" s="21">
        <f>IF(OR($B208="",$H208=""),"",IF($C208="LONG",($H208-$E208)*$F208,($E208-$H208)*$F208))</f>
        <v/>
      </c>
      <c r="J208" s="4" t="n">
        <v>50.15</v>
      </c>
      <c r="K208" s="21">
        <f>IF(OR($B208="",$I208=""),"",$I208-IF($J208="",0,$J208))</f>
        <v/>
      </c>
      <c r="L208" s="22">
        <f>IF(OR($B208="",$K208="",$E208=0,$F208=0),"",$K208/($E208*$F208))</f>
        <v/>
      </c>
      <c r="M208" s="27">
        <f>IF($B208="","",IF($H208="","Open","Closed"))</f>
        <v/>
      </c>
    </row>
    <row r="209">
      <c r="A209" s="23" t="inlineStr">
        <is>
          <t>DHAN-22126092353109</t>
        </is>
      </c>
      <c r="B209" s="23" t="inlineStr">
        <is>
          <t>PACEDIGITK</t>
        </is>
      </c>
      <c r="C209" s="23" t="inlineStr">
        <is>
          <t>SHORT</t>
        </is>
      </c>
      <c r="D209" s="24" t="n">
        <v>46288</v>
      </c>
      <c r="E209" s="25" t="n">
        <v>170.48</v>
      </c>
      <c r="F209" s="26" t="n">
        <v>1482</v>
      </c>
      <c r="G209" s="24" t="n">
        <v>46288</v>
      </c>
      <c r="H209" s="25" t="n">
        <v>169.7</v>
      </c>
      <c r="I209" s="21">
        <f>IF(OR($B209="",$H209=""),"",IF($C209="LONG",($H209-$E209)*$F209,($E209-$H209)*$F209))</f>
        <v/>
      </c>
      <c r="J209" s="4" t="n">
        <v>0</v>
      </c>
      <c r="K209" s="21">
        <f>IF(OR($B209="",$I209=""),"",$I209-IF($J209="",0,$J209))</f>
        <v/>
      </c>
      <c r="L209" s="22">
        <f>IF(OR($B209="",$K209="",$E209=0,$F209=0),"",$K209/($E209*$F209))</f>
        <v/>
      </c>
      <c r="M209" s="27">
        <f>IF($B209="","",IF($H209="","Open","Closed"))</f>
        <v/>
      </c>
    </row>
    <row r="210">
      <c r="A210" s="23" t="inlineStr">
        <is>
          <t>DHAN-321260923455309</t>
        </is>
      </c>
      <c r="B210" s="23" t="inlineStr">
        <is>
          <t>PROTEAN</t>
        </is>
      </c>
      <c r="C210" s="23" t="inlineStr">
        <is>
          <t>SHORT</t>
        </is>
      </c>
      <c r="D210" s="24" t="n">
        <v>46288</v>
      </c>
      <c r="E210" s="25" t="n">
        <v>607.0599999999999</v>
      </c>
      <c r="F210" s="26" t="n">
        <v>403</v>
      </c>
      <c r="G210" s="24" t="n">
        <v>46288</v>
      </c>
      <c r="H210" s="25" t="n">
        <v>633.91</v>
      </c>
      <c r="I210" s="21">
        <f>IF(OR($B210="",$H210=""),"",IF($C210="LONG",($H210-$E210)*$F210,($E210-$H210)*$F210))</f>
        <v/>
      </c>
      <c r="J210" s="4" t="n">
        <v>0</v>
      </c>
      <c r="K210" s="21">
        <f>IF(OR($B210="",$I210=""),"",$I210-IF($J210="",0,$J210))</f>
        <v/>
      </c>
      <c r="L210" s="22">
        <f>IF(OR($B210="",$K210="",$E210=0,$F210=0),"",$K210/($E210*$F210))</f>
        <v/>
      </c>
      <c r="M210" s="27">
        <f>IF($B210="","",IF($H210="","Open","Closed"))</f>
        <v/>
      </c>
    </row>
    <row r="211">
      <c r="A211" s="23" t="inlineStr">
        <is>
          <t>DHAN-221260923710309</t>
        </is>
      </c>
      <c r="B211" s="23" t="inlineStr">
        <is>
          <t>RAYMONDREL</t>
        </is>
      </c>
      <c r="C211" s="23" t="inlineStr">
        <is>
          <t>LONG</t>
        </is>
      </c>
      <c r="D211" s="24" t="n">
        <v>46288</v>
      </c>
      <c r="E211" s="25" t="n">
        <v>669.9376</v>
      </c>
      <c r="F211" s="26" t="n">
        <v>246</v>
      </c>
      <c r="G211" s="24" t="inlineStr"/>
      <c r="H211" s="25" t="inlineStr"/>
      <c r="I211" s="21">
        <f>IF(OR($B211="",$H211=""),"",IF($C211="LONG",($H211-$E211)*$F211,($E211-$H211)*$F211))</f>
        <v/>
      </c>
      <c r="J211" s="4" t="n">
        <v>50.15</v>
      </c>
      <c r="K211" s="21">
        <f>IF(OR($B211="",$I211=""),"",$I211-IF($J211="",0,$J211))</f>
        <v/>
      </c>
      <c r="L211" s="22">
        <f>IF(OR($B211="",$K211="",$E211=0,$F211=0),"",$K211/($E211*$F211))</f>
        <v/>
      </c>
      <c r="M211" s="27">
        <f>IF($B211="","",IF($H211="","Open","Closed"))</f>
        <v/>
      </c>
    </row>
    <row r="212">
      <c r="A212" s="23" t="inlineStr">
        <is>
          <t>DHAN-34126092398909</t>
        </is>
      </c>
      <c r="B212" s="23" t="inlineStr">
        <is>
          <t>RPGLIFE</t>
        </is>
      </c>
      <c r="C212" s="23" t="inlineStr">
        <is>
          <t>LONG</t>
        </is>
      </c>
      <c r="D212" s="24" t="n">
        <v>46288</v>
      </c>
      <c r="E212" s="25" t="n">
        <v>3034.4072</v>
      </c>
      <c r="F212" s="26" t="n">
        <v>55</v>
      </c>
      <c r="G212" s="24" t="inlineStr"/>
      <c r="H212" s="25" t="inlineStr"/>
      <c r="I212" s="21">
        <f>IF(OR($B212="",$H212=""),"",IF($C212="LONG",($H212-$E212)*$F212,($E212-$H212)*$F212))</f>
        <v/>
      </c>
      <c r="J212" s="4" t="n">
        <v>50.15</v>
      </c>
      <c r="K212" s="21">
        <f>IF(OR($B212="",$I212=""),"",$I212-IF($J212="",0,$J212))</f>
        <v/>
      </c>
      <c r="L212" s="22">
        <f>IF(OR($B212="",$K212="",$E212=0,$F212=0),"",$K212/($E212*$F212))</f>
        <v/>
      </c>
      <c r="M212" s="27">
        <f>IF($B212="","",IF($H212="","Open","Closed"))</f>
        <v/>
      </c>
    </row>
    <row r="213">
      <c r="A213" s="23" t="inlineStr">
        <is>
          <t>DHAN-23126092351809</t>
        </is>
      </c>
      <c r="B213" s="23" t="inlineStr">
        <is>
          <t>STEELCAS</t>
        </is>
      </c>
      <c r="C213" s="23" t="inlineStr">
        <is>
          <t>SHORT</t>
        </is>
      </c>
      <c r="D213" s="24" t="n">
        <v>46288</v>
      </c>
      <c r="E213" s="25" t="n">
        <v>356.89</v>
      </c>
      <c r="F213" s="26" t="n">
        <v>715</v>
      </c>
      <c r="G213" s="24" t="n">
        <v>46288</v>
      </c>
      <c r="H213" s="25" t="n">
        <v>356.99</v>
      </c>
      <c r="I213" s="21">
        <f>IF(OR($B213="",$H213=""),"",IF($C213="LONG",($H213-$E213)*$F213,($E213-$H213)*$F213))</f>
        <v/>
      </c>
      <c r="J213" s="4" t="n">
        <v>0</v>
      </c>
      <c r="K213" s="21">
        <f>IF(OR($B213="",$I213=""),"",$I213-IF($J213="",0,$J213))</f>
        <v/>
      </c>
      <c r="L213" s="22">
        <f>IF(OR($B213="",$K213="",$E213=0,$F213=0),"",$K213/($E213*$F213))</f>
        <v/>
      </c>
      <c r="M213" s="27">
        <f>IF($B213="","",IF($H213="","Open","Closed"))</f>
        <v/>
      </c>
    </row>
    <row r="214">
      <c r="A214" s="23" t="inlineStr">
        <is>
          <t>DHAN-23126092351709</t>
        </is>
      </c>
      <c r="B214" s="23" t="inlineStr">
        <is>
          <t>ZOTA</t>
        </is>
      </c>
      <c r="C214" s="23" t="inlineStr">
        <is>
          <t>SHORT</t>
        </is>
      </c>
      <c r="D214" s="24" t="n">
        <v>46288</v>
      </c>
      <c r="E214" s="25" t="n">
        <v>1372.09</v>
      </c>
      <c r="F214" s="26" t="n">
        <v>183</v>
      </c>
      <c r="G214" s="24" t="n">
        <v>46288</v>
      </c>
      <c r="H214" s="25" t="n">
        <v>1392.4</v>
      </c>
      <c r="I214" s="21">
        <f>IF(OR($B214="",$H214=""),"",IF($C214="LONG",($H214-$E214)*$F214,($E214-$H214)*$F214))</f>
        <v/>
      </c>
      <c r="J214" s="4" t="n">
        <v>0</v>
      </c>
      <c r="K214" s="21">
        <f>IF(OR($B214="",$I214=""),"",$I214-IF($J214="",0,$J214))</f>
        <v/>
      </c>
      <c r="L214" s="22">
        <f>IF(OR($B214="",$K214="",$E214=0,$F214=0),"",$K214/($E214*$F214))</f>
        <v/>
      </c>
      <c r="M214" s="27">
        <f>IF($B214="","",IF($H214="","Open","Closed"))</f>
        <v/>
      </c>
    </row>
    <row r="215">
      <c r="A215" s="23" t="n"/>
      <c r="B215" s="23" t="n"/>
      <c r="C215" s="23" t="n"/>
      <c r="D215" s="24" t="n"/>
      <c r="E215" s="25" t="n"/>
      <c r="F215" s="26" t="n"/>
      <c r="G215" s="24" t="n"/>
      <c r="H215" s="25" t="n"/>
      <c r="I215" s="21">
        <f>IF(OR($B215="",$H215=""),"",IF($C215="LONG",($H215-$E215)*$F215,($E215-$H215)*$F215))</f>
        <v/>
      </c>
      <c r="J215" s="4" t="n"/>
      <c r="K215" s="21">
        <f>IF(OR($B215="",$I215=""),"",$I215-IF($J215="",0,$J215))</f>
        <v/>
      </c>
      <c r="L215" s="22">
        <f>IF(OR($B215="",$K215="",$E215=0,$F215=0),"",$K215/($E215*$F215))</f>
        <v/>
      </c>
      <c r="M215" s="27">
        <f>IF($B215="","",IF($H215="","Open","Closed"))</f>
        <v/>
      </c>
    </row>
    <row r="216">
      <c r="A216" s="23" t="n"/>
      <c r="B216" s="23" t="n"/>
      <c r="C216" s="23" t="n"/>
      <c r="D216" s="24" t="n"/>
      <c r="E216" s="25" t="n"/>
      <c r="F216" s="26" t="n"/>
      <c r="G216" s="24" t="n"/>
      <c r="H216" s="25" t="n"/>
      <c r="I216" s="21">
        <f>IF(OR($B216="",$H216=""),"",IF($C216="LONG",($H216-$E216)*$F216,($E216-$H216)*$F216))</f>
        <v/>
      </c>
      <c r="J216" s="4" t="n"/>
      <c r="K216" s="21">
        <f>IF(OR($B216="",$I216=""),"",$I216-IF($J216="",0,$J216))</f>
        <v/>
      </c>
      <c r="L216" s="22">
        <f>IF(OR($B216="",$K216="",$E216=0,$F216=0),"",$K216/($E216*$F216))</f>
        <v/>
      </c>
      <c r="M216" s="27">
        <f>IF($B216="","",IF($H216="","Open","Closed"))</f>
        <v/>
      </c>
    </row>
    <row r="217">
      <c r="A217" s="23" t="n"/>
      <c r="B217" s="23" t="n"/>
      <c r="C217" s="23" t="n"/>
      <c r="D217" s="24" t="n"/>
      <c r="E217" s="25" t="n"/>
      <c r="F217" s="26" t="n"/>
      <c r="G217" s="24" t="n"/>
      <c r="H217" s="25" t="n"/>
      <c r="I217" s="21">
        <f>IF(OR($B217="",$H217=""),"",IF($C217="LONG",($H217-$E217)*$F217,($E217-$H217)*$F217))</f>
        <v/>
      </c>
      <c r="J217" s="4" t="n"/>
      <c r="K217" s="21">
        <f>IF(OR($B217="",$I217=""),"",$I217-IF($J217="",0,$J217))</f>
        <v/>
      </c>
      <c r="L217" s="22">
        <f>IF(OR($B217="",$K217="",$E217=0,$F217=0),"",$K217/($E217*$F217))</f>
        <v/>
      </c>
      <c r="M217" s="27">
        <f>IF($B217="","",IF($H217="","Open","Closed"))</f>
        <v/>
      </c>
    </row>
    <row r="218">
      <c r="A218" s="23" t="n"/>
      <c r="B218" s="23" t="n"/>
      <c r="C218" s="23" t="n"/>
      <c r="D218" s="24" t="n"/>
      <c r="E218" s="25" t="n"/>
      <c r="F218" s="26" t="n"/>
      <c r="G218" s="24" t="n"/>
      <c r="H218" s="25" t="n"/>
      <c r="I218" s="21">
        <f>IF(OR($B218="",$H218=""),"",IF($C218="LONG",($H218-$E218)*$F218,($E218-$H218)*$F218))</f>
        <v/>
      </c>
      <c r="J218" s="4" t="n"/>
      <c r="K218" s="21">
        <f>IF(OR($B218="",$I218=""),"",$I218-IF($J218="",0,$J218))</f>
        <v/>
      </c>
      <c r="L218" s="22">
        <f>IF(OR($B218="",$K218="",$E218=0,$F218=0),"",$K218/($E218*$F218))</f>
        <v/>
      </c>
      <c r="M218" s="27">
        <f>IF($B218="","",IF($H218="","Open","Closed"))</f>
        <v/>
      </c>
    </row>
    <row r="219">
      <c r="A219" s="23" t="n"/>
      <c r="B219" s="23" t="n"/>
      <c r="C219" s="23" t="n"/>
      <c r="D219" s="24" t="n"/>
      <c r="E219" s="25" t="n"/>
      <c r="F219" s="26" t="n"/>
      <c r="G219" s="24" t="n"/>
      <c r="H219" s="25" t="n"/>
      <c r="I219" s="21">
        <f>IF(OR($B219="",$H219=""),"",IF($C219="LONG",($H219-$E219)*$F219,($E219-$H219)*$F219))</f>
        <v/>
      </c>
      <c r="J219" s="4" t="n"/>
      <c r="K219" s="21">
        <f>IF(OR($B219="",$I219=""),"",$I219-IF($J219="",0,$J219))</f>
        <v/>
      </c>
      <c r="L219" s="22">
        <f>IF(OR($B219="",$K219="",$E219=0,$F219=0),"",$K219/($E219*$F219))</f>
        <v/>
      </c>
      <c r="M219" s="27">
        <f>IF($B219="","",IF($H219="","Open","Closed"))</f>
        <v/>
      </c>
    </row>
    <row r="220">
      <c r="A220" s="23" t="n"/>
      <c r="B220" s="23" t="n"/>
      <c r="C220" s="23" t="n"/>
      <c r="D220" s="24" t="n"/>
      <c r="E220" s="25" t="n"/>
      <c r="F220" s="26" t="n"/>
      <c r="G220" s="24" t="n"/>
      <c r="H220" s="25" t="n"/>
      <c r="I220" s="21">
        <f>IF(OR($B220="",$H220=""),"",IF($C220="LONG",($H220-$E220)*$F220,($E220-$H220)*$F220))</f>
        <v/>
      </c>
      <c r="J220" s="4" t="n"/>
      <c r="K220" s="21">
        <f>IF(OR($B220="",$I220=""),"",$I220-IF($J220="",0,$J220))</f>
        <v/>
      </c>
      <c r="L220" s="22">
        <f>IF(OR($B220="",$K220="",$E220=0,$F220=0),"",$K220/($E220*$F220))</f>
        <v/>
      </c>
      <c r="M220" s="27">
        <f>IF($B220="","",IF($H220="","Open","Closed"))</f>
        <v/>
      </c>
    </row>
    <row r="221">
      <c r="A221" s="23" t="n"/>
      <c r="B221" s="23" t="n"/>
      <c r="C221" s="23" t="n"/>
      <c r="D221" s="24" t="n"/>
      <c r="E221" s="25" t="n"/>
      <c r="F221" s="26" t="n"/>
      <c r="G221" s="24" t="n"/>
      <c r="H221" s="25" t="n"/>
      <c r="I221" s="21">
        <f>IF(OR($B221="",$H221=""),"",IF($C221="LONG",($H221-$E221)*$F221,($E221-$H221)*$F221))</f>
        <v/>
      </c>
      <c r="J221" s="4" t="n"/>
      <c r="K221" s="21">
        <f>IF(OR($B221="",$I221=""),"",$I221-IF($J221="",0,$J221))</f>
        <v/>
      </c>
      <c r="L221" s="22">
        <f>IF(OR($B221="",$K221="",$E221=0,$F221=0),"",$K221/($E221*$F221))</f>
        <v/>
      </c>
      <c r="M221" s="27">
        <f>IF($B221="","",IF($H221="","Open","Closed"))</f>
        <v/>
      </c>
    </row>
    <row r="222">
      <c r="A222" s="23" t="n"/>
      <c r="B222" s="23" t="n"/>
      <c r="C222" s="23" t="n"/>
      <c r="D222" s="24" t="n"/>
      <c r="E222" s="25" t="n"/>
      <c r="F222" s="26" t="n"/>
      <c r="G222" s="24" t="n"/>
      <c r="H222" s="25" t="n"/>
      <c r="I222" s="21">
        <f>IF(OR($B222="",$H222=""),"",IF($C222="LONG",($H222-$E222)*$F222,($E222-$H222)*$F222))</f>
        <v/>
      </c>
      <c r="J222" s="4" t="n"/>
      <c r="K222" s="21">
        <f>IF(OR($B222="",$I222=""),"",$I222-IF($J222="",0,$J222))</f>
        <v/>
      </c>
      <c r="L222" s="22">
        <f>IF(OR($B222="",$K222="",$E222=0,$F222=0),"",$K222/($E222*$F222))</f>
        <v/>
      </c>
      <c r="M222" s="27">
        <f>IF($B222="","",IF($H222="","Open","Closed"))</f>
        <v/>
      </c>
    </row>
    <row r="223">
      <c r="A223" s="23" t="n"/>
      <c r="B223" s="23" t="n"/>
      <c r="C223" s="23" t="n"/>
      <c r="D223" s="24" t="n"/>
      <c r="E223" s="25" t="n"/>
      <c r="F223" s="26" t="n"/>
      <c r="G223" s="24" t="n"/>
      <c r="H223" s="25" t="n"/>
      <c r="I223" s="21">
        <f>IF(OR($B223="",$H223=""),"",IF($C223="LONG",($H223-$E223)*$F223,($E223-$H223)*$F223))</f>
        <v/>
      </c>
      <c r="J223" s="4" t="n"/>
      <c r="K223" s="21">
        <f>IF(OR($B223="",$I223=""),"",$I223-IF($J223="",0,$J223))</f>
        <v/>
      </c>
      <c r="L223" s="22">
        <f>IF(OR($B223="",$K223="",$E223=0,$F223=0),"",$K223/($E223*$F223))</f>
        <v/>
      </c>
      <c r="M223" s="27">
        <f>IF($B223="","",IF($H223="","Open","Closed"))</f>
        <v/>
      </c>
    </row>
    <row r="224">
      <c r="A224" s="23" t="n"/>
      <c r="B224" s="23" t="n"/>
      <c r="C224" s="23" t="n"/>
      <c r="D224" s="24" t="n"/>
      <c r="E224" s="25" t="n"/>
      <c r="F224" s="26" t="n"/>
      <c r="G224" s="24" t="n"/>
      <c r="H224" s="25" t="n"/>
      <c r="I224" s="21">
        <f>IF(OR($B224="",$H224=""),"",IF($C224="LONG",($H224-$E224)*$F224,($E224-$H224)*$F224))</f>
        <v/>
      </c>
      <c r="J224" s="4" t="n"/>
      <c r="K224" s="21">
        <f>IF(OR($B224="",$I224=""),"",$I224-IF($J224="",0,$J224))</f>
        <v/>
      </c>
      <c r="L224" s="22">
        <f>IF(OR($B224="",$K224="",$E224=0,$F224=0),"",$K224/($E224*$F224))</f>
        <v/>
      </c>
      <c r="M224" s="27">
        <f>IF($B224="","",IF($H224="","Open","Closed"))</f>
        <v/>
      </c>
    </row>
    <row r="225">
      <c r="A225" s="23" t="n"/>
      <c r="B225" s="23" t="n"/>
      <c r="C225" s="23" t="n"/>
      <c r="D225" s="24" t="n"/>
      <c r="E225" s="25" t="n"/>
      <c r="F225" s="26" t="n"/>
      <c r="G225" s="24" t="n"/>
      <c r="H225" s="25" t="n"/>
      <c r="I225" s="21">
        <f>IF(OR($B225="",$H225=""),"",IF($C225="LONG",($H225-$E225)*$F225,($E225-$H225)*$F225))</f>
        <v/>
      </c>
      <c r="J225" s="4" t="n"/>
      <c r="K225" s="21">
        <f>IF(OR($B225="",$I225=""),"",$I225-IF($J225="",0,$J225))</f>
        <v/>
      </c>
      <c r="L225" s="22">
        <f>IF(OR($B225="",$K225="",$E225=0,$F225=0),"",$K225/($E225*$F225))</f>
        <v/>
      </c>
      <c r="M225" s="27">
        <f>IF($B225="","",IF($H225="","Open","Closed"))</f>
        <v/>
      </c>
    </row>
    <row r="226">
      <c r="A226" s="23" t="n"/>
      <c r="B226" s="23" t="n"/>
      <c r="C226" s="23" t="n"/>
      <c r="D226" s="24" t="n"/>
      <c r="E226" s="25" t="n"/>
      <c r="F226" s="26" t="n"/>
      <c r="G226" s="24" t="n"/>
      <c r="H226" s="25" t="n"/>
      <c r="I226" s="21">
        <f>IF(OR($B226="",$H226=""),"",IF($C226="LONG",($H226-$E226)*$F226,($E226-$H226)*$F226))</f>
        <v/>
      </c>
      <c r="J226" s="4" t="n"/>
      <c r="K226" s="21">
        <f>IF(OR($B226="",$I226=""),"",$I226-IF($J226="",0,$J226))</f>
        <v/>
      </c>
      <c r="L226" s="22">
        <f>IF(OR($B226="",$K226="",$E226=0,$F226=0),"",$K226/($E226*$F226))</f>
        <v/>
      </c>
      <c r="M226" s="27">
        <f>IF($B226="","",IF($H226="","Open","Closed"))</f>
        <v/>
      </c>
    </row>
    <row r="227">
      <c r="A227" s="23" t="n"/>
      <c r="B227" s="23" t="n"/>
      <c r="C227" s="23" t="n"/>
      <c r="D227" s="24" t="n"/>
      <c r="E227" s="25" t="n"/>
      <c r="F227" s="26" t="n"/>
      <c r="G227" s="24" t="n"/>
      <c r="H227" s="25" t="n"/>
      <c r="I227" s="21">
        <f>IF(OR($B227="",$H227=""),"",IF($C227="LONG",($H227-$E227)*$F227,($E227-$H227)*$F227))</f>
        <v/>
      </c>
      <c r="J227" s="4" t="n"/>
      <c r="K227" s="21">
        <f>IF(OR($B227="",$I227=""),"",$I227-IF($J227="",0,$J227))</f>
        <v/>
      </c>
      <c r="L227" s="22">
        <f>IF(OR($B227="",$K227="",$E227=0,$F227=0),"",$K227/($E227*$F227))</f>
        <v/>
      </c>
      <c r="M227" s="27">
        <f>IF($B227="","",IF($H227="","Open","Closed"))</f>
        <v/>
      </c>
    </row>
    <row r="228">
      <c r="A228" s="23" t="n"/>
      <c r="B228" s="23" t="n"/>
      <c r="C228" s="23" t="n"/>
      <c r="D228" s="24" t="n"/>
      <c r="E228" s="25" t="n"/>
      <c r="F228" s="26" t="n"/>
      <c r="G228" s="24" t="n"/>
      <c r="H228" s="25" t="n"/>
      <c r="I228" s="21">
        <f>IF(OR($B228="",$H228=""),"",IF($C228="LONG",($H228-$E228)*$F228,($E228-$H228)*$F228))</f>
        <v/>
      </c>
      <c r="J228" s="4" t="n"/>
      <c r="K228" s="21">
        <f>IF(OR($B228="",$I228=""),"",$I228-IF($J228="",0,$J228))</f>
        <v/>
      </c>
      <c r="L228" s="22">
        <f>IF(OR($B228="",$K228="",$E228=0,$F228=0),"",$K228/($E228*$F228))</f>
        <v/>
      </c>
      <c r="M228" s="27">
        <f>IF($B228="","",IF($H228="","Open","Closed"))</f>
        <v/>
      </c>
    </row>
    <row r="229">
      <c r="A229" s="23" t="n"/>
      <c r="B229" s="23" t="n"/>
      <c r="C229" s="23" t="n"/>
      <c r="D229" s="24" t="n"/>
      <c r="E229" s="25" t="n"/>
      <c r="F229" s="26" t="n"/>
      <c r="G229" s="24" t="n"/>
      <c r="H229" s="25" t="n"/>
      <c r="I229" s="21">
        <f>IF(OR($B229="",$H229=""),"",IF($C229="LONG",($H229-$E229)*$F229,($E229-$H229)*$F229))</f>
        <v/>
      </c>
      <c r="J229" s="4" t="n"/>
      <c r="K229" s="21">
        <f>IF(OR($B229="",$I229=""),"",$I229-IF($J229="",0,$J229))</f>
        <v/>
      </c>
      <c r="L229" s="22">
        <f>IF(OR($B229="",$K229="",$E229=0,$F229=0),"",$K229/($E229*$F229))</f>
        <v/>
      </c>
      <c r="M229" s="27">
        <f>IF($B229="","",IF($H229="","Open","Closed"))</f>
        <v/>
      </c>
    </row>
    <row r="230">
      <c r="A230" s="23" t="n"/>
      <c r="B230" s="23" t="n"/>
      <c r="C230" s="23" t="n"/>
      <c r="D230" s="24" t="n"/>
      <c r="E230" s="25" t="n"/>
      <c r="F230" s="26" t="n"/>
      <c r="G230" s="24" t="n"/>
      <c r="H230" s="25" t="n"/>
      <c r="I230" s="21">
        <f>IF(OR($B230="",$H230=""),"",IF($C230="LONG",($H230-$E230)*$F230,($E230-$H230)*$F230))</f>
        <v/>
      </c>
      <c r="J230" s="4" t="n"/>
      <c r="K230" s="21">
        <f>IF(OR($B230="",$I230=""),"",$I230-IF($J230="",0,$J230))</f>
        <v/>
      </c>
      <c r="L230" s="22">
        <f>IF(OR($B230="",$K230="",$E230=0,$F230=0),"",$K230/($E230*$F230))</f>
        <v/>
      </c>
      <c r="M230" s="27">
        <f>IF($B230="","",IF($H230="","Open","Closed"))</f>
        <v/>
      </c>
    </row>
    <row r="231">
      <c r="A231" s="23" t="n"/>
      <c r="B231" s="23" t="n"/>
      <c r="C231" s="23" t="n"/>
      <c r="D231" s="24" t="n"/>
      <c r="E231" s="25" t="n"/>
      <c r="F231" s="26" t="n"/>
      <c r="G231" s="24" t="n"/>
      <c r="H231" s="25" t="n"/>
      <c r="I231" s="21">
        <f>IF(OR($B231="",$H231=""),"",IF($C231="LONG",($H231-$E231)*$F231,($E231-$H231)*$F231))</f>
        <v/>
      </c>
      <c r="J231" s="4" t="n"/>
      <c r="K231" s="21">
        <f>IF(OR($B231="",$I231=""),"",$I231-IF($J231="",0,$J231))</f>
        <v/>
      </c>
      <c r="L231" s="22">
        <f>IF(OR($B231="",$K231="",$E231=0,$F231=0),"",$K231/($E231*$F231))</f>
        <v/>
      </c>
      <c r="M231" s="27">
        <f>IF($B231="","",IF($H231="","Open","Closed"))</f>
        <v/>
      </c>
    </row>
    <row r="232">
      <c r="A232" s="23" t="n"/>
      <c r="B232" s="23" t="n"/>
      <c r="C232" s="23" t="n"/>
      <c r="D232" s="24" t="n"/>
      <c r="E232" s="25" t="n"/>
      <c r="F232" s="26" t="n"/>
      <c r="G232" s="24" t="n"/>
      <c r="H232" s="25" t="n"/>
      <c r="I232" s="21">
        <f>IF(OR($B232="",$H232=""),"",IF($C232="LONG",($H232-$E232)*$F232,($E232-$H232)*$F232))</f>
        <v/>
      </c>
      <c r="J232" s="4" t="n"/>
      <c r="K232" s="21">
        <f>IF(OR($B232="",$I232=""),"",$I232-IF($J232="",0,$J232))</f>
        <v/>
      </c>
      <c r="L232" s="22">
        <f>IF(OR($B232="",$K232="",$E232=0,$F232=0),"",$K232/($E232*$F232))</f>
        <v/>
      </c>
      <c r="M232" s="27">
        <f>IF($B232="","",IF($H232="","Open","Closed"))</f>
        <v/>
      </c>
    </row>
    <row r="233">
      <c r="A233" s="23" t="n"/>
      <c r="B233" s="23" t="n"/>
      <c r="C233" s="23" t="n"/>
      <c r="D233" s="24" t="n"/>
      <c r="E233" s="25" t="n"/>
      <c r="F233" s="26" t="n"/>
      <c r="G233" s="24" t="n"/>
      <c r="H233" s="25" t="n"/>
      <c r="I233" s="21">
        <f>IF(OR($B233="",$H233=""),"",IF($C233="LONG",($H233-$E233)*$F233,($E233-$H233)*$F233))</f>
        <v/>
      </c>
      <c r="J233" s="4" t="n"/>
      <c r="K233" s="21">
        <f>IF(OR($B233="",$I233=""),"",$I233-IF($J233="",0,$J233))</f>
        <v/>
      </c>
      <c r="L233" s="22">
        <f>IF(OR($B233="",$K233="",$E233=0,$F233=0),"",$K233/($E233*$F233))</f>
        <v/>
      </c>
      <c r="M233" s="27">
        <f>IF($B233="","",IF($H233="","Open","Closed"))</f>
        <v/>
      </c>
    </row>
    <row r="234">
      <c r="A234" s="23" t="n"/>
      <c r="B234" s="23" t="n"/>
      <c r="C234" s="23" t="n"/>
      <c r="D234" s="24" t="n"/>
      <c r="E234" s="25" t="n"/>
      <c r="F234" s="26" t="n"/>
      <c r="G234" s="24" t="n"/>
      <c r="H234" s="25" t="n"/>
      <c r="I234" s="21">
        <f>IF(OR($B234="",$H234=""),"",IF($C234="LONG",($H234-$E234)*$F234,($E234-$H234)*$F234))</f>
        <v/>
      </c>
      <c r="J234" s="4" t="n"/>
      <c r="K234" s="21">
        <f>IF(OR($B234="",$I234=""),"",$I234-IF($J234="",0,$J234))</f>
        <v/>
      </c>
      <c r="L234" s="22">
        <f>IF(OR($B234="",$K234="",$E234=0,$F234=0),"",$K234/($E234*$F234))</f>
        <v/>
      </c>
      <c r="M234" s="27">
        <f>IF($B234="","",IF($H234="","Open","Closed"))</f>
        <v/>
      </c>
    </row>
    <row r="235">
      <c r="A235" s="23" t="n"/>
      <c r="B235" s="23" t="n"/>
      <c r="C235" s="23" t="n"/>
      <c r="D235" s="24" t="n"/>
      <c r="E235" s="25" t="n"/>
      <c r="F235" s="26" t="n"/>
      <c r="G235" s="24" t="n"/>
      <c r="H235" s="25" t="n"/>
      <c r="I235" s="21">
        <f>IF(OR($B235="",$H235=""),"",IF($C235="LONG",($H235-$E235)*$F235,($E235-$H235)*$F235))</f>
        <v/>
      </c>
      <c r="J235" s="4" t="n"/>
      <c r="K235" s="21">
        <f>IF(OR($B235="",$I235=""),"",$I235-IF($J235="",0,$J235))</f>
        <v/>
      </c>
      <c r="L235" s="22">
        <f>IF(OR($B235="",$K235="",$E235=0,$F235=0),"",$K235/($E235*$F235))</f>
        <v/>
      </c>
      <c r="M235" s="27">
        <f>IF($B235="","",IF($H235="","Open","Closed"))</f>
        <v/>
      </c>
    </row>
    <row r="236">
      <c r="A236" s="23" t="n"/>
      <c r="B236" s="23" t="n"/>
      <c r="C236" s="23" t="n"/>
      <c r="D236" s="24" t="n"/>
      <c r="E236" s="25" t="n"/>
      <c r="F236" s="26" t="n"/>
      <c r="G236" s="24" t="n"/>
      <c r="H236" s="25" t="n"/>
      <c r="I236" s="21">
        <f>IF(OR($B236="",$H236=""),"",IF($C236="LONG",($H236-$E236)*$F236,($E236-$H236)*$F236))</f>
        <v/>
      </c>
      <c r="J236" s="4" t="n"/>
      <c r="K236" s="21">
        <f>IF(OR($B236="",$I236=""),"",$I236-IF($J236="",0,$J236))</f>
        <v/>
      </c>
      <c r="L236" s="22">
        <f>IF(OR($B236="",$K236="",$E236=0,$F236=0),"",$K236/($E236*$F236))</f>
        <v/>
      </c>
      <c r="M236" s="27">
        <f>IF($B236="","",IF($H236="","Open","Closed"))</f>
        <v/>
      </c>
    </row>
    <row r="237">
      <c r="A237" s="23" t="n"/>
      <c r="B237" s="23" t="n"/>
      <c r="C237" s="23" t="n"/>
      <c r="D237" s="24" t="n"/>
      <c r="E237" s="25" t="n"/>
      <c r="F237" s="26" t="n"/>
      <c r="G237" s="24" t="n"/>
      <c r="H237" s="25" t="n"/>
      <c r="I237" s="21">
        <f>IF(OR($B237="",$H237=""),"",IF($C237="LONG",($H237-$E237)*$F237,($E237-$H237)*$F237))</f>
        <v/>
      </c>
      <c r="J237" s="4" t="n"/>
      <c r="K237" s="21">
        <f>IF(OR($B237="",$I237=""),"",$I237-IF($J237="",0,$J237))</f>
        <v/>
      </c>
      <c r="L237" s="22">
        <f>IF(OR($B237="",$K237="",$E237=0,$F237=0),"",$K237/($E237*$F237))</f>
        <v/>
      </c>
      <c r="M237" s="27">
        <f>IF($B237="","",IF($H237="","Open","Closed"))</f>
        <v/>
      </c>
    </row>
    <row r="238">
      <c r="A238" s="23" t="n"/>
      <c r="B238" s="23" t="n"/>
      <c r="C238" s="23" t="n"/>
      <c r="D238" s="24" t="n"/>
      <c r="E238" s="25" t="n"/>
      <c r="F238" s="26" t="n"/>
      <c r="G238" s="24" t="n"/>
      <c r="H238" s="25" t="n"/>
      <c r="I238" s="21">
        <f>IF(OR($B238="",$H238=""),"",IF($C238="LONG",($H238-$E238)*$F238,($E238-$H238)*$F238))</f>
        <v/>
      </c>
      <c r="J238" s="4" t="n"/>
      <c r="K238" s="21">
        <f>IF(OR($B238="",$I238=""),"",$I238-IF($J238="",0,$J238))</f>
        <v/>
      </c>
      <c r="L238" s="22">
        <f>IF(OR($B238="",$K238="",$E238=0,$F238=0),"",$K238/($E238*$F238))</f>
        <v/>
      </c>
      <c r="M238" s="27">
        <f>IF($B238="","",IF($H238="","Open","Closed"))</f>
        <v/>
      </c>
    </row>
    <row r="239">
      <c r="A239" s="23" t="n"/>
      <c r="B239" s="23" t="n"/>
      <c r="C239" s="23" t="n"/>
      <c r="D239" s="24" t="n"/>
      <c r="E239" s="25" t="n"/>
      <c r="F239" s="26" t="n"/>
      <c r="G239" s="24" t="n"/>
      <c r="H239" s="25" t="n"/>
      <c r="I239" s="21">
        <f>IF(OR($B239="",$H239=""),"",IF($C239="LONG",($H239-$E239)*$F239,($E239-$H239)*$F239))</f>
        <v/>
      </c>
      <c r="J239" s="4" t="n"/>
      <c r="K239" s="21">
        <f>IF(OR($B239="",$I239=""),"",$I239-IF($J239="",0,$J239))</f>
        <v/>
      </c>
      <c r="L239" s="22">
        <f>IF(OR($B239="",$K239="",$E239=0,$F239=0),"",$K239/($E239*$F239))</f>
        <v/>
      </c>
      <c r="M239" s="27">
        <f>IF($B239="","",IF($H239="","Open","Closed"))</f>
        <v/>
      </c>
    </row>
    <row r="240">
      <c r="A240" s="23" t="n"/>
      <c r="B240" s="23" t="n"/>
      <c r="C240" s="23" t="n"/>
      <c r="D240" s="24" t="n"/>
      <c r="E240" s="25" t="n"/>
      <c r="F240" s="26" t="n"/>
      <c r="G240" s="24" t="n"/>
      <c r="H240" s="25" t="n"/>
      <c r="I240" s="21">
        <f>IF(OR($B240="",$H240=""),"",IF($C240="LONG",($H240-$E240)*$F240,($E240-$H240)*$F240))</f>
        <v/>
      </c>
      <c r="J240" s="4" t="n"/>
      <c r="K240" s="21">
        <f>IF(OR($B240="",$I240=""),"",$I240-IF($J240="",0,$J240))</f>
        <v/>
      </c>
      <c r="L240" s="22">
        <f>IF(OR($B240="",$K240="",$E240=0,$F240=0),"",$K240/($E240*$F240))</f>
        <v/>
      </c>
      <c r="M240" s="27">
        <f>IF($B240="","",IF($H240="","Open","Closed"))</f>
        <v/>
      </c>
    </row>
    <row r="241">
      <c r="A241" s="23" t="n"/>
      <c r="B241" s="23" t="n"/>
      <c r="C241" s="23" t="n"/>
      <c r="D241" s="24" t="n"/>
      <c r="E241" s="25" t="n"/>
      <c r="F241" s="26" t="n"/>
      <c r="G241" s="24" t="n"/>
      <c r="H241" s="25" t="n"/>
      <c r="I241" s="21">
        <f>IF(OR($B241="",$H241=""),"",IF($C241="LONG",($H241-$E241)*$F241,($E241-$H241)*$F241))</f>
        <v/>
      </c>
      <c r="J241" s="4" t="n"/>
      <c r="K241" s="21">
        <f>IF(OR($B241="",$I241=""),"",$I241-IF($J241="",0,$J241))</f>
        <v/>
      </c>
      <c r="L241" s="22">
        <f>IF(OR($B241="",$K241="",$E241=0,$F241=0),"",$K241/($E241*$F241))</f>
        <v/>
      </c>
      <c r="M241" s="27">
        <f>IF($B241="","",IF($H241="","Open","Closed"))</f>
        <v/>
      </c>
    </row>
    <row r="242">
      <c r="A242" s="23" t="n"/>
      <c r="B242" s="23" t="n"/>
      <c r="C242" s="23" t="n"/>
      <c r="D242" s="24" t="n"/>
      <c r="E242" s="25" t="n"/>
      <c r="F242" s="26" t="n"/>
      <c r="G242" s="24" t="n"/>
      <c r="H242" s="25" t="n"/>
      <c r="I242" s="21">
        <f>IF(OR($B242="",$H242=""),"",IF($C242="LONG",($H242-$E242)*$F242,($E242-$H242)*$F242))</f>
        <v/>
      </c>
      <c r="J242" s="4" t="n"/>
      <c r="K242" s="21">
        <f>IF(OR($B242="",$I242=""),"",$I242-IF($J242="",0,$J242))</f>
        <v/>
      </c>
      <c r="L242" s="22">
        <f>IF(OR($B242="",$K242="",$E242=0,$F242=0),"",$K242/($E242*$F242))</f>
        <v/>
      </c>
      <c r="M242" s="27">
        <f>IF($B242="","",IF($H242="","Open","Closed"))</f>
        <v/>
      </c>
    </row>
    <row r="243">
      <c r="A243" s="23" t="n"/>
      <c r="B243" s="23" t="n"/>
      <c r="C243" s="23" t="n"/>
      <c r="D243" s="24" t="n"/>
      <c r="E243" s="25" t="n"/>
      <c r="F243" s="26" t="n"/>
      <c r="G243" s="24" t="n"/>
      <c r="H243" s="25" t="n"/>
      <c r="I243" s="21">
        <f>IF(OR($B243="",$H243=""),"",IF($C243="LONG",($H243-$E243)*$F243,($E243-$H243)*$F243))</f>
        <v/>
      </c>
      <c r="J243" s="4" t="n"/>
      <c r="K243" s="21">
        <f>IF(OR($B243="",$I243=""),"",$I243-IF($J243="",0,$J243))</f>
        <v/>
      </c>
      <c r="L243" s="22">
        <f>IF(OR($B243="",$K243="",$E243=0,$F243=0),"",$K243/($E243*$F243))</f>
        <v/>
      </c>
      <c r="M243" s="27">
        <f>IF($B243="","",IF($H243="","Open","Closed"))</f>
        <v/>
      </c>
    </row>
    <row r="244">
      <c r="A244" s="23" t="n"/>
      <c r="B244" s="23" t="n"/>
      <c r="C244" s="23" t="n"/>
      <c r="D244" s="24" t="n"/>
      <c r="E244" s="25" t="n"/>
      <c r="F244" s="26" t="n"/>
      <c r="G244" s="24" t="n"/>
      <c r="H244" s="25" t="n"/>
      <c r="I244" s="21">
        <f>IF(OR($B244="",$H244=""),"",IF($C244="LONG",($H244-$E244)*$F244,($E244-$H244)*$F244))</f>
        <v/>
      </c>
      <c r="J244" s="4" t="n"/>
      <c r="K244" s="21">
        <f>IF(OR($B244="",$I244=""),"",$I244-IF($J244="",0,$J244))</f>
        <v/>
      </c>
      <c r="L244" s="22">
        <f>IF(OR($B244="",$K244="",$E244=0,$F244=0),"",$K244/($E244*$F244))</f>
        <v/>
      </c>
      <c r="M244" s="27">
        <f>IF($B244="","",IF($H244="","Open","Closed"))</f>
        <v/>
      </c>
    </row>
    <row r="245">
      <c r="A245" s="23" t="n"/>
      <c r="B245" s="23" t="n"/>
      <c r="C245" s="23" t="n"/>
      <c r="D245" s="24" t="n"/>
      <c r="E245" s="25" t="n"/>
      <c r="F245" s="26" t="n"/>
      <c r="G245" s="24" t="n"/>
      <c r="H245" s="25" t="n"/>
      <c r="I245" s="21">
        <f>IF(OR($B245="",$H245=""),"",IF($C245="LONG",($H245-$E245)*$F245,($E245-$H245)*$F245))</f>
        <v/>
      </c>
      <c r="J245" s="4" t="n"/>
      <c r="K245" s="21">
        <f>IF(OR($B245="",$I245=""),"",$I245-IF($J245="",0,$J245))</f>
        <v/>
      </c>
      <c r="L245" s="22">
        <f>IF(OR($B245="",$K245="",$E245=0,$F245=0),"",$K245/($E245*$F245))</f>
        <v/>
      </c>
      <c r="M245" s="27">
        <f>IF($B245="","",IF($H245="","Open","Closed"))</f>
        <v/>
      </c>
    </row>
    <row r="246">
      <c r="A246" s="23" t="n"/>
      <c r="B246" s="23" t="n"/>
      <c r="C246" s="23" t="n"/>
      <c r="D246" s="24" t="n"/>
      <c r="E246" s="25" t="n"/>
      <c r="F246" s="26" t="n"/>
      <c r="G246" s="24" t="n"/>
      <c r="H246" s="25" t="n"/>
      <c r="I246" s="21">
        <f>IF(OR($B246="",$H246=""),"",IF($C246="LONG",($H246-$E246)*$F246,($E246-$H246)*$F246))</f>
        <v/>
      </c>
      <c r="J246" s="4" t="n"/>
      <c r="K246" s="21">
        <f>IF(OR($B246="",$I246=""),"",$I246-IF($J246="",0,$J246))</f>
        <v/>
      </c>
      <c r="L246" s="22">
        <f>IF(OR($B246="",$K246="",$E246=0,$F246=0),"",$K246/($E246*$F246))</f>
        <v/>
      </c>
      <c r="M246" s="27">
        <f>IF($B246="","",IF($H246="","Open","Closed"))</f>
        <v/>
      </c>
    </row>
    <row r="247">
      <c r="A247" s="23" t="n"/>
      <c r="B247" s="23" t="n"/>
      <c r="C247" s="23" t="n"/>
      <c r="D247" s="24" t="n"/>
      <c r="E247" s="25" t="n"/>
      <c r="F247" s="26" t="n"/>
      <c r="G247" s="24" t="n"/>
      <c r="H247" s="25" t="n"/>
      <c r="I247" s="21">
        <f>IF(OR($B247="",$H247=""),"",IF($C247="LONG",($H247-$E247)*$F247,($E247-$H247)*$F247))</f>
        <v/>
      </c>
      <c r="J247" s="4" t="n"/>
      <c r="K247" s="21">
        <f>IF(OR($B247="",$I247=""),"",$I247-IF($J247="",0,$J247))</f>
        <v/>
      </c>
      <c r="L247" s="22">
        <f>IF(OR($B247="",$K247="",$E247=0,$F247=0),"",$K247/($E247*$F247))</f>
        <v/>
      </c>
      <c r="M247" s="27">
        <f>IF($B247="","",IF($H247="","Open","Closed"))</f>
        <v/>
      </c>
    </row>
    <row r="248">
      <c r="A248" s="23" t="n"/>
      <c r="B248" s="23" t="n"/>
      <c r="C248" s="23" t="n"/>
      <c r="D248" s="24" t="n"/>
      <c r="E248" s="25" t="n"/>
      <c r="F248" s="26" t="n"/>
      <c r="G248" s="24" t="n"/>
      <c r="H248" s="25" t="n"/>
      <c r="I248" s="21">
        <f>IF(OR($B248="",$H248=""),"",IF($C248="LONG",($H248-$E248)*$F248,($E248-$H248)*$F248))</f>
        <v/>
      </c>
      <c r="J248" s="4" t="n"/>
      <c r="K248" s="21">
        <f>IF(OR($B248="",$I248=""),"",$I248-IF($J248="",0,$J248))</f>
        <v/>
      </c>
      <c r="L248" s="22">
        <f>IF(OR($B248="",$K248="",$E248=0,$F248=0),"",$K248/($E248*$F248))</f>
        <v/>
      </c>
      <c r="M248" s="27">
        <f>IF($B248="","",IF($H248="","Open","Closed"))</f>
        <v/>
      </c>
    </row>
    <row r="249">
      <c r="A249" s="23" t="n"/>
      <c r="B249" s="23" t="n"/>
      <c r="C249" s="23" t="n"/>
      <c r="D249" s="24" t="n"/>
      <c r="E249" s="25" t="n"/>
      <c r="F249" s="26" t="n"/>
      <c r="G249" s="24" t="n"/>
      <c r="H249" s="25" t="n"/>
      <c r="I249" s="21">
        <f>IF(OR($B249="",$H249=""),"",IF($C249="LONG",($H249-$E249)*$F249,($E249-$H249)*$F249))</f>
        <v/>
      </c>
      <c r="J249" s="4" t="n"/>
      <c r="K249" s="21">
        <f>IF(OR($B249="",$I249=""),"",$I249-IF($J249="",0,$J249))</f>
        <v/>
      </c>
      <c r="L249" s="22">
        <f>IF(OR($B249="",$K249="",$E249=0,$F249=0),"",$K249/($E249*$F249))</f>
        <v/>
      </c>
      <c r="M249" s="27">
        <f>IF($B249="","",IF($H249="","Open","Closed"))</f>
        <v/>
      </c>
    </row>
    <row r="250">
      <c r="A250" s="23" t="n"/>
      <c r="B250" s="23" t="n"/>
      <c r="C250" s="23" t="n"/>
      <c r="D250" s="24" t="n"/>
      <c r="E250" s="25" t="n"/>
      <c r="F250" s="26" t="n"/>
      <c r="G250" s="24" t="n"/>
      <c r="H250" s="25" t="n"/>
      <c r="I250" s="21">
        <f>IF(OR($B250="",$H250=""),"",IF($C250="LONG",($H250-$E250)*$F250,($E250-$H250)*$F250))</f>
        <v/>
      </c>
      <c r="J250" s="4" t="n"/>
      <c r="K250" s="21">
        <f>IF(OR($B250="",$I250=""),"",$I250-IF($J250="",0,$J250))</f>
        <v/>
      </c>
      <c r="L250" s="22">
        <f>IF(OR($B250="",$K250="",$E250=0,$F250=0),"",$K250/($E250*$F250))</f>
        <v/>
      </c>
      <c r="M250" s="27">
        <f>IF($B250="","",IF($H250="","Open","Closed"))</f>
        <v/>
      </c>
    </row>
    <row r="251">
      <c r="A251" s="23" t="n"/>
      <c r="B251" s="23" t="n"/>
      <c r="C251" s="23" t="n"/>
      <c r="D251" s="24" t="n"/>
      <c r="E251" s="25" t="n"/>
      <c r="F251" s="26" t="n"/>
      <c r="G251" s="24" t="n"/>
      <c r="H251" s="25" t="n"/>
      <c r="I251" s="21">
        <f>IF(OR($B251="",$H251=""),"",IF($C251="LONG",($H251-$E251)*$F251,($E251-$H251)*$F251))</f>
        <v/>
      </c>
      <c r="J251" s="4" t="n"/>
      <c r="K251" s="21">
        <f>IF(OR($B251="",$I251=""),"",$I251-IF($J251="",0,$J251))</f>
        <v/>
      </c>
      <c r="L251" s="22">
        <f>IF(OR($B251="",$K251="",$E251=0,$F251=0),"",$K251/($E251*$F251))</f>
        <v/>
      </c>
      <c r="M251" s="27">
        <f>IF($B251="","",IF($H251="","Open","Closed"))</f>
        <v/>
      </c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4" t="n"/>
      <c r="K252" s="21">
        <f>IF(OR($B252="",$I252=""),"",$I252-IF($J252="",0,$J252))</f>
        <v/>
      </c>
      <c r="L252" s="22">
        <f>IF(OR($B252="",$K252="",$E252=0,$F252=0),"",$K252/($E252*$F252))</f>
        <v/>
      </c>
      <c r="M252" s="27">
        <f>IF($B252="","",IF($H252="","Open","Closed"))</f>
        <v/>
      </c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4" t="n"/>
      <c r="K253" s="21">
        <f>IF(OR($B253="",$I253=""),"",$I253-IF($J253="",0,$J253))</f>
        <v/>
      </c>
      <c r="L253" s="22">
        <f>IF(OR($B253="",$K253="",$E253=0,$F253=0),"",$K253/($E253*$F253))</f>
        <v/>
      </c>
      <c r="M253" s="27">
        <f>IF($B253="","",IF($H253="","Open","Closed"))</f>
        <v/>
      </c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4" t="n"/>
      <c r="K254" s="21">
        <f>IF(OR($B254="",$I254=""),"",$I254-IF($J254="",0,$J254))</f>
        <v/>
      </c>
      <c r="L254" s="22">
        <f>IF(OR($B254="",$K254="",$E254=0,$F254=0),"",$K254/($E254*$F254))</f>
        <v/>
      </c>
      <c r="M254" s="27">
        <f>IF($B254="","",IF($H254="","Open","Closed"))</f>
        <v/>
      </c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4" t="n"/>
      <c r="K255" s="21">
        <f>IF(OR($B255="",$I255=""),"",$I255-IF($J255="",0,$J255))</f>
        <v/>
      </c>
      <c r="L255" s="22">
        <f>IF(OR($B255="",$K255="",$E255=0,$F255=0),"",$K255/($E255*$F255))</f>
        <v/>
      </c>
      <c r="M255" s="27">
        <f>IF($B255="","",IF($H255="","Open","Closed"))</f>
        <v/>
      </c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4" t="n"/>
      <c r="K256" s="21">
        <f>IF(OR($B256="",$I256=""),"",$I256-IF($J256="",0,$J256))</f>
        <v/>
      </c>
      <c r="L256" s="22">
        <f>IF(OR($B256="",$K256="",$E256=0,$F256=0),"",$K256/($E256*$F256))</f>
        <v/>
      </c>
      <c r="M256" s="27">
        <f>IF($B256="","",IF($H256="","Open","Closed"))</f>
        <v/>
      </c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4" t="n"/>
      <c r="K257" s="21">
        <f>IF(OR($B257="",$I257=""),"",$I257-IF($J257="",0,$J257))</f>
        <v/>
      </c>
      <c r="L257" s="22">
        <f>IF(OR($B257="",$K257="",$E257=0,$F257=0),"",$K257/($E257*$F257))</f>
        <v/>
      </c>
      <c r="M257" s="27">
        <f>IF($B257="","",IF($H257="","Open","Closed"))</f>
        <v/>
      </c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4" t="n"/>
      <c r="K258" s="21">
        <f>IF(OR($B258="",$I258=""),"",$I258-IF($J258="",0,$J258))</f>
        <v/>
      </c>
      <c r="L258" s="22">
        <f>IF(OR($B258="",$K258="",$E258=0,$F258=0),"",$K258/($E258*$F258))</f>
        <v/>
      </c>
      <c r="M258" s="27">
        <f>IF($B258="","",IF($H258="","Open","Closed"))</f>
        <v/>
      </c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4" t="n"/>
      <c r="K259" s="21">
        <f>IF(OR($B259="",$I259=""),"",$I259-IF($J259="",0,$J259))</f>
        <v/>
      </c>
      <c r="L259" s="22">
        <f>IF(OR($B259="",$K259="",$E259=0,$F259=0),"",$K259/($E259*$F259))</f>
        <v/>
      </c>
      <c r="M259" s="27">
        <f>IF($B259="","",IF($H259="","Open","Closed"))</f>
        <v/>
      </c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4" t="n"/>
      <c r="K260" s="21">
        <f>IF(OR($B260="",$I260=""),"",$I260-IF($J260="",0,$J260))</f>
        <v/>
      </c>
      <c r="L260" s="22">
        <f>IF(OR($B260="",$K260="",$E260=0,$F260=0),"",$K260/($E260*$F260))</f>
        <v/>
      </c>
      <c r="M260" s="27">
        <f>IF($B260="","",IF($H260="","Open","Closed"))</f>
        <v/>
      </c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4" t="n"/>
      <c r="K261" s="21">
        <f>IF(OR($B261="",$I261=""),"",$I261-IF($J261="",0,$J261))</f>
        <v/>
      </c>
      <c r="L261" s="22">
        <f>IF(OR($B261="",$K261="",$E261=0,$F261=0),"",$K261/($E261*$F261))</f>
        <v/>
      </c>
      <c r="M261" s="27">
        <f>IF($B261="","",IF($H261="","Open","Closed"))</f>
        <v/>
      </c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4" t="n"/>
      <c r="K262" s="21">
        <f>IF(OR($B262="",$I262=""),"",$I262-IF($J262="",0,$J262))</f>
        <v/>
      </c>
      <c r="L262" s="22">
        <f>IF(OR($B262="",$K262="",$E262=0,$F262=0),"",$K262/($E262*$F262))</f>
        <v/>
      </c>
      <c r="M262" s="27">
        <f>IF($B262="","",IF($H262="","Open","Closed"))</f>
        <v/>
      </c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4" t="n"/>
      <c r="K263" s="21">
        <f>IF(OR($B263="",$I263=""),"",$I263-IF($J263="",0,$J263))</f>
        <v/>
      </c>
      <c r="L263" s="22">
        <f>IF(OR($B263="",$K263="",$E263=0,$F263=0),"",$K263/($E263*$F263))</f>
        <v/>
      </c>
      <c r="M263" s="27">
        <f>IF($B263="","",IF($H263="","Open","Closed"))</f>
        <v/>
      </c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4" t="n"/>
      <c r="K264" s="21">
        <f>IF(OR($B264="",$I264=""),"",$I264-IF($J264="",0,$J264))</f>
        <v/>
      </c>
      <c r="L264" s="22">
        <f>IF(OR($B264="",$K264="",$E264=0,$F264=0),"",$K264/($E264*$F264))</f>
        <v/>
      </c>
      <c r="M264" s="27">
        <f>IF($B264="","",IF($H264="","Open","Closed"))</f>
        <v/>
      </c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4" t="n"/>
      <c r="K265" s="21">
        <f>IF(OR($B265="",$I265=""),"",$I265-IF($J265="",0,$J265))</f>
        <v/>
      </c>
      <c r="L265" s="22">
        <f>IF(OR($B265="",$K265="",$E265=0,$F265=0),"",$K265/($E265*$F265))</f>
        <v/>
      </c>
      <c r="M265" s="27">
        <f>IF($B265="","",IF($H265="","Open","Closed"))</f>
        <v/>
      </c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4" t="n"/>
      <c r="K266" s="21">
        <f>IF(OR($B266="",$I266=""),"",$I266-IF($J266="",0,$J266))</f>
        <v/>
      </c>
      <c r="L266" s="22">
        <f>IF(OR($B266="",$K266="",$E266=0,$F266=0),"",$K266/($E266*$F266))</f>
        <v/>
      </c>
      <c r="M266" s="27">
        <f>IF($B266="","",IF($H266="","Open","Closed"))</f>
        <v/>
      </c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4" t="n"/>
      <c r="K267" s="21">
        <f>IF(OR($B267="",$I267=""),"",$I267-IF($J267="",0,$J267))</f>
        <v/>
      </c>
      <c r="L267" s="22">
        <f>IF(OR($B267="",$K267="",$E267=0,$F267=0),"",$K267/($E267*$F267))</f>
        <v/>
      </c>
      <c r="M267" s="27">
        <f>IF($B267="","",IF($H267="","Open","Closed"))</f>
        <v/>
      </c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4" t="n"/>
      <c r="K268" s="21">
        <f>IF(OR($B268="",$I268=""),"",$I268-IF($J268="",0,$J268))</f>
        <v/>
      </c>
      <c r="L268" s="22">
        <f>IF(OR($B268="",$K268="",$E268=0,$F268=0),"",$K268/($E268*$F268))</f>
        <v/>
      </c>
      <c r="M268" s="27">
        <f>IF($B268="","",IF($H268="","Open","Closed"))</f>
        <v/>
      </c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4" t="n"/>
      <c r="K269" s="21">
        <f>IF(OR($B269="",$I269=""),"",$I269-IF($J269="",0,$J269))</f>
        <v/>
      </c>
      <c r="L269" s="22">
        <f>IF(OR($B269="",$K269="",$E269=0,$F269=0),"",$K269/($E269*$F269))</f>
        <v/>
      </c>
      <c r="M269" s="27">
        <f>IF($B269="","",IF($H269="","Open","Closed"))</f>
        <v/>
      </c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4" t="n"/>
      <c r="K270" s="21">
        <f>IF(OR($B270="",$I270=""),"",$I270-IF($J270="",0,$J270))</f>
        <v/>
      </c>
      <c r="L270" s="22">
        <f>IF(OR($B270="",$K270="",$E270=0,$F270=0),"",$K270/($E270*$F270))</f>
        <v/>
      </c>
      <c r="M270" s="27">
        <f>IF($B270="","",IF($H270="","Open","Closed"))</f>
        <v/>
      </c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4" t="n"/>
      <c r="K271" s="21">
        <f>IF(OR($B271="",$I271=""),"",$I271-IF($J271="",0,$J271))</f>
        <v/>
      </c>
      <c r="L271" s="22">
        <f>IF(OR($B271="",$K271="",$E271=0,$F271=0),"",$K271/($E271*$F271))</f>
        <v/>
      </c>
      <c r="M271" s="27">
        <f>IF($B271="","",IF($H271="","Open","Closed"))</f>
        <v/>
      </c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4" t="n"/>
      <c r="K272" s="21">
        <f>IF(OR($B272="",$I272=""),"",$I272-IF($J272="",0,$J272))</f>
        <v/>
      </c>
      <c r="L272" s="22">
        <f>IF(OR($B272="",$K272="",$E272=0,$F272=0),"",$K272/($E272*$F272))</f>
        <v/>
      </c>
      <c r="M272" s="27">
        <f>IF($B272="","",IF($H272="","Open","Closed"))</f>
        <v/>
      </c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4" t="n"/>
      <c r="K273" s="21">
        <f>IF(OR($B273="",$I273=""),"",$I273-IF($J273="",0,$J273))</f>
        <v/>
      </c>
      <c r="L273" s="22">
        <f>IF(OR($B273="",$K273="",$E273=0,$F273=0),"",$K273/($E273*$F273))</f>
        <v/>
      </c>
      <c r="M273" s="27">
        <f>IF($B273="","",IF($H273="","Open","Closed"))</f>
        <v/>
      </c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4" t="n"/>
      <c r="K274" s="21">
        <f>IF(OR($B274="",$I274=""),"",$I274-IF($J274="",0,$J274))</f>
        <v/>
      </c>
      <c r="L274" s="22">
        <f>IF(OR($B274="",$K274="",$E274=0,$F274=0),"",$K274/($E274*$F274))</f>
        <v/>
      </c>
      <c r="M274" s="27">
        <f>IF($B274="","",IF($H274="","Open","Closed"))</f>
        <v/>
      </c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4" t="n"/>
      <c r="K275" s="21">
        <f>IF(OR($B275="",$I275=""),"",$I275-IF($J275="",0,$J275))</f>
        <v/>
      </c>
      <c r="L275" s="22">
        <f>IF(OR($B275="",$K275="",$E275=0,$F275=0),"",$K275/($E275*$F275))</f>
        <v/>
      </c>
      <c r="M275" s="27">
        <f>IF($B275="","",IF($H275="","Open","Closed"))</f>
        <v/>
      </c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4" t="n"/>
      <c r="K276" s="21">
        <f>IF(OR($B276="",$I276=""),"",$I276-IF($J276="",0,$J276))</f>
        <v/>
      </c>
      <c r="L276" s="22">
        <f>IF(OR($B276="",$K276="",$E276=0,$F276=0),"",$K276/($E276*$F276))</f>
        <v/>
      </c>
      <c r="M276" s="27">
        <f>IF($B276="","",IF($H276="","Open","Closed"))</f>
        <v/>
      </c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4" t="n"/>
      <c r="K277" s="21">
        <f>IF(OR($B277="",$I277=""),"",$I277-IF($J277="",0,$J277))</f>
        <v/>
      </c>
      <c r="L277" s="22">
        <f>IF(OR($B277="",$K277="",$E277=0,$F277=0),"",$K277/($E277*$F277))</f>
        <v/>
      </c>
      <c r="M277" s="27">
        <f>IF($B277="","",IF($H277="","Open","Closed"))</f>
        <v/>
      </c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4" t="n"/>
      <c r="K278" s="21">
        <f>IF(OR($B278="",$I278=""),"",$I278-IF($J278="",0,$J278))</f>
        <v/>
      </c>
      <c r="L278" s="22">
        <f>IF(OR($B278="",$K278="",$E278=0,$F278=0),"",$K278/($E278*$F278))</f>
        <v/>
      </c>
      <c r="M278" s="27">
        <f>IF($B278="","",IF($H278="","Open","Closed"))</f>
        <v/>
      </c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4" t="n"/>
      <c r="K279" s="21">
        <f>IF(OR($B279="",$I279=""),"",$I279-IF($J279="",0,$J279))</f>
        <v/>
      </c>
      <c r="L279" s="22">
        <f>IF(OR($B279="",$K279="",$E279=0,$F279=0),"",$K279/($E279*$F279))</f>
        <v/>
      </c>
      <c r="M279" s="27">
        <f>IF($B279="","",IF($H279="","Open","Closed"))</f>
        <v/>
      </c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4" t="n"/>
      <c r="K280" s="21">
        <f>IF(OR($B280="",$I280=""),"",$I280-IF($J280="",0,$J280))</f>
        <v/>
      </c>
      <c r="L280" s="22">
        <f>IF(OR($B280="",$K280="",$E280=0,$F280=0),"",$K280/($E280*$F280))</f>
        <v/>
      </c>
      <c r="M280" s="27">
        <f>IF($B280="","",IF($H280="","Open","Closed"))</f>
        <v/>
      </c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4" t="n"/>
      <c r="K281" s="21">
        <f>IF(OR($B281="",$I281=""),"",$I281-IF($J281="",0,$J281))</f>
        <v/>
      </c>
      <c r="L281" s="22">
        <f>IF(OR($B281="",$K281="",$E281=0,$F281=0),"",$K281/($E281*$F281))</f>
        <v/>
      </c>
      <c r="M281" s="27">
        <f>IF($B281="","",IF($H281="","Open","Closed"))</f>
        <v/>
      </c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4" t="n"/>
      <c r="K282" s="21">
        <f>IF(OR($B282="",$I282=""),"",$I282-IF($J282="",0,$J282))</f>
        <v/>
      </c>
      <c r="L282" s="22">
        <f>IF(OR($B282="",$K282="",$E282=0,$F282=0),"",$K282/($E282*$F282))</f>
        <v/>
      </c>
      <c r="M282" s="27">
        <f>IF($B282="","",IF($H282="","Open","Closed"))</f>
        <v/>
      </c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4" t="n"/>
      <c r="K283" s="21">
        <f>IF(OR($B283="",$I283=""),"",$I283-IF($J283="",0,$J283))</f>
        <v/>
      </c>
      <c r="L283" s="22">
        <f>IF(OR($B283="",$K283="",$E283=0,$F283=0),"",$K283/($E283*$F283))</f>
        <v/>
      </c>
      <c r="M283" s="27">
        <f>IF($B283="","",IF($H283="","Open","Closed"))</f>
        <v/>
      </c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4" t="n"/>
      <c r="K284" s="21">
        <f>IF(OR($B284="",$I284=""),"",$I284-IF($J284="",0,$J284))</f>
        <v/>
      </c>
      <c r="L284" s="22">
        <f>IF(OR($B284="",$K284="",$E284=0,$F284=0),"",$K284/($E284*$F284))</f>
        <v/>
      </c>
      <c r="M284" s="27">
        <f>IF($B284="","",IF($H284="","Open","Closed"))</f>
        <v/>
      </c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4" t="n"/>
      <c r="K285" s="21">
        <f>IF(OR($B285="",$I285=""),"",$I285-IF($J285="",0,$J285))</f>
        <v/>
      </c>
      <c r="L285" s="22">
        <f>IF(OR($B285="",$K285="",$E285=0,$F285=0),"",$K285/($E285*$F285))</f>
        <v/>
      </c>
      <c r="M285" s="27">
        <f>IF($B285="","",IF($H285="","Open","Closed"))</f>
        <v/>
      </c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4" t="n"/>
      <c r="K286" s="21">
        <f>IF(OR($B286="",$I286=""),"",$I286-IF($J286="",0,$J286))</f>
        <v/>
      </c>
      <c r="L286" s="22">
        <f>IF(OR($B286="",$K286="",$E286=0,$F286=0),"",$K286/($E286*$F286))</f>
        <v/>
      </c>
      <c r="M286" s="27">
        <f>IF($B286="","",IF($H286="","Open","Closed"))</f>
        <v/>
      </c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4" t="n"/>
      <c r="K287" s="21">
        <f>IF(OR($B287="",$I287=""),"",$I287-IF($J287="",0,$J287))</f>
        <v/>
      </c>
      <c r="L287" s="22">
        <f>IF(OR($B287="",$K287="",$E287=0,$F287=0),"",$K287/($E287*$F287))</f>
        <v/>
      </c>
      <c r="M287" s="27">
        <f>IF($B287="","",IF($H287="","Open","Closed"))</f>
        <v/>
      </c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4" t="n"/>
      <c r="K288" s="21">
        <f>IF(OR($B288="",$I288=""),"",$I288-IF($J288="",0,$J288))</f>
        <v/>
      </c>
      <c r="L288" s="22">
        <f>IF(OR($B288="",$K288="",$E288=0,$F288=0),"",$K288/($E288*$F288))</f>
        <v/>
      </c>
      <c r="M288" s="27">
        <f>IF($B288="","",IF($H288="","Open","Closed"))</f>
        <v/>
      </c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4" t="n"/>
      <c r="K289" s="21">
        <f>IF(OR($B289="",$I289=""),"",$I289-IF($J289="",0,$J289))</f>
        <v/>
      </c>
      <c r="L289" s="22">
        <f>IF(OR($B289="",$K289="",$E289=0,$F289=0),"",$K289/($E289*$F289))</f>
        <v/>
      </c>
      <c r="M289" s="27">
        <f>IF($B289="","",IF($H289="","Open","Closed"))</f>
        <v/>
      </c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4" t="n"/>
      <c r="K290" s="21">
        <f>IF(OR($B290="",$I290=""),"",$I290-IF($J290="",0,$J290))</f>
        <v/>
      </c>
      <c r="L290" s="22">
        <f>IF(OR($B290="",$K290="",$E290=0,$F290=0),"",$K290/($E290*$F290))</f>
        <v/>
      </c>
      <c r="M290" s="27">
        <f>IF($B290="","",IF($H290="","Open","Closed"))</f>
        <v/>
      </c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4" t="n"/>
      <c r="K291" s="21">
        <f>IF(OR($B291="",$I291=""),"",$I291-IF($J291="",0,$J291))</f>
        <v/>
      </c>
      <c r="L291" s="22">
        <f>IF(OR($B291="",$K291="",$E291=0,$F291=0),"",$K291/($E291*$F291))</f>
        <v/>
      </c>
      <c r="M291" s="27">
        <f>IF($B291="","",IF($H291="","Open","Closed"))</f>
        <v/>
      </c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4" t="n"/>
      <c r="K292" s="21">
        <f>IF(OR($B292="",$I292=""),"",$I292-IF($J292="",0,$J292))</f>
        <v/>
      </c>
      <c r="L292" s="22">
        <f>IF(OR($B292="",$K292="",$E292=0,$F292=0),"",$K292/($E292*$F292))</f>
        <v/>
      </c>
      <c r="M292" s="27">
        <f>IF($B292="","",IF($H292="","Open","Closed"))</f>
        <v/>
      </c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4" t="n"/>
      <c r="K293" s="21">
        <f>IF(OR($B293="",$I293=""),"",$I293-IF($J293="",0,$J293))</f>
        <v/>
      </c>
      <c r="L293" s="22">
        <f>IF(OR($B293="",$K293="",$E293=0,$F293=0),"",$K293/($E293*$F293))</f>
        <v/>
      </c>
      <c r="M293" s="27">
        <f>IF($B293="","",IF($H293="","Open","Closed"))</f>
        <v/>
      </c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4" t="n"/>
      <c r="K294" s="21">
        <f>IF(OR($B294="",$I294=""),"",$I294-IF($J294="",0,$J294))</f>
        <v/>
      </c>
      <c r="L294" s="22">
        <f>IF(OR($B294="",$K294="",$E294=0,$F294=0),"",$K294/($E294*$F294))</f>
        <v/>
      </c>
      <c r="M294" s="27">
        <f>IF($B294="","",IF($H294="","Open","Closed"))</f>
        <v/>
      </c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4" t="n"/>
      <c r="K295" s="21">
        <f>IF(OR($B295="",$I295=""),"",$I295-IF($J295="",0,$J295))</f>
        <v/>
      </c>
      <c r="L295" s="22">
        <f>IF(OR($B295="",$K295="",$E295=0,$F295=0),"",$K295/($E295*$F295))</f>
        <v/>
      </c>
      <c r="M295" s="27">
        <f>IF($B295="","",IF($H295="","Open","Closed"))</f>
        <v/>
      </c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4" t="n"/>
      <c r="K296" s="21">
        <f>IF(OR($B296="",$I296=""),"",$I296-IF($J296="",0,$J296))</f>
        <v/>
      </c>
      <c r="L296" s="22">
        <f>IF(OR($B296="",$K296="",$E296=0,$F296=0),"",$K296/($E296*$F296))</f>
        <v/>
      </c>
      <c r="M296" s="27">
        <f>IF($B296="","",IF($H296="","Open","Closed"))</f>
        <v/>
      </c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4" t="n"/>
      <c r="K297" s="21">
        <f>IF(OR($B297="",$I297=""),"",$I297-IF($J297="",0,$J297))</f>
        <v/>
      </c>
      <c r="L297" s="22">
        <f>IF(OR($B297="",$K297="",$E297=0,$F297=0),"",$K297/($E297*$F297))</f>
        <v/>
      </c>
      <c r="M297" s="27">
        <f>IF($B297="","",IF($H297="","Open","Closed"))</f>
        <v/>
      </c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4" t="n"/>
      <c r="K298" s="21">
        <f>IF(OR($B298="",$I298=""),"",$I298-IF($J298="",0,$J298))</f>
        <v/>
      </c>
      <c r="L298" s="22">
        <f>IF(OR($B298="",$K298="",$E298=0,$F298=0),"",$K298/($E298*$F298))</f>
        <v/>
      </c>
      <c r="M298" s="27">
        <f>IF($B298="","",IF($H298="","Open","Closed"))</f>
        <v/>
      </c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4" t="n"/>
      <c r="K299" s="21">
        <f>IF(OR($B299="",$I299=""),"",$I299-IF($J299="",0,$J299))</f>
        <v/>
      </c>
      <c r="L299" s="22">
        <f>IF(OR($B299="",$K299="",$E299=0,$F299=0),"",$K299/($E299*$F299))</f>
        <v/>
      </c>
      <c r="M299" s="27">
        <f>IF($B299="","",IF($H299="","Open","Closed"))</f>
        <v/>
      </c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4" t="n"/>
      <c r="K300" s="21">
        <f>IF(OR($B300="",$I300=""),"",$I300-IF($J300="",0,$J300))</f>
        <v/>
      </c>
      <c r="L300" s="22">
        <f>IF(OR($B300="",$K300="",$E300=0,$F300=0),"",$K300/($E300*$F300))</f>
        <v/>
      </c>
      <c r="M300" s="27">
        <f>IF($B300="","",IF($H300="","Open","Closed"))</f>
        <v/>
      </c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4" t="n"/>
      <c r="K301" s="21">
        <f>IF(OR($B301="",$I301=""),"",$I301-IF($J301="",0,$J301))</f>
        <v/>
      </c>
      <c r="L301" s="22">
        <f>IF(OR($B301="",$K301="",$E301=0,$F301=0),"",$K301/($E301*$F301))</f>
        <v/>
      </c>
      <c r="M301" s="27">
        <f>IF($B301="","",IF($H301="","Open","Closed"))</f>
        <v/>
      </c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4" t="n"/>
      <c r="K302" s="21">
        <f>IF(OR($B302="",$I302=""),"",$I302-IF($J302="",0,$J302))</f>
        <v/>
      </c>
      <c r="L302" s="22">
        <f>IF(OR($B302="",$K302="",$E302=0,$F302=0),"",$K302/($E302*$F302))</f>
        <v/>
      </c>
      <c r="M302" s="27">
        <f>IF($B302="","",IF($H302="","Open","Closed"))</f>
        <v/>
      </c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4" t="n"/>
      <c r="K303" s="21">
        <f>IF(OR($B303="",$I303=""),"",$I303-IF($J303="",0,$J303))</f>
        <v/>
      </c>
      <c r="L303" s="22">
        <f>IF(OR($B303="",$K303="",$E303=0,$F303=0),"",$K303/($E303*$F303))</f>
        <v/>
      </c>
      <c r="M303" s="27">
        <f>IF($B303="","",IF($H303="","Open","Closed"))</f>
        <v/>
      </c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4" t="n"/>
      <c r="K304" s="21">
        <f>IF(OR($B304="",$I304=""),"",$I304-IF($J304="",0,$J304))</f>
        <v/>
      </c>
      <c r="L304" s="22">
        <f>IF(OR($B304="",$K304="",$E304=0,$F304=0),"",$K304/($E304*$F304))</f>
        <v/>
      </c>
      <c r="M304" s="27">
        <f>IF($B304="","",IF($H304="","Open","Closed"))</f>
        <v/>
      </c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4" t="n"/>
      <c r="K305" s="21">
        <f>IF(OR($B305="",$I305=""),"",$I305-IF($J305="",0,$J305))</f>
        <v/>
      </c>
      <c r="L305" s="22">
        <f>IF(OR($B305="",$K305="",$E305=0,$F305=0),"",$K305/($E305*$F305))</f>
        <v/>
      </c>
      <c r="M305" s="27">
        <f>IF($B305="","",IF($H305="","Open","Closed"))</f>
        <v/>
      </c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4" t="n"/>
      <c r="K306" s="21">
        <f>IF(OR($B306="",$I306=""),"",$I306-IF($J306="",0,$J306))</f>
        <v/>
      </c>
      <c r="L306" s="22">
        <f>IF(OR($B306="",$K306="",$E306=0,$F306=0),"",$K306/($E306*$F306))</f>
        <v/>
      </c>
      <c r="M306" s="27">
        <f>IF($B306="","",IF($H306="","Open","Closed"))</f>
        <v/>
      </c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4" t="n"/>
      <c r="K307" s="21">
        <f>IF(OR($B307="",$I307=""),"",$I307-IF($J307="",0,$J307))</f>
        <v/>
      </c>
      <c r="L307" s="22">
        <f>IF(OR($B307="",$K307="",$E307=0,$F307=0),"",$K307/($E307*$F307))</f>
        <v/>
      </c>
      <c r="M307" s="27">
        <f>IF($B307="","",IF($H307="","Open","Closed"))</f>
        <v/>
      </c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4" t="n"/>
      <c r="K308" s="21">
        <f>IF(OR($B308="",$I308=""),"",$I308-IF($J308="",0,$J308))</f>
        <v/>
      </c>
      <c r="L308" s="22">
        <f>IF(OR($B308="",$K308="",$E308=0,$F308=0),"",$K308/($E308*$F308))</f>
        <v/>
      </c>
      <c r="M308" s="27">
        <f>IF($B308="","",IF($H308="","Open","Closed"))</f>
        <v/>
      </c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4" t="n"/>
      <c r="K309" s="21">
        <f>IF(OR($B309="",$I309=""),"",$I309-IF($J309="",0,$J309))</f>
        <v/>
      </c>
      <c r="L309" s="22">
        <f>IF(OR($B309="",$K309="",$E309=0,$F309=0),"",$K309/($E309*$F309))</f>
        <v/>
      </c>
      <c r="M309" s="27">
        <f>IF($B309="","",IF($H309="","Open","Closed"))</f>
        <v/>
      </c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4" t="n"/>
      <c r="K310" s="21">
        <f>IF(OR($B310="",$I310=""),"",$I310-IF($J310="",0,$J310))</f>
        <v/>
      </c>
      <c r="L310" s="22">
        <f>IF(OR($B310="",$K310="",$E310=0,$F310=0),"",$K310/($E310*$F310))</f>
        <v/>
      </c>
      <c r="M310" s="27">
        <f>IF($B310="","",IF($H310="","Open","Closed"))</f>
        <v/>
      </c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4" t="n"/>
      <c r="K311" s="21">
        <f>IF(OR($B311="",$I311=""),"",$I311-IF($J311="",0,$J311))</f>
        <v/>
      </c>
      <c r="L311" s="22">
        <f>IF(OR($B311="",$K311="",$E311=0,$F311=0),"",$K311/($E311*$F311))</f>
        <v/>
      </c>
      <c r="M311" s="27">
        <f>IF($B311="","",IF($H311="","Open","Closed"))</f>
        <v/>
      </c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4" t="n"/>
      <c r="K312" s="21">
        <f>IF(OR($B312="",$I312=""),"",$I312-IF($J312="",0,$J312))</f>
        <v/>
      </c>
      <c r="L312" s="22">
        <f>IF(OR($B312="",$K312="",$E312=0,$F312=0),"",$K312/($E312*$F312))</f>
        <v/>
      </c>
      <c r="M312" s="27">
        <f>IF($B312="","",IF($H312="","Open","Closed"))</f>
        <v/>
      </c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4" t="n"/>
      <c r="K313" s="21">
        <f>IF(OR($B313="",$I313=""),"",$I313-IF($J313="",0,$J313))</f>
        <v/>
      </c>
      <c r="L313" s="22">
        <f>IF(OR($B313="",$K313="",$E313=0,$F313=0),"",$K313/($E313*$F313))</f>
        <v/>
      </c>
      <c r="M313" s="27">
        <f>IF($B313="","",IF($H313="","Open","Closed"))</f>
        <v/>
      </c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4" t="n"/>
      <c r="K314" s="21">
        <f>IF(OR($B314="",$I314=""),"",$I314-IF($J314="",0,$J314))</f>
        <v/>
      </c>
      <c r="L314" s="22">
        <f>IF(OR($B314="",$K314="",$E314=0,$F314=0),"",$K314/($E314*$F314))</f>
        <v/>
      </c>
      <c r="M314" s="27">
        <f>IF($B314="","",IF($H314="","Open","Closed"))</f>
        <v/>
      </c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4" t="n"/>
      <c r="K315" s="21">
        <f>IF(OR($B315="",$I315=""),"",$I315-IF($J315="",0,$J315))</f>
        <v/>
      </c>
      <c r="L315" s="22">
        <f>IF(OR($B315="",$K315="",$E315=0,$F315=0),"",$K315/($E315*$F315))</f>
        <v/>
      </c>
      <c r="M315" s="27">
        <f>IF($B315="","",IF($H315="","Open","Closed"))</f>
        <v/>
      </c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4" t="n"/>
      <c r="K316" s="21">
        <f>IF(OR($B316="",$I316=""),"",$I316-IF($J316="",0,$J316))</f>
        <v/>
      </c>
      <c r="L316" s="22">
        <f>IF(OR($B316="",$K316="",$E316=0,$F316=0),"",$K316/($E316*$F316))</f>
        <v/>
      </c>
      <c r="M316" s="27">
        <f>IF($B316="","",IF($H316="","Open","Closed"))</f>
        <v/>
      </c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4" t="n"/>
      <c r="K317" s="21">
        <f>IF(OR($B317="",$I317=""),"",$I317-IF($J317="",0,$J317))</f>
        <v/>
      </c>
      <c r="L317" s="22">
        <f>IF(OR($B317="",$K317="",$E317=0,$F317=0),"",$K317/($E317*$F317))</f>
        <v/>
      </c>
      <c r="M317" s="27">
        <f>IF($B317="","",IF($H317="","Open","Closed"))</f>
        <v/>
      </c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4" t="n"/>
      <c r="K318" s="21">
        <f>IF(OR($B318="",$I318=""),"",$I318-IF($J318="",0,$J318))</f>
        <v/>
      </c>
      <c r="L318" s="22">
        <f>IF(OR($B318="",$K318="",$E318=0,$F318=0),"",$K318/($E318*$F318))</f>
        <v/>
      </c>
      <c r="M318" s="27">
        <f>IF($B318="","",IF($H318="","Open","Closed"))</f>
        <v/>
      </c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4" t="n"/>
      <c r="K319" s="21">
        <f>IF(OR($B319="",$I319=""),"",$I319-IF($J319="",0,$J319))</f>
        <v/>
      </c>
      <c r="L319" s="22">
        <f>IF(OR($B319="",$K319="",$E319=0,$F319=0),"",$K319/($E319*$F319))</f>
        <v/>
      </c>
      <c r="M319" s="27">
        <f>IF($B319="","",IF($H319="","Open","Closed"))</f>
        <v/>
      </c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4" t="n"/>
      <c r="K320" s="21">
        <f>IF(OR($B320="",$I320=""),"",$I320-IF($J320="",0,$J320))</f>
        <v/>
      </c>
      <c r="L320" s="22">
        <f>IF(OR($B320="",$K320="",$E320=0,$F320=0),"",$K320/($E320*$F320))</f>
        <v/>
      </c>
      <c r="M320" s="27">
        <f>IF($B320="","",IF($H320="","Open","Closed"))</f>
        <v/>
      </c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4" t="n"/>
      <c r="K321" s="21">
        <f>IF(OR($B321="",$I321=""),"",$I321-IF($J321="",0,$J321))</f>
        <v/>
      </c>
      <c r="L321" s="22">
        <f>IF(OR($B321="",$K321="",$E321=0,$F321=0),"",$K321/($E321*$F321))</f>
        <v/>
      </c>
      <c r="M321" s="27">
        <f>IF($B321="","",IF($H321="","Open","Closed"))</f>
        <v/>
      </c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4" t="n"/>
      <c r="K322" s="21">
        <f>IF(OR($B322="",$I322=""),"",$I322-IF($J322="",0,$J322))</f>
        <v/>
      </c>
      <c r="L322" s="22">
        <f>IF(OR($B322="",$K322="",$E322=0,$F322=0),"",$K322/($E322*$F322))</f>
        <v/>
      </c>
      <c r="M322" s="27">
        <f>IF($B322="","",IF($H322="","Open","Closed"))</f>
        <v/>
      </c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4" t="n"/>
      <c r="K323" s="21">
        <f>IF(OR($B323="",$I323=""),"",$I323-IF($J323="",0,$J323))</f>
        <v/>
      </c>
      <c r="L323" s="22">
        <f>IF(OR($B323="",$K323="",$E323=0,$F323=0),"",$K323/($E323*$F323))</f>
        <v/>
      </c>
      <c r="M323" s="27">
        <f>IF($B323="","",IF($H323="","Open","Closed"))</f>
        <v/>
      </c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4" t="n"/>
      <c r="K324" s="21">
        <f>IF(OR($B324="",$I324=""),"",$I324-IF($J324="",0,$J324))</f>
        <v/>
      </c>
      <c r="L324" s="22">
        <f>IF(OR($B324="",$K324="",$E324=0,$F324=0),"",$K324/($E324*$F324))</f>
        <v/>
      </c>
      <c r="M324" s="27">
        <f>IF($B324="","",IF($H324="","Open","Closed"))</f>
        <v/>
      </c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4" t="n"/>
      <c r="K325" s="21">
        <f>IF(OR($B325="",$I325=""),"",$I325-IF($J325="",0,$J325))</f>
        <v/>
      </c>
      <c r="L325" s="22">
        <f>IF(OR($B325="",$K325="",$E325=0,$F325=0),"",$K325/($E325*$F325))</f>
        <v/>
      </c>
      <c r="M325" s="27">
        <f>IF($B325="","",IF($H325="","Open","Closed"))</f>
        <v/>
      </c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4" t="n"/>
      <c r="K326" s="21">
        <f>IF(OR($B326="",$I326=""),"",$I326-IF($J326="",0,$J326))</f>
        <v/>
      </c>
      <c r="L326" s="22">
        <f>IF(OR($B326="",$K326="",$E326=0,$F326=0),"",$K326/($E326*$F326))</f>
        <v/>
      </c>
      <c r="M326" s="27">
        <f>IF($B326="","",IF($H326="","Open","Closed"))</f>
        <v/>
      </c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4" t="n"/>
      <c r="K327" s="21">
        <f>IF(OR($B327="",$I327=""),"",$I327-IF($J327="",0,$J327))</f>
        <v/>
      </c>
      <c r="L327" s="22">
        <f>IF(OR($B327="",$K327="",$E327=0,$F327=0),"",$K327/($E327*$F327))</f>
        <v/>
      </c>
      <c r="M327" s="27">
        <f>IF($B327="","",IF($H327="","Open","Closed"))</f>
        <v/>
      </c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4" t="n"/>
      <c r="K328" s="21">
        <f>IF(OR($B328="",$I328=""),"",$I328-IF($J328="",0,$J328))</f>
        <v/>
      </c>
      <c r="L328" s="22">
        <f>IF(OR($B328="",$K328="",$E328=0,$F328=0),"",$K328/($E328*$F328))</f>
        <v/>
      </c>
      <c r="M328" s="27">
        <f>IF($B328="","",IF($H328="","Open","Closed"))</f>
        <v/>
      </c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4" t="n"/>
      <c r="K329" s="21">
        <f>IF(OR($B329="",$I329=""),"",$I329-IF($J329="",0,$J329))</f>
        <v/>
      </c>
      <c r="L329" s="22">
        <f>IF(OR($B329="",$K329="",$E329=0,$F329=0),"",$K329/($E329*$F329))</f>
        <v/>
      </c>
      <c r="M329" s="27">
        <f>IF($B329="","",IF($H329="","Open","Closed"))</f>
        <v/>
      </c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4" t="n"/>
      <c r="K330" s="21">
        <f>IF(OR($B330="",$I330=""),"",$I330-IF($J330="",0,$J330))</f>
        <v/>
      </c>
      <c r="L330" s="22">
        <f>IF(OR($B330="",$K330="",$E330=0,$F330=0),"",$K330/($E330*$F330))</f>
        <v/>
      </c>
      <c r="M330" s="27">
        <f>IF($B330="","",IF($H330="","Open","Closed"))</f>
        <v/>
      </c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4" t="n"/>
      <c r="K331" s="21">
        <f>IF(OR($B331="",$I331=""),"",$I331-IF($J331="",0,$J331))</f>
        <v/>
      </c>
      <c r="L331" s="22">
        <f>IF(OR($B331="",$K331="",$E331=0,$F331=0),"",$K331/($E331*$F331))</f>
        <v/>
      </c>
      <c r="M331" s="27">
        <f>IF($B331="","",IF($H331="","Open","Closed"))</f>
        <v/>
      </c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4" t="n"/>
      <c r="K332" s="21">
        <f>IF(OR($B332="",$I332=""),"",$I332-IF($J332="",0,$J332))</f>
        <v/>
      </c>
      <c r="L332" s="22">
        <f>IF(OR($B332="",$K332="",$E332=0,$F332=0),"",$K332/($E332*$F332))</f>
        <v/>
      </c>
      <c r="M332" s="27">
        <f>IF($B332="","",IF($H332="","Open","Closed"))</f>
        <v/>
      </c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4" t="n"/>
      <c r="K333" s="21">
        <f>IF(OR($B333="",$I333=""),"",$I333-IF($J333="",0,$J333))</f>
        <v/>
      </c>
      <c r="L333" s="22">
        <f>IF(OR($B333="",$K333="",$E333=0,$F333=0),"",$K333/($E333*$F333))</f>
        <v/>
      </c>
      <c r="M333" s="27">
        <f>IF($B333="","",IF($H333="","Open","Closed"))</f>
        <v/>
      </c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4" t="n"/>
      <c r="K334" s="21">
        <f>IF(OR($B334="",$I334=""),"",$I334-IF($J334="",0,$J334))</f>
        <v/>
      </c>
      <c r="L334" s="22">
        <f>IF(OR($B334="",$K334="",$E334=0,$F334=0),"",$K334/($E334*$F334))</f>
        <v/>
      </c>
      <c r="M334" s="27">
        <f>IF($B334="","",IF($H334="","Open","Closed"))</f>
        <v/>
      </c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4" t="n"/>
      <c r="K335" s="21">
        <f>IF(OR($B335="",$I335=""),"",$I335-IF($J335="",0,$J335))</f>
        <v/>
      </c>
      <c r="L335" s="22">
        <f>IF(OR($B335="",$K335="",$E335=0,$F335=0),"",$K335/($E335*$F335))</f>
        <v/>
      </c>
      <c r="M335" s="27">
        <f>IF($B335="","",IF($H335="","Open","Closed"))</f>
        <v/>
      </c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4" t="n"/>
      <c r="K336" s="21">
        <f>IF(OR($B336="",$I336=""),"",$I336-IF($J336="",0,$J336))</f>
        <v/>
      </c>
      <c r="L336" s="22">
        <f>IF(OR($B336="",$K336="",$E336=0,$F336=0),"",$K336/($E336*$F336))</f>
        <v/>
      </c>
      <c r="M336" s="27">
        <f>IF($B336="","",IF($H336="","Open","Closed"))</f>
        <v/>
      </c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4" t="n"/>
      <c r="K337" s="21">
        <f>IF(OR($B337="",$I337=""),"",$I337-IF($J337="",0,$J337))</f>
        <v/>
      </c>
      <c r="L337" s="22">
        <f>IF(OR($B337="",$K337="",$E337=0,$F337=0),"",$K337/($E337*$F337))</f>
        <v/>
      </c>
      <c r="M337" s="27">
        <f>IF($B337="","",IF($H337="","Open","Closed"))</f>
        <v/>
      </c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4" t="n"/>
      <c r="K338" s="21">
        <f>IF(OR($B338="",$I338=""),"",$I338-IF($J338="",0,$J338))</f>
        <v/>
      </c>
      <c r="L338" s="22">
        <f>IF(OR($B338="",$K338="",$E338=0,$F338=0),"",$K338/($E338*$F338))</f>
        <v/>
      </c>
      <c r="M338" s="27">
        <f>IF($B338="","",IF($H338="","Open","Closed"))</f>
        <v/>
      </c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4" t="n"/>
      <c r="K339" s="21">
        <f>IF(OR($B339="",$I339=""),"",$I339-IF($J339="",0,$J339))</f>
        <v/>
      </c>
      <c r="L339" s="22">
        <f>IF(OR($B339="",$K339="",$E339=0,$F339=0),"",$K339/($E339*$F339))</f>
        <v/>
      </c>
      <c r="M339" s="27">
        <f>IF($B339="","",IF($H339="","Open","Closed"))</f>
        <v/>
      </c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4" t="n"/>
      <c r="K340" s="21">
        <f>IF(OR($B340="",$I340=""),"",$I340-IF($J340="",0,$J340))</f>
        <v/>
      </c>
      <c r="L340" s="22">
        <f>IF(OR($B340="",$K340="",$E340=0,$F340=0),"",$K340/($E340*$F340))</f>
        <v/>
      </c>
      <c r="M340" s="27">
        <f>IF($B340="","",IF($H340="","Open","Closed"))</f>
        <v/>
      </c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4" t="n"/>
      <c r="K341" s="21">
        <f>IF(OR($B341="",$I341=""),"",$I341-IF($J341="",0,$J341))</f>
        <v/>
      </c>
      <c r="L341" s="22">
        <f>IF(OR($B341="",$K341="",$E341=0,$F341=0),"",$K341/($E341*$F341))</f>
        <v/>
      </c>
      <c r="M341" s="27">
        <f>IF($B341="","",IF($H341="","Open","Closed"))</f>
        <v/>
      </c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4" t="n"/>
      <c r="K342" s="21">
        <f>IF(OR($B342="",$I342=""),"",$I342-IF($J342="",0,$J342))</f>
        <v/>
      </c>
      <c r="L342" s="22">
        <f>IF(OR($B342="",$K342="",$E342=0,$F342=0),"",$K342/($E342*$F342))</f>
        <v/>
      </c>
      <c r="M342" s="27">
        <f>IF($B342="","",IF($H342="","Open","Closed"))</f>
        <v/>
      </c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4" t="n"/>
      <c r="K343" s="21">
        <f>IF(OR($B343="",$I343=""),"",$I343-IF($J343="",0,$J343))</f>
        <v/>
      </c>
      <c r="L343" s="22">
        <f>IF(OR($B343="",$K343="",$E343=0,$F343=0),"",$K343/($E343*$F343))</f>
        <v/>
      </c>
      <c r="M343" s="27">
        <f>IF($B343="","",IF($H343="","Open","Closed"))</f>
        <v/>
      </c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4" t="n"/>
      <c r="K344" s="21">
        <f>IF(OR($B344="",$I344=""),"",$I344-IF($J344="",0,$J344))</f>
        <v/>
      </c>
      <c r="L344" s="22">
        <f>IF(OR($B344="",$K344="",$E344=0,$F344=0),"",$K344/($E344*$F344))</f>
        <v/>
      </c>
      <c r="M344" s="27">
        <f>IF($B344="","",IF($H344="","Open","Closed"))</f>
        <v/>
      </c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4" t="n"/>
      <c r="K345" s="21">
        <f>IF(OR($B345="",$I345=""),"",$I345-IF($J345="",0,$J345))</f>
        <v/>
      </c>
      <c r="L345" s="22">
        <f>IF(OR($B345="",$K345="",$E345=0,$F345=0),"",$K345/($E345*$F345))</f>
        <v/>
      </c>
      <c r="M345" s="27">
        <f>IF($B345="","",IF($H345="","Open","Closed"))</f>
        <v/>
      </c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4" t="n"/>
      <c r="K346" s="21">
        <f>IF(OR($B346="",$I346=""),"",$I346-IF($J346="",0,$J346))</f>
        <v/>
      </c>
      <c r="L346" s="22">
        <f>IF(OR($B346="",$K346="",$E346=0,$F346=0),"",$K346/($E346*$F346))</f>
        <v/>
      </c>
      <c r="M346" s="27">
        <f>IF($B346="","",IF($H346="","Open","Closed"))</f>
        <v/>
      </c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4" t="n"/>
      <c r="K347" s="21">
        <f>IF(OR($B347="",$I347=""),"",$I347-IF($J347="",0,$J347))</f>
        <v/>
      </c>
      <c r="L347" s="22">
        <f>IF(OR($B347="",$K347="",$E347=0,$F347=0),"",$K347/($E347*$F347))</f>
        <v/>
      </c>
      <c r="M347" s="27">
        <f>IF($B347="","",IF($H347="","Open","Closed"))</f>
        <v/>
      </c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4" t="n"/>
      <c r="K348" s="21">
        <f>IF(OR($B348="",$I348=""),"",$I348-IF($J348="",0,$J348))</f>
        <v/>
      </c>
      <c r="L348" s="22">
        <f>IF(OR($B348="",$K348="",$E348=0,$F348=0),"",$K348/($E348*$F348))</f>
        <v/>
      </c>
      <c r="M348" s="27">
        <f>IF($B348="","",IF($H348="","Open","Closed"))</f>
        <v/>
      </c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4" t="n"/>
      <c r="K349" s="21">
        <f>IF(OR($B349="",$I349=""),"",$I349-IF($J349="",0,$J349))</f>
        <v/>
      </c>
      <c r="L349" s="22">
        <f>IF(OR($B349="",$K349="",$E349=0,$F349=0),"",$K349/($E349*$F349))</f>
        <v/>
      </c>
      <c r="M349" s="27">
        <f>IF($B349="","",IF($H349="","Open","Closed"))</f>
        <v/>
      </c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4" t="n"/>
      <c r="K350" s="21">
        <f>IF(OR($B350="",$I350=""),"",$I350-IF($J350="",0,$J350))</f>
        <v/>
      </c>
      <c r="L350" s="22">
        <f>IF(OR($B350="",$K350="",$E350=0,$F350=0),"",$K350/($E350*$F350))</f>
        <v/>
      </c>
      <c r="M350" s="27">
        <f>IF($B350="","",IF($H350="","Open","Closed"))</f>
        <v/>
      </c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4" t="n"/>
      <c r="K351" s="21">
        <f>IF(OR($B351="",$I351=""),"",$I351-IF($J351="",0,$J351))</f>
        <v/>
      </c>
      <c r="L351" s="22">
        <f>IF(OR($B351="",$K351="",$E351=0,$F351=0),"",$K351/($E351*$F351))</f>
        <v/>
      </c>
      <c r="M351" s="27">
        <f>IF($B351="","",IF($H351="","Open","Closed"))</f>
        <v/>
      </c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4" t="n"/>
      <c r="K352" s="21">
        <f>IF(OR($B352="",$I352=""),"",$I352-IF($J352="",0,$J352))</f>
        <v/>
      </c>
      <c r="L352" s="22">
        <f>IF(OR($B352="",$K352="",$E352=0,$F352=0),"",$K352/($E352*$F352))</f>
        <v/>
      </c>
      <c r="M352" s="27">
        <f>IF($B352="","",IF($H352="","Open","Closed"))</f>
        <v/>
      </c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4" t="n"/>
      <c r="K353" s="21">
        <f>IF(OR($B353="",$I353=""),"",$I353-IF($J353="",0,$J353))</f>
        <v/>
      </c>
      <c r="L353" s="22">
        <f>IF(OR($B353="",$K353="",$E353=0,$F353=0),"",$K353/($E353*$F353))</f>
        <v/>
      </c>
      <c r="M353" s="27">
        <f>IF($B353="","",IF($H353="","Open","Closed"))</f>
        <v/>
      </c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4" t="n"/>
      <c r="K354" s="21">
        <f>IF(OR($B354="",$I354=""),"",$I354-IF($J354="",0,$J354))</f>
        <v/>
      </c>
      <c r="L354" s="22">
        <f>IF(OR($B354="",$K354="",$E354=0,$F354=0),"",$K354/($E354*$F354))</f>
        <v/>
      </c>
      <c r="M354" s="27">
        <f>IF($B354="","",IF($H354="","Open","Closed"))</f>
        <v/>
      </c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4" t="n"/>
      <c r="K355" s="21">
        <f>IF(OR($B355="",$I355=""),"",$I355-IF($J355="",0,$J355))</f>
        <v/>
      </c>
      <c r="L355" s="22">
        <f>IF(OR($B355="",$K355="",$E355=0,$F355=0),"",$K355/($E355*$F355))</f>
        <v/>
      </c>
      <c r="M355" s="27">
        <f>IF($B355="","",IF($H355="","Open","Closed"))</f>
        <v/>
      </c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4" t="n"/>
      <c r="K356" s="21">
        <f>IF(OR($B356="",$I356=""),"",$I356-IF($J356="",0,$J356))</f>
        <v/>
      </c>
      <c r="L356" s="22">
        <f>IF(OR($B356="",$K356="",$E356=0,$F356=0),"",$K356/($E356*$F356))</f>
        <v/>
      </c>
      <c r="M356" s="27">
        <f>IF($B356="","",IF($H356="","Open","Closed"))</f>
        <v/>
      </c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4" t="n"/>
      <c r="K357" s="21">
        <f>IF(OR($B357="",$I357=""),"",$I357-IF($J357="",0,$J357))</f>
        <v/>
      </c>
      <c r="L357" s="22">
        <f>IF(OR($B357="",$K357="",$E357=0,$F357=0),"",$K357/($E357*$F357))</f>
        <v/>
      </c>
      <c r="M357" s="27">
        <f>IF($B357="","",IF($H357="","Open","Closed"))</f>
        <v/>
      </c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4" t="n"/>
      <c r="K358" s="21">
        <f>IF(OR($B358="",$I358=""),"",$I358-IF($J358="",0,$J358))</f>
        <v/>
      </c>
      <c r="L358" s="22">
        <f>IF(OR($B358="",$K358="",$E358=0,$F358=0),"",$K358/($E358*$F358))</f>
        <v/>
      </c>
      <c r="M358" s="27">
        <f>IF($B358="","",IF($H358="","Open","Closed"))</f>
        <v/>
      </c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4" t="n"/>
      <c r="K359" s="21">
        <f>IF(OR($B359="",$I359=""),"",$I359-IF($J359="",0,$J359))</f>
        <v/>
      </c>
      <c r="L359" s="22">
        <f>IF(OR($B359="",$K359="",$E359=0,$F359=0),"",$K359/($E359*$F359))</f>
        <v/>
      </c>
      <c r="M359" s="27">
        <f>IF($B359="","",IF($H359="","Open","Closed"))</f>
        <v/>
      </c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4" t="n"/>
      <c r="K360" s="21">
        <f>IF(OR($B360="",$I360=""),"",$I360-IF($J360="",0,$J360))</f>
        <v/>
      </c>
      <c r="L360" s="22">
        <f>IF(OR($B360="",$K360="",$E360=0,$F360=0),"",$K360/($E360*$F360))</f>
        <v/>
      </c>
      <c r="M360" s="27">
        <f>IF($B360="","",IF($H360="","Open","Closed"))</f>
        <v/>
      </c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4" t="n"/>
      <c r="K361" s="21">
        <f>IF(OR($B361="",$I361=""),"",$I361-IF($J361="",0,$J361))</f>
        <v/>
      </c>
      <c r="L361" s="22">
        <f>IF(OR($B361="",$K361="",$E361=0,$F361=0),"",$K361/($E361*$F361))</f>
        <v/>
      </c>
      <c r="M361" s="27">
        <f>IF($B361="","",IF($H361="","Open","Closed"))</f>
        <v/>
      </c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4" t="n"/>
      <c r="K362" s="21">
        <f>IF(OR($B362="",$I362=""),"",$I362-IF($J362="",0,$J362))</f>
        <v/>
      </c>
      <c r="L362" s="22">
        <f>IF(OR($B362="",$K362="",$E362=0,$F362=0),"",$K362/($E362*$F362))</f>
        <v/>
      </c>
      <c r="M362" s="27">
        <f>IF($B362="","",IF($H362="","Open","Closed"))</f>
        <v/>
      </c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4" t="n"/>
      <c r="K363" s="21">
        <f>IF(OR($B363="",$I363=""),"",$I363-IF($J363="",0,$J363))</f>
        <v/>
      </c>
      <c r="L363" s="22">
        <f>IF(OR($B363="",$K363="",$E363=0,$F363=0),"",$K363/($E363*$F363))</f>
        <v/>
      </c>
      <c r="M363" s="27">
        <f>IF($B363="","",IF($H363="","Open","Closed"))</f>
        <v/>
      </c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4" t="n"/>
      <c r="K364" s="21">
        <f>IF(OR($B364="",$I364=""),"",$I364-IF($J364="",0,$J364))</f>
        <v/>
      </c>
      <c r="L364" s="22">
        <f>IF(OR($B364="",$K364="",$E364=0,$F364=0),"",$K364/($E364*$F364))</f>
        <v/>
      </c>
      <c r="M364" s="27">
        <f>IF($B364="","",IF($H364="","Open","Closed"))</f>
        <v/>
      </c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4" t="n"/>
      <c r="K365" s="21">
        <f>IF(OR($B365="",$I365=""),"",$I365-IF($J365="",0,$J365))</f>
        <v/>
      </c>
      <c r="L365" s="22">
        <f>IF(OR($B365="",$K365="",$E365=0,$F365=0),"",$K365/($E365*$F365))</f>
        <v/>
      </c>
      <c r="M365" s="27">
        <f>IF($B365="","",IF($H365="","Open","Closed"))</f>
        <v/>
      </c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4" t="n"/>
      <c r="K366" s="21">
        <f>IF(OR($B366="",$I366=""),"",$I366-IF($J366="",0,$J366))</f>
        <v/>
      </c>
      <c r="L366" s="22">
        <f>IF(OR($B366="",$K366="",$E366=0,$F366=0),"",$K366/($E366*$F366))</f>
        <v/>
      </c>
      <c r="M366" s="27">
        <f>IF($B366="","",IF($H366="","Open","Closed"))</f>
        <v/>
      </c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4" t="n"/>
      <c r="K367" s="21">
        <f>IF(OR($B367="",$I367=""),"",$I367-IF($J367="",0,$J367))</f>
        <v/>
      </c>
      <c r="L367" s="22">
        <f>IF(OR($B367="",$K367="",$E367=0,$F367=0),"",$K367/($E367*$F367))</f>
        <v/>
      </c>
      <c r="M367" s="27">
        <f>IF($B367="","",IF($H367="","Open","Closed"))</f>
        <v/>
      </c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4" t="n"/>
      <c r="K368" s="21">
        <f>IF(OR($B368="",$I368=""),"",$I368-IF($J368="",0,$J368))</f>
        <v/>
      </c>
      <c r="L368" s="22">
        <f>IF(OR($B368="",$K368="",$E368=0,$F368=0),"",$K368/($E368*$F368))</f>
        <v/>
      </c>
      <c r="M368" s="27">
        <f>IF($B368="","",IF($H368="","Open","Closed"))</f>
        <v/>
      </c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4" t="n"/>
      <c r="K369" s="21">
        <f>IF(OR($B369="",$I369=""),"",$I369-IF($J369="",0,$J369))</f>
        <v/>
      </c>
      <c r="L369" s="22">
        <f>IF(OR($B369="",$K369="",$E369=0,$F369=0),"",$K369/($E369*$F369))</f>
        <v/>
      </c>
      <c r="M369" s="27">
        <f>IF($B369="","",IF($H369="","Open","Closed"))</f>
        <v/>
      </c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4" t="n"/>
      <c r="K370" s="21">
        <f>IF(OR($B370="",$I370=""),"",$I370-IF($J370="",0,$J370))</f>
        <v/>
      </c>
      <c r="L370" s="22">
        <f>IF(OR($B370="",$K370="",$E370=0,$F370=0),"",$K370/($E370*$F370))</f>
        <v/>
      </c>
      <c r="M370" s="27">
        <f>IF($B370="","",IF($H370="","Open","Closed"))</f>
        <v/>
      </c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4" t="n"/>
      <c r="K371" s="21">
        <f>IF(OR($B371="",$I371=""),"",$I371-IF($J371="",0,$J371))</f>
        <v/>
      </c>
      <c r="L371" s="22">
        <f>IF(OR($B371="",$K371="",$E371=0,$F371=0),"",$K371/($E371*$F371))</f>
        <v/>
      </c>
      <c r="M371" s="27">
        <f>IF($B371="","",IF($H371="","Open","Closed"))</f>
        <v/>
      </c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4" t="n"/>
      <c r="K372" s="21">
        <f>IF(OR($B372="",$I372=""),"",$I372-IF($J372="",0,$J372))</f>
        <v/>
      </c>
      <c r="L372" s="22">
        <f>IF(OR($B372="",$K372="",$E372=0,$F372=0),"",$K372/($E372*$F372))</f>
        <v/>
      </c>
      <c r="M372" s="27">
        <f>IF($B372="","",IF($H372="","Open","Closed"))</f>
        <v/>
      </c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4" t="n"/>
      <c r="K373" s="21">
        <f>IF(OR($B373="",$I373=""),"",$I373-IF($J373="",0,$J373))</f>
        <v/>
      </c>
      <c r="L373" s="22">
        <f>IF(OR($B373="",$K373="",$E373=0,$F373=0),"",$K373/($E373*$F373))</f>
        <v/>
      </c>
      <c r="M373" s="27">
        <f>IF($B373="","",IF($H373="","Open","Closed"))</f>
        <v/>
      </c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4" t="n"/>
      <c r="K374" s="21">
        <f>IF(OR($B374="",$I374=""),"",$I374-IF($J374="",0,$J374))</f>
        <v/>
      </c>
      <c r="L374" s="22">
        <f>IF(OR($B374="",$K374="",$E374=0,$F374=0),"",$K374/($E374*$F374))</f>
        <v/>
      </c>
      <c r="M374" s="27">
        <f>IF($B374="","",IF($H374="","Open","Closed"))</f>
        <v/>
      </c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4" t="n"/>
      <c r="K375" s="21">
        <f>IF(OR($B375="",$I375=""),"",$I375-IF($J375="",0,$J375))</f>
        <v/>
      </c>
      <c r="L375" s="22">
        <f>IF(OR($B375="",$K375="",$E375=0,$F375=0),"",$K375/($E375*$F375))</f>
        <v/>
      </c>
      <c r="M375" s="27">
        <f>IF($B375="","",IF($H375="","Open","Closed"))</f>
        <v/>
      </c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4" t="n"/>
      <c r="K376" s="21">
        <f>IF(OR($B376="",$I376=""),"",$I376-IF($J376="",0,$J376))</f>
        <v/>
      </c>
      <c r="L376" s="22">
        <f>IF(OR($B376="",$K376="",$E376=0,$F376=0),"",$K376/($E376*$F376))</f>
        <v/>
      </c>
      <c r="M376" s="27">
        <f>IF($B376="","",IF($H376="","Open","Closed"))</f>
        <v/>
      </c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4" t="n"/>
      <c r="K377" s="21">
        <f>IF(OR($B377="",$I377=""),"",$I377-IF($J377="",0,$J377))</f>
        <v/>
      </c>
      <c r="L377" s="22">
        <f>IF(OR($B377="",$K377="",$E377=0,$F377=0),"",$K377/($E377*$F377))</f>
        <v/>
      </c>
      <c r="M377" s="27">
        <f>IF($B377="","",IF($H377="","Open","Closed"))</f>
        <v/>
      </c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4" t="n"/>
      <c r="K378" s="21">
        <f>IF(OR($B378="",$I378=""),"",$I378-IF($J378="",0,$J378))</f>
        <v/>
      </c>
      <c r="L378" s="22">
        <f>IF(OR($B378="",$K378="",$E378=0,$F378=0),"",$K378/($E378*$F378))</f>
        <v/>
      </c>
      <c r="M378" s="27">
        <f>IF($B378="","",IF($H378="","Open","Closed"))</f>
        <v/>
      </c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4" t="n"/>
      <c r="K379" s="21">
        <f>IF(OR($B379="",$I379=""),"",$I379-IF($J379="",0,$J379))</f>
        <v/>
      </c>
      <c r="L379" s="22">
        <f>IF(OR($B379="",$K379="",$E379=0,$F379=0),"",$K379/($E379*$F379))</f>
        <v/>
      </c>
      <c r="M379" s="27">
        <f>IF($B379="","",IF($H379="","Open","Closed"))</f>
        <v/>
      </c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4" t="n"/>
      <c r="K380" s="21">
        <f>IF(OR($B380="",$I380=""),"",$I380-IF($J380="",0,$J380))</f>
        <v/>
      </c>
      <c r="L380" s="22">
        <f>IF(OR($B380="",$K380="",$E380=0,$F380=0),"",$K380/($E380*$F380))</f>
        <v/>
      </c>
      <c r="M380" s="27">
        <f>IF($B380="","",IF($H380="","Open","Closed"))</f>
        <v/>
      </c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4" t="n"/>
      <c r="K381" s="21">
        <f>IF(OR($B381="",$I381=""),"",$I381-IF($J381="",0,$J381))</f>
        <v/>
      </c>
      <c r="L381" s="22">
        <f>IF(OR($B381="",$K381="",$E381=0,$F381=0),"",$K381/($E381*$F381))</f>
        <v/>
      </c>
      <c r="M381" s="27">
        <f>IF($B381="","",IF($H381="","Open","Closed"))</f>
        <v/>
      </c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4" t="n"/>
      <c r="K382" s="21">
        <f>IF(OR($B382="",$I382=""),"",$I382-IF($J382="",0,$J382))</f>
        <v/>
      </c>
      <c r="L382" s="22">
        <f>IF(OR($B382="",$K382="",$E382=0,$F382=0),"",$K382/($E382*$F382))</f>
        <v/>
      </c>
      <c r="M382" s="27">
        <f>IF($B382="","",IF($H382="","Open","Closed"))</f>
        <v/>
      </c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4" t="n"/>
      <c r="K383" s="21">
        <f>IF(OR($B383="",$I383=""),"",$I383-IF($J383="",0,$J383))</f>
        <v/>
      </c>
      <c r="L383" s="22">
        <f>IF(OR($B383="",$K383="",$E383=0,$F383=0),"",$K383/($E383*$F383))</f>
        <v/>
      </c>
      <c r="M383" s="27">
        <f>IF($B383="","",IF($H383="","Open","Closed"))</f>
        <v/>
      </c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4" t="n"/>
      <c r="K384" s="21">
        <f>IF(OR($B384="",$I384=""),"",$I384-IF($J384="",0,$J384))</f>
        <v/>
      </c>
      <c r="L384" s="22">
        <f>IF(OR($B384="",$K384="",$E384=0,$F384=0),"",$K384/($E384*$F384))</f>
        <v/>
      </c>
      <c r="M384" s="27">
        <f>IF($B384="","",IF($H384="","Open","Closed"))</f>
        <v/>
      </c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4" t="n"/>
      <c r="K385" s="21">
        <f>IF(OR($B385="",$I385=""),"",$I385-IF($J385="",0,$J385))</f>
        <v/>
      </c>
      <c r="L385" s="22">
        <f>IF(OR($B385="",$K385="",$E385=0,$F385=0),"",$K385/($E385*$F385))</f>
        <v/>
      </c>
      <c r="M385" s="27">
        <f>IF($B385="","",IF($H385="","Open","Closed"))</f>
        <v/>
      </c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4" t="n"/>
      <c r="K386" s="21">
        <f>IF(OR($B386="",$I386=""),"",$I386-IF($J386="",0,$J386))</f>
        <v/>
      </c>
      <c r="L386" s="22">
        <f>IF(OR($B386="",$K386="",$E386=0,$F386=0),"",$K386/($E386*$F386))</f>
        <v/>
      </c>
      <c r="M386" s="27">
        <f>IF($B386="","",IF($H386="","Open","Closed"))</f>
        <v/>
      </c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4" t="n"/>
      <c r="K387" s="21">
        <f>IF(OR($B387="",$I387=""),"",$I387-IF($J387="",0,$J387))</f>
        <v/>
      </c>
      <c r="L387" s="22">
        <f>IF(OR($B387="",$K387="",$E387=0,$F387=0),"",$K387/($E387*$F387))</f>
        <v/>
      </c>
      <c r="M387" s="27">
        <f>IF($B387="","",IF($H387="","Open","Closed"))</f>
        <v/>
      </c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4" t="n"/>
      <c r="K388" s="21">
        <f>IF(OR($B388="",$I388=""),"",$I388-IF($J388="",0,$J388))</f>
        <v/>
      </c>
      <c r="L388" s="22">
        <f>IF(OR($B388="",$K388="",$E388=0,$F388=0),"",$K388/($E388*$F388))</f>
        <v/>
      </c>
      <c r="M388" s="27">
        <f>IF($B388="","",IF($H388="","Open","Closed"))</f>
        <v/>
      </c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4" t="n"/>
      <c r="K389" s="21">
        <f>IF(OR($B389="",$I389=""),"",$I389-IF($J389="",0,$J389))</f>
        <v/>
      </c>
      <c r="L389" s="22">
        <f>IF(OR($B389="",$K389="",$E389=0,$F389=0),"",$K389/($E389*$F389))</f>
        <v/>
      </c>
      <c r="M389" s="27">
        <f>IF($B389="","",IF($H389="","Open","Closed"))</f>
        <v/>
      </c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4" t="n"/>
      <c r="K390" s="21">
        <f>IF(OR($B390="",$I390=""),"",$I390-IF($J390="",0,$J390))</f>
        <v/>
      </c>
      <c r="L390" s="22">
        <f>IF(OR($B390="",$K390="",$E390=0,$F390=0),"",$K390/($E390*$F390))</f>
        <v/>
      </c>
      <c r="M390" s="27">
        <f>IF($B390="","",IF($H390="","Open","Closed"))</f>
        <v/>
      </c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4" t="n"/>
      <c r="K391" s="21">
        <f>IF(OR($B391="",$I391=""),"",$I391-IF($J391="",0,$J391))</f>
        <v/>
      </c>
      <c r="L391" s="22">
        <f>IF(OR($B391="",$K391="",$E391=0,$F391=0),"",$K391/($E391*$F391))</f>
        <v/>
      </c>
      <c r="M391" s="27">
        <f>IF($B391="","",IF($H391="","Open","Closed"))</f>
        <v/>
      </c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4" t="n"/>
      <c r="K392" s="21">
        <f>IF(OR($B392="",$I392=""),"",$I392-IF($J392="",0,$J392))</f>
        <v/>
      </c>
      <c r="L392" s="22">
        <f>IF(OR($B392="",$K392="",$E392=0,$F392=0),"",$K392/($E392*$F392))</f>
        <v/>
      </c>
      <c r="M392" s="27">
        <f>IF($B392="","",IF($H392="","Open","Closed"))</f>
        <v/>
      </c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4" t="n"/>
      <c r="K393" s="21">
        <f>IF(OR($B393="",$I393=""),"",$I393-IF($J393="",0,$J393))</f>
        <v/>
      </c>
      <c r="L393" s="22">
        <f>IF(OR($B393="",$K393="",$E393=0,$F393=0),"",$K393/($E393*$F393))</f>
        <v/>
      </c>
      <c r="M393" s="27">
        <f>IF($B393="","",IF($H393="","Open","Closed"))</f>
        <v/>
      </c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4" t="n"/>
      <c r="K394" s="21">
        <f>IF(OR($B394="",$I394=""),"",$I394-IF($J394="",0,$J394))</f>
        <v/>
      </c>
      <c r="L394" s="22">
        <f>IF(OR($B394="",$K394="",$E394=0,$F394=0),"",$K394/($E394*$F394))</f>
        <v/>
      </c>
      <c r="M394" s="27">
        <f>IF($B394="","",IF($H394="","Open","Closed"))</f>
        <v/>
      </c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4" t="n"/>
      <c r="K395" s="21">
        <f>IF(OR($B395="",$I395=""),"",$I395-IF($J395="",0,$J395))</f>
        <v/>
      </c>
      <c r="L395" s="22">
        <f>IF(OR($B395="",$K395="",$E395=0,$F395=0),"",$K395/($E395*$F395))</f>
        <v/>
      </c>
      <c r="M395" s="27">
        <f>IF($B395="","",IF($H395="","Open","Closed"))</f>
        <v/>
      </c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4" t="n"/>
      <c r="K396" s="21">
        <f>IF(OR($B396="",$I396=""),"",$I396-IF($J396="",0,$J396))</f>
        <v/>
      </c>
      <c r="L396" s="22">
        <f>IF(OR($B396="",$K396="",$E396=0,$F396=0),"",$K396/($E396*$F396))</f>
        <v/>
      </c>
      <c r="M396" s="27">
        <f>IF($B396="","",IF($H396="","Open","Closed"))</f>
        <v/>
      </c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4" t="n"/>
      <c r="K397" s="21">
        <f>IF(OR($B397="",$I397=""),"",$I397-IF($J397="",0,$J397))</f>
        <v/>
      </c>
      <c r="L397" s="22">
        <f>IF(OR($B397="",$K397="",$E397=0,$F397=0),"",$K397/($E397*$F397))</f>
        <v/>
      </c>
      <c r="M397" s="27">
        <f>IF($B397="","",IF($H397="","Open","Closed"))</f>
        <v/>
      </c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4" t="n"/>
      <c r="K398" s="21">
        <f>IF(OR($B398="",$I398=""),"",$I398-IF($J398="",0,$J398))</f>
        <v/>
      </c>
      <c r="L398" s="22">
        <f>IF(OR($B398="",$K398="",$E398=0,$F398=0),"",$K398/($E398*$F398))</f>
        <v/>
      </c>
      <c r="M398" s="27">
        <f>IF($B398="","",IF($H398="","Open","Closed"))</f>
        <v/>
      </c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4" t="n"/>
      <c r="K399" s="21">
        <f>IF(OR($B399="",$I399=""),"",$I399-IF($J399="",0,$J399))</f>
        <v/>
      </c>
      <c r="L399" s="22">
        <f>IF(OR($B399="",$K399="",$E399=0,$F399=0),"",$K399/($E399*$F399))</f>
        <v/>
      </c>
      <c r="M399" s="27">
        <f>IF($B399="","",IF($H399="","Open","Closed"))</f>
        <v/>
      </c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4" t="n"/>
      <c r="K400" s="21">
        <f>IF(OR($B400="",$I400=""),"",$I400-IF($J400="",0,$J400))</f>
        <v/>
      </c>
      <c r="L400" s="22">
        <f>IF(OR($B400="",$K400="",$E400=0,$F400=0),"",$K400/($E400*$F400))</f>
        <v/>
      </c>
      <c r="M400" s="27">
        <f>IF($B400="","",IF($H400="","Open","Closed"))</f>
        <v/>
      </c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4" t="n"/>
      <c r="K401" s="21">
        <f>IF(OR($B401="",$I401=""),"",$I401-IF($J401="",0,$J401))</f>
        <v/>
      </c>
      <c r="L401" s="22">
        <f>IF(OR($B401="",$K401="",$E401=0,$F401=0),"",$K401/($E401*$F401))</f>
        <v/>
      </c>
      <c r="M401" s="27">
        <f>IF($B401="","",IF($H401="","Open","Closed"))</f>
        <v/>
      </c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4" t="n"/>
      <c r="K402" s="21">
        <f>IF(OR($B402="",$I402=""),"",$I402-IF($J402="",0,$J402))</f>
        <v/>
      </c>
      <c r="L402" s="22">
        <f>IF(OR($B402="",$K402="",$E402=0,$F402=0),"",$K402/($E402*$F402))</f>
        <v/>
      </c>
      <c r="M402" s="27">
        <f>IF($B402="","",IF($H402="","Open","Closed"))</f>
        <v/>
      </c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4" t="n"/>
      <c r="K403" s="21">
        <f>IF(OR($B403="",$I403=""),"",$I403-IF($J403="",0,$J403))</f>
        <v/>
      </c>
      <c r="L403" s="22">
        <f>IF(OR($B403="",$K403="",$E403=0,$F403=0),"",$K403/($E403*$F403))</f>
        <v/>
      </c>
      <c r="M403" s="27">
        <f>IF($B403="","",IF($H403="","Open","Closed"))</f>
        <v/>
      </c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4" t="n"/>
      <c r="K404" s="21">
        <f>IF(OR($B404="",$I404=""),"",$I404-IF($J404="",0,$J404))</f>
        <v/>
      </c>
      <c r="L404" s="22">
        <f>IF(OR($B404="",$K404="",$E404=0,$F404=0),"",$K404/($E404*$F404))</f>
        <v/>
      </c>
      <c r="M404" s="27">
        <f>IF($B404="","",IF($H404="","Open","Closed"))</f>
        <v/>
      </c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4" t="n"/>
      <c r="K405" s="21">
        <f>IF(OR($B405="",$I405=""),"",$I405-IF($J405="",0,$J405))</f>
        <v/>
      </c>
      <c r="L405" s="22">
        <f>IF(OR($B405="",$K405="",$E405=0,$F405=0),"",$K405/($E405*$F405))</f>
        <v/>
      </c>
      <c r="M405" s="27">
        <f>IF($B405="","",IF($H405="","Open","Closed"))</f>
        <v/>
      </c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4" t="n"/>
      <c r="K406" s="21">
        <f>IF(OR($B406="",$I406=""),"",$I406-IF($J406="",0,$J406))</f>
        <v/>
      </c>
      <c r="L406" s="22">
        <f>IF(OR($B406="",$K406="",$E406=0,$F406=0),"",$K406/($E406*$F406))</f>
        <v/>
      </c>
      <c r="M406" s="27">
        <f>IF($B406="","",IF($H406="","Open","Closed"))</f>
        <v/>
      </c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4" t="n"/>
      <c r="K407" s="21">
        <f>IF(OR($B407="",$I407=""),"",$I407-IF($J407="",0,$J407))</f>
        <v/>
      </c>
      <c r="L407" s="22">
        <f>IF(OR($B407="",$K407="",$E407=0,$F407=0),"",$K407/($E407*$F407))</f>
        <v/>
      </c>
      <c r="M407" s="27">
        <f>IF($B407="","",IF($H407="","Open","Closed"))</f>
        <v/>
      </c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4" t="n"/>
      <c r="K408" s="21">
        <f>IF(OR($B408="",$I408=""),"",$I408-IF($J408="",0,$J408))</f>
        <v/>
      </c>
      <c r="L408" s="22">
        <f>IF(OR($B408="",$K408="",$E408=0,$F408=0),"",$K408/($E408*$F408))</f>
        <v/>
      </c>
      <c r="M408" s="27">
        <f>IF($B408="","",IF($H408="","Open","Closed"))</f>
        <v/>
      </c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4" t="n"/>
      <c r="K409" s="21">
        <f>IF(OR($B409="",$I409=""),"",$I409-IF($J409="",0,$J409))</f>
        <v/>
      </c>
      <c r="L409" s="22">
        <f>IF(OR($B409="",$K409="",$E409=0,$F409=0),"",$K409/($E409*$F409))</f>
        <v/>
      </c>
      <c r="M409" s="27">
        <f>IF($B409="","",IF($H409="","Open","Closed"))</f>
        <v/>
      </c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4" t="n"/>
      <c r="K410" s="21">
        <f>IF(OR($B410="",$I410=""),"",$I410-IF($J410="",0,$J410))</f>
        <v/>
      </c>
      <c r="L410" s="22">
        <f>IF(OR($B410="",$K410="",$E410=0,$F410=0),"",$K410/($E410*$F410))</f>
        <v/>
      </c>
      <c r="M410" s="27">
        <f>IF($B410="","",IF($H410="","Open","Closed"))</f>
        <v/>
      </c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4" t="n"/>
      <c r="K411" s="21">
        <f>IF(OR($B411="",$I411=""),"",$I411-IF($J411="",0,$J411))</f>
        <v/>
      </c>
      <c r="L411" s="22">
        <f>IF(OR($B411="",$K411="",$E411=0,$F411=0),"",$K411/($E411*$F411))</f>
        <v/>
      </c>
      <c r="M411" s="27">
        <f>IF($B411="","",IF($H411="","Open","Closed"))</f>
        <v/>
      </c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4" t="n"/>
      <c r="K412" s="21">
        <f>IF(OR($B412="",$I412=""),"",$I412-IF($J412="",0,$J412))</f>
        <v/>
      </c>
      <c r="L412" s="22">
        <f>IF(OR($B412="",$K412="",$E412=0,$F412=0),"",$K412/($E412*$F412))</f>
        <v/>
      </c>
      <c r="M412" s="27">
        <f>IF($B412="","",IF($H412="","Open","Closed"))</f>
        <v/>
      </c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4" t="n"/>
      <c r="K413" s="21">
        <f>IF(OR($B413="",$I413=""),"",$I413-IF($J413="",0,$J413))</f>
        <v/>
      </c>
      <c r="L413" s="22">
        <f>IF(OR($B413="",$K413="",$E413=0,$F413=0),"",$K413/($E413*$F413))</f>
        <v/>
      </c>
      <c r="M413" s="27">
        <f>IF($B413="","",IF($H413="","Open","Closed"))</f>
        <v/>
      </c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4" t="n"/>
      <c r="K414" s="21">
        <f>IF(OR($B414="",$I414=""),"",$I414-IF($J414="",0,$J414))</f>
        <v/>
      </c>
      <c r="L414" s="22">
        <f>IF(OR($B414="",$K414="",$E414=0,$F414=0),"",$K414/($E414*$F414))</f>
        <v/>
      </c>
      <c r="M414" s="27">
        <f>IF($B414="","",IF($H414="","Open","Closed"))</f>
        <v/>
      </c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4" t="n"/>
      <c r="K415" s="21">
        <f>IF(OR($B415="",$I415=""),"",$I415-IF($J415="",0,$J415))</f>
        <v/>
      </c>
      <c r="L415" s="22">
        <f>IF(OR($B415="",$K415="",$E415=0,$F415=0),"",$K415/($E415*$F415))</f>
        <v/>
      </c>
      <c r="M415" s="27">
        <f>IF($B415="","",IF($H415="","Open","Closed"))</f>
        <v/>
      </c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4" t="n"/>
      <c r="K416" s="21">
        <f>IF(OR($B416="",$I416=""),"",$I416-IF($J416="",0,$J416))</f>
        <v/>
      </c>
      <c r="L416" s="22">
        <f>IF(OR($B416="",$K416="",$E416=0,$F416=0),"",$K416/($E416*$F416))</f>
        <v/>
      </c>
      <c r="M416" s="27">
        <f>IF($B416="","",IF($H416="","Open","Closed"))</f>
        <v/>
      </c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4" t="n"/>
      <c r="K417" s="21">
        <f>IF(OR($B417="",$I417=""),"",$I417-IF($J417="",0,$J417))</f>
        <v/>
      </c>
      <c r="L417" s="22">
        <f>IF(OR($B417="",$K417="",$E417=0,$F417=0),"",$K417/($E417*$F417))</f>
        <v/>
      </c>
      <c r="M417" s="27">
        <f>IF($B417="","",IF($H417="","Open","Closed"))</f>
        <v/>
      </c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4" t="n"/>
      <c r="K418" s="21">
        <f>IF(OR($B418="",$I418=""),"",$I418-IF($J418="",0,$J418))</f>
        <v/>
      </c>
      <c r="L418" s="22">
        <f>IF(OR($B418="",$K418="",$E418=0,$F418=0),"",$K418/($E418*$F418))</f>
        <v/>
      </c>
      <c r="M418" s="27">
        <f>IF($B418="","",IF($H418="","Open","Closed"))</f>
        <v/>
      </c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4" t="n"/>
      <c r="K419" s="21">
        <f>IF(OR($B419="",$I419=""),"",$I419-IF($J419="",0,$J419))</f>
        <v/>
      </c>
      <c r="L419" s="22">
        <f>IF(OR($B419="",$K419="",$E419=0,$F419=0),"",$K419/($E419*$F419))</f>
        <v/>
      </c>
      <c r="M419" s="27">
        <f>IF($B419="","",IF($H419="","Open","Closed"))</f>
        <v/>
      </c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4" t="n"/>
      <c r="K420" s="21">
        <f>IF(OR($B420="",$I420=""),"",$I420-IF($J420="",0,$J420))</f>
        <v/>
      </c>
      <c r="L420" s="22">
        <f>IF(OR($B420="",$K420="",$E420=0,$F420=0),"",$K420/($E420*$F420))</f>
        <v/>
      </c>
      <c r="M420" s="27">
        <f>IF($B420="","",IF($H420="","Open","Closed"))</f>
        <v/>
      </c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4" t="n"/>
      <c r="K421" s="21">
        <f>IF(OR($B421="",$I421=""),"",$I421-IF($J421="",0,$J421))</f>
        <v/>
      </c>
      <c r="L421" s="22">
        <f>IF(OR($B421="",$K421="",$E421=0,$F421=0),"",$K421/($E421*$F421))</f>
        <v/>
      </c>
      <c r="M421" s="27">
        <f>IF($B421="","",IF($H421="","Open","Closed"))</f>
        <v/>
      </c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4" t="n"/>
      <c r="K422" s="21">
        <f>IF(OR($B422="",$I422=""),"",$I422-IF($J422="",0,$J422))</f>
        <v/>
      </c>
      <c r="L422" s="22">
        <f>IF(OR($B422="",$K422="",$E422=0,$F422=0),"",$K422/($E422*$F422))</f>
        <v/>
      </c>
      <c r="M422" s="27">
        <f>IF($B422="","",IF($H422="","Open","Closed"))</f>
        <v/>
      </c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4" t="n"/>
      <c r="K423" s="21">
        <f>IF(OR($B423="",$I423=""),"",$I423-IF($J423="",0,$J423))</f>
        <v/>
      </c>
      <c r="L423" s="22">
        <f>IF(OR($B423="",$K423="",$E423=0,$F423=0),"",$K423/($E423*$F423))</f>
        <v/>
      </c>
      <c r="M423" s="27">
        <f>IF($B423="","",IF($H423="","Open","Closed"))</f>
        <v/>
      </c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4" t="n"/>
      <c r="K424" s="21">
        <f>IF(OR($B424="",$I424=""),"",$I424-IF($J424="",0,$J424))</f>
        <v/>
      </c>
      <c r="L424" s="22">
        <f>IF(OR($B424="",$K424="",$E424=0,$F424=0),"",$K424/($E424*$F424))</f>
        <v/>
      </c>
      <c r="M424" s="27">
        <f>IF($B424="","",IF($H424="","Open","Closed"))</f>
        <v/>
      </c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4" t="n"/>
      <c r="K425" s="21">
        <f>IF(OR($B425="",$I425=""),"",$I425-IF($J425="",0,$J425))</f>
        <v/>
      </c>
      <c r="L425" s="22">
        <f>IF(OR($B425="",$K425="",$E425=0,$F425=0),"",$K425/($E425*$F425))</f>
        <v/>
      </c>
      <c r="M425" s="27">
        <f>IF($B425="","",IF($H425="","Open","Closed"))</f>
        <v/>
      </c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4" t="n"/>
      <c r="K426" s="21">
        <f>IF(OR($B426="",$I426=""),"",$I426-IF($J426="",0,$J426))</f>
        <v/>
      </c>
      <c r="L426" s="22">
        <f>IF(OR($B426="",$K426="",$E426=0,$F426=0),"",$K426/($E426*$F426))</f>
        <v/>
      </c>
      <c r="M426" s="27">
        <f>IF($B426="","",IF($H426="","Open","Closed"))</f>
        <v/>
      </c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4" t="n"/>
      <c r="K427" s="21">
        <f>IF(OR($B427="",$I427=""),"",$I427-IF($J427="",0,$J427))</f>
        <v/>
      </c>
      <c r="L427" s="22">
        <f>IF(OR($B427="",$K427="",$E427=0,$F427=0),"",$K427/($E427*$F427))</f>
        <v/>
      </c>
      <c r="M427" s="27">
        <f>IF($B427="","",IF($H427="","Open","Closed"))</f>
        <v/>
      </c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4" t="n"/>
      <c r="K428" s="21">
        <f>IF(OR($B428="",$I428=""),"",$I428-IF($J428="",0,$J428))</f>
        <v/>
      </c>
      <c r="L428" s="22">
        <f>IF(OR($B428="",$K428="",$E428=0,$F428=0),"",$K428/($E428*$F428))</f>
        <v/>
      </c>
      <c r="M428" s="27">
        <f>IF($B428="","",IF($H428="","Open","Closed"))</f>
        <v/>
      </c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4" t="n"/>
      <c r="K429" s="21">
        <f>IF(OR($B429="",$I429=""),"",$I429-IF($J429="",0,$J429))</f>
        <v/>
      </c>
      <c r="L429" s="22">
        <f>IF(OR($B429="",$K429="",$E429=0,$F429=0),"",$K429/($E429*$F429))</f>
        <v/>
      </c>
      <c r="M429" s="27">
        <f>IF($B429="","",IF($H429="","Open","Closed"))</f>
        <v/>
      </c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4" t="n"/>
      <c r="K430" s="21">
        <f>IF(OR($B430="",$I430=""),"",$I430-IF($J430="",0,$J430))</f>
        <v/>
      </c>
      <c r="L430" s="22">
        <f>IF(OR($B430="",$K430="",$E430=0,$F430=0),"",$K430/($E430*$F430))</f>
        <v/>
      </c>
      <c r="M430" s="27">
        <f>IF($B430="","",IF($H430="","Open","Closed"))</f>
        <v/>
      </c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4" t="n"/>
      <c r="K431" s="21">
        <f>IF(OR($B431="",$I431=""),"",$I431-IF($J431="",0,$J431))</f>
        <v/>
      </c>
      <c r="L431" s="22">
        <f>IF(OR($B431="",$K431="",$E431=0,$F431=0),"",$K431/($E431*$F431))</f>
        <v/>
      </c>
      <c r="M431" s="27">
        <f>IF($B431="","",IF($H431="","Open","Closed"))</f>
        <v/>
      </c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4" t="n"/>
      <c r="K432" s="21">
        <f>IF(OR($B432="",$I432=""),"",$I432-IF($J432="",0,$J432))</f>
        <v/>
      </c>
      <c r="L432" s="22">
        <f>IF(OR($B432="",$K432="",$E432=0,$F432=0),"",$K432/($E432*$F432))</f>
        <v/>
      </c>
      <c r="M432" s="27">
        <f>IF($B432="","",IF($H432="","Open","Closed"))</f>
        <v/>
      </c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4" t="n"/>
      <c r="K433" s="21">
        <f>IF(OR($B433="",$I433=""),"",$I433-IF($J433="",0,$J433))</f>
        <v/>
      </c>
      <c r="L433" s="22">
        <f>IF(OR($B433="",$K433="",$E433=0,$F433=0),"",$K433/($E433*$F433))</f>
        <v/>
      </c>
      <c r="M433" s="27">
        <f>IF($B433="","",IF($H433="","Open","Closed"))</f>
        <v/>
      </c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4" t="n"/>
      <c r="K434" s="21">
        <f>IF(OR($B434="",$I434=""),"",$I434-IF($J434="",0,$J434))</f>
        <v/>
      </c>
      <c r="L434" s="22">
        <f>IF(OR($B434="",$K434="",$E434=0,$F434=0),"",$K434/($E434*$F434))</f>
        <v/>
      </c>
      <c r="M434" s="27">
        <f>IF($B434="","",IF($H434="","Open","Closed"))</f>
        <v/>
      </c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4" t="n"/>
      <c r="K435" s="21">
        <f>IF(OR($B435="",$I435=""),"",$I435-IF($J435="",0,$J435))</f>
        <v/>
      </c>
      <c r="L435" s="22">
        <f>IF(OR($B435="",$K435="",$E435=0,$F435=0),"",$K435/($E435*$F435))</f>
        <v/>
      </c>
      <c r="M435" s="27">
        <f>IF($B435="","",IF($H435="","Open","Closed"))</f>
        <v/>
      </c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4" t="n"/>
      <c r="K436" s="21">
        <f>IF(OR($B436="",$I436=""),"",$I436-IF($J436="",0,$J436))</f>
        <v/>
      </c>
      <c r="L436" s="22">
        <f>IF(OR($B436="",$K436="",$E436=0,$F436=0),"",$K436/($E436*$F436))</f>
        <v/>
      </c>
      <c r="M436" s="27">
        <f>IF($B436="","",IF($H436="","Open","Closed"))</f>
        <v/>
      </c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4" t="n"/>
      <c r="K437" s="21">
        <f>IF(OR($B437="",$I437=""),"",$I437-IF($J437="",0,$J437))</f>
        <v/>
      </c>
      <c r="L437" s="22">
        <f>IF(OR($B437="",$K437="",$E437=0,$F437=0),"",$K437/($E437*$F437))</f>
        <v/>
      </c>
      <c r="M437" s="27">
        <f>IF($B437="","",IF($H437="","Open","Closed"))</f>
        <v/>
      </c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4" t="n"/>
      <c r="K438" s="21">
        <f>IF(OR($B438="",$I438=""),"",$I438-IF($J438="",0,$J438))</f>
        <v/>
      </c>
      <c r="L438" s="22">
        <f>IF(OR($B438="",$K438="",$E438=0,$F438=0),"",$K438/($E438*$F438))</f>
        <v/>
      </c>
      <c r="M438" s="27">
        <f>IF($B438="","",IF($H438="","Open","Closed"))</f>
        <v/>
      </c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4" t="n"/>
      <c r="K439" s="21">
        <f>IF(OR($B439="",$I439=""),"",$I439-IF($J439="",0,$J439))</f>
        <v/>
      </c>
      <c r="L439" s="22">
        <f>IF(OR($B439="",$K439="",$E439=0,$F439=0),"",$K439/($E439*$F439))</f>
        <v/>
      </c>
      <c r="M439" s="27">
        <f>IF($B439="","",IF($H439="","Open","Closed"))</f>
        <v/>
      </c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4" t="n"/>
      <c r="K440" s="21">
        <f>IF(OR($B440="",$I440=""),"",$I440-IF($J440="",0,$J440))</f>
        <v/>
      </c>
      <c r="L440" s="22">
        <f>IF(OR($B440="",$K440="",$E440=0,$F440=0),"",$K440/($E440*$F440))</f>
        <v/>
      </c>
      <c r="M440" s="27">
        <f>IF($B440="","",IF($H440="","Open","Closed"))</f>
        <v/>
      </c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4" t="n"/>
      <c r="K441" s="21">
        <f>IF(OR($B441="",$I441=""),"",$I441-IF($J441="",0,$J441))</f>
        <v/>
      </c>
      <c r="L441" s="22">
        <f>IF(OR($B441="",$K441="",$E441=0,$F441=0),"",$K441/($E441*$F441))</f>
        <v/>
      </c>
      <c r="M441" s="27">
        <f>IF($B441="","",IF($H441="","Open","Closed"))</f>
        <v/>
      </c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4" t="n"/>
      <c r="K442" s="21">
        <f>IF(OR($B442="",$I442=""),"",$I442-IF($J442="",0,$J442))</f>
        <v/>
      </c>
      <c r="L442" s="22">
        <f>IF(OR($B442="",$K442="",$E442=0,$F442=0),"",$K442/($E442*$F442))</f>
        <v/>
      </c>
      <c r="M442" s="27">
        <f>IF($B442="","",IF($H442="","Open","Closed"))</f>
        <v/>
      </c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4" t="n"/>
      <c r="K443" s="21">
        <f>IF(OR($B443="",$I443=""),"",$I443-IF($J443="",0,$J443))</f>
        <v/>
      </c>
      <c r="L443" s="22">
        <f>IF(OR($B443="",$K443="",$E443=0,$F443=0),"",$K443/($E443*$F443))</f>
        <v/>
      </c>
      <c r="M443" s="27">
        <f>IF($B443="","",IF($H443="","Open","Closed"))</f>
        <v/>
      </c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4" t="n"/>
      <c r="K444" s="21">
        <f>IF(OR($B444="",$I444=""),"",$I444-IF($J444="",0,$J444))</f>
        <v/>
      </c>
      <c r="L444" s="22">
        <f>IF(OR($B444="",$K444="",$E444=0,$F444=0),"",$K444/($E444*$F444))</f>
        <v/>
      </c>
      <c r="M444" s="27">
        <f>IF($B444="","",IF($H444="","Open","Closed"))</f>
        <v/>
      </c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4" t="n"/>
      <c r="K445" s="21">
        <f>IF(OR($B445="",$I445=""),"",$I445-IF($J445="",0,$J445))</f>
        <v/>
      </c>
      <c r="L445" s="22">
        <f>IF(OR($B445="",$K445="",$E445=0,$F445=0),"",$K445/($E445*$F445))</f>
        <v/>
      </c>
      <c r="M445" s="27">
        <f>IF($B445="","",IF($H445="","Open","Closed"))</f>
        <v/>
      </c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4" t="n"/>
      <c r="K446" s="21">
        <f>IF(OR($B446="",$I446=""),"",$I446-IF($J446="",0,$J446))</f>
        <v/>
      </c>
      <c r="L446" s="22">
        <f>IF(OR($B446="",$K446="",$E446=0,$F446=0),"",$K446/($E446*$F446))</f>
        <v/>
      </c>
      <c r="M446" s="27">
        <f>IF($B446="","",IF($H446="","Open","Closed"))</f>
        <v/>
      </c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4" t="n"/>
      <c r="K447" s="21">
        <f>IF(OR($B447="",$I447=""),"",$I447-IF($J447="",0,$J447))</f>
        <v/>
      </c>
      <c r="L447" s="22">
        <f>IF(OR($B447="",$K447="",$E447=0,$F447=0),"",$K447/($E447*$F447))</f>
        <v/>
      </c>
      <c r="M447" s="27">
        <f>IF($B447="","",IF($H447="","Open","Closed"))</f>
        <v/>
      </c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4" t="n"/>
      <c r="K448" s="21">
        <f>IF(OR($B448="",$I448=""),"",$I448-IF($J448="",0,$J448))</f>
        <v/>
      </c>
      <c r="L448" s="22">
        <f>IF(OR($B448="",$K448="",$E448=0,$F448=0),"",$K448/($E448*$F448))</f>
        <v/>
      </c>
      <c r="M448" s="27">
        <f>IF($B448="","",IF($H448="","Open","Closed"))</f>
        <v/>
      </c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4" t="n"/>
      <c r="K449" s="21">
        <f>IF(OR($B449="",$I449=""),"",$I449-IF($J449="",0,$J449))</f>
        <v/>
      </c>
      <c r="L449" s="22">
        <f>IF(OR($B449="",$K449="",$E449=0,$F449=0),"",$K449/($E449*$F449))</f>
        <v/>
      </c>
      <c r="M449" s="27">
        <f>IF($B449="","",IF($H449="","Open","Closed"))</f>
        <v/>
      </c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4" t="n"/>
      <c r="K450" s="21">
        <f>IF(OR($B450="",$I450=""),"",$I450-IF($J450="",0,$J450))</f>
        <v/>
      </c>
      <c r="L450" s="22">
        <f>IF(OR($B450="",$K450="",$E450=0,$F450=0),"",$K450/($E450*$F450))</f>
        <v/>
      </c>
      <c r="M450" s="27">
        <f>IF($B450="","",IF($H450="","Open","Closed"))</f>
        <v/>
      </c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4" t="n"/>
      <c r="K451" s="21">
        <f>IF(OR($B451="",$I451=""),"",$I451-IF($J451="",0,$J451))</f>
        <v/>
      </c>
      <c r="L451" s="22">
        <f>IF(OR($B451="",$K451="",$E451=0,$F451=0),"",$K451/($E451*$F451))</f>
        <v/>
      </c>
      <c r="M451" s="27">
        <f>IF($B451="","",IF($H451="","Open","Closed"))</f>
        <v/>
      </c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4" t="n"/>
      <c r="K452" s="21">
        <f>IF(OR($B452="",$I452=""),"",$I452-IF($J452="",0,$J452))</f>
        <v/>
      </c>
      <c r="L452" s="22">
        <f>IF(OR($B452="",$K452="",$E452=0,$F452=0),"",$K452/($E452*$F452))</f>
        <v/>
      </c>
      <c r="M452" s="27">
        <f>IF($B452="","",IF($H452="","Open","Closed"))</f>
        <v/>
      </c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4" t="n"/>
      <c r="K453" s="21">
        <f>IF(OR($B453="",$I453=""),"",$I453-IF($J453="",0,$J453))</f>
        <v/>
      </c>
      <c r="L453" s="22">
        <f>IF(OR($B453="",$K453="",$E453=0,$F453=0),"",$K453/($E453*$F453))</f>
        <v/>
      </c>
      <c r="M453" s="27">
        <f>IF($B453="","",IF($H453="","Open","Closed"))</f>
        <v/>
      </c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4" t="n"/>
      <c r="K454" s="21">
        <f>IF(OR($B454="",$I454=""),"",$I454-IF($J454="",0,$J454))</f>
        <v/>
      </c>
      <c r="L454" s="22">
        <f>IF(OR($B454="",$K454="",$E454=0,$F454=0),"",$K454/($E454*$F454))</f>
        <v/>
      </c>
      <c r="M454" s="27">
        <f>IF($B454="","",IF($H454="","Open","Closed"))</f>
        <v/>
      </c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4" t="n"/>
      <c r="K455" s="21">
        <f>IF(OR($B455="",$I455=""),"",$I455-IF($J455="",0,$J455))</f>
        <v/>
      </c>
      <c r="L455" s="22">
        <f>IF(OR($B455="",$K455="",$E455=0,$F455=0),"",$K455/($E455*$F455))</f>
        <v/>
      </c>
      <c r="M455" s="27">
        <f>IF($B455="","",IF($H455="","Open","Closed"))</f>
        <v/>
      </c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4" t="n"/>
      <c r="K456" s="21">
        <f>IF(OR($B456="",$I456=""),"",$I456-IF($J456="",0,$J456))</f>
        <v/>
      </c>
      <c r="L456" s="22">
        <f>IF(OR($B456="",$K456="",$E456=0,$F456=0),"",$K456/($E456*$F456))</f>
        <v/>
      </c>
      <c r="M456" s="27">
        <f>IF($B456="","",IF($H456="","Open","Closed"))</f>
        <v/>
      </c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4" t="n"/>
      <c r="K457" s="21">
        <f>IF(OR($B457="",$I457=""),"",$I457-IF($J457="",0,$J457))</f>
        <v/>
      </c>
      <c r="L457" s="22">
        <f>IF(OR($B457="",$K457="",$E457=0,$F457=0),"",$K457/($E457*$F457))</f>
        <v/>
      </c>
      <c r="M457" s="27">
        <f>IF($B457="","",IF($H457="","Open","Closed"))</f>
        <v/>
      </c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4" t="n"/>
      <c r="K458" s="21">
        <f>IF(OR($B458="",$I458=""),"",$I458-IF($J458="",0,$J458))</f>
        <v/>
      </c>
      <c r="L458" s="22">
        <f>IF(OR($B458="",$K458="",$E458=0,$F458=0),"",$K458/($E458*$F458))</f>
        <v/>
      </c>
      <c r="M458" s="27">
        <f>IF($B458="","",IF($H458="","Open","Closed"))</f>
        <v/>
      </c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4" t="n"/>
      <c r="K459" s="21">
        <f>IF(OR($B459="",$I459=""),"",$I459-IF($J459="",0,$J459))</f>
        <v/>
      </c>
      <c r="L459" s="22">
        <f>IF(OR($B459="",$K459="",$E459=0,$F459=0),"",$K459/($E459*$F459))</f>
        <v/>
      </c>
      <c r="M459" s="27">
        <f>IF($B459="","",IF($H459="","Open","Closed"))</f>
        <v/>
      </c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4" t="n"/>
      <c r="K460" s="21">
        <f>IF(OR($B460="",$I460=""),"",$I460-IF($J460="",0,$J460))</f>
        <v/>
      </c>
      <c r="L460" s="22">
        <f>IF(OR($B460="",$K460="",$E460=0,$F460=0),"",$K460/($E460*$F460))</f>
        <v/>
      </c>
      <c r="M460" s="27">
        <f>IF($B460="","",IF($H460="","Open","Closed"))</f>
        <v/>
      </c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4" t="n"/>
      <c r="K461" s="21">
        <f>IF(OR($B461="",$I461=""),"",$I461-IF($J461="",0,$J461))</f>
        <v/>
      </c>
      <c r="L461" s="22">
        <f>IF(OR($B461="",$K461="",$E461=0,$F461=0),"",$K461/($E461*$F461))</f>
        <v/>
      </c>
      <c r="M461" s="27">
        <f>IF($B461="","",IF($H461="","Open","Closed"))</f>
        <v/>
      </c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4" t="n"/>
      <c r="K462" s="21">
        <f>IF(OR($B462="",$I462=""),"",$I462-IF($J462="",0,$J462))</f>
        <v/>
      </c>
      <c r="L462" s="22">
        <f>IF(OR($B462="",$K462="",$E462=0,$F462=0),"",$K462/($E462*$F462))</f>
        <v/>
      </c>
      <c r="M462" s="27">
        <f>IF($B462="","",IF($H462="","Open","Closed"))</f>
        <v/>
      </c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4" t="n"/>
      <c r="K463" s="21">
        <f>IF(OR($B463="",$I463=""),"",$I463-IF($J463="",0,$J463))</f>
        <v/>
      </c>
      <c r="L463" s="22">
        <f>IF(OR($B463="",$K463="",$E463=0,$F463=0),"",$K463/($E463*$F463))</f>
        <v/>
      </c>
      <c r="M463" s="27">
        <f>IF($B463="","",IF($H463="","Open","Closed"))</f>
        <v/>
      </c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4" t="n"/>
      <c r="K464" s="21">
        <f>IF(OR($B464="",$I464=""),"",$I464-IF($J464="",0,$J464))</f>
        <v/>
      </c>
      <c r="L464" s="22">
        <f>IF(OR($B464="",$K464="",$E464=0,$F464=0),"",$K464/($E464*$F464))</f>
        <v/>
      </c>
      <c r="M464" s="27">
        <f>IF($B464="","",IF($H464="","Open","Closed"))</f>
        <v/>
      </c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4" t="n"/>
      <c r="K465" s="21">
        <f>IF(OR($B465="",$I465=""),"",$I465-IF($J465="",0,$J465))</f>
        <v/>
      </c>
      <c r="L465" s="22">
        <f>IF(OR($B465="",$K465="",$E465=0,$F465=0),"",$K465/($E465*$F465))</f>
        <v/>
      </c>
      <c r="M465" s="27">
        <f>IF($B465="","",IF($H465="","Open","Closed"))</f>
        <v/>
      </c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4" t="n"/>
      <c r="K466" s="21">
        <f>IF(OR($B466="",$I466=""),"",$I466-IF($J466="",0,$J466))</f>
        <v/>
      </c>
      <c r="L466" s="22">
        <f>IF(OR($B466="",$K466="",$E466=0,$F466=0),"",$K466/($E466*$F466))</f>
        <v/>
      </c>
      <c r="M466" s="27">
        <f>IF($B466="","",IF($H466="","Open","Closed"))</f>
        <v/>
      </c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4" t="n"/>
      <c r="K467" s="21">
        <f>IF(OR($B467="",$I467=""),"",$I467-IF($J467="",0,$J467))</f>
        <v/>
      </c>
      <c r="L467" s="22">
        <f>IF(OR($B467="",$K467="",$E467=0,$F467=0),"",$K467/($E467*$F467))</f>
        <v/>
      </c>
      <c r="M467" s="27">
        <f>IF($B467="","",IF($H467="","Open","Closed"))</f>
        <v/>
      </c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4" t="n"/>
      <c r="K468" s="21">
        <f>IF(OR($B468="",$I468=""),"",$I468-IF($J468="",0,$J468))</f>
        <v/>
      </c>
      <c r="L468" s="22">
        <f>IF(OR($B468="",$K468="",$E468=0,$F468=0),"",$K468/($E468*$F468))</f>
        <v/>
      </c>
      <c r="M468" s="27">
        <f>IF($B468="","",IF($H468="","Open","Closed"))</f>
        <v/>
      </c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4" t="n"/>
      <c r="K469" s="21">
        <f>IF(OR($B469="",$I469=""),"",$I469-IF($J469="",0,$J469))</f>
        <v/>
      </c>
      <c r="L469" s="22">
        <f>IF(OR($B469="",$K469="",$E469=0,$F469=0),"",$K469/($E469*$F469))</f>
        <v/>
      </c>
      <c r="M469" s="27">
        <f>IF($B469="","",IF($H469="","Open","Closed"))</f>
        <v/>
      </c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4" t="n"/>
      <c r="K470" s="21">
        <f>IF(OR($B470="",$I470=""),"",$I470-IF($J470="",0,$J470))</f>
        <v/>
      </c>
      <c r="L470" s="22">
        <f>IF(OR($B470="",$K470="",$E470=0,$F470=0),"",$K470/($E470*$F470))</f>
        <v/>
      </c>
      <c r="M470" s="27">
        <f>IF($B470="","",IF($H470="","Open","Closed"))</f>
        <v/>
      </c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4" t="n"/>
      <c r="K471" s="21">
        <f>IF(OR($B471="",$I471=""),"",$I471-IF($J471="",0,$J471))</f>
        <v/>
      </c>
      <c r="L471" s="22">
        <f>IF(OR($B471="",$K471="",$E471=0,$F471=0),"",$K471/($E471*$F471))</f>
        <v/>
      </c>
      <c r="M471" s="27">
        <f>IF($B471="","",IF($H471="","Open","Closed"))</f>
        <v/>
      </c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4" t="n"/>
      <c r="K472" s="21">
        <f>IF(OR($B472="",$I472=""),"",$I472-IF($J472="",0,$J472))</f>
        <v/>
      </c>
      <c r="L472" s="22">
        <f>IF(OR($B472="",$K472="",$E472=0,$F472=0),"",$K472/($E472*$F472))</f>
        <v/>
      </c>
      <c r="M472" s="27">
        <f>IF($B472="","",IF($H472="","Open","Closed"))</f>
        <v/>
      </c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4" t="n"/>
      <c r="K473" s="21">
        <f>IF(OR($B473="",$I473=""),"",$I473-IF($J473="",0,$J473))</f>
        <v/>
      </c>
      <c r="L473" s="22">
        <f>IF(OR($B473="",$K473="",$E473=0,$F473=0),"",$K473/($E473*$F473))</f>
        <v/>
      </c>
      <c r="M473" s="27">
        <f>IF($B473="","",IF($H473="","Open","Closed"))</f>
        <v/>
      </c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4" t="n"/>
      <c r="K474" s="21">
        <f>IF(OR($B474="",$I474=""),"",$I474-IF($J474="",0,$J474))</f>
        <v/>
      </c>
      <c r="L474" s="22">
        <f>IF(OR($B474="",$K474="",$E474=0,$F474=0),"",$K474/($E474*$F474))</f>
        <v/>
      </c>
      <c r="M474" s="27">
        <f>IF($B474="","",IF($H474="","Open","Closed"))</f>
        <v/>
      </c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4" t="n"/>
      <c r="K475" s="21">
        <f>IF(OR($B475="",$I475=""),"",$I475-IF($J475="",0,$J475))</f>
        <v/>
      </c>
      <c r="L475" s="22">
        <f>IF(OR($B475="",$K475="",$E475=0,$F475=0),"",$K475/($E475*$F475))</f>
        <v/>
      </c>
      <c r="M475" s="27">
        <f>IF($B475="","",IF($H475="","Open","Closed"))</f>
        <v/>
      </c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4" t="n"/>
      <c r="K476" s="21">
        <f>IF(OR($B476="",$I476=""),"",$I476-IF($J476="",0,$J476))</f>
        <v/>
      </c>
      <c r="L476" s="22">
        <f>IF(OR($B476="",$K476="",$E476=0,$F476=0),"",$K476/($E476*$F476))</f>
        <v/>
      </c>
      <c r="M476" s="27">
        <f>IF($B476="","",IF($H476="","Open","Closed"))</f>
        <v/>
      </c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4" t="n"/>
      <c r="K477" s="21">
        <f>IF(OR($B477="",$I477=""),"",$I477-IF($J477="",0,$J477))</f>
        <v/>
      </c>
      <c r="L477" s="22">
        <f>IF(OR($B477="",$K477="",$E477=0,$F477=0),"",$K477/($E477*$F477))</f>
        <v/>
      </c>
      <c r="M477" s="27">
        <f>IF($B477="","",IF($H477="","Open","Closed"))</f>
        <v/>
      </c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4" t="n"/>
      <c r="K478" s="21">
        <f>IF(OR($B478="",$I478=""),"",$I478-IF($J478="",0,$J478))</f>
        <v/>
      </c>
      <c r="L478" s="22">
        <f>IF(OR($B478="",$K478="",$E478=0,$F478=0),"",$K478/($E478*$F478))</f>
        <v/>
      </c>
      <c r="M478" s="27">
        <f>IF($B478="","",IF($H478="","Open","Closed"))</f>
        <v/>
      </c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4" t="n"/>
      <c r="K479" s="21">
        <f>IF(OR($B479="",$I479=""),"",$I479-IF($J479="",0,$J479))</f>
        <v/>
      </c>
      <c r="L479" s="22">
        <f>IF(OR($B479="",$K479="",$E479=0,$F479=0),"",$K479/($E479*$F479))</f>
        <v/>
      </c>
      <c r="M479" s="27">
        <f>IF($B479="","",IF($H479="","Open","Closed"))</f>
        <v/>
      </c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4" t="n"/>
      <c r="K480" s="21">
        <f>IF(OR($B480="",$I480=""),"",$I480-IF($J480="",0,$J480))</f>
        <v/>
      </c>
      <c r="L480" s="22">
        <f>IF(OR($B480="",$K480="",$E480=0,$F480=0),"",$K480/($E480*$F480))</f>
        <v/>
      </c>
      <c r="M480" s="27">
        <f>IF($B480="","",IF($H480="","Open","Closed"))</f>
        <v/>
      </c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4" t="n"/>
      <c r="K481" s="21">
        <f>IF(OR($B481="",$I481=""),"",$I481-IF($J481="",0,$J481))</f>
        <v/>
      </c>
      <c r="L481" s="22">
        <f>IF(OR($B481="",$K481="",$E481=0,$F481=0),"",$K481/($E481*$F481))</f>
        <v/>
      </c>
      <c r="M481" s="27">
        <f>IF($B481="","",IF($H481="","Open","Closed"))</f>
        <v/>
      </c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4" t="n"/>
      <c r="K482" s="21">
        <f>IF(OR($B482="",$I482=""),"",$I482-IF($J482="",0,$J482))</f>
        <v/>
      </c>
      <c r="L482" s="22">
        <f>IF(OR($B482="",$K482="",$E482=0,$F482=0),"",$K482/($E482*$F482))</f>
        <v/>
      </c>
      <c r="M482" s="27">
        <f>IF($B482="","",IF($H482="","Open","Closed"))</f>
        <v/>
      </c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4" t="n"/>
      <c r="K483" s="21">
        <f>IF(OR($B483="",$I483=""),"",$I483-IF($J483="",0,$J483))</f>
        <v/>
      </c>
      <c r="L483" s="22">
        <f>IF(OR($B483="",$K483="",$E483=0,$F483=0),"",$K483/($E483*$F483))</f>
        <v/>
      </c>
      <c r="M483" s="27">
        <f>IF($B483="","",IF($H483="","Open","Closed"))</f>
        <v/>
      </c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4" t="n"/>
      <c r="K484" s="21">
        <f>IF(OR($B484="",$I484=""),"",$I484-IF($J484="",0,$J484))</f>
        <v/>
      </c>
      <c r="L484" s="22">
        <f>IF(OR($B484="",$K484="",$E484=0,$F484=0),"",$K484/($E484*$F484))</f>
        <v/>
      </c>
      <c r="M484" s="27">
        <f>IF($B484="","",IF($H484="","Open","Closed"))</f>
        <v/>
      </c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4" t="n"/>
      <c r="K485" s="21">
        <f>IF(OR($B485="",$I485=""),"",$I485-IF($J485="",0,$J485))</f>
        <v/>
      </c>
      <c r="L485" s="22">
        <f>IF(OR($B485="",$K485="",$E485=0,$F485=0),"",$K485/($E485*$F485))</f>
        <v/>
      </c>
      <c r="M485" s="27">
        <f>IF($B485="","",IF($H485="","Open","Closed"))</f>
        <v/>
      </c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4" t="n"/>
      <c r="K486" s="21">
        <f>IF(OR($B486="",$I486=""),"",$I486-IF($J486="",0,$J486))</f>
        <v/>
      </c>
      <c r="L486" s="22">
        <f>IF(OR($B486="",$K486="",$E486=0,$F486=0),"",$K486/($E486*$F486))</f>
        <v/>
      </c>
      <c r="M486" s="27">
        <f>IF($B486="","",IF($H486="","Open","Closed"))</f>
        <v/>
      </c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4" t="n"/>
      <c r="K487" s="21">
        <f>IF(OR($B487="",$I487=""),"",$I487-IF($J487="",0,$J487))</f>
        <v/>
      </c>
      <c r="L487" s="22">
        <f>IF(OR($B487="",$K487="",$E487=0,$F487=0),"",$K487/($E487*$F487))</f>
        <v/>
      </c>
      <c r="M487" s="27">
        <f>IF($B487="","",IF($H487="","Open","Closed"))</f>
        <v/>
      </c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4" t="n"/>
      <c r="K488" s="21">
        <f>IF(OR($B488="",$I488=""),"",$I488-IF($J488="",0,$J488))</f>
        <v/>
      </c>
      <c r="L488" s="22">
        <f>IF(OR($B488="",$K488="",$E488=0,$F488=0),"",$K488/($E488*$F488))</f>
        <v/>
      </c>
      <c r="M488" s="27">
        <f>IF($B488="","",IF($H488="","Open","Closed"))</f>
        <v/>
      </c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4" t="n"/>
      <c r="K489" s="21">
        <f>IF(OR($B489="",$I489=""),"",$I489-IF($J489="",0,$J489))</f>
        <v/>
      </c>
      <c r="L489" s="22">
        <f>IF(OR($B489="",$K489="",$E489=0,$F489=0),"",$K489/($E489*$F489))</f>
        <v/>
      </c>
      <c r="M489" s="27">
        <f>IF($B489="","",IF($H489="","Open","Closed"))</f>
        <v/>
      </c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4" t="n"/>
      <c r="K490" s="21">
        <f>IF(OR($B490="",$I490=""),"",$I490-IF($J490="",0,$J490))</f>
        <v/>
      </c>
      <c r="L490" s="22">
        <f>IF(OR($B490="",$K490="",$E490=0,$F490=0),"",$K490/($E490*$F490))</f>
        <v/>
      </c>
      <c r="M490" s="27">
        <f>IF($B490="","",IF($H490="","Open","Closed"))</f>
        <v/>
      </c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4" t="n"/>
      <c r="K491" s="21">
        <f>IF(OR($B491="",$I491=""),"",$I491-IF($J491="",0,$J491))</f>
        <v/>
      </c>
      <c r="L491" s="22">
        <f>IF(OR($B491="",$K491="",$E491=0,$F491=0),"",$K491/($E491*$F491))</f>
        <v/>
      </c>
      <c r="M491" s="27">
        <f>IF($B491="","",IF($H491="","Open","Closed"))</f>
        <v/>
      </c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4" t="n"/>
      <c r="K492" s="21">
        <f>IF(OR($B492="",$I492=""),"",$I492-IF($J492="",0,$J492))</f>
        <v/>
      </c>
      <c r="L492" s="22">
        <f>IF(OR($B492="",$K492="",$E492=0,$F492=0),"",$K492/($E492*$F492))</f>
        <v/>
      </c>
      <c r="M492" s="27">
        <f>IF($B492="","",IF($H492="","Open","Closed"))</f>
        <v/>
      </c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4" t="n"/>
      <c r="K493" s="21">
        <f>IF(OR($B493="",$I493=""),"",$I493-IF($J493="",0,$J493))</f>
        <v/>
      </c>
      <c r="L493" s="22">
        <f>IF(OR($B493="",$K493="",$E493=0,$F493=0),"",$K493/($E493*$F493))</f>
        <v/>
      </c>
      <c r="M493" s="27">
        <f>IF($B493="","",IF($H493="","Open","Closed"))</f>
        <v/>
      </c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4" t="n"/>
      <c r="K494" s="21">
        <f>IF(OR($B494="",$I494=""),"",$I494-IF($J494="",0,$J494))</f>
        <v/>
      </c>
      <c r="L494" s="22">
        <f>IF(OR($B494="",$K494="",$E494=0,$F494=0),"",$K494/($E494*$F494))</f>
        <v/>
      </c>
      <c r="M494" s="27">
        <f>IF($B494="","",IF($H494="","Open","Closed"))</f>
        <v/>
      </c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4" t="n"/>
      <c r="K495" s="21">
        <f>IF(OR($B495="",$I495=""),"",$I495-IF($J495="",0,$J495))</f>
        <v/>
      </c>
      <c r="L495" s="22">
        <f>IF(OR($B495="",$K495="",$E495=0,$F495=0),"",$K495/($E495*$F495))</f>
        <v/>
      </c>
      <c r="M495" s="27">
        <f>IF($B495="","",IF($H495="","Open","Closed"))</f>
        <v/>
      </c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4" t="n"/>
      <c r="K496" s="21">
        <f>IF(OR($B496="",$I496=""),"",$I496-IF($J496="",0,$J496))</f>
        <v/>
      </c>
      <c r="L496" s="22">
        <f>IF(OR($B496="",$K496="",$E496=0,$F496=0),"",$K496/($E496*$F496))</f>
        <v/>
      </c>
      <c r="M496" s="27">
        <f>IF($B496="","",IF($H496="","Open","Closed"))</f>
        <v/>
      </c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4" t="n"/>
      <c r="K497" s="21">
        <f>IF(OR($B497="",$I497=""),"",$I497-IF($J497="",0,$J497))</f>
        <v/>
      </c>
      <c r="L497" s="22">
        <f>IF(OR($B497="",$K497="",$E497=0,$F497=0),"",$K497/($E497*$F497))</f>
        <v/>
      </c>
      <c r="M497" s="27">
        <f>IF($B497="","",IF($H497="","Open","Closed"))</f>
        <v/>
      </c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4" t="n"/>
      <c r="K498" s="21">
        <f>IF(OR($B498="",$I498=""),"",$I498-IF($J498="",0,$J498))</f>
        <v/>
      </c>
      <c r="L498" s="22">
        <f>IF(OR($B498="",$K498="",$E498=0,$F498=0),"",$K498/($E498*$F498))</f>
        <v/>
      </c>
      <c r="M498" s="27">
        <f>IF($B498="","",IF($H498="","Open","Closed"))</f>
        <v/>
      </c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4" t="n"/>
      <c r="K499" s="21">
        <f>IF(OR($B499="",$I499=""),"",$I499-IF($J499="",0,$J499))</f>
        <v/>
      </c>
      <c r="L499" s="22">
        <f>IF(OR($B499="",$K499="",$E499=0,$F499=0),"",$K499/($E499*$F499))</f>
        <v/>
      </c>
      <c r="M499" s="27">
        <f>IF($B499="","",IF($H499="","Open","Closed"))</f>
        <v/>
      </c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4" t="n"/>
      <c r="K500" s="21">
        <f>IF(OR($B500="",$I500=""),"",$I500-IF($J500="",0,$J500))</f>
        <v/>
      </c>
      <c r="L500" s="22">
        <f>IF(OR($B500="",$K500="",$E500=0,$F500=0),"",$K500/($E500*$F500))</f>
        <v/>
      </c>
      <c r="M500" s="27">
        <f>IF($B500="","",IF($H500="","Open","Closed"))</f>
        <v/>
      </c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4" t="n"/>
      <c r="K501" s="21">
        <f>IF(OR($B501="",$I501=""),"",$I501-IF($J501="",0,$J501))</f>
        <v/>
      </c>
      <c r="L501" s="22">
        <f>IF(OR($B501="",$K501="",$E501=0,$F501=0),"",$K501/($E501*$F501))</f>
        <v/>
      </c>
      <c r="M501" s="27">
        <f>IF($B501="","",IF($H501="","Open","Closed"))</f>
        <v/>
      </c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4" t="n"/>
      <c r="K502" s="21">
        <f>IF(OR($B502="",$I502=""),"",$I502-IF($J502="",0,$J502))</f>
        <v/>
      </c>
      <c r="L502" s="22">
        <f>IF(OR($B502="",$K502="",$E502=0,$F502=0),"",$K502/($E502*$F502))</f>
        <v/>
      </c>
      <c r="M502" s="27">
        <f>IF($B502="","",IF($H502="","Open","Closed"))</f>
        <v/>
      </c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4" t="n"/>
      <c r="K503" s="21">
        <f>IF(OR($B503="",$I503=""),"",$I503-IF($J503="",0,$J503))</f>
        <v/>
      </c>
      <c r="L503" s="22">
        <f>IF(OR($B503="",$K503="",$E503=0,$F503=0),"",$K503/($E503*$F503))</f>
        <v/>
      </c>
      <c r="M503" s="27">
        <f>IF($B503="","",IF($H503="","Open","Closed"))</f>
        <v/>
      </c>
    </row>
  </sheetData>
  <autoFilter ref="A3:M503"/>
  <mergeCells count="2">
    <mergeCell ref="A2:M2"/>
    <mergeCell ref="A1:M1"/>
  </mergeCells>
  <conditionalFormatting sqref="K4:K503">
    <cfRule type="cellIs" priority="1" operator="lessThan" dxfId="2">
      <formula>0</formula>
    </cfRule>
  </conditionalFormatting>
  <dataValidations count="1">
    <dataValidation sqref="C4:C503" showDropDown="0" showInputMessage="0" showErrorMessage="0" allowBlank="1" type="list">
      <formula1>"LONG,SHORT"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8" customWidth="1" min="8" max="8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  <c r="H3" s="19" t="inlineStr">
        <is>
          <t>Cumulative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Log'!$K$4:$K$503,'Trade Log'!$G$4:$G$503,$A4,'Trade Log'!$C$4:$C$503,"LONG"))</f>
        <v/>
      </c>
      <c r="F4" s="21">
        <f>IF($A4="","",SUMIFS('Trade Log'!$K$4:$K$503,'Trade Log'!$G$4:$G$503,$A4,'Trade Log'!$C$4:$C$503,"SHORT"))</f>
        <v/>
      </c>
      <c r="G4" s="21">
        <f>IF($A4="","",$E4+$F4)</f>
        <v/>
      </c>
      <c r="H4" s="21">
        <f>IF($A4="","",0+IF($G4="",0,$G4))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Log'!$K$4:$K$503,'Trade Log'!$G$4:$G$503,$A5,'Trade Log'!$C$4:$C$503,"LONG"))</f>
        <v/>
      </c>
      <c r="F5" s="21">
        <f>IF($A5="","",SUMIFS('Trade Log'!$K$4:$K$503,'Trade Log'!$G$4:$G$503,$A5,'Trade Log'!$C$4:$C$503,"SHORT"))</f>
        <v/>
      </c>
      <c r="G5" s="21">
        <f>IF($A5="","",$E5+$F5)</f>
        <v/>
      </c>
      <c r="H5" s="21">
        <f>IF($A5="","",$H4+IF($G5="",0,$G5))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Log'!$K$4:$K$503,'Trade Log'!$G$4:$G$503,$A6,'Trade Log'!$C$4:$C$503,"LONG"))</f>
        <v/>
      </c>
      <c r="F6" s="21">
        <f>IF($A6="","",SUMIFS('Trade Log'!$K$4:$K$503,'Trade Log'!$G$4:$G$503,$A6,'Trade Log'!$C$4:$C$503,"SHORT"))</f>
        <v/>
      </c>
      <c r="G6" s="21">
        <f>IF($A6="","",$E6+$F6)</f>
        <v/>
      </c>
      <c r="H6" s="21">
        <f>IF($A6="","",$H5+IF($G6="",0,$G6))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Log'!$K$4:$K$503,'Trade Log'!$G$4:$G$503,$A7,'Trade Log'!$C$4:$C$503,"LONG"))</f>
        <v/>
      </c>
      <c r="F7" s="21">
        <f>IF($A7="","",SUMIFS('Trade Log'!$K$4:$K$503,'Trade Log'!$G$4:$G$503,$A7,'Trade Log'!$C$4:$C$503,"SHORT"))</f>
        <v/>
      </c>
      <c r="G7" s="21">
        <f>IF($A7="","",$E7+$F7)</f>
        <v/>
      </c>
      <c r="H7" s="21">
        <f>IF($A7="","",$H6+IF($G7="",0,$G7))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Log'!$K$4:$K$503,'Trade Log'!$G$4:$G$503,$A8,'Trade Log'!$C$4:$C$503,"LONG"))</f>
        <v/>
      </c>
      <c r="F8" s="21">
        <f>IF($A8="","",SUMIFS('Trade Log'!$K$4:$K$503,'Trade Log'!$G$4:$G$503,$A8,'Trade Log'!$C$4:$C$503,"SHORT"))</f>
        <v/>
      </c>
      <c r="G8" s="21">
        <f>IF($A8="","",$E8+$F8)</f>
        <v/>
      </c>
      <c r="H8" s="21">
        <f>IF($A8="","",$H7+IF($G8="",0,$G8))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Log'!$K$4:$K$503,'Trade Log'!$G$4:$G$503,$A9,'Trade Log'!$C$4:$C$503,"LONG"))</f>
        <v/>
      </c>
      <c r="F9" s="21">
        <f>IF($A9="","",SUMIFS('Trade Log'!$K$4:$K$503,'Trade Log'!$G$4:$G$503,$A9,'Trade Log'!$C$4:$C$503,"SHORT"))</f>
        <v/>
      </c>
      <c r="G9" s="21">
        <f>IF($A9="","",$E9+$F9)</f>
        <v/>
      </c>
      <c r="H9" s="21">
        <f>IF($A9="","",$H8+IF($G9="",0,$G9))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Log'!$K$4:$K$503,'Trade Log'!$G$4:$G$503,$A10,'Trade Log'!$C$4:$C$503,"LONG"))</f>
        <v/>
      </c>
      <c r="F10" s="21">
        <f>IF($A10="","",SUMIFS('Trade Log'!$K$4:$K$503,'Trade Log'!$G$4:$G$503,$A10,'Trade Log'!$C$4:$C$503,"SHORT"))</f>
        <v/>
      </c>
      <c r="G10" s="21">
        <f>IF($A10="","",$E10+$F10)</f>
        <v/>
      </c>
      <c r="H10" s="21">
        <f>IF($A10="","",$H9+IF($G10="",0,$G10))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Log'!$K$4:$K$503,'Trade Log'!$G$4:$G$503,$A11,'Trade Log'!$C$4:$C$503,"LONG"))</f>
        <v/>
      </c>
      <c r="F11" s="21">
        <f>IF($A11="","",SUMIFS('Trade Log'!$K$4:$K$503,'Trade Log'!$G$4:$G$503,$A11,'Trade Log'!$C$4:$C$503,"SHORT"))</f>
        <v/>
      </c>
      <c r="G11" s="21">
        <f>IF($A11="","",$E11+$F11)</f>
        <v/>
      </c>
      <c r="H11" s="21">
        <f>IF($A11="","",$H10+IF($G11="",0,$G11))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Log'!$K$4:$K$503,'Trade Log'!$G$4:$G$503,$A12,'Trade Log'!$C$4:$C$503,"LONG"))</f>
        <v/>
      </c>
      <c r="F12" s="21">
        <f>IF($A12="","",SUMIFS('Trade Log'!$K$4:$K$503,'Trade Log'!$G$4:$G$503,$A12,'Trade Log'!$C$4:$C$503,"SHORT"))</f>
        <v/>
      </c>
      <c r="G12" s="21">
        <f>IF($A12="","",$E12+$F12)</f>
        <v/>
      </c>
      <c r="H12" s="21">
        <f>IF($A12="","",$H11+IF($G12="",0,$G12))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Log'!$K$4:$K$503,'Trade Log'!$G$4:$G$503,$A13,'Trade Log'!$C$4:$C$503,"LONG"))</f>
        <v/>
      </c>
      <c r="F13" s="21">
        <f>IF($A13="","",SUMIFS('Trade Log'!$K$4:$K$503,'Trade Log'!$G$4:$G$503,$A13,'Trade Log'!$C$4:$C$503,"SHORT"))</f>
        <v/>
      </c>
      <c r="G13" s="21">
        <f>IF($A13="","",$E13+$F13)</f>
        <v/>
      </c>
      <c r="H13" s="21">
        <f>IF($A13="","",$H12+IF($G13="",0,$G13))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Log'!$K$4:$K$503,'Trade Log'!$G$4:$G$503,$A14,'Trade Log'!$C$4:$C$503,"LONG"))</f>
        <v/>
      </c>
      <c r="F14" s="21">
        <f>IF($A14="","",SUMIFS('Trade Log'!$K$4:$K$503,'Trade Log'!$G$4:$G$503,$A14,'Trade Log'!$C$4:$C$503,"SHORT"))</f>
        <v/>
      </c>
      <c r="G14" s="21">
        <f>IF($A14="","",$E14+$F14)</f>
        <v/>
      </c>
      <c r="H14" s="21">
        <f>IF($A14="","",$H13+IF($G14="",0,$G14))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Log'!$K$4:$K$503,'Trade Log'!$G$4:$G$503,$A15,'Trade Log'!$C$4:$C$503,"LONG"))</f>
        <v/>
      </c>
      <c r="F15" s="21">
        <f>IF($A15="","",SUMIFS('Trade Log'!$K$4:$K$503,'Trade Log'!$G$4:$G$503,$A15,'Trade Log'!$C$4:$C$503,"SHORT"))</f>
        <v/>
      </c>
      <c r="G15" s="21">
        <f>IF($A15="","",$E15+$F15)</f>
        <v/>
      </c>
      <c r="H15" s="21">
        <f>IF($A15="","",$H14+IF($G15="",0,$G15))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Log'!$K$4:$K$503,'Trade Log'!$G$4:$G$503,$A16,'Trade Log'!$C$4:$C$503,"LONG"))</f>
        <v/>
      </c>
      <c r="F16" s="21">
        <f>IF($A16="","",SUMIFS('Trade Log'!$K$4:$K$503,'Trade Log'!$G$4:$G$503,$A16,'Trade Log'!$C$4:$C$503,"SHORT"))</f>
        <v/>
      </c>
      <c r="G16" s="21">
        <f>IF($A16="","",$E16+$F16)</f>
        <v/>
      </c>
      <c r="H16" s="21">
        <f>IF($A16="","",$H15+IF($G16="",0,$G16))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Log'!$K$4:$K$503,'Trade Log'!$G$4:$G$503,$A17,'Trade Log'!$C$4:$C$503,"LONG"))</f>
        <v/>
      </c>
      <c r="F17" s="21">
        <f>IF($A17="","",SUMIFS('Trade Log'!$K$4:$K$503,'Trade Log'!$G$4:$G$503,$A17,'Trade Log'!$C$4:$C$503,"SHORT"))</f>
        <v/>
      </c>
      <c r="G17" s="21">
        <f>IF($A17="","",$E17+$F17)</f>
        <v/>
      </c>
      <c r="H17" s="21">
        <f>IF($A17="","",$H16+IF($G17="",0,$G17))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Log'!$K$4:$K$503,'Trade Log'!$G$4:$G$503,$A18,'Trade Log'!$C$4:$C$503,"LONG"))</f>
        <v/>
      </c>
      <c r="F18" s="21">
        <f>IF($A18="","",SUMIFS('Trade Log'!$K$4:$K$503,'Trade Log'!$G$4:$G$503,$A18,'Trade Log'!$C$4:$C$503,"SHORT"))</f>
        <v/>
      </c>
      <c r="G18" s="21">
        <f>IF($A18="","",$E18+$F18)</f>
        <v/>
      </c>
      <c r="H18" s="21">
        <f>IF($A18="","",$H17+IF($G18="",0,$G18))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Log'!$K$4:$K$503,'Trade Log'!$G$4:$G$503,$A19,'Trade Log'!$C$4:$C$503,"LONG"))</f>
        <v/>
      </c>
      <c r="F19" s="21">
        <f>IF($A19="","",SUMIFS('Trade Log'!$K$4:$K$503,'Trade Log'!$G$4:$G$503,$A19,'Trade Log'!$C$4:$C$503,"SHORT"))</f>
        <v/>
      </c>
      <c r="G19" s="21">
        <f>IF($A19="","",$E19+$F19)</f>
        <v/>
      </c>
      <c r="H19" s="21">
        <f>IF($A19="","",$H18+IF($G19="",0,$G19))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Log'!$K$4:$K$503,'Trade Log'!$G$4:$G$503,$A20,'Trade Log'!$C$4:$C$503,"LONG"))</f>
        <v/>
      </c>
      <c r="F20" s="21">
        <f>IF($A20="","",SUMIFS('Trade Log'!$K$4:$K$503,'Trade Log'!$G$4:$G$503,$A20,'Trade Log'!$C$4:$C$503,"SHORT"))</f>
        <v/>
      </c>
      <c r="G20" s="21">
        <f>IF($A20="","",$E20+$F20)</f>
        <v/>
      </c>
      <c r="H20" s="21">
        <f>IF($A20="","",$H19+IF($G20="",0,$G20))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Log'!$K$4:$K$503,'Trade Log'!$G$4:$G$503,$A21,'Trade Log'!$C$4:$C$503,"LONG"))</f>
        <v/>
      </c>
      <c r="F21" s="21">
        <f>IF($A21="","",SUMIFS('Trade Log'!$K$4:$K$503,'Trade Log'!$G$4:$G$503,$A21,'Trade Log'!$C$4:$C$503,"SHORT"))</f>
        <v/>
      </c>
      <c r="G21" s="21">
        <f>IF($A21="","",$E21+$F21)</f>
        <v/>
      </c>
      <c r="H21" s="21">
        <f>IF($A21="","",$H20+IF($G21="",0,$G21))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Log'!$K$4:$K$503,'Trade Log'!$G$4:$G$503,$A22,'Trade Log'!$C$4:$C$503,"LONG"))</f>
        <v/>
      </c>
      <c r="F22" s="21">
        <f>IF($A22="","",SUMIFS('Trade Log'!$K$4:$K$503,'Trade Log'!$G$4:$G$503,$A22,'Trade Log'!$C$4:$C$503,"SHORT"))</f>
        <v/>
      </c>
      <c r="G22" s="21">
        <f>IF($A22="","",$E22+$F22)</f>
        <v/>
      </c>
      <c r="H22" s="21">
        <f>IF($A22="","",$H21+IF($G22="",0,$G22))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Log'!$K$4:$K$503,'Trade Log'!$G$4:$G$503,$A23,'Trade Log'!$C$4:$C$503,"LONG"))</f>
        <v/>
      </c>
      <c r="F23" s="21">
        <f>IF($A23="","",SUMIFS('Trade Log'!$K$4:$K$503,'Trade Log'!$G$4:$G$503,$A23,'Trade Log'!$C$4:$C$503,"SHORT"))</f>
        <v/>
      </c>
      <c r="G23" s="21">
        <f>IF($A23="","",$E23+$F23)</f>
        <v/>
      </c>
      <c r="H23" s="21">
        <f>IF($A23="","",$H22+IF($G23="",0,$G23))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Log'!$K$4:$K$503,'Trade Log'!$G$4:$G$503,$A24,'Trade Log'!$C$4:$C$503,"LONG"))</f>
        <v/>
      </c>
      <c r="F24" s="21">
        <f>IF($A24="","",SUMIFS('Trade Log'!$K$4:$K$503,'Trade Log'!$G$4:$G$503,$A24,'Trade Log'!$C$4:$C$503,"SHORT"))</f>
        <v/>
      </c>
      <c r="G24" s="21">
        <f>IF($A24="","",$E24+$F24)</f>
        <v/>
      </c>
      <c r="H24" s="21">
        <f>IF($A24="","",$H23+IF($G24="",0,$G24))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Log'!$K$4:$K$503,'Trade Log'!$G$4:$G$503,$A25,'Trade Log'!$C$4:$C$503,"LONG"))</f>
        <v/>
      </c>
      <c r="F25" s="21">
        <f>IF($A25="","",SUMIFS('Trade Log'!$K$4:$K$503,'Trade Log'!$G$4:$G$503,$A25,'Trade Log'!$C$4:$C$503,"SHORT"))</f>
        <v/>
      </c>
      <c r="G25" s="21">
        <f>IF($A25="","",$E25+$F25)</f>
        <v/>
      </c>
      <c r="H25" s="21">
        <f>IF($A25="","",$H24+IF($G25="",0,$G25))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Log'!$K$4:$K$503,'Trade Log'!$G$4:$G$503,$A26,'Trade Log'!$C$4:$C$503,"LONG"))</f>
        <v/>
      </c>
      <c r="F26" s="21">
        <f>IF($A26="","",SUMIFS('Trade Log'!$K$4:$K$503,'Trade Log'!$G$4:$G$503,$A26,'Trade Log'!$C$4:$C$503,"SHORT"))</f>
        <v/>
      </c>
      <c r="G26" s="21">
        <f>IF($A26="","",$E26+$F26)</f>
        <v/>
      </c>
      <c r="H26" s="21">
        <f>IF($A26="","",$H25+IF($G26="",0,$G26))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Log'!$K$4:$K$503,'Trade Log'!$G$4:$G$503,$A27,'Trade Log'!$C$4:$C$503,"LONG"))</f>
        <v/>
      </c>
      <c r="F27" s="21">
        <f>IF($A27="","",SUMIFS('Trade Log'!$K$4:$K$503,'Trade Log'!$G$4:$G$503,$A27,'Trade Log'!$C$4:$C$503,"SHORT"))</f>
        <v/>
      </c>
      <c r="G27" s="21">
        <f>IF($A27="","",$E27+$F27)</f>
        <v/>
      </c>
      <c r="H27" s="21">
        <f>IF($A27="","",$H26+IF($G27="",0,$G27))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Log'!$K$4:$K$503,'Trade Log'!$G$4:$G$503,$A28,'Trade Log'!$C$4:$C$503,"LONG"))</f>
        <v/>
      </c>
      <c r="F28" s="21">
        <f>IF($A28="","",SUMIFS('Trade Log'!$K$4:$K$503,'Trade Log'!$G$4:$G$503,$A28,'Trade Log'!$C$4:$C$503,"SHORT"))</f>
        <v/>
      </c>
      <c r="G28" s="21">
        <f>IF($A28="","",$E28+$F28)</f>
        <v/>
      </c>
      <c r="H28" s="21">
        <f>IF($A28="","",$H27+IF($G28="",0,$G28))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Log'!$K$4:$K$503,'Trade Log'!$G$4:$G$503,$A29,'Trade Log'!$C$4:$C$503,"LONG"))</f>
        <v/>
      </c>
      <c r="F29" s="21">
        <f>IF($A29="","",SUMIFS('Trade Log'!$K$4:$K$503,'Trade Log'!$G$4:$G$503,$A29,'Trade Log'!$C$4:$C$503,"SHORT"))</f>
        <v/>
      </c>
      <c r="G29" s="21">
        <f>IF($A29="","",$E29+$F29)</f>
        <v/>
      </c>
      <c r="H29" s="21">
        <f>IF($A29="","",$H28+IF($G29="",0,$G29))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Log'!$K$4:$K$503,'Trade Log'!$G$4:$G$503,$A30,'Trade Log'!$C$4:$C$503,"LONG"))</f>
        <v/>
      </c>
      <c r="F30" s="21">
        <f>IF($A30="","",SUMIFS('Trade Log'!$K$4:$K$503,'Trade Log'!$G$4:$G$503,$A30,'Trade Log'!$C$4:$C$503,"SHORT"))</f>
        <v/>
      </c>
      <c r="G30" s="21">
        <f>IF($A30="","",$E30+$F30)</f>
        <v/>
      </c>
      <c r="H30" s="21">
        <f>IF($A30="","",$H29+IF($G30="",0,$G30))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Log'!$K$4:$K$503,'Trade Log'!$G$4:$G$503,$A31,'Trade Log'!$C$4:$C$503,"LONG"))</f>
        <v/>
      </c>
      <c r="F31" s="21">
        <f>IF($A31="","",SUMIFS('Trade Log'!$K$4:$K$503,'Trade Log'!$G$4:$G$503,$A31,'Trade Log'!$C$4:$C$503,"SHORT"))</f>
        <v/>
      </c>
      <c r="G31" s="21">
        <f>IF($A31="","",$E31+$F31)</f>
        <v/>
      </c>
      <c r="H31" s="21">
        <f>IF($A31="","",$H30+IF($G31="",0,$G31))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Log'!$K$4:$K$503,'Trade Log'!$G$4:$G$503,$A32,'Trade Log'!$C$4:$C$503,"LONG"))</f>
        <v/>
      </c>
      <c r="F32" s="21">
        <f>IF($A32="","",SUMIFS('Trade Log'!$K$4:$K$503,'Trade Log'!$G$4:$G$503,$A32,'Trade Log'!$C$4:$C$503,"SHORT"))</f>
        <v/>
      </c>
      <c r="G32" s="21">
        <f>IF($A32="","",$E32+$F32)</f>
        <v/>
      </c>
      <c r="H32" s="21">
        <f>IF($A32="","",$H31+IF($G32="",0,$G32))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Log'!$K$4:$K$503,'Trade Log'!$G$4:$G$503,$A33,'Trade Log'!$C$4:$C$503,"LONG"))</f>
        <v/>
      </c>
      <c r="F33" s="21">
        <f>IF($A33="","",SUMIFS('Trade Log'!$K$4:$K$503,'Trade Log'!$G$4:$G$503,$A33,'Trade Log'!$C$4:$C$503,"SHORT"))</f>
        <v/>
      </c>
      <c r="G33" s="21">
        <f>IF($A33="","",$E33+$F33)</f>
        <v/>
      </c>
      <c r="H33" s="21">
        <f>IF($A33="","",$H32+IF($G33="",0,$G33))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Log'!$K$4:$K$503,'Trade Log'!$G$4:$G$503,$A34,'Trade Log'!$C$4:$C$503,"LONG"))</f>
        <v/>
      </c>
      <c r="F34" s="21">
        <f>IF($A34="","",SUMIFS('Trade Log'!$K$4:$K$503,'Trade Log'!$G$4:$G$503,$A34,'Trade Log'!$C$4:$C$503,"SHORT"))</f>
        <v/>
      </c>
      <c r="G34" s="21">
        <f>IF($A34="","",$E34+$F34)</f>
        <v/>
      </c>
      <c r="H34" s="21">
        <f>IF($A34="","",$H33+IF($G34="",0,$G34))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Log'!$K$4:$K$503,'Trade Log'!$G$4:$G$503,$A35,'Trade Log'!$C$4:$C$503,"LONG"))</f>
        <v/>
      </c>
      <c r="F35" s="21">
        <f>IF($A35="","",SUMIFS('Trade Log'!$K$4:$K$503,'Trade Log'!$G$4:$G$503,$A35,'Trade Log'!$C$4:$C$503,"SHORT"))</f>
        <v/>
      </c>
      <c r="G35" s="21">
        <f>IF($A35="","",$E35+$F35)</f>
        <v/>
      </c>
      <c r="H35" s="21">
        <f>IF($A35="","",$H34+IF($G35="",0,$G35))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Log'!$K$4:$K$503,'Trade Log'!$G$4:$G$503,$A36,'Trade Log'!$C$4:$C$503,"LONG"))</f>
        <v/>
      </c>
      <c r="F36" s="21">
        <f>IF($A36="","",SUMIFS('Trade Log'!$K$4:$K$503,'Trade Log'!$G$4:$G$503,$A36,'Trade Log'!$C$4:$C$503,"SHORT"))</f>
        <v/>
      </c>
      <c r="G36" s="21">
        <f>IF($A36="","",$E36+$F36)</f>
        <v/>
      </c>
      <c r="H36" s="21">
        <f>IF($A36="","",$H35+IF($G36="",0,$G36))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Log'!$K$4:$K$503,'Trade Log'!$G$4:$G$503,$A37,'Trade Log'!$C$4:$C$503,"LONG"))</f>
        <v/>
      </c>
      <c r="F37" s="21">
        <f>IF($A37="","",SUMIFS('Trade Log'!$K$4:$K$503,'Trade Log'!$G$4:$G$503,$A37,'Trade Log'!$C$4:$C$503,"SHORT"))</f>
        <v/>
      </c>
      <c r="G37" s="21">
        <f>IF($A37="","",$E37+$F37)</f>
        <v/>
      </c>
      <c r="H37" s="21">
        <f>IF($A37="","",$H36+IF($G37="",0,$G37))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Log'!$K$4:$K$503,'Trade Log'!$G$4:$G$503,$A38,'Trade Log'!$C$4:$C$503,"LONG"))</f>
        <v/>
      </c>
      <c r="F38" s="21">
        <f>IF($A38="","",SUMIFS('Trade Log'!$K$4:$K$503,'Trade Log'!$G$4:$G$503,$A38,'Trade Log'!$C$4:$C$503,"SHORT"))</f>
        <v/>
      </c>
      <c r="G38" s="21">
        <f>IF($A38="","",$E38+$F38)</f>
        <v/>
      </c>
      <c r="H38" s="21">
        <f>IF($A38="","",$H37+IF($G38="",0,$G38))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Log'!$K$4:$K$503,'Trade Log'!$G$4:$G$503,$A39,'Trade Log'!$C$4:$C$503,"LONG"))</f>
        <v/>
      </c>
      <c r="F39" s="21">
        <f>IF($A39="","",SUMIFS('Trade Log'!$K$4:$K$503,'Trade Log'!$G$4:$G$503,$A39,'Trade Log'!$C$4:$C$503,"SHORT"))</f>
        <v/>
      </c>
      <c r="G39" s="21">
        <f>IF($A39="","",$E39+$F39)</f>
        <v/>
      </c>
      <c r="H39" s="21">
        <f>IF($A39="","",$H38+IF($G39="",0,$G39))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Log'!$K$4:$K$503,'Trade Log'!$G$4:$G$503,$A40,'Trade Log'!$C$4:$C$503,"LONG"))</f>
        <v/>
      </c>
      <c r="F40" s="21">
        <f>IF($A40="","",SUMIFS('Trade Log'!$K$4:$K$503,'Trade Log'!$G$4:$G$503,$A40,'Trade Log'!$C$4:$C$503,"SHORT"))</f>
        <v/>
      </c>
      <c r="G40" s="21">
        <f>IF($A40="","",$E40+$F40)</f>
        <v/>
      </c>
      <c r="H40" s="21">
        <f>IF($A40="","",$H39+IF($G40="",0,$G40))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Log'!$K$4:$K$503,'Trade Log'!$G$4:$G$503,$A41,'Trade Log'!$C$4:$C$503,"LONG"))</f>
        <v/>
      </c>
      <c r="F41" s="21">
        <f>IF($A41="","",SUMIFS('Trade Log'!$K$4:$K$503,'Trade Log'!$G$4:$G$503,$A41,'Trade Log'!$C$4:$C$503,"SHORT"))</f>
        <v/>
      </c>
      <c r="G41" s="21">
        <f>IF($A41="","",$E41+$F41)</f>
        <v/>
      </c>
      <c r="H41" s="21">
        <f>IF($A41="","",$H40+IF($G41="",0,$G41))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Log'!$K$4:$K$503,'Trade Log'!$G$4:$G$503,$A42,'Trade Log'!$C$4:$C$503,"LONG"))</f>
        <v/>
      </c>
      <c r="F42" s="21">
        <f>IF($A42="","",SUMIFS('Trade Log'!$K$4:$K$503,'Trade Log'!$G$4:$G$503,$A42,'Trade Log'!$C$4:$C$503,"SHORT"))</f>
        <v/>
      </c>
      <c r="G42" s="21">
        <f>IF($A42="","",$E42+$F42)</f>
        <v/>
      </c>
      <c r="H42" s="21">
        <f>IF($A42="","",$H41+IF($G42="",0,$G42))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Log'!$K$4:$K$503,'Trade Log'!$G$4:$G$503,$A43,'Trade Log'!$C$4:$C$503,"LONG"))</f>
        <v/>
      </c>
      <c r="F43" s="21">
        <f>IF($A43="","",SUMIFS('Trade Log'!$K$4:$K$503,'Trade Log'!$G$4:$G$503,$A43,'Trade Log'!$C$4:$C$503,"SHORT"))</f>
        <v/>
      </c>
      <c r="G43" s="21">
        <f>IF($A43="","",$E43+$F43)</f>
        <v/>
      </c>
      <c r="H43" s="21">
        <f>IF($A43="","",$H42+IF($G43="",0,$G43))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Log'!$K$4:$K$503,'Trade Log'!$G$4:$G$503,$A44,'Trade Log'!$C$4:$C$503,"LONG"))</f>
        <v/>
      </c>
      <c r="F44" s="21">
        <f>IF($A44="","",SUMIFS('Trade Log'!$K$4:$K$503,'Trade Log'!$G$4:$G$503,$A44,'Trade Log'!$C$4:$C$503,"SHORT"))</f>
        <v/>
      </c>
      <c r="G44" s="21">
        <f>IF($A44="","",$E44+$F44)</f>
        <v/>
      </c>
      <c r="H44" s="21">
        <f>IF($A44="","",$H43+IF($G44="",0,$G44))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Log'!$K$4:$K$503,'Trade Log'!$G$4:$G$503,$A45,'Trade Log'!$C$4:$C$503,"LONG"))</f>
        <v/>
      </c>
      <c r="F45" s="21">
        <f>IF($A45="","",SUMIFS('Trade Log'!$K$4:$K$503,'Trade Log'!$G$4:$G$503,$A45,'Trade Log'!$C$4:$C$503,"SHORT"))</f>
        <v/>
      </c>
      <c r="G45" s="21">
        <f>IF($A45="","",$E45+$F45)</f>
        <v/>
      </c>
      <c r="H45" s="21">
        <f>IF($A45="","",$H44+IF($G45="",0,$G45))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Log'!$K$4:$K$503,'Trade Log'!$G$4:$G$503,$A46,'Trade Log'!$C$4:$C$503,"LONG"))</f>
        <v/>
      </c>
      <c r="F46" s="21">
        <f>IF($A46="","",SUMIFS('Trade Log'!$K$4:$K$503,'Trade Log'!$G$4:$G$503,$A46,'Trade Log'!$C$4:$C$503,"SHORT"))</f>
        <v/>
      </c>
      <c r="G46" s="21">
        <f>IF($A46="","",$E46+$F46)</f>
        <v/>
      </c>
      <c r="H46" s="21">
        <f>IF($A46="","",$H45+IF($G46="",0,$G46))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Log'!$K$4:$K$503,'Trade Log'!$G$4:$G$503,$A47,'Trade Log'!$C$4:$C$503,"LONG"))</f>
        <v/>
      </c>
      <c r="F47" s="21">
        <f>IF($A47="","",SUMIFS('Trade Log'!$K$4:$K$503,'Trade Log'!$G$4:$G$503,$A47,'Trade Log'!$C$4:$C$503,"SHORT"))</f>
        <v/>
      </c>
      <c r="G47" s="21">
        <f>IF($A47="","",$E47+$F47)</f>
        <v/>
      </c>
      <c r="H47" s="21">
        <f>IF($A47="","",$H46+IF($G47="",0,$G47))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Log'!$K$4:$K$503,'Trade Log'!$G$4:$G$503,$A48,'Trade Log'!$C$4:$C$503,"LONG"))</f>
        <v/>
      </c>
      <c r="F48" s="21">
        <f>IF($A48="","",SUMIFS('Trade Log'!$K$4:$K$503,'Trade Log'!$G$4:$G$503,$A48,'Trade Log'!$C$4:$C$503,"SHORT"))</f>
        <v/>
      </c>
      <c r="G48" s="21">
        <f>IF($A48="","",$E48+$F48)</f>
        <v/>
      </c>
      <c r="H48" s="21">
        <f>IF($A48="","",$H47+IF($G48="",0,$G48))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Log'!$K$4:$K$503,'Trade Log'!$G$4:$G$503,$A49,'Trade Log'!$C$4:$C$503,"LONG"))</f>
        <v/>
      </c>
      <c r="F49" s="21">
        <f>IF($A49="","",SUMIFS('Trade Log'!$K$4:$K$503,'Trade Log'!$G$4:$G$503,$A49,'Trade Log'!$C$4:$C$503,"SHORT"))</f>
        <v/>
      </c>
      <c r="G49" s="21">
        <f>IF($A49="","",$E49+$F49)</f>
        <v/>
      </c>
      <c r="H49" s="21">
        <f>IF($A49="","",$H48+IF($G49="",0,$G49))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Log'!$K$4:$K$503,'Trade Log'!$G$4:$G$503,$A50,'Trade Log'!$C$4:$C$503,"LONG"))</f>
        <v/>
      </c>
      <c r="F50" s="21">
        <f>IF($A50="","",SUMIFS('Trade Log'!$K$4:$K$503,'Trade Log'!$G$4:$G$503,$A50,'Trade Log'!$C$4:$C$503,"SHORT"))</f>
        <v/>
      </c>
      <c r="G50" s="21">
        <f>IF($A50="","",$E50+$F50)</f>
        <v/>
      </c>
      <c r="H50" s="21">
        <f>IF($A50="","",$H49+IF($G50="",0,$G50))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Log'!$K$4:$K$503,'Trade Log'!$G$4:$G$503,$A51,'Trade Log'!$C$4:$C$503,"LONG"))</f>
        <v/>
      </c>
      <c r="F51" s="21">
        <f>IF($A51="","",SUMIFS('Trade Log'!$K$4:$K$503,'Trade Log'!$G$4:$G$503,$A51,'Trade Log'!$C$4:$C$503,"SHORT"))</f>
        <v/>
      </c>
      <c r="G51" s="21">
        <f>IF($A51="","",$E51+$F51)</f>
        <v/>
      </c>
      <c r="H51" s="21">
        <f>IF($A51="","",$H50+IF($G51="",0,$G51))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Log'!$K$4:$K$503,'Trade Log'!$G$4:$G$503,$A52,'Trade Log'!$C$4:$C$503,"LONG"))</f>
        <v/>
      </c>
      <c r="F52" s="21">
        <f>IF($A52="","",SUMIFS('Trade Log'!$K$4:$K$503,'Trade Log'!$G$4:$G$503,$A52,'Trade Log'!$C$4:$C$503,"SHORT"))</f>
        <v/>
      </c>
      <c r="G52" s="21">
        <f>IF($A52="","",$E52+$F52)</f>
        <v/>
      </c>
      <c r="H52" s="21">
        <f>IF($A52="","",$H51+IF($G52="",0,$G52))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Log'!$K$4:$K$503,'Trade Log'!$G$4:$G$503,$A53,'Trade Log'!$C$4:$C$503,"LONG"))</f>
        <v/>
      </c>
      <c r="F53" s="21">
        <f>IF($A53="","",SUMIFS('Trade Log'!$K$4:$K$503,'Trade Log'!$G$4:$G$503,$A53,'Trade Log'!$C$4:$C$503,"SHORT"))</f>
        <v/>
      </c>
      <c r="G53" s="21">
        <f>IF($A53="","",$E53+$F53)</f>
        <v/>
      </c>
      <c r="H53" s="21">
        <f>IF($A53="","",$H52+IF($G53="",0,$G53))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Log'!$K$4:$K$503,'Trade Log'!$G$4:$G$503,$A54,'Trade Log'!$C$4:$C$503,"LONG"))</f>
        <v/>
      </c>
      <c r="F54" s="21">
        <f>IF($A54="","",SUMIFS('Trade Log'!$K$4:$K$503,'Trade Log'!$G$4:$G$503,$A54,'Trade Log'!$C$4:$C$503,"SHORT"))</f>
        <v/>
      </c>
      <c r="G54" s="21">
        <f>IF($A54="","",$E54+$F54)</f>
        <v/>
      </c>
      <c r="H54" s="21">
        <f>IF($A54="","",$H53+IF($G54="",0,$G54))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Log'!$K$4:$K$503,'Trade Log'!$G$4:$G$503,$A55,'Trade Log'!$C$4:$C$503,"LONG"))</f>
        <v/>
      </c>
      <c r="F55" s="21">
        <f>IF($A55="","",SUMIFS('Trade Log'!$K$4:$K$503,'Trade Log'!$G$4:$G$503,$A55,'Trade Log'!$C$4:$C$503,"SHORT"))</f>
        <v/>
      </c>
      <c r="G55" s="21">
        <f>IF($A55="","",$E55+$F55)</f>
        <v/>
      </c>
      <c r="H55" s="21">
        <f>IF($A55="","",$H54+IF($G55="",0,$G55))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Log'!$K$4:$K$503,'Trade Log'!$G$4:$G$503,$A56,'Trade Log'!$C$4:$C$503,"LONG"))</f>
        <v/>
      </c>
      <c r="F56" s="21">
        <f>IF($A56="","",SUMIFS('Trade Log'!$K$4:$K$503,'Trade Log'!$G$4:$G$503,$A56,'Trade Log'!$C$4:$C$503,"SHORT"))</f>
        <v/>
      </c>
      <c r="G56" s="21">
        <f>IF($A56="","",$E56+$F56)</f>
        <v/>
      </c>
      <c r="H56" s="21">
        <f>IF($A56="","",$H55+IF($G56="",0,$G56))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Log'!$K$4:$K$503,'Trade Log'!$G$4:$G$503,$A57,'Trade Log'!$C$4:$C$503,"LONG"))</f>
        <v/>
      </c>
      <c r="F57" s="21">
        <f>IF($A57="","",SUMIFS('Trade Log'!$K$4:$K$503,'Trade Log'!$G$4:$G$503,$A57,'Trade Log'!$C$4:$C$503,"SHORT"))</f>
        <v/>
      </c>
      <c r="G57" s="21">
        <f>IF($A57="","",$E57+$F57)</f>
        <v/>
      </c>
      <c r="H57" s="21">
        <f>IF($A57="","",$H56+IF($G57="",0,$G57))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Log'!$K$4:$K$503,'Trade Log'!$G$4:$G$503,$A58,'Trade Log'!$C$4:$C$503,"LONG"))</f>
        <v/>
      </c>
      <c r="F58" s="21">
        <f>IF($A58="","",SUMIFS('Trade Log'!$K$4:$K$503,'Trade Log'!$G$4:$G$503,$A58,'Trade Log'!$C$4:$C$503,"SHORT"))</f>
        <v/>
      </c>
      <c r="G58" s="21">
        <f>IF($A58="","",$E58+$F58)</f>
        <v/>
      </c>
      <c r="H58" s="21">
        <f>IF($A58="","",$H57+IF($G58="",0,$G58))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Log'!$K$4:$K$503,'Trade Log'!$G$4:$G$503,$A59,'Trade Log'!$C$4:$C$503,"LONG"))</f>
        <v/>
      </c>
      <c r="F59" s="21">
        <f>IF($A59="","",SUMIFS('Trade Log'!$K$4:$K$503,'Trade Log'!$G$4:$G$503,$A59,'Trade Log'!$C$4:$C$503,"SHORT"))</f>
        <v/>
      </c>
      <c r="G59" s="21">
        <f>IF($A59="","",$E59+$F59)</f>
        <v/>
      </c>
      <c r="H59" s="21">
        <f>IF($A59="","",$H58+IF($G59="",0,$G59))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Log'!$K$4:$K$503,'Trade Log'!$G$4:$G$503,$A60,'Trade Log'!$C$4:$C$503,"LONG"))</f>
        <v/>
      </c>
      <c r="F60" s="21">
        <f>IF($A60="","",SUMIFS('Trade Log'!$K$4:$K$503,'Trade Log'!$G$4:$G$503,$A60,'Trade Log'!$C$4:$C$503,"SHORT"))</f>
        <v/>
      </c>
      <c r="G60" s="21">
        <f>IF($A60="","",$E60+$F60)</f>
        <v/>
      </c>
      <c r="H60" s="21">
        <f>IF($A60="","",$H59+IF($G60="",0,$G60))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Log'!$K$4:$K$503,'Trade Log'!$G$4:$G$503,$A61,'Trade Log'!$C$4:$C$503,"LONG"))</f>
        <v/>
      </c>
      <c r="F61" s="21">
        <f>IF($A61="","",SUMIFS('Trade Log'!$K$4:$K$503,'Trade Log'!$G$4:$G$503,$A61,'Trade Log'!$C$4:$C$503,"SHORT"))</f>
        <v/>
      </c>
      <c r="G61" s="21">
        <f>IF($A61="","",$E61+$F61)</f>
        <v/>
      </c>
      <c r="H61" s="21">
        <f>IF($A61="","",$H60+IF($G61="",0,$G61))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Log'!$K$4:$K$503,'Trade Log'!$G$4:$G$503,$A62,'Trade Log'!$C$4:$C$503,"LONG"))</f>
        <v/>
      </c>
      <c r="F62" s="21">
        <f>IF($A62="","",SUMIFS('Trade Log'!$K$4:$K$503,'Trade Log'!$G$4:$G$503,$A62,'Trade Log'!$C$4:$C$503,"SHORT"))</f>
        <v/>
      </c>
      <c r="G62" s="21">
        <f>IF($A62="","",$E62+$F62)</f>
        <v/>
      </c>
      <c r="H62" s="21">
        <f>IF($A62="","",$H61+IF($G62="",0,$G62))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Log'!$K$4:$K$503,'Trade Log'!$G$4:$G$503,$A63,'Trade Log'!$C$4:$C$503,"LONG"))</f>
        <v/>
      </c>
      <c r="F63" s="21">
        <f>IF($A63="","",SUMIFS('Trade Log'!$K$4:$K$503,'Trade Log'!$G$4:$G$503,$A63,'Trade Log'!$C$4:$C$503,"SHORT"))</f>
        <v/>
      </c>
      <c r="G63" s="21">
        <f>IF($A63="","",$E63+$F63)</f>
        <v/>
      </c>
      <c r="H63" s="21">
        <f>IF($A63="","",$H62+IF($G63="",0,$G63))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Log'!$K$4:$K$503,'Trade Log'!$G$4:$G$503,$A64,'Trade Log'!$C$4:$C$503,"LONG"))</f>
        <v/>
      </c>
      <c r="F64" s="21">
        <f>IF($A64="","",SUMIFS('Trade Log'!$K$4:$K$503,'Trade Log'!$G$4:$G$503,$A64,'Trade Log'!$C$4:$C$503,"SHORT"))</f>
        <v/>
      </c>
      <c r="G64" s="21">
        <f>IF($A64="","",$E64+$F64)</f>
        <v/>
      </c>
      <c r="H64" s="21">
        <f>IF($A64="","",$H63+IF($G64="",0,$G64))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Log'!$K$4:$K$503,'Trade Log'!$G$4:$G$503,$A65,'Trade Log'!$C$4:$C$503,"LONG"))</f>
        <v/>
      </c>
      <c r="F65" s="21">
        <f>IF($A65="","",SUMIFS('Trade Log'!$K$4:$K$503,'Trade Log'!$G$4:$G$503,$A65,'Trade Log'!$C$4:$C$503,"SHORT"))</f>
        <v/>
      </c>
      <c r="G65" s="21">
        <f>IF($A65="","",$E65+$F65)</f>
        <v/>
      </c>
      <c r="H65" s="21">
        <f>IF($A65="","",$H64+IF($G65="",0,$G65))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Log'!$K$4:$K$503,'Trade Log'!$G$4:$G$503,$A66,'Trade Log'!$C$4:$C$503,"LONG"))</f>
        <v/>
      </c>
      <c r="F66" s="21">
        <f>IF($A66="","",SUMIFS('Trade Log'!$K$4:$K$503,'Trade Log'!$G$4:$G$503,$A66,'Trade Log'!$C$4:$C$503,"SHORT"))</f>
        <v/>
      </c>
      <c r="G66" s="21">
        <f>IF($A66="","",$E66+$F66)</f>
        <v/>
      </c>
      <c r="H66" s="21">
        <f>IF($A66="","",$H65+IF($G66="",0,$G66))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Log'!$K$4:$K$503,'Trade Log'!$G$4:$G$503,$A67,'Trade Log'!$C$4:$C$503,"LONG"))</f>
        <v/>
      </c>
      <c r="F67" s="21">
        <f>IF($A67="","",SUMIFS('Trade Log'!$K$4:$K$503,'Trade Log'!$G$4:$G$503,$A67,'Trade Log'!$C$4:$C$503,"SHORT"))</f>
        <v/>
      </c>
      <c r="G67" s="21">
        <f>IF($A67="","",$E67+$F67)</f>
        <v/>
      </c>
      <c r="H67" s="21">
        <f>IF($A67="","",$H66+IF($G67="",0,$G67))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Log'!$K$4:$K$503,'Trade Log'!$G$4:$G$503,$A68,'Trade Log'!$C$4:$C$503,"LONG"))</f>
        <v/>
      </c>
      <c r="F68" s="21">
        <f>IF($A68="","",SUMIFS('Trade Log'!$K$4:$K$503,'Trade Log'!$G$4:$G$503,$A68,'Trade Log'!$C$4:$C$503,"SHORT"))</f>
        <v/>
      </c>
      <c r="G68" s="21">
        <f>IF($A68="","",$E68+$F68)</f>
        <v/>
      </c>
      <c r="H68" s="21">
        <f>IF($A68="","",$H67+IF($G68="",0,$G68))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Log'!$K$4:$K$503,'Trade Log'!$G$4:$G$503,$A69,'Trade Log'!$C$4:$C$503,"LONG"))</f>
        <v/>
      </c>
      <c r="F69" s="21">
        <f>IF($A69="","",SUMIFS('Trade Log'!$K$4:$K$503,'Trade Log'!$G$4:$G$503,$A69,'Trade Log'!$C$4:$C$503,"SHORT"))</f>
        <v/>
      </c>
      <c r="G69" s="21">
        <f>IF($A69="","",$E69+$F69)</f>
        <v/>
      </c>
      <c r="H69" s="21">
        <f>IF($A69="","",$H68+IF($G69="",0,$G69))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Log'!$K$4:$K$503,'Trade Log'!$G$4:$G$503,$A70,'Trade Log'!$C$4:$C$503,"LONG"))</f>
        <v/>
      </c>
      <c r="F70" s="21">
        <f>IF($A70="","",SUMIFS('Trade Log'!$K$4:$K$503,'Trade Log'!$G$4:$G$503,$A70,'Trade Log'!$C$4:$C$503,"SHORT"))</f>
        <v/>
      </c>
      <c r="G70" s="21">
        <f>IF($A70="","",$E70+$F70)</f>
        <v/>
      </c>
      <c r="H70" s="21">
        <f>IF($A70="","",$H69+IF($G70="",0,$G70))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Log'!$K$4:$K$503,'Trade Log'!$G$4:$G$503,$A71,'Trade Log'!$C$4:$C$503,"LONG"))</f>
        <v/>
      </c>
      <c r="F71" s="21">
        <f>IF($A71="","",SUMIFS('Trade Log'!$K$4:$K$503,'Trade Log'!$G$4:$G$503,$A71,'Trade Log'!$C$4:$C$503,"SHORT"))</f>
        <v/>
      </c>
      <c r="G71" s="21">
        <f>IF($A71="","",$E71+$F71)</f>
        <v/>
      </c>
      <c r="H71" s="21">
        <f>IF($A71="","",$H70+IF($G71="",0,$G71))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Log'!$K$4:$K$503,'Trade Log'!$G$4:$G$503,$A72,'Trade Log'!$C$4:$C$503,"LONG"))</f>
        <v/>
      </c>
      <c r="F72" s="21">
        <f>IF($A72="","",SUMIFS('Trade Log'!$K$4:$K$503,'Trade Log'!$G$4:$G$503,$A72,'Trade Log'!$C$4:$C$503,"SHORT"))</f>
        <v/>
      </c>
      <c r="G72" s="21">
        <f>IF($A72="","",$E72+$F72)</f>
        <v/>
      </c>
      <c r="H72" s="21">
        <f>IF($A72="","",$H71+IF($G72="",0,$G72))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Log'!$K$4:$K$503,'Trade Log'!$G$4:$G$503,$A73,'Trade Log'!$C$4:$C$503,"LONG"))</f>
        <v/>
      </c>
      <c r="F73" s="21">
        <f>IF($A73="","",SUMIFS('Trade Log'!$K$4:$K$503,'Trade Log'!$G$4:$G$503,$A73,'Trade Log'!$C$4:$C$503,"SHORT"))</f>
        <v/>
      </c>
      <c r="G73" s="21">
        <f>IF($A73="","",$E73+$F73)</f>
        <v/>
      </c>
      <c r="H73" s="21">
        <f>IF($A73="","",$H72+IF($G73="",0,$G73))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Log'!$K$4:$K$503,'Trade Log'!$G$4:$G$503,$A74,'Trade Log'!$C$4:$C$503,"LONG"))</f>
        <v/>
      </c>
      <c r="F74" s="21">
        <f>IF($A74="","",SUMIFS('Trade Log'!$K$4:$K$503,'Trade Log'!$G$4:$G$503,$A74,'Trade Log'!$C$4:$C$503,"SHORT"))</f>
        <v/>
      </c>
      <c r="G74" s="21">
        <f>IF($A74="","",$E74+$F74)</f>
        <v/>
      </c>
      <c r="H74" s="21">
        <f>IF($A74="","",$H73+IF($G74="",0,$G74))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Log'!$K$4:$K$503,'Trade Log'!$G$4:$G$503,$A75,'Trade Log'!$C$4:$C$503,"LONG"))</f>
        <v/>
      </c>
      <c r="F75" s="21">
        <f>IF($A75="","",SUMIFS('Trade Log'!$K$4:$K$503,'Trade Log'!$G$4:$G$503,$A75,'Trade Log'!$C$4:$C$503,"SHORT"))</f>
        <v/>
      </c>
      <c r="G75" s="21">
        <f>IF($A75="","",$E75+$F75)</f>
        <v/>
      </c>
      <c r="H75" s="21">
        <f>IF($A75="","",$H74+IF($G75="",0,$G75))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Log'!$K$4:$K$503,'Trade Log'!$G$4:$G$503,$A76,'Trade Log'!$C$4:$C$503,"LONG"))</f>
        <v/>
      </c>
      <c r="F76" s="21">
        <f>IF($A76="","",SUMIFS('Trade Log'!$K$4:$K$503,'Trade Log'!$G$4:$G$503,$A76,'Trade Log'!$C$4:$C$503,"SHORT"))</f>
        <v/>
      </c>
      <c r="G76" s="21">
        <f>IF($A76="","",$E76+$F76)</f>
        <v/>
      </c>
      <c r="H76" s="21">
        <f>IF($A76="","",$H75+IF($G76="",0,$G76))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Log'!$K$4:$K$503,'Trade Log'!$G$4:$G$503,$A77,'Trade Log'!$C$4:$C$503,"LONG"))</f>
        <v/>
      </c>
      <c r="F77" s="21">
        <f>IF($A77="","",SUMIFS('Trade Log'!$K$4:$K$503,'Trade Log'!$G$4:$G$503,$A77,'Trade Log'!$C$4:$C$503,"SHORT"))</f>
        <v/>
      </c>
      <c r="G77" s="21">
        <f>IF($A77="","",$E77+$F77)</f>
        <v/>
      </c>
      <c r="H77" s="21">
        <f>IF($A77="","",$H76+IF($G77="",0,$G77))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Log'!$K$4:$K$503,'Trade Log'!$G$4:$G$503,$A78,'Trade Log'!$C$4:$C$503,"LONG"))</f>
        <v/>
      </c>
      <c r="F78" s="21">
        <f>IF($A78="","",SUMIFS('Trade Log'!$K$4:$K$503,'Trade Log'!$G$4:$G$503,$A78,'Trade Log'!$C$4:$C$503,"SHORT"))</f>
        <v/>
      </c>
      <c r="G78" s="21">
        <f>IF($A78="","",$E78+$F78)</f>
        <v/>
      </c>
      <c r="H78" s="21">
        <f>IF($A78="","",$H77+IF($G78="",0,$G78))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Log'!$K$4:$K$503,'Trade Log'!$G$4:$G$503,$A79,'Trade Log'!$C$4:$C$503,"LONG"))</f>
        <v/>
      </c>
      <c r="F79" s="21">
        <f>IF($A79="","",SUMIFS('Trade Log'!$K$4:$K$503,'Trade Log'!$G$4:$G$503,$A79,'Trade Log'!$C$4:$C$503,"SHORT"))</f>
        <v/>
      </c>
      <c r="G79" s="21">
        <f>IF($A79="","",$E79+$F79)</f>
        <v/>
      </c>
      <c r="H79" s="21">
        <f>IF($A79="","",$H78+IF($G79="",0,$G79))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Log'!$K$4:$K$503,'Trade Log'!$G$4:$G$503,$A80,'Trade Log'!$C$4:$C$503,"LONG"))</f>
        <v/>
      </c>
      <c r="F80" s="21">
        <f>IF($A80="","",SUMIFS('Trade Log'!$K$4:$K$503,'Trade Log'!$G$4:$G$503,$A80,'Trade Log'!$C$4:$C$503,"SHORT"))</f>
        <v/>
      </c>
      <c r="G80" s="21">
        <f>IF($A80="","",$E80+$F80)</f>
        <v/>
      </c>
      <c r="H80" s="21">
        <f>IF($A80="","",$H79+IF($G80="",0,$G80))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Log'!$K$4:$K$503,'Trade Log'!$G$4:$G$503,$A81,'Trade Log'!$C$4:$C$503,"LONG"))</f>
        <v/>
      </c>
      <c r="F81" s="21">
        <f>IF($A81="","",SUMIFS('Trade Log'!$K$4:$K$503,'Trade Log'!$G$4:$G$503,$A81,'Trade Log'!$C$4:$C$503,"SHORT"))</f>
        <v/>
      </c>
      <c r="G81" s="21">
        <f>IF($A81="","",$E81+$F81)</f>
        <v/>
      </c>
      <c r="H81" s="21">
        <f>IF($A81="","",$H80+IF($G81="",0,$G81))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Log'!$K$4:$K$503,'Trade Log'!$G$4:$G$503,$A82,'Trade Log'!$C$4:$C$503,"LONG"))</f>
        <v/>
      </c>
      <c r="F82" s="21">
        <f>IF($A82="","",SUMIFS('Trade Log'!$K$4:$K$503,'Trade Log'!$G$4:$G$503,$A82,'Trade Log'!$C$4:$C$503,"SHORT"))</f>
        <v/>
      </c>
      <c r="G82" s="21">
        <f>IF($A82="","",$E82+$F82)</f>
        <v/>
      </c>
      <c r="H82" s="21">
        <f>IF($A82="","",$H81+IF($G82="",0,$G82))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Log'!$K$4:$K$503,'Trade Log'!$G$4:$G$503,$A83,'Trade Log'!$C$4:$C$503,"LONG"))</f>
        <v/>
      </c>
      <c r="F83" s="21">
        <f>IF($A83="","",SUMIFS('Trade Log'!$K$4:$K$503,'Trade Log'!$G$4:$G$503,$A83,'Trade Log'!$C$4:$C$503,"SHORT"))</f>
        <v/>
      </c>
      <c r="G83" s="21">
        <f>IF($A83="","",$E83+$F83)</f>
        <v/>
      </c>
      <c r="H83" s="21">
        <f>IF($A83="","",$H82+IF($G83="",0,$G83))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Log'!$K$4:$K$503,'Trade Log'!$G$4:$G$503,$A84,'Trade Log'!$C$4:$C$503,"LONG"))</f>
        <v/>
      </c>
      <c r="F84" s="21">
        <f>IF($A84="","",SUMIFS('Trade Log'!$K$4:$K$503,'Trade Log'!$G$4:$G$503,$A84,'Trade Log'!$C$4:$C$503,"SHORT"))</f>
        <v/>
      </c>
      <c r="G84" s="21">
        <f>IF($A84="","",$E84+$F84)</f>
        <v/>
      </c>
      <c r="H84" s="21">
        <f>IF($A84="","",$H83+IF($G84="",0,$G84))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Log'!$K$4:$K$503,'Trade Log'!$G$4:$G$503,$A85,'Trade Log'!$C$4:$C$503,"LONG"))</f>
        <v/>
      </c>
      <c r="F85" s="21">
        <f>IF($A85="","",SUMIFS('Trade Log'!$K$4:$K$503,'Trade Log'!$G$4:$G$503,$A85,'Trade Log'!$C$4:$C$503,"SHORT"))</f>
        <v/>
      </c>
      <c r="G85" s="21">
        <f>IF($A85="","",$E85+$F85)</f>
        <v/>
      </c>
      <c r="H85" s="21">
        <f>IF($A85="","",$H84+IF($G85="",0,$G85))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Log'!$K$4:$K$503,'Trade Log'!$G$4:$G$503,$A86,'Trade Log'!$C$4:$C$503,"LONG"))</f>
        <v/>
      </c>
      <c r="F86" s="21">
        <f>IF($A86="","",SUMIFS('Trade Log'!$K$4:$K$503,'Trade Log'!$G$4:$G$503,$A86,'Trade Log'!$C$4:$C$503,"SHORT"))</f>
        <v/>
      </c>
      <c r="G86" s="21">
        <f>IF($A86="","",$E86+$F86)</f>
        <v/>
      </c>
      <c r="H86" s="21">
        <f>IF($A86="","",$H85+IF($G86="",0,$G86))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Log'!$K$4:$K$503,'Trade Log'!$G$4:$G$503,$A87,'Trade Log'!$C$4:$C$503,"LONG"))</f>
        <v/>
      </c>
      <c r="F87" s="21">
        <f>IF($A87="","",SUMIFS('Trade Log'!$K$4:$K$503,'Trade Log'!$G$4:$G$503,$A87,'Trade Log'!$C$4:$C$503,"SHORT"))</f>
        <v/>
      </c>
      <c r="G87" s="21">
        <f>IF($A87="","",$E87+$F87)</f>
        <v/>
      </c>
      <c r="H87" s="21">
        <f>IF($A87="","",$H86+IF($G87="",0,$G87))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Log'!$K$4:$K$503,'Trade Log'!$G$4:$G$503,$A88,'Trade Log'!$C$4:$C$503,"LONG"))</f>
        <v/>
      </c>
      <c r="F88" s="21">
        <f>IF($A88="","",SUMIFS('Trade Log'!$K$4:$K$503,'Trade Log'!$G$4:$G$503,$A88,'Trade Log'!$C$4:$C$503,"SHORT"))</f>
        <v/>
      </c>
      <c r="G88" s="21">
        <f>IF($A88="","",$E88+$F88)</f>
        <v/>
      </c>
      <c r="H88" s="21">
        <f>IF($A88="","",$H87+IF($G88="",0,$G88))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Log'!$K$4:$K$503,'Trade Log'!$G$4:$G$503,$A89,'Trade Log'!$C$4:$C$503,"LONG"))</f>
        <v/>
      </c>
      <c r="F89" s="21">
        <f>IF($A89="","",SUMIFS('Trade Log'!$K$4:$K$503,'Trade Log'!$G$4:$G$503,$A89,'Trade Log'!$C$4:$C$503,"SHORT"))</f>
        <v/>
      </c>
      <c r="G89" s="21">
        <f>IF($A89="","",$E89+$F89)</f>
        <v/>
      </c>
      <c r="H89" s="21">
        <f>IF($A89="","",$H88+IF($G89="",0,$G89))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Log'!$K$4:$K$503,'Trade Log'!$G$4:$G$503,$A90,'Trade Log'!$C$4:$C$503,"LONG"))</f>
        <v/>
      </c>
      <c r="F90" s="21">
        <f>IF($A90="","",SUMIFS('Trade Log'!$K$4:$K$503,'Trade Log'!$G$4:$G$503,$A90,'Trade Log'!$C$4:$C$503,"SHORT"))</f>
        <v/>
      </c>
      <c r="G90" s="21">
        <f>IF($A90="","",$E90+$F90)</f>
        <v/>
      </c>
      <c r="H90" s="21">
        <f>IF($A90="","",$H89+IF($G90="",0,$G90))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Log'!$K$4:$K$503,'Trade Log'!$G$4:$G$503,$A91,'Trade Log'!$C$4:$C$503,"LONG"))</f>
        <v/>
      </c>
      <c r="F91" s="21">
        <f>IF($A91="","",SUMIFS('Trade Log'!$K$4:$K$503,'Trade Log'!$G$4:$G$503,$A91,'Trade Log'!$C$4:$C$503,"SHORT"))</f>
        <v/>
      </c>
      <c r="G91" s="21">
        <f>IF($A91="","",$E91+$F91)</f>
        <v/>
      </c>
      <c r="H91" s="21">
        <f>IF($A91="","",$H90+IF($G91="",0,$G91))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Log'!$K$4:$K$503,'Trade Log'!$G$4:$G$503,$A92,'Trade Log'!$C$4:$C$503,"LONG"))</f>
        <v/>
      </c>
      <c r="F92" s="21">
        <f>IF($A92="","",SUMIFS('Trade Log'!$K$4:$K$503,'Trade Log'!$G$4:$G$503,$A92,'Trade Log'!$C$4:$C$503,"SHORT"))</f>
        <v/>
      </c>
      <c r="G92" s="21">
        <f>IF($A92="","",$E92+$F92)</f>
        <v/>
      </c>
      <c r="H92" s="21">
        <f>IF($A92="","",$H91+IF($G92="",0,$G92))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Log'!$K$4:$K$503,'Trade Log'!$G$4:$G$503,$A93,'Trade Log'!$C$4:$C$503,"LONG"))</f>
        <v/>
      </c>
      <c r="F93" s="21">
        <f>IF($A93="","",SUMIFS('Trade Log'!$K$4:$K$503,'Trade Log'!$G$4:$G$503,$A93,'Trade Log'!$C$4:$C$503,"SHORT"))</f>
        <v/>
      </c>
      <c r="G93" s="21">
        <f>IF($A93="","",$E93+$F93)</f>
        <v/>
      </c>
      <c r="H93" s="21">
        <f>IF($A93="","",$H92+IF($G93="",0,$G93))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Log'!$K$4:$K$503,'Trade Log'!$G$4:$G$503,$A94,'Trade Log'!$C$4:$C$503,"LONG"))</f>
        <v/>
      </c>
      <c r="F94" s="21">
        <f>IF($A94="","",SUMIFS('Trade Log'!$K$4:$K$503,'Trade Log'!$G$4:$G$503,$A94,'Trade Log'!$C$4:$C$503,"SHORT"))</f>
        <v/>
      </c>
      <c r="G94" s="21">
        <f>IF($A94="","",$E94+$F94)</f>
        <v/>
      </c>
      <c r="H94" s="21">
        <f>IF($A94="","",$H93+IF($G94="",0,$G94))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Log'!$K$4:$K$503,'Trade Log'!$G$4:$G$503,$A95,'Trade Log'!$C$4:$C$503,"LONG"))</f>
        <v/>
      </c>
      <c r="F95" s="21">
        <f>IF($A95="","",SUMIFS('Trade Log'!$K$4:$K$503,'Trade Log'!$G$4:$G$503,$A95,'Trade Log'!$C$4:$C$503,"SHORT"))</f>
        <v/>
      </c>
      <c r="G95" s="21">
        <f>IF($A95="","",$E95+$F95)</f>
        <v/>
      </c>
      <c r="H95" s="21">
        <f>IF($A95="","",$H94+IF($G95="",0,$G95))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Log'!$K$4:$K$503,'Trade Log'!$G$4:$G$503,$A96,'Trade Log'!$C$4:$C$503,"LONG"))</f>
        <v/>
      </c>
      <c r="F96" s="21">
        <f>IF($A96="","",SUMIFS('Trade Log'!$K$4:$K$503,'Trade Log'!$G$4:$G$503,$A96,'Trade Log'!$C$4:$C$503,"SHORT"))</f>
        <v/>
      </c>
      <c r="G96" s="21">
        <f>IF($A96="","",$E96+$F96)</f>
        <v/>
      </c>
      <c r="H96" s="21">
        <f>IF($A96="","",$H95+IF($G96="",0,$G96))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Log'!$K$4:$K$503,'Trade Log'!$G$4:$G$503,$A97,'Trade Log'!$C$4:$C$503,"LONG"))</f>
        <v/>
      </c>
      <c r="F97" s="21">
        <f>IF($A97="","",SUMIFS('Trade Log'!$K$4:$K$503,'Trade Log'!$G$4:$G$503,$A97,'Trade Log'!$C$4:$C$503,"SHORT"))</f>
        <v/>
      </c>
      <c r="G97" s="21">
        <f>IF($A97="","",$E97+$F97)</f>
        <v/>
      </c>
      <c r="H97" s="21">
        <f>IF($A97="","",$H96+IF($G97="",0,$G97))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Log'!$K$4:$K$503,'Trade Log'!$G$4:$G$503,$A98,'Trade Log'!$C$4:$C$503,"LONG"))</f>
        <v/>
      </c>
      <c r="F98" s="21">
        <f>IF($A98="","",SUMIFS('Trade Log'!$K$4:$K$503,'Trade Log'!$G$4:$G$503,$A98,'Trade Log'!$C$4:$C$503,"SHORT"))</f>
        <v/>
      </c>
      <c r="G98" s="21">
        <f>IF($A98="","",$E98+$F98)</f>
        <v/>
      </c>
      <c r="H98" s="21">
        <f>IF($A98="","",$H97+IF($G98="",0,$G98))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Log'!$K$4:$K$503,'Trade Log'!$G$4:$G$503,$A99,'Trade Log'!$C$4:$C$503,"LONG"))</f>
        <v/>
      </c>
      <c r="F99" s="21">
        <f>IF($A99="","",SUMIFS('Trade Log'!$K$4:$K$503,'Trade Log'!$G$4:$G$503,$A99,'Trade Log'!$C$4:$C$503,"SHORT"))</f>
        <v/>
      </c>
      <c r="G99" s="21">
        <f>IF($A99="","",$E99+$F99)</f>
        <v/>
      </c>
      <c r="H99" s="21">
        <f>IF($A99="","",$H98+IF($G99="",0,$G99))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Log'!$K$4:$K$503,'Trade Log'!$G$4:$G$503,$A100,'Trade Log'!$C$4:$C$503,"LONG"))</f>
        <v/>
      </c>
      <c r="F100" s="21">
        <f>IF($A100="","",SUMIFS('Trade Log'!$K$4:$K$503,'Trade Log'!$G$4:$G$503,$A100,'Trade Log'!$C$4:$C$503,"SHORT"))</f>
        <v/>
      </c>
      <c r="G100" s="21">
        <f>IF($A100="","",$E100+$F100)</f>
        <v/>
      </c>
      <c r="H100" s="21">
        <f>IF($A100="","",$H99+IF($G100="",0,$G100))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Log'!$K$4:$K$503,'Trade Log'!$G$4:$G$503,$A101,'Trade Log'!$C$4:$C$503,"LONG"))</f>
        <v/>
      </c>
      <c r="F101" s="21">
        <f>IF($A101="","",SUMIFS('Trade Log'!$K$4:$K$503,'Trade Log'!$G$4:$G$503,$A101,'Trade Log'!$C$4:$C$503,"SHORT"))</f>
        <v/>
      </c>
      <c r="G101" s="21">
        <f>IF($A101="","",$E101+$F101)</f>
        <v/>
      </c>
      <c r="H101" s="21">
        <f>IF($A101="","",$H100+IF($G101="",0,$G101))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Log'!$K$4:$K$503,'Trade Log'!$G$4:$G$503,$A102,'Trade Log'!$C$4:$C$503,"LONG"))</f>
        <v/>
      </c>
      <c r="F102" s="21">
        <f>IF($A102="","",SUMIFS('Trade Log'!$K$4:$K$503,'Trade Log'!$G$4:$G$503,$A102,'Trade Log'!$C$4:$C$503,"SHORT"))</f>
        <v/>
      </c>
      <c r="G102" s="21">
        <f>IF($A102="","",$E102+$F102)</f>
        <v/>
      </c>
      <c r="H102" s="21">
        <f>IF($A102="","",$H101+IF($G102="",0,$G102))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Log'!$K$4:$K$503,'Trade Log'!$G$4:$G$503,$A103,'Trade Log'!$C$4:$C$503,"LONG"))</f>
        <v/>
      </c>
      <c r="F103" s="21">
        <f>IF($A103="","",SUMIFS('Trade Log'!$K$4:$K$503,'Trade Log'!$G$4:$G$503,$A103,'Trade Log'!$C$4:$C$503,"SHORT"))</f>
        <v/>
      </c>
      <c r="G103" s="21">
        <f>IF($A103="","",$E103+$F103)</f>
        <v/>
      </c>
      <c r="H103" s="21">
        <f>IF($A103="","",$H102+IF($G103="",0,$G103))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Log'!$K$4:$K$503,'Trade Log'!$G$4:$G$503,$A104,'Trade Log'!$C$4:$C$503,"LONG"))</f>
        <v/>
      </c>
      <c r="F104" s="21">
        <f>IF($A104="","",SUMIFS('Trade Log'!$K$4:$K$503,'Trade Log'!$G$4:$G$503,$A104,'Trade Log'!$C$4:$C$503,"SHORT"))</f>
        <v/>
      </c>
      <c r="G104" s="21">
        <f>IF($A104="","",$E104+$F104)</f>
        <v/>
      </c>
      <c r="H104" s="21">
        <f>IF($A104="","",$H103+IF($G104="",0,$G104))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Log'!$K$4:$K$503,'Trade Log'!$G$4:$G$503,$A105,'Trade Log'!$C$4:$C$503,"LONG"))</f>
        <v/>
      </c>
      <c r="F105" s="21">
        <f>IF($A105="","",SUMIFS('Trade Log'!$K$4:$K$503,'Trade Log'!$G$4:$G$503,$A105,'Trade Log'!$C$4:$C$503,"SHORT"))</f>
        <v/>
      </c>
      <c r="G105" s="21">
        <f>IF($A105="","",$E105+$F105)</f>
        <v/>
      </c>
      <c r="H105" s="21">
        <f>IF($A105="","",$H104+IF($G105="",0,$G105))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Log'!$K$4:$K$503,'Trade Log'!$G$4:$G$503,$A106,'Trade Log'!$C$4:$C$503,"LONG"))</f>
        <v/>
      </c>
      <c r="F106" s="21">
        <f>IF($A106="","",SUMIFS('Trade Log'!$K$4:$K$503,'Trade Log'!$G$4:$G$503,$A106,'Trade Log'!$C$4:$C$503,"SHORT"))</f>
        <v/>
      </c>
      <c r="G106" s="21">
        <f>IF($A106="","",$E106+$F106)</f>
        <v/>
      </c>
      <c r="H106" s="21">
        <f>IF($A106="","",$H105+IF($G106="",0,$G106))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Log'!$K$4:$K$503,'Trade Log'!$G$4:$G$503,$A107,'Trade Log'!$C$4:$C$503,"LONG"))</f>
        <v/>
      </c>
      <c r="F107" s="21">
        <f>IF($A107="","",SUMIFS('Trade Log'!$K$4:$K$503,'Trade Log'!$G$4:$G$503,$A107,'Trade Log'!$C$4:$C$503,"SHORT"))</f>
        <v/>
      </c>
      <c r="G107" s="21">
        <f>IF($A107="","",$E107+$F107)</f>
        <v/>
      </c>
      <c r="H107" s="21">
        <f>IF($A107="","",$H106+IF($G107="",0,$G107))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Log'!$K$4:$K$503,'Trade Log'!$G$4:$G$503,$A108,'Trade Log'!$C$4:$C$503,"LONG"))</f>
        <v/>
      </c>
      <c r="F108" s="21">
        <f>IF($A108="","",SUMIFS('Trade Log'!$K$4:$K$503,'Trade Log'!$G$4:$G$503,$A108,'Trade Log'!$C$4:$C$503,"SHORT"))</f>
        <v/>
      </c>
      <c r="G108" s="21">
        <f>IF($A108="","",$E108+$F108)</f>
        <v/>
      </c>
      <c r="H108" s="21">
        <f>IF($A108="","",$H107+IF($G108="",0,$G108))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Log'!$K$4:$K$503,'Trade Log'!$G$4:$G$503,$A109,'Trade Log'!$C$4:$C$503,"LONG"))</f>
        <v/>
      </c>
      <c r="F109" s="21">
        <f>IF($A109="","",SUMIFS('Trade Log'!$K$4:$K$503,'Trade Log'!$G$4:$G$503,$A109,'Trade Log'!$C$4:$C$503,"SHORT"))</f>
        <v/>
      </c>
      <c r="G109" s="21">
        <f>IF($A109="","",$E109+$F109)</f>
        <v/>
      </c>
      <c r="H109" s="21">
        <f>IF($A109="","",$H108+IF($G109="",0,$G109))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Log'!$K$4:$K$503,'Trade Log'!$G$4:$G$503,$A110,'Trade Log'!$C$4:$C$503,"LONG"))</f>
        <v/>
      </c>
      <c r="F110" s="21">
        <f>IF($A110="","",SUMIFS('Trade Log'!$K$4:$K$503,'Trade Log'!$G$4:$G$503,$A110,'Trade Log'!$C$4:$C$503,"SHORT"))</f>
        <v/>
      </c>
      <c r="G110" s="21">
        <f>IF($A110="","",$E110+$F110)</f>
        <v/>
      </c>
      <c r="H110" s="21">
        <f>IF($A110="","",$H109+IF($G110="",0,$G110))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Log'!$K$4:$K$503,'Trade Log'!$G$4:$G$503,$A111,'Trade Log'!$C$4:$C$503,"LONG"))</f>
        <v/>
      </c>
      <c r="F111" s="21">
        <f>IF($A111="","",SUMIFS('Trade Log'!$K$4:$K$503,'Trade Log'!$G$4:$G$503,$A111,'Trade Log'!$C$4:$C$503,"SHORT"))</f>
        <v/>
      </c>
      <c r="G111" s="21">
        <f>IF($A111="","",$E111+$F111)</f>
        <v/>
      </c>
      <c r="H111" s="21">
        <f>IF($A111="","",$H110+IF($G111="",0,$G111))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Log'!$K$4:$K$503,'Trade Log'!$G$4:$G$503,$A112,'Trade Log'!$C$4:$C$503,"LONG"))</f>
        <v/>
      </c>
      <c r="F112" s="21">
        <f>IF($A112="","",SUMIFS('Trade Log'!$K$4:$K$503,'Trade Log'!$G$4:$G$503,$A112,'Trade Log'!$C$4:$C$503,"SHORT"))</f>
        <v/>
      </c>
      <c r="G112" s="21">
        <f>IF($A112="","",$E112+$F112)</f>
        <v/>
      </c>
      <c r="H112" s="21">
        <f>IF($A112="","",$H111+IF($G112="",0,$G112))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Log'!$K$4:$K$503,'Trade Log'!$G$4:$G$503,$A113,'Trade Log'!$C$4:$C$503,"LONG"))</f>
        <v/>
      </c>
      <c r="F113" s="21">
        <f>IF($A113="","",SUMIFS('Trade Log'!$K$4:$K$503,'Trade Log'!$G$4:$G$503,$A113,'Trade Log'!$C$4:$C$503,"SHORT"))</f>
        <v/>
      </c>
      <c r="G113" s="21">
        <f>IF($A113="","",$E113+$F113)</f>
        <v/>
      </c>
      <c r="H113" s="21">
        <f>IF($A113="","",$H112+IF($G113="",0,$G113))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Log'!$K$4:$K$503,'Trade Log'!$G$4:$G$503,$A114,'Trade Log'!$C$4:$C$503,"LONG"))</f>
        <v/>
      </c>
      <c r="F114" s="21">
        <f>IF($A114="","",SUMIFS('Trade Log'!$K$4:$K$503,'Trade Log'!$G$4:$G$503,$A114,'Trade Log'!$C$4:$C$503,"SHORT"))</f>
        <v/>
      </c>
      <c r="G114" s="21">
        <f>IF($A114="","",$E114+$F114)</f>
        <v/>
      </c>
      <c r="H114" s="21">
        <f>IF($A114="","",$H113+IF($G114="",0,$G114))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Log'!$K$4:$K$503,'Trade Log'!$G$4:$G$503,$A115,'Trade Log'!$C$4:$C$503,"LONG"))</f>
        <v/>
      </c>
      <c r="F115" s="21">
        <f>IF($A115="","",SUMIFS('Trade Log'!$K$4:$K$503,'Trade Log'!$G$4:$G$503,$A115,'Trade Log'!$C$4:$C$503,"SHORT"))</f>
        <v/>
      </c>
      <c r="G115" s="21">
        <f>IF($A115="","",$E115+$F115)</f>
        <v/>
      </c>
      <c r="H115" s="21">
        <f>IF($A115="","",$H114+IF($G115="",0,$G115))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Log'!$K$4:$K$503,'Trade Log'!$G$4:$G$503,$A116,'Trade Log'!$C$4:$C$503,"LONG"))</f>
        <v/>
      </c>
      <c r="F116" s="21">
        <f>IF($A116="","",SUMIFS('Trade Log'!$K$4:$K$503,'Trade Log'!$G$4:$G$503,$A116,'Trade Log'!$C$4:$C$503,"SHORT"))</f>
        <v/>
      </c>
      <c r="G116" s="21">
        <f>IF($A116="","",$E116+$F116)</f>
        <v/>
      </c>
      <c r="H116" s="21">
        <f>IF($A116="","",$H115+IF($G116="",0,$G116))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Log'!$K$4:$K$503,'Trade Log'!$G$4:$G$503,$A117,'Trade Log'!$C$4:$C$503,"LONG"))</f>
        <v/>
      </c>
      <c r="F117" s="21">
        <f>IF($A117="","",SUMIFS('Trade Log'!$K$4:$K$503,'Trade Log'!$G$4:$G$503,$A117,'Trade Log'!$C$4:$C$503,"SHORT"))</f>
        <v/>
      </c>
      <c r="G117" s="21">
        <f>IF($A117="","",$E117+$F117)</f>
        <v/>
      </c>
      <c r="H117" s="21">
        <f>IF($A117="","",$H116+IF($G117="",0,$G117))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Log'!$K$4:$K$503,'Trade Log'!$G$4:$G$503,$A118,'Trade Log'!$C$4:$C$503,"LONG"))</f>
        <v/>
      </c>
      <c r="F118" s="21">
        <f>IF($A118="","",SUMIFS('Trade Log'!$K$4:$K$503,'Trade Log'!$G$4:$G$503,$A118,'Trade Log'!$C$4:$C$503,"SHORT"))</f>
        <v/>
      </c>
      <c r="G118" s="21">
        <f>IF($A118="","",$E118+$F118)</f>
        <v/>
      </c>
      <c r="H118" s="21">
        <f>IF($A118="","",$H117+IF($G118="",0,$G118))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Log'!$K$4:$K$503,'Trade Log'!$G$4:$G$503,$A119,'Trade Log'!$C$4:$C$503,"LONG"))</f>
        <v/>
      </c>
      <c r="F119" s="21">
        <f>IF($A119="","",SUMIFS('Trade Log'!$K$4:$K$503,'Trade Log'!$G$4:$G$503,$A119,'Trade Log'!$C$4:$C$503,"SHORT"))</f>
        <v/>
      </c>
      <c r="G119" s="21">
        <f>IF($A119="","",$E119+$F119)</f>
        <v/>
      </c>
      <c r="H119" s="21">
        <f>IF($A119="","",$H118+IF($G119="",0,$G119))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Log'!$K$4:$K$503,'Trade Log'!$G$4:$G$503,$A120,'Trade Log'!$C$4:$C$503,"LONG"))</f>
        <v/>
      </c>
      <c r="F120" s="21">
        <f>IF($A120="","",SUMIFS('Trade Log'!$K$4:$K$503,'Trade Log'!$G$4:$G$503,$A120,'Trade Log'!$C$4:$C$503,"SHORT"))</f>
        <v/>
      </c>
      <c r="G120" s="21">
        <f>IF($A120="","",$E120+$F120)</f>
        <v/>
      </c>
      <c r="H120" s="21">
        <f>IF($A120="","",$H119+IF($G120="",0,$G120))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Log'!$K$4:$K$503,'Trade Log'!$G$4:$G$503,$A121,'Trade Log'!$C$4:$C$503,"LONG"))</f>
        <v/>
      </c>
      <c r="F121" s="21">
        <f>IF($A121="","",SUMIFS('Trade Log'!$K$4:$K$503,'Trade Log'!$G$4:$G$503,$A121,'Trade Log'!$C$4:$C$503,"SHORT"))</f>
        <v/>
      </c>
      <c r="G121" s="21">
        <f>IF($A121="","",$E121+$F121)</f>
        <v/>
      </c>
      <c r="H121" s="21">
        <f>IF($A121="","",$H120+IF($G121="",0,$G121))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Log'!$K$4:$K$503,'Trade Log'!$G$4:$G$503,$A122,'Trade Log'!$C$4:$C$503,"LONG"))</f>
        <v/>
      </c>
      <c r="F122" s="21">
        <f>IF($A122="","",SUMIFS('Trade Log'!$K$4:$K$503,'Trade Log'!$G$4:$G$503,$A122,'Trade Log'!$C$4:$C$503,"SHORT"))</f>
        <v/>
      </c>
      <c r="G122" s="21">
        <f>IF($A122="","",$E122+$F122)</f>
        <v/>
      </c>
      <c r="H122" s="21">
        <f>IF($A122="","",$H121+IF($G122="",0,$G122))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Log'!$K$4:$K$503,'Trade Log'!$G$4:$G$503,$A123,'Trade Log'!$C$4:$C$503,"LONG"))</f>
        <v/>
      </c>
      <c r="F123" s="21">
        <f>IF($A123="","",SUMIFS('Trade Log'!$K$4:$K$503,'Trade Log'!$G$4:$G$503,$A123,'Trade Log'!$C$4:$C$503,"SHORT"))</f>
        <v/>
      </c>
      <c r="G123" s="21">
        <f>IF($A123="","",$E123+$F123)</f>
        <v/>
      </c>
      <c r="H123" s="21">
        <f>IF($A123="","",$H122+IF($G123="",0,$G123))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Log'!$K$4:$K$503,'Trade Log'!$G$4:$G$503,$A124,'Trade Log'!$C$4:$C$503,"LONG"))</f>
        <v/>
      </c>
      <c r="F124" s="21">
        <f>IF($A124="","",SUMIFS('Trade Log'!$K$4:$K$503,'Trade Log'!$G$4:$G$503,$A124,'Trade Log'!$C$4:$C$503,"SHORT"))</f>
        <v/>
      </c>
      <c r="G124" s="21">
        <f>IF($A124="","",$E124+$F124)</f>
        <v/>
      </c>
      <c r="H124" s="21">
        <f>IF($A124="","",$H123+IF($G124="",0,$G124))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Log'!$K$4:$K$503,'Trade Log'!$G$4:$G$503,$A125,'Trade Log'!$C$4:$C$503,"LONG"))</f>
        <v/>
      </c>
      <c r="F125" s="21">
        <f>IF($A125="","",SUMIFS('Trade Log'!$K$4:$K$503,'Trade Log'!$G$4:$G$503,$A125,'Trade Log'!$C$4:$C$503,"SHORT"))</f>
        <v/>
      </c>
      <c r="G125" s="21">
        <f>IF($A125="","",$E125+$F125)</f>
        <v/>
      </c>
      <c r="H125" s="21">
        <f>IF($A125="","",$H124+IF($G125="",0,$G125))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Log'!$K$4:$K$503,'Trade Log'!$G$4:$G$503,$A126,'Trade Log'!$C$4:$C$503,"LONG"))</f>
        <v/>
      </c>
      <c r="F126" s="21">
        <f>IF($A126="","",SUMIFS('Trade Log'!$K$4:$K$503,'Trade Log'!$G$4:$G$503,$A126,'Trade Log'!$C$4:$C$503,"SHORT"))</f>
        <v/>
      </c>
      <c r="G126" s="21">
        <f>IF($A126="","",$E126+$F126)</f>
        <v/>
      </c>
      <c r="H126" s="21">
        <f>IF($A126="","",$H125+IF($G126="",0,$G126))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Log'!$K$4:$K$503,'Trade Log'!$G$4:$G$503,$A127,'Trade Log'!$C$4:$C$503,"LONG"))</f>
        <v/>
      </c>
      <c r="F127" s="21">
        <f>IF($A127="","",SUMIFS('Trade Log'!$K$4:$K$503,'Trade Log'!$G$4:$G$503,$A127,'Trade Log'!$C$4:$C$503,"SHORT"))</f>
        <v/>
      </c>
      <c r="G127" s="21">
        <f>IF($A127="","",$E127+$F127)</f>
        <v/>
      </c>
      <c r="H127" s="21">
        <f>IF($A127="","",$H126+IF($G127="",0,$G127))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Log'!$K$4:$K$503,'Trade Log'!$G$4:$G$503,$A128,'Trade Log'!$C$4:$C$503,"LONG"))</f>
        <v/>
      </c>
      <c r="F128" s="21">
        <f>IF($A128="","",SUMIFS('Trade Log'!$K$4:$K$503,'Trade Log'!$G$4:$G$503,$A128,'Trade Log'!$C$4:$C$503,"SHORT"))</f>
        <v/>
      </c>
      <c r="G128" s="21">
        <f>IF($A128="","",$E128+$F128)</f>
        <v/>
      </c>
      <c r="H128" s="21">
        <f>IF($A128="","",$H127+IF($G128="",0,$G128))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Log'!$K$4:$K$503,'Trade Log'!$G$4:$G$503,$A129,'Trade Log'!$C$4:$C$503,"LONG"))</f>
        <v/>
      </c>
      <c r="F129" s="21">
        <f>IF($A129="","",SUMIFS('Trade Log'!$K$4:$K$503,'Trade Log'!$G$4:$G$503,$A129,'Trade Log'!$C$4:$C$503,"SHORT"))</f>
        <v/>
      </c>
      <c r="G129" s="21">
        <f>IF($A129="","",$E129+$F129)</f>
        <v/>
      </c>
      <c r="H129" s="21">
        <f>IF($A129="","",$H128+IF($G129="",0,$G129))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Log'!$K$4:$K$503,'Trade Log'!$G$4:$G$503,$A130,'Trade Log'!$C$4:$C$503,"LONG"))</f>
        <v/>
      </c>
      <c r="F130" s="21">
        <f>IF($A130="","",SUMIFS('Trade Log'!$K$4:$K$503,'Trade Log'!$G$4:$G$503,$A130,'Trade Log'!$C$4:$C$503,"SHORT"))</f>
        <v/>
      </c>
      <c r="G130" s="21">
        <f>IF($A130="","",$E130+$F130)</f>
        <v/>
      </c>
      <c r="H130" s="21">
        <f>IF($A130="","",$H129+IF($G130="",0,$G130))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Log'!$K$4:$K$503,'Trade Log'!$G$4:$G$503,$A131,'Trade Log'!$C$4:$C$503,"LONG"))</f>
        <v/>
      </c>
      <c r="F131" s="21">
        <f>IF($A131="","",SUMIFS('Trade Log'!$K$4:$K$503,'Trade Log'!$G$4:$G$503,$A131,'Trade Log'!$C$4:$C$503,"SHORT"))</f>
        <v/>
      </c>
      <c r="G131" s="21">
        <f>IF($A131="","",$E131+$F131)</f>
        <v/>
      </c>
      <c r="H131" s="21">
        <f>IF($A131="","",$H130+IF($G131="",0,$G131))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Log'!$K$4:$K$503,'Trade Log'!$G$4:$G$503,$A132,'Trade Log'!$C$4:$C$503,"LONG"))</f>
        <v/>
      </c>
      <c r="F132" s="21">
        <f>IF($A132="","",SUMIFS('Trade Log'!$K$4:$K$503,'Trade Log'!$G$4:$G$503,$A132,'Trade Log'!$C$4:$C$503,"SHORT"))</f>
        <v/>
      </c>
      <c r="G132" s="21">
        <f>IF($A132="","",$E132+$F132)</f>
        <v/>
      </c>
      <c r="H132" s="21">
        <f>IF($A132="","",$H131+IF($G132="",0,$G132))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Log'!$K$4:$K$503,'Trade Log'!$G$4:$G$503,$A133,'Trade Log'!$C$4:$C$503,"LONG"))</f>
        <v/>
      </c>
      <c r="F133" s="21">
        <f>IF($A133="","",SUMIFS('Trade Log'!$K$4:$K$503,'Trade Log'!$G$4:$G$503,$A133,'Trade Log'!$C$4:$C$503,"SHORT"))</f>
        <v/>
      </c>
      <c r="G133" s="21">
        <f>IF($A133="","",$E133+$F133)</f>
        <v/>
      </c>
      <c r="H133" s="21">
        <f>IF($A133="","",$H132+IF($G133="",0,$G133))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Log'!$K$4:$K$503,'Trade Log'!$G$4:$G$503,$A134,'Trade Log'!$C$4:$C$503,"LONG"))</f>
        <v/>
      </c>
      <c r="F134" s="21">
        <f>IF($A134="","",SUMIFS('Trade Log'!$K$4:$K$503,'Trade Log'!$G$4:$G$503,$A134,'Trade Log'!$C$4:$C$503,"SHORT"))</f>
        <v/>
      </c>
      <c r="G134" s="21">
        <f>IF($A134="","",$E134+$F134)</f>
        <v/>
      </c>
      <c r="H134" s="21">
        <f>IF($A134="","",$H133+IF($G134="",0,$G134))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Log'!$K$4:$K$503,'Trade Log'!$G$4:$G$503,$A135,'Trade Log'!$C$4:$C$503,"LONG"))</f>
        <v/>
      </c>
      <c r="F135" s="21">
        <f>IF($A135="","",SUMIFS('Trade Log'!$K$4:$K$503,'Trade Log'!$G$4:$G$503,$A135,'Trade Log'!$C$4:$C$503,"SHORT"))</f>
        <v/>
      </c>
      <c r="G135" s="21">
        <f>IF($A135="","",$E135+$F135)</f>
        <v/>
      </c>
      <c r="H135" s="21">
        <f>IF($A135="","",$H134+IF($G135="",0,$G135))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Log'!$K$4:$K$503,'Trade Log'!$G$4:$G$503,$A136,'Trade Log'!$C$4:$C$503,"LONG"))</f>
        <v/>
      </c>
      <c r="F136" s="21">
        <f>IF($A136="","",SUMIFS('Trade Log'!$K$4:$K$503,'Trade Log'!$G$4:$G$503,$A136,'Trade Log'!$C$4:$C$503,"SHORT"))</f>
        <v/>
      </c>
      <c r="G136" s="21">
        <f>IF($A136="","",$E136+$F136)</f>
        <v/>
      </c>
      <c r="H136" s="21">
        <f>IF($A136="","",$H135+IF($G136="",0,$G136))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Log'!$K$4:$K$503,'Trade Log'!$G$4:$G$503,$A137,'Trade Log'!$C$4:$C$503,"LONG"))</f>
        <v/>
      </c>
      <c r="F137" s="21">
        <f>IF($A137="","",SUMIFS('Trade Log'!$K$4:$K$503,'Trade Log'!$G$4:$G$503,$A137,'Trade Log'!$C$4:$C$503,"SHORT"))</f>
        <v/>
      </c>
      <c r="G137" s="21">
        <f>IF($A137="","",$E137+$F137)</f>
        <v/>
      </c>
      <c r="H137" s="21">
        <f>IF($A137="","",$H136+IF($G137="",0,$G137))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Log'!$K$4:$K$503,'Trade Log'!$G$4:$G$503,$A138,'Trade Log'!$C$4:$C$503,"LONG"))</f>
        <v/>
      </c>
      <c r="F138" s="21">
        <f>IF($A138="","",SUMIFS('Trade Log'!$K$4:$K$503,'Trade Log'!$G$4:$G$503,$A138,'Trade Log'!$C$4:$C$503,"SHORT"))</f>
        <v/>
      </c>
      <c r="G138" s="21">
        <f>IF($A138="","",$E138+$F138)</f>
        <v/>
      </c>
      <c r="H138" s="21">
        <f>IF($A138="","",$H137+IF($G138="",0,$G138))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Log'!$K$4:$K$503,'Trade Log'!$G$4:$G$503,$A139,'Trade Log'!$C$4:$C$503,"LONG"))</f>
        <v/>
      </c>
      <c r="F139" s="21">
        <f>IF($A139="","",SUMIFS('Trade Log'!$K$4:$K$503,'Trade Log'!$G$4:$G$503,$A139,'Trade Log'!$C$4:$C$503,"SHORT"))</f>
        <v/>
      </c>
      <c r="G139" s="21">
        <f>IF($A139="","",$E139+$F139)</f>
        <v/>
      </c>
      <c r="H139" s="21">
        <f>IF($A139="","",$H138+IF($G139="",0,$G139))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Log'!$K$4:$K$503,'Trade Log'!$G$4:$G$503,$A140,'Trade Log'!$C$4:$C$503,"LONG"))</f>
        <v/>
      </c>
      <c r="F140" s="21">
        <f>IF($A140="","",SUMIFS('Trade Log'!$K$4:$K$503,'Trade Log'!$G$4:$G$503,$A140,'Trade Log'!$C$4:$C$503,"SHORT"))</f>
        <v/>
      </c>
      <c r="G140" s="21">
        <f>IF($A140="","",$E140+$F140)</f>
        <v/>
      </c>
      <c r="H140" s="21">
        <f>IF($A140="","",$H139+IF($G140="",0,$G140))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Log'!$K$4:$K$503,'Trade Log'!$G$4:$G$503,$A141,'Trade Log'!$C$4:$C$503,"LONG"))</f>
        <v/>
      </c>
      <c r="F141" s="21">
        <f>IF($A141="","",SUMIFS('Trade Log'!$K$4:$K$503,'Trade Log'!$G$4:$G$503,$A141,'Trade Log'!$C$4:$C$503,"SHORT"))</f>
        <v/>
      </c>
      <c r="G141" s="21">
        <f>IF($A141="","",$E141+$F141)</f>
        <v/>
      </c>
      <c r="H141" s="21">
        <f>IF($A141="","",$H140+IF($G141="",0,$G141))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Log'!$K$4:$K$503,'Trade Log'!$G$4:$G$503,$A142,'Trade Log'!$C$4:$C$503,"LONG"))</f>
        <v/>
      </c>
      <c r="F142" s="21">
        <f>IF($A142="","",SUMIFS('Trade Log'!$K$4:$K$503,'Trade Log'!$G$4:$G$503,$A142,'Trade Log'!$C$4:$C$503,"SHORT"))</f>
        <v/>
      </c>
      <c r="G142" s="21">
        <f>IF($A142="","",$E142+$F142)</f>
        <v/>
      </c>
      <c r="H142" s="21">
        <f>IF($A142="","",$H141+IF($G142="",0,$G142))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Log'!$K$4:$K$503,'Trade Log'!$G$4:$G$503,$A143,'Trade Log'!$C$4:$C$503,"LONG"))</f>
        <v/>
      </c>
      <c r="F143" s="21">
        <f>IF($A143="","",SUMIFS('Trade Log'!$K$4:$K$503,'Trade Log'!$G$4:$G$503,$A143,'Trade Log'!$C$4:$C$503,"SHORT"))</f>
        <v/>
      </c>
      <c r="G143" s="21">
        <f>IF($A143="","",$E143+$F143)</f>
        <v/>
      </c>
      <c r="H143" s="21">
        <f>IF($A143="","",$H142+IF($G143="",0,$G143))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Log'!$K$4:$K$503,'Trade Log'!$G$4:$G$503,$A144,'Trade Log'!$C$4:$C$503,"LONG"))</f>
        <v/>
      </c>
      <c r="F144" s="21">
        <f>IF($A144="","",SUMIFS('Trade Log'!$K$4:$K$503,'Trade Log'!$G$4:$G$503,$A144,'Trade Log'!$C$4:$C$503,"SHORT"))</f>
        <v/>
      </c>
      <c r="G144" s="21">
        <f>IF($A144="","",$E144+$F144)</f>
        <v/>
      </c>
      <c r="H144" s="21">
        <f>IF($A144="","",$H143+IF($G144="",0,$G144))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Log'!$K$4:$K$503,'Trade Log'!$G$4:$G$503,$A145,'Trade Log'!$C$4:$C$503,"LONG"))</f>
        <v/>
      </c>
      <c r="F145" s="21">
        <f>IF($A145="","",SUMIFS('Trade Log'!$K$4:$K$503,'Trade Log'!$G$4:$G$503,$A145,'Trade Log'!$C$4:$C$503,"SHORT"))</f>
        <v/>
      </c>
      <c r="G145" s="21">
        <f>IF($A145="","",$E145+$F145)</f>
        <v/>
      </c>
      <c r="H145" s="21">
        <f>IF($A145="","",$H144+IF($G145="",0,$G145))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Log'!$K$4:$K$503,'Trade Log'!$G$4:$G$503,$A146,'Trade Log'!$C$4:$C$503,"LONG"))</f>
        <v/>
      </c>
      <c r="F146" s="21">
        <f>IF($A146="","",SUMIFS('Trade Log'!$K$4:$K$503,'Trade Log'!$G$4:$G$503,$A146,'Trade Log'!$C$4:$C$503,"SHORT"))</f>
        <v/>
      </c>
      <c r="G146" s="21">
        <f>IF($A146="","",$E146+$F146)</f>
        <v/>
      </c>
      <c r="H146" s="21">
        <f>IF($A146="","",$H145+IF($G146="",0,$G146))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Log'!$K$4:$K$503,'Trade Log'!$G$4:$G$503,$A147,'Trade Log'!$C$4:$C$503,"LONG"))</f>
        <v/>
      </c>
      <c r="F147" s="21">
        <f>IF($A147="","",SUMIFS('Trade Log'!$K$4:$K$503,'Trade Log'!$G$4:$G$503,$A147,'Trade Log'!$C$4:$C$503,"SHORT"))</f>
        <v/>
      </c>
      <c r="G147" s="21">
        <f>IF($A147="","",$E147+$F147)</f>
        <v/>
      </c>
      <c r="H147" s="21">
        <f>IF($A147="","",$H146+IF($G147="",0,$G147))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Log'!$K$4:$K$503,'Trade Log'!$G$4:$G$503,$A148,'Trade Log'!$C$4:$C$503,"LONG"))</f>
        <v/>
      </c>
      <c r="F148" s="21">
        <f>IF($A148="","",SUMIFS('Trade Log'!$K$4:$K$503,'Trade Log'!$G$4:$G$503,$A148,'Trade Log'!$C$4:$C$503,"SHORT"))</f>
        <v/>
      </c>
      <c r="G148" s="21">
        <f>IF($A148="","",$E148+$F148)</f>
        <v/>
      </c>
      <c r="H148" s="21">
        <f>IF($A148="","",$H147+IF($G148="",0,$G148))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Log'!$K$4:$K$503,'Trade Log'!$G$4:$G$503,$A149,'Trade Log'!$C$4:$C$503,"LONG"))</f>
        <v/>
      </c>
      <c r="F149" s="21">
        <f>IF($A149="","",SUMIFS('Trade Log'!$K$4:$K$503,'Trade Log'!$G$4:$G$503,$A149,'Trade Log'!$C$4:$C$503,"SHORT"))</f>
        <v/>
      </c>
      <c r="G149" s="21">
        <f>IF($A149="","",$E149+$F149)</f>
        <v/>
      </c>
      <c r="H149" s="21">
        <f>IF($A149="","",$H148+IF($G149="",0,$G149))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Log'!$K$4:$K$503,'Trade Log'!$G$4:$G$503,$A150,'Trade Log'!$C$4:$C$503,"LONG"))</f>
        <v/>
      </c>
      <c r="F150" s="21">
        <f>IF($A150="","",SUMIFS('Trade Log'!$K$4:$K$503,'Trade Log'!$G$4:$G$503,$A150,'Trade Log'!$C$4:$C$503,"SHORT"))</f>
        <v/>
      </c>
      <c r="G150" s="21">
        <f>IF($A150="","",$E150+$F150)</f>
        <v/>
      </c>
      <c r="H150" s="21">
        <f>IF($A150="","",$H149+IF($G150="",0,$G150))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Log'!$K$4:$K$503,'Trade Log'!$G$4:$G$503,$A151,'Trade Log'!$C$4:$C$503,"LONG"))</f>
        <v/>
      </c>
      <c r="F151" s="21">
        <f>IF($A151="","",SUMIFS('Trade Log'!$K$4:$K$503,'Trade Log'!$G$4:$G$503,$A151,'Trade Log'!$C$4:$C$503,"SHORT"))</f>
        <v/>
      </c>
      <c r="G151" s="21">
        <f>IF($A151="","",$E151+$F151)</f>
        <v/>
      </c>
      <c r="H151" s="21">
        <f>IF($A151="","",$H150+IF($G151="",0,$G151))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Log'!$K$4:$K$503,'Trade Log'!$G$4:$G$503,$A152,'Trade Log'!$C$4:$C$503,"LONG"))</f>
        <v/>
      </c>
      <c r="F152" s="21">
        <f>IF($A152="","",SUMIFS('Trade Log'!$K$4:$K$503,'Trade Log'!$G$4:$G$503,$A152,'Trade Log'!$C$4:$C$503,"SHORT"))</f>
        <v/>
      </c>
      <c r="G152" s="21">
        <f>IF($A152="","",$E152+$F152)</f>
        <v/>
      </c>
      <c r="H152" s="21">
        <f>IF($A152="","",$H151+IF($G152="",0,$G152))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Log'!$K$4:$K$503,'Trade Log'!$G$4:$G$503,$A153,'Trade Log'!$C$4:$C$503,"LONG"))</f>
        <v/>
      </c>
      <c r="F153" s="21">
        <f>IF($A153="","",SUMIFS('Trade Log'!$K$4:$K$503,'Trade Log'!$G$4:$G$503,$A153,'Trade Log'!$C$4:$C$503,"SHORT"))</f>
        <v/>
      </c>
      <c r="G153" s="21">
        <f>IF($A153="","",$E153+$F153)</f>
        <v/>
      </c>
      <c r="H153" s="21">
        <f>IF($A153="","",$H152+IF($G153="",0,$G153))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Log'!$K$4:$K$503,'Trade Log'!$G$4:$G$503,$A154,'Trade Log'!$C$4:$C$503,"LONG"))</f>
        <v/>
      </c>
      <c r="F154" s="21">
        <f>IF($A154="","",SUMIFS('Trade Log'!$K$4:$K$503,'Trade Log'!$G$4:$G$503,$A154,'Trade Log'!$C$4:$C$503,"SHORT"))</f>
        <v/>
      </c>
      <c r="G154" s="21">
        <f>IF($A154="","",$E154+$F154)</f>
        <v/>
      </c>
      <c r="H154" s="21">
        <f>IF($A154="","",$H153+IF($G154="",0,$G154))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Log'!$K$4:$K$503,'Trade Log'!$G$4:$G$503,$A155,'Trade Log'!$C$4:$C$503,"LONG"))</f>
        <v/>
      </c>
      <c r="F155" s="21">
        <f>IF($A155="","",SUMIFS('Trade Log'!$K$4:$K$503,'Trade Log'!$G$4:$G$503,$A155,'Trade Log'!$C$4:$C$503,"SHORT"))</f>
        <v/>
      </c>
      <c r="G155" s="21">
        <f>IF($A155="","",$E155+$F155)</f>
        <v/>
      </c>
      <c r="H155" s="21">
        <f>IF($A155="","",$H154+IF($G155="",0,$G155))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Log'!$K$4:$K$503,'Trade Log'!$G$4:$G$503,$A156,'Trade Log'!$C$4:$C$503,"LONG"))</f>
        <v/>
      </c>
      <c r="F156" s="21">
        <f>IF($A156="","",SUMIFS('Trade Log'!$K$4:$K$503,'Trade Log'!$G$4:$G$503,$A156,'Trade Log'!$C$4:$C$503,"SHORT"))</f>
        <v/>
      </c>
      <c r="G156" s="21">
        <f>IF($A156="","",$E156+$F156)</f>
        <v/>
      </c>
      <c r="H156" s="21">
        <f>IF($A156="","",$H155+IF($G156="",0,$G156))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Log'!$K$4:$K$503,'Trade Log'!$G$4:$G$503,$A157,'Trade Log'!$C$4:$C$503,"LONG"))</f>
        <v/>
      </c>
      <c r="F157" s="21">
        <f>IF($A157="","",SUMIFS('Trade Log'!$K$4:$K$503,'Trade Log'!$G$4:$G$503,$A157,'Trade Log'!$C$4:$C$503,"SHORT"))</f>
        <v/>
      </c>
      <c r="G157" s="21">
        <f>IF($A157="","",$E157+$F157)</f>
        <v/>
      </c>
      <c r="H157" s="21">
        <f>IF($A157="","",$H156+IF($G157="",0,$G157))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Log'!$K$4:$K$503,'Trade Log'!$G$4:$G$503,$A158,'Trade Log'!$C$4:$C$503,"LONG"))</f>
        <v/>
      </c>
      <c r="F158" s="21">
        <f>IF($A158="","",SUMIFS('Trade Log'!$K$4:$K$503,'Trade Log'!$G$4:$G$503,$A158,'Trade Log'!$C$4:$C$503,"SHORT"))</f>
        <v/>
      </c>
      <c r="G158" s="21">
        <f>IF($A158="","",$E158+$F158)</f>
        <v/>
      </c>
      <c r="H158" s="21">
        <f>IF($A158="","",$H157+IF($G158="",0,$G158))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Log'!$K$4:$K$503,'Trade Log'!$G$4:$G$503,$A159,'Trade Log'!$C$4:$C$503,"LONG"))</f>
        <v/>
      </c>
      <c r="F159" s="21">
        <f>IF($A159="","",SUMIFS('Trade Log'!$K$4:$K$503,'Trade Log'!$G$4:$G$503,$A159,'Trade Log'!$C$4:$C$503,"SHORT"))</f>
        <v/>
      </c>
      <c r="G159" s="21">
        <f>IF($A159="","",$E159+$F159)</f>
        <v/>
      </c>
      <c r="H159" s="21">
        <f>IF($A159="","",$H158+IF($G159="",0,$G159))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Log'!$K$4:$K$503,'Trade Log'!$G$4:$G$503,$A160,'Trade Log'!$C$4:$C$503,"LONG"))</f>
        <v/>
      </c>
      <c r="F160" s="21">
        <f>IF($A160="","",SUMIFS('Trade Log'!$K$4:$K$503,'Trade Log'!$G$4:$G$503,$A160,'Trade Log'!$C$4:$C$503,"SHORT"))</f>
        <v/>
      </c>
      <c r="G160" s="21">
        <f>IF($A160="","",$E160+$F160)</f>
        <v/>
      </c>
      <c r="H160" s="21">
        <f>IF($A160="","",$H159+IF($G160="",0,$G160))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Log'!$K$4:$K$503,'Trade Log'!$G$4:$G$503,$A161,'Trade Log'!$C$4:$C$503,"LONG"))</f>
        <v/>
      </c>
      <c r="F161" s="21">
        <f>IF($A161="","",SUMIFS('Trade Log'!$K$4:$K$503,'Trade Log'!$G$4:$G$503,$A161,'Trade Log'!$C$4:$C$503,"SHORT"))</f>
        <v/>
      </c>
      <c r="G161" s="21">
        <f>IF($A161="","",$E161+$F161)</f>
        <v/>
      </c>
      <c r="H161" s="21">
        <f>IF($A161="","",$H160+IF($G161="",0,$G161))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Log'!$K$4:$K$503,'Trade Log'!$G$4:$G$503,$A162,'Trade Log'!$C$4:$C$503,"LONG"))</f>
        <v/>
      </c>
      <c r="F162" s="21">
        <f>IF($A162="","",SUMIFS('Trade Log'!$K$4:$K$503,'Trade Log'!$G$4:$G$503,$A162,'Trade Log'!$C$4:$C$503,"SHORT"))</f>
        <v/>
      </c>
      <c r="G162" s="21">
        <f>IF($A162="","",$E162+$F162)</f>
        <v/>
      </c>
      <c r="H162" s="21">
        <f>IF($A162="","",$H161+IF($G162="",0,$G162))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Log'!$K$4:$K$503,'Trade Log'!$G$4:$G$503,$A163,'Trade Log'!$C$4:$C$503,"LONG"))</f>
        <v/>
      </c>
      <c r="F163" s="21">
        <f>IF($A163="","",SUMIFS('Trade Log'!$K$4:$K$503,'Trade Log'!$G$4:$G$503,$A163,'Trade Log'!$C$4:$C$503,"SHORT"))</f>
        <v/>
      </c>
      <c r="G163" s="21">
        <f>IF($A163="","",$E163+$F163)</f>
        <v/>
      </c>
      <c r="H163" s="21">
        <f>IF($A163="","",$H162+IF($G163="",0,$G163))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Log'!$K$4:$K$503,'Trade Log'!$G$4:$G$503,$A164,'Trade Log'!$C$4:$C$503,"LONG"))</f>
        <v/>
      </c>
      <c r="F164" s="21">
        <f>IF($A164="","",SUMIFS('Trade Log'!$K$4:$K$503,'Trade Log'!$G$4:$G$503,$A164,'Trade Log'!$C$4:$C$503,"SHORT"))</f>
        <v/>
      </c>
      <c r="G164" s="21">
        <f>IF($A164="","",$E164+$F164)</f>
        <v/>
      </c>
      <c r="H164" s="21">
        <f>IF($A164="","",$H163+IF($G164="",0,$G164))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Log'!$K$4:$K$503,'Trade Log'!$G$4:$G$503,$A165,'Trade Log'!$C$4:$C$503,"LONG"))</f>
        <v/>
      </c>
      <c r="F165" s="21">
        <f>IF($A165="","",SUMIFS('Trade Log'!$K$4:$K$503,'Trade Log'!$G$4:$G$503,$A165,'Trade Log'!$C$4:$C$503,"SHORT"))</f>
        <v/>
      </c>
      <c r="G165" s="21">
        <f>IF($A165="","",$E165+$F165)</f>
        <v/>
      </c>
      <c r="H165" s="21">
        <f>IF($A165="","",$H164+IF($G165="",0,$G165))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Log'!$K$4:$K$503,'Trade Log'!$G$4:$G$503,$A166,'Trade Log'!$C$4:$C$503,"LONG"))</f>
        <v/>
      </c>
      <c r="F166" s="21">
        <f>IF($A166="","",SUMIFS('Trade Log'!$K$4:$K$503,'Trade Log'!$G$4:$G$503,$A166,'Trade Log'!$C$4:$C$503,"SHORT"))</f>
        <v/>
      </c>
      <c r="G166" s="21">
        <f>IF($A166="","",$E166+$F166)</f>
        <v/>
      </c>
      <c r="H166" s="21">
        <f>IF($A166="","",$H165+IF($G166="",0,$G166))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Log'!$K$4:$K$503,'Trade Log'!$G$4:$G$503,$A167,'Trade Log'!$C$4:$C$503,"LONG"))</f>
        <v/>
      </c>
      <c r="F167" s="21">
        <f>IF($A167="","",SUMIFS('Trade Log'!$K$4:$K$503,'Trade Log'!$G$4:$G$503,$A167,'Trade Log'!$C$4:$C$503,"SHORT"))</f>
        <v/>
      </c>
      <c r="G167" s="21">
        <f>IF($A167="","",$E167+$F167)</f>
        <v/>
      </c>
      <c r="H167" s="21">
        <f>IF($A167="","",$H166+IF($G167="",0,$G167))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Log'!$K$4:$K$503,'Trade Log'!$G$4:$G$503,$A168,'Trade Log'!$C$4:$C$503,"LONG"))</f>
        <v/>
      </c>
      <c r="F168" s="21">
        <f>IF($A168="","",SUMIFS('Trade Log'!$K$4:$K$503,'Trade Log'!$G$4:$G$503,$A168,'Trade Log'!$C$4:$C$503,"SHORT"))</f>
        <v/>
      </c>
      <c r="G168" s="21">
        <f>IF($A168="","",$E168+$F168)</f>
        <v/>
      </c>
      <c r="H168" s="21">
        <f>IF($A168="","",$H167+IF($G168="",0,$G168))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Log'!$K$4:$K$503,'Trade Log'!$G$4:$G$503,$A169,'Trade Log'!$C$4:$C$503,"LONG"))</f>
        <v/>
      </c>
      <c r="F169" s="21">
        <f>IF($A169="","",SUMIFS('Trade Log'!$K$4:$K$503,'Trade Log'!$G$4:$G$503,$A169,'Trade Log'!$C$4:$C$503,"SHORT"))</f>
        <v/>
      </c>
      <c r="G169" s="21">
        <f>IF($A169="","",$E169+$F169)</f>
        <v/>
      </c>
      <c r="H169" s="21">
        <f>IF($A169="","",$H168+IF($G169="",0,$G169))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Log'!$K$4:$K$503,'Trade Log'!$G$4:$G$503,$A170,'Trade Log'!$C$4:$C$503,"LONG"))</f>
        <v/>
      </c>
      <c r="F170" s="21">
        <f>IF($A170="","",SUMIFS('Trade Log'!$K$4:$K$503,'Trade Log'!$G$4:$G$503,$A170,'Trade Log'!$C$4:$C$503,"SHORT"))</f>
        <v/>
      </c>
      <c r="G170" s="21">
        <f>IF($A170="","",$E170+$F170)</f>
        <v/>
      </c>
      <c r="H170" s="21">
        <f>IF($A170="","",$H169+IF($G170="",0,$G170))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Log'!$K$4:$K$503,'Trade Log'!$G$4:$G$503,$A171,'Trade Log'!$C$4:$C$503,"LONG"))</f>
        <v/>
      </c>
      <c r="F171" s="21">
        <f>IF($A171="","",SUMIFS('Trade Log'!$K$4:$K$503,'Trade Log'!$G$4:$G$503,$A171,'Trade Log'!$C$4:$C$503,"SHORT"))</f>
        <v/>
      </c>
      <c r="G171" s="21">
        <f>IF($A171="","",$E171+$F171)</f>
        <v/>
      </c>
      <c r="H171" s="21">
        <f>IF($A171="","",$H170+IF($G171="",0,$G171))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Log'!$K$4:$K$503,'Trade Log'!$G$4:$G$503,$A172,'Trade Log'!$C$4:$C$503,"LONG"))</f>
        <v/>
      </c>
      <c r="F172" s="21">
        <f>IF($A172="","",SUMIFS('Trade Log'!$K$4:$K$503,'Trade Log'!$G$4:$G$503,$A172,'Trade Log'!$C$4:$C$503,"SHORT"))</f>
        <v/>
      </c>
      <c r="G172" s="21">
        <f>IF($A172="","",$E172+$F172)</f>
        <v/>
      </c>
      <c r="H172" s="21">
        <f>IF($A172="","",$H171+IF($G172="",0,$G172))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Log'!$K$4:$K$503,'Trade Log'!$G$4:$G$503,$A173,'Trade Log'!$C$4:$C$503,"LONG"))</f>
        <v/>
      </c>
      <c r="F173" s="21">
        <f>IF($A173="","",SUMIFS('Trade Log'!$K$4:$K$503,'Trade Log'!$G$4:$G$503,$A173,'Trade Log'!$C$4:$C$503,"SHORT"))</f>
        <v/>
      </c>
      <c r="G173" s="21">
        <f>IF($A173="","",$E173+$F173)</f>
        <v/>
      </c>
      <c r="H173" s="21">
        <f>IF($A173="","",$H172+IF($G173="",0,$G173))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Log'!$K$4:$K$503,'Trade Log'!$G$4:$G$503,$A174,'Trade Log'!$C$4:$C$503,"LONG"))</f>
        <v/>
      </c>
      <c r="F174" s="21">
        <f>IF($A174="","",SUMIFS('Trade Log'!$K$4:$K$503,'Trade Log'!$G$4:$G$503,$A174,'Trade Log'!$C$4:$C$503,"SHORT"))</f>
        <v/>
      </c>
      <c r="G174" s="21">
        <f>IF($A174="","",$E174+$F174)</f>
        <v/>
      </c>
      <c r="H174" s="21">
        <f>IF($A174="","",$H173+IF($G174="",0,$G174))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Log'!$K$4:$K$503,'Trade Log'!$G$4:$G$503,$A175,'Trade Log'!$C$4:$C$503,"LONG"))</f>
        <v/>
      </c>
      <c r="F175" s="21">
        <f>IF($A175="","",SUMIFS('Trade Log'!$K$4:$K$503,'Trade Log'!$G$4:$G$503,$A175,'Trade Log'!$C$4:$C$503,"SHORT"))</f>
        <v/>
      </c>
      <c r="G175" s="21">
        <f>IF($A175="","",$E175+$F175)</f>
        <v/>
      </c>
      <c r="H175" s="21">
        <f>IF($A175="","",$H174+IF($G175="",0,$G175))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Log'!$K$4:$K$503,'Trade Log'!$G$4:$G$503,$A176,'Trade Log'!$C$4:$C$503,"LONG"))</f>
        <v/>
      </c>
      <c r="F176" s="21">
        <f>IF($A176="","",SUMIFS('Trade Log'!$K$4:$K$503,'Trade Log'!$G$4:$G$503,$A176,'Trade Log'!$C$4:$C$503,"SHORT"))</f>
        <v/>
      </c>
      <c r="G176" s="21">
        <f>IF($A176="","",$E176+$F176)</f>
        <v/>
      </c>
      <c r="H176" s="21">
        <f>IF($A176="","",$H175+IF($G176="",0,$G176))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Log'!$K$4:$K$503,'Trade Log'!$G$4:$G$503,$A177,'Trade Log'!$C$4:$C$503,"LONG"))</f>
        <v/>
      </c>
      <c r="F177" s="21">
        <f>IF($A177="","",SUMIFS('Trade Log'!$K$4:$K$503,'Trade Log'!$G$4:$G$503,$A177,'Trade Log'!$C$4:$C$503,"SHORT"))</f>
        <v/>
      </c>
      <c r="G177" s="21">
        <f>IF($A177="","",$E177+$F177)</f>
        <v/>
      </c>
      <c r="H177" s="21">
        <f>IF($A177="","",$H176+IF($G177="",0,$G177))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Log'!$K$4:$K$503,'Trade Log'!$G$4:$G$503,$A178,'Trade Log'!$C$4:$C$503,"LONG"))</f>
        <v/>
      </c>
      <c r="F178" s="21">
        <f>IF($A178="","",SUMIFS('Trade Log'!$K$4:$K$503,'Trade Log'!$G$4:$G$503,$A178,'Trade Log'!$C$4:$C$503,"SHORT"))</f>
        <v/>
      </c>
      <c r="G178" s="21">
        <f>IF($A178="","",$E178+$F178)</f>
        <v/>
      </c>
      <c r="H178" s="21">
        <f>IF($A178="","",$H177+IF($G178="",0,$G178))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Log'!$K$4:$K$503,'Trade Log'!$G$4:$G$503,$A179,'Trade Log'!$C$4:$C$503,"LONG"))</f>
        <v/>
      </c>
      <c r="F179" s="21">
        <f>IF($A179="","",SUMIFS('Trade Log'!$K$4:$K$503,'Trade Log'!$G$4:$G$503,$A179,'Trade Log'!$C$4:$C$503,"SHORT"))</f>
        <v/>
      </c>
      <c r="G179" s="21">
        <f>IF($A179="","",$E179+$F179)</f>
        <v/>
      </c>
      <c r="H179" s="21">
        <f>IF($A179="","",$H178+IF($G179="",0,$G179))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Log'!$K$4:$K$503,'Trade Log'!$G$4:$G$503,$A180,'Trade Log'!$C$4:$C$503,"LONG"))</f>
        <v/>
      </c>
      <c r="F180" s="21">
        <f>IF($A180="","",SUMIFS('Trade Log'!$K$4:$K$503,'Trade Log'!$G$4:$G$503,$A180,'Trade Log'!$C$4:$C$503,"SHORT"))</f>
        <v/>
      </c>
      <c r="G180" s="21">
        <f>IF($A180="","",$E180+$F180)</f>
        <v/>
      </c>
      <c r="H180" s="21">
        <f>IF($A180="","",$H179+IF($G180="",0,$G180))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Log'!$K$4:$K$503,'Trade Log'!$G$4:$G$503,$A181,'Trade Log'!$C$4:$C$503,"LONG"))</f>
        <v/>
      </c>
      <c r="F181" s="21">
        <f>IF($A181="","",SUMIFS('Trade Log'!$K$4:$K$503,'Trade Log'!$G$4:$G$503,$A181,'Trade Log'!$C$4:$C$503,"SHORT"))</f>
        <v/>
      </c>
      <c r="G181" s="21">
        <f>IF($A181="","",$E181+$F181)</f>
        <v/>
      </c>
      <c r="H181" s="21">
        <f>IF($A181="","",$H180+IF($G181="",0,$G181))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Log'!$K$4:$K$503,'Trade Log'!$G$4:$G$503,$A182,'Trade Log'!$C$4:$C$503,"LONG"))</f>
        <v/>
      </c>
      <c r="F182" s="21">
        <f>IF($A182="","",SUMIFS('Trade Log'!$K$4:$K$503,'Trade Log'!$G$4:$G$503,$A182,'Trade Log'!$C$4:$C$503,"SHORT"))</f>
        <v/>
      </c>
      <c r="G182" s="21">
        <f>IF($A182="","",$E182+$F182)</f>
        <v/>
      </c>
      <c r="H182" s="21">
        <f>IF($A182="","",$H181+IF($G182="",0,$G182))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Log'!$K$4:$K$503,'Trade Log'!$G$4:$G$503,$A183,'Trade Log'!$C$4:$C$503,"LONG"))</f>
        <v/>
      </c>
      <c r="F183" s="21">
        <f>IF($A183="","",SUMIFS('Trade Log'!$K$4:$K$503,'Trade Log'!$G$4:$G$503,$A183,'Trade Log'!$C$4:$C$503,"SHORT"))</f>
        <v/>
      </c>
      <c r="G183" s="21">
        <f>IF($A183="","",$E183+$F183)</f>
        <v/>
      </c>
      <c r="H183" s="21">
        <f>IF($A183="","",$H182+IF($G183="",0,$G183))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Log'!$K$4:$K$503,'Trade Log'!$G$4:$G$503,$A184,'Trade Log'!$C$4:$C$503,"LONG"))</f>
        <v/>
      </c>
      <c r="F184" s="21">
        <f>IF($A184="","",SUMIFS('Trade Log'!$K$4:$K$503,'Trade Log'!$G$4:$G$503,$A184,'Trade Log'!$C$4:$C$503,"SHORT"))</f>
        <v/>
      </c>
      <c r="G184" s="21">
        <f>IF($A184="","",$E184+$F184)</f>
        <v/>
      </c>
      <c r="H184" s="21">
        <f>IF($A184="","",$H183+IF($G184="",0,$G184))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Log'!$K$4:$K$503,'Trade Log'!$G$4:$G$503,$A185,'Trade Log'!$C$4:$C$503,"LONG"))</f>
        <v/>
      </c>
      <c r="F185" s="21">
        <f>IF($A185="","",SUMIFS('Trade Log'!$K$4:$K$503,'Trade Log'!$G$4:$G$503,$A185,'Trade Log'!$C$4:$C$503,"SHORT"))</f>
        <v/>
      </c>
      <c r="G185" s="21">
        <f>IF($A185="","",$E185+$F185)</f>
        <v/>
      </c>
      <c r="H185" s="21">
        <f>IF($A185="","",$H184+IF($G185="",0,$G185))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Log'!$K$4:$K$503,'Trade Log'!$G$4:$G$503,$A186,'Trade Log'!$C$4:$C$503,"LONG"))</f>
        <v/>
      </c>
      <c r="F186" s="21">
        <f>IF($A186="","",SUMIFS('Trade Log'!$K$4:$K$503,'Trade Log'!$G$4:$G$503,$A186,'Trade Log'!$C$4:$C$503,"SHORT"))</f>
        <v/>
      </c>
      <c r="G186" s="21">
        <f>IF($A186="","",$E186+$F186)</f>
        <v/>
      </c>
      <c r="H186" s="21">
        <f>IF($A186="","",$H185+IF($G186="",0,$G186))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Log'!$K$4:$K$503,'Trade Log'!$G$4:$G$503,$A187,'Trade Log'!$C$4:$C$503,"LONG"))</f>
        <v/>
      </c>
      <c r="F187" s="21">
        <f>IF($A187="","",SUMIFS('Trade Log'!$K$4:$K$503,'Trade Log'!$G$4:$G$503,$A187,'Trade Log'!$C$4:$C$503,"SHORT"))</f>
        <v/>
      </c>
      <c r="G187" s="21">
        <f>IF($A187="","",$E187+$F187)</f>
        <v/>
      </c>
      <c r="H187" s="21">
        <f>IF($A187="","",$H186+IF($G187="",0,$G187))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Log'!$K$4:$K$503,'Trade Log'!$G$4:$G$503,$A188,'Trade Log'!$C$4:$C$503,"LONG"))</f>
        <v/>
      </c>
      <c r="F188" s="21">
        <f>IF($A188="","",SUMIFS('Trade Log'!$K$4:$K$503,'Trade Log'!$G$4:$G$503,$A188,'Trade Log'!$C$4:$C$503,"SHORT"))</f>
        <v/>
      </c>
      <c r="G188" s="21">
        <f>IF($A188="","",$E188+$F188)</f>
        <v/>
      </c>
      <c r="H188" s="21">
        <f>IF($A188="","",$H187+IF($G188="",0,$G188))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Log'!$K$4:$K$503,'Trade Log'!$G$4:$G$503,$A189,'Trade Log'!$C$4:$C$503,"LONG"))</f>
        <v/>
      </c>
      <c r="F189" s="21">
        <f>IF($A189="","",SUMIFS('Trade Log'!$K$4:$K$503,'Trade Log'!$G$4:$G$503,$A189,'Trade Log'!$C$4:$C$503,"SHORT"))</f>
        <v/>
      </c>
      <c r="G189" s="21">
        <f>IF($A189="","",$E189+$F189)</f>
        <v/>
      </c>
      <c r="H189" s="21">
        <f>IF($A189="","",$H188+IF($G189="",0,$G189))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Log'!$K$4:$K$503,'Trade Log'!$G$4:$G$503,$A190,'Trade Log'!$C$4:$C$503,"LONG"))</f>
        <v/>
      </c>
      <c r="F190" s="21">
        <f>IF($A190="","",SUMIFS('Trade Log'!$K$4:$K$503,'Trade Log'!$G$4:$G$503,$A190,'Trade Log'!$C$4:$C$503,"SHORT"))</f>
        <v/>
      </c>
      <c r="G190" s="21">
        <f>IF($A190="","",$E190+$F190)</f>
        <v/>
      </c>
      <c r="H190" s="21">
        <f>IF($A190="","",$H189+IF($G190="",0,$G190))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Log'!$K$4:$K$503,'Trade Log'!$G$4:$G$503,$A191,'Trade Log'!$C$4:$C$503,"LONG"))</f>
        <v/>
      </c>
      <c r="F191" s="21">
        <f>IF($A191="","",SUMIFS('Trade Log'!$K$4:$K$503,'Trade Log'!$G$4:$G$503,$A191,'Trade Log'!$C$4:$C$503,"SHORT"))</f>
        <v/>
      </c>
      <c r="G191" s="21">
        <f>IF($A191="","",$E191+$F191)</f>
        <v/>
      </c>
      <c r="H191" s="21">
        <f>IF($A191="","",$H190+IF($G191="",0,$G191))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Log'!$K$4:$K$503,'Trade Log'!$G$4:$G$503,$A192,'Trade Log'!$C$4:$C$503,"LONG"))</f>
        <v/>
      </c>
      <c r="F192" s="21">
        <f>IF($A192="","",SUMIFS('Trade Log'!$K$4:$K$503,'Trade Log'!$G$4:$G$503,$A192,'Trade Log'!$C$4:$C$503,"SHORT"))</f>
        <v/>
      </c>
      <c r="G192" s="21">
        <f>IF($A192="","",$E192+$F192)</f>
        <v/>
      </c>
      <c r="H192" s="21">
        <f>IF($A192="","",$H191+IF($G192="",0,$G192))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Log'!$K$4:$K$503,'Trade Log'!$G$4:$G$503,$A193,'Trade Log'!$C$4:$C$503,"LONG"))</f>
        <v/>
      </c>
      <c r="F193" s="21">
        <f>IF($A193="","",SUMIFS('Trade Log'!$K$4:$K$503,'Trade Log'!$G$4:$G$503,$A193,'Trade Log'!$C$4:$C$503,"SHORT"))</f>
        <v/>
      </c>
      <c r="G193" s="21">
        <f>IF($A193="","",$E193+$F193)</f>
        <v/>
      </c>
      <c r="H193" s="21">
        <f>IF($A193="","",$H192+IF($G193="",0,$G193))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Log'!$K$4:$K$503,'Trade Log'!$G$4:$G$503,$A194,'Trade Log'!$C$4:$C$503,"LONG"))</f>
        <v/>
      </c>
      <c r="F194" s="21">
        <f>IF($A194="","",SUMIFS('Trade Log'!$K$4:$K$503,'Trade Log'!$G$4:$G$503,$A194,'Trade Log'!$C$4:$C$503,"SHORT"))</f>
        <v/>
      </c>
      <c r="G194" s="21">
        <f>IF($A194="","",$E194+$F194)</f>
        <v/>
      </c>
      <c r="H194" s="21">
        <f>IF($A194="","",$H193+IF($G194="",0,$G194))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Log'!$K$4:$K$503,'Trade Log'!$G$4:$G$503,$A195,'Trade Log'!$C$4:$C$503,"LONG"))</f>
        <v/>
      </c>
      <c r="F195" s="21">
        <f>IF($A195="","",SUMIFS('Trade Log'!$K$4:$K$503,'Trade Log'!$G$4:$G$503,$A195,'Trade Log'!$C$4:$C$503,"SHORT"))</f>
        <v/>
      </c>
      <c r="G195" s="21">
        <f>IF($A195="","",$E195+$F195)</f>
        <v/>
      </c>
      <c r="H195" s="21">
        <f>IF($A195="","",$H194+IF($G195="",0,$G195))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Log'!$K$4:$K$503,'Trade Log'!$G$4:$G$503,$A196,'Trade Log'!$C$4:$C$503,"LONG"))</f>
        <v/>
      </c>
      <c r="F196" s="21">
        <f>IF($A196="","",SUMIFS('Trade Log'!$K$4:$K$503,'Trade Log'!$G$4:$G$503,$A196,'Trade Log'!$C$4:$C$503,"SHORT"))</f>
        <v/>
      </c>
      <c r="G196" s="21">
        <f>IF($A196="","",$E196+$F196)</f>
        <v/>
      </c>
      <c r="H196" s="21">
        <f>IF($A196="","",$H195+IF($G196="",0,$G196))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Log'!$K$4:$K$503,'Trade Log'!$G$4:$G$503,$A197,'Trade Log'!$C$4:$C$503,"LONG"))</f>
        <v/>
      </c>
      <c r="F197" s="21">
        <f>IF($A197="","",SUMIFS('Trade Log'!$K$4:$K$503,'Trade Log'!$G$4:$G$503,$A197,'Trade Log'!$C$4:$C$503,"SHORT"))</f>
        <v/>
      </c>
      <c r="G197" s="21">
        <f>IF($A197="","",$E197+$F197)</f>
        <v/>
      </c>
      <c r="H197" s="21">
        <f>IF($A197="","",$H196+IF($G197="",0,$G197))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Log'!$K$4:$K$503,'Trade Log'!$G$4:$G$503,$A198,'Trade Log'!$C$4:$C$503,"LONG"))</f>
        <v/>
      </c>
      <c r="F198" s="21">
        <f>IF($A198="","",SUMIFS('Trade Log'!$K$4:$K$503,'Trade Log'!$G$4:$G$503,$A198,'Trade Log'!$C$4:$C$503,"SHORT"))</f>
        <v/>
      </c>
      <c r="G198" s="21">
        <f>IF($A198="","",$E198+$F198)</f>
        <v/>
      </c>
      <c r="H198" s="21">
        <f>IF($A198="","",$H197+IF($G198="",0,$G198))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Log'!$K$4:$K$503,'Trade Log'!$G$4:$G$503,$A199,'Trade Log'!$C$4:$C$503,"LONG"))</f>
        <v/>
      </c>
      <c r="F199" s="21">
        <f>IF($A199="","",SUMIFS('Trade Log'!$K$4:$K$503,'Trade Log'!$G$4:$G$503,$A199,'Trade Log'!$C$4:$C$503,"SHORT"))</f>
        <v/>
      </c>
      <c r="G199" s="21">
        <f>IF($A199="","",$E199+$F199)</f>
        <v/>
      </c>
      <c r="H199" s="21">
        <f>IF($A199="","",$H198+IF($G199="",0,$G199))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Log'!$K$4:$K$503,'Trade Log'!$G$4:$G$503,$A200,'Trade Log'!$C$4:$C$503,"LONG"))</f>
        <v/>
      </c>
      <c r="F200" s="21">
        <f>IF($A200="","",SUMIFS('Trade Log'!$K$4:$K$503,'Trade Log'!$G$4:$G$503,$A200,'Trade Log'!$C$4:$C$503,"SHORT"))</f>
        <v/>
      </c>
      <c r="G200" s="21">
        <f>IF($A200="","",$E200+$F200)</f>
        <v/>
      </c>
      <c r="H200" s="21">
        <f>IF($A200="","",$H199+IF($G200="",0,$G200))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Log'!$K$4:$K$503,'Trade Log'!$G$4:$G$503,$A201,'Trade Log'!$C$4:$C$503,"LONG"))</f>
        <v/>
      </c>
      <c r="F201" s="21">
        <f>IF($A201="","",SUMIFS('Trade Log'!$K$4:$K$503,'Trade Log'!$G$4:$G$503,$A201,'Trade Log'!$C$4:$C$503,"SHORT"))</f>
        <v/>
      </c>
      <c r="G201" s="21">
        <f>IF($A201="","",$E201+$F201)</f>
        <v/>
      </c>
      <c r="H201" s="21">
        <f>IF($A201="","",$H200+IF($G201="",0,$G201))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Log'!$K$4:$K$503,'Trade Log'!$G$4:$G$503,$A202,'Trade Log'!$C$4:$C$503,"LONG"))</f>
        <v/>
      </c>
      <c r="F202" s="21">
        <f>IF($A202="","",SUMIFS('Trade Log'!$K$4:$K$503,'Trade Log'!$G$4:$G$503,$A202,'Trade Log'!$C$4:$C$503,"SHORT"))</f>
        <v/>
      </c>
      <c r="G202" s="21">
        <f>IF($A202="","",$E202+$F202)</f>
        <v/>
      </c>
      <c r="H202" s="21">
        <f>IF($A202="","",$H201+IF($G202="",0,$G202))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Log'!$K$4:$K$503,'Trade Log'!$G$4:$G$503,$A203,'Trade Log'!$C$4:$C$503,"LONG"))</f>
        <v/>
      </c>
      <c r="F203" s="21">
        <f>IF($A203="","",SUMIFS('Trade Log'!$K$4:$K$503,'Trade Log'!$G$4:$G$503,$A203,'Trade Log'!$C$4:$C$503,"SHORT"))</f>
        <v/>
      </c>
      <c r="G203" s="21">
        <f>IF($A203="","",$E203+$F203)</f>
        <v/>
      </c>
      <c r="H203" s="21">
        <f>IF($A203="","",$H202+IF($G203="",0,$G203))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Log'!$K$4:$K$503,'Trade Log'!$G$4:$G$503,$A204,'Trade Log'!$C$4:$C$503,"LONG"))</f>
        <v/>
      </c>
      <c r="F204" s="21">
        <f>IF($A204="","",SUMIFS('Trade Log'!$K$4:$K$503,'Trade Log'!$G$4:$G$503,$A204,'Trade Log'!$C$4:$C$503,"SHORT"))</f>
        <v/>
      </c>
      <c r="G204" s="21">
        <f>IF($A204="","",$E204+$F204)</f>
        <v/>
      </c>
      <c r="H204" s="21">
        <f>IF($A204="","",$H203+IF($G204="",0,$G204))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Log'!$K$4:$K$503,'Trade Log'!$G$4:$G$503,$A205,'Trade Log'!$C$4:$C$503,"LONG"))</f>
        <v/>
      </c>
      <c r="F205" s="21">
        <f>IF($A205="","",SUMIFS('Trade Log'!$K$4:$K$503,'Trade Log'!$G$4:$G$503,$A205,'Trade Log'!$C$4:$C$503,"SHORT"))</f>
        <v/>
      </c>
      <c r="G205" s="21">
        <f>IF($A205="","",$E205+$F205)</f>
        <v/>
      </c>
      <c r="H205" s="21">
        <f>IF($A205="","",$H204+IF($G205="",0,$G205))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Log'!$K$4:$K$503,'Trade Log'!$G$4:$G$503,$A206,'Trade Log'!$C$4:$C$503,"LONG"))</f>
        <v/>
      </c>
      <c r="F206" s="21">
        <f>IF($A206="","",SUMIFS('Trade Log'!$K$4:$K$503,'Trade Log'!$G$4:$G$503,$A206,'Trade Log'!$C$4:$C$503,"SHORT"))</f>
        <v/>
      </c>
      <c r="G206" s="21">
        <f>IF($A206="","",$E206+$F206)</f>
        <v/>
      </c>
      <c r="H206" s="21">
        <f>IF($A206="","",$H205+IF($G206="",0,$G206))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Log'!$K$4:$K$503,'Trade Log'!$G$4:$G$503,$A207,'Trade Log'!$C$4:$C$503,"LONG"))</f>
        <v/>
      </c>
      <c r="F207" s="21">
        <f>IF($A207="","",SUMIFS('Trade Log'!$K$4:$K$503,'Trade Log'!$G$4:$G$503,$A207,'Trade Log'!$C$4:$C$503,"SHORT"))</f>
        <v/>
      </c>
      <c r="G207" s="21">
        <f>IF($A207="","",$E207+$F207)</f>
        <v/>
      </c>
      <c r="H207" s="21">
        <f>IF($A207="","",$H206+IF($G207="",0,$G207))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Log'!$K$4:$K$503,'Trade Log'!$G$4:$G$503,$A208,'Trade Log'!$C$4:$C$503,"LONG"))</f>
        <v/>
      </c>
      <c r="F208" s="21">
        <f>IF($A208="","",SUMIFS('Trade Log'!$K$4:$K$503,'Trade Log'!$G$4:$G$503,$A208,'Trade Log'!$C$4:$C$503,"SHORT"))</f>
        <v/>
      </c>
      <c r="G208" s="21">
        <f>IF($A208="","",$E208+$F208)</f>
        <v/>
      </c>
      <c r="H208" s="21">
        <f>IF($A208="","",$H207+IF($G208="",0,$G208))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Log'!$K$4:$K$503,'Trade Log'!$G$4:$G$503,$A209,'Trade Log'!$C$4:$C$503,"LONG"))</f>
        <v/>
      </c>
      <c r="F209" s="21">
        <f>IF($A209="","",SUMIFS('Trade Log'!$K$4:$K$503,'Trade Log'!$G$4:$G$503,$A209,'Trade Log'!$C$4:$C$503,"SHORT"))</f>
        <v/>
      </c>
      <c r="G209" s="21">
        <f>IF($A209="","",$E209+$F209)</f>
        <v/>
      </c>
      <c r="H209" s="21">
        <f>IF($A209="","",$H208+IF($G209="",0,$G209))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Log'!$K$4:$K$503,'Trade Log'!$G$4:$G$503,$A210,'Trade Log'!$C$4:$C$503,"LONG"))</f>
        <v/>
      </c>
      <c r="F210" s="21">
        <f>IF($A210="","",SUMIFS('Trade Log'!$K$4:$K$503,'Trade Log'!$G$4:$G$503,$A210,'Trade Log'!$C$4:$C$503,"SHORT"))</f>
        <v/>
      </c>
      <c r="G210" s="21">
        <f>IF($A210="","",$E210+$F210)</f>
        <v/>
      </c>
      <c r="H210" s="21">
        <f>IF($A210="","",$H209+IF($G210="",0,$G210))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Log'!$K$4:$K$503,'Trade Log'!$G$4:$G$503,$A211,'Trade Log'!$C$4:$C$503,"LONG"))</f>
        <v/>
      </c>
      <c r="F211" s="21">
        <f>IF($A211="","",SUMIFS('Trade Log'!$K$4:$K$503,'Trade Log'!$G$4:$G$503,$A211,'Trade Log'!$C$4:$C$503,"SHORT"))</f>
        <v/>
      </c>
      <c r="G211" s="21">
        <f>IF($A211="","",$E211+$F211)</f>
        <v/>
      </c>
      <c r="H211" s="21">
        <f>IF($A211="","",$H210+IF($G211="",0,$G211))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Log'!$K$4:$K$503,'Trade Log'!$G$4:$G$503,$A212,'Trade Log'!$C$4:$C$503,"LONG"))</f>
        <v/>
      </c>
      <c r="F212" s="21">
        <f>IF($A212="","",SUMIFS('Trade Log'!$K$4:$K$503,'Trade Log'!$G$4:$G$503,$A212,'Trade Log'!$C$4:$C$503,"SHORT"))</f>
        <v/>
      </c>
      <c r="G212" s="21">
        <f>IF($A212="","",$E212+$F212)</f>
        <v/>
      </c>
      <c r="H212" s="21">
        <f>IF($A212="","",$H211+IF($G212="",0,$G212))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Log'!$K$4:$K$503,'Trade Log'!$G$4:$G$503,$A213,'Trade Log'!$C$4:$C$503,"LONG"))</f>
        <v/>
      </c>
      <c r="F213" s="21">
        <f>IF($A213="","",SUMIFS('Trade Log'!$K$4:$K$503,'Trade Log'!$G$4:$G$503,$A213,'Trade Log'!$C$4:$C$503,"SHORT"))</f>
        <v/>
      </c>
      <c r="G213" s="21">
        <f>IF($A213="","",$E213+$F213)</f>
        <v/>
      </c>
      <c r="H213" s="21">
        <f>IF($A213="","",$H212+IF($G213="",0,$G213))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Log'!$K$4:$K$503,'Trade Log'!$G$4:$G$503,$A214,'Trade Log'!$C$4:$C$503,"LONG"))</f>
        <v/>
      </c>
      <c r="F214" s="21">
        <f>IF($A214="","",SUMIFS('Trade Log'!$K$4:$K$503,'Trade Log'!$G$4:$G$503,$A214,'Trade Log'!$C$4:$C$503,"SHORT"))</f>
        <v/>
      </c>
      <c r="G214" s="21">
        <f>IF($A214="","",$E214+$F214)</f>
        <v/>
      </c>
      <c r="H214" s="21">
        <f>IF($A214="","",$H213+IF($G214="",0,$G214))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Log'!$K$4:$K$503,'Trade Log'!$G$4:$G$503,$A215,'Trade Log'!$C$4:$C$503,"LONG"))</f>
        <v/>
      </c>
      <c r="F215" s="21">
        <f>IF($A215="","",SUMIFS('Trade Log'!$K$4:$K$503,'Trade Log'!$G$4:$G$503,$A215,'Trade Log'!$C$4:$C$503,"SHORT"))</f>
        <v/>
      </c>
      <c r="G215" s="21">
        <f>IF($A215="","",$E215+$F215)</f>
        <v/>
      </c>
      <c r="H215" s="21">
        <f>IF($A215="","",$H214+IF($G215="",0,$G215))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Log'!$K$4:$K$503,'Trade Log'!$G$4:$G$503,$A216,'Trade Log'!$C$4:$C$503,"LONG"))</f>
        <v/>
      </c>
      <c r="F216" s="21">
        <f>IF($A216="","",SUMIFS('Trade Log'!$K$4:$K$503,'Trade Log'!$G$4:$G$503,$A216,'Trade Log'!$C$4:$C$503,"SHORT"))</f>
        <v/>
      </c>
      <c r="G216" s="21">
        <f>IF($A216="","",$E216+$F216)</f>
        <v/>
      </c>
      <c r="H216" s="21">
        <f>IF($A216="","",$H215+IF($G216="",0,$G216))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Log'!$K$4:$K$503,'Trade Log'!$G$4:$G$503,$A217,'Trade Log'!$C$4:$C$503,"LONG"))</f>
        <v/>
      </c>
      <c r="F217" s="21">
        <f>IF($A217="","",SUMIFS('Trade Log'!$K$4:$K$503,'Trade Log'!$G$4:$G$503,$A217,'Trade Log'!$C$4:$C$503,"SHORT"))</f>
        <v/>
      </c>
      <c r="G217" s="21">
        <f>IF($A217="","",$E217+$F217)</f>
        <v/>
      </c>
      <c r="H217" s="21">
        <f>IF($A217="","",$H216+IF($G217="",0,$G217))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Log'!$K$4:$K$503,'Trade Log'!$G$4:$G$503,$A218,'Trade Log'!$C$4:$C$503,"LONG"))</f>
        <v/>
      </c>
      <c r="F218" s="21">
        <f>IF($A218="","",SUMIFS('Trade Log'!$K$4:$K$503,'Trade Log'!$G$4:$G$503,$A218,'Trade Log'!$C$4:$C$503,"SHORT"))</f>
        <v/>
      </c>
      <c r="G218" s="21">
        <f>IF($A218="","",$E218+$F218)</f>
        <v/>
      </c>
      <c r="H218" s="21">
        <f>IF($A218="","",$H217+IF($G218="",0,$G218))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Log'!$K$4:$K$503,'Trade Log'!$G$4:$G$503,$A219,'Trade Log'!$C$4:$C$503,"LONG"))</f>
        <v/>
      </c>
      <c r="F219" s="21">
        <f>IF($A219="","",SUMIFS('Trade Log'!$K$4:$K$503,'Trade Log'!$G$4:$G$503,$A219,'Trade Log'!$C$4:$C$503,"SHORT"))</f>
        <v/>
      </c>
      <c r="G219" s="21">
        <f>IF($A219="","",$E219+$F219)</f>
        <v/>
      </c>
      <c r="H219" s="21">
        <f>IF($A219="","",$H218+IF($G219="",0,$G219))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Log'!$K$4:$K$503,'Trade Log'!$G$4:$G$503,$A220,'Trade Log'!$C$4:$C$503,"LONG"))</f>
        <v/>
      </c>
      <c r="F220" s="21">
        <f>IF($A220="","",SUMIFS('Trade Log'!$K$4:$K$503,'Trade Log'!$G$4:$G$503,$A220,'Trade Log'!$C$4:$C$503,"SHORT"))</f>
        <v/>
      </c>
      <c r="G220" s="21">
        <f>IF($A220="","",$E220+$F220)</f>
        <v/>
      </c>
      <c r="H220" s="21">
        <f>IF($A220="","",$H219+IF($G220="",0,$G220))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Log'!$K$4:$K$503,'Trade Log'!$G$4:$G$503,$A221,'Trade Log'!$C$4:$C$503,"LONG"))</f>
        <v/>
      </c>
      <c r="F221" s="21">
        <f>IF($A221="","",SUMIFS('Trade Log'!$K$4:$K$503,'Trade Log'!$G$4:$G$503,$A221,'Trade Log'!$C$4:$C$503,"SHORT"))</f>
        <v/>
      </c>
      <c r="G221" s="21">
        <f>IF($A221="","",$E221+$F221)</f>
        <v/>
      </c>
      <c r="H221" s="21">
        <f>IF($A221="","",$H220+IF($G221="",0,$G221))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Log'!$K$4:$K$503,'Trade Log'!$G$4:$G$503,$A222,'Trade Log'!$C$4:$C$503,"LONG"))</f>
        <v/>
      </c>
      <c r="F222" s="21">
        <f>IF($A222="","",SUMIFS('Trade Log'!$K$4:$K$503,'Trade Log'!$G$4:$G$503,$A222,'Trade Log'!$C$4:$C$503,"SHORT"))</f>
        <v/>
      </c>
      <c r="G222" s="21">
        <f>IF($A222="","",$E222+$F222)</f>
        <v/>
      </c>
      <c r="H222" s="21">
        <f>IF($A222="","",$H221+IF($G222="",0,$G222))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Log'!$K$4:$K$503,'Trade Log'!$G$4:$G$503,$A223,'Trade Log'!$C$4:$C$503,"LONG"))</f>
        <v/>
      </c>
      <c r="F223" s="21">
        <f>IF($A223="","",SUMIFS('Trade Log'!$K$4:$K$503,'Trade Log'!$G$4:$G$503,$A223,'Trade Log'!$C$4:$C$503,"SHORT"))</f>
        <v/>
      </c>
      <c r="G223" s="21">
        <f>IF($A223="","",$E223+$F223)</f>
        <v/>
      </c>
      <c r="H223" s="21">
        <f>IF($A223="","",$H222+IF($G223="",0,$G223))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Log'!$K$4:$K$503,'Trade Log'!$G$4:$G$503,$A224,'Trade Log'!$C$4:$C$503,"LONG"))</f>
        <v/>
      </c>
      <c r="F224" s="21">
        <f>IF($A224="","",SUMIFS('Trade Log'!$K$4:$K$503,'Trade Log'!$G$4:$G$503,$A224,'Trade Log'!$C$4:$C$503,"SHORT"))</f>
        <v/>
      </c>
      <c r="G224" s="21">
        <f>IF($A224="","",$E224+$F224)</f>
        <v/>
      </c>
      <c r="H224" s="21">
        <f>IF($A224="","",$H223+IF($G224="",0,$G224))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Log'!$K$4:$K$503,'Trade Log'!$G$4:$G$503,$A225,'Trade Log'!$C$4:$C$503,"LONG"))</f>
        <v/>
      </c>
      <c r="F225" s="21">
        <f>IF($A225="","",SUMIFS('Trade Log'!$K$4:$K$503,'Trade Log'!$G$4:$G$503,$A225,'Trade Log'!$C$4:$C$503,"SHORT"))</f>
        <v/>
      </c>
      <c r="G225" s="21">
        <f>IF($A225="","",$E225+$F225)</f>
        <v/>
      </c>
      <c r="H225" s="21">
        <f>IF($A225="","",$H224+IF($G225="",0,$G225))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Log'!$K$4:$K$503,'Trade Log'!$G$4:$G$503,$A226,'Trade Log'!$C$4:$C$503,"LONG"))</f>
        <v/>
      </c>
      <c r="F226" s="21">
        <f>IF($A226="","",SUMIFS('Trade Log'!$K$4:$K$503,'Trade Log'!$G$4:$G$503,$A226,'Trade Log'!$C$4:$C$503,"SHORT"))</f>
        <v/>
      </c>
      <c r="G226" s="21">
        <f>IF($A226="","",$E226+$F226)</f>
        <v/>
      </c>
      <c r="H226" s="21">
        <f>IF($A226="","",$H225+IF($G226="",0,$G226))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Log'!$K$4:$K$503,'Trade Log'!$G$4:$G$503,$A227,'Trade Log'!$C$4:$C$503,"LONG"))</f>
        <v/>
      </c>
      <c r="F227" s="21">
        <f>IF($A227="","",SUMIFS('Trade Log'!$K$4:$K$503,'Trade Log'!$G$4:$G$503,$A227,'Trade Log'!$C$4:$C$503,"SHORT"))</f>
        <v/>
      </c>
      <c r="G227" s="21">
        <f>IF($A227="","",$E227+$F227)</f>
        <v/>
      </c>
      <c r="H227" s="21">
        <f>IF($A227="","",$H226+IF($G227="",0,$G227))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Log'!$K$4:$K$503,'Trade Log'!$G$4:$G$503,$A228,'Trade Log'!$C$4:$C$503,"LONG"))</f>
        <v/>
      </c>
      <c r="F228" s="21">
        <f>IF($A228="","",SUMIFS('Trade Log'!$K$4:$K$503,'Trade Log'!$G$4:$G$503,$A228,'Trade Log'!$C$4:$C$503,"SHORT"))</f>
        <v/>
      </c>
      <c r="G228" s="21">
        <f>IF($A228="","",$E228+$F228)</f>
        <v/>
      </c>
      <c r="H228" s="21">
        <f>IF($A228="","",$H227+IF($G228="",0,$G228))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Log'!$K$4:$K$503,'Trade Log'!$G$4:$G$503,$A229,'Trade Log'!$C$4:$C$503,"LONG"))</f>
        <v/>
      </c>
      <c r="F229" s="21">
        <f>IF($A229="","",SUMIFS('Trade Log'!$K$4:$K$503,'Trade Log'!$G$4:$G$503,$A229,'Trade Log'!$C$4:$C$503,"SHORT"))</f>
        <v/>
      </c>
      <c r="G229" s="21">
        <f>IF($A229="","",$E229+$F229)</f>
        <v/>
      </c>
      <c r="H229" s="21">
        <f>IF($A229="","",$H228+IF($G229="",0,$G229))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Log'!$K$4:$K$503,'Trade Log'!$G$4:$G$503,$A230,'Trade Log'!$C$4:$C$503,"LONG"))</f>
        <v/>
      </c>
      <c r="F230" s="21">
        <f>IF($A230="","",SUMIFS('Trade Log'!$K$4:$K$503,'Trade Log'!$G$4:$G$503,$A230,'Trade Log'!$C$4:$C$503,"SHORT"))</f>
        <v/>
      </c>
      <c r="G230" s="21">
        <f>IF($A230="","",$E230+$F230)</f>
        <v/>
      </c>
      <c r="H230" s="21">
        <f>IF($A230="","",$H229+IF($G230="",0,$G230))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Log'!$K$4:$K$503,'Trade Log'!$G$4:$G$503,$A231,'Trade Log'!$C$4:$C$503,"LONG"))</f>
        <v/>
      </c>
      <c r="F231" s="21">
        <f>IF($A231="","",SUMIFS('Trade Log'!$K$4:$K$503,'Trade Log'!$G$4:$G$503,$A231,'Trade Log'!$C$4:$C$503,"SHORT"))</f>
        <v/>
      </c>
      <c r="G231" s="21">
        <f>IF($A231="","",$E231+$F231)</f>
        <v/>
      </c>
      <c r="H231" s="21">
        <f>IF($A231="","",$H230+IF($G231="",0,$G231))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Log'!$K$4:$K$503,'Trade Log'!$G$4:$G$503,$A232,'Trade Log'!$C$4:$C$503,"LONG"))</f>
        <v/>
      </c>
      <c r="F232" s="21">
        <f>IF($A232="","",SUMIFS('Trade Log'!$K$4:$K$503,'Trade Log'!$G$4:$G$503,$A232,'Trade Log'!$C$4:$C$503,"SHORT"))</f>
        <v/>
      </c>
      <c r="G232" s="21">
        <f>IF($A232="","",$E232+$F232)</f>
        <v/>
      </c>
      <c r="H232" s="21">
        <f>IF($A232="","",$H231+IF($G232="",0,$G232))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Log'!$K$4:$K$503,'Trade Log'!$G$4:$G$503,$A233,'Trade Log'!$C$4:$C$503,"LONG"))</f>
        <v/>
      </c>
      <c r="F233" s="21">
        <f>IF($A233="","",SUMIFS('Trade Log'!$K$4:$K$503,'Trade Log'!$G$4:$G$503,$A233,'Trade Log'!$C$4:$C$503,"SHORT"))</f>
        <v/>
      </c>
      <c r="G233" s="21">
        <f>IF($A233="","",$E233+$F233)</f>
        <v/>
      </c>
      <c r="H233" s="21">
        <f>IF($A233="","",$H232+IF($G233="",0,$G233))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Log'!$K$4:$K$503,'Trade Log'!$G$4:$G$503,$A234,'Trade Log'!$C$4:$C$503,"LONG"))</f>
        <v/>
      </c>
      <c r="F234" s="21">
        <f>IF($A234="","",SUMIFS('Trade Log'!$K$4:$K$503,'Trade Log'!$G$4:$G$503,$A234,'Trade Log'!$C$4:$C$503,"SHORT"))</f>
        <v/>
      </c>
      <c r="G234" s="21">
        <f>IF($A234="","",$E234+$F234)</f>
        <v/>
      </c>
      <c r="H234" s="21">
        <f>IF($A234="","",$H233+IF($G234="",0,$G234))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Log'!$K$4:$K$503,'Trade Log'!$G$4:$G$503,$A235,'Trade Log'!$C$4:$C$503,"LONG"))</f>
        <v/>
      </c>
      <c r="F235" s="21">
        <f>IF($A235="","",SUMIFS('Trade Log'!$K$4:$K$503,'Trade Log'!$G$4:$G$503,$A235,'Trade Log'!$C$4:$C$503,"SHORT"))</f>
        <v/>
      </c>
      <c r="G235" s="21">
        <f>IF($A235="","",$E235+$F235)</f>
        <v/>
      </c>
      <c r="H235" s="21">
        <f>IF($A235="","",$H234+IF($G235="",0,$G235))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Log'!$K$4:$K$503,'Trade Log'!$G$4:$G$503,$A236,'Trade Log'!$C$4:$C$503,"LONG"))</f>
        <v/>
      </c>
      <c r="F236" s="21">
        <f>IF($A236="","",SUMIFS('Trade Log'!$K$4:$K$503,'Trade Log'!$G$4:$G$503,$A236,'Trade Log'!$C$4:$C$503,"SHORT"))</f>
        <v/>
      </c>
      <c r="G236" s="21">
        <f>IF($A236="","",$E236+$F236)</f>
        <v/>
      </c>
      <c r="H236" s="21">
        <f>IF($A236="","",$H235+IF($G236="",0,$G236))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Log'!$K$4:$K$503,'Trade Log'!$G$4:$G$503,$A237,'Trade Log'!$C$4:$C$503,"LONG"))</f>
        <v/>
      </c>
      <c r="F237" s="21">
        <f>IF($A237="","",SUMIFS('Trade Log'!$K$4:$K$503,'Trade Log'!$G$4:$G$503,$A237,'Trade Log'!$C$4:$C$503,"SHORT"))</f>
        <v/>
      </c>
      <c r="G237" s="21">
        <f>IF($A237="","",$E237+$F237)</f>
        <v/>
      </c>
      <c r="H237" s="21">
        <f>IF($A237="","",$H236+IF($G237="",0,$G237))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Log'!$K$4:$K$503,'Trade Log'!$G$4:$G$503,$A238,'Trade Log'!$C$4:$C$503,"LONG"))</f>
        <v/>
      </c>
      <c r="F238" s="21">
        <f>IF($A238="","",SUMIFS('Trade Log'!$K$4:$K$503,'Trade Log'!$G$4:$G$503,$A238,'Trade Log'!$C$4:$C$503,"SHORT"))</f>
        <v/>
      </c>
      <c r="G238" s="21">
        <f>IF($A238="","",$E238+$F238)</f>
        <v/>
      </c>
      <c r="H238" s="21">
        <f>IF($A238="","",$H237+IF($G238="",0,$G238))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Log'!$K$4:$K$503,'Trade Log'!$G$4:$G$503,$A239,'Trade Log'!$C$4:$C$503,"LONG"))</f>
        <v/>
      </c>
      <c r="F239" s="21">
        <f>IF($A239="","",SUMIFS('Trade Log'!$K$4:$K$503,'Trade Log'!$G$4:$G$503,$A239,'Trade Log'!$C$4:$C$503,"SHORT"))</f>
        <v/>
      </c>
      <c r="G239" s="21">
        <f>IF($A239="","",$E239+$F239)</f>
        <v/>
      </c>
      <c r="H239" s="21">
        <f>IF($A239="","",$H238+IF($G239="",0,$G239))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Log'!$K$4:$K$503,'Trade Log'!$G$4:$G$503,$A240,'Trade Log'!$C$4:$C$503,"LONG"))</f>
        <v/>
      </c>
      <c r="F240" s="21">
        <f>IF($A240="","",SUMIFS('Trade Log'!$K$4:$K$503,'Trade Log'!$G$4:$G$503,$A240,'Trade Log'!$C$4:$C$503,"SHORT"))</f>
        <v/>
      </c>
      <c r="G240" s="21">
        <f>IF($A240="","",$E240+$F240)</f>
        <v/>
      </c>
      <c r="H240" s="21">
        <f>IF($A240="","",$H239+IF($G240="",0,$G240))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Log'!$K$4:$K$503,'Trade Log'!$G$4:$G$503,$A241,'Trade Log'!$C$4:$C$503,"LONG"))</f>
        <v/>
      </c>
      <c r="F241" s="21">
        <f>IF($A241="","",SUMIFS('Trade Log'!$K$4:$K$503,'Trade Log'!$G$4:$G$503,$A241,'Trade Log'!$C$4:$C$503,"SHORT"))</f>
        <v/>
      </c>
      <c r="G241" s="21">
        <f>IF($A241="","",$E241+$F241)</f>
        <v/>
      </c>
      <c r="H241" s="21">
        <f>IF($A241="","",$H240+IF($G241="",0,$G241))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Log'!$K$4:$K$503,'Trade Log'!$G$4:$G$503,$A242,'Trade Log'!$C$4:$C$503,"LONG"))</f>
        <v/>
      </c>
      <c r="F242" s="21">
        <f>IF($A242="","",SUMIFS('Trade Log'!$K$4:$K$503,'Trade Log'!$G$4:$G$503,$A242,'Trade Log'!$C$4:$C$503,"SHORT"))</f>
        <v/>
      </c>
      <c r="G242" s="21">
        <f>IF($A242="","",$E242+$F242)</f>
        <v/>
      </c>
      <c r="H242" s="21">
        <f>IF($A242="","",$H241+IF($G242="",0,$G242))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Log'!$K$4:$K$503,'Trade Log'!$G$4:$G$503,$A243,'Trade Log'!$C$4:$C$503,"LONG"))</f>
        <v/>
      </c>
      <c r="F243" s="21">
        <f>IF($A243="","",SUMIFS('Trade Log'!$K$4:$K$503,'Trade Log'!$G$4:$G$503,$A243,'Trade Log'!$C$4:$C$503,"SHORT"))</f>
        <v/>
      </c>
      <c r="G243" s="21">
        <f>IF($A243="","",$E243+$F243)</f>
        <v/>
      </c>
      <c r="H243" s="21">
        <f>IF($A243="","",$H242+IF($G243="",0,$G243))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Log'!$K$4:$K$503,'Trade Log'!$G$4:$G$503,$A244,'Trade Log'!$C$4:$C$503,"LONG"))</f>
        <v/>
      </c>
      <c r="F244" s="21">
        <f>IF($A244="","",SUMIFS('Trade Log'!$K$4:$K$503,'Trade Log'!$G$4:$G$503,$A244,'Trade Log'!$C$4:$C$503,"SHORT"))</f>
        <v/>
      </c>
      <c r="G244" s="21">
        <f>IF($A244="","",$E244+$F244)</f>
        <v/>
      </c>
      <c r="H244" s="21">
        <f>IF($A244="","",$H243+IF($G244="",0,$G244))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Log'!$K$4:$K$503,'Trade Log'!$G$4:$G$503,$A245,'Trade Log'!$C$4:$C$503,"LONG"))</f>
        <v/>
      </c>
      <c r="F245" s="21">
        <f>IF($A245="","",SUMIFS('Trade Log'!$K$4:$K$503,'Trade Log'!$G$4:$G$503,$A245,'Trade Log'!$C$4:$C$503,"SHORT"))</f>
        <v/>
      </c>
      <c r="G245" s="21">
        <f>IF($A245="","",$E245+$F245)</f>
        <v/>
      </c>
      <c r="H245" s="21">
        <f>IF($A245="","",$H244+IF($G245="",0,$G245))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Log'!$K$4:$K$503,'Trade Log'!$G$4:$G$503,$A246,'Trade Log'!$C$4:$C$503,"LONG"))</f>
        <v/>
      </c>
      <c r="F246" s="21">
        <f>IF($A246="","",SUMIFS('Trade Log'!$K$4:$K$503,'Trade Log'!$G$4:$G$503,$A246,'Trade Log'!$C$4:$C$503,"SHORT"))</f>
        <v/>
      </c>
      <c r="G246" s="21">
        <f>IF($A246="","",$E246+$F246)</f>
        <v/>
      </c>
      <c r="H246" s="21">
        <f>IF($A246="","",$H245+IF($G246="",0,$G246))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Log'!$K$4:$K$503,'Trade Log'!$G$4:$G$503,$A247,'Trade Log'!$C$4:$C$503,"LONG"))</f>
        <v/>
      </c>
      <c r="F247" s="21">
        <f>IF($A247="","",SUMIFS('Trade Log'!$K$4:$K$503,'Trade Log'!$G$4:$G$503,$A247,'Trade Log'!$C$4:$C$503,"SHORT"))</f>
        <v/>
      </c>
      <c r="G247" s="21">
        <f>IF($A247="","",$E247+$F247)</f>
        <v/>
      </c>
      <c r="H247" s="21">
        <f>IF($A247="","",$H246+IF($G247="",0,$G247))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Log'!$K$4:$K$503,'Trade Log'!$G$4:$G$503,$A248,'Trade Log'!$C$4:$C$503,"LONG"))</f>
        <v/>
      </c>
      <c r="F248" s="21">
        <f>IF($A248="","",SUMIFS('Trade Log'!$K$4:$K$503,'Trade Log'!$G$4:$G$503,$A248,'Trade Log'!$C$4:$C$503,"SHORT"))</f>
        <v/>
      </c>
      <c r="G248" s="21">
        <f>IF($A248="","",$E248+$F248)</f>
        <v/>
      </c>
      <c r="H248" s="21">
        <f>IF($A248="","",$H247+IF($G248="",0,$G248))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Log'!$K$4:$K$503,'Trade Log'!$G$4:$G$503,$A249,'Trade Log'!$C$4:$C$503,"LONG"))</f>
        <v/>
      </c>
      <c r="F249" s="21">
        <f>IF($A249="","",SUMIFS('Trade Log'!$K$4:$K$503,'Trade Log'!$G$4:$G$503,$A249,'Trade Log'!$C$4:$C$503,"SHORT"))</f>
        <v/>
      </c>
      <c r="G249" s="21">
        <f>IF($A249="","",$E249+$F249)</f>
        <v/>
      </c>
      <c r="H249" s="21">
        <f>IF($A249="","",$H248+IF($G249="",0,$G249))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Log'!$K$4:$K$503,'Trade Log'!$G$4:$G$503,$A250,'Trade Log'!$C$4:$C$503,"LONG"))</f>
        <v/>
      </c>
      <c r="F250" s="21">
        <f>IF($A250="","",SUMIFS('Trade Log'!$K$4:$K$503,'Trade Log'!$G$4:$G$503,$A250,'Trade Log'!$C$4:$C$503,"SHORT"))</f>
        <v/>
      </c>
      <c r="G250" s="21">
        <f>IF($A250="","",$E250+$F250)</f>
        <v/>
      </c>
      <c r="H250" s="21">
        <f>IF($A250="","",$H249+IF($G250="",0,$G250))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Log'!$K$4:$K$503,'Trade Log'!$G$4:$G$503,$A251,'Trade Log'!$C$4:$C$503,"LONG"))</f>
        <v/>
      </c>
      <c r="F251" s="21">
        <f>IF($A251="","",SUMIFS('Trade Log'!$K$4:$K$503,'Trade Log'!$G$4:$G$503,$A251,'Trade Log'!$C$4:$C$503,"SHORT"))</f>
        <v/>
      </c>
      <c r="G251" s="21">
        <f>IF($A251="","",$E251+$F251)</f>
        <v/>
      </c>
      <c r="H251" s="21">
        <f>IF($A251="","",$H250+IF($G251="",0,$G251))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Log'!$K$4:$K$503,'Trade Log'!$G$4:$G$503,$A252,'Trade Log'!$C$4:$C$503,"LONG"))</f>
        <v/>
      </c>
      <c r="F252" s="21">
        <f>IF($A252="","",SUMIFS('Trade Log'!$K$4:$K$503,'Trade Log'!$G$4:$G$503,$A252,'Trade Log'!$C$4:$C$503,"SHORT"))</f>
        <v/>
      </c>
      <c r="G252" s="21">
        <f>IF($A252="","",$E252+$F252)</f>
        <v/>
      </c>
      <c r="H252" s="21">
        <f>IF($A252="","",$H251+IF($G252="",0,$G252))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Log'!$K$4:$K$503,'Trade Log'!$G$4:$G$503,$A253,'Trade Log'!$C$4:$C$503,"LONG"))</f>
        <v/>
      </c>
      <c r="F253" s="21">
        <f>IF($A253="","",SUMIFS('Trade Log'!$K$4:$K$503,'Trade Log'!$G$4:$G$503,$A253,'Trade Log'!$C$4:$C$503,"SHORT"))</f>
        <v/>
      </c>
      <c r="G253" s="21">
        <f>IF($A253="","",$E253+$F253)</f>
        <v/>
      </c>
      <c r="H253" s="21">
        <f>IF($A253="","",$H252+IF($G253="",0,$G253))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Log'!$K$4:$K$503,'Trade Log'!$G$4:$G$503,$A254,'Trade Log'!$C$4:$C$503,"LONG"))</f>
        <v/>
      </c>
      <c r="F254" s="21">
        <f>IF($A254="","",SUMIFS('Trade Log'!$K$4:$K$503,'Trade Log'!$G$4:$G$503,$A254,'Trade Log'!$C$4:$C$503,"SHORT"))</f>
        <v/>
      </c>
      <c r="G254" s="21">
        <f>IF($A254="","",$E254+$F254)</f>
        <v/>
      </c>
      <c r="H254" s="21">
        <f>IF($A254="","",$H253+IF($G254="",0,$G254))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Log'!$K$4:$K$503,'Trade Log'!$G$4:$G$503,$A255,'Trade Log'!$C$4:$C$503,"LONG"))</f>
        <v/>
      </c>
      <c r="F255" s="21">
        <f>IF($A255="","",SUMIFS('Trade Log'!$K$4:$K$503,'Trade Log'!$G$4:$G$503,$A255,'Trade Log'!$C$4:$C$503,"SHORT"))</f>
        <v/>
      </c>
      <c r="G255" s="21">
        <f>IF($A255="","",$E255+$F255)</f>
        <v/>
      </c>
      <c r="H255" s="21">
        <f>IF($A255="","",$H254+IF($G255="",0,$G255))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Log'!$K$4:$K$503,'Trade Log'!$G$4:$G$503,$A256,'Trade Log'!$C$4:$C$503,"LONG"))</f>
        <v/>
      </c>
      <c r="F256" s="21">
        <f>IF($A256="","",SUMIFS('Trade Log'!$K$4:$K$503,'Trade Log'!$G$4:$G$503,$A256,'Trade Log'!$C$4:$C$503,"SHORT"))</f>
        <v/>
      </c>
      <c r="G256" s="21">
        <f>IF($A256="","",$E256+$F256)</f>
        <v/>
      </c>
      <c r="H256" s="21">
        <f>IF($A256="","",$H255+IF($G256="",0,$G256))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Log'!$K$4:$K$503,'Trade Log'!$G$4:$G$503,$A257,'Trade Log'!$C$4:$C$503,"LONG"))</f>
        <v/>
      </c>
      <c r="F257" s="21">
        <f>IF($A257="","",SUMIFS('Trade Log'!$K$4:$K$503,'Trade Log'!$G$4:$G$503,$A257,'Trade Log'!$C$4:$C$503,"SHORT"))</f>
        <v/>
      </c>
      <c r="G257" s="21">
        <f>IF($A257="","",$E257+$F257)</f>
        <v/>
      </c>
      <c r="H257" s="21">
        <f>IF($A257="","",$H256+IF($G257="",0,$G257))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Log'!$K$4:$K$503,'Trade Log'!$G$4:$G$503,$A258,'Trade Log'!$C$4:$C$503,"LONG"))</f>
        <v/>
      </c>
      <c r="F258" s="21">
        <f>IF($A258="","",SUMIFS('Trade Log'!$K$4:$K$503,'Trade Log'!$G$4:$G$503,$A258,'Trade Log'!$C$4:$C$503,"SHORT"))</f>
        <v/>
      </c>
      <c r="G258" s="21">
        <f>IF($A258="","",$E258+$F258)</f>
        <v/>
      </c>
      <c r="H258" s="21">
        <f>IF($A258="","",$H257+IF($G258="",0,$G258))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Log'!$K$4:$K$503,'Trade Log'!$G$4:$G$503,$A259,'Trade Log'!$C$4:$C$503,"LONG"))</f>
        <v/>
      </c>
      <c r="F259" s="21">
        <f>IF($A259="","",SUMIFS('Trade Log'!$K$4:$K$503,'Trade Log'!$G$4:$G$503,$A259,'Trade Log'!$C$4:$C$503,"SHORT"))</f>
        <v/>
      </c>
      <c r="G259" s="21">
        <f>IF($A259="","",$E259+$F259)</f>
        <v/>
      </c>
      <c r="H259" s="21">
        <f>IF($A259="","",$H258+IF($G259="",0,$G259))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Log'!$K$4:$K$503,'Trade Log'!$G$4:$G$503,$A260,'Trade Log'!$C$4:$C$503,"LONG"))</f>
        <v/>
      </c>
      <c r="F260" s="21">
        <f>IF($A260="","",SUMIFS('Trade Log'!$K$4:$K$503,'Trade Log'!$G$4:$G$503,$A260,'Trade Log'!$C$4:$C$503,"SHORT"))</f>
        <v/>
      </c>
      <c r="G260" s="21">
        <f>IF($A260="","",$E260+$F260)</f>
        <v/>
      </c>
      <c r="H260" s="21">
        <f>IF($A260="","",$H259+IF($G260="",0,$G260))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Log'!$K$4:$K$503,'Trade Log'!$G$4:$G$503,$A261,'Trade Log'!$C$4:$C$503,"LONG"))</f>
        <v/>
      </c>
      <c r="F261" s="21">
        <f>IF($A261="","",SUMIFS('Trade Log'!$K$4:$K$503,'Trade Log'!$G$4:$G$503,$A261,'Trade Log'!$C$4:$C$503,"SHORT"))</f>
        <v/>
      </c>
      <c r="G261" s="21">
        <f>IF($A261="","",$E261+$F261)</f>
        <v/>
      </c>
      <c r="H261" s="21">
        <f>IF($A261="","",$H260+IF($G261="",0,$G261))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Log'!$K$4:$K$503,'Trade Log'!$G$4:$G$503,$A262,'Trade Log'!$C$4:$C$503,"LONG"))</f>
        <v/>
      </c>
      <c r="F262" s="21">
        <f>IF($A262="","",SUMIFS('Trade Log'!$K$4:$K$503,'Trade Log'!$G$4:$G$503,$A262,'Trade Log'!$C$4:$C$503,"SHORT"))</f>
        <v/>
      </c>
      <c r="G262" s="21">
        <f>IF($A262="","",$E262+$F262)</f>
        <v/>
      </c>
      <c r="H262" s="21">
        <f>IF($A262="","",$H261+IF($G262="",0,$G262))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Log'!$K$4:$K$503,'Trade Log'!$G$4:$G$503,$A263,'Trade Log'!$C$4:$C$503,"LONG"))</f>
        <v/>
      </c>
      <c r="F263" s="21">
        <f>IF($A263="","",SUMIFS('Trade Log'!$K$4:$K$503,'Trade Log'!$G$4:$G$503,$A263,'Trade Log'!$C$4:$C$503,"SHORT"))</f>
        <v/>
      </c>
      <c r="G263" s="21">
        <f>IF($A263="","",$E263+$F263)</f>
        <v/>
      </c>
      <c r="H263" s="21">
        <f>IF($A263="","",$H262+IF($G263="",0,$G263))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Log'!$K$4:$K$503,'Trade Log'!$G$4:$G$503,$A264,'Trade Log'!$C$4:$C$503,"LONG"))</f>
        <v/>
      </c>
      <c r="F264" s="21">
        <f>IF($A264="","",SUMIFS('Trade Log'!$K$4:$K$503,'Trade Log'!$G$4:$G$503,$A264,'Trade Log'!$C$4:$C$503,"SHORT"))</f>
        <v/>
      </c>
      <c r="G264" s="21">
        <f>IF($A264="","",$E264+$F264)</f>
        <v/>
      </c>
      <c r="H264" s="21">
        <f>IF($A264="","",$H263+IF($G264="",0,$G264))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Log'!$K$4:$K$503,'Trade Log'!$G$4:$G$503,$A265,'Trade Log'!$C$4:$C$503,"LONG"))</f>
        <v/>
      </c>
      <c r="F265" s="21">
        <f>IF($A265="","",SUMIFS('Trade Log'!$K$4:$K$503,'Trade Log'!$G$4:$G$503,$A265,'Trade Log'!$C$4:$C$503,"SHORT"))</f>
        <v/>
      </c>
      <c r="G265" s="21">
        <f>IF($A265="","",$E265+$F265)</f>
        <v/>
      </c>
      <c r="H265" s="21">
        <f>IF($A265="","",$H264+IF($G265="",0,$G265))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Log'!$K$4:$K$503,'Trade Log'!$G$4:$G$503,$A266,'Trade Log'!$C$4:$C$503,"LONG"))</f>
        <v/>
      </c>
      <c r="F266" s="21">
        <f>IF($A266="","",SUMIFS('Trade Log'!$K$4:$K$503,'Trade Log'!$G$4:$G$503,$A266,'Trade Log'!$C$4:$C$503,"SHORT"))</f>
        <v/>
      </c>
      <c r="G266" s="21">
        <f>IF($A266="","",$E266+$F266)</f>
        <v/>
      </c>
      <c r="H266" s="21">
        <f>IF($A266="","",$H265+IF($G266="",0,$G266))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Log'!$K$4:$K$503,'Trade Log'!$G$4:$G$503,$A267,'Trade Log'!$C$4:$C$503,"LONG"))</f>
        <v/>
      </c>
      <c r="F267" s="21">
        <f>IF($A267="","",SUMIFS('Trade Log'!$K$4:$K$503,'Trade Log'!$G$4:$G$503,$A267,'Trade Log'!$C$4:$C$503,"SHORT"))</f>
        <v/>
      </c>
      <c r="G267" s="21">
        <f>IF($A267="","",$E267+$F267)</f>
        <v/>
      </c>
      <c r="H267" s="21">
        <f>IF($A267="","",$H266+IF($G267="",0,$G267))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Log'!$K$4:$K$503,'Trade Log'!$G$4:$G$503,$A268,'Trade Log'!$C$4:$C$503,"LONG"))</f>
        <v/>
      </c>
      <c r="F268" s="21">
        <f>IF($A268="","",SUMIFS('Trade Log'!$K$4:$K$503,'Trade Log'!$G$4:$G$503,$A268,'Trade Log'!$C$4:$C$503,"SHORT"))</f>
        <v/>
      </c>
      <c r="G268" s="21">
        <f>IF($A268="","",$E268+$F268)</f>
        <v/>
      </c>
      <c r="H268" s="21">
        <f>IF($A268="","",$H267+IF($G268="",0,$G268))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Log'!$K$4:$K$503,'Trade Log'!$G$4:$G$503,$A269,'Trade Log'!$C$4:$C$503,"LONG"))</f>
        <v/>
      </c>
      <c r="F269" s="21">
        <f>IF($A269="","",SUMIFS('Trade Log'!$K$4:$K$503,'Trade Log'!$G$4:$G$503,$A269,'Trade Log'!$C$4:$C$503,"SHORT"))</f>
        <v/>
      </c>
      <c r="G269" s="21">
        <f>IF($A269="","",$E269+$F269)</f>
        <v/>
      </c>
      <c r="H269" s="21">
        <f>IF($A269="","",$H268+IF($G269="",0,$G269))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Log'!$K$4:$K$503,'Trade Log'!$G$4:$G$503,$A270,'Trade Log'!$C$4:$C$503,"LONG"))</f>
        <v/>
      </c>
      <c r="F270" s="21">
        <f>IF($A270="","",SUMIFS('Trade Log'!$K$4:$K$503,'Trade Log'!$G$4:$G$503,$A270,'Trade Log'!$C$4:$C$503,"SHORT"))</f>
        <v/>
      </c>
      <c r="G270" s="21">
        <f>IF($A270="","",$E270+$F270)</f>
        <v/>
      </c>
      <c r="H270" s="21">
        <f>IF($A270="","",$H269+IF($G270="",0,$G270))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Log'!$K$4:$K$503,'Trade Log'!$G$4:$G$503,$A271,'Trade Log'!$C$4:$C$503,"LONG"))</f>
        <v/>
      </c>
      <c r="F271" s="21">
        <f>IF($A271="","",SUMIFS('Trade Log'!$K$4:$K$503,'Trade Log'!$G$4:$G$503,$A271,'Trade Log'!$C$4:$C$503,"SHORT"))</f>
        <v/>
      </c>
      <c r="G271" s="21">
        <f>IF($A271="","",$E271+$F271)</f>
        <v/>
      </c>
      <c r="H271" s="21">
        <f>IF($A271="","",$H270+IF($G271="",0,$G271))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Log'!$K$4:$K$503,'Trade Log'!$G$4:$G$503,$A272,'Trade Log'!$C$4:$C$503,"LONG"))</f>
        <v/>
      </c>
      <c r="F272" s="21">
        <f>IF($A272="","",SUMIFS('Trade Log'!$K$4:$K$503,'Trade Log'!$G$4:$G$503,$A272,'Trade Log'!$C$4:$C$503,"SHORT"))</f>
        <v/>
      </c>
      <c r="G272" s="21">
        <f>IF($A272="","",$E272+$F272)</f>
        <v/>
      </c>
      <c r="H272" s="21">
        <f>IF($A272="","",$H271+IF($G272="",0,$G272))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Log'!$K$4:$K$503,'Trade Log'!$G$4:$G$503,$A273,'Trade Log'!$C$4:$C$503,"LONG"))</f>
        <v/>
      </c>
      <c r="F273" s="21">
        <f>IF($A273="","",SUMIFS('Trade Log'!$K$4:$K$503,'Trade Log'!$G$4:$G$503,$A273,'Trade Log'!$C$4:$C$503,"SHORT"))</f>
        <v/>
      </c>
      <c r="G273" s="21">
        <f>IF($A273="","",$E273+$F273)</f>
        <v/>
      </c>
      <c r="H273" s="21">
        <f>IF($A273="","",$H272+IF($G273="",0,$G273))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Log'!$K$4:$K$503,'Trade Log'!$G$4:$G$503,$A274,'Trade Log'!$C$4:$C$503,"LONG"))</f>
        <v/>
      </c>
      <c r="F274" s="21">
        <f>IF($A274="","",SUMIFS('Trade Log'!$K$4:$K$503,'Trade Log'!$G$4:$G$503,$A274,'Trade Log'!$C$4:$C$503,"SHORT"))</f>
        <v/>
      </c>
      <c r="G274" s="21">
        <f>IF($A274="","",$E274+$F274)</f>
        <v/>
      </c>
      <c r="H274" s="21">
        <f>IF($A274="","",$H273+IF($G274="",0,$G274))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Log'!$K$4:$K$503,'Trade Log'!$G$4:$G$503,$A275,'Trade Log'!$C$4:$C$503,"LONG"))</f>
        <v/>
      </c>
      <c r="F275" s="21">
        <f>IF($A275="","",SUMIFS('Trade Log'!$K$4:$K$503,'Trade Log'!$G$4:$G$503,$A275,'Trade Log'!$C$4:$C$503,"SHORT"))</f>
        <v/>
      </c>
      <c r="G275" s="21">
        <f>IF($A275="","",$E275+$F275)</f>
        <v/>
      </c>
      <c r="H275" s="21">
        <f>IF($A275="","",$H274+IF($G275="",0,$G275))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Log'!$K$4:$K$503,'Trade Log'!$G$4:$G$503,$A276,'Trade Log'!$C$4:$C$503,"LONG"))</f>
        <v/>
      </c>
      <c r="F276" s="21">
        <f>IF($A276="","",SUMIFS('Trade Log'!$K$4:$K$503,'Trade Log'!$G$4:$G$503,$A276,'Trade Log'!$C$4:$C$503,"SHORT"))</f>
        <v/>
      </c>
      <c r="G276" s="21">
        <f>IF($A276="","",$E276+$F276)</f>
        <v/>
      </c>
      <c r="H276" s="21">
        <f>IF($A276="","",$H275+IF($G276="",0,$G276))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Log'!$K$4:$K$503,'Trade Log'!$G$4:$G$503,$A277,'Trade Log'!$C$4:$C$503,"LONG"))</f>
        <v/>
      </c>
      <c r="F277" s="21">
        <f>IF($A277="","",SUMIFS('Trade Log'!$K$4:$K$503,'Trade Log'!$G$4:$G$503,$A277,'Trade Log'!$C$4:$C$503,"SHORT"))</f>
        <v/>
      </c>
      <c r="G277" s="21">
        <f>IF($A277="","",$E277+$F277)</f>
        <v/>
      </c>
      <c r="H277" s="21">
        <f>IF($A277="","",$H276+IF($G277="",0,$G277))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Log'!$K$4:$K$503,'Trade Log'!$G$4:$G$503,$A278,'Trade Log'!$C$4:$C$503,"LONG"))</f>
        <v/>
      </c>
      <c r="F278" s="21">
        <f>IF($A278="","",SUMIFS('Trade Log'!$K$4:$K$503,'Trade Log'!$G$4:$G$503,$A278,'Trade Log'!$C$4:$C$503,"SHORT"))</f>
        <v/>
      </c>
      <c r="G278" s="21">
        <f>IF($A278="","",$E278+$F278)</f>
        <v/>
      </c>
      <c r="H278" s="21">
        <f>IF($A278="","",$H277+IF($G278="",0,$G278))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Log'!$K$4:$K$503,'Trade Log'!$G$4:$G$503,$A279,'Trade Log'!$C$4:$C$503,"LONG"))</f>
        <v/>
      </c>
      <c r="F279" s="21">
        <f>IF($A279="","",SUMIFS('Trade Log'!$K$4:$K$503,'Trade Log'!$G$4:$G$503,$A279,'Trade Log'!$C$4:$C$503,"SHORT"))</f>
        <v/>
      </c>
      <c r="G279" s="21">
        <f>IF($A279="","",$E279+$F279)</f>
        <v/>
      </c>
      <c r="H279" s="21">
        <f>IF($A279="","",$H278+IF($G279="",0,$G279))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Log'!$K$4:$K$503,'Trade Log'!$G$4:$G$503,$A280,'Trade Log'!$C$4:$C$503,"LONG"))</f>
        <v/>
      </c>
      <c r="F280" s="21">
        <f>IF($A280="","",SUMIFS('Trade Log'!$K$4:$K$503,'Trade Log'!$G$4:$G$503,$A280,'Trade Log'!$C$4:$C$503,"SHORT"))</f>
        <v/>
      </c>
      <c r="G280" s="21">
        <f>IF($A280="","",$E280+$F280)</f>
        <v/>
      </c>
      <c r="H280" s="21">
        <f>IF($A280="","",$H279+IF($G280="",0,$G280))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Log'!$K$4:$K$503,'Trade Log'!$G$4:$G$503,$A281,'Trade Log'!$C$4:$C$503,"LONG"))</f>
        <v/>
      </c>
      <c r="F281" s="21">
        <f>IF($A281="","",SUMIFS('Trade Log'!$K$4:$K$503,'Trade Log'!$G$4:$G$503,$A281,'Trade Log'!$C$4:$C$503,"SHORT"))</f>
        <v/>
      </c>
      <c r="G281" s="21">
        <f>IF($A281="","",$E281+$F281)</f>
        <v/>
      </c>
      <c r="H281" s="21">
        <f>IF($A281="","",$H280+IF($G281="",0,$G281))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Log'!$K$4:$K$503,'Trade Log'!$G$4:$G$503,$A282,'Trade Log'!$C$4:$C$503,"LONG"))</f>
        <v/>
      </c>
      <c r="F282" s="21">
        <f>IF($A282="","",SUMIFS('Trade Log'!$K$4:$K$503,'Trade Log'!$G$4:$G$503,$A282,'Trade Log'!$C$4:$C$503,"SHORT"))</f>
        <v/>
      </c>
      <c r="G282" s="21">
        <f>IF($A282="","",$E282+$F282)</f>
        <v/>
      </c>
      <c r="H282" s="21">
        <f>IF($A282="","",$H281+IF($G282="",0,$G282))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Log'!$K$4:$K$503,'Trade Log'!$G$4:$G$503,$A283,'Trade Log'!$C$4:$C$503,"LONG"))</f>
        <v/>
      </c>
      <c r="F283" s="21">
        <f>IF($A283="","",SUMIFS('Trade Log'!$K$4:$K$503,'Trade Log'!$G$4:$G$503,$A283,'Trade Log'!$C$4:$C$503,"SHORT"))</f>
        <v/>
      </c>
      <c r="G283" s="21">
        <f>IF($A283="","",$E283+$F283)</f>
        <v/>
      </c>
      <c r="H283" s="21">
        <f>IF($A283="","",$H282+IF($G283="",0,$G283))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Log'!$K$4:$K$503,'Trade Log'!$G$4:$G$503,$A284,'Trade Log'!$C$4:$C$503,"LONG"))</f>
        <v/>
      </c>
      <c r="F284" s="21">
        <f>IF($A284="","",SUMIFS('Trade Log'!$K$4:$K$503,'Trade Log'!$G$4:$G$503,$A284,'Trade Log'!$C$4:$C$503,"SHORT"))</f>
        <v/>
      </c>
      <c r="G284" s="21">
        <f>IF($A284="","",$E284+$F284)</f>
        <v/>
      </c>
      <c r="H284" s="21">
        <f>IF($A284="","",$H283+IF($G284="",0,$G284))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Log'!$K$4:$K$503,'Trade Log'!$G$4:$G$503,$A285,'Trade Log'!$C$4:$C$503,"LONG"))</f>
        <v/>
      </c>
      <c r="F285" s="21">
        <f>IF($A285="","",SUMIFS('Trade Log'!$K$4:$K$503,'Trade Log'!$G$4:$G$503,$A285,'Trade Log'!$C$4:$C$503,"SHORT"))</f>
        <v/>
      </c>
      <c r="G285" s="21">
        <f>IF($A285="","",$E285+$F285)</f>
        <v/>
      </c>
      <c r="H285" s="21">
        <f>IF($A285="","",$H284+IF($G285="",0,$G285))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Log'!$K$4:$K$503,'Trade Log'!$G$4:$G$503,$A286,'Trade Log'!$C$4:$C$503,"LONG"))</f>
        <v/>
      </c>
      <c r="F286" s="21">
        <f>IF($A286="","",SUMIFS('Trade Log'!$K$4:$K$503,'Trade Log'!$G$4:$G$503,$A286,'Trade Log'!$C$4:$C$503,"SHORT"))</f>
        <v/>
      </c>
      <c r="G286" s="21">
        <f>IF($A286="","",$E286+$F286)</f>
        <v/>
      </c>
      <c r="H286" s="21">
        <f>IF($A286="","",$H285+IF($G286="",0,$G286))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Log'!$K$4:$K$503,'Trade Log'!$G$4:$G$503,$A287,'Trade Log'!$C$4:$C$503,"LONG"))</f>
        <v/>
      </c>
      <c r="F287" s="21">
        <f>IF($A287="","",SUMIFS('Trade Log'!$K$4:$K$503,'Trade Log'!$G$4:$G$503,$A287,'Trade Log'!$C$4:$C$503,"SHORT"))</f>
        <v/>
      </c>
      <c r="G287" s="21">
        <f>IF($A287="","",$E287+$F287)</f>
        <v/>
      </c>
      <c r="H287" s="21">
        <f>IF($A287="","",$H286+IF($G287="",0,$G287))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Log'!$K$4:$K$503,'Trade Log'!$G$4:$G$503,$A288,'Trade Log'!$C$4:$C$503,"LONG"))</f>
        <v/>
      </c>
      <c r="F288" s="21">
        <f>IF($A288="","",SUMIFS('Trade Log'!$K$4:$K$503,'Trade Log'!$G$4:$G$503,$A288,'Trade Log'!$C$4:$C$503,"SHORT"))</f>
        <v/>
      </c>
      <c r="G288" s="21">
        <f>IF($A288="","",$E288+$F288)</f>
        <v/>
      </c>
      <c r="H288" s="21">
        <f>IF($A288="","",$H287+IF($G288="",0,$G288))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Log'!$K$4:$K$503,'Trade Log'!$G$4:$G$503,$A289,'Trade Log'!$C$4:$C$503,"LONG"))</f>
        <v/>
      </c>
      <c r="F289" s="21">
        <f>IF($A289="","",SUMIFS('Trade Log'!$K$4:$K$503,'Trade Log'!$G$4:$G$503,$A289,'Trade Log'!$C$4:$C$503,"SHORT"))</f>
        <v/>
      </c>
      <c r="G289" s="21">
        <f>IF($A289="","",$E289+$F289)</f>
        <v/>
      </c>
      <c r="H289" s="21">
        <f>IF($A289="","",$H288+IF($G289="",0,$G289))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Log'!$K$4:$K$503,'Trade Log'!$G$4:$G$503,$A290,'Trade Log'!$C$4:$C$503,"LONG"))</f>
        <v/>
      </c>
      <c r="F290" s="21">
        <f>IF($A290="","",SUMIFS('Trade Log'!$K$4:$K$503,'Trade Log'!$G$4:$G$503,$A290,'Trade Log'!$C$4:$C$503,"SHORT"))</f>
        <v/>
      </c>
      <c r="G290" s="21">
        <f>IF($A290="","",$E290+$F290)</f>
        <v/>
      </c>
      <c r="H290" s="21">
        <f>IF($A290="","",$H289+IF($G290="",0,$G290))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Log'!$K$4:$K$503,'Trade Log'!$G$4:$G$503,$A291,'Trade Log'!$C$4:$C$503,"LONG"))</f>
        <v/>
      </c>
      <c r="F291" s="21">
        <f>IF($A291="","",SUMIFS('Trade Log'!$K$4:$K$503,'Trade Log'!$G$4:$G$503,$A291,'Trade Log'!$C$4:$C$503,"SHORT"))</f>
        <v/>
      </c>
      <c r="G291" s="21">
        <f>IF($A291="","",$E291+$F291)</f>
        <v/>
      </c>
      <c r="H291" s="21">
        <f>IF($A291="","",$H290+IF($G291="",0,$G291))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Log'!$K$4:$K$503,'Trade Log'!$G$4:$G$503,$A292,'Trade Log'!$C$4:$C$503,"LONG"))</f>
        <v/>
      </c>
      <c r="F292" s="21">
        <f>IF($A292="","",SUMIFS('Trade Log'!$K$4:$K$503,'Trade Log'!$G$4:$G$503,$A292,'Trade Log'!$C$4:$C$503,"SHORT"))</f>
        <v/>
      </c>
      <c r="G292" s="21">
        <f>IF($A292="","",$E292+$F292)</f>
        <v/>
      </c>
      <c r="H292" s="21">
        <f>IF($A292="","",$H291+IF($G292="",0,$G292))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Log'!$K$4:$K$503,'Trade Log'!$G$4:$G$503,$A293,'Trade Log'!$C$4:$C$503,"LONG"))</f>
        <v/>
      </c>
      <c r="F293" s="21">
        <f>IF($A293="","",SUMIFS('Trade Log'!$K$4:$K$503,'Trade Log'!$G$4:$G$503,$A293,'Trade Log'!$C$4:$C$503,"SHORT"))</f>
        <v/>
      </c>
      <c r="G293" s="21">
        <f>IF($A293="","",$E293+$F293)</f>
        <v/>
      </c>
      <c r="H293" s="21">
        <f>IF($A293="","",$H292+IF($G293="",0,$G293))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Log'!$K$4:$K$503,'Trade Log'!$G$4:$G$503,$A294,'Trade Log'!$C$4:$C$503,"LONG"))</f>
        <v/>
      </c>
      <c r="F294" s="21">
        <f>IF($A294="","",SUMIFS('Trade Log'!$K$4:$K$503,'Trade Log'!$G$4:$G$503,$A294,'Trade Log'!$C$4:$C$503,"SHORT"))</f>
        <v/>
      </c>
      <c r="G294" s="21">
        <f>IF($A294="","",$E294+$F294)</f>
        <v/>
      </c>
      <c r="H294" s="21">
        <f>IF($A294="","",$H293+IF($G294="",0,$G294))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Log'!$K$4:$K$503,'Trade Log'!$G$4:$G$503,$A295,'Trade Log'!$C$4:$C$503,"LONG"))</f>
        <v/>
      </c>
      <c r="F295" s="21">
        <f>IF($A295="","",SUMIFS('Trade Log'!$K$4:$K$503,'Trade Log'!$G$4:$G$503,$A295,'Trade Log'!$C$4:$C$503,"SHORT"))</f>
        <v/>
      </c>
      <c r="G295" s="21">
        <f>IF($A295="","",$E295+$F295)</f>
        <v/>
      </c>
      <c r="H295" s="21">
        <f>IF($A295="","",$H294+IF($G295="",0,$G295))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Log'!$K$4:$K$503,'Trade Log'!$G$4:$G$503,$A296,'Trade Log'!$C$4:$C$503,"LONG"))</f>
        <v/>
      </c>
      <c r="F296" s="21">
        <f>IF($A296="","",SUMIFS('Trade Log'!$K$4:$K$503,'Trade Log'!$G$4:$G$503,$A296,'Trade Log'!$C$4:$C$503,"SHORT"))</f>
        <v/>
      </c>
      <c r="G296" s="21">
        <f>IF($A296="","",$E296+$F296)</f>
        <v/>
      </c>
      <c r="H296" s="21">
        <f>IF($A296="","",$H295+IF($G296="",0,$G296))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Log'!$K$4:$K$503,'Trade Log'!$G$4:$G$503,$A297,'Trade Log'!$C$4:$C$503,"LONG"))</f>
        <v/>
      </c>
      <c r="F297" s="21">
        <f>IF($A297="","",SUMIFS('Trade Log'!$K$4:$K$503,'Trade Log'!$G$4:$G$503,$A297,'Trade Log'!$C$4:$C$503,"SHORT"))</f>
        <v/>
      </c>
      <c r="G297" s="21">
        <f>IF($A297="","",$E297+$F297)</f>
        <v/>
      </c>
      <c r="H297" s="21">
        <f>IF($A297="","",$H296+IF($G297="",0,$G297))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Log'!$K$4:$K$503,'Trade Log'!$G$4:$G$503,$A298,'Trade Log'!$C$4:$C$503,"LONG"))</f>
        <v/>
      </c>
      <c r="F298" s="21">
        <f>IF($A298="","",SUMIFS('Trade Log'!$K$4:$K$503,'Trade Log'!$G$4:$G$503,$A298,'Trade Log'!$C$4:$C$503,"SHORT"))</f>
        <v/>
      </c>
      <c r="G298" s="21">
        <f>IF($A298="","",$E298+$F298)</f>
        <v/>
      </c>
      <c r="H298" s="21">
        <f>IF($A298="","",$H297+IF($G298="",0,$G298))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Log'!$K$4:$K$503,'Trade Log'!$G$4:$G$503,$A299,'Trade Log'!$C$4:$C$503,"LONG"))</f>
        <v/>
      </c>
      <c r="F299" s="21">
        <f>IF($A299="","",SUMIFS('Trade Log'!$K$4:$K$503,'Trade Log'!$G$4:$G$503,$A299,'Trade Log'!$C$4:$C$503,"SHORT"))</f>
        <v/>
      </c>
      <c r="G299" s="21">
        <f>IF($A299="","",$E299+$F299)</f>
        <v/>
      </c>
      <c r="H299" s="21">
        <f>IF($A299="","",$H298+IF($G299="",0,$G299))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Log'!$K$4:$K$503,'Trade Log'!$G$4:$G$503,$A300,'Trade Log'!$C$4:$C$503,"LONG"))</f>
        <v/>
      </c>
      <c r="F300" s="21">
        <f>IF($A300="","",SUMIFS('Trade Log'!$K$4:$K$503,'Trade Log'!$G$4:$G$503,$A300,'Trade Log'!$C$4:$C$503,"SHORT"))</f>
        <v/>
      </c>
      <c r="G300" s="21">
        <f>IF($A300="","",$E300+$F300)</f>
        <v/>
      </c>
      <c r="H300" s="21">
        <f>IF($A300="","",$H299+IF($G300="",0,$G300))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Log'!$K$4:$K$503,'Trade Log'!$G$4:$G$503,$A301,'Trade Log'!$C$4:$C$503,"LONG"))</f>
        <v/>
      </c>
      <c r="F301" s="21">
        <f>IF($A301="","",SUMIFS('Trade Log'!$K$4:$K$503,'Trade Log'!$G$4:$G$503,$A301,'Trade Log'!$C$4:$C$503,"SHORT"))</f>
        <v/>
      </c>
      <c r="G301" s="21">
        <f>IF($A301="","",$E301+$F301)</f>
        <v/>
      </c>
      <c r="H301" s="21">
        <f>IF($A301="","",$H300+IF($G301="",0,$G301))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Log'!$K$4:$K$503,'Trade Log'!$G$4:$G$503,$A302,'Trade Log'!$C$4:$C$503,"LONG"))</f>
        <v/>
      </c>
      <c r="F302" s="21">
        <f>IF($A302="","",SUMIFS('Trade Log'!$K$4:$K$503,'Trade Log'!$G$4:$G$503,$A302,'Trade Log'!$C$4:$C$503,"SHORT"))</f>
        <v/>
      </c>
      <c r="G302" s="21">
        <f>IF($A302="","",$E302+$F302)</f>
        <v/>
      </c>
      <c r="H302" s="21">
        <f>IF($A302="","",$H301+IF($G302="",0,$G302))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Log'!$K$4:$K$503,'Trade Log'!$G$4:$G$503,$A303,'Trade Log'!$C$4:$C$503,"LONG"))</f>
        <v/>
      </c>
      <c r="F303" s="21">
        <f>IF($A303="","",SUMIFS('Trade Log'!$K$4:$K$503,'Trade Log'!$G$4:$G$503,$A303,'Trade Log'!$C$4:$C$503,"SHORT"))</f>
        <v/>
      </c>
      <c r="G303" s="21">
        <f>IF($A303="","",$E303+$F303)</f>
        <v/>
      </c>
      <c r="H303" s="21">
        <f>IF($A303="","",$H302+IF($G303="",0,$G303))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Log'!$K$4:$K$503,'Trade Log'!$G$4:$G$503,$A304,'Trade Log'!$C$4:$C$503,"LONG"))</f>
        <v/>
      </c>
      <c r="F304" s="21">
        <f>IF($A304="","",SUMIFS('Trade Log'!$K$4:$K$503,'Trade Log'!$G$4:$G$503,$A304,'Trade Log'!$C$4:$C$503,"SHORT"))</f>
        <v/>
      </c>
      <c r="G304" s="21">
        <f>IF($A304="","",$E304+$F304)</f>
        <v/>
      </c>
      <c r="H304" s="21">
        <f>IF($A304="","",$H303+IF($G304="",0,$G304))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Log'!$K$4:$K$503,'Trade Log'!$G$4:$G$503,$A305,'Trade Log'!$C$4:$C$503,"LONG"))</f>
        <v/>
      </c>
      <c r="F305" s="21">
        <f>IF($A305="","",SUMIFS('Trade Log'!$K$4:$K$503,'Trade Log'!$G$4:$G$503,$A305,'Trade Log'!$C$4:$C$503,"SHORT"))</f>
        <v/>
      </c>
      <c r="G305" s="21">
        <f>IF($A305="","",$E305+$F305)</f>
        <v/>
      </c>
      <c r="H305" s="21">
        <f>IF($A305="","",$H304+IF($G305="",0,$G305))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Log'!$K$4:$K$503,'Trade Log'!$G$4:$G$503,$A306,'Trade Log'!$C$4:$C$503,"LONG"))</f>
        <v/>
      </c>
      <c r="F306" s="21">
        <f>IF($A306="","",SUMIFS('Trade Log'!$K$4:$K$503,'Trade Log'!$G$4:$G$503,$A306,'Trade Log'!$C$4:$C$503,"SHORT"))</f>
        <v/>
      </c>
      <c r="G306" s="21">
        <f>IF($A306="","",$E306+$F306)</f>
        <v/>
      </c>
      <c r="H306" s="21">
        <f>IF($A306="","",$H305+IF($G306="",0,$G306))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Log'!$K$4:$K$503,'Trade Log'!$G$4:$G$503,$A307,'Trade Log'!$C$4:$C$503,"LONG"))</f>
        <v/>
      </c>
      <c r="F307" s="21">
        <f>IF($A307="","",SUMIFS('Trade Log'!$K$4:$K$503,'Trade Log'!$G$4:$G$503,$A307,'Trade Log'!$C$4:$C$503,"SHORT"))</f>
        <v/>
      </c>
      <c r="G307" s="21">
        <f>IF($A307="","",$E307+$F307)</f>
        <v/>
      </c>
      <c r="H307" s="21">
        <f>IF($A307="","",$H306+IF($G307="",0,$G307))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Log'!$K$4:$K$503,'Trade Log'!$G$4:$G$503,$A308,'Trade Log'!$C$4:$C$503,"LONG"))</f>
        <v/>
      </c>
      <c r="F308" s="21">
        <f>IF($A308="","",SUMIFS('Trade Log'!$K$4:$K$503,'Trade Log'!$G$4:$G$503,$A308,'Trade Log'!$C$4:$C$503,"SHORT"))</f>
        <v/>
      </c>
      <c r="G308" s="21">
        <f>IF($A308="","",$E308+$F308)</f>
        <v/>
      </c>
      <c r="H308" s="21">
        <f>IF($A308="","",$H307+IF($G308="",0,$G308))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Log'!$K$4:$K$503,'Trade Log'!$G$4:$G$503,$A309,'Trade Log'!$C$4:$C$503,"LONG"))</f>
        <v/>
      </c>
      <c r="F309" s="21">
        <f>IF($A309="","",SUMIFS('Trade Log'!$K$4:$K$503,'Trade Log'!$G$4:$G$503,$A309,'Trade Log'!$C$4:$C$503,"SHORT"))</f>
        <v/>
      </c>
      <c r="G309" s="21">
        <f>IF($A309="","",$E309+$F309)</f>
        <v/>
      </c>
      <c r="H309" s="21">
        <f>IF($A309="","",$H308+IF($G309="",0,$G309))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Log'!$K$4:$K$503,'Trade Log'!$G$4:$G$503,$A310,'Trade Log'!$C$4:$C$503,"LONG"))</f>
        <v/>
      </c>
      <c r="F310" s="21">
        <f>IF($A310="","",SUMIFS('Trade Log'!$K$4:$K$503,'Trade Log'!$G$4:$G$503,$A310,'Trade Log'!$C$4:$C$503,"SHORT"))</f>
        <v/>
      </c>
      <c r="G310" s="21">
        <f>IF($A310="","",$E310+$F310)</f>
        <v/>
      </c>
      <c r="H310" s="21">
        <f>IF($A310="","",$H309+IF($G310="",0,$G310))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Log'!$K$4:$K$503,'Trade Log'!$G$4:$G$503,$A311,'Trade Log'!$C$4:$C$503,"LONG"))</f>
        <v/>
      </c>
      <c r="F311" s="21">
        <f>IF($A311="","",SUMIFS('Trade Log'!$K$4:$K$503,'Trade Log'!$G$4:$G$503,$A311,'Trade Log'!$C$4:$C$503,"SHORT"))</f>
        <v/>
      </c>
      <c r="G311" s="21">
        <f>IF($A311="","",$E311+$F311)</f>
        <v/>
      </c>
      <c r="H311" s="21">
        <f>IF($A311="","",$H310+IF($G311="",0,$G311))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Log'!$K$4:$K$503,'Trade Log'!$G$4:$G$503,$A312,'Trade Log'!$C$4:$C$503,"LONG"))</f>
        <v/>
      </c>
      <c r="F312" s="21">
        <f>IF($A312="","",SUMIFS('Trade Log'!$K$4:$K$503,'Trade Log'!$G$4:$G$503,$A312,'Trade Log'!$C$4:$C$503,"SHORT"))</f>
        <v/>
      </c>
      <c r="G312" s="21">
        <f>IF($A312="","",$E312+$F312)</f>
        <v/>
      </c>
      <c r="H312" s="21">
        <f>IF($A312="","",$H311+IF($G312="",0,$G312))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Log'!$K$4:$K$503,'Trade Log'!$G$4:$G$503,$A313,'Trade Log'!$C$4:$C$503,"LONG"))</f>
        <v/>
      </c>
      <c r="F313" s="21">
        <f>IF($A313="","",SUMIFS('Trade Log'!$K$4:$K$503,'Trade Log'!$G$4:$G$503,$A313,'Trade Log'!$C$4:$C$503,"SHORT"))</f>
        <v/>
      </c>
      <c r="G313" s="21">
        <f>IF($A313="","",$E313+$F313)</f>
        <v/>
      </c>
      <c r="H313" s="21">
        <f>IF($A313="","",$H312+IF($G313="",0,$G313))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Log'!$K$4:$K$503,'Trade Log'!$G$4:$G$503,$A314,'Trade Log'!$C$4:$C$503,"LONG"))</f>
        <v/>
      </c>
      <c r="F314" s="21">
        <f>IF($A314="","",SUMIFS('Trade Log'!$K$4:$K$503,'Trade Log'!$G$4:$G$503,$A314,'Trade Log'!$C$4:$C$503,"SHORT"))</f>
        <v/>
      </c>
      <c r="G314" s="21">
        <f>IF($A314="","",$E314+$F314)</f>
        <v/>
      </c>
      <c r="H314" s="21">
        <f>IF($A314="","",$H313+IF($G314="",0,$G314))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Log'!$K$4:$K$503,'Trade Log'!$G$4:$G$503,$A315,'Trade Log'!$C$4:$C$503,"LONG"))</f>
        <v/>
      </c>
      <c r="F315" s="21">
        <f>IF($A315="","",SUMIFS('Trade Log'!$K$4:$K$503,'Trade Log'!$G$4:$G$503,$A315,'Trade Log'!$C$4:$C$503,"SHORT"))</f>
        <v/>
      </c>
      <c r="G315" s="21">
        <f>IF($A315="","",$E315+$F315)</f>
        <v/>
      </c>
      <c r="H315" s="21">
        <f>IF($A315="","",$H314+IF($G315="",0,$G315))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Log'!$K$4:$K$503,'Trade Log'!$G$4:$G$503,$A316,'Trade Log'!$C$4:$C$503,"LONG"))</f>
        <v/>
      </c>
      <c r="F316" s="21">
        <f>IF($A316="","",SUMIFS('Trade Log'!$K$4:$K$503,'Trade Log'!$G$4:$G$503,$A316,'Trade Log'!$C$4:$C$503,"SHORT"))</f>
        <v/>
      </c>
      <c r="G316" s="21">
        <f>IF($A316="","",$E316+$F316)</f>
        <v/>
      </c>
      <c r="H316" s="21">
        <f>IF($A316="","",$H315+IF($G316="",0,$G316))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Log'!$K$4:$K$503,'Trade Log'!$G$4:$G$503,$A317,'Trade Log'!$C$4:$C$503,"LONG"))</f>
        <v/>
      </c>
      <c r="F317" s="21">
        <f>IF($A317="","",SUMIFS('Trade Log'!$K$4:$K$503,'Trade Log'!$G$4:$G$503,$A317,'Trade Log'!$C$4:$C$503,"SHORT"))</f>
        <v/>
      </c>
      <c r="G317" s="21">
        <f>IF($A317="","",$E317+$F317)</f>
        <v/>
      </c>
      <c r="H317" s="21">
        <f>IF($A317="","",$H316+IF($G317="",0,$G317))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Log'!$K$4:$K$503,'Trade Log'!$G$4:$G$503,$A318,'Trade Log'!$C$4:$C$503,"LONG"))</f>
        <v/>
      </c>
      <c r="F318" s="21">
        <f>IF($A318="","",SUMIFS('Trade Log'!$K$4:$K$503,'Trade Log'!$G$4:$G$503,$A318,'Trade Log'!$C$4:$C$503,"SHORT"))</f>
        <v/>
      </c>
      <c r="G318" s="21">
        <f>IF($A318="","",$E318+$F318)</f>
        <v/>
      </c>
      <c r="H318" s="21">
        <f>IF($A318="","",$H317+IF($G318="",0,$G318))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Log'!$K$4:$K$503,'Trade Log'!$G$4:$G$503,$A319,'Trade Log'!$C$4:$C$503,"LONG"))</f>
        <v/>
      </c>
      <c r="F319" s="21">
        <f>IF($A319="","",SUMIFS('Trade Log'!$K$4:$K$503,'Trade Log'!$G$4:$G$503,$A319,'Trade Log'!$C$4:$C$503,"SHORT"))</f>
        <v/>
      </c>
      <c r="G319" s="21">
        <f>IF($A319="","",$E319+$F319)</f>
        <v/>
      </c>
      <c r="H319" s="21">
        <f>IF($A319="","",$H318+IF($G319="",0,$G319))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Log'!$K$4:$K$503,'Trade Log'!$G$4:$G$503,$A320,'Trade Log'!$C$4:$C$503,"LONG"))</f>
        <v/>
      </c>
      <c r="F320" s="21">
        <f>IF($A320="","",SUMIFS('Trade Log'!$K$4:$K$503,'Trade Log'!$G$4:$G$503,$A320,'Trade Log'!$C$4:$C$503,"SHORT"))</f>
        <v/>
      </c>
      <c r="G320" s="21">
        <f>IF($A320="","",$E320+$F320)</f>
        <v/>
      </c>
      <c r="H320" s="21">
        <f>IF($A320="","",$H319+IF($G320="",0,$G320))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Log'!$K$4:$K$503,'Trade Log'!$G$4:$G$503,$A321,'Trade Log'!$C$4:$C$503,"LONG"))</f>
        <v/>
      </c>
      <c r="F321" s="21">
        <f>IF($A321="","",SUMIFS('Trade Log'!$K$4:$K$503,'Trade Log'!$G$4:$G$503,$A321,'Trade Log'!$C$4:$C$503,"SHORT"))</f>
        <v/>
      </c>
      <c r="G321" s="21">
        <f>IF($A321="","",$E321+$F321)</f>
        <v/>
      </c>
      <c r="H321" s="21">
        <f>IF($A321="","",$H320+IF($G321="",0,$G321))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Log'!$K$4:$K$503,'Trade Log'!$G$4:$G$503,$A322,'Trade Log'!$C$4:$C$503,"LONG"))</f>
        <v/>
      </c>
      <c r="F322" s="21">
        <f>IF($A322="","",SUMIFS('Trade Log'!$K$4:$K$503,'Trade Log'!$G$4:$G$503,$A322,'Trade Log'!$C$4:$C$503,"SHORT"))</f>
        <v/>
      </c>
      <c r="G322" s="21">
        <f>IF($A322="","",$E322+$F322)</f>
        <v/>
      </c>
      <c r="H322" s="21">
        <f>IF($A322="","",$H321+IF($G322="",0,$G322))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Log'!$K$4:$K$503,'Trade Log'!$G$4:$G$503,$A323,'Trade Log'!$C$4:$C$503,"LONG"))</f>
        <v/>
      </c>
      <c r="F323" s="21">
        <f>IF($A323="","",SUMIFS('Trade Log'!$K$4:$K$503,'Trade Log'!$G$4:$G$503,$A323,'Trade Log'!$C$4:$C$503,"SHORT"))</f>
        <v/>
      </c>
      <c r="G323" s="21">
        <f>IF($A323="","",$E323+$F323)</f>
        <v/>
      </c>
      <c r="H323" s="21">
        <f>IF($A323="","",$H322+IF($G323="",0,$G323))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Log'!$K$4:$K$503,'Trade Log'!$G$4:$G$503,$A324,'Trade Log'!$C$4:$C$503,"LONG"))</f>
        <v/>
      </c>
      <c r="F324" s="21">
        <f>IF($A324="","",SUMIFS('Trade Log'!$K$4:$K$503,'Trade Log'!$G$4:$G$503,$A324,'Trade Log'!$C$4:$C$503,"SHORT"))</f>
        <v/>
      </c>
      <c r="G324" s="21">
        <f>IF($A324="","",$E324+$F324)</f>
        <v/>
      </c>
      <c r="H324" s="21">
        <f>IF($A324="","",$H323+IF($G324="",0,$G324))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Log'!$K$4:$K$503,'Trade Log'!$G$4:$G$503,$A325,'Trade Log'!$C$4:$C$503,"LONG"))</f>
        <v/>
      </c>
      <c r="F325" s="21">
        <f>IF($A325="","",SUMIFS('Trade Log'!$K$4:$K$503,'Trade Log'!$G$4:$G$503,$A325,'Trade Log'!$C$4:$C$503,"SHORT"))</f>
        <v/>
      </c>
      <c r="G325" s="21">
        <f>IF($A325="","",$E325+$F325)</f>
        <v/>
      </c>
      <c r="H325" s="21">
        <f>IF($A325="","",$H324+IF($G325="",0,$G325))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Log'!$K$4:$K$503,'Trade Log'!$G$4:$G$503,$A326,'Trade Log'!$C$4:$C$503,"LONG"))</f>
        <v/>
      </c>
      <c r="F326" s="21">
        <f>IF($A326="","",SUMIFS('Trade Log'!$K$4:$K$503,'Trade Log'!$G$4:$G$503,$A326,'Trade Log'!$C$4:$C$503,"SHORT"))</f>
        <v/>
      </c>
      <c r="G326" s="21">
        <f>IF($A326="","",$E326+$F326)</f>
        <v/>
      </c>
      <c r="H326" s="21">
        <f>IF($A326="","",$H325+IF($G326="",0,$G326))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Log'!$K$4:$K$503,'Trade Log'!$G$4:$G$503,$A327,'Trade Log'!$C$4:$C$503,"LONG"))</f>
        <v/>
      </c>
      <c r="F327" s="21">
        <f>IF($A327="","",SUMIFS('Trade Log'!$K$4:$K$503,'Trade Log'!$G$4:$G$503,$A327,'Trade Log'!$C$4:$C$503,"SHORT"))</f>
        <v/>
      </c>
      <c r="G327" s="21">
        <f>IF($A327="","",$E327+$F327)</f>
        <v/>
      </c>
      <c r="H327" s="21">
        <f>IF($A327="","",$H326+IF($G327="",0,$G327))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Log'!$K$4:$K$503,'Trade Log'!$G$4:$G$503,$A328,'Trade Log'!$C$4:$C$503,"LONG"))</f>
        <v/>
      </c>
      <c r="F328" s="21">
        <f>IF($A328="","",SUMIFS('Trade Log'!$K$4:$K$503,'Trade Log'!$G$4:$G$503,$A328,'Trade Log'!$C$4:$C$503,"SHORT"))</f>
        <v/>
      </c>
      <c r="G328" s="21">
        <f>IF($A328="","",$E328+$F328)</f>
        <v/>
      </c>
      <c r="H328" s="21">
        <f>IF($A328="","",$H327+IF($G328="",0,$G328))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Log'!$K$4:$K$503,'Trade Log'!$G$4:$G$503,$A329,'Trade Log'!$C$4:$C$503,"LONG"))</f>
        <v/>
      </c>
      <c r="F329" s="21">
        <f>IF($A329="","",SUMIFS('Trade Log'!$K$4:$K$503,'Trade Log'!$G$4:$G$503,$A329,'Trade Log'!$C$4:$C$503,"SHORT"))</f>
        <v/>
      </c>
      <c r="G329" s="21">
        <f>IF($A329="","",$E329+$F329)</f>
        <v/>
      </c>
      <c r="H329" s="21">
        <f>IF($A329="","",$H328+IF($G329="",0,$G329))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Log'!$K$4:$K$503,'Trade Log'!$G$4:$G$503,$A330,'Trade Log'!$C$4:$C$503,"LONG"))</f>
        <v/>
      </c>
      <c r="F330" s="21">
        <f>IF($A330="","",SUMIFS('Trade Log'!$K$4:$K$503,'Trade Log'!$G$4:$G$503,$A330,'Trade Log'!$C$4:$C$503,"SHORT"))</f>
        <v/>
      </c>
      <c r="G330" s="21">
        <f>IF($A330="","",$E330+$F330)</f>
        <v/>
      </c>
      <c r="H330" s="21">
        <f>IF($A330="","",$H329+IF($G330="",0,$G330))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Log'!$K$4:$K$503,'Trade Log'!$G$4:$G$503,$A331,'Trade Log'!$C$4:$C$503,"LONG"))</f>
        <v/>
      </c>
      <c r="F331" s="21">
        <f>IF($A331="","",SUMIFS('Trade Log'!$K$4:$K$503,'Trade Log'!$G$4:$G$503,$A331,'Trade Log'!$C$4:$C$503,"SHORT"))</f>
        <v/>
      </c>
      <c r="G331" s="21">
        <f>IF($A331="","",$E331+$F331)</f>
        <v/>
      </c>
      <c r="H331" s="21">
        <f>IF($A331="","",$H330+IF($G331="",0,$G331))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Log'!$K$4:$K$503,'Trade Log'!$G$4:$G$503,$A332,'Trade Log'!$C$4:$C$503,"LONG"))</f>
        <v/>
      </c>
      <c r="F332" s="21">
        <f>IF($A332="","",SUMIFS('Trade Log'!$K$4:$K$503,'Trade Log'!$G$4:$G$503,$A332,'Trade Log'!$C$4:$C$503,"SHORT"))</f>
        <v/>
      </c>
      <c r="G332" s="21">
        <f>IF($A332="","",$E332+$F332)</f>
        <v/>
      </c>
      <c r="H332" s="21">
        <f>IF($A332="","",$H331+IF($G332="",0,$G332))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Log'!$K$4:$K$503,'Trade Log'!$G$4:$G$503,$A333,'Trade Log'!$C$4:$C$503,"LONG"))</f>
        <v/>
      </c>
      <c r="F333" s="21">
        <f>IF($A333="","",SUMIFS('Trade Log'!$K$4:$K$503,'Trade Log'!$G$4:$G$503,$A333,'Trade Log'!$C$4:$C$503,"SHORT"))</f>
        <v/>
      </c>
      <c r="G333" s="21">
        <f>IF($A333="","",$E333+$F333)</f>
        <v/>
      </c>
      <c r="H333" s="21">
        <f>IF($A333="","",$H332+IF($G333="",0,$G333))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Log'!$K$4:$K$503,'Trade Log'!$G$4:$G$503,$A334,'Trade Log'!$C$4:$C$503,"LONG"))</f>
        <v/>
      </c>
      <c r="F334" s="21">
        <f>IF($A334="","",SUMIFS('Trade Log'!$K$4:$K$503,'Trade Log'!$G$4:$G$503,$A334,'Trade Log'!$C$4:$C$503,"SHORT"))</f>
        <v/>
      </c>
      <c r="G334" s="21">
        <f>IF($A334="","",$E334+$F334)</f>
        <v/>
      </c>
      <c r="H334" s="21">
        <f>IF($A334="","",$H333+IF($G334="",0,$G334))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Log'!$K$4:$K$503,'Trade Log'!$G$4:$G$503,$A335,'Trade Log'!$C$4:$C$503,"LONG"))</f>
        <v/>
      </c>
      <c r="F335" s="21">
        <f>IF($A335="","",SUMIFS('Trade Log'!$K$4:$K$503,'Trade Log'!$G$4:$G$503,$A335,'Trade Log'!$C$4:$C$503,"SHORT"))</f>
        <v/>
      </c>
      <c r="G335" s="21">
        <f>IF($A335="","",$E335+$F335)</f>
        <v/>
      </c>
      <c r="H335" s="21">
        <f>IF($A335="","",$H334+IF($G335="",0,$G335))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Log'!$K$4:$K$503,'Trade Log'!$G$4:$G$503,$A336,'Trade Log'!$C$4:$C$503,"LONG"))</f>
        <v/>
      </c>
      <c r="F336" s="21">
        <f>IF($A336="","",SUMIFS('Trade Log'!$K$4:$K$503,'Trade Log'!$G$4:$G$503,$A336,'Trade Log'!$C$4:$C$503,"SHORT"))</f>
        <v/>
      </c>
      <c r="G336" s="21">
        <f>IF($A336="","",$E336+$F336)</f>
        <v/>
      </c>
      <c r="H336" s="21">
        <f>IF($A336="","",$H335+IF($G336="",0,$G336))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Log'!$K$4:$K$503,'Trade Log'!$G$4:$G$503,$A337,'Trade Log'!$C$4:$C$503,"LONG"))</f>
        <v/>
      </c>
      <c r="F337" s="21">
        <f>IF($A337="","",SUMIFS('Trade Log'!$K$4:$K$503,'Trade Log'!$G$4:$G$503,$A337,'Trade Log'!$C$4:$C$503,"SHORT"))</f>
        <v/>
      </c>
      <c r="G337" s="21">
        <f>IF($A337="","",$E337+$F337)</f>
        <v/>
      </c>
      <c r="H337" s="21">
        <f>IF($A337="","",$H336+IF($G337="",0,$G337))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Log'!$K$4:$K$503,'Trade Log'!$G$4:$G$503,$A338,'Trade Log'!$C$4:$C$503,"LONG"))</f>
        <v/>
      </c>
      <c r="F338" s="21">
        <f>IF($A338="","",SUMIFS('Trade Log'!$K$4:$K$503,'Trade Log'!$G$4:$G$503,$A338,'Trade Log'!$C$4:$C$503,"SHORT"))</f>
        <v/>
      </c>
      <c r="G338" s="21">
        <f>IF($A338="","",$E338+$F338)</f>
        <v/>
      </c>
      <c r="H338" s="21">
        <f>IF($A338="","",$H337+IF($G338="",0,$G338))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Log'!$K$4:$K$503,'Trade Log'!$G$4:$G$503,$A339,'Trade Log'!$C$4:$C$503,"LONG"))</f>
        <v/>
      </c>
      <c r="F339" s="21">
        <f>IF($A339="","",SUMIFS('Trade Log'!$K$4:$K$503,'Trade Log'!$G$4:$G$503,$A339,'Trade Log'!$C$4:$C$503,"SHORT"))</f>
        <v/>
      </c>
      <c r="G339" s="21">
        <f>IF($A339="","",$E339+$F339)</f>
        <v/>
      </c>
      <c r="H339" s="21">
        <f>IF($A339="","",$H338+IF($G339="",0,$G339))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Log'!$K$4:$K$503,'Trade Log'!$G$4:$G$503,$A340,'Trade Log'!$C$4:$C$503,"LONG"))</f>
        <v/>
      </c>
      <c r="F340" s="21">
        <f>IF($A340="","",SUMIFS('Trade Log'!$K$4:$K$503,'Trade Log'!$G$4:$G$503,$A340,'Trade Log'!$C$4:$C$503,"SHORT"))</f>
        <v/>
      </c>
      <c r="G340" s="21">
        <f>IF($A340="","",$E340+$F340)</f>
        <v/>
      </c>
      <c r="H340" s="21">
        <f>IF($A340="","",$H339+IF($G340="",0,$G340))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Log'!$K$4:$K$503,'Trade Log'!$G$4:$G$503,$A341,'Trade Log'!$C$4:$C$503,"LONG"))</f>
        <v/>
      </c>
      <c r="F341" s="21">
        <f>IF($A341="","",SUMIFS('Trade Log'!$K$4:$K$503,'Trade Log'!$G$4:$G$503,$A341,'Trade Log'!$C$4:$C$503,"SHORT"))</f>
        <v/>
      </c>
      <c r="G341" s="21">
        <f>IF($A341="","",$E341+$F341)</f>
        <v/>
      </c>
      <c r="H341" s="21">
        <f>IF($A341="","",$H340+IF($G341="",0,$G341))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Log'!$K$4:$K$503,'Trade Log'!$G$4:$G$503,$A342,'Trade Log'!$C$4:$C$503,"LONG"))</f>
        <v/>
      </c>
      <c r="F342" s="21">
        <f>IF($A342="","",SUMIFS('Trade Log'!$K$4:$K$503,'Trade Log'!$G$4:$G$503,$A342,'Trade Log'!$C$4:$C$503,"SHORT"))</f>
        <v/>
      </c>
      <c r="G342" s="21">
        <f>IF($A342="","",$E342+$F342)</f>
        <v/>
      </c>
      <c r="H342" s="21">
        <f>IF($A342="","",$H341+IF($G342="",0,$G342))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Log'!$K$4:$K$503,'Trade Log'!$G$4:$G$503,$A343,'Trade Log'!$C$4:$C$503,"LONG"))</f>
        <v/>
      </c>
      <c r="F343" s="21">
        <f>IF($A343="","",SUMIFS('Trade Log'!$K$4:$K$503,'Trade Log'!$G$4:$G$503,$A343,'Trade Log'!$C$4:$C$503,"SHORT"))</f>
        <v/>
      </c>
      <c r="G343" s="21">
        <f>IF($A343="","",$E343+$F343)</f>
        <v/>
      </c>
      <c r="H343" s="21">
        <f>IF($A343="","",$H342+IF($G343="",0,$G343))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Log'!$K$4:$K$503,'Trade Log'!$G$4:$G$503,$A344,'Trade Log'!$C$4:$C$503,"LONG"))</f>
        <v/>
      </c>
      <c r="F344" s="21">
        <f>IF($A344="","",SUMIFS('Trade Log'!$K$4:$K$503,'Trade Log'!$G$4:$G$503,$A344,'Trade Log'!$C$4:$C$503,"SHORT"))</f>
        <v/>
      </c>
      <c r="G344" s="21">
        <f>IF($A344="","",$E344+$F344)</f>
        <v/>
      </c>
      <c r="H344" s="21">
        <f>IF($A344="","",$H343+IF($G344="",0,$G344))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Log'!$K$4:$K$503,'Trade Log'!$G$4:$G$503,$A345,'Trade Log'!$C$4:$C$503,"LONG"))</f>
        <v/>
      </c>
      <c r="F345" s="21">
        <f>IF($A345="","",SUMIFS('Trade Log'!$K$4:$K$503,'Trade Log'!$G$4:$G$503,$A345,'Trade Log'!$C$4:$C$503,"SHORT"))</f>
        <v/>
      </c>
      <c r="G345" s="21">
        <f>IF($A345="","",$E345+$F345)</f>
        <v/>
      </c>
      <c r="H345" s="21">
        <f>IF($A345="","",$H344+IF($G345="",0,$G345))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Log'!$K$4:$K$503,'Trade Log'!$G$4:$G$503,$A346,'Trade Log'!$C$4:$C$503,"LONG"))</f>
        <v/>
      </c>
      <c r="F346" s="21">
        <f>IF($A346="","",SUMIFS('Trade Log'!$K$4:$K$503,'Trade Log'!$G$4:$G$503,$A346,'Trade Log'!$C$4:$C$503,"SHORT"))</f>
        <v/>
      </c>
      <c r="G346" s="21">
        <f>IF($A346="","",$E346+$F346)</f>
        <v/>
      </c>
      <c r="H346" s="21">
        <f>IF($A346="","",$H345+IF($G346="",0,$G346))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Log'!$K$4:$K$503,'Trade Log'!$G$4:$G$503,$A347,'Trade Log'!$C$4:$C$503,"LONG"))</f>
        <v/>
      </c>
      <c r="F347" s="21">
        <f>IF($A347="","",SUMIFS('Trade Log'!$K$4:$K$503,'Trade Log'!$G$4:$G$503,$A347,'Trade Log'!$C$4:$C$503,"SHORT"))</f>
        <v/>
      </c>
      <c r="G347" s="21">
        <f>IF($A347="","",$E347+$F347)</f>
        <v/>
      </c>
      <c r="H347" s="21">
        <f>IF($A347="","",$H346+IF($G347="",0,$G347))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Log'!$K$4:$K$503,'Trade Log'!$G$4:$G$503,$A348,'Trade Log'!$C$4:$C$503,"LONG"))</f>
        <v/>
      </c>
      <c r="F348" s="21">
        <f>IF($A348="","",SUMIFS('Trade Log'!$K$4:$K$503,'Trade Log'!$G$4:$G$503,$A348,'Trade Log'!$C$4:$C$503,"SHORT"))</f>
        <v/>
      </c>
      <c r="G348" s="21">
        <f>IF($A348="","",$E348+$F348)</f>
        <v/>
      </c>
      <c r="H348" s="21">
        <f>IF($A348="","",$H347+IF($G348="",0,$G348))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Log'!$K$4:$K$503,'Trade Log'!$G$4:$G$503,$A349,'Trade Log'!$C$4:$C$503,"LONG"))</f>
        <v/>
      </c>
      <c r="F349" s="21">
        <f>IF($A349="","",SUMIFS('Trade Log'!$K$4:$K$503,'Trade Log'!$G$4:$G$503,$A349,'Trade Log'!$C$4:$C$503,"SHORT"))</f>
        <v/>
      </c>
      <c r="G349" s="21">
        <f>IF($A349="","",$E349+$F349)</f>
        <v/>
      </c>
      <c r="H349" s="21">
        <f>IF($A349="","",$H348+IF($G349="",0,$G349))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Log'!$K$4:$K$503,'Trade Log'!$G$4:$G$503,$A350,'Trade Log'!$C$4:$C$503,"LONG"))</f>
        <v/>
      </c>
      <c r="F350" s="21">
        <f>IF($A350="","",SUMIFS('Trade Log'!$K$4:$K$503,'Trade Log'!$G$4:$G$503,$A350,'Trade Log'!$C$4:$C$503,"SHORT"))</f>
        <v/>
      </c>
      <c r="G350" s="21">
        <f>IF($A350="","",$E350+$F350)</f>
        <v/>
      </c>
      <c r="H350" s="21">
        <f>IF($A350="","",$H349+IF($G350="",0,$G350))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Log'!$K$4:$K$503,'Trade Log'!$G$4:$G$503,$A351,'Trade Log'!$C$4:$C$503,"LONG"))</f>
        <v/>
      </c>
      <c r="F351" s="21">
        <f>IF($A351="","",SUMIFS('Trade Log'!$K$4:$K$503,'Trade Log'!$G$4:$G$503,$A351,'Trade Log'!$C$4:$C$503,"SHORT"))</f>
        <v/>
      </c>
      <c r="G351" s="21">
        <f>IF($A351="","",$E351+$F351)</f>
        <v/>
      </c>
      <c r="H351" s="21">
        <f>IF($A351="","",$H350+IF($G351="",0,$G351))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Log'!$K$4:$K$503,'Trade Log'!$G$4:$G$503,$A352,'Trade Log'!$C$4:$C$503,"LONG"))</f>
        <v/>
      </c>
      <c r="F352" s="21">
        <f>IF($A352="","",SUMIFS('Trade Log'!$K$4:$K$503,'Trade Log'!$G$4:$G$503,$A352,'Trade Log'!$C$4:$C$503,"SHORT"))</f>
        <v/>
      </c>
      <c r="G352" s="21">
        <f>IF($A352="","",$E352+$F352)</f>
        <v/>
      </c>
      <c r="H352" s="21">
        <f>IF($A352="","",$H351+IF($G352="",0,$G352))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Log'!$K$4:$K$503,'Trade Log'!$G$4:$G$503,$A353,'Trade Log'!$C$4:$C$503,"LONG"))</f>
        <v/>
      </c>
      <c r="F353" s="21">
        <f>IF($A353="","",SUMIFS('Trade Log'!$K$4:$K$503,'Trade Log'!$G$4:$G$503,$A353,'Trade Log'!$C$4:$C$503,"SHORT"))</f>
        <v/>
      </c>
      <c r="G353" s="21">
        <f>IF($A353="","",$E353+$F353)</f>
        <v/>
      </c>
      <c r="H353" s="21">
        <f>IF($A353="","",$H352+IF($G353="",0,$G353))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Log'!$K$4:$K$503,'Trade Log'!$G$4:$G$503,$A354,'Trade Log'!$C$4:$C$503,"LONG"))</f>
        <v/>
      </c>
      <c r="F354" s="21">
        <f>IF($A354="","",SUMIFS('Trade Log'!$K$4:$K$503,'Trade Log'!$G$4:$G$503,$A354,'Trade Log'!$C$4:$C$503,"SHORT"))</f>
        <v/>
      </c>
      <c r="G354" s="21">
        <f>IF($A354="","",$E354+$F354)</f>
        <v/>
      </c>
      <c r="H354" s="21">
        <f>IF($A354="","",$H353+IF($G354="",0,$G354))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Log'!$K$4:$K$503,'Trade Log'!$G$4:$G$503,$A355,'Trade Log'!$C$4:$C$503,"LONG"))</f>
        <v/>
      </c>
      <c r="F355" s="21">
        <f>IF($A355="","",SUMIFS('Trade Log'!$K$4:$K$503,'Trade Log'!$G$4:$G$503,$A355,'Trade Log'!$C$4:$C$503,"SHORT"))</f>
        <v/>
      </c>
      <c r="G355" s="21">
        <f>IF($A355="","",$E355+$F355)</f>
        <v/>
      </c>
      <c r="H355" s="21">
        <f>IF($A355="","",$H354+IF($G355="",0,$G355))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Log'!$K$4:$K$503,'Trade Log'!$G$4:$G$503,$A356,'Trade Log'!$C$4:$C$503,"LONG"))</f>
        <v/>
      </c>
      <c r="F356" s="21">
        <f>IF($A356="","",SUMIFS('Trade Log'!$K$4:$K$503,'Trade Log'!$G$4:$G$503,$A356,'Trade Log'!$C$4:$C$503,"SHORT"))</f>
        <v/>
      </c>
      <c r="G356" s="21">
        <f>IF($A356="","",$E356+$F356)</f>
        <v/>
      </c>
      <c r="H356" s="21">
        <f>IF($A356="","",$H355+IF($G356="",0,$G356))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Log'!$K$4:$K$503,'Trade Log'!$G$4:$G$503,$A357,'Trade Log'!$C$4:$C$503,"LONG"))</f>
        <v/>
      </c>
      <c r="F357" s="21">
        <f>IF($A357="","",SUMIFS('Trade Log'!$K$4:$K$503,'Trade Log'!$G$4:$G$503,$A357,'Trade Log'!$C$4:$C$503,"SHORT"))</f>
        <v/>
      </c>
      <c r="G357" s="21">
        <f>IF($A357="","",$E357+$F357)</f>
        <v/>
      </c>
      <c r="H357" s="21">
        <f>IF($A357="","",$H356+IF($G357="",0,$G357))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Log'!$K$4:$K$503,'Trade Log'!$G$4:$G$503,$A358,'Trade Log'!$C$4:$C$503,"LONG"))</f>
        <v/>
      </c>
      <c r="F358" s="21">
        <f>IF($A358="","",SUMIFS('Trade Log'!$K$4:$K$503,'Trade Log'!$G$4:$G$503,$A358,'Trade Log'!$C$4:$C$503,"SHORT"))</f>
        <v/>
      </c>
      <c r="G358" s="21">
        <f>IF($A358="","",$E358+$F358)</f>
        <v/>
      </c>
      <c r="H358" s="21">
        <f>IF($A358="","",$H357+IF($G358="",0,$G358))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Log'!$K$4:$K$503,'Trade Log'!$G$4:$G$503,$A359,'Trade Log'!$C$4:$C$503,"LONG"))</f>
        <v/>
      </c>
      <c r="F359" s="21">
        <f>IF($A359="","",SUMIFS('Trade Log'!$K$4:$K$503,'Trade Log'!$G$4:$G$503,$A359,'Trade Log'!$C$4:$C$503,"SHORT"))</f>
        <v/>
      </c>
      <c r="G359" s="21">
        <f>IF($A359="","",$E359+$F359)</f>
        <v/>
      </c>
      <c r="H359" s="21">
        <f>IF($A359="","",$H358+IF($G359="",0,$G359))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Log'!$K$4:$K$503,'Trade Log'!$G$4:$G$503,$A360,'Trade Log'!$C$4:$C$503,"LONG"))</f>
        <v/>
      </c>
      <c r="F360" s="21">
        <f>IF($A360="","",SUMIFS('Trade Log'!$K$4:$K$503,'Trade Log'!$G$4:$G$503,$A360,'Trade Log'!$C$4:$C$503,"SHORT"))</f>
        <v/>
      </c>
      <c r="G360" s="21">
        <f>IF($A360="","",$E360+$F360)</f>
        <v/>
      </c>
      <c r="H360" s="21">
        <f>IF($A360="","",$H359+IF($G360="",0,$G360))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Log'!$K$4:$K$503,'Trade Log'!$G$4:$G$503,$A361,'Trade Log'!$C$4:$C$503,"LONG"))</f>
        <v/>
      </c>
      <c r="F361" s="21">
        <f>IF($A361="","",SUMIFS('Trade Log'!$K$4:$K$503,'Trade Log'!$G$4:$G$503,$A361,'Trade Log'!$C$4:$C$503,"SHORT"))</f>
        <v/>
      </c>
      <c r="G361" s="21">
        <f>IF($A361="","",$E361+$F361)</f>
        <v/>
      </c>
      <c r="H361" s="21">
        <f>IF($A361="","",$H360+IF($G361="",0,$G361))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Log'!$K$4:$K$503,'Trade Log'!$G$4:$G$503,$A362,'Trade Log'!$C$4:$C$503,"LONG"))</f>
        <v/>
      </c>
      <c r="F362" s="21">
        <f>IF($A362="","",SUMIFS('Trade Log'!$K$4:$K$503,'Trade Log'!$G$4:$G$503,$A362,'Trade Log'!$C$4:$C$503,"SHORT"))</f>
        <v/>
      </c>
      <c r="G362" s="21">
        <f>IF($A362="","",$E362+$F362)</f>
        <v/>
      </c>
      <c r="H362" s="21">
        <f>IF($A362="","",$H361+IF($G362="",0,$G362))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Log'!$K$4:$K$503,'Trade Log'!$G$4:$G$503,$A363,'Trade Log'!$C$4:$C$503,"LONG"))</f>
        <v/>
      </c>
      <c r="F363" s="21">
        <f>IF($A363="","",SUMIFS('Trade Log'!$K$4:$K$503,'Trade Log'!$G$4:$G$503,$A363,'Trade Log'!$C$4:$C$503,"SHORT"))</f>
        <v/>
      </c>
      <c r="G363" s="21">
        <f>IF($A363="","",$E363+$F363)</f>
        <v/>
      </c>
      <c r="H363" s="21">
        <f>IF($A363="","",$H362+IF($G363="",0,$G363))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Log'!$K$4:$K$503,'Trade Log'!$G$4:$G$503,$A364,'Trade Log'!$C$4:$C$503,"LONG"))</f>
        <v/>
      </c>
      <c r="F364" s="21">
        <f>IF($A364="","",SUMIFS('Trade Log'!$K$4:$K$503,'Trade Log'!$G$4:$G$503,$A364,'Trade Log'!$C$4:$C$503,"SHORT"))</f>
        <v/>
      </c>
      <c r="G364" s="21">
        <f>IF($A364="","",$E364+$F364)</f>
        <v/>
      </c>
      <c r="H364" s="21">
        <f>IF($A364="","",$H363+IF($G364="",0,$G364))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Log'!$K$4:$K$503,'Trade Log'!$G$4:$G$503,$A365,'Trade Log'!$C$4:$C$503,"LONG"))</f>
        <v/>
      </c>
      <c r="F365" s="21">
        <f>IF($A365="","",SUMIFS('Trade Log'!$K$4:$K$503,'Trade Log'!$G$4:$G$503,$A365,'Trade Log'!$C$4:$C$503,"SHORT"))</f>
        <v/>
      </c>
      <c r="G365" s="21">
        <f>IF($A365="","",$E365+$F365)</f>
        <v/>
      </c>
      <c r="H365" s="21">
        <f>IF($A365="","",$H364+IF($G365="",0,$G365))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Log'!$K$4:$K$503,'Trade Log'!$G$4:$G$503,$A366,'Trade Log'!$C$4:$C$503,"LONG"))</f>
        <v/>
      </c>
      <c r="F366" s="21">
        <f>IF($A366="","",SUMIFS('Trade Log'!$K$4:$K$503,'Trade Log'!$G$4:$G$503,$A366,'Trade Log'!$C$4:$C$503,"SHORT"))</f>
        <v/>
      </c>
      <c r="G366" s="21">
        <f>IF($A366="","",$E366+$F366)</f>
        <v/>
      </c>
      <c r="H366" s="21">
        <f>IF($A366="","",$H365+IF($G366="",0,$G366))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Log'!$K$4:$K$503,'Trade Log'!$G$4:$G$503,$A367,'Trade Log'!$C$4:$C$503,"LONG"))</f>
        <v/>
      </c>
      <c r="F367" s="21">
        <f>IF($A367="","",SUMIFS('Trade Log'!$K$4:$K$503,'Trade Log'!$G$4:$G$503,$A367,'Trade Log'!$C$4:$C$503,"SHORT"))</f>
        <v/>
      </c>
      <c r="G367" s="21">
        <f>IF($A367="","",$E367+$F367)</f>
        <v/>
      </c>
      <c r="H367" s="21">
        <f>IF($A367="","",$H366+IF($G367="",0,$G367))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Log'!$K$4:$K$503,'Trade Log'!$G$4:$G$503,$A368,'Trade Log'!$C$4:$C$503,"LONG"))</f>
        <v/>
      </c>
      <c r="F368" s="21">
        <f>IF($A368="","",SUMIFS('Trade Log'!$K$4:$K$503,'Trade Log'!$G$4:$G$503,$A368,'Trade Log'!$C$4:$C$503,"SHORT"))</f>
        <v/>
      </c>
      <c r="G368" s="21">
        <f>IF($A368="","",$E368+$F368)</f>
        <v/>
      </c>
      <c r="H368" s="21">
        <f>IF($A368="","",$H367+IF($G368="",0,$G368))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Log'!$K$4:$K$503,'Trade Log'!$G$4:$G$503,$A369,'Trade Log'!$C$4:$C$503,"LONG"))</f>
        <v/>
      </c>
      <c r="F369" s="21">
        <f>IF($A369="","",SUMIFS('Trade Log'!$K$4:$K$503,'Trade Log'!$G$4:$G$503,$A369,'Trade Log'!$C$4:$C$503,"SHORT"))</f>
        <v/>
      </c>
      <c r="G369" s="21">
        <f>IF($A369="","",$E369+$F369)</f>
        <v/>
      </c>
      <c r="H369" s="21">
        <f>IF($A369="","",$H368+IF($G369="",0,$G369))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Log'!$K$4:$K$503,'Trade Log'!$G$4:$G$503,$A370,'Trade Log'!$C$4:$C$503,"LONG"))</f>
        <v/>
      </c>
      <c r="F370" s="21">
        <f>IF($A370="","",SUMIFS('Trade Log'!$K$4:$K$503,'Trade Log'!$G$4:$G$503,$A370,'Trade Log'!$C$4:$C$503,"SHORT"))</f>
        <v/>
      </c>
      <c r="G370" s="21">
        <f>IF($A370="","",$E370+$F370)</f>
        <v/>
      </c>
      <c r="H370" s="21">
        <f>IF($A370="","",$H369+IF($G370="",0,$G370))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Log'!$K$4:$K$503,'Trade Log'!$G$4:$G$503,$A371,'Trade Log'!$C$4:$C$503,"LONG"))</f>
        <v/>
      </c>
      <c r="F371" s="21">
        <f>IF($A371="","",SUMIFS('Trade Log'!$K$4:$K$503,'Trade Log'!$G$4:$G$503,$A371,'Trade Log'!$C$4:$C$503,"SHORT"))</f>
        <v/>
      </c>
      <c r="G371" s="21">
        <f>IF($A371="","",$E371+$F371)</f>
        <v/>
      </c>
      <c r="H371" s="21">
        <f>IF($A371="","",$H370+IF($G371="",0,$G371))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Log'!$K$4:$K$503,'Trade Log'!$G$4:$G$503,$A372,'Trade Log'!$C$4:$C$503,"LONG"))</f>
        <v/>
      </c>
      <c r="F372" s="21">
        <f>IF($A372="","",SUMIFS('Trade Log'!$K$4:$K$503,'Trade Log'!$G$4:$G$503,$A372,'Trade Log'!$C$4:$C$503,"SHORT"))</f>
        <v/>
      </c>
      <c r="G372" s="21">
        <f>IF($A372="","",$E372+$F372)</f>
        <v/>
      </c>
      <c r="H372" s="21">
        <f>IF($A372="","",$H371+IF($G372="",0,$G372))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Log'!$K$4:$K$503,'Trade Log'!$G$4:$G$503,$A373,'Trade Log'!$C$4:$C$503,"LONG"))</f>
        <v/>
      </c>
      <c r="F373" s="21">
        <f>IF($A373="","",SUMIFS('Trade Log'!$K$4:$K$503,'Trade Log'!$G$4:$G$503,$A373,'Trade Log'!$C$4:$C$503,"SHORT"))</f>
        <v/>
      </c>
      <c r="G373" s="21">
        <f>IF($A373="","",$E373+$F373)</f>
        <v/>
      </c>
      <c r="H373" s="21">
        <f>IF($A373="","",$H372+IF($G373="",0,$G373))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Log'!$K$4:$K$503,'Trade Log'!$G$4:$G$503,$A374,'Trade Log'!$C$4:$C$503,"LONG"))</f>
        <v/>
      </c>
      <c r="F374" s="21">
        <f>IF($A374="","",SUMIFS('Trade Log'!$K$4:$K$503,'Trade Log'!$G$4:$G$503,$A374,'Trade Log'!$C$4:$C$503,"SHORT"))</f>
        <v/>
      </c>
      <c r="G374" s="21">
        <f>IF($A374="","",$E374+$F374)</f>
        <v/>
      </c>
      <c r="H374" s="21">
        <f>IF($A374="","",$H373+IF($G374="",0,$G374))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Log'!$K$4:$K$503,'Trade Log'!$G$4:$G$503,$A375,'Trade Log'!$C$4:$C$503,"LONG"))</f>
        <v/>
      </c>
      <c r="F375" s="21">
        <f>IF($A375="","",SUMIFS('Trade Log'!$K$4:$K$503,'Trade Log'!$G$4:$G$503,$A375,'Trade Log'!$C$4:$C$503,"SHORT"))</f>
        <v/>
      </c>
      <c r="G375" s="21">
        <f>IF($A375="","",$E375+$F375)</f>
        <v/>
      </c>
      <c r="H375" s="21">
        <f>IF($A375="","",$H374+IF($G375="",0,$G375))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Log'!$K$4:$K$503,'Trade Log'!$G$4:$G$503,$A376,'Trade Log'!$C$4:$C$503,"LONG"))</f>
        <v/>
      </c>
      <c r="F376" s="21">
        <f>IF($A376="","",SUMIFS('Trade Log'!$K$4:$K$503,'Trade Log'!$G$4:$G$503,$A376,'Trade Log'!$C$4:$C$503,"SHORT"))</f>
        <v/>
      </c>
      <c r="G376" s="21">
        <f>IF($A376="","",$E376+$F376)</f>
        <v/>
      </c>
      <c r="H376" s="21">
        <f>IF($A376="","",$H375+IF($G376="",0,$G376))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Log'!$K$4:$K$503,'Trade Log'!$G$4:$G$503,$A377,'Trade Log'!$C$4:$C$503,"LONG"))</f>
        <v/>
      </c>
      <c r="F377" s="21">
        <f>IF($A377="","",SUMIFS('Trade Log'!$K$4:$K$503,'Trade Log'!$G$4:$G$503,$A377,'Trade Log'!$C$4:$C$503,"SHORT"))</f>
        <v/>
      </c>
      <c r="G377" s="21">
        <f>IF($A377="","",$E377+$F377)</f>
        <v/>
      </c>
      <c r="H377" s="21">
        <f>IF($A377="","",$H376+IF($G377="",0,$G377))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Log'!$K$4:$K$503,'Trade Log'!$G$4:$G$503,$A378,'Trade Log'!$C$4:$C$503,"LONG"))</f>
        <v/>
      </c>
      <c r="F378" s="21">
        <f>IF($A378="","",SUMIFS('Trade Log'!$K$4:$K$503,'Trade Log'!$G$4:$G$503,$A378,'Trade Log'!$C$4:$C$503,"SHORT"))</f>
        <v/>
      </c>
      <c r="G378" s="21">
        <f>IF($A378="","",$E378+$F378)</f>
        <v/>
      </c>
      <c r="H378" s="21">
        <f>IF($A378="","",$H377+IF($G378="",0,$G378))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Log'!$K$4:$K$503,'Trade Log'!$G$4:$G$503,$A379,'Trade Log'!$C$4:$C$503,"LONG"))</f>
        <v/>
      </c>
      <c r="F379" s="21">
        <f>IF($A379="","",SUMIFS('Trade Log'!$K$4:$K$503,'Trade Log'!$G$4:$G$503,$A379,'Trade Log'!$C$4:$C$503,"SHORT"))</f>
        <v/>
      </c>
      <c r="G379" s="21">
        <f>IF($A379="","",$E379+$F379)</f>
        <v/>
      </c>
      <c r="H379" s="21">
        <f>IF($A379="","",$H378+IF($G379="",0,$G379))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Log'!$K$4:$K$503,'Trade Log'!$G$4:$G$503,$A380,'Trade Log'!$C$4:$C$503,"LONG"))</f>
        <v/>
      </c>
      <c r="F380" s="21">
        <f>IF($A380="","",SUMIFS('Trade Log'!$K$4:$K$503,'Trade Log'!$G$4:$G$503,$A380,'Trade Log'!$C$4:$C$503,"SHORT"))</f>
        <v/>
      </c>
      <c r="G380" s="21">
        <f>IF($A380="","",$E380+$F380)</f>
        <v/>
      </c>
      <c r="H380" s="21">
        <f>IF($A380="","",$H379+IF($G380="",0,$G380))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Log'!$K$4:$K$503,'Trade Log'!$G$4:$G$503,$A381,'Trade Log'!$C$4:$C$503,"LONG"))</f>
        <v/>
      </c>
      <c r="F381" s="21">
        <f>IF($A381="","",SUMIFS('Trade Log'!$K$4:$K$503,'Trade Log'!$G$4:$G$503,$A381,'Trade Log'!$C$4:$C$503,"SHORT"))</f>
        <v/>
      </c>
      <c r="G381" s="21">
        <f>IF($A381="","",$E381+$F381)</f>
        <v/>
      </c>
      <c r="H381" s="21">
        <f>IF($A381="","",$H380+IF($G381="",0,$G381))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Log'!$K$4:$K$503,'Trade Log'!$G$4:$G$503,$A382,'Trade Log'!$C$4:$C$503,"LONG"))</f>
        <v/>
      </c>
      <c r="F382" s="21">
        <f>IF($A382="","",SUMIFS('Trade Log'!$K$4:$K$503,'Trade Log'!$G$4:$G$503,$A382,'Trade Log'!$C$4:$C$503,"SHORT"))</f>
        <v/>
      </c>
      <c r="G382" s="21">
        <f>IF($A382="","",$E382+$F382)</f>
        <v/>
      </c>
      <c r="H382" s="21">
        <f>IF($A382="","",$H381+IF($G382="",0,$G382))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Log'!$K$4:$K$503,'Trade Log'!$G$4:$G$503,$A383,'Trade Log'!$C$4:$C$503,"LONG"))</f>
        <v/>
      </c>
      <c r="F383" s="21">
        <f>IF($A383="","",SUMIFS('Trade Log'!$K$4:$K$503,'Trade Log'!$G$4:$G$503,$A383,'Trade Log'!$C$4:$C$503,"SHORT"))</f>
        <v/>
      </c>
      <c r="G383" s="21">
        <f>IF($A383="","",$E383+$F383)</f>
        <v/>
      </c>
      <c r="H383" s="21">
        <f>IF($A383="","",$H382+IF($G383="",0,$G383))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Log'!$K$4:$K$503,'Trade Log'!$G$4:$G$503,$A384,'Trade Log'!$C$4:$C$503,"LONG"))</f>
        <v/>
      </c>
      <c r="F384" s="21">
        <f>IF($A384="","",SUMIFS('Trade Log'!$K$4:$K$503,'Trade Log'!$G$4:$G$503,$A384,'Trade Log'!$C$4:$C$503,"SHORT"))</f>
        <v/>
      </c>
      <c r="G384" s="21">
        <f>IF($A384="","",$E384+$F384)</f>
        <v/>
      </c>
      <c r="H384" s="21">
        <f>IF($A384="","",$H383+IF($G384="",0,$G384))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Log'!$K$4:$K$503,'Trade Log'!$G$4:$G$503,$A385,'Trade Log'!$C$4:$C$503,"LONG"))</f>
        <v/>
      </c>
      <c r="F385" s="21">
        <f>IF($A385="","",SUMIFS('Trade Log'!$K$4:$K$503,'Trade Log'!$G$4:$G$503,$A385,'Trade Log'!$C$4:$C$503,"SHORT"))</f>
        <v/>
      </c>
      <c r="G385" s="21">
        <f>IF($A385="","",$E385+$F385)</f>
        <v/>
      </c>
      <c r="H385" s="21">
        <f>IF($A385="","",$H384+IF($G385="",0,$G385))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Log'!$K$4:$K$503,'Trade Log'!$G$4:$G$503,$A386,'Trade Log'!$C$4:$C$503,"LONG"))</f>
        <v/>
      </c>
      <c r="F386" s="21">
        <f>IF($A386="","",SUMIFS('Trade Log'!$K$4:$K$503,'Trade Log'!$G$4:$G$503,$A386,'Trade Log'!$C$4:$C$503,"SHORT"))</f>
        <v/>
      </c>
      <c r="G386" s="21">
        <f>IF($A386="","",$E386+$F386)</f>
        <v/>
      </c>
      <c r="H386" s="21">
        <f>IF($A386="","",$H385+IF($G386="",0,$G386))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Log'!$K$4:$K$503,'Trade Log'!$G$4:$G$503,$A387,'Trade Log'!$C$4:$C$503,"LONG"))</f>
        <v/>
      </c>
      <c r="F387" s="21">
        <f>IF($A387="","",SUMIFS('Trade Log'!$K$4:$K$503,'Trade Log'!$G$4:$G$503,$A387,'Trade Log'!$C$4:$C$503,"SHORT"))</f>
        <v/>
      </c>
      <c r="G387" s="21">
        <f>IF($A387="","",$E387+$F387)</f>
        <v/>
      </c>
      <c r="H387" s="21">
        <f>IF($A387="","",$H386+IF($G387="",0,$G387))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Log'!$K$4:$K$503,'Trade Log'!$G$4:$G$503,$A388,'Trade Log'!$C$4:$C$503,"LONG"))</f>
        <v/>
      </c>
      <c r="F388" s="21">
        <f>IF($A388="","",SUMIFS('Trade Log'!$K$4:$K$503,'Trade Log'!$G$4:$G$503,$A388,'Trade Log'!$C$4:$C$503,"SHORT"))</f>
        <v/>
      </c>
      <c r="G388" s="21">
        <f>IF($A388="","",$E388+$F388)</f>
        <v/>
      </c>
      <c r="H388" s="21">
        <f>IF($A388="","",$H387+IF($G388="",0,$G388))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Log'!$K$4:$K$503,'Trade Log'!$G$4:$G$503,$A389,'Trade Log'!$C$4:$C$503,"LONG"))</f>
        <v/>
      </c>
      <c r="F389" s="21">
        <f>IF($A389="","",SUMIFS('Trade Log'!$K$4:$K$503,'Trade Log'!$G$4:$G$503,$A389,'Trade Log'!$C$4:$C$503,"SHORT"))</f>
        <v/>
      </c>
      <c r="G389" s="21">
        <f>IF($A389="","",$E389+$F389)</f>
        <v/>
      </c>
      <c r="H389" s="21">
        <f>IF($A389="","",$H388+IF($G389="",0,$G389))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Log'!$K$4:$K$503,'Trade Log'!$G$4:$G$503,$A390,'Trade Log'!$C$4:$C$503,"LONG"))</f>
        <v/>
      </c>
      <c r="F390" s="21">
        <f>IF($A390="","",SUMIFS('Trade Log'!$K$4:$K$503,'Trade Log'!$G$4:$G$503,$A390,'Trade Log'!$C$4:$C$503,"SHORT"))</f>
        <v/>
      </c>
      <c r="G390" s="21">
        <f>IF($A390="","",$E390+$F390)</f>
        <v/>
      </c>
      <c r="H390" s="21">
        <f>IF($A390="","",$H389+IF($G390="",0,$G390))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Log'!$K$4:$K$503,'Trade Log'!$G$4:$G$503,$A391,'Trade Log'!$C$4:$C$503,"LONG"))</f>
        <v/>
      </c>
      <c r="F391" s="21">
        <f>IF($A391="","",SUMIFS('Trade Log'!$K$4:$K$503,'Trade Log'!$G$4:$G$503,$A391,'Trade Log'!$C$4:$C$503,"SHORT"))</f>
        <v/>
      </c>
      <c r="G391" s="21">
        <f>IF($A391="","",$E391+$F391)</f>
        <v/>
      </c>
      <c r="H391" s="21">
        <f>IF($A391="","",$H390+IF($G391="",0,$G391))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Log'!$K$4:$K$503,'Trade Log'!$G$4:$G$503,$A392,'Trade Log'!$C$4:$C$503,"LONG"))</f>
        <v/>
      </c>
      <c r="F392" s="21">
        <f>IF($A392="","",SUMIFS('Trade Log'!$K$4:$K$503,'Trade Log'!$G$4:$G$503,$A392,'Trade Log'!$C$4:$C$503,"SHORT"))</f>
        <v/>
      </c>
      <c r="G392" s="21">
        <f>IF($A392="","",$E392+$F392)</f>
        <v/>
      </c>
      <c r="H392" s="21">
        <f>IF($A392="","",$H391+IF($G392="",0,$G392))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Log'!$K$4:$K$503,'Trade Log'!$G$4:$G$503,$A393,'Trade Log'!$C$4:$C$503,"LONG"))</f>
        <v/>
      </c>
      <c r="F393" s="21">
        <f>IF($A393="","",SUMIFS('Trade Log'!$K$4:$K$503,'Trade Log'!$G$4:$G$503,$A393,'Trade Log'!$C$4:$C$503,"SHORT"))</f>
        <v/>
      </c>
      <c r="G393" s="21">
        <f>IF($A393="","",$E393+$F393)</f>
        <v/>
      </c>
      <c r="H393" s="21">
        <f>IF($A393="","",$H392+IF($G393="",0,$G393))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Log'!$K$4:$K$503,'Trade Log'!$G$4:$G$503,$A394,'Trade Log'!$C$4:$C$503,"LONG"))</f>
        <v/>
      </c>
      <c r="F394" s="21">
        <f>IF($A394="","",SUMIFS('Trade Log'!$K$4:$K$503,'Trade Log'!$G$4:$G$503,$A394,'Trade Log'!$C$4:$C$503,"SHORT"))</f>
        <v/>
      </c>
      <c r="G394" s="21">
        <f>IF($A394="","",$E394+$F394)</f>
        <v/>
      </c>
      <c r="H394" s="21">
        <f>IF($A394="","",$H393+IF($G394="",0,$G394))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Log'!$K$4:$K$503,'Trade Log'!$G$4:$G$503,$A395,'Trade Log'!$C$4:$C$503,"LONG"))</f>
        <v/>
      </c>
      <c r="F395" s="21">
        <f>IF($A395="","",SUMIFS('Trade Log'!$K$4:$K$503,'Trade Log'!$G$4:$G$503,$A395,'Trade Log'!$C$4:$C$503,"SHORT"))</f>
        <v/>
      </c>
      <c r="G395" s="21">
        <f>IF($A395="","",$E395+$F395)</f>
        <v/>
      </c>
      <c r="H395" s="21">
        <f>IF($A395="","",$H394+IF($G395="",0,$G395))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Log'!$K$4:$K$503,'Trade Log'!$G$4:$G$503,$A396,'Trade Log'!$C$4:$C$503,"LONG"))</f>
        <v/>
      </c>
      <c r="F396" s="21">
        <f>IF($A396="","",SUMIFS('Trade Log'!$K$4:$K$503,'Trade Log'!$G$4:$G$503,$A396,'Trade Log'!$C$4:$C$503,"SHORT"))</f>
        <v/>
      </c>
      <c r="G396" s="21">
        <f>IF($A396="","",$E396+$F396)</f>
        <v/>
      </c>
      <c r="H396" s="21">
        <f>IF($A396="","",$H395+IF($G396="",0,$G396))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Log'!$K$4:$K$503,'Trade Log'!$G$4:$G$503,$A397,'Trade Log'!$C$4:$C$503,"LONG"))</f>
        <v/>
      </c>
      <c r="F397" s="21">
        <f>IF($A397="","",SUMIFS('Trade Log'!$K$4:$K$503,'Trade Log'!$G$4:$G$503,$A397,'Trade Log'!$C$4:$C$503,"SHORT"))</f>
        <v/>
      </c>
      <c r="G397" s="21">
        <f>IF($A397="","",$E397+$F397)</f>
        <v/>
      </c>
      <c r="H397" s="21">
        <f>IF($A397="","",$H396+IF($G397="",0,$G397))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Log'!$K$4:$K$503,'Trade Log'!$G$4:$G$503,$A398,'Trade Log'!$C$4:$C$503,"LONG"))</f>
        <v/>
      </c>
      <c r="F398" s="21">
        <f>IF($A398="","",SUMIFS('Trade Log'!$K$4:$K$503,'Trade Log'!$G$4:$G$503,$A398,'Trade Log'!$C$4:$C$503,"SHORT"))</f>
        <v/>
      </c>
      <c r="G398" s="21">
        <f>IF($A398="","",$E398+$F398)</f>
        <v/>
      </c>
      <c r="H398" s="21">
        <f>IF($A398="","",$H397+IF($G398="",0,$G398))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Log'!$K$4:$K$503,'Trade Log'!$G$4:$G$503,$A399,'Trade Log'!$C$4:$C$503,"LONG"))</f>
        <v/>
      </c>
      <c r="F399" s="21">
        <f>IF($A399="","",SUMIFS('Trade Log'!$K$4:$K$503,'Trade Log'!$G$4:$G$503,$A399,'Trade Log'!$C$4:$C$503,"SHORT"))</f>
        <v/>
      </c>
      <c r="G399" s="21">
        <f>IF($A399="","",$E399+$F399)</f>
        <v/>
      </c>
      <c r="H399" s="21">
        <f>IF($A399="","",$H398+IF($G399="",0,$G399))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Log'!$K$4:$K$503,'Trade Log'!$G$4:$G$503,$A400,'Trade Log'!$C$4:$C$503,"LONG"))</f>
        <v/>
      </c>
      <c r="F400" s="21">
        <f>IF($A400="","",SUMIFS('Trade Log'!$K$4:$K$503,'Trade Log'!$G$4:$G$503,$A400,'Trade Log'!$C$4:$C$503,"SHORT"))</f>
        <v/>
      </c>
      <c r="G400" s="21">
        <f>IF($A400="","",$E400+$F400)</f>
        <v/>
      </c>
      <c r="H400" s="21">
        <f>IF($A400="","",$H399+IF($G400="",0,$G400))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Log'!$K$4:$K$503,'Trade Log'!$G$4:$G$503,$A401,'Trade Log'!$C$4:$C$503,"LONG"))</f>
        <v/>
      </c>
      <c r="F401" s="21">
        <f>IF($A401="","",SUMIFS('Trade Log'!$K$4:$K$503,'Trade Log'!$G$4:$G$503,$A401,'Trade Log'!$C$4:$C$503,"SHORT"))</f>
        <v/>
      </c>
      <c r="G401" s="21">
        <f>IF($A401="","",$E401+$F401)</f>
        <v/>
      </c>
      <c r="H401" s="21">
        <f>IF($A401="","",$H400+IF($G401="",0,$G401))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Log'!$K$4:$K$503,'Trade Log'!$G$4:$G$503,$A402,'Trade Log'!$C$4:$C$503,"LONG"))</f>
        <v/>
      </c>
      <c r="F402" s="21">
        <f>IF($A402="","",SUMIFS('Trade Log'!$K$4:$K$503,'Trade Log'!$G$4:$G$503,$A402,'Trade Log'!$C$4:$C$503,"SHORT"))</f>
        <v/>
      </c>
      <c r="G402" s="21">
        <f>IF($A402="","",$E402+$F402)</f>
        <v/>
      </c>
      <c r="H402" s="21">
        <f>IF($A402="","",$H401+IF($G402="",0,$G402))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Log'!$K$4:$K$503,'Trade Log'!$G$4:$G$503,$A403,'Trade Log'!$C$4:$C$503,"LONG"))</f>
        <v/>
      </c>
      <c r="F403" s="21">
        <f>IF($A403="","",SUMIFS('Trade Log'!$K$4:$K$503,'Trade Log'!$G$4:$G$503,$A403,'Trade Log'!$C$4:$C$503,"SHORT"))</f>
        <v/>
      </c>
      <c r="G403" s="21">
        <f>IF($A403="","",$E403+$F403)</f>
        <v/>
      </c>
      <c r="H403" s="21">
        <f>IF($A403="","",$H402+IF($G403="",0,$G403))</f>
        <v/>
      </c>
    </row>
  </sheetData>
  <mergeCells count="2">
    <mergeCell ref="A2:H2"/>
    <mergeCell ref="A1:H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Log'!$K$4:$K$503,"&gt;0")</f>
        <v/>
      </c>
      <c r="D4" s="20">
        <f>COUNTIFS('Trade Log'!$C$4:$C$503,$A4,'Trade Log'!$K$4:$K$503,"&lt;0")</f>
        <v/>
      </c>
      <c r="E4" s="29">
        <f>IFERROR($C4/$B4,"")</f>
        <v/>
      </c>
      <c r="F4" s="21">
        <f>SUMIF('Trade Log'!$C$4:$C$503,$A4,'Trade Log'!$I$4:$I$503)</f>
        <v/>
      </c>
      <c r="G4" s="21">
        <f>SUMIF('Trade Log'!$C$4:$C$503,$A4,'Trade Log'!$K$4:$K$503)</f>
        <v/>
      </c>
      <c r="H4" s="21">
        <f>IFERROR($G4/$B4,"")</f>
        <v/>
      </c>
      <c r="I4" s="21">
        <f>IFERROR(_xlfn.MAXIFS('Trade Log'!$K$4:$K$503,'Trade Log'!$C$4:$C$503,$A4),"")</f>
        <v/>
      </c>
      <c r="J4" s="21">
        <f>IFERROR(_xlfn.MINIFS('Trade Log'!$K$4:$K$503,'Trade Log'!$C$4:$C$503,$A4),"")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Log'!$K$4:$K$503,"&gt;0")</f>
        <v/>
      </c>
      <c r="D5" s="20">
        <f>COUNTIFS('Trade Log'!$C$4:$C$503,$A5,'Trade Log'!$K$4:$K$503,"&lt;0")</f>
        <v/>
      </c>
      <c r="E5" s="29">
        <f>IFERROR($C5/$B5,"")</f>
        <v/>
      </c>
      <c r="F5" s="21">
        <f>SUMIF('Trade Log'!$C$4:$C$503,$A5,'Trade Log'!$I$4:$I$503)</f>
        <v/>
      </c>
      <c r="G5" s="21">
        <f>SUMIF('Trade Log'!$C$4:$C$503,$A5,'Trade Log'!$K$4:$K$503)</f>
        <v/>
      </c>
      <c r="H5" s="21">
        <f>IFERROR($G5/$B5,"")</f>
        <v/>
      </c>
      <c r="I5" s="21">
        <f>IFERROR(_xlfn.MAXIFS('Trade Log'!$K$4:$K$503,'Trade Log'!$C$4:$C$503,$A5),"")</f>
        <v/>
      </c>
      <c r="J5" s="21">
        <f>IFERROR(_xlfn.MINIFS('Trade Log'!$K$4:$K$503,'Trade Log'!$C$4:$C$503,$A5),"")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ALEMBICLTD</t>
        </is>
      </c>
      <c r="B4" s="20">
        <f>COUNTIF('Trade Log'!$B$4:$B$503,$A4)</f>
        <v/>
      </c>
      <c r="C4" s="20">
        <f>COUNTIFS('Trade Log'!$B$4:$B$503,$A4,'Trade Log'!$K$4:$K$503,"&gt;0")</f>
        <v/>
      </c>
      <c r="D4" s="20">
        <f>COUNTIFS('Trade Log'!$B$4:$B$503,$A4,'Trade Log'!$K$4:$K$503,"&lt;0")</f>
        <v/>
      </c>
      <c r="E4" s="29">
        <f>IFERROR($C4/$B4,"")</f>
        <v/>
      </c>
      <c r="F4" s="21">
        <f>SUMIF('Trade Log'!$B$4:$B$503,$A4,'Trade Log'!$I$4:$I$503)</f>
        <v/>
      </c>
      <c r="G4" s="21">
        <f>SUMIF('Trade Log'!$B$4:$B$503,$A4,'Trade Log'!$K$4:$K$503)</f>
        <v/>
      </c>
      <c r="H4" s="21">
        <f>IFERROR($G4/$B4,"")</f>
        <v/>
      </c>
      <c r="I4" s="21">
        <f>IFERROR(_xlfn.MAXIFS('Trade Log'!$K$4:$K$503,'Trade Log'!$B$4:$B$503,$A4),"")</f>
        <v/>
      </c>
      <c r="J4" s="21">
        <f>IFERROR(_xlfn.MINIFS('Trade Log'!$K$4:$K$503,'Trade Log'!$B$4:$B$503,$A4),"")</f>
        <v/>
      </c>
    </row>
    <row r="5">
      <c r="A5" s="27" t="inlineStr">
        <is>
          <t>ANTELOPUS</t>
        </is>
      </c>
      <c r="B5" s="20">
        <f>COUNTIF('Trade Log'!$B$4:$B$503,$A5)</f>
        <v/>
      </c>
      <c r="C5" s="20">
        <f>COUNTIFS('Trade Log'!$B$4:$B$503,$A5,'Trade Log'!$K$4:$K$503,"&gt;0")</f>
        <v/>
      </c>
      <c r="D5" s="20">
        <f>COUNTIFS('Trade Log'!$B$4:$B$503,$A5,'Trade Log'!$K$4:$K$503,"&lt;0")</f>
        <v/>
      </c>
      <c r="E5" s="29">
        <f>IFERROR($C5/$B5,"")</f>
        <v/>
      </c>
      <c r="F5" s="21">
        <f>SUMIF('Trade Log'!$B$4:$B$503,$A5,'Trade Log'!$I$4:$I$503)</f>
        <v/>
      </c>
      <c r="G5" s="21">
        <f>SUMIF('Trade Log'!$B$4:$B$503,$A5,'Trade Log'!$K$4:$K$503)</f>
        <v/>
      </c>
      <c r="H5" s="21">
        <f>IFERROR($G5/$B5,"")</f>
        <v/>
      </c>
      <c r="I5" s="21">
        <f>IFERROR(_xlfn.MAXIFS('Trade Log'!$K$4:$K$503,'Trade Log'!$B$4:$B$503,$A5),"")</f>
        <v/>
      </c>
      <c r="J5" s="21">
        <f>IFERROR(_xlfn.MINIFS('Trade Log'!$K$4:$K$503,'Trade Log'!$B$4:$B$503,$A5),"")</f>
        <v/>
      </c>
    </row>
    <row r="6">
      <c r="A6" s="27" t="inlineStr">
        <is>
          <t>ARVSMART</t>
        </is>
      </c>
      <c r="B6" s="20">
        <f>COUNTIF('Trade Log'!$B$4:$B$503,$A6)</f>
        <v/>
      </c>
      <c r="C6" s="20">
        <f>COUNTIFS('Trade Log'!$B$4:$B$503,$A6,'Trade Log'!$K$4:$K$503,"&gt;0")</f>
        <v/>
      </c>
      <c r="D6" s="20">
        <f>COUNTIFS('Trade Log'!$B$4:$B$503,$A6,'Trade Log'!$K$4:$K$503,"&lt;0")</f>
        <v/>
      </c>
      <c r="E6" s="29">
        <f>IFERROR($C6/$B6,"")</f>
        <v/>
      </c>
      <c r="F6" s="21">
        <f>SUMIF('Trade Log'!$B$4:$B$503,$A6,'Trade Log'!$I$4:$I$503)</f>
        <v/>
      </c>
      <c r="G6" s="21">
        <f>SUMIF('Trade Log'!$B$4:$B$503,$A6,'Trade Log'!$K$4:$K$503)</f>
        <v/>
      </c>
      <c r="H6" s="21">
        <f>IFERROR($G6/$B6,"")</f>
        <v/>
      </c>
      <c r="I6" s="21">
        <f>IFERROR(_xlfn.MAXIFS('Trade Log'!$K$4:$K$503,'Trade Log'!$B$4:$B$503,$A6),"")</f>
        <v/>
      </c>
      <c r="J6" s="21">
        <f>IFERROR(_xlfn.MINIFS('Trade Log'!$K$4:$K$503,'Trade Log'!$B$4:$B$503,$A6),"")</f>
        <v/>
      </c>
    </row>
    <row r="7">
      <c r="A7" s="27" t="inlineStr">
        <is>
          <t>ASHIANA</t>
        </is>
      </c>
      <c r="B7" s="20">
        <f>COUNTIF('Trade Log'!$B$4:$B$503,$A7)</f>
        <v/>
      </c>
      <c r="C7" s="20">
        <f>COUNTIFS('Trade Log'!$B$4:$B$503,$A7,'Trade Log'!$K$4:$K$503,"&gt;0")</f>
        <v/>
      </c>
      <c r="D7" s="20">
        <f>COUNTIFS('Trade Log'!$B$4:$B$503,$A7,'Trade Log'!$K$4:$K$503,"&lt;0")</f>
        <v/>
      </c>
      <c r="E7" s="29">
        <f>IFERROR($C7/$B7,"")</f>
        <v/>
      </c>
      <c r="F7" s="21">
        <f>SUMIF('Trade Log'!$B$4:$B$503,$A7,'Trade Log'!$I$4:$I$503)</f>
        <v/>
      </c>
      <c r="G7" s="21">
        <f>SUMIF('Trade Log'!$B$4:$B$503,$A7,'Trade Log'!$K$4:$K$503)</f>
        <v/>
      </c>
      <c r="H7" s="21">
        <f>IFERROR($G7/$B7,"")</f>
        <v/>
      </c>
      <c r="I7" s="21">
        <f>IFERROR(_xlfn.MAXIFS('Trade Log'!$K$4:$K$503,'Trade Log'!$B$4:$B$503,$A7),"")</f>
        <v/>
      </c>
      <c r="J7" s="21">
        <f>IFERROR(_xlfn.MINIFS('Trade Log'!$K$4:$K$503,'Trade Log'!$B$4:$B$503,$A7),"")</f>
        <v/>
      </c>
    </row>
    <row r="8">
      <c r="A8" s="27" t="inlineStr">
        <is>
          <t>ASHOKA</t>
        </is>
      </c>
      <c r="B8" s="20">
        <f>COUNTIF('Trade Log'!$B$4:$B$503,$A8)</f>
        <v/>
      </c>
      <c r="C8" s="20">
        <f>COUNTIFS('Trade Log'!$B$4:$B$503,$A8,'Trade Log'!$K$4:$K$503,"&gt;0")</f>
        <v/>
      </c>
      <c r="D8" s="20">
        <f>COUNTIFS('Trade Log'!$B$4:$B$503,$A8,'Trade Log'!$K$4:$K$503,"&lt;0")</f>
        <v/>
      </c>
      <c r="E8" s="29">
        <f>IFERROR($C8/$B8,"")</f>
        <v/>
      </c>
      <c r="F8" s="21">
        <f>SUMIF('Trade Log'!$B$4:$B$503,$A8,'Trade Log'!$I$4:$I$503)</f>
        <v/>
      </c>
      <c r="G8" s="21">
        <f>SUMIF('Trade Log'!$B$4:$B$503,$A8,'Trade Log'!$K$4:$K$503)</f>
        <v/>
      </c>
      <c r="H8" s="21">
        <f>IFERROR($G8/$B8,"")</f>
        <v/>
      </c>
      <c r="I8" s="21">
        <f>IFERROR(_xlfn.MAXIFS('Trade Log'!$K$4:$K$503,'Trade Log'!$B$4:$B$503,$A8),"")</f>
        <v/>
      </c>
      <c r="J8" s="21">
        <f>IFERROR(_xlfn.MINIFS('Trade Log'!$K$4:$K$503,'Trade Log'!$B$4:$B$503,$A8),"")</f>
        <v/>
      </c>
    </row>
    <row r="9">
      <c r="A9" s="27" t="inlineStr">
        <is>
          <t>ASTEC</t>
        </is>
      </c>
      <c r="B9" s="20">
        <f>COUNTIF('Trade Log'!$B$4:$B$503,$A9)</f>
        <v/>
      </c>
      <c r="C9" s="20">
        <f>COUNTIFS('Trade Log'!$B$4:$B$503,$A9,'Trade Log'!$K$4:$K$503,"&gt;0")</f>
        <v/>
      </c>
      <c r="D9" s="20">
        <f>COUNTIFS('Trade Log'!$B$4:$B$503,$A9,'Trade Log'!$K$4:$K$503,"&lt;0")</f>
        <v/>
      </c>
      <c r="E9" s="29">
        <f>IFERROR($C9/$B9,"")</f>
        <v/>
      </c>
      <c r="F9" s="21">
        <f>SUMIF('Trade Log'!$B$4:$B$503,$A9,'Trade Log'!$I$4:$I$503)</f>
        <v/>
      </c>
      <c r="G9" s="21">
        <f>SUMIF('Trade Log'!$B$4:$B$503,$A9,'Trade Log'!$K$4:$K$503)</f>
        <v/>
      </c>
      <c r="H9" s="21">
        <f>IFERROR($G9/$B9,"")</f>
        <v/>
      </c>
      <c r="I9" s="21">
        <f>IFERROR(_xlfn.MAXIFS('Trade Log'!$K$4:$K$503,'Trade Log'!$B$4:$B$503,$A9),"")</f>
        <v/>
      </c>
      <c r="J9" s="21">
        <f>IFERROR(_xlfn.MINIFS('Trade Log'!$K$4:$K$503,'Trade Log'!$B$4:$B$503,$A9),"")</f>
        <v/>
      </c>
    </row>
    <row r="10">
      <c r="A10" s="27" t="inlineStr">
        <is>
          <t>AWFIS</t>
        </is>
      </c>
      <c r="B10" s="20">
        <f>COUNTIF('Trade Log'!$B$4:$B$503,$A10)</f>
        <v/>
      </c>
      <c r="C10" s="20">
        <f>COUNTIFS('Trade Log'!$B$4:$B$503,$A10,'Trade Log'!$K$4:$K$503,"&gt;0")</f>
        <v/>
      </c>
      <c r="D10" s="20">
        <f>COUNTIFS('Trade Log'!$B$4:$B$503,$A10,'Trade Log'!$K$4:$K$503,"&lt;0")</f>
        <v/>
      </c>
      <c r="E10" s="29">
        <f>IFERROR($C10/$B10,"")</f>
        <v/>
      </c>
      <c r="F10" s="21">
        <f>SUMIF('Trade Log'!$B$4:$B$503,$A10,'Trade Log'!$I$4:$I$503)</f>
        <v/>
      </c>
      <c r="G10" s="21">
        <f>SUMIF('Trade Log'!$B$4:$B$503,$A10,'Trade Log'!$K$4:$K$503)</f>
        <v/>
      </c>
      <c r="H10" s="21">
        <f>IFERROR($G10/$B10,"")</f>
        <v/>
      </c>
      <c r="I10" s="21">
        <f>IFERROR(_xlfn.MAXIFS('Trade Log'!$K$4:$K$503,'Trade Log'!$B$4:$B$503,$A10),"")</f>
        <v/>
      </c>
      <c r="J10" s="21">
        <f>IFERROR(_xlfn.MINIFS('Trade Log'!$K$4:$K$503,'Trade Log'!$B$4:$B$503,$A10),"")</f>
        <v/>
      </c>
    </row>
    <row r="11">
      <c r="A11" s="27" t="inlineStr">
        <is>
          <t>BAJAJHIND</t>
        </is>
      </c>
      <c r="B11" s="20">
        <f>COUNTIF('Trade Log'!$B$4:$B$503,$A11)</f>
        <v/>
      </c>
      <c r="C11" s="20">
        <f>COUNTIFS('Trade Log'!$B$4:$B$503,$A11,'Trade Log'!$K$4:$K$503,"&gt;0")</f>
        <v/>
      </c>
      <c r="D11" s="20">
        <f>COUNTIFS('Trade Log'!$B$4:$B$503,$A11,'Trade Log'!$K$4:$K$503,"&lt;0")</f>
        <v/>
      </c>
      <c r="E11" s="29">
        <f>IFERROR($C11/$B11,"")</f>
        <v/>
      </c>
      <c r="F11" s="21">
        <f>SUMIF('Trade Log'!$B$4:$B$503,$A11,'Trade Log'!$I$4:$I$503)</f>
        <v/>
      </c>
      <c r="G11" s="21">
        <f>SUMIF('Trade Log'!$B$4:$B$503,$A11,'Trade Log'!$K$4:$K$503)</f>
        <v/>
      </c>
      <c r="H11" s="21">
        <f>IFERROR($G11/$B11,"")</f>
        <v/>
      </c>
      <c r="I11" s="21">
        <f>IFERROR(_xlfn.MAXIFS('Trade Log'!$K$4:$K$503,'Trade Log'!$B$4:$B$503,$A11),"")</f>
        <v/>
      </c>
      <c r="J11" s="21">
        <f>IFERROR(_xlfn.MINIFS('Trade Log'!$K$4:$K$503,'Trade Log'!$B$4:$B$503,$A11),"")</f>
        <v/>
      </c>
    </row>
    <row r="12">
      <c r="A12" s="27" t="inlineStr">
        <is>
          <t>BANARISUG</t>
        </is>
      </c>
      <c r="B12" s="20">
        <f>COUNTIF('Trade Log'!$B$4:$B$503,$A12)</f>
        <v/>
      </c>
      <c r="C12" s="20">
        <f>COUNTIFS('Trade Log'!$B$4:$B$503,$A12,'Trade Log'!$K$4:$K$503,"&gt;0")</f>
        <v/>
      </c>
      <c r="D12" s="20">
        <f>COUNTIFS('Trade Log'!$B$4:$B$503,$A12,'Trade Log'!$K$4:$K$503,"&lt;0")</f>
        <v/>
      </c>
      <c r="E12" s="29">
        <f>IFERROR($C12/$B12,"")</f>
        <v/>
      </c>
      <c r="F12" s="21">
        <f>SUMIF('Trade Log'!$B$4:$B$503,$A12,'Trade Log'!$I$4:$I$503)</f>
        <v/>
      </c>
      <c r="G12" s="21">
        <f>SUMIF('Trade Log'!$B$4:$B$503,$A12,'Trade Log'!$K$4:$K$503)</f>
        <v/>
      </c>
      <c r="H12" s="21">
        <f>IFERROR($G12/$B12,"")</f>
        <v/>
      </c>
      <c r="I12" s="21">
        <f>IFERROR(_xlfn.MAXIFS('Trade Log'!$K$4:$K$503,'Trade Log'!$B$4:$B$503,$A12),"")</f>
        <v/>
      </c>
      <c r="J12" s="21">
        <f>IFERROR(_xlfn.MINIFS('Trade Log'!$K$4:$K$503,'Trade Log'!$B$4:$B$503,$A12),"")</f>
        <v/>
      </c>
    </row>
    <row r="13">
      <c r="A13" s="27" t="inlineStr">
        <is>
          <t>BCG</t>
        </is>
      </c>
      <c r="B13" s="20">
        <f>COUNTIF('Trade Log'!$B$4:$B$503,$A13)</f>
        <v/>
      </c>
      <c r="C13" s="20">
        <f>COUNTIFS('Trade Log'!$B$4:$B$503,$A13,'Trade Log'!$K$4:$K$503,"&gt;0")</f>
        <v/>
      </c>
      <c r="D13" s="20">
        <f>COUNTIFS('Trade Log'!$B$4:$B$503,$A13,'Trade Log'!$K$4:$K$503,"&lt;0")</f>
        <v/>
      </c>
      <c r="E13" s="29">
        <f>IFERROR($C13/$B13,"")</f>
        <v/>
      </c>
      <c r="F13" s="21">
        <f>SUMIF('Trade Log'!$B$4:$B$503,$A13,'Trade Log'!$I$4:$I$503)</f>
        <v/>
      </c>
      <c r="G13" s="21">
        <f>SUMIF('Trade Log'!$B$4:$B$503,$A13,'Trade Log'!$K$4:$K$503)</f>
        <v/>
      </c>
      <c r="H13" s="21">
        <f>IFERROR($G13/$B13,"")</f>
        <v/>
      </c>
      <c r="I13" s="21">
        <f>IFERROR(_xlfn.MAXIFS('Trade Log'!$K$4:$K$503,'Trade Log'!$B$4:$B$503,$A13),"")</f>
        <v/>
      </c>
      <c r="J13" s="21">
        <f>IFERROR(_xlfn.MINIFS('Trade Log'!$K$4:$K$503,'Trade Log'!$B$4:$B$503,$A13),"")</f>
        <v/>
      </c>
    </row>
    <row r="14">
      <c r="A14" s="27" t="inlineStr">
        <is>
          <t>BFUTILITIE</t>
        </is>
      </c>
      <c r="B14" s="20">
        <f>COUNTIF('Trade Log'!$B$4:$B$503,$A14)</f>
        <v/>
      </c>
      <c r="C14" s="20">
        <f>COUNTIFS('Trade Log'!$B$4:$B$503,$A14,'Trade Log'!$K$4:$K$503,"&gt;0")</f>
        <v/>
      </c>
      <c r="D14" s="20">
        <f>COUNTIFS('Trade Log'!$B$4:$B$503,$A14,'Trade Log'!$K$4:$K$503,"&lt;0")</f>
        <v/>
      </c>
      <c r="E14" s="29">
        <f>IFERROR($C14/$B14,"")</f>
        <v/>
      </c>
      <c r="F14" s="21">
        <f>SUMIF('Trade Log'!$B$4:$B$503,$A14,'Trade Log'!$I$4:$I$503)</f>
        <v/>
      </c>
      <c r="G14" s="21">
        <f>SUMIF('Trade Log'!$B$4:$B$503,$A14,'Trade Log'!$K$4:$K$503)</f>
        <v/>
      </c>
      <c r="H14" s="21">
        <f>IFERROR($G14/$B14,"")</f>
        <v/>
      </c>
      <c r="I14" s="21">
        <f>IFERROR(_xlfn.MAXIFS('Trade Log'!$K$4:$K$503,'Trade Log'!$B$4:$B$503,$A14),"")</f>
        <v/>
      </c>
      <c r="J14" s="21">
        <f>IFERROR(_xlfn.MINIFS('Trade Log'!$K$4:$K$503,'Trade Log'!$B$4:$B$503,$A14),"")</f>
        <v/>
      </c>
    </row>
    <row r="15">
      <c r="A15" s="27" t="inlineStr">
        <is>
          <t>BOMDYEING</t>
        </is>
      </c>
      <c r="B15" s="20">
        <f>COUNTIF('Trade Log'!$B$4:$B$503,$A15)</f>
        <v/>
      </c>
      <c r="C15" s="20">
        <f>COUNTIFS('Trade Log'!$B$4:$B$503,$A15,'Trade Log'!$K$4:$K$503,"&gt;0")</f>
        <v/>
      </c>
      <c r="D15" s="20">
        <f>COUNTIFS('Trade Log'!$B$4:$B$503,$A15,'Trade Log'!$K$4:$K$503,"&lt;0")</f>
        <v/>
      </c>
      <c r="E15" s="29">
        <f>IFERROR($C15/$B15,"")</f>
        <v/>
      </c>
      <c r="F15" s="21">
        <f>SUMIF('Trade Log'!$B$4:$B$503,$A15,'Trade Log'!$I$4:$I$503)</f>
        <v/>
      </c>
      <c r="G15" s="21">
        <f>SUMIF('Trade Log'!$B$4:$B$503,$A15,'Trade Log'!$K$4:$K$503)</f>
        <v/>
      </c>
      <c r="H15" s="21">
        <f>IFERROR($G15/$B15,"")</f>
        <v/>
      </c>
      <c r="I15" s="21">
        <f>IFERROR(_xlfn.MAXIFS('Trade Log'!$K$4:$K$503,'Trade Log'!$B$4:$B$503,$A15),"")</f>
        <v/>
      </c>
      <c r="J15" s="21">
        <f>IFERROR(_xlfn.MINIFS('Trade Log'!$K$4:$K$503,'Trade Log'!$B$4:$B$503,$A15),"")</f>
        <v/>
      </c>
    </row>
    <row r="16">
      <c r="A16" s="27" t="inlineStr">
        <is>
          <t>CHEMPLASTS</t>
        </is>
      </c>
      <c r="B16" s="20">
        <f>COUNTIF('Trade Log'!$B$4:$B$503,$A16)</f>
        <v/>
      </c>
      <c r="C16" s="20">
        <f>COUNTIFS('Trade Log'!$B$4:$B$503,$A16,'Trade Log'!$K$4:$K$503,"&gt;0")</f>
        <v/>
      </c>
      <c r="D16" s="20">
        <f>COUNTIFS('Trade Log'!$B$4:$B$503,$A16,'Trade Log'!$K$4:$K$503,"&lt;0")</f>
        <v/>
      </c>
      <c r="E16" s="29">
        <f>IFERROR($C16/$B16,"")</f>
        <v/>
      </c>
      <c r="F16" s="21">
        <f>SUMIF('Trade Log'!$B$4:$B$503,$A16,'Trade Log'!$I$4:$I$503)</f>
        <v/>
      </c>
      <c r="G16" s="21">
        <f>SUMIF('Trade Log'!$B$4:$B$503,$A16,'Trade Log'!$K$4:$K$503)</f>
        <v/>
      </c>
      <c r="H16" s="21">
        <f>IFERROR($G16/$B16,"")</f>
        <v/>
      </c>
      <c r="I16" s="21">
        <f>IFERROR(_xlfn.MAXIFS('Trade Log'!$K$4:$K$503,'Trade Log'!$B$4:$B$503,$A16),"")</f>
        <v/>
      </c>
      <c r="J16" s="21">
        <f>IFERROR(_xlfn.MINIFS('Trade Log'!$K$4:$K$503,'Trade Log'!$B$4:$B$503,$A16),"")</f>
        <v/>
      </c>
    </row>
    <row r="17">
      <c r="A17" s="27" t="inlineStr">
        <is>
          <t>DELTACORP</t>
        </is>
      </c>
      <c r="B17" s="20">
        <f>COUNTIF('Trade Log'!$B$4:$B$503,$A17)</f>
        <v/>
      </c>
      <c r="C17" s="20">
        <f>COUNTIFS('Trade Log'!$B$4:$B$503,$A17,'Trade Log'!$K$4:$K$503,"&gt;0")</f>
        <v/>
      </c>
      <c r="D17" s="20">
        <f>COUNTIFS('Trade Log'!$B$4:$B$503,$A17,'Trade Log'!$K$4:$K$503,"&lt;0")</f>
        <v/>
      </c>
      <c r="E17" s="29">
        <f>IFERROR($C17/$B17,"")</f>
        <v/>
      </c>
      <c r="F17" s="21">
        <f>SUMIF('Trade Log'!$B$4:$B$503,$A17,'Trade Log'!$I$4:$I$503)</f>
        <v/>
      </c>
      <c r="G17" s="21">
        <f>SUMIF('Trade Log'!$B$4:$B$503,$A17,'Trade Log'!$K$4:$K$503)</f>
        <v/>
      </c>
      <c r="H17" s="21">
        <f>IFERROR($G17/$B17,"")</f>
        <v/>
      </c>
      <c r="I17" s="21">
        <f>IFERROR(_xlfn.MAXIFS('Trade Log'!$K$4:$K$503,'Trade Log'!$B$4:$B$503,$A17),"")</f>
        <v/>
      </c>
      <c r="J17" s="21">
        <f>IFERROR(_xlfn.MINIFS('Trade Log'!$K$4:$K$503,'Trade Log'!$B$4:$B$503,$A17),"")</f>
        <v/>
      </c>
    </row>
    <row r="18">
      <c r="A18" s="27" t="inlineStr">
        <is>
          <t>EIEL</t>
        </is>
      </c>
      <c r="B18" s="20">
        <f>COUNTIF('Trade Log'!$B$4:$B$503,$A18)</f>
        <v/>
      </c>
      <c r="C18" s="20">
        <f>COUNTIFS('Trade Log'!$B$4:$B$503,$A18,'Trade Log'!$K$4:$K$503,"&gt;0")</f>
        <v/>
      </c>
      <c r="D18" s="20">
        <f>COUNTIFS('Trade Log'!$B$4:$B$503,$A18,'Trade Log'!$K$4:$K$503,"&lt;0")</f>
        <v/>
      </c>
      <c r="E18" s="29">
        <f>IFERROR($C18/$B18,"")</f>
        <v/>
      </c>
      <c r="F18" s="21">
        <f>SUMIF('Trade Log'!$B$4:$B$503,$A18,'Trade Log'!$I$4:$I$503)</f>
        <v/>
      </c>
      <c r="G18" s="21">
        <f>SUMIF('Trade Log'!$B$4:$B$503,$A18,'Trade Log'!$K$4:$K$503)</f>
        <v/>
      </c>
      <c r="H18" s="21">
        <f>IFERROR($G18/$B18,"")</f>
        <v/>
      </c>
      <c r="I18" s="21">
        <f>IFERROR(_xlfn.MAXIFS('Trade Log'!$K$4:$K$503,'Trade Log'!$B$4:$B$503,$A18),"")</f>
        <v/>
      </c>
      <c r="J18" s="21">
        <f>IFERROR(_xlfn.MINIFS('Trade Log'!$K$4:$K$503,'Trade Log'!$B$4:$B$503,$A18),"")</f>
        <v/>
      </c>
    </row>
    <row r="19">
      <c r="A19" s="27" t="inlineStr">
        <is>
          <t>EMUDHRA</t>
        </is>
      </c>
      <c r="B19" s="20">
        <f>COUNTIF('Trade Log'!$B$4:$B$503,$A19)</f>
        <v/>
      </c>
      <c r="C19" s="20">
        <f>COUNTIFS('Trade Log'!$B$4:$B$503,$A19,'Trade Log'!$K$4:$K$503,"&gt;0")</f>
        <v/>
      </c>
      <c r="D19" s="20">
        <f>COUNTIFS('Trade Log'!$B$4:$B$503,$A19,'Trade Log'!$K$4:$K$503,"&lt;0")</f>
        <v/>
      </c>
      <c r="E19" s="29">
        <f>IFERROR($C19/$B19,"")</f>
        <v/>
      </c>
      <c r="F19" s="21">
        <f>SUMIF('Trade Log'!$B$4:$B$503,$A19,'Trade Log'!$I$4:$I$503)</f>
        <v/>
      </c>
      <c r="G19" s="21">
        <f>SUMIF('Trade Log'!$B$4:$B$503,$A19,'Trade Log'!$K$4:$K$503)</f>
        <v/>
      </c>
      <c r="H19" s="21">
        <f>IFERROR($G19/$B19,"")</f>
        <v/>
      </c>
      <c r="I19" s="21">
        <f>IFERROR(_xlfn.MAXIFS('Trade Log'!$K$4:$K$503,'Trade Log'!$B$4:$B$503,$A19),"")</f>
        <v/>
      </c>
      <c r="J19" s="21">
        <f>IFERROR(_xlfn.MINIFS('Trade Log'!$K$4:$K$503,'Trade Log'!$B$4:$B$503,$A19),"")</f>
        <v/>
      </c>
    </row>
    <row r="20">
      <c r="A20" s="27" t="inlineStr">
        <is>
          <t>FILATEX</t>
        </is>
      </c>
      <c r="B20" s="20">
        <f>COUNTIF('Trade Log'!$B$4:$B$503,$A20)</f>
        <v/>
      </c>
      <c r="C20" s="20">
        <f>COUNTIFS('Trade Log'!$B$4:$B$503,$A20,'Trade Log'!$K$4:$K$503,"&gt;0")</f>
        <v/>
      </c>
      <c r="D20" s="20">
        <f>COUNTIFS('Trade Log'!$B$4:$B$503,$A20,'Trade Log'!$K$4:$K$503,"&lt;0")</f>
        <v/>
      </c>
      <c r="E20" s="29">
        <f>IFERROR($C20/$B20,"")</f>
        <v/>
      </c>
      <c r="F20" s="21">
        <f>SUMIF('Trade Log'!$B$4:$B$503,$A20,'Trade Log'!$I$4:$I$503)</f>
        <v/>
      </c>
      <c r="G20" s="21">
        <f>SUMIF('Trade Log'!$B$4:$B$503,$A20,'Trade Log'!$K$4:$K$503)</f>
        <v/>
      </c>
      <c r="H20" s="21">
        <f>IFERROR($G20/$B20,"")</f>
        <v/>
      </c>
      <c r="I20" s="21">
        <f>IFERROR(_xlfn.MAXIFS('Trade Log'!$K$4:$K$503,'Trade Log'!$B$4:$B$503,$A20),"")</f>
        <v/>
      </c>
      <c r="J20" s="21">
        <f>IFERROR(_xlfn.MINIFS('Trade Log'!$K$4:$K$503,'Trade Log'!$B$4:$B$503,$A20),"")</f>
        <v/>
      </c>
    </row>
    <row r="21">
      <c r="A21" s="27" t="inlineStr">
        <is>
          <t>FMGOETZE</t>
        </is>
      </c>
      <c r="B21" s="20">
        <f>COUNTIF('Trade Log'!$B$4:$B$503,$A21)</f>
        <v/>
      </c>
      <c r="C21" s="20">
        <f>COUNTIFS('Trade Log'!$B$4:$B$503,$A21,'Trade Log'!$K$4:$K$503,"&gt;0")</f>
        <v/>
      </c>
      <c r="D21" s="20">
        <f>COUNTIFS('Trade Log'!$B$4:$B$503,$A21,'Trade Log'!$K$4:$K$503,"&lt;0")</f>
        <v/>
      </c>
      <c r="E21" s="29">
        <f>IFERROR($C21/$B21,"")</f>
        <v/>
      </c>
      <c r="F21" s="21">
        <f>SUMIF('Trade Log'!$B$4:$B$503,$A21,'Trade Log'!$I$4:$I$503)</f>
        <v/>
      </c>
      <c r="G21" s="21">
        <f>SUMIF('Trade Log'!$B$4:$B$503,$A21,'Trade Log'!$K$4:$K$503)</f>
        <v/>
      </c>
      <c r="H21" s="21">
        <f>IFERROR($G21/$B21,"")</f>
        <v/>
      </c>
      <c r="I21" s="21">
        <f>IFERROR(_xlfn.MAXIFS('Trade Log'!$K$4:$K$503,'Trade Log'!$B$4:$B$503,$A21),"")</f>
        <v/>
      </c>
      <c r="J21" s="21">
        <f>IFERROR(_xlfn.MINIFS('Trade Log'!$K$4:$K$503,'Trade Log'!$B$4:$B$503,$A21),"")</f>
        <v/>
      </c>
    </row>
    <row r="22">
      <c r="A22" s="27" t="inlineStr">
        <is>
          <t>FOSECOIND</t>
        </is>
      </c>
      <c r="B22" s="20">
        <f>COUNTIF('Trade Log'!$B$4:$B$503,$A22)</f>
        <v/>
      </c>
      <c r="C22" s="20">
        <f>COUNTIFS('Trade Log'!$B$4:$B$503,$A22,'Trade Log'!$K$4:$K$503,"&gt;0")</f>
        <v/>
      </c>
      <c r="D22" s="20">
        <f>COUNTIFS('Trade Log'!$B$4:$B$503,$A22,'Trade Log'!$K$4:$K$503,"&lt;0")</f>
        <v/>
      </c>
      <c r="E22" s="29">
        <f>IFERROR($C22/$B22,"")</f>
        <v/>
      </c>
      <c r="F22" s="21">
        <f>SUMIF('Trade Log'!$B$4:$B$503,$A22,'Trade Log'!$I$4:$I$503)</f>
        <v/>
      </c>
      <c r="G22" s="21">
        <f>SUMIF('Trade Log'!$B$4:$B$503,$A22,'Trade Log'!$K$4:$K$503)</f>
        <v/>
      </c>
      <c r="H22" s="21">
        <f>IFERROR($G22/$B22,"")</f>
        <v/>
      </c>
      <c r="I22" s="21">
        <f>IFERROR(_xlfn.MAXIFS('Trade Log'!$K$4:$K$503,'Trade Log'!$B$4:$B$503,$A22),"")</f>
        <v/>
      </c>
      <c r="J22" s="21">
        <f>IFERROR(_xlfn.MINIFS('Trade Log'!$K$4:$K$503,'Trade Log'!$B$4:$B$503,$A22),"")</f>
        <v/>
      </c>
    </row>
    <row r="23">
      <c r="A23" s="27" t="inlineStr">
        <is>
          <t>GKENERGY</t>
        </is>
      </c>
      <c r="B23" s="20">
        <f>COUNTIF('Trade Log'!$B$4:$B$503,$A23)</f>
        <v/>
      </c>
      <c r="C23" s="20">
        <f>COUNTIFS('Trade Log'!$B$4:$B$503,$A23,'Trade Log'!$K$4:$K$503,"&gt;0")</f>
        <v/>
      </c>
      <c r="D23" s="20">
        <f>COUNTIFS('Trade Log'!$B$4:$B$503,$A23,'Trade Log'!$K$4:$K$503,"&lt;0")</f>
        <v/>
      </c>
      <c r="E23" s="29">
        <f>IFERROR($C23/$B23,"")</f>
        <v/>
      </c>
      <c r="F23" s="21">
        <f>SUMIF('Trade Log'!$B$4:$B$503,$A23,'Trade Log'!$I$4:$I$503)</f>
        <v/>
      </c>
      <c r="G23" s="21">
        <f>SUMIF('Trade Log'!$B$4:$B$503,$A23,'Trade Log'!$K$4:$K$503)</f>
        <v/>
      </c>
      <c r="H23" s="21">
        <f>IFERROR($G23/$B23,"")</f>
        <v/>
      </c>
      <c r="I23" s="21">
        <f>IFERROR(_xlfn.MAXIFS('Trade Log'!$K$4:$K$503,'Trade Log'!$B$4:$B$503,$A23),"")</f>
        <v/>
      </c>
      <c r="J23" s="21">
        <f>IFERROR(_xlfn.MINIFS('Trade Log'!$K$4:$K$503,'Trade Log'!$B$4:$B$503,$A23),"")</f>
        <v/>
      </c>
    </row>
    <row r="24">
      <c r="A24" s="27" t="inlineStr">
        <is>
          <t>GNA</t>
        </is>
      </c>
      <c r="B24" s="20">
        <f>COUNTIF('Trade Log'!$B$4:$B$503,$A24)</f>
        <v/>
      </c>
      <c r="C24" s="20">
        <f>COUNTIFS('Trade Log'!$B$4:$B$503,$A24,'Trade Log'!$K$4:$K$503,"&gt;0")</f>
        <v/>
      </c>
      <c r="D24" s="20">
        <f>COUNTIFS('Trade Log'!$B$4:$B$503,$A24,'Trade Log'!$K$4:$K$503,"&lt;0")</f>
        <v/>
      </c>
      <c r="E24" s="29">
        <f>IFERROR($C24/$B24,"")</f>
        <v/>
      </c>
      <c r="F24" s="21">
        <f>SUMIF('Trade Log'!$B$4:$B$503,$A24,'Trade Log'!$I$4:$I$503)</f>
        <v/>
      </c>
      <c r="G24" s="21">
        <f>SUMIF('Trade Log'!$B$4:$B$503,$A24,'Trade Log'!$K$4:$K$503)</f>
        <v/>
      </c>
      <c r="H24" s="21">
        <f>IFERROR($G24/$B24,"")</f>
        <v/>
      </c>
      <c r="I24" s="21">
        <f>IFERROR(_xlfn.MAXIFS('Trade Log'!$K$4:$K$503,'Trade Log'!$B$4:$B$503,$A24),"")</f>
        <v/>
      </c>
      <c r="J24" s="21">
        <f>IFERROR(_xlfn.MINIFS('Trade Log'!$K$4:$K$503,'Trade Log'!$B$4:$B$503,$A24),"")</f>
        <v/>
      </c>
    </row>
    <row r="25">
      <c r="A25" s="27" t="inlineStr">
        <is>
          <t>GNRL</t>
        </is>
      </c>
      <c r="B25" s="20">
        <f>COUNTIF('Trade Log'!$B$4:$B$503,$A25)</f>
        <v/>
      </c>
      <c r="C25" s="20">
        <f>COUNTIFS('Trade Log'!$B$4:$B$503,$A25,'Trade Log'!$K$4:$K$503,"&gt;0")</f>
        <v/>
      </c>
      <c r="D25" s="20">
        <f>COUNTIFS('Trade Log'!$B$4:$B$503,$A25,'Trade Log'!$K$4:$K$503,"&lt;0")</f>
        <v/>
      </c>
      <c r="E25" s="29">
        <f>IFERROR($C25/$B25,"")</f>
        <v/>
      </c>
      <c r="F25" s="21">
        <f>SUMIF('Trade Log'!$B$4:$B$503,$A25,'Trade Log'!$I$4:$I$503)</f>
        <v/>
      </c>
      <c r="G25" s="21">
        <f>SUMIF('Trade Log'!$B$4:$B$503,$A25,'Trade Log'!$K$4:$K$503)</f>
        <v/>
      </c>
      <c r="H25" s="21">
        <f>IFERROR($G25/$B25,"")</f>
        <v/>
      </c>
      <c r="I25" s="21">
        <f>IFERROR(_xlfn.MAXIFS('Trade Log'!$K$4:$K$503,'Trade Log'!$B$4:$B$503,$A25),"")</f>
        <v/>
      </c>
      <c r="J25" s="21">
        <f>IFERROR(_xlfn.MINIFS('Trade Log'!$K$4:$K$503,'Trade Log'!$B$4:$B$503,$A25),"")</f>
        <v/>
      </c>
    </row>
    <row r="26">
      <c r="A26" s="27" t="inlineStr">
        <is>
          <t>GOCLCORP</t>
        </is>
      </c>
      <c r="B26" s="20">
        <f>COUNTIF('Trade Log'!$B$4:$B$503,$A26)</f>
        <v/>
      </c>
      <c r="C26" s="20">
        <f>COUNTIFS('Trade Log'!$B$4:$B$503,$A26,'Trade Log'!$K$4:$K$503,"&gt;0")</f>
        <v/>
      </c>
      <c r="D26" s="20">
        <f>COUNTIFS('Trade Log'!$B$4:$B$503,$A26,'Trade Log'!$K$4:$K$503,"&lt;0")</f>
        <v/>
      </c>
      <c r="E26" s="29">
        <f>IFERROR($C26/$B26,"")</f>
        <v/>
      </c>
      <c r="F26" s="21">
        <f>SUMIF('Trade Log'!$B$4:$B$503,$A26,'Trade Log'!$I$4:$I$503)</f>
        <v/>
      </c>
      <c r="G26" s="21">
        <f>SUMIF('Trade Log'!$B$4:$B$503,$A26,'Trade Log'!$K$4:$K$503)</f>
        <v/>
      </c>
      <c r="H26" s="21">
        <f>IFERROR($G26/$B26,"")</f>
        <v/>
      </c>
      <c r="I26" s="21">
        <f>IFERROR(_xlfn.MAXIFS('Trade Log'!$K$4:$K$503,'Trade Log'!$B$4:$B$503,$A26),"")</f>
        <v/>
      </c>
      <c r="J26" s="21">
        <f>IFERROR(_xlfn.MINIFS('Trade Log'!$K$4:$K$503,'Trade Log'!$B$4:$B$503,$A26),"")</f>
        <v/>
      </c>
    </row>
    <row r="27">
      <c r="A27" s="27" t="inlineStr">
        <is>
          <t>GOPAL</t>
        </is>
      </c>
      <c r="B27" s="20">
        <f>COUNTIF('Trade Log'!$B$4:$B$503,$A27)</f>
        <v/>
      </c>
      <c r="C27" s="20">
        <f>COUNTIFS('Trade Log'!$B$4:$B$503,$A27,'Trade Log'!$K$4:$K$503,"&gt;0")</f>
        <v/>
      </c>
      <c r="D27" s="20">
        <f>COUNTIFS('Trade Log'!$B$4:$B$503,$A27,'Trade Log'!$K$4:$K$503,"&lt;0")</f>
        <v/>
      </c>
      <c r="E27" s="29">
        <f>IFERROR($C27/$B27,"")</f>
        <v/>
      </c>
      <c r="F27" s="21">
        <f>SUMIF('Trade Log'!$B$4:$B$503,$A27,'Trade Log'!$I$4:$I$503)</f>
        <v/>
      </c>
      <c r="G27" s="21">
        <f>SUMIF('Trade Log'!$B$4:$B$503,$A27,'Trade Log'!$K$4:$K$503)</f>
        <v/>
      </c>
      <c r="H27" s="21">
        <f>IFERROR($G27/$B27,"")</f>
        <v/>
      </c>
      <c r="I27" s="21">
        <f>IFERROR(_xlfn.MAXIFS('Trade Log'!$K$4:$K$503,'Trade Log'!$B$4:$B$503,$A27),"")</f>
        <v/>
      </c>
      <c r="J27" s="21">
        <f>IFERROR(_xlfn.MINIFS('Trade Log'!$K$4:$K$503,'Trade Log'!$B$4:$B$503,$A27),"")</f>
        <v/>
      </c>
    </row>
    <row r="28">
      <c r="A28" s="27" t="inlineStr">
        <is>
          <t>GRAUWEIL</t>
        </is>
      </c>
      <c r="B28" s="20">
        <f>COUNTIF('Trade Log'!$B$4:$B$503,$A28)</f>
        <v/>
      </c>
      <c r="C28" s="20">
        <f>COUNTIFS('Trade Log'!$B$4:$B$503,$A28,'Trade Log'!$K$4:$K$503,"&gt;0")</f>
        <v/>
      </c>
      <c r="D28" s="20">
        <f>COUNTIFS('Trade Log'!$B$4:$B$503,$A28,'Trade Log'!$K$4:$K$503,"&lt;0")</f>
        <v/>
      </c>
      <c r="E28" s="29">
        <f>IFERROR($C28/$B28,"")</f>
        <v/>
      </c>
      <c r="F28" s="21">
        <f>SUMIF('Trade Log'!$B$4:$B$503,$A28,'Trade Log'!$I$4:$I$503)</f>
        <v/>
      </c>
      <c r="G28" s="21">
        <f>SUMIF('Trade Log'!$B$4:$B$503,$A28,'Trade Log'!$K$4:$K$503)</f>
        <v/>
      </c>
      <c r="H28" s="21">
        <f>IFERROR($G28/$B28,"")</f>
        <v/>
      </c>
      <c r="I28" s="21">
        <f>IFERROR(_xlfn.MAXIFS('Trade Log'!$K$4:$K$503,'Trade Log'!$B$4:$B$503,$A28),"")</f>
        <v/>
      </c>
      <c r="J28" s="21">
        <f>IFERROR(_xlfn.MINIFS('Trade Log'!$K$4:$K$503,'Trade Log'!$B$4:$B$503,$A28),"")</f>
        <v/>
      </c>
    </row>
    <row r="29">
      <c r="A29" s="27" t="inlineStr">
        <is>
          <t>GUJTHEM</t>
        </is>
      </c>
      <c r="B29" s="20">
        <f>COUNTIF('Trade Log'!$B$4:$B$503,$A29)</f>
        <v/>
      </c>
      <c r="C29" s="20">
        <f>COUNTIFS('Trade Log'!$B$4:$B$503,$A29,'Trade Log'!$K$4:$K$503,"&gt;0")</f>
        <v/>
      </c>
      <c r="D29" s="20">
        <f>COUNTIFS('Trade Log'!$B$4:$B$503,$A29,'Trade Log'!$K$4:$K$503,"&lt;0")</f>
        <v/>
      </c>
      <c r="E29" s="29">
        <f>IFERROR($C29/$B29,"")</f>
        <v/>
      </c>
      <c r="F29" s="21">
        <f>SUMIF('Trade Log'!$B$4:$B$503,$A29,'Trade Log'!$I$4:$I$503)</f>
        <v/>
      </c>
      <c r="G29" s="21">
        <f>SUMIF('Trade Log'!$B$4:$B$503,$A29,'Trade Log'!$K$4:$K$503)</f>
        <v/>
      </c>
      <c r="H29" s="21">
        <f>IFERROR($G29/$B29,"")</f>
        <v/>
      </c>
      <c r="I29" s="21">
        <f>IFERROR(_xlfn.MAXIFS('Trade Log'!$K$4:$K$503,'Trade Log'!$B$4:$B$503,$A29),"")</f>
        <v/>
      </c>
      <c r="J29" s="21">
        <f>IFERROR(_xlfn.MINIFS('Trade Log'!$K$4:$K$503,'Trade Log'!$B$4:$B$503,$A29),"")</f>
        <v/>
      </c>
    </row>
    <row r="30">
      <c r="A30" s="27" t="inlineStr">
        <is>
          <t>HERITGFOOD</t>
        </is>
      </c>
      <c r="B30" s="20">
        <f>COUNTIF('Trade Log'!$B$4:$B$503,$A30)</f>
        <v/>
      </c>
      <c r="C30" s="20">
        <f>COUNTIFS('Trade Log'!$B$4:$B$503,$A30,'Trade Log'!$K$4:$K$503,"&gt;0")</f>
        <v/>
      </c>
      <c r="D30" s="20">
        <f>COUNTIFS('Trade Log'!$B$4:$B$503,$A30,'Trade Log'!$K$4:$K$503,"&lt;0")</f>
        <v/>
      </c>
      <c r="E30" s="29">
        <f>IFERROR($C30/$B30,"")</f>
        <v/>
      </c>
      <c r="F30" s="21">
        <f>SUMIF('Trade Log'!$B$4:$B$503,$A30,'Trade Log'!$I$4:$I$503)</f>
        <v/>
      </c>
      <c r="G30" s="21">
        <f>SUMIF('Trade Log'!$B$4:$B$503,$A30,'Trade Log'!$K$4:$K$503)</f>
        <v/>
      </c>
      <c r="H30" s="21">
        <f>IFERROR($G30/$B30,"")</f>
        <v/>
      </c>
      <c r="I30" s="21">
        <f>IFERROR(_xlfn.MAXIFS('Trade Log'!$K$4:$K$503,'Trade Log'!$B$4:$B$503,$A30),"")</f>
        <v/>
      </c>
      <c r="J30" s="21">
        <f>IFERROR(_xlfn.MINIFS('Trade Log'!$K$4:$K$503,'Trade Log'!$B$4:$B$503,$A30),"")</f>
        <v/>
      </c>
    </row>
    <row r="31">
      <c r="A31" s="27" t="inlineStr">
        <is>
          <t>HIKAL</t>
        </is>
      </c>
      <c r="B31" s="20">
        <f>COUNTIF('Trade Log'!$B$4:$B$503,$A31)</f>
        <v/>
      </c>
      <c r="C31" s="20">
        <f>COUNTIFS('Trade Log'!$B$4:$B$503,$A31,'Trade Log'!$K$4:$K$503,"&gt;0")</f>
        <v/>
      </c>
      <c r="D31" s="20">
        <f>COUNTIFS('Trade Log'!$B$4:$B$503,$A31,'Trade Log'!$K$4:$K$503,"&lt;0")</f>
        <v/>
      </c>
      <c r="E31" s="29">
        <f>IFERROR($C31/$B31,"")</f>
        <v/>
      </c>
      <c r="F31" s="21">
        <f>SUMIF('Trade Log'!$B$4:$B$503,$A31,'Trade Log'!$I$4:$I$503)</f>
        <v/>
      </c>
      <c r="G31" s="21">
        <f>SUMIF('Trade Log'!$B$4:$B$503,$A31,'Trade Log'!$K$4:$K$503)</f>
        <v/>
      </c>
      <c r="H31" s="21">
        <f>IFERROR($G31/$B31,"")</f>
        <v/>
      </c>
      <c r="I31" s="21">
        <f>IFERROR(_xlfn.MAXIFS('Trade Log'!$K$4:$K$503,'Trade Log'!$B$4:$B$503,$A31),"")</f>
        <v/>
      </c>
      <c r="J31" s="21">
        <f>IFERROR(_xlfn.MINIFS('Trade Log'!$K$4:$K$503,'Trade Log'!$B$4:$B$503,$A31),"")</f>
        <v/>
      </c>
    </row>
    <row r="32">
      <c r="A32" s="27" t="inlineStr">
        <is>
          <t>HINDOILEXP</t>
        </is>
      </c>
      <c r="B32" s="20">
        <f>COUNTIF('Trade Log'!$B$4:$B$503,$A32)</f>
        <v/>
      </c>
      <c r="C32" s="20">
        <f>COUNTIFS('Trade Log'!$B$4:$B$503,$A32,'Trade Log'!$K$4:$K$503,"&gt;0")</f>
        <v/>
      </c>
      <c r="D32" s="20">
        <f>COUNTIFS('Trade Log'!$B$4:$B$503,$A32,'Trade Log'!$K$4:$K$503,"&lt;0")</f>
        <v/>
      </c>
      <c r="E32" s="29">
        <f>IFERROR($C32/$B32,"")</f>
        <v/>
      </c>
      <c r="F32" s="21">
        <f>SUMIF('Trade Log'!$B$4:$B$503,$A32,'Trade Log'!$I$4:$I$503)</f>
        <v/>
      </c>
      <c r="G32" s="21">
        <f>SUMIF('Trade Log'!$B$4:$B$503,$A32,'Trade Log'!$K$4:$K$503)</f>
        <v/>
      </c>
      <c r="H32" s="21">
        <f>IFERROR($G32/$B32,"")</f>
        <v/>
      </c>
      <c r="I32" s="21">
        <f>IFERROR(_xlfn.MAXIFS('Trade Log'!$K$4:$K$503,'Trade Log'!$B$4:$B$503,$A32),"")</f>
        <v/>
      </c>
      <c r="J32" s="21">
        <f>IFERROR(_xlfn.MINIFS('Trade Log'!$K$4:$K$503,'Trade Log'!$B$4:$B$503,$A32),"")</f>
        <v/>
      </c>
    </row>
    <row r="33">
      <c r="A33" s="27" t="inlineStr">
        <is>
          <t>HUBTOWN</t>
        </is>
      </c>
      <c r="B33" s="20">
        <f>COUNTIF('Trade Log'!$B$4:$B$503,$A33)</f>
        <v/>
      </c>
      <c r="C33" s="20">
        <f>COUNTIFS('Trade Log'!$B$4:$B$503,$A33,'Trade Log'!$K$4:$K$503,"&gt;0")</f>
        <v/>
      </c>
      <c r="D33" s="20">
        <f>COUNTIFS('Trade Log'!$B$4:$B$503,$A33,'Trade Log'!$K$4:$K$503,"&lt;0")</f>
        <v/>
      </c>
      <c r="E33" s="29">
        <f>IFERROR($C33/$B33,"")</f>
        <v/>
      </c>
      <c r="F33" s="21">
        <f>SUMIF('Trade Log'!$B$4:$B$503,$A33,'Trade Log'!$I$4:$I$503)</f>
        <v/>
      </c>
      <c r="G33" s="21">
        <f>SUMIF('Trade Log'!$B$4:$B$503,$A33,'Trade Log'!$K$4:$K$503)</f>
        <v/>
      </c>
      <c r="H33" s="21">
        <f>IFERROR($G33/$B33,"")</f>
        <v/>
      </c>
      <c r="I33" s="21">
        <f>IFERROR(_xlfn.MAXIFS('Trade Log'!$K$4:$K$503,'Trade Log'!$B$4:$B$503,$A33),"")</f>
        <v/>
      </c>
      <c r="J33" s="21">
        <f>IFERROR(_xlfn.MINIFS('Trade Log'!$K$4:$K$503,'Trade Log'!$B$4:$B$503,$A33),"")</f>
        <v/>
      </c>
    </row>
    <row r="34">
      <c r="A34" s="27" t="inlineStr">
        <is>
          <t>INDNIPPON</t>
        </is>
      </c>
      <c r="B34" s="20">
        <f>COUNTIF('Trade Log'!$B$4:$B$503,$A34)</f>
        <v/>
      </c>
      <c r="C34" s="20">
        <f>COUNTIFS('Trade Log'!$B$4:$B$503,$A34,'Trade Log'!$K$4:$K$503,"&gt;0")</f>
        <v/>
      </c>
      <c r="D34" s="20">
        <f>COUNTIFS('Trade Log'!$B$4:$B$503,$A34,'Trade Log'!$K$4:$K$503,"&lt;0")</f>
        <v/>
      </c>
      <c r="E34" s="29">
        <f>IFERROR($C34/$B34,"")</f>
        <v/>
      </c>
      <c r="F34" s="21">
        <f>SUMIF('Trade Log'!$B$4:$B$503,$A34,'Trade Log'!$I$4:$I$503)</f>
        <v/>
      </c>
      <c r="G34" s="21">
        <f>SUMIF('Trade Log'!$B$4:$B$503,$A34,'Trade Log'!$K$4:$K$503)</f>
        <v/>
      </c>
      <c r="H34" s="21">
        <f>IFERROR($G34/$B34,"")</f>
        <v/>
      </c>
      <c r="I34" s="21">
        <f>IFERROR(_xlfn.MAXIFS('Trade Log'!$K$4:$K$503,'Trade Log'!$B$4:$B$503,$A34),"")</f>
        <v/>
      </c>
      <c r="J34" s="21">
        <f>IFERROR(_xlfn.MINIFS('Trade Log'!$K$4:$K$503,'Trade Log'!$B$4:$B$503,$A34),"")</f>
        <v/>
      </c>
    </row>
    <row r="35">
      <c r="A35" s="27" t="inlineStr">
        <is>
          <t>INDOCO</t>
        </is>
      </c>
      <c r="B35" s="20">
        <f>COUNTIF('Trade Log'!$B$4:$B$503,$A35)</f>
        <v/>
      </c>
      <c r="C35" s="20">
        <f>COUNTIFS('Trade Log'!$B$4:$B$503,$A35,'Trade Log'!$K$4:$K$503,"&gt;0")</f>
        <v/>
      </c>
      <c r="D35" s="20">
        <f>COUNTIFS('Trade Log'!$B$4:$B$503,$A35,'Trade Log'!$K$4:$K$503,"&lt;0")</f>
        <v/>
      </c>
      <c r="E35" s="29">
        <f>IFERROR($C35/$B35,"")</f>
        <v/>
      </c>
      <c r="F35" s="21">
        <f>SUMIF('Trade Log'!$B$4:$B$503,$A35,'Trade Log'!$I$4:$I$503)</f>
        <v/>
      </c>
      <c r="G35" s="21">
        <f>SUMIF('Trade Log'!$B$4:$B$503,$A35,'Trade Log'!$K$4:$K$503)</f>
        <v/>
      </c>
      <c r="H35" s="21">
        <f>IFERROR($G35/$B35,"")</f>
        <v/>
      </c>
      <c r="I35" s="21">
        <f>IFERROR(_xlfn.MAXIFS('Trade Log'!$K$4:$K$503,'Trade Log'!$B$4:$B$503,$A35),"")</f>
        <v/>
      </c>
      <c r="J35" s="21">
        <f>IFERROR(_xlfn.MINIFS('Trade Log'!$K$4:$K$503,'Trade Log'!$B$4:$B$503,$A35),"")</f>
        <v/>
      </c>
    </row>
    <row r="36">
      <c r="A36" s="27" t="inlineStr">
        <is>
          <t>INDORAMA</t>
        </is>
      </c>
      <c r="B36" s="20">
        <f>COUNTIF('Trade Log'!$B$4:$B$503,$A36)</f>
        <v/>
      </c>
      <c r="C36" s="20">
        <f>COUNTIFS('Trade Log'!$B$4:$B$503,$A36,'Trade Log'!$K$4:$K$503,"&gt;0")</f>
        <v/>
      </c>
      <c r="D36" s="20">
        <f>COUNTIFS('Trade Log'!$B$4:$B$503,$A36,'Trade Log'!$K$4:$K$503,"&lt;0")</f>
        <v/>
      </c>
      <c r="E36" s="29">
        <f>IFERROR($C36/$B36,"")</f>
        <v/>
      </c>
      <c r="F36" s="21">
        <f>SUMIF('Trade Log'!$B$4:$B$503,$A36,'Trade Log'!$I$4:$I$503)</f>
        <v/>
      </c>
      <c r="G36" s="21">
        <f>SUMIF('Trade Log'!$B$4:$B$503,$A36,'Trade Log'!$K$4:$K$503)</f>
        <v/>
      </c>
      <c r="H36" s="21">
        <f>IFERROR($G36/$B36,"")</f>
        <v/>
      </c>
      <c r="I36" s="21">
        <f>IFERROR(_xlfn.MAXIFS('Trade Log'!$K$4:$K$503,'Trade Log'!$B$4:$B$503,$A36),"")</f>
        <v/>
      </c>
      <c r="J36" s="21">
        <f>IFERROR(_xlfn.MINIFS('Trade Log'!$K$4:$K$503,'Trade Log'!$B$4:$B$503,$A36),"")</f>
        <v/>
      </c>
    </row>
    <row r="37">
      <c r="A37" s="27" t="inlineStr">
        <is>
          <t>IPL</t>
        </is>
      </c>
      <c r="B37" s="20">
        <f>COUNTIF('Trade Log'!$B$4:$B$503,$A37)</f>
        <v/>
      </c>
      <c r="C37" s="20">
        <f>COUNTIFS('Trade Log'!$B$4:$B$503,$A37,'Trade Log'!$K$4:$K$503,"&gt;0")</f>
        <v/>
      </c>
      <c r="D37" s="20">
        <f>COUNTIFS('Trade Log'!$B$4:$B$503,$A37,'Trade Log'!$K$4:$K$503,"&lt;0")</f>
        <v/>
      </c>
      <c r="E37" s="29">
        <f>IFERROR($C37/$B37,"")</f>
        <v/>
      </c>
      <c r="F37" s="21">
        <f>SUMIF('Trade Log'!$B$4:$B$503,$A37,'Trade Log'!$I$4:$I$503)</f>
        <v/>
      </c>
      <c r="G37" s="21">
        <f>SUMIF('Trade Log'!$B$4:$B$503,$A37,'Trade Log'!$K$4:$K$503)</f>
        <v/>
      </c>
      <c r="H37" s="21">
        <f>IFERROR($G37/$B37,"")</f>
        <v/>
      </c>
      <c r="I37" s="21">
        <f>IFERROR(_xlfn.MAXIFS('Trade Log'!$K$4:$K$503,'Trade Log'!$B$4:$B$503,$A37),"")</f>
        <v/>
      </c>
      <c r="J37" s="21">
        <f>IFERROR(_xlfn.MINIFS('Trade Log'!$K$4:$K$503,'Trade Log'!$B$4:$B$503,$A37),"")</f>
        <v/>
      </c>
    </row>
    <row r="38">
      <c r="A38" s="27" t="inlineStr">
        <is>
          <t>JASH</t>
        </is>
      </c>
      <c r="B38" s="20">
        <f>COUNTIF('Trade Log'!$B$4:$B$503,$A38)</f>
        <v/>
      </c>
      <c r="C38" s="20">
        <f>COUNTIFS('Trade Log'!$B$4:$B$503,$A38,'Trade Log'!$K$4:$K$503,"&gt;0")</f>
        <v/>
      </c>
      <c r="D38" s="20">
        <f>COUNTIFS('Trade Log'!$B$4:$B$503,$A38,'Trade Log'!$K$4:$K$503,"&lt;0")</f>
        <v/>
      </c>
      <c r="E38" s="29">
        <f>IFERROR($C38/$B38,"")</f>
        <v/>
      </c>
      <c r="F38" s="21">
        <f>SUMIF('Trade Log'!$B$4:$B$503,$A38,'Trade Log'!$I$4:$I$503)</f>
        <v/>
      </c>
      <c r="G38" s="21">
        <f>SUMIF('Trade Log'!$B$4:$B$503,$A38,'Trade Log'!$K$4:$K$503)</f>
        <v/>
      </c>
      <c r="H38" s="21">
        <f>IFERROR($G38/$B38,"")</f>
        <v/>
      </c>
      <c r="I38" s="21">
        <f>IFERROR(_xlfn.MAXIFS('Trade Log'!$K$4:$K$503,'Trade Log'!$B$4:$B$503,$A38),"")</f>
        <v/>
      </c>
      <c r="J38" s="21">
        <f>IFERROR(_xlfn.MINIFS('Trade Log'!$K$4:$K$503,'Trade Log'!$B$4:$B$503,$A38),"")</f>
        <v/>
      </c>
    </row>
    <row r="39">
      <c r="A39" s="27" t="inlineStr">
        <is>
          <t>JAYKAY</t>
        </is>
      </c>
      <c r="B39" s="20">
        <f>COUNTIF('Trade Log'!$B$4:$B$503,$A39)</f>
        <v/>
      </c>
      <c r="C39" s="20">
        <f>COUNTIFS('Trade Log'!$B$4:$B$503,$A39,'Trade Log'!$K$4:$K$503,"&gt;0")</f>
        <v/>
      </c>
      <c r="D39" s="20">
        <f>COUNTIFS('Trade Log'!$B$4:$B$503,$A39,'Trade Log'!$K$4:$K$503,"&lt;0")</f>
        <v/>
      </c>
      <c r="E39" s="29">
        <f>IFERROR($C39/$B39,"")</f>
        <v/>
      </c>
      <c r="F39" s="21">
        <f>SUMIF('Trade Log'!$B$4:$B$503,$A39,'Trade Log'!$I$4:$I$503)</f>
        <v/>
      </c>
      <c r="G39" s="21">
        <f>SUMIF('Trade Log'!$B$4:$B$503,$A39,'Trade Log'!$K$4:$K$503)</f>
        <v/>
      </c>
      <c r="H39" s="21">
        <f>IFERROR($G39/$B39,"")</f>
        <v/>
      </c>
      <c r="I39" s="21">
        <f>IFERROR(_xlfn.MAXIFS('Trade Log'!$K$4:$K$503,'Trade Log'!$B$4:$B$503,$A39),"")</f>
        <v/>
      </c>
      <c r="J39" s="21">
        <f>IFERROR(_xlfn.MINIFS('Trade Log'!$K$4:$K$503,'Trade Log'!$B$4:$B$503,$A39),"")</f>
        <v/>
      </c>
    </row>
    <row r="40">
      <c r="A40" s="27" t="inlineStr">
        <is>
          <t>JGCHEM</t>
        </is>
      </c>
      <c r="B40" s="20">
        <f>COUNTIF('Trade Log'!$B$4:$B$503,$A40)</f>
        <v/>
      </c>
      <c r="C40" s="20">
        <f>COUNTIFS('Trade Log'!$B$4:$B$503,$A40,'Trade Log'!$K$4:$K$503,"&gt;0")</f>
        <v/>
      </c>
      <c r="D40" s="20">
        <f>COUNTIFS('Trade Log'!$B$4:$B$503,$A40,'Trade Log'!$K$4:$K$503,"&lt;0")</f>
        <v/>
      </c>
      <c r="E40" s="29">
        <f>IFERROR($C40/$B40,"")</f>
        <v/>
      </c>
      <c r="F40" s="21">
        <f>SUMIF('Trade Log'!$B$4:$B$503,$A40,'Trade Log'!$I$4:$I$503)</f>
        <v/>
      </c>
      <c r="G40" s="21">
        <f>SUMIF('Trade Log'!$B$4:$B$503,$A40,'Trade Log'!$K$4:$K$503)</f>
        <v/>
      </c>
      <c r="H40" s="21">
        <f>IFERROR($G40/$B40,"")</f>
        <v/>
      </c>
      <c r="I40" s="21">
        <f>IFERROR(_xlfn.MAXIFS('Trade Log'!$K$4:$K$503,'Trade Log'!$B$4:$B$503,$A40),"")</f>
        <v/>
      </c>
      <c r="J40" s="21">
        <f>IFERROR(_xlfn.MINIFS('Trade Log'!$K$4:$K$503,'Trade Log'!$B$4:$B$503,$A40),"")</f>
        <v/>
      </c>
    </row>
    <row r="41">
      <c r="A41" s="27" t="inlineStr">
        <is>
          <t>KCP</t>
        </is>
      </c>
      <c r="B41" s="20">
        <f>COUNTIF('Trade Log'!$B$4:$B$503,$A41)</f>
        <v/>
      </c>
      <c r="C41" s="20">
        <f>COUNTIFS('Trade Log'!$B$4:$B$503,$A41,'Trade Log'!$K$4:$K$503,"&gt;0")</f>
        <v/>
      </c>
      <c r="D41" s="20">
        <f>COUNTIFS('Trade Log'!$B$4:$B$503,$A41,'Trade Log'!$K$4:$K$503,"&lt;0")</f>
        <v/>
      </c>
      <c r="E41" s="29">
        <f>IFERROR($C41/$B41,"")</f>
        <v/>
      </c>
      <c r="F41" s="21">
        <f>SUMIF('Trade Log'!$B$4:$B$503,$A41,'Trade Log'!$I$4:$I$503)</f>
        <v/>
      </c>
      <c r="G41" s="21">
        <f>SUMIF('Trade Log'!$B$4:$B$503,$A41,'Trade Log'!$K$4:$K$503)</f>
        <v/>
      </c>
      <c r="H41" s="21">
        <f>IFERROR($G41/$B41,"")</f>
        <v/>
      </c>
      <c r="I41" s="21">
        <f>IFERROR(_xlfn.MAXIFS('Trade Log'!$K$4:$K$503,'Trade Log'!$B$4:$B$503,$A41),"")</f>
        <v/>
      </c>
      <c r="J41" s="21">
        <f>IFERROR(_xlfn.MINIFS('Trade Log'!$K$4:$K$503,'Trade Log'!$B$4:$B$503,$A41),"")</f>
        <v/>
      </c>
    </row>
    <row r="42">
      <c r="A42" s="27" t="inlineStr">
        <is>
          <t>KIRIINDUS</t>
        </is>
      </c>
      <c r="B42" s="20">
        <f>COUNTIF('Trade Log'!$B$4:$B$503,$A42)</f>
        <v/>
      </c>
      <c r="C42" s="20">
        <f>COUNTIFS('Trade Log'!$B$4:$B$503,$A42,'Trade Log'!$K$4:$K$503,"&gt;0")</f>
        <v/>
      </c>
      <c r="D42" s="20">
        <f>COUNTIFS('Trade Log'!$B$4:$B$503,$A42,'Trade Log'!$K$4:$K$503,"&lt;0")</f>
        <v/>
      </c>
      <c r="E42" s="29">
        <f>IFERROR($C42/$B42,"")</f>
        <v/>
      </c>
      <c r="F42" s="21">
        <f>SUMIF('Trade Log'!$B$4:$B$503,$A42,'Trade Log'!$I$4:$I$503)</f>
        <v/>
      </c>
      <c r="G42" s="21">
        <f>SUMIF('Trade Log'!$B$4:$B$503,$A42,'Trade Log'!$K$4:$K$503)</f>
        <v/>
      </c>
      <c r="H42" s="21">
        <f>IFERROR($G42/$B42,"")</f>
        <v/>
      </c>
      <c r="I42" s="21">
        <f>IFERROR(_xlfn.MAXIFS('Trade Log'!$K$4:$K$503,'Trade Log'!$B$4:$B$503,$A42),"")</f>
        <v/>
      </c>
      <c r="J42" s="21">
        <f>IFERROR(_xlfn.MINIFS('Trade Log'!$K$4:$K$503,'Trade Log'!$B$4:$B$503,$A42),"")</f>
        <v/>
      </c>
    </row>
    <row r="43">
      <c r="A43" s="27" t="inlineStr">
        <is>
          <t>KIRLOSIND</t>
        </is>
      </c>
      <c r="B43" s="20">
        <f>COUNTIF('Trade Log'!$B$4:$B$503,$A43)</f>
        <v/>
      </c>
      <c r="C43" s="20">
        <f>COUNTIFS('Trade Log'!$B$4:$B$503,$A43,'Trade Log'!$K$4:$K$503,"&gt;0")</f>
        <v/>
      </c>
      <c r="D43" s="20">
        <f>COUNTIFS('Trade Log'!$B$4:$B$503,$A43,'Trade Log'!$K$4:$K$503,"&lt;0")</f>
        <v/>
      </c>
      <c r="E43" s="29">
        <f>IFERROR($C43/$B43,"")</f>
        <v/>
      </c>
      <c r="F43" s="21">
        <f>SUMIF('Trade Log'!$B$4:$B$503,$A43,'Trade Log'!$I$4:$I$503)</f>
        <v/>
      </c>
      <c r="G43" s="21">
        <f>SUMIF('Trade Log'!$B$4:$B$503,$A43,'Trade Log'!$K$4:$K$503)</f>
        <v/>
      </c>
      <c r="H43" s="21">
        <f>IFERROR($G43/$B43,"")</f>
        <v/>
      </c>
      <c r="I43" s="21">
        <f>IFERROR(_xlfn.MAXIFS('Trade Log'!$K$4:$K$503,'Trade Log'!$B$4:$B$503,$A43),"")</f>
        <v/>
      </c>
      <c r="J43" s="21">
        <f>IFERROR(_xlfn.MINIFS('Trade Log'!$K$4:$K$503,'Trade Log'!$B$4:$B$503,$A43),"")</f>
        <v/>
      </c>
    </row>
    <row r="44">
      <c r="A44" s="27" t="inlineStr">
        <is>
          <t>KLBRENG-B</t>
        </is>
      </c>
      <c r="B44" s="20">
        <f>COUNTIF('Trade Log'!$B$4:$B$503,$A44)</f>
        <v/>
      </c>
      <c r="C44" s="20">
        <f>COUNTIFS('Trade Log'!$B$4:$B$503,$A44,'Trade Log'!$K$4:$K$503,"&gt;0")</f>
        <v/>
      </c>
      <c r="D44" s="20">
        <f>COUNTIFS('Trade Log'!$B$4:$B$503,$A44,'Trade Log'!$K$4:$K$503,"&lt;0")</f>
        <v/>
      </c>
      <c r="E44" s="29">
        <f>IFERROR($C44/$B44,"")</f>
        <v/>
      </c>
      <c r="F44" s="21">
        <f>SUMIF('Trade Log'!$B$4:$B$503,$A44,'Trade Log'!$I$4:$I$503)</f>
        <v/>
      </c>
      <c r="G44" s="21">
        <f>SUMIF('Trade Log'!$B$4:$B$503,$A44,'Trade Log'!$K$4:$K$503)</f>
        <v/>
      </c>
      <c r="H44" s="21">
        <f>IFERROR($G44/$B44,"")</f>
        <v/>
      </c>
      <c r="I44" s="21">
        <f>IFERROR(_xlfn.MAXIFS('Trade Log'!$K$4:$K$503,'Trade Log'!$B$4:$B$503,$A44),"")</f>
        <v/>
      </c>
      <c r="J44" s="21">
        <f>IFERROR(_xlfn.MINIFS('Trade Log'!$K$4:$K$503,'Trade Log'!$B$4:$B$503,$A44),"")</f>
        <v/>
      </c>
    </row>
    <row r="45">
      <c r="A45" s="27" t="inlineStr">
        <is>
          <t>KROSS</t>
        </is>
      </c>
      <c r="B45" s="20">
        <f>COUNTIF('Trade Log'!$B$4:$B$503,$A45)</f>
        <v/>
      </c>
      <c r="C45" s="20">
        <f>COUNTIFS('Trade Log'!$B$4:$B$503,$A45,'Trade Log'!$K$4:$K$503,"&gt;0")</f>
        <v/>
      </c>
      <c r="D45" s="20">
        <f>COUNTIFS('Trade Log'!$B$4:$B$503,$A45,'Trade Log'!$K$4:$K$503,"&lt;0")</f>
        <v/>
      </c>
      <c r="E45" s="29">
        <f>IFERROR($C45/$B45,"")</f>
        <v/>
      </c>
      <c r="F45" s="21">
        <f>SUMIF('Trade Log'!$B$4:$B$503,$A45,'Trade Log'!$I$4:$I$503)</f>
        <v/>
      </c>
      <c r="G45" s="21">
        <f>SUMIF('Trade Log'!$B$4:$B$503,$A45,'Trade Log'!$K$4:$K$503)</f>
        <v/>
      </c>
      <c r="H45" s="21">
        <f>IFERROR($G45/$B45,"")</f>
        <v/>
      </c>
      <c r="I45" s="21">
        <f>IFERROR(_xlfn.MAXIFS('Trade Log'!$K$4:$K$503,'Trade Log'!$B$4:$B$503,$A45),"")</f>
        <v/>
      </c>
      <c r="J45" s="21">
        <f>IFERROR(_xlfn.MINIFS('Trade Log'!$K$4:$K$503,'Trade Log'!$B$4:$B$503,$A45),"")</f>
        <v/>
      </c>
    </row>
    <row r="46">
      <c r="A46" s="27" t="inlineStr">
        <is>
          <t>KSL</t>
        </is>
      </c>
      <c r="B46" s="20">
        <f>COUNTIF('Trade Log'!$B$4:$B$503,$A46)</f>
        <v/>
      </c>
      <c r="C46" s="20">
        <f>COUNTIFS('Trade Log'!$B$4:$B$503,$A46,'Trade Log'!$K$4:$K$503,"&gt;0")</f>
        <v/>
      </c>
      <c r="D46" s="20">
        <f>COUNTIFS('Trade Log'!$B$4:$B$503,$A46,'Trade Log'!$K$4:$K$503,"&lt;0")</f>
        <v/>
      </c>
      <c r="E46" s="29">
        <f>IFERROR($C46/$B46,"")</f>
        <v/>
      </c>
      <c r="F46" s="21">
        <f>SUMIF('Trade Log'!$B$4:$B$503,$A46,'Trade Log'!$I$4:$I$503)</f>
        <v/>
      </c>
      <c r="G46" s="21">
        <f>SUMIF('Trade Log'!$B$4:$B$503,$A46,'Trade Log'!$K$4:$K$503)</f>
        <v/>
      </c>
      <c r="H46" s="21">
        <f>IFERROR($G46/$B46,"")</f>
        <v/>
      </c>
      <c r="I46" s="21">
        <f>IFERROR(_xlfn.MAXIFS('Trade Log'!$K$4:$K$503,'Trade Log'!$B$4:$B$503,$A46),"")</f>
        <v/>
      </c>
      <c r="J46" s="21">
        <f>IFERROR(_xlfn.MINIFS('Trade Log'!$K$4:$K$503,'Trade Log'!$B$4:$B$503,$A46),"")</f>
        <v/>
      </c>
    </row>
    <row r="47">
      <c r="A47" s="27" t="inlineStr">
        <is>
          <t>LUXIND</t>
        </is>
      </c>
      <c r="B47" s="20">
        <f>COUNTIF('Trade Log'!$B$4:$B$503,$A47)</f>
        <v/>
      </c>
      <c r="C47" s="20">
        <f>COUNTIFS('Trade Log'!$B$4:$B$503,$A47,'Trade Log'!$K$4:$K$503,"&gt;0")</f>
        <v/>
      </c>
      <c r="D47" s="20">
        <f>COUNTIFS('Trade Log'!$B$4:$B$503,$A47,'Trade Log'!$K$4:$K$503,"&lt;0")</f>
        <v/>
      </c>
      <c r="E47" s="29">
        <f>IFERROR($C47/$B47,"")</f>
        <v/>
      </c>
      <c r="F47" s="21">
        <f>SUMIF('Trade Log'!$B$4:$B$503,$A47,'Trade Log'!$I$4:$I$503)</f>
        <v/>
      </c>
      <c r="G47" s="21">
        <f>SUMIF('Trade Log'!$B$4:$B$503,$A47,'Trade Log'!$K$4:$K$503)</f>
        <v/>
      </c>
      <c r="H47" s="21">
        <f>IFERROR($G47/$B47,"")</f>
        <v/>
      </c>
      <c r="I47" s="21">
        <f>IFERROR(_xlfn.MAXIFS('Trade Log'!$K$4:$K$503,'Trade Log'!$B$4:$B$503,$A47),"")</f>
        <v/>
      </c>
      <c r="J47" s="21">
        <f>IFERROR(_xlfn.MINIFS('Trade Log'!$K$4:$K$503,'Trade Log'!$B$4:$B$503,$A47),"")</f>
        <v/>
      </c>
    </row>
    <row r="48">
      <c r="A48" s="27" t="inlineStr">
        <is>
          <t>MAITHANALL</t>
        </is>
      </c>
      <c r="B48" s="20">
        <f>COUNTIF('Trade Log'!$B$4:$B$503,$A48)</f>
        <v/>
      </c>
      <c r="C48" s="20">
        <f>COUNTIFS('Trade Log'!$B$4:$B$503,$A48,'Trade Log'!$K$4:$K$503,"&gt;0")</f>
        <v/>
      </c>
      <c r="D48" s="20">
        <f>COUNTIFS('Trade Log'!$B$4:$B$503,$A48,'Trade Log'!$K$4:$K$503,"&lt;0")</f>
        <v/>
      </c>
      <c r="E48" s="29">
        <f>IFERROR($C48/$B48,"")</f>
        <v/>
      </c>
      <c r="F48" s="21">
        <f>SUMIF('Trade Log'!$B$4:$B$503,$A48,'Trade Log'!$I$4:$I$503)</f>
        <v/>
      </c>
      <c r="G48" s="21">
        <f>SUMIF('Trade Log'!$B$4:$B$503,$A48,'Trade Log'!$K$4:$K$503)</f>
        <v/>
      </c>
      <c r="H48" s="21">
        <f>IFERROR($G48/$B48,"")</f>
        <v/>
      </c>
      <c r="I48" s="21">
        <f>IFERROR(_xlfn.MAXIFS('Trade Log'!$K$4:$K$503,'Trade Log'!$B$4:$B$503,$A48),"")</f>
        <v/>
      </c>
      <c r="J48" s="21">
        <f>IFERROR(_xlfn.MINIFS('Trade Log'!$K$4:$K$503,'Trade Log'!$B$4:$B$503,$A48),"")</f>
        <v/>
      </c>
    </row>
    <row r="49">
      <c r="A49" s="27" t="inlineStr">
        <is>
          <t>MANGLMCEM</t>
        </is>
      </c>
      <c r="B49" s="20">
        <f>COUNTIF('Trade Log'!$B$4:$B$503,$A49)</f>
        <v/>
      </c>
      <c r="C49" s="20">
        <f>COUNTIFS('Trade Log'!$B$4:$B$503,$A49,'Trade Log'!$K$4:$K$503,"&gt;0")</f>
        <v/>
      </c>
      <c r="D49" s="20">
        <f>COUNTIFS('Trade Log'!$B$4:$B$503,$A49,'Trade Log'!$K$4:$K$503,"&lt;0")</f>
        <v/>
      </c>
      <c r="E49" s="29">
        <f>IFERROR($C49/$B49,"")</f>
        <v/>
      </c>
      <c r="F49" s="21">
        <f>SUMIF('Trade Log'!$B$4:$B$503,$A49,'Trade Log'!$I$4:$I$503)</f>
        <v/>
      </c>
      <c r="G49" s="21">
        <f>SUMIF('Trade Log'!$B$4:$B$503,$A49,'Trade Log'!$K$4:$K$503)</f>
        <v/>
      </c>
      <c r="H49" s="21">
        <f>IFERROR($G49/$B49,"")</f>
        <v/>
      </c>
      <c r="I49" s="21">
        <f>IFERROR(_xlfn.MAXIFS('Trade Log'!$K$4:$K$503,'Trade Log'!$B$4:$B$503,$A49),"")</f>
        <v/>
      </c>
      <c r="J49" s="21">
        <f>IFERROR(_xlfn.MINIFS('Trade Log'!$K$4:$K$503,'Trade Log'!$B$4:$B$503,$A49),"")</f>
        <v/>
      </c>
    </row>
    <row r="50">
      <c r="A50" s="27" t="inlineStr">
        <is>
          <t>MASTEK</t>
        </is>
      </c>
      <c r="B50" s="20">
        <f>COUNTIF('Trade Log'!$B$4:$B$503,$A50)</f>
        <v/>
      </c>
      <c r="C50" s="20">
        <f>COUNTIFS('Trade Log'!$B$4:$B$503,$A50,'Trade Log'!$K$4:$K$503,"&gt;0")</f>
        <v/>
      </c>
      <c r="D50" s="20">
        <f>COUNTIFS('Trade Log'!$B$4:$B$503,$A50,'Trade Log'!$K$4:$K$503,"&lt;0")</f>
        <v/>
      </c>
      <c r="E50" s="29">
        <f>IFERROR($C50/$B50,"")</f>
        <v/>
      </c>
      <c r="F50" s="21">
        <f>SUMIF('Trade Log'!$B$4:$B$503,$A50,'Trade Log'!$I$4:$I$503)</f>
        <v/>
      </c>
      <c r="G50" s="21">
        <f>SUMIF('Trade Log'!$B$4:$B$503,$A50,'Trade Log'!$K$4:$K$503)</f>
        <v/>
      </c>
      <c r="H50" s="21">
        <f>IFERROR($G50/$B50,"")</f>
        <v/>
      </c>
      <c r="I50" s="21">
        <f>IFERROR(_xlfn.MAXIFS('Trade Log'!$K$4:$K$503,'Trade Log'!$B$4:$B$503,$A50),"")</f>
        <v/>
      </c>
      <c r="J50" s="21">
        <f>IFERROR(_xlfn.MINIFS('Trade Log'!$K$4:$K$503,'Trade Log'!$B$4:$B$503,$A50),"")</f>
        <v/>
      </c>
    </row>
    <row r="51">
      <c r="A51" s="27" t="inlineStr">
        <is>
          <t>MOBIKWIK</t>
        </is>
      </c>
      <c r="B51" s="20">
        <f>COUNTIF('Trade Log'!$B$4:$B$503,$A51)</f>
        <v/>
      </c>
      <c r="C51" s="20">
        <f>COUNTIFS('Trade Log'!$B$4:$B$503,$A51,'Trade Log'!$K$4:$K$503,"&gt;0")</f>
        <v/>
      </c>
      <c r="D51" s="20">
        <f>COUNTIFS('Trade Log'!$B$4:$B$503,$A51,'Trade Log'!$K$4:$K$503,"&lt;0")</f>
        <v/>
      </c>
      <c r="E51" s="29">
        <f>IFERROR($C51/$B51,"")</f>
        <v/>
      </c>
      <c r="F51" s="21">
        <f>SUMIF('Trade Log'!$B$4:$B$503,$A51,'Trade Log'!$I$4:$I$503)</f>
        <v/>
      </c>
      <c r="G51" s="21">
        <f>SUMIF('Trade Log'!$B$4:$B$503,$A51,'Trade Log'!$K$4:$K$503)</f>
        <v/>
      </c>
      <c r="H51" s="21">
        <f>IFERROR($G51/$B51,"")</f>
        <v/>
      </c>
      <c r="I51" s="21">
        <f>IFERROR(_xlfn.MAXIFS('Trade Log'!$K$4:$K$503,'Trade Log'!$B$4:$B$503,$A51),"")</f>
        <v/>
      </c>
      <c r="J51" s="21">
        <f>IFERROR(_xlfn.MINIFS('Trade Log'!$K$4:$K$503,'Trade Log'!$B$4:$B$503,$A51),"")</f>
        <v/>
      </c>
    </row>
    <row r="52">
      <c r="A52" s="27" t="inlineStr">
        <is>
          <t>MUKANDLTD</t>
        </is>
      </c>
      <c r="B52" s="20">
        <f>COUNTIF('Trade Log'!$B$4:$B$503,$A52)</f>
        <v/>
      </c>
      <c r="C52" s="20">
        <f>COUNTIFS('Trade Log'!$B$4:$B$503,$A52,'Trade Log'!$K$4:$K$503,"&gt;0")</f>
        <v/>
      </c>
      <c r="D52" s="20">
        <f>COUNTIFS('Trade Log'!$B$4:$B$503,$A52,'Trade Log'!$K$4:$K$503,"&lt;0")</f>
        <v/>
      </c>
      <c r="E52" s="29">
        <f>IFERROR($C52/$B52,"")</f>
        <v/>
      </c>
      <c r="F52" s="21">
        <f>SUMIF('Trade Log'!$B$4:$B$503,$A52,'Trade Log'!$I$4:$I$503)</f>
        <v/>
      </c>
      <c r="G52" s="21">
        <f>SUMIF('Trade Log'!$B$4:$B$503,$A52,'Trade Log'!$K$4:$K$503)</f>
        <v/>
      </c>
      <c r="H52" s="21">
        <f>IFERROR($G52/$B52,"")</f>
        <v/>
      </c>
      <c r="I52" s="21">
        <f>IFERROR(_xlfn.MAXIFS('Trade Log'!$K$4:$K$503,'Trade Log'!$B$4:$B$503,$A52),"")</f>
        <v/>
      </c>
      <c r="J52" s="21">
        <f>IFERROR(_xlfn.MINIFS('Trade Log'!$K$4:$K$503,'Trade Log'!$B$4:$B$503,$A52),"")</f>
        <v/>
      </c>
    </row>
    <row r="53">
      <c r="A53" s="27" t="inlineStr">
        <is>
          <t>NETWORK18</t>
        </is>
      </c>
      <c r="B53" s="20">
        <f>COUNTIF('Trade Log'!$B$4:$B$503,$A53)</f>
        <v/>
      </c>
      <c r="C53" s="20">
        <f>COUNTIFS('Trade Log'!$B$4:$B$503,$A53,'Trade Log'!$K$4:$K$503,"&gt;0")</f>
        <v/>
      </c>
      <c r="D53" s="20">
        <f>COUNTIFS('Trade Log'!$B$4:$B$503,$A53,'Trade Log'!$K$4:$K$503,"&lt;0")</f>
        <v/>
      </c>
      <c r="E53" s="29">
        <f>IFERROR($C53/$B53,"")</f>
        <v/>
      </c>
      <c r="F53" s="21">
        <f>SUMIF('Trade Log'!$B$4:$B$503,$A53,'Trade Log'!$I$4:$I$503)</f>
        <v/>
      </c>
      <c r="G53" s="21">
        <f>SUMIF('Trade Log'!$B$4:$B$503,$A53,'Trade Log'!$K$4:$K$503)</f>
        <v/>
      </c>
      <c r="H53" s="21">
        <f>IFERROR($G53/$B53,"")</f>
        <v/>
      </c>
      <c r="I53" s="21">
        <f>IFERROR(_xlfn.MAXIFS('Trade Log'!$K$4:$K$503,'Trade Log'!$B$4:$B$503,$A53),"")</f>
        <v/>
      </c>
      <c r="J53" s="21">
        <f>IFERROR(_xlfn.MINIFS('Trade Log'!$K$4:$K$503,'Trade Log'!$B$4:$B$503,$A53),"")</f>
        <v/>
      </c>
    </row>
    <row r="54">
      <c r="A54" s="27" t="inlineStr">
        <is>
          <t>NILKAMAL</t>
        </is>
      </c>
      <c r="B54" s="20">
        <f>COUNTIF('Trade Log'!$B$4:$B$503,$A54)</f>
        <v/>
      </c>
      <c r="C54" s="20">
        <f>COUNTIFS('Trade Log'!$B$4:$B$503,$A54,'Trade Log'!$K$4:$K$503,"&gt;0")</f>
        <v/>
      </c>
      <c r="D54" s="20">
        <f>COUNTIFS('Trade Log'!$B$4:$B$503,$A54,'Trade Log'!$K$4:$K$503,"&lt;0")</f>
        <v/>
      </c>
      <c r="E54" s="29">
        <f>IFERROR($C54/$B54,"")</f>
        <v/>
      </c>
      <c r="F54" s="21">
        <f>SUMIF('Trade Log'!$B$4:$B$503,$A54,'Trade Log'!$I$4:$I$503)</f>
        <v/>
      </c>
      <c r="G54" s="21">
        <f>SUMIF('Trade Log'!$B$4:$B$503,$A54,'Trade Log'!$K$4:$K$503)</f>
        <v/>
      </c>
      <c r="H54" s="21">
        <f>IFERROR($G54/$B54,"")</f>
        <v/>
      </c>
      <c r="I54" s="21">
        <f>IFERROR(_xlfn.MAXIFS('Trade Log'!$K$4:$K$503,'Trade Log'!$B$4:$B$503,$A54),"")</f>
        <v/>
      </c>
      <c r="J54" s="21">
        <f>IFERROR(_xlfn.MINIFS('Trade Log'!$K$4:$K$503,'Trade Log'!$B$4:$B$503,$A54),"")</f>
        <v/>
      </c>
    </row>
    <row r="55">
      <c r="A55" s="27" t="inlineStr">
        <is>
          <t>NORTHARC</t>
        </is>
      </c>
      <c r="B55" s="20">
        <f>COUNTIF('Trade Log'!$B$4:$B$503,$A55)</f>
        <v/>
      </c>
      <c r="C55" s="20">
        <f>COUNTIFS('Trade Log'!$B$4:$B$503,$A55,'Trade Log'!$K$4:$K$503,"&gt;0")</f>
        <v/>
      </c>
      <c r="D55" s="20">
        <f>COUNTIFS('Trade Log'!$B$4:$B$503,$A55,'Trade Log'!$K$4:$K$503,"&lt;0")</f>
        <v/>
      </c>
      <c r="E55" s="29">
        <f>IFERROR($C55/$B55,"")</f>
        <v/>
      </c>
      <c r="F55" s="21">
        <f>SUMIF('Trade Log'!$B$4:$B$503,$A55,'Trade Log'!$I$4:$I$503)</f>
        <v/>
      </c>
      <c r="G55" s="21">
        <f>SUMIF('Trade Log'!$B$4:$B$503,$A55,'Trade Log'!$K$4:$K$503)</f>
        <v/>
      </c>
      <c r="H55" s="21">
        <f>IFERROR($G55/$B55,"")</f>
        <v/>
      </c>
      <c r="I55" s="21">
        <f>IFERROR(_xlfn.MAXIFS('Trade Log'!$K$4:$K$503,'Trade Log'!$B$4:$B$503,$A55),"")</f>
        <v/>
      </c>
      <c r="J55" s="21">
        <f>IFERROR(_xlfn.MINIFS('Trade Log'!$K$4:$K$503,'Trade Log'!$B$4:$B$503,$A55),"")</f>
        <v/>
      </c>
    </row>
    <row r="56">
      <c r="A56" s="27" t="inlineStr">
        <is>
          <t>NOVARTIND</t>
        </is>
      </c>
      <c r="B56" s="20">
        <f>COUNTIF('Trade Log'!$B$4:$B$503,$A56)</f>
        <v/>
      </c>
      <c r="C56" s="20">
        <f>COUNTIFS('Trade Log'!$B$4:$B$503,$A56,'Trade Log'!$K$4:$K$503,"&gt;0")</f>
        <v/>
      </c>
      <c r="D56" s="20">
        <f>COUNTIFS('Trade Log'!$B$4:$B$503,$A56,'Trade Log'!$K$4:$K$503,"&lt;0")</f>
        <v/>
      </c>
      <c r="E56" s="29">
        <f>IFERROR($C56/$B56,"")</f>
        <v/>
      </c>
      <c r="F56" s="21">
        <f>SUMIF('Trade Log'!$B$4:$B$503,$A56,'Trade Log'!$I$4:$I$503)</f>
        <v/>
      </c>
      <c r="G56" s="21">
        <f>SUMIF('Trade Log'!$B$4:$B$503,$A56,'Trade Log'!$K$4:$K$503)</f>
        <v/>
      </c>
      <c r="H56" s="21">
        <f>IFERROR($G56/$B56,"")</f>
        <v/>
      </c>
      <c r="I56" s="21">
        <f>IFERROR(_xlfn.MAXIFS('Trade Log'!$K$4:$K$503,'Trade Log'!$B$4:$B$503,$A56),"")</f>
        <v/>
      </c>
      <c r="J56" s="21">
        <f>IFERROR(_xlfn.MINIFS('Trade Log'!$K$4:$K$503,'Trade Log'!$B$4:$B$503,$A56),"")</f>
        <v/>
      </c>
    </row>
    <row r="57">
      <c r="A57" s="27" t="inlineStr">
        <is>
          <t>NPST</t>
        </is>
      </c>
      <c r="B57" s="20">
        <f>COUNTIF('Trade Log'!$B$4:$B$503,$A57)</f>
        <v/>
      </c>
      <c r="C57" s="20">
        <f>COUNTIFS('Trade Log'!$B$4:$B$503,$A57,'Trade Log'!$K$4:$K$503,"&gt;0")</f>
        <v/>
      </c>
      <c r="D57" s="20">
        <f>COUNTIFS('Trade Log'!$B$4:$B$503,$A57,'Trade Log'!$K$4:$K$503,"&lt;0")</f>
        <v/>
      </c>
      <c r="E57" s="29">
        <f>IFERROR($C57/$B57,"")</f>
        <v/>
      </c>
      <c r="F57" s="21">
        <f>SUMIF('Trade Log'!$B$4:$B$503,$A57,'Trade Log'!$I$4:$I$503)</f>
        <v/>
      </c>
      <c r="G57" s="21">
        <f>SUMIF('Trade Log'!$B$4:$B$503,$A57,'Trade Log'!$K$4:$K$503)</f>
        <v/>
      </c>
      <c r="H57" s="21">
        <f>IFERROR($G57/$B57,"")</f>
        <v/>
      </c>
      <c r="I57" s="21">
        <f>IFERROR(_xlfn.MAXIFS('Trade Log'!$K$4:$K$503,'Trade Log'!$B$4:$B$503,$A57),"")</f>
        <v/>
      </c>
      <c r="J57" s="21">
        <f>IFERROR(_xlfn.MINIFS('Trade Log'!$K$4:$K$503,'Trade Log'!$B$4:$B$503,$A57),"")</f>
        <v/>
      </c>
    </row>
    <row r="58">
      <c r="A58" s="27" t="inlineStr">
        <is>
          <t>NRBBEARING</t>
        </is>
      </c>
      <c r="B58" s="20">
        <f>COUNTIF('Trade Log'!$B$4:$B$503,$A58)</f>
        <v/>
      </c>
      <c r="C58" s="20">
        <f>COUNTIFS('Trade Log'!$B$4:$B$503,$A58,'Trade Log'!$K$4:$K$503,"&gt;0")</f>
        <v/>
      </c>
      <c r="D58" s="20">
        <f>COUNTIFS('Trade Log'!$B$4:$B$503,$A58,'Trade Log'!$K$4:$K$503,"&lt;0")</f>
        <v/>
      </c>
      <c r="E58" s="29">
        <f>IFERROR($C58/$B58,"")</f>
        <v/>
      </c>
      <c r="F58" s="21">
        <f>SUMIF('Trade Log'!$B$4:$B$503,$A58,'Trade Log'!$I$4:$I$503)</f>
        <v/>
      </c>
      <c r="G58" s="21">
        <f>SUMIF('Trade Log'!$B$4:$B$503,$A58,'Trade Log'!$K$4:$K$503)</f>
        <v/>
      </c>
      <c r="H58" s="21">
        <f>IFERROR($G58/$B58,"")</f>
        <v/>
      </c>
      <c r="I58" s="21">
        <f>IFERROR(_xlfn.MAXIFS('Trade Log'!$K$4:$K$503,'Trade Log'!$B$4:$B$503,$A58),"")</f>
        <v/>
      </c>
      <c r="J58" s="21">
        <f>IFERROR(_xlfn.MINIFS('Trade Log'!$K$4:$K$503,'Trade Log'!$B$4:$B$503,$A58),"")</f>
        <v/>
      </c>
    </row>
    <row r="59">
      <c r="A59" s="27" t="inlineStr">
        <is>
          <t>OMAXE</t>
        </is>
      </c>
      <c r="B59" s="20">
        <f>COUNTIF('Trade Log'!$B$4:$B$503,$A59)</f>
        <v/>
      </c>
      <c r="C59" s="20">
        <f>COUNTIFS('Trade Log'!$B$4:$B$503,$A59,'Trade Log'!$K$4:$K$503,"&gt;0")</f>
        <v/>
      </c>
      <c r="D59" s="20">
        <f>COUNTIFS('Trade Log'!$B$4:$B$503,$A59,'Trade Log'!$K$4:$K$503,"&lt;0")</f>
        <v/>
      </c>
      <c r="E59" s="29">
        <f>IFERROR($C59/$B59,"")</f>
        <v/>
      </c>
      <c r="F59" s="21">
        <f>SUMIF('Trade Log'!$B$4:$B$503,$A59,'Trade Log'!$I$4:$I$503)</f>
        <v/>
      </c>
      <c r="G59" s="21">
        <f>SUMIF('Trade Log'!$B$4:$B$503,$A59,'Trade Log'!$K$4:$K$503)</f>
        <v/>
      </c>
      <c r="H59" s="21">
        <f>IFERROR($G59/$B59,"")</f>
        <v/>
      </c>
      <c r="I59" s="21">
        <f>IFERROR(_xlfn.MAXIFS('Trade Log'!$K$4:$K$503,'Trade Log'!$B$4:$B$503,$A59),"")</f>
        <v/>
      </c>
      <c r="J59" s="21">
        <f>IFERROR(_xlfn.MINIFS('Trade Log'!$K$4:$K$503,'Trade Log'!$B$4:$B$503,$A59),"")</f>
        <v/>
      </c>
    </row>
    <row r="60">
      <c r="A60" s="27" t="inlineStr">
        <is>
          <t>ONEPOINT</t>
        </is>
      </c>
      <c r="B60" s="20">
        <f>COUNTIF('Trade Log'!$B$4:$B$503,$A60)</f>
        <v/>
      </c>
      <c r="C60" s="20">
        <f>COUNTIFS('Trade Log'!$B$4:$B$503,$A60,'Trade Log'!$K$4:$K$503,"&gt;0")</f>
        <v/>
      </c>
      <c r="D60" s="20">
        <f>COUNTIFS('Trade Log'!$B$4:$B$503,$A60,'Trade Log'!$K$4:$K$503,"&lt;0")</f>
        <v/>
      </c>
      <c r="E60" s="29">
        <f>IFERROR($C60/$B60,"")</f>
        <v/>
      </c>
      <c r="F60" s="21">
        <f>SUMIF('Trade Log'!$B$4:$B$503,$A60,'Trade Log'!$I$4:$I$503)</f>
        <v/>
      </c>
      <c r="G60" s="21">
        <f>SUMIF('Trade Log'!$B$4:$B$503,$A60,'Trade Log'!$K$4:$K$503)</f>
        <v/>
      </c>
      <c r="H60" s="21">
        <f>IFERROR($G60/$B60,"")</f>
        <v/>
      </c>
      <c r="I60" s="21">
        <f>IFERROR(_xlfn.MAXIFS('Trade Log'!$K$4:$K$503,'Trade Log'!$B$4:$B$503,$A60),"")</f>
        <v/>
      </c>
      <c r="J60" s="21">
        <f>IFERROR(_xlfn.MINIFS('Trade Log'!$K$4:$K$503,'Trade Log'!$B$4:$B$503,$A60),"")</f>
        <v/>
      </c>
    </row>
    <row r="61">
      <c r="A61" s="27" t="inlineStr">
        <is>
          <t>OPTIEMUS</t>
        </is>
      </c>
      <c r="B61" s="20">
        <f>COUNTIF('Trade Log'!$B$4:$B$503,$A61)</f>
        <v/>
      </c>
      <c r="C61" s="20">
        <f>COUNTIFS('Trade Log'!$B$4:$B$503,$A61,'Trade Log'!$K$4:$K$503,"&gt;0")</f>
        <v/>
      </c>
      <c r="D61" s="20">
        <f>COUNTIFS('Trade Log'!$B$4:$B$503,$A61,'Trade Log'!$K$4:$K$503,"&lt;0")</f>
        <v/>
      </c>
      <c r="E61" s="29">
        <f>IFERROR($C61/$B61,"")</f>
        <v/>
      </c>
      <c r="F61" s="21">
        <f>SUMIF('Trade Log'!$B$4:$B$503,$A61,'Trade Log'!$I$4:$I$503)</f>
        <v/>
      </c>
      <c r="G61" s="21">
        <f>SUMIF('Trade Log'!$B$4:$B$503,$A61,'Trade Log'!$K$4:$K$503)</f>
        <v/>
      </c>
      <c r="H61" s="21">
        <f>IFERROR($G61/$B61,"")</f>
        <v/>
      </c>
      <c r="I61" s="21">
        <f>IFERROR(_xlfn.MAXIFS('Trade Log'!$K$4:$K$503,'Trade Log'!$B$4:$B$503,$A61),"")</f>
        <v/>
      </c>
      <c r="J61" s="21">
        <f>IFERROR(_xlfn.MINIFS('Trade Log'!$K$4:$K$503,'Trade Log'!$B$4:$B$503,$A61),"")</f>
        <v/>
      </c>
    </row>
    <row r="62">
      <c r="A62" s="27" t="inlineStr">
        <is>
          <t>ORIENTHOT</t>
        </is>
      </c>
      <c r="B62" s="20">
        <f>COUNTIF('Trade Log'!$B$4:$B$503,$A62)</f>
        <v/>
      </c>
      <c r="C62" s="20">
        <f>COUNTIFS('Trade Log'!$B$4:$B$503,$A62,'Trade Log'!$K$4:$K$503,"&gt;0")</f>
        <v/>
      </c>
      <c r="D62" s="20">
        <f>COUNTIFS('Trade Log'!$B$4:$B$503,$A62,'Trade Log'!$K$4:$K$503,"&lt;0")</f>
        <v/>
      </c>
      <c r="E62" s="29">
        <f>IFERROR($C62/$B62,"")</f>
        <v/>
      </c>
      <c r="F62" s="21">
        <f>SUMIF('Trade Log'!$B$4:$B$503,$A62,'Trade Log'!$I$4:$I$503)</f>
        <v/>
      </c>
      <c r="G62" s="21">
        <f>SUMIF('Trade Log'!$B$4:$B$503,$A62,'Trade Log'!$K$4:$K$503)</f>
        <v/>
      </c>
      <c r="H62" s="21">
        <f>IFERROR($G62/$B62,"")</f>
        <v/>
      </c>
      <c r="I62" s="21">
        <f>IFERROR(_xlfn.MAXIFS('Trade Log'!$K$4:$K$503,'Trade Log'!$B$4:$B$503,$A62),"")</f>
        <v/>
      </c>
      <c r="J62" s="21">
        <f>IFERROR(_xlfn.MINIFS('Trade Log'!$K$4:$K$503,'Trade Log'!$B$4:$B$503,$A62),"")</f>
        <v/>
      </c>
    </row>
    <row r="63">
      <c r="A63" s="27" t="inlineStr">
        <is>
          <t>PACEDIGITK</t>
        </is>
      </c>
      <c r="B63" s="20">
        <f>COUNTIF('Trade Log'!$B$4:$B$503,$A63)</f>
        <v/>
      </c>
      <c r="C63" s="20">
        <f>COUNTIFS('Trade Log'!$B$4:$B$503,$A63,'Trade Log'!$K$4:$K$503,"&gt;0")</f>
        <v/>
      </c>
      <c r="D63" s="20">
        <f>COUNTIFS('Trade Log'!$B$4:$B$503,$A63,'Trade Log'!$K$4:$K$503,"&lt;0")</f>
        <v/>
      </c>
      <c r="E63" s="29">
        <f>IFERROR($C63/$B63,"")</f>
        <v/>
      </c>
      <c r="F63" s="21">
        <f>SUMIF('Trade Log'!$B$4:$B$503,$A63,'Trade Log'!$I$4:$I$503)</f>
        <v/>
      </c>
      <c r="G63" s="21">
        <f>SUMIF('Trade Log'!$B$4:$B$503,$A63,'Trade Log'!$K$4:$K$503)</f>
        <v/>
      </c>
      <c r="H63" s="21">
        <f>IFERROR($G63/$B63,"")</f>
        <v/>
      </c>
      <c r="I63" s="21">
        <f>IFERROR(_xlfn.MAXIFS('Trade Log'!$K$4:$K$503,'Trade Log'!$B$4:$B$503,$A63),"")</f>
        <v/>
      </c>
      <c r="J63" s="21">
        <f>IFERROR(_xlfn.MINIFS('Trade Log'!$K$4:$K$503,'Trade Log'!$B$4:$B$503,$A63),"")</f>
        <v/>
      </c>
    </row>
    <row r="64">
      <c r="A64" s="27" t="inlineStr">
        <is>
          <t>PITTIENG</t>
        </is>
      </c>
      <c r="B64" s="20">
        <f>COUNTIF('Trade Log'!$B$4:$B$503,$A64)</f>
        <v/>
      </c>
      <c r="C64" s="20">
        <f>COUNTIFS('Trade Log'!$B$4:$B$503,$A64,'Trade Log'!$K$4:$K$503,"&gt;0")</f>
        <v/>
      </c>
      <c r="D64" s="20">
        <f>COUNTIFS('Trade Log'!$B$4:$B$503,$A64,'Trade Log'!$K$4:$K$503,"&lt;0")</f>
        <v/>
      </c>
      <c r="E64" s="29">
        <f>IFERROR($C64/$B64,"")</f>
        <v/>
      </c>
      <c r="F64" s="21">
        <f>SUMIF('Trade Log'!$B$4:$B$503,$A64,'Trade Log'!$I$4:$I$503)</f>
        <v/>
      </c>
      <c r="G64" s="21">
        <f>SUMIF('Trade Log'!$B$4:$B$503,$A64,'Trade Log'!$K$4:$K$503)</f>
        <v/>
      </c>
      <c r="H64" s="21">
        <f>IFERROR($G64/$B64,"")</f>
        <v/>
      </c>
      <c r="I64" s="21">
        <f>IFERROR(_xlfn.MAXIFS('Trade Log'!$K$4:$K$503,'Trade Log'!$B$4:$B$503,$A64),"")</f>
        <v/>
      </c>
      <c r="J64" s="21">
        <f>IFERROR(_xlfn.MINIFS('Trade Log'!$K$4:$K$503,'Trade Log'!$B$4:$B$503,$A64),"")</f>
        <v/>
      </c>
    </row>
    <row r="65">
      <c r="A65" s="27" t="inlineStr">
        <is>
          <t>PROTEAN</t>
        </is>
      </c>
      <c r="B65" s="20">
        <f>COUNTIF('Trade Log'!$B$4:$B$503,$A65)</f>
        <v/>
      </c>
      <c r="C65" s="20">
        <f>COUNTIFS('Trade Log'!$B$4:$B$503,$A65,'Trade Log'!$K$4:$K$503,"&gt;0")</f>
        <v/>
      </c>
      <c r="D65" s="20">
        <f>COUNTIFS('Trade Log'!$B$4:$B$503,$A65,'Trade Log'!$K$4:$K$503,"&lt;0")</f>
        <v/>
      </c>
      <c r="E65" s="29">
        <f>IFERROR($C65/$B65,"")</f>
        <v/>
      </c>
      <c r="F65" s="21">
        <f>SUMIF('Trade Log'!$B$4:$B$503,$A65,'Trade Log'!$I$4:$I$503)</f>
        <v/>
      </c>
      <c r="G65" s="21">
        <f>SUMIF('Trade Log'!$B$4:$B$503,$A65,'Trade Log'!$K$4:$K$503)</f>
        <v/>
      </c>
      <c r="H65" s="21">
        <f>IFERROR($G65/$B65,"")</f>
        <v/>
      </c>
      <c r="I65" s="21">
        <f>IFERROR(_xlfn.MAXIFS('Trade Log'!$K$4:$K$503,'Trade Log'!$B$4:$B$503,$A65),"")</f>
        <v/>
      </c>
      <c r="J65" s="21">
        <f>IFERROR(_xlfn.MINIFS('Trade Log'!$K$4:$K$503,'Trade Log'!$B$4:$B$503,$A65),"")</f>
        <v/>
      </c>
    </row>
    <row r="66">
      <c r="A66" s="27" t="inlineStr">
        <is>
          <t>QUADFUTURE</t>
        </is>
      </c>
      <c r="B66" s="20">
        <f>COUNTIF('Trade Log'!$B$4:$B$503,$A66)</f>
        <v/>
      </c>
      <c r="C66" s="20">
        <f>COUNTIFS('Trade Log'!$B$4:$B$503,$A66,'Trade Log'!$K$4:$K$503,"&gt;0")</f>
        <v/>
      </c>
      <c r="D66" s="20">
        <f>COUNTIFS('Trade Log'!$B$4:$B$503,$A66,'Trade Log'!$K$4:$K$503,"&lt;0")</f>
        <v/>
      </c>
      <c r="E66" s="29">
        <f>IFERROR($C66/$B66,"")</f>
        <v/>
      </c>
      <c r="F66" s="21">
        <f>SUMIF('Trade Log'!$B$4:$B$503,$A66,'Trade Log'!$I$4:$I$503)</f>
        <v/>
      </c>
      <c r="G66" s="21">
        <f>SUMIF('Trade Log'!$B$4:$B$503,$A66,'Trade Log'!$K$4:$K$503)</f>
        <v/>
      </c>
      <c r="H66" s="21">
        <f>IFERROR($G66/$B66,"")</f>
        <v/>
      </c>
      <c r="I66" s="21">
        <f>IFERROR(_xlfn.MAXIFS('Trade Log'!$K$4:$K$503,'Trade Log'!$B$4:$B$503,$A66),"")</f>
        <v/>
      </c>
      <c r="J66" s="21">
        <f>IFERROR(_xlfn.MINIFS('Trade Log'!$K$4:$K$503,'Trade Log'!$B$4:$B$503,$A66),"")</f>
        <v/>
      </c>
    </row>
    <row r="67">
      <c r="A67" s="27" t="inlineStr">
        <is>
          <t>RACLGEAR</t>
        </is>
      </c>
      <c r="B67" s="20">
        <f>COUNTIF('Trade Log'!$B$4:$B$503,$A67)</f>
        <v/>
      </c>
      <c r="C67" s="20">
        <f>COUNTIFS('Trade Log'!$B$4:$B$503,$A67,'Trade Log'!$K$4:$K$503,"&gt;0")</f>
        <v/>
      </c>
      <c r="D67" s="20">
        <f>COUNTIFS('Trade Log'!$B$4:$B$503,$A67,'Trade Log'!$K$4:$K$503,"&lt;0")</f>
        <v/>
      </c>
      <c r="E67" s="29">
        <f>IFERROR($C67/$B67,"")</f>
        <v/>
      </c>
      <c r="F67" s="21">
        <f>SUMIF('Trade Log'!$B$4:$B$503,$A67,'Trade Log'!$I$4:$I$503)</f>
        <v/>
      </c>
      <c r="G67" s="21">
        <f>SUMIF('Trade Log'!$B$4:$B$503,$A67,'Trade Log'!$K$4:$K$503)</f>
        <v/>
      </c>
      <c r="H67" s="21">
        <f>IFERROR($G67/$B67,"")</f>
        <v/>
      </c>
      <c r="I67" s="21">
        <f>IFERROR(_xlfn.MAXIFS('Trade Log'!$K$4:$K$503,'Trade Log'!$B$4:$B$503,$A67),"")</f>
        <v/>
      </c>
      <c r="J67" s="21">
        <f>IFERROR(_xlfn.MINIFS('Trade Log'!$K$4:$K$503,'Trade Log'!$B$4:$B$503,$A67),"")</f>
        <v/>
      </c>
    </row>
    <row r="68">
      <c r="A68" s="27" t="inlineStr">
        <is>
          <t>RAMRAT</t>
        </is>
      </c>
      <c r="B68" s="20">
        <f>COUNTIF('Trade Log'!$B$4:$B$503,$A68)</f>
        <v/>
      </c>
      <c r="C68" s="20">
        <f>COUNTIFS('Trade Log'!$B$4:$B$503,$A68,'Trade Log'!$K$4:$K$503,"&gt;0")</f>
        <v/>
      </c>
      <c r="D68" s="20">
        <f>COUNTIFS('Trade Log'!$B$4:$B$503,$A68,'Trade Log'!$K$4:$K$503,"&lt;0")</f>
        <v/>
      </c>
      <c r="E68" s="29">
        <f>IFERROR($C68/$B68,"")</f>
        <v/>
      </c>
      <c r="F68" s="21">
        <f>SUMIF('Trade Log'!$B$4:$B$503,$A68,'Trade Log'!$I$4:$I$503)</f>
        <v/>
      </c>
      <c r="G68" s="21">
        <f>SUMIF('Trade Log'!$B$4:$B$503,$A68,'Trade Log'!$K$4:$K$503)</f>
        <v/>
      </c>
      <c r="H68" s="21">
        <f>IFERROR($G68/$B68,"")</f>
        <v/>
      </c>
      <c r="I68" s="21">
        <f>IFERROR(_xlfn.MAXIFS('Trade Log'!$K$4:$K$503,'Trade Log'!$B$4:$B$503,$A68),"")</f>
        <v/>
      </c>
      <c r="J68" s="21">
        <f>IFERROR(_xlfn.MINIFS('Trade Log'!$K$4:$K$503,'Trade Log'!$B$4:$B$503,$A68),"")</f>
        <v/>
      </c>
    </row>
    <row r="69">
      <c r="A69" s="27" t="inlineStr">
        <is>
          <t>RAYMOND</t>
        </is>
      </c>
      <c r="B69" s="20">
        <f>COUNTIF('Trade Log'!$B$4:$B$503,$A69)</f>
        <v/>
      </c>
      <c r="C69" s="20">
        <f>COUNTIFS('Trade Log'!$B$4:$B$503,$A69,'Trade Log'!$K$4:$K$503,"&gt;0")</f>
        <v/>
      </c>
      <c r="D69" s="20">
        <f>COUNTIFS('Trade Log'!$B$4:$B$503,$A69,'Trade Log'!$K$4:$K$503,"&lt;0")</f>
        <v/>
      </c>
      <c r="E69" s="29">
        <f>IFERROR($C69/$B69,"")</f>
        <v/>
      </c>
      <c r="F69" s="21">
        <f>SUMIF('Trade Log'!$B$4:$B$503,$A69,'Trade Log'!$I$4:$I$503)</f>
        <v/>
      </c>
      <c r="G69" s="21">
        <f>SUMIF('Trade Log'!$B$4:$B$503,$A69,'Trade Log'!$K$4:$K$503)</f>
        <v/>
      </c>
      <c r="H69" s="21">
        <f>IFERROR($G69/$B69,"")</f>
        <v/>
      </c>
      <c r="I69" s="21">
        <f>IFERROR(_xlfn.MAXIFS('Trade Log'!$K$4:$K$503,'Trade Log'!$B$4:$B$503,$A69),"")</f>
        <v/>
      </c>
      <c r="J69" s="21">
        <f>IFERROR(_xlfn.MINIFS('Trade Log'!$K$4:$K$503,'Trade Log'!$B$4:$B$503,$A69),"")</f>
        <v/>
      </c>
    </row>
    <row r="70">
      <c r="A70" s="27" t="inlineStr">
        <is>
          <t>RAYMONDREL</t>
        </is>
      </c>
      <c r="B70" s="20">
        <f>COUNTIF('Trade Log'!$B$4:$B$503,$A70)</f>
        <v/>
      </c>
      <c r="C70" s="20">
        <f>COUNTIFS('Trade Log'!$B$4:$B$503,$A70,'Trade Log'!$K$4:$K$503,"&gt;0")</f>
        <v/>
      </c>
      <c r="D70" s="20">
        <f>COUNTIFS('Trade Log'!$B$4:$B$503,$A70,'Trade Log'!$K$4:$K$503,"&lt;0")</f>
        <v/>
      </c>
      <c r="E70" s="29">
        <f>IFERROR($C70/$B70,"")</f>
        <v/>
      </c>
      <c r="F70" s="21">
        <f>SUMIF('Trade Log'!$B$4:$B$503,$A70,'Trade Log'!$I$4:$I$503)</f>
        <v/>
      </c>
      <c r="G70" s="21">
        <f>SUMIF('Trade Log'!$B$4:$B$503,$A70,'Trade Log'!$K$4:$K$503)</f>
        <v/>
      </c>
      <c r="H70" s="21">
        <f>IFERROR($G70/$B70,"")</f>
        <v/>
      </c>
      <c r="I70" s="21">
        <f>IFERROR(_xlfn.MAXIFS('Trade Log'!$K$4:$K$503,'Trade Log'!$B$4:$B$503,$A70),"")</f>
        <v/>
      </c>
      <c r="J70" s="21">
        <f>IFERROR(_xlfn.MINIFS('Trade Log'!$K$4:$K$503,'Trade Log'!$B$4:$B$503,$A70),"")</f>
        <v/>
      </c>
    </row>
    <row r="71">
      <c r="A71" s="27" t="inlineStr">
        <is>
          <t>REFEX</t>
        </is>
      </c>
      <c r="B71" s="20">
        <f>COUNTIF('Trade Log'!$B$4:$B$503,$A71)</f>
        <v/>
      </c>
      <c r="C71" s="20">
        <f>COUNTIFS('Trade Log'!$B$4:$B$503,$A71,'Trade Log'!$K$4:$K$503,"&gt;0")</f>
        <v/>
      </c>
      <c r="D71" s="20">
        <f>COUNTIFS('Trade Log'!$B$4:$B$503,$A71,'Trade Log'!$K$4:$K$503,"&lt;0")</f>
        <v/>
      </c>
      <c r="E71" s="29">
        <f>IFERROR($C71/$B71,"")</f>
        <v/>
      </c>
      <c r="F71" s="21">
        <f>SUMIF('Trade Log'!$B$4:$B$503,$A71,'Trade Log'!$I$4:$I$503)</f>
        <v/>
      </c>
      <c r="G71" s="21">
        <f>SUMIF('Trade Log'!$B$4:$B$503,$A71,'Trade Log'!$K$4:$K$503)</f>
        <v/>
      </c>
      <c r="H71" s="21">
        <f>IFERROR($G71/$B71,"")</f>
        <v/>
      </c>
      <c r="I71" s="21">
        <f>IFERROR(_xlfn.MAXIFS('Trade Log'!$K$4:$K$503,'Trade Log'!$B$4:$B$503,$A71),"")</f>
        <v/>
      </c>
      <c r="J71" s="21">
        <f>IFERROR(_xlfn.MINIFS('Trade Log'!$K$4:$K$503,'Trade Log'!$B$4:$B$503,$A71),"")</f>
        <v/>
      </c>
    </row>
    <row r="72">
      <c r="A72" s="27" t="inlineStr">
        <is>
          <t>RESPONIND</t>
        </is>
      </c>
      <c r="B72" s="20">
        <f>COUNTIF('Trade Log'!$B$4:$B$503,$A72)</f>
        <v/>
      </c>
      <c r="C72" s="20">
        <f>COUNTIFS('Trade Log'!$B$4:$B$503,$A72,'Trade Log'!$K$4:$K$503,"&gt;0")</f>
        <v/>
      </c>
      <c r="D72" s="20">
        <f>COUNTIFS('Trade Log'!$B$4:$B$503,$A72,'Trade Log'!$K$4:$K$503,"&lt;0")</f>
        <v/>
      </c>
      <c r="E72" s="29">
        <f>IFERROR($C72/$B72,"")</f>
        <v/>
      </c>
      <c r="F72" s="21">
        <f>SUMIF('Trade Log'!$B$4:$B$503,$A72,'Trade Log'!$I$4:$I$503)</f>
        <v/>
      </c>
      <c r="G72" s="21">
        <f>SUMIF('Trade Log'!$B$4:$B$503,$A72,'Trade Log'!$K$4:$K$503)</f>
        <v/>
      </c>
      <c r="H72" s="21">
        <f>IFERROR($G72/$B72,"")</f>
        <v/>
      </c>
      <c r="I72" s="21">
        <f>IFERROR(_xlfn.MAXIFS('Trade Log'!$K$4:$K$503,'Trade Log'!$B$4:$B$503,$A72),"")</f>
        <v/>
      </c>
      <c r="J72" s="21">
        <f>IFERROR(_xlfn.MINIFS('Trade Log'!$K$4:$K$503,'Trade Log'!$B$4:$B$503,$A72),"")</f>
        <v/>
      </c>
    </row>
    <row r="73">
      <c r="A73" s="27" t="inlineStr">
        <is>
          <t>RML</t>
        </is>
      </c>
      <c r="B73" s="20">
        <f>COUNTIF('Trade Log'!$B$4:$B$503,$A73)</f>
        <v/>
      </c>
      <c r="C73" s="20">
        <f>COUNTIFS('Trade Log'!$B$4:$B$503,$A73,'Trade Log'!$K$4:$K$503,"&gt;0")</f>
        <v/>
      </c>
      <c r="D73" s="20">
        <f>COUNTIFS('Trade Log'!$B$4:$B$503,$A73,'Trade Log'!$K$4:$K$503,"&lt;0")</f>
        <v/>
      </c>
      <c r="E73" s="29">
        <f>IFERROR($C73/$B73,"")</f>
        <v/>
      </c>
      <c r="F73" s="21">
        <f>SUMIF('Trade Log'!$B$4:$B$503,$A73,'Trade Log'!$I$4:$I$503)</f>
        <v/>
      </c>
      <c r="G73" s="21">
        <f>SUMIF('Trade Log'!$B$4:$B$503,$A73,'Trade Log'!$K$4:$K$503)</f>
        <v/>
      </c>
      <c r="H73" s="21">
        <f>IFERROR($G73/$B73,"")</f>
        <v/>
      </c>
      <c r="I73" s="21">
        <f>IFERROR(_xlfn.MAXIFS('Trade Log'!$K$4:$K$503,'Trade Log'!$B$4:$B$503,$A73),"")</f>
        <v/>
      </c>
      <c r="J73" s="21">
        <f>IFERROR(_xlfn.MINIFS('Trade Log'!$K$4:$K$503,'Trade Log'!$B$4:$B$503,$A73),"")</f>
        <v/>
      </c>
    </row>
    <row r="74">
      <c r="A74" s="27" t="inlineStr">
        <is>
          <t>ROSSTECH</t>
        </is>
      </c>
      <c r="B74" s="20">
        <f>COUNTIF('Trade Log'!$B$4:$B$503,$A74)</f>
        <v/>
      </c>
      <c r="C74" s="20">
        <f>COUNTIFS('Trade Log'!$B$4:$B$503,$A74,'Trade Log'!$K$4:$K$503,"&gt;0")</f>
        <v/>
      </c>
      <c r="D74" s="20">
        <f>COUNTIFS('Trade Log'!$B$4:$B$503,$A74,'Trade Log'!$K$4:$K$503,"&lt;0")</f>
        <v/>
      </c>
      <c r="E74" s="29">
        <f>IFERROR($C74/$B74,"")</f>
        <v/>
      </c>
      <c r="F74" s="21">
        <f>SUMIF('Trade Log'!$B$4:$B$503,$A74,'Trade Log'!$I$4:$I$503)</f>
        <v/>
      </c>
      <c r="G74" s="21">
        <f>SUMIF('Trade Log'!$B$4:$B$503,$A74,'Trade Log'!$K$4:$K$503)</f>
        <v/>
      </c>
      <c r="H74" s="21">
        <f>IFERROR($G74/$B74,"")</f>
        <v/>
      </c>
      <c r="I74" s="21">
        <f>IFERROR(_xlfn.MAXIFS('Trade Log'!$K$4:$K$503,'Trade Log'!$B$4:$B$503,$A74),"")</f>
        <v/>
      </c>
      <c r="J74" s="21">
        <f>IFERROR(_xlfn.MINIFS('Trade Log'!$K$4:$K$503,'Trade Log'!$B$4:$B$503,$A74),"")</f>
        <v/>
      </c>
    </row>
    <row r="75">
      <c r="A75" s="27" t="inlineStr">
        <is>
          <t>RPGLIFE</t>
        </is>
      </c>
      <c r="B75" s="20">
        <f>COUNTIF('Trade Log'!$B$4:$B$503,$A75)</f>
        <v/>
      </c>
      <c r="C75" s="20">
        <f>COUNTIFS('Trade Log'!$B$4:$B$503,$A75,'Trade Log'!$K$4:$K$503,"&gt;0")</f>
        <v/>
      </c>
      <c r="D75" s="20">
        <f>COUNTIFS('Trade Log'!$B$4:$B$503,$A75,'Trade Log'!$K$4:$K$503,"&lt;0")</f>
        <v/>
      </c>
      <c r="E75" s="29">
        <f>IFERROR($C75/$B75,"")</f>
        <v/>
      </c>
      <c r="F75" s="21">
        <f>SUMIF('Trade Log'!$B$4:$B$503,$A75,'Trade Log'!$I$4:$I$503)</f>
        <v/>
      </c>
      <c r="G75" s="21">
        <f>SUMIF('Trade Log'!$B$4:$B$503,$A75,'Trade Log'!$K$4:$K$503)</f>
        <v/>
      </c>
      <c r="H75" s="21">
        <f>IFERROR($G75/$B75,"")</f>
        <v/>
      </c>
      <c r="I75" s="21">
        <f>IFERROR(_xlfn.MAXIFS('Trade Log'!$K$4:$K$503,'Trade Log'!$B$4:$B$503,$A75),"")</f>
        <v/>
      </c>
      <c r="J75" s="21">
        <f>IFERROR(_xlfn.MINIFS('Trade Log'!$K$4:$K$503,'Trade Log'!$B$4:$B$503,$A75),"")</f>
        <v/>
      </c>
    </row>
    <row r="76">
      <c r="A76" s="27" t="inlineStr">
        <is>
          <t>SAATVIKGL</t>
        </is>
      </c>
      <c r="B76" s="20">
        <f>COUNTIF('Trade Log'!$B$4:$B$503,$A76)</f>
        <v/>
      </c>
      <c r="C76" s="20">
        <f>COUNTIFS('Trade Log'!$B$4:$B$503,$A76,'Trade Log'!$K$4:$K$503,"&gt;0")</f>
        <v/>
      </c>
      <c r="D76" s="20">
        <f>COUNTIFS('Trade Log'!$B$4:$B$503,$A76,'Trade Log'!$K$4:$K$503,"&lt;0")</f>
        <v/>
      </c>
      <c r="E76" s="29">
        <f>IFERROR($C76/$B76,"")</f>
        <v/>
      </c>
      <c r="F76" s="21">
        <f>SUMIF('Trade Log'!$B$4:$B$503,$A76,'Trade Log'!$I$4:$I$503)</f>
        <v/>
      </c>
      <c r="G76" s="21">
        <f>SUMIF('Trade Log'!$B$4:$B$503,$A76,'Trade Log'!$K$4:$K$503)</f>
        <v/>
      </c>
      <c r="H76" s="21">
        <f>IFERROR($G76/$B76,"")</f>
        <v/>
      </c>
      <c r="I76" s="21">
        <f>IFERROR(_xlfn.MAXIFS('Trade Log'!$K$4:$K$503,'Trade Log'!$B$4:$B$503,$A76),"")</f>
        <v/>
      </c>
      <c r="J76" s="21">
        <f>IFERROR(_xlfn.MINIFS('Trade Log'!$K$4:$K$503,'Trade Log'!$B$4:$B$503,$A76),"")</f>
        <v/>
      </c>
    </row>
    <row r="77">
      <c r="A77" s="27" t="inlineStr">
        <is>
          <t>SAKAR</t>
        </is>
      </c>
      <c r="B77" s="20">
        <f>COUNTIF('Trade Log'!$B$4:$B$503,$A77)</f>
        <v/>
      </c>
      <c r="C77" s="20">
        <f>COUNTIFS('Trade Log'!$B$4:$B$503,$A77,'Trade Log'!$K$4:$K$503,"&gt;0")</f>
        <v/>
      </c>
      <c r="D77" s="20">
        <f>COUNTIFS('Trade Log'!$B$4:$B$503,$A77,'Trade Log'!$K$4:$K$503,"&lt;0")</f>
        <v/>
      </c>
      <c r="E77" s="29">
        <f>IFERROR($C77/$B77,"")</f>
        <v/>
      </c>
      <c r="F77" s="21">
        <f>SUMIF('Trade Log'!$B$4:$B$503,$A77,'Trade Log'!$I$4:$I$503)</f>
        <v/>
      </c>
      <c r="G77" s="21">
        <f>SUMIF('Trade Log'!$B$4:$B$503,$A77,'Trade Log'!$K$4:$K$503)</f>
        <v/>
      </c>
      <c r="H77" s="21">
        <f>IFERROR($G77/$B77,"")</f>
        <v/>
      </c>
      <c r="I77" s="21">
        <f>IFERROR(_xlfn.MAXIFS('Trade Log'!$K$4:$K$503,'Trade Log'!$B$4:$B$503,$A77),"")</f>
        <v/>
      </c>
      <c r="J77" s="21">
        <f>IFERROR(_xlfn.MINIFS('Trade Log'!$K$4:$K$503,'Trade Log'!$B$4:$B$503,$A77),"")</f>
        <v/>
      </c>
    </row>
    <row r="78">
      <c r="A78" s="27" t="inlineStr">
        <is>
          <t>SAMBHV</t>
        </is>
      </c>
      <c r="B78" s="20">
        <f>COUNTIF('Trade Log'!$B$4:$B$503,$A78)</f>
        <v/>
      </c>
      <c r="C78" s="20">
        <f>COUNTIFS('Trade Log'!$B$4:$B$503,$A78,'Trade Log'!$K$4:$K$503,"&gt;0")</f>
        <v/>
      </c>
      <c r="D78" s="20">
        <f>COUNTIFS('Trade Log'!$B$4:$B$503,$A78,'Trade Log'!$K$4:$K$503,"&lt;0")</f>
        <v/>
      </c>
      <c r="E78" s="29">
        <f>IFERROR($C78/$B78,"")</f>
        <v/>
      </c>
      <c r="F78" s="21">
        <f>SUMIF('Trade Log'!$B$4:$B$503,$A78,'Trade Log'!$I$4:$I$503)</f>
        <v/>
      </c>
      <c r="G78" s="21">
        <f>SUMIF('Trade Log'!$B$4:$B$503,$A78,'Trade Log'!$K$4:$K$503)</f>
        <v/>
      </c>
      <c r="H78" s="21">
        <f>IFERROR($G78/$B78,"")</f>
        <v/>
      </c>
      <c r="I78" s="21">
        <f>IFERROR(_xlfn.MAXIFS('Trade Log'!$K$4:$K$503,'Trade Log'!$B$4:$B$503,$A78),"")</f>
        <v/>
      </c>
      <c r="J78" s="21">
        <f>IFERROR(_xlfn.MINIFS('Trade Log'!$K$4:$K$503,'Trade Log'!$B$4:$B$503,$A78),"")</f>
        <v/>
      </c>
    </row>
    <row r="79">
      <c r="A79" s="27" t="inlineStr">
        <is>
          <t>SAMHI</t>
        </is>
      </c>
      <c r="B79" s="20">
        <f>COUNTIF('Trade Log'!$B$4:$B$503,$A79)</f>
        <v/>
      </c>
      <c r="C79" s="20">
        <f>COUNTIFS('Trade Log'!$B$4:$B$503,$A79,'Trade Log'!$K$4:$K$503,"&gt;0")</f>
        <v/>
      </c>
      <c r="D79" s="20">
        <f>COUNTIFS('Trade Log'!$B$4:$B$503,$A79,'Trade Log'!$K$4:$K$503,"&lt;0")</f>
        <v/>
      </c>
      <c r="E79" s="29">
        <f>IFERROR($C79/$B79,"")</f>
        <v/>
      </c>
      <c r="F79" s="21">
        <f>SUMIF('Trade Log'!$B$4:$B$503,$A79,'Trade Log'!$I$4:$I$503)</f>
        <v/>
      </c>
      <c r="G79" s="21">
        <f>SUMIF('Trade Log'!$B$4:$B$503,$A79,'Trade Log'!$K$4:$K$503)</f>
        <v/>
      </c>
      <c r="H79" s="21">
        <f>IFERROR($G79/$B79,"")</f>
        <v/>
      </c>
      <c r="I79" s="21">
        <f>IFERROR(_xlfn.MAXIFS('Trade Log'!$K$4:$K$503,'Trade Log'!$B$4:$B$503,$A79),"")</f>
        <v/>
      </c>
      <c r="J79" s="21">
        <f>IFERROR(_xlfn.MINIFS('Trade Log'!$K$4:$K$503,'Trade Log'!$B$4:$B$503,$A79),"")</f>
        <v/>
      </c>
    </row>
    <row r="80">
      <c r="A80" s="27" t="inlineStr">
        <is>
          <t>SHAREINDIA</t>
        </is>
      </c>
      <c r="B80" s="20">
        <f>COUNTIF('Trade Log'!$B$4:$B$503,$A80)</f>
        <v/>
      </c>
      <c r="C80" s="20">
        <f>COUNTIFS('Trade Log'!$B$4:$B$503,$A80,'Trade Log'!$K$4:$K$503,"&gt;0")</f>
        <v/>
      </c>
      <c r="D80" s="20">
        <f>COUNTIFS('Trade Log'!$B$4:$B$503,$A80,'Trade Log'!$K$4:$K$503,"&lt;0")</f>
        <v/>
      </c>
      <c r="E80" s="29">
        <f>IFERROR($C80/$B80,"")</f>
        <v/>
      </c>
      <c r="F80" s="21">
        <f>SUMIF('Trade Log'!$B$4:$B$503,$A80,'Trade Log'!$I$4:$I$503)</f>
        <v/>
      </c>
      <c r="G80" s="21">
        <f>SUMIF('Trade Log'!$B$4:$B$503,$A80,'Trade Log'!$K$4:$K$503)</f>
        <v/>
      </c>
      <c r="H80" s="21">
        <f>IFERROR($G80/$B80,"")</f>
        <v/>
      </c>
      <c r="I80" s="21">
        <f>IFERROR(_xlfn.MAXIFS('Trade Log'!$K$4:$K$503,'Trade Log'!$B$4:$B$503,$A80),"")</f>
        <v/>
      </c>
      <c r="J80" s="21">
        <f>IFERROR(_xlfn.MINIFS('Trade Log'!$K$4:$K$503,'Trade Log'!$B$4:$B$503,$A80),"")</f>
        <v/>
      </c>
    </row>
    <row r="81">
      <c r="A81" s="27" t="inlineStr">
        <is>
          <t>SIKA</t>
        </is>
      </c>
      <c r="B81" s="20">
        <f>COUNTIF('Trade Log'!$B$4:$B$503,$A81)</f>
        <v/>
      </c>
      <c r="C81" s="20">
        <f>COUNTIFS('Trade Log'!$B$4:$B$503,$A81,'Trade Log'!$K$4:$K$503,"&gt;0")</f>
        <v/>
      </c>
      <c r="D81" s="20">
        <f>COUNTIFS('Trade Log'!$B$4:$B$503,$A81,'Trade Log'!$K$4:$K$503,"&lt;0")</f>
        <v/>
      </c>
      <c r="E81" s="29">
        <f>IFERROR($C81/$B81,"")</f>
        <v/>
      </c>
      <c r="F81" s="21">
        <f>SUMIF('Trade Log'!$B$4:$B$503,$A81,'Trade Log'!$I$4:$I$503)</f>
        <v/>
      </c>
      <c r="G81" s="21">
        <f>SUMIF('Trade Log'!$B$4:$B$503,$A81,'Trade Log'!$K$4:$K$503)</f>
        <v/>
      </c>
      <c r="H81" s="21">
        <f>IFERROR($G81/$B81,"")</f>
        <v/>
      </c>
      <c r="I81" s="21">
        <f>IFERROR(_xlfn.MAXIFS('Trade Log'!$K$4:$K$503,'Trade Log'!$B$4:$B$503,$A81),"")</f>
        <v/>
      </c>
      <c r="J81" s="21">
        <f>IFERROR(_xlfn.MINIFS('Trade Log'!$K$4:$K$503,'Trade Log'!$B$4:$B$503,$A81),"")</f>
        <v/>
      </c>
    </row>
    <row r="82">
      <c r="A82" s="27" t="inlineStr">
        <is>
          <t>SINDHUTRAD</t>
        </is>
      </c>
      <c r="B82" s="20">
        <f>COUNTIF('Trade Log'!$B$4:$B$503,$A82)</f>
        <v/>
      </c>
      <c r="C82" s="20">
        <f>COUNTIFS('Trade Log'!$B$4:$B$503,$A82,'Trade Log'!$K$4:$K$503,"&gt;0")</f>
        <v/>
      </c>
      <c r="D82" s="20">
        <f>COUNTIFS('Trade Log'!$B$4:$B$503,$A82,'Trade Log'!$K$4:$K$503,"&lt;0")</f>
        <v/>
      </c>
      <c r="E82" s="29">
        <f>IFERROR($C82/$B82,"")</f>
        <v/>
      </c>
      <c r="F82" s="21">
        <f>SUMIF('Trade Log'!$B$4:$B$503,$A82,'Trade Log'!$I$4:$I$503)</f>
        <v/>
      </c>
      <c r="G82" s="21">
        <f>SUMIF('Trade Log'!$B$4:$B$503,$A82,'Trade Log'!$K$4:$K$503)</f>
        <v/>
      </c>
      <c r="H82" s="21">
        <f>IFERROR($G82/$B82,"")</f>
        <v/>
      </c>
      <c r="I82" s="21">
        <f>IFERROR(_xlfn.MAXIFS('Trade Log'!$K$4:$K$503,'Trade Log'!$B$4:$B$503,$A82),"")</f>
        <v/>
      </c>
      <c r="J82" s="21">
        <f>IFERROR(_xlfn.MINIFS('Trade Log'!$K$4:$K$503,'Trade Log'!$B$4:$B$503,$A82),"")</f>
        <v/>
      </c>
    </row>
    <row r="83">
      <c r="A83" s="27" t="inlineStr">
        <is>
          <t>SMSPHARMA</t>
        </is>
      </c>
      <c r="B83" s="20">
        <f>COUNTIF('Trade Log'!$B$4:$B$503,$A83)</f>
        <v/>
      </c>
      <c r="C83" s="20">
        <f>COUNTIFS('Trade Log'!$B$4:$B$503,$A83,'Trade Log'!$K$4:$K$503,"&gt;0")</f>
        <v/>
      </c>
      <c r="D83" s="20">
        <f>COUNTIFS('Trade Log'!$B$4:$B$503,$A83,'Trade Log'!$K$4:$K$503,"&lt;0")</f>
        <v/>
      </c>
      <c r="E83" s="29">
        <f>IFERROR($C83/$B83,"")</f>
        <v/>
      </c>
      <c r="F83" s="21">
        <f>SUMIF('Trade Log'!$B$4:$B$503,$A83,'Trade Log'!$I$4:$I$503)</f>
        <v/>
      </c>
      <c r="G83" s="21">
        <f>SUMIF('Trade Log'!$B$4:$B$503,$A83,'Trade Log'!$K$4:$K$503)</f>
        <v/>
      </c>
      <c r="H83" s="21">
        <f>IFERROR($G83/$B83,"")</f>
        <v/>
      </c>
      <c r="I83" s="21">
        <f>IFERROR(_xlfn.MAXIFS('Trade Log'!$K$4:$K$503,'Trade Log'!$B$4:$B$503,$A83),"")</f>
        <v/>
      </c>
      <c r="J83" s="21">
        <f>IFERROR(_xlfn.MINIFS('Trade Log'!$K$4:$K$503,'Trade Log'!$B$4:$B$503,$A83),"")</f>
        <v/>
      </c>
    </row>
    <row r="84">
      <c r="A84" s="27" t="inlineStr">
        <is>
          <t>SOLARA</t>
        </is>
      </c>
      <c r="B84" s="20">
        <f>COUNTIF('Trade Log'!$B$4:$B$503,$A84)</f>
        <v/>
      </c>
      <c r="C84" s="20">
        <f>COUNTIFS('Trade Log'!$B$4:$B$503,$A84,'Trade Log'!$K$4:$K$503,"&gt;0")</f>
        <v/>
      </c>
      <c r="D84" s="20">
        <f>COUNTIFS('Trade Log'!$B$4:$B$503,$A84,'Trade Log'!$K$4:$K$503,"&lt;0")</f>
        <v/>
      </c>
      <c r="E84" s="29">
        <f>IFERROR($C84/$B84,"")</f>
        <v/>
      </c>
      <c r="F84" s="21">
        <f>SUMIF('Trade Log'!$B$4:$B$503,$A84,'Trade Log'!$I$4:$I$503)</f>
        <v/>
      </c>
      <c r="G84" s="21">
        <f>SUMIF('Trade Log'!$B$4:$B$503,$A84,'Trade Log'!$K$4:$K$503)</f>
        <v/>
      </c>
      <c r="H84" s="21">
        <f>IFERROR($G84/$B84,"")</f>
        <v/>
      </c>
      <c r="I84" s="21">
        <f>IFERROR(_xlfn.MAXIFS('Trade Log'!$K$4:$K$503,'Trade Log'!$B$4:$B$503,$A84),"")</f>
        <v/>
      </c>
      <c r="J84" s="21">
        <f>IFERROR(_xlfn.MINIFS('Trade Log'!$K$4:$K$503,'Trade Log'!$B$4:$B$503,$A84),"")</f>
        <v/>
      </c>
    </row>
    <row r="85">
      <c r="A85" s="27" t="inlineStr">
        <is>
          <t>SOTL</t>
        </is>
      </c>
      <c r="B85" s="20">
        <f>COUNTIF('Trade Log'!$B$4:$B$503,$A85)</f>
        <v/>
      </c>
      <c r="C85" s="20">
        <f>COUNTIFS('Trade Log'!$B$4:$B$503,$A85,'Trade Log'!$K$4:$K$503,"&gt;0")</f>
        <v/>
      </c>
      <c r="D85" s="20">
        <f>COUNTIFS('Trade Log'!$B$4:$B$503,$A85,'Trade Log'!$K$4:$K$503,"&lt;0")</f>
        <v/>
      </c>
      <c r="E85" s="29">
        <f>IFERROR($C85/$B85,"")</f>
        <v/>
      </c>
      <c r="F85" s="21">
        <f>SUMIF('Trade Log'!$B$4:$B$503,$A85,'Trade Log'!$I$4:$I$503)</f>
        <v/>
      </c>
      <c r="G85" s="21">
        <f>SUMIF('Trade Log'!$B$4:$B$503,$A85,'Trade Log'!$K$4:$K$503)</f>
        <v/>
      </c>
      <c r="H85" s="21">
        <f>IFERROR($G85/$B85,"")</f>
        <v/>
      </c>
      <c r="I85" s="21">
        <f>IFERROR(_xlfn.MAXIFS('Trade Log'!$K$4:$K$503,'Trade Log'!$B$4:$B$503,$A85),"")</f>
        <v/>
      </c>
      <c r="J85" s="21">
        <f>IFERROR(_xlfn.MINIFS('Trade Log'!$K$4:$K$503,'Trade Log'!$B$4:$B$503,$A85),"")</f>
        <v/>
      </c>
    </row>
    <row r="86">
      <c r="A86" s="27" t="inlineStr">
        <is>
          <t>SSWL</t>
        </is>
      </c>
      <c r="B86" s="20">
        <f>COUNTIF('Trade Log'!$B$4:$B$503,$A86)</f>
        <v/>
      </c>
      <c r="C86" s="20">
        <f>COUNTIFS('Trade Log'!$B$4:$B$503,$A86,'Trade Log'!$K$4:$K$503,"&gt;0")</f>
        <v/>
      </c>
      <c r="D86" s="20">
        <f>COUNTIFS('Trade Log'!$B$4:$B$503,$A86,'Trade Log'!$K$4:$K$503,"&lt;0")</f>
        <v/>
      </c>
      <c r="E86" s="29">
        <f>IFERROR($C86/$B86,"")</f>
        <v/>
      </c>
      <c r="F86" s="21">
        <f>SUMIF('Trade Log'!$B$4:$B$503,$A86,'Trade Log'!$I$4:$I$503)</f>
        <v/>
      </c>
      <c r="G86" s="21">
        <f>SUMIF('Trade Log'!$B$4:$B$503,$A86,'Trade Log'!$K$4:$K$503)</f>
        <v/>
      </c>
      <c r="H86" s="21">
        <f>IFERROR($G86/$B86,"")</f>
        <v/>
      </c>
      <c r="I86" s="21">
        <f>IFERROR(_xlfn.MAXIFS('Trade Log'!$K$4:$K$503,'Trade Log'!$B$4:$B$503,$A86),"")</f>
        <v/>
      </c>
      <c r="J86" s="21">
        <f>IFERROR(_xlfn.MINIFS('Trade Log'!$K$4:$K$503,'Trade Log'!$B$4:$B$503,$A86),"")</f>
        <v/>
      </c>
    </row>
    <row r="87">
      <c r="A87" s="27" t="inlineStr">
        <is>
          <t>STEELCAS</t>
        </is>
      </c>
      <c r="B87" s="20">
        <f>COUNTIF('Trade Log'!$B$4:$B$503,$A87)</f>
        <v/>
      </c>
      <c r="C87" s="20">
        <f>COUNTIFS('Trade Log'!$B$4:$B$503,$A87,'Trade Log'!$K$4:$K$503,"&gt;0")</f>
        <v/>
      </c>
      <c r="D87" s="20">
        <f>COUNTIFS('Trade Log'!$B$4:$B$503,$A87,'Trade Log'!$K$4:$K$503,"&lt;0")</f>
        <v/>
      </c>
      <c r="E87" s="29">
        <f>IFERROR($C87/$B87,"")</f>
        <v/>
      </c>
      <c r="F87" s="21">
        <f>SUMIF('Trade Log'!$B$4:$B$503,$A87,'Trade Log'!$I$4:$I$503)</f>
        <v/>
      </c>
      <c r="G87" s="21">
        <f>SUMIF('Trade Log'!$B$4:$B$503,$A87,'Trade Log'!$K$4:$K$503)</f>
        <v/>
      </c>
      <c r="H87" s="21">
        <f>IFERROR($G87/$B87,"")</f>
        <v/>
      </c>
      <c r="I87" s="21">
        <f>IFERROR(_xlfn.MAXIFS('Trade Log'!$K$4:$K$503,'Trade Log'!$B$4:$B$503,$A87),"")</f>
        <v/>
      </c>
      <c r="J87" s="21">
        <f>IFERROR(_xlfn.MINIFS('Trade Log'!$K$4:$K$503,'Trade Log'!$B$4:$B$503,$A87),"")</f>
        <v/>
      </c>
    </row>
    <row r="88">
      <c r="A88" s="27" t="inlineStr">
        <is>
          <t>SYMPHONY</t>
        </is>
      </c>
      <c r="B88" s="20">
        <f>COUNTIF('Trade Log'!$B$4:$B$503,$A88)</f>
        <v/>
      </c>
      <c r="C88" s="20">
        <f>COUNTIFS('Trade Log'!$B$4:$B$503,$A88,'Trade Log'!$K$4:$K$503,"&gt;0")</f>
        <v/>
      </c>
      <c r="D88" s="20">
        <f>COUNTIFS('Trade Log'!$B$4:$B$503,$A88,'Trade Log'!$K$4:$K$503,"&lt;0")</f>
        <v/>
      </c>
      <c r="E88" s="29">
        <f>IFERROR($C88/$B88,"")</f>
        <v/>
      </c>
      <c r="F88" s="21">
        <f>SUMIF('Trade Log'!$B$4:$B$503,$A88,'Trade Log'!$I$4:$I$503)</f>
        <v/>
      </c>
      <c r="G88" s="21">
        <f>SUMIF('Trade Log'!$B$4:$B$503,$A88,'Trade Log'!$K$4:$K$503)</f>
        <v/>
      </c>
      <c r="H88" s="21">
        <f>IFERROR($G88/$B88,"")</f>
        <v/>
      </c>
      <c r="I88" s="21">
        <f>IFERROR(_xlfn.MAXIFS('Trade Log'!$K$4:$K$503,'Trade Log'!$B$4:$B$503,$A88),"")</f>
        <v/>
      </c>
      <c r="J88" s="21">
        <f>IFERROR(_xlfn.MINIFS('Trade Log'!$K$4:$K$503,'Trade Log'!$B$4:$B$503,$A88),"")</f>
        <v/>
      </c>
    </row>
    <row r="89">
      <c r="A89" s="27" t="inlineStr">
        <is>
          <t>SYNCOMF</t>
        </is>
      </c>
      <c r="B89" s="20">
        <f>COUNTIF('Trade Log'!$B$4:$B$503,$A89)</f>
        <v/>
      </c>
      <c r="C89" s="20">
        <f>COUNTIFS('Trade Log'!$B$4:$B$503,$A89,'Trade Log'!$K$4:$K$503,"&gt;0")</f>
        <v/>
      </c>
      <c r="D89" s="20">
        <f>COUNTIFS('Trade Log'!$B$4:$B$503,$A89,'Trade Log'!$K$4:$K$503,"&lt;0")</f>
        <v/>
      </c>
      <c r="E89" s="29">
        <f>IFERROR($C89/$B89,"")</f>
        <v/>
      </c>
      <c r="F89" s="21">
        <f>SUMIF('Trade Log'!$B$4:$B$503,$A89,'Trade Log'!$I$4:$I$503)</f>
        <v/>
      </c>
      <c r="G89" s="21">
        <f>SUMIF('Trade Log'!$B$4:$B$503,$A89,'Trade Log'!$K$4:$K$503)</f>
        <v/>
      </c>
      <c r="H89" s="21">
        <f>IFERROR($G89/$B89,"")</f>
        <v/>
      </c>
      <c r="I89" s="21">
        <f>IFERROR(_xlfn.MAXIFS('Trade Log'!$K$4:$K$503,'Trade Log'!$B$4:$B$503,$A89),"")</f>
        <v/>
      </c>
      <c r="J89" s="21">
        <f>IFERROR(_xlfn.MINIFS('Trade Log'!$K$4:$K$503,'Trade Log'!$B$4:$B$503,$A89),"")</f>
        <v/>
      </c>
    </row>
    <row r="90">
      <c r="A90" s="27" t="inlineStr">
        <is>
          <t>TALBROAUTO</t>
        </is>
      </c>
      <c r="B90" s="20">
        <f>COUNTIF('Trade Log'!$B$4:$B$503,$A90)</f>
        <v/>
      </c>
      <c r="C90" s="20">
        <f>COUNTIFS('Trade Log'!$B$4:$B$503,$A90,'Trade Log'!$K$4:$K$503,"&gt;0")</f>
        <v/>
      </c>
      <c r="D90" s="20">
        <f>COUNTIFS('Trade Log'!$B$4:$B$503,$A90,'Trade Log'!$K$4:$K$503,"&lt;0")</f>
        <v/>
      </c>
      <c r="E90" s="29">
        <f>IFERROR($C90/$B90,"")</f>
        <v/>
      </c>
      <c r="F90" s="21">
        <f>SUMIF('Trade Log'!$B$4:$B$503,$A90,'Trade Log'!$I$4:$I$503)</f>
        <v/>
      </c>
      <c r="G90" s="21">
        <f>SUMIF('Trade Log'!$B$4:$B$503,$A90,'Trade Log'!$K$4:$K$503)</f>
        <v/>
      </c>
      <c r="H90" s="21">
        <f>IFERROR($G90/$B90,"")</f>
        <v/>
      </c>
      <c r="I90" s="21">
        <f>IFERROR(_xlfn.MAXIFS('Trade Log'!$K$4:$K$503,'Trade Log'!$B$4:$B$503,$A90),"")</f>
        <v/>
      </c>
      <c r="J90" s="21">
        <f>IFERROR(_xlfn.MINIFS('Trade Log'!$K$4:$K$503,'Trade Log'!$B$4:$B$503,$A90),"")</f>
        <v/>
      </c>
    </row>
    <row r="91">
      <c r="A91" s="27" t="inlineStr">
        <is>
          <t>TBZ</t>
        </is>
      </c>
      <c r="B91" s="20">
        <f>COUNTIF('Trade Log'!$B$4:$B$503,$A91)</f>
        <v/>
      </c>
      <c r="C91" s="20">
        <f>COUNTIFS('Trade Log'!$B$4:$B$503,$A91,'Trade Log'!$K$4:$K$503,"&gt;0")</f>
        <v/>
      </c>
      <c r="D91" s="20">
        <f>COUNTIFS('Trade Log'!$B$4:$B$503,$A91,'Trade Log'!$K$4:$K$503,"&lt;0")</f>
        <v/>
      </c>
      <c r="E91" s="29">
        <f>IFERROR($C91/$B91,"")</f>
        <v/>
      </c>
      <c r="F91" s="21">
        <f>SUMIF('Trade Log'!$B$4:$B$503,$A91,'Trade Log'!$I$4:$I$503)</f>
        <v/>
      </c>
      <c r="G91" s="21">
        <f>SUMIF('Trade Log'!$B$4:$B$503,$A91,'Trade Log'!$K$4:$K$503)</f>
        <v/>
      </c>
      <c r="H91" s="21">
        <f>IFERROR($G91/$B91,"")</f>
        <v/>
      </c>
      <c r="I91" s="21">
        <f>IFERROR(_xlfn.MAXIFS('Trade Log'!$K$4:$K$503,'Trade Log'!$B$4:$B$503,$A91),"")</f>
        <v/>
      </c>
      <c r="J91" s="21">
        <f>IFERROR(_xlfn.MINIFS('Trade Log'!$K$4:$K$503,'Trade Log'!$B$4:$B$503,$A91),"")</f>
        <v/>
      </c>
    </row>
    <row r="92">
      <c r="A92" s="27" t="inlineStr">
        <is>
          <t>THOMASCOOK</t>
        </is>
      </c>
      <c r="B92" s="20">
        <f>COUNTIF('Trade Log'!$B$4:$B$503,$A92)</f>
        <v/>
      </c>
      <c r="C92" s="20">
        <f>COUNTIFS('Trade Log'!$B$4:$B$503,$A92,'Trade Log'!$K$4:$K$503,"&gt;0")</f>
        <v/>
      </c>
      <c r="D92" s="20">
        <f>COUNTIFS('Trade Log'!$B$4:$B$503,$A92,'Trade Log'!$K$4:$K$503,"&lt;0")</f>
        <v/>
      </c>
      <c r="E92" s="29">
        <f>IFERROR($C92/$B92,"")</f>
        <v/>
      </c>
      <c r="F92" s="21">
        <f>SUMIF('Trade Log'!$B$4:$B$503,$A92,'Trade Log'!$I$4:$I$503)</f>
        <v/>
      </c>
      <c r="G92" s="21">
        <f>SUMIF('Trade Log'!$B$4:$B$503,$A92,'Trade Log'!$K$4:$K$503)</f>
        <v/>
      </c>
      <c r="H92" s="21">
        <f>IFERROR($G92/$B92,"")</f>
        <v/>
      </c>
      <c r="I92" s="21">
        <f>IFERROR(_xlfn.MAXIFS('Trade Log'!$K$4:$K$503,'Trade Log'!$B$4:$B$503,$A92),"")</f>
        <v/>
      </c>
      <c r="J92" s="21">
        <f>IFERROR(_xlfn.MINIFS('Trade Log'!$K$4:$K$503,'Trade Log'!$B$4:$B$503,$A92),"")</f>
        <v/>
      </c>
    </row>
    <row r="93">
      <c r="A93" s="27" t="inlineStr">
        <is>
          <t>VENKEYS</t>
        </is>
      </c>
      <c r="B93" s="20">
        <f>COUNTIF('Trade Log'!$B$4:$B$503,$A93)</f>
        <v/>
      </c>
      <c r="C93" s="20">
        <f>COUNTIFS('Trade Log'!$B$4:$B$503,$A93,'Trade Log'!$K$4:$K$503,"&gt;0")</f>
        <v/>
      </c>
      <c r="D93" s="20">
        <f>COUNTIFS('Trade Log'!$B$4:$B$503,$A93,'Trade Log'!$K$4:$K$503,"&lt;0")</f>
        <v/>
      </c>
      <c r="E93" s="29">
        <f>IFERROR($C93/$B93,"")</f>
        <v/>
      </c>
      <c r="F93" s="21">
        <f>SUMIF('Trade Log'!$B$4:$B$503,$A93,'Trade Log'!$I$4:$I$503)</f>
        <v/>
      </c>
      <c r="G93" s="21">
        <f>SUMIF('Trade Log'!$B$4:$B$503,$A93,'Trade Log'!$K$4:$K$503)</f>
        <v/>
      </c>
      <c r="H93" s="21">
        <f>IFERROR($G93/$B93,"")</f>
        <v/>
      </c>
      <c r="I93" s="21">
        <f>IFERROR(_xlfn.MAXIFS('Trade Log'!$K$4:$K$503,'Trade Log'!$B$4:$B$503,$A93),"")</f>
        <v/>
      </c>
      <c r="J93" s="21">
        <f>IFERROR(_xlfn.MINIFS('Trade Log'!$K$4:$K$503,'Trade Log'!$B$4:$B$503,$A93),"")</f>
        <v/>
      </c>
    </row>
    <row r="94">
      <c r="A94" s="27" t="inlineStr">
        <is>
          <t>VENUSPIPES</t>
        </is>
      </c>
      <c r="B94" s="20">
        <f>COUNTIF('Trade Log'!$B$4:$B$503,$A94)</f>
        <v/>
      </c>
      <c r="C94" s="20">
        <f>COUNTIFS('Trade Log'!$B$4:$B$503,$A94,'Trade Log'!$K$4:$K$503,"&gt;0")</f>
        <v/>
      </c>
      <c r="D94" s="20">
        <f>COUNTIFS('Trade Log'!$B$4:$B$503,$A94,'Trade Log'!$K$4:$K$503,"&lt;0")</f>
        <v/>
      </c>
      <c r="E94" s="29">
        <f>IFERROR($C94/$B94,"")</f>
        <v/>
      </c>
      <c r="F94" s="21">
        <f>SUMIF('Trade Log'!$B$4:$B$503,$A94,'Trade Log'!$I$4:$I$503)</f>
        <v/>
      </c>
      <c r="G94" s="21">
        <f>SUMIF('Trade Log'!$B$4:$B$503,$A94,'Trade Log'!$K$4:$K$503)</f>
        <v/>
      </c>
      <c r="H94" s="21">
        <f>IFERROR($G94/$B94,"")</f>
        <v/>
      </c>
      <c r="I94" s="21">
        <f>IFERROR(_xlfn.MAXIFS('Trade Log'!$K$4:$K$503,'Trade Log'!$B$4:$B$503,$A94),"")</f>
        <v/>
      </c>
      <c r="J94" s="21">
        <f>IFERROR(_xlfn.MINIFS('Trade Log'!$K$4:$K$503,'Trade Log'!$B$4:$B$503,$A94),"")</f>
        <v/>
      </c>
    </row>
    <row r="95">
      <c r="A95" s="27" t="inlineStr">
        <is>
          <t>VERANDA</t>
        </is>
      </c>
      <c r="B95" s="20">
        <f>COUNTIF('Trade Log'!$B$4:$B$503,$A95)</f>
        <v/>
      </c>
      <c r="C95" s="20">
        <f>COUNTIFS('Trade Log'!$B$4:$B$503,$A95,'Trade Log'!$K$4:$K$503,"&gt;0")</f>
        <v/>
      </c>
      <c r="D95" s="20">
        <f>COUNTIFS('Trade Log'!$B$4:$B$503,$A95,'Trade Log'!$K$4:$K$503,"&lt;0")</f>
        <v/>
      </c>
      <c r="E95" s="29">
        <f>IFERROR($C95/$B95,"")</f>
        <v/>
      </c>
      <c r="F95" s="21">
        <f>SUMIF('Trade Log'!$B$4:$B$503,$A95,'Trade Log'!$I$4:$I$503)</f>
        <v/>
      </c>
      <c r="G95" s="21">
        <f>SUMIF('Trade Log'!$B$4:$B$503,$A95,'Trade Log'!$K$4:$K$503)</f>
        <v/>
      </c>
      <c r="H95" s="21">
        <f>IFERROR($G95/$B95,"")</f>
        <v/>
      </c>
      <c r="I95" s="21">
        <f>IFERROR(_xlfn.MAXIFS('Trade Log'!$K$4:$K$503,'Trade Log'!$B$4:$B$503,$A95),"")</f>
        <v/>
      </c>
      <c r="J95" s="21">
        <f>IFERROR(_xlfn.MINIFS('Trade Log'!$K$4:$K$503,'Trade Log'!$B$4:$B$503,$A95),"")</f>
        <v/>
      </c>
    </row>
    <row r="96">
      <c r="A96" s="27" t="inlineStr">
        <is>
          <t>VSSL</t>
        </is>
      </c>
      <c r="B96" s="20">
        <f>COUNTIF('Trade Log'!$B$4:$B$503,$A96)</f>
        <v/>
      </c>
      <c r="C96" s="20">
        <f>COUNTIFS('Trade Log'!$B$4:$B$503,$A96,'Trade Log'!$K$4:$K$503,"&gt;0")</f>
        <v/>
      </c>
      <c r="D96" s="20">
        <f>COUNTIFS('Trade Log'!$B$4:$B$503,$A96,'Trade Log'!$K$4:$K$503,"&lt;0")</f>
        <v/>
      </c>
      <c r="E96" s="29">
        <f>IFERROR($C96/$B96,"")</f>
        <v/>
      </c>
      <c r="F96" s="21">
        <f>SUMIF('Trade Log'!$B$4:$B$503,$A96,'Trade Log'!$I$4:$I$503)</f>
        <v/>
      </c>
      <c r="G96" s="21">
        <f>SUMIF('Trade Log'!$B$4:$B$503,$A96,'Trade Log'!$K$4:$K$503)</f>
        <v/>
      </c>
      <c r="H96" s="21">
        <f>IFERROR($G96/$B96,"")</f>
        <v/>
      </c>
      <c r="I96" s="21">
        <f>IFERROR(_xlfn.MAXIFS('Trade Log'!$K$4:$K$503,'Trade Log'!$B$4:$B$503,$A96),"")</f>
        <v/>
      </c>
      <c r="J96" s="21">
        <f>IFERROR(_xlfn.MINIFS('Trade Log'!$K$4:$K$503,'Trade Log'!$B$4:$B$503,$A96),"")</f>
        <v/>
      </c>
    </row>
    <row r="97">
      <c r="A97" s="27" t="inlineStr">
        <is>
          <t>WELSPLSOL</t>
        </is>
      </c>
      <c r="B97" s="20">
        <f>COUNTIF('Trade Log'!$B$4:$B$503,$A97)</f>
        <v/>
      </c>
      <c r="C97" s="20">
        <f>COUNTIFS('Trade Log'!$B$4:$B$503,$A97,'Trade Log'!$K$4:$K$503,"&gt;0")</f>
        <v/>
      </c>
      <c r="D97" s="20">
        <f>COUNTIFS('Trade Log'!$B$4:$B$503,$A97,'Trade Log'!$K$4:$K$503,"&lt;0")</f>
        <v/>
      </c>
      <c r="E97" s="29">
        <f>IFERROR($C97/$B97,"")</f>
        <v/>
      </c>
      <c r="F97" s="21">
        <f>SUMIF('Trade Log'!$B$4:$B$503,$A97,'Trade Log'!$I$4:$I$503)</f>
        <v/>
      </c>
      <c r="G97" s="21">
        <f>SUMIF('Trade Log'!$B$4:$B$503,$A97,'Trade Log'!$K$4:$K$503)</f>
        <v/>
      </c>
      <c r="H97" s="21">
        <f>IFERROR($G97/$B97,"")</f>
        <v/>
      </c>
      <c r="I97" s="21">
        <f>IFERROR(_xlfn.MAXIFS('Trade Log'!$K$4:$K$503,'Trade Log'!$B$4:$B$503,$A97),"")</f>
        <v/>
      </c>
      <c r="J97" s="21">
        <f>IFERROR(_xlfn.MINIFS('Trade Log'!$K$4:$K$503,'Trade Log'!$B$4:$B$503,$A97),"")</f>
        <v/>
      </c>
    </row>
    <row r="98">
      <c r="A98" s="27" t="inlineStr">
        <is>
          <t>WENDT</t>
        </is>
      </c>
      <c r="B98" s="20">
        <f>COUNTIF('Trade Log'!$B$4:$B$503,$A98)</f>
        <v/>
      </c>
      <c r="C98" s="20">
        <f>COUNTIFS('Trade Log'!$B$4:$B$503,$A98,'Trade Log'!$K$4:$K$503,"&gt;0")</f>
        <v/>
      </c>
      <c r="D98" s="20">
        <f>COUNTIFS('Trade Log'!$B$4:$B$503,$A98,'Trade Log'!$K$4:$K$503,"&lt;0")</f>
        <v/>
      </c>
      <c r="E98" s="29">
        <f>IFERROR($C98/$B98,"")</f>
        <v/>
      </c>
      <c r="F98" s="21">
        <f>SUMIF('Trade Log'!$B$4:$B$503,$A98,'Trade Log'!$I$4:$I$503)</f>
        <v/>
      </c>
      <c r="G98" s="21">
        <f>SUMIF('Trade Log'!$B$4:$B$503,$A98,'Trade Log'!$K$4:$K$503)</f>
        <v/>
      </c>
      <c r="H98" s="21">
        <f>IFERROR($G98/$B98,"")</f>
        <v/>
      </c>
      <c r="I98" s="21">
        <f>IFERROR(_xlfn.MAXIFS('Trade Log'!$K$4:$K$503,'Trade Log'!$B$4:$B$503,$A98),"")</f>
        <v/>
      </c>
      <c r="J98" s="21">
        <f>IFERROR(_xlfn.MINIFS('Trade Log'!$K$4:$K$503,'Trade Log'!$B$4:$B$503,$A98),"")</f>
        <v/>
      </c>
    </row>
    <row r="99">
      <c r="A99" s="27" t="inlineStr">
        <is>
          <t>WINDLAS</t>
        </is>
      </c>
      <c r="B99" s="20">
        <f>COUNTIF('Trade Log'!$B$4:$B$503,$A99)</f>
        <v/>
      </c>
      <c r="C99" s="20">
        <f>COUNTIFS('Trade Log'!$B$4:$B$503,$A99,'Trade Log'!$K$4:$K$503,"&gt;0")</f>
        <v/>
      </c>
      <c r="D99" s="20">
        <f>COUNTIFS('Trade Log'!$B$4:$B$503,$A99,'Trade Log'!$K$4:$K$503,"&lt;0")</f>
        <v/>
      </c>
      <c r="E99" s="29">
        <f>IFERROR($C99/$B99,"")</f>
        <v/>
      </c>
      <c r="F99" s="21">
        <f>SUMIF('Trade Log'!$B$4:$B$503,$A99,'Trade Log'!$I$4:$I$503)</f>
        <v/>
      </c>
      <c r="G99" s="21">
        <f>SUMIF('Trade Log'!$B$4:$B$503,$A99,'Trade Log'!$K$4:$K$503)</f>
        <v/>
      </c>
      <c r="H99" s="21">
        <f>IFERROR($G99/$B99,"")</f>
        <v/>
      </c>
      <c r="I99" s="21">
        <f>IFERROR(_xlfn.MAXIFS('Trade Log'!$K$4:$K$503,'Trade Log'!$B$4:$B$503,$A99),"")</f>
        <v/>
      </c>
      <c r="J99" s="21">
        <f>IFERROR(_xlfn.MINIFS('Trade Log'!$K$4:$K$503,'Trade Log'!$B$4:$B$503,$A99),"")</f>
        <v/>
      </c>
    </row>
    <row r="100">
      <c r="A100" s="27" t="inlineStr">
        <is>
          <t>XPROINDIA</t>
        </is>
      </c>
      <c r="B100" s="20">
        <f>COUNTIF('Trade Log'!$B$4:$B$503,$A100)</f>
        <v/>
      </c>
      <c r="C100" s="20">
        <f>COUNTIFS('Trade Log'!$B$4:$B$503,$A100,'Trade Log'!$K$4:$K$503,"&gt;0")</f>
        <v/>
      </c>
      <c r="D100" s="20">
        <f>COUNTIFS('Trade Log'!$B$4:$B$503,$A100,'Trade Log'!$K$4:$K$503,"&lt;0")</f>
        <v/>
      </c>
      <c r="E100" s="29">
        <f>IFERROR($C100/$B100,"")</f>
        <v/>
      </c>
      <c r="F100" s="21">
        <f>SUMIF('Trade Log'!$B$4:$B$503,$A100,'Trade Log'!$I$4:$I$503)</f>
        <v/>
      </c>
      <c r="G100" s="21">
        <f>SUMIF('Trade Log'!$B$4:$B$503,$A100,'Trade Log'!$K$4:$K$503)</f>
        <v/>
      </c>
      <c r="H100" s="21">
        <f>IFERROR($G100/$B100,"")</f>
        <v/>
      </c>
      <c r="I100" s="21">
        <f>IFERROR(_xlfn.MAXIFS('Trade Log'!$K$4:$K$503,'Trade Log'!$B$4:$B$503,$A100),"")</f>
        <v/>
      </c>
      <c r="J100" s="21">
        <f>IFERROR(_xlfn.MINIFS('Trade Log'!$K$4:$K$503,'Trade Log'!$B$4:$B$503,$A100),"")</f>
        <v/>
      </c>
    </row>
    <row r="101">
      <c r="A101" s="27" t="inlineStr">
        <is>
          <t>ZAGGLE</t>
        </is>
      </c>
      <c r="B101" s="20">
        <f>COUNTIF('Trade Log'!$B$4:$B$503,$A101)</f>
        <v/>
      </c>
      <c r="C101" s="20">
        <f>COUNTIFS('Trade Log'!$B$4:$B$503,$A101,'Trade Log'!$K$4:$K$503,"&gt;0")</f>
        <v/>
      </c>
      <c r="D101" s="20">
        <f>COUNTIFS('Trade Log'!$B$4:$B$503,$A101,'Trade Log'!$K$4:$K$503,"&lt;0")</f>
        <v/>
      </c>
      <c r="E101" s="29">
        <f>IFERROR($C101/$B101,"")</f>
        <v/>
      </c>
      <c r="F101" s="21">
        <f>SUMIF('Trade Log'!$B$4:$B$503,$A101,'Trade Log'!$I$4:$I$503)</f>
        <v/>
      </c>
      <c r="G101" s="21">
        <f>SUMIF('Trade Log'!$B$4:$B$503,$A101,'Trade Log'!$K$4:$K$503)</f>
        <v/>
      </c>
      <c r="H101" s="21">
        <f>IFERROR($G101/$B101,"")</f>
        <v/>
      </c>
      <c r="I101" s="21">
        <f>IFERROR(_xlfn.MAXIFS('Trade Log'!$K$4:$K$503,'Trade Log'!$B$4:$B$503,$A101),"")</f>
        <v/>
      </c>
      <c r="J101" s="21">
        <f>IFERROR(_xlfn.MINIFS('Trade Log'!$K$4:$K$503,'Trade Log'!$B$4:$B$503,$A101),"")</f>
        <v/>
      </c>
    </row>
    <row r="102">
      <c r="A102" s="27" t="inlineStr">
        <is>
          <t>ZOTA</t>
        </is>
      </c>
      <c r="B102" s="20">
        <f>COUNTIF('Trade Log'!$B$4:$B$503,$A102)</f>
        <v/>
      </c>
      <c r="C102" s="20">
        <f>COUNTIFS('Trade Log'!$B$4:$B$503,$A102,'Trade Log'!$K$4:$K$503,"&gt;0")</f>
        <v/>
      </c>
      <c r="D102" s="20">
        <f>COUNTIFS('Trade Log'!$B$4:$B$503,$A102,'Trade Log'!$K$4:$K$503,"&lt;0")</f>
        <v/>
      </c>
      <c r="E102" s="29">
        <f>IFERROR($C102/$B102,"")</f>
        <v/>
      </c>
      <c r="F102" s="21">
        <f>SUMIF('Trade Log'!$B$4:$B$503,$A102,'Trade Log'!$I$4:$I$503)</f>
        <v/>
      </c>
      <c r="G102" s="21">
        <f>SUMIF('Trade Log'!$B$4:$B$503,$A102,'Trade Log'!$K$4:$K$503)</f>
        <v/>
      </c>
      <c r="H102" s="21">
        <f>IFERROR($G102/$B102,"")</f>
        <v/>
      </c>
      <c r="I102" s="21">
        <f>IFERROR(_xlfn.MAXIFS('Trade Log'!$K$4:$K$503,'Trade Log'!$B$4:$B$503,$A102),"")</f>
        <v/>
      </c>
      <c r="J102" s="21">
        <f>IFERROR(_xlfn.MINIFS('Trade Log'!$K$4:$K$503,'Trade Log'!$B$4:$B$503,$A102),"")</f>
        <v/>
      </c>
    </row>
    <row r="103">
      <c r="A103" s="3" t="inlineStr">
        <is>
          <t>TOTAL</t>
        </is>
      </c>
      <c r="B103" s="30">
        <f>SUM(B4:B102)</f>
        <v/>
      </c>
      <c r="C103" s="30">
        <f>SUM(C4:C102)</f>
        <v/>
      </c>
      <c r="D103" s="30">
        <f>SUM(D4:D102)</f>
        <v/>
      </c>
      <c r="E103" s="31">
        <f>IFERROR(C103/B103,"")</f>
        <v/>
      </c>
      <c r="F103" s="32">
        <f>SUM(F4:F102)</f>
        <v/>
      </c>
      <c r="G103" s="32">
        <f>SUM(G4:G102)</f>
        <v/>
      </c>
      <c r="H103" s="32">
        <f>IFERROR(G103/B103,"")</f>
        <v/>
      </c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2026-09-23T09:51:18Z</dcterms:created>
  <dcterms:modified xmlns:dcterms="http://purl.org/dc/terms/" xmlns:xsi="http://www.w3.org/2001/XMLSchema-instance" xsi:type="dcterms:W3CDTF">2026-09-23T09:51:18Z</dcterms:modified>
</cp:coreProperties>
</file>