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571.79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688.87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570.64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663.04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590.95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398.62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414.16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345.07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414.49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380.4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413.92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406.46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870.39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391.16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349.78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349.81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386.1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978.27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957.67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992.26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599.6900000000001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600.8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678.96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672.39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538.67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628.03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619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612.26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692.09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615.42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440.42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386.59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385.19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434.27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411.19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355.76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364.28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411.42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343.87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345.31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891.79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797.8099999999999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825.13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479.81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181.46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474.02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530.8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n">
        <v>46273</v>
      </c>
      <c r="H99" s="25" t="n">
        <v>1390.2426</v>
      </c>
      <c r="I99" s="21">
        <f>IF(OR($B99="",$H99=""),"",IF($C99="LONG",($H99-$E99)*$F99,($E99-$H99)*$F99))</f>
        <v/>
      </c>
      <c r="J99" s="4" t="n">
        <v>311.54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531.01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n">
        <v>46274</v>
      </c>
      <c r="H103" s="25" t="n">
        <v>1138.4203</v>
      </c>
      <c r="I103" s="21">
        <f>IF(OR($B103="",$H103=""),"",IF($C103="LONG",($H103-$E103)*$F103,($E103-$H103)*$F103))</f>
        <v/>
      </c>
      <c r="J103" s="4" t="n">
        <v>161.36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n">
        <v>46274</v>
      </c>
      <c r="H104" s="25" t="n">
        <v>10.7</v>
      </c>
      <c r="I104" s="21">
        <f>IF(OR($B104="",$H104=""),"",IF($C104="LONG",($H104-$E104)*$F104,($E104-$H104)*$F104))</f>
        <v/>
      </c>
      <c r="J104" s="4" t="n">
        <v>185.66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337.14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172.01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343.41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n">
        <v>46274</v>
      </c>
      <c r="H108" s="25" t="n">
        <v>1990.874</v>
      </c>
      <c r="I108" s="21">
        <f>IF(OR($B108="",$H108=""),"",IF($C108="LONG",($H108-$E108)*$F108,($E108-$H108)*$F108))</f>
        <v/>
      </c>
      <c r="J108" s="4" t="n">
        <v>187.34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278.06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n">
        <v>46274</v>
      </c>
      <c r="H110" s="25" t="n">
        <v>614.6335</v>
      </c>
      <c r="I110" s="21">
        <f>IF(OR($B110="",$H110=""),"",IF($C110="LONG",($H110-$E110)*$F110,($E110-$H110)*$F110))</f>
        <v/>
      </c>
      <c r="J110" s="4" t="n">
        <v>480.27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275.39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n">
        <v>46274</v>
      </c>
      <c r="H112" s="25" t="n">
        <v>1990.0922</v>
      </c>
      <c r="I112" s="21">
        <f>IF(OR($B112="",$H112=""),"",IF($C112="LONG",($H112-$E112)*$F112,($E112-$H112)*$F112))</f>
        <v/>
      </c>
      <c r="J112" s="4" t="n">
        <v>419.66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inlineStr">
        <is>
          <t>DHAN-321260909716709</t>
        </is>
      </c>
      <c r="B113" s="23" t="inlineStr">
        <is>
          <t>ANTELOPUS</t>
        </is>
      </c>
      <c r="C113" s="23" t="inlineStr">
        <is>
          <t>LONG</t>
        </is>
      </c>
      <c r="D113" s="24" t="n">
        <v>46274</v>
      </c>
      <c r="E113" s="25" t="n">
        <v>1162.9767</v>
      </c>
      <c r="F113" s="26" t="n">
        <v>75</v>
      </c>
      <c r="G113" s="24" t="n">
        <v>46275</v>
      </c>
      <c r="H113" s="25" t="n">
        <v>1137.85</v>
      </c>
      <c r="I113" s="21">
        <f>IF(OR($B113="",$H113=""),"",IF($C113="LONG",($H113-$E113)*$F113,($E113-$H113)*$F113))</f>
        <v/>
      </c>
      <c r="J113" s="4" t="n">
        <v>68.40000000000001</v>
      </c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inlineStr">
        <is>
          <t>DHAN-321260909102909</t>
        </is>
      </c>
      <c r="B114" s="23" t="inlineStr">
        <is>
          <t>ANTELOPUS</t>
        </is>
      </c>
      <c r="C114" s="23" t="inlineStr">
        <is>
          <t>SHORT</t>
        </is>
      </c>
      <c r="D114" s="24" t="n">
        <v>46274</v>
      </c>
      <c r="E114" s="25" t="n">
        <v>1140.9686</v>
      </c>
      <c r="F114" s="26" t="n">
        <v>91</v>
      </c>
      <c r="G114" s="24" t="n">
        <v>46274</v>
      </c>
      <c r="H114" s="25" t="n">
        <v>1162.65</v>
      </c>
      <c r="I114" s="21">
        <f>IF(OR($B114="",$H114=""),"",IF($C114="LONG",($H114-$E114)*$F114,($E114-$H114)*$F114))</f>
        <v/>
      </c>
      <c r="J114" s="4" t="n">
        <v>126.99</v>
      </c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inlineStr">
        <is>
          <t>DHAN-321260909102809</t>
        </is>
      </c>
      <c r="B115" s="23" t="inlineStr">
        <is>
          <t>BCG</t>
        </is>
      </c>
      <c r="C115" s="23" t="inlineStr">
        <is>
          <t>SHORT</t>
        </is>
      </c>
      <c r="D115" s="24" t="n">
        <v>46274</v>
      </c>
      <c r="E115" s="25" t="n">
        <v>10.7</v>
      </c>
      <c r="F115" s="26" t="n">
        <v>9469</v>
      </c>
      <c r="G115" s="24" t="n">
        <v>46274</v>
      </c>
      <c r="H115" s="25" t="n">
        <v>10.16</v>
      </c>
      <c r="I115" s="21">
        <f>IF(OR($B115="",$H115=""),"",IF($C115="LONG",($H115-$E115)*$F115,($E115-$H115)*$F115))</f>
        <v/>
      </c>
      <c r="J115" s="4" t="n">
        <v>133.49</v>
      </c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inlineStr">
        <is>
          <t>DHAN-34126090981309</t>
        </is>
      </c>
      <c r="B116" s="23" t="inlineStr">
        <is>
          <t>EIEL</t>
        </is>
      </c>
      <c r="C116" s="23" t="inlineStr">
        <is>
          <t>LONG</t>
        </is>
      </c>
      <c r="D116" s="24" t="n">
        <v>46274</v>
      </c>
      <c r="E116" s="25" t="n">
        <v>206.0991</v>
      </c>
      <c r="F116" s="26" t="n">
        <v>847</v>
      </c>
      <c r="G116" s="24" t="n">
        <v>46275</v>
      </c>
      <c r="H116" s="25" t="n">
        <v>213.8</v>
      </c>
      <c r="I116" s="21">
        <f>IF(OR($B116="",$H116=""),"",IF($C116="LONG",($H116-$E116)*$F116,($E116-$H116)*$F116))</f>
        <v/>
      </c>
      <c r="J116" s="4" t="n">
        <v>428.14</v>
      </c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inlineStr">
        <is>
          <t>DHAN-34126090980209</t>
        </is>
      </c>
      <c r="B117" s="23" t="inlineStr">
        <is>
          <t>INDNIPPON</t>
        </is>
      </c>
      <c r="C117" s="23" t="inlineStr">
        <is>
          <t>LONG</t>
        </is>
      </c>
      <c r="D117" s="24" t="n">
        <v>46274</v>
      </c>
      <c r="E117" s="25" t="n">
        <v>1340</v>
      </c>
      <c r="F117" s="26" t="n">
        <v>207</v>
      </c>
      <c r="G117" s="24" t="n">
        <v>46275</v>
      </c>
      <c r="H117" s="25" t="n">
        <v>1460.09</v>
      </c>
      <c r="I117" s="21">
        <f>IF(OR($B117="",$H117=""),"",IF($C117="LONG",($H117-$E117)*$F117,($E117-$H117)*$F117))</f>
        <v/>
      </c>
      <c r="J117" s="4" t="n">
        <v>545.67</v>
      </c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inlineStr">
        <is>
          <t>DHAN-34126090981209</t>
        </is>
      </c>
      <c r="B118" s="23" t="inlineStr">
        <is>
          <t>INDORAMA</t>
        </is>
      </c>
      <c r="C118" s="23" t="inlineStr">
        <is>
          <t>LONG</t>
        </is>
      </c>
      <c r="D118" s="24" t="n">
        <v>46274</v>
      </c>
      <c r="E118" s="25" t="n">
        <v>85.4701</v>
      </c>
      <c r="F118" s="26" t="n">
        <v>1022</v>
      </c>
      <c r="G118" s="24" t="n">
        <v>46275</v>
      </c>
      <c r="H118" s="25" t="n">
        <v>87.33</v>
      </c>
      <c r="I118" s="21">
        <f>IF(OR($B118="",$H118=""),"",IF($C118="LONG",($H118-$E118)*$F118,($E118-$H118)*$F118))</f>
        <v/>
      </c>
      <c r="J118" s="4" t="n">
        <v>145.41</v>
      </c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inlineStr">
        <is>
          <t>DHAN-221260909100409</t>
        </is>
      </c>
      <c r="B119" s="23" t="inlineStr">
        <is>
          <t>NOVARTIND</t>
        </is>
      </c>
      <c r="C119" s="23" t="inlineStr">
        <is>
          <t>SHORT</t>
        </is>
      </c>
      <c r="D119" s="24" t="n">
        <v>46274</v>
      </c>
      <c r="E119" s="25" t="n">
        <v>1982.2908</v>
      </c>
      <c r="F119" s="26" t="n">
        <v>54</v>
      </c>
      <c r="G119" s="24" t="n">
        <v>46274</v>
      </c>
      <c r="H119" s="25" t="n">
        <v>2159.2258</v>
      </c>
      <c r="I119" s="21">
        <f>IF(OR($B119="",$H119=""),"",IF($C119="LONG",($H119-$E119)*$F119,($E119-$H119)*$F119))</f>
        <v/>
      </c>
      <c r="J119" s="4" t="n">
        <v>145.85</v>
      </c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inlineStr">
        <is>
          <t>DHAN-221260909672309</t>
        </is>
      </c>
      <c r="B120" s="23" t="inlineStr">
        <is>
          <t>RESPONIND</t>
        </is>
      </c>
      <c r="C120" s="23" t="inlineStr">
        <is>
          <t>LONG</t>
        </is>
      </c>
      <c r="D120" s="24" t="n">
        <v>46274</v>
      </c>
      <c r="E120" s="25" t="n">
        <v>169.585</v>
      </c>
      <c r="F120" s="26" t="n">
        <v>1026</v>
      </c>
      <c r="G120" s="24" t="n">
        <v>46275</v>
      </c>
      <c r="H120" s="25" t="n">
        <v>172.17</v>
      </c>
      <c r="I120" s="21">
        <f>IF(OR($B120="",$H120=""),"",IF($C120="LONG",($H120-$E120)*$F120,($E120-$H120)*$F120))</f>
        <v/>
      </c>
      <c r="J120" s="4" t="n">
        <v>424.42</v>
      </c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inlineStr">
        <is>
          <t>DHAN-23126090989309</t>
        </is>
      </c>
      <c r="B121" s="23" t="inlineStr">
        <is>
          <t>SHAREINDIA</t>
        </is>
      </c>
      <c r="C121" s="23" t="inlineStr">
        <is>
          <t>LONG</t>
        </is>
      </c>
      <c r="D121" s="24" t="n">
        <v>46274</v>
      </c>
      <c r="E121" s="25" t="n">
        <v>190.2983</v>
      </c>
      <c r="F121" s="26" t="n">
        <v>923</v>
      </c>
      <c r="G121" s="24" t="n">
        <v>46275</v>
      </c>
      <c r="H121" s="25" t="n">
        <v>201.1</v>
      </c>
      <c r="I121" s="21">
        <f>IF(OR($B121="",$H121=""),"",IF($C121="LONG",($H121-$E121)*$F121,($E121-$H121)*$F121))</f>
        <v/>
      </c>
      <c r="J121" s="4" t="n">
        <v>371.23</v>
      </c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inlineStr">
        <is>
          <t>DHAN-34126090953709</t>
        </is>
      </c>
      <c r="B122" s="23" t="inlineStr">
        <is>
          <t>SYMPHONY</t>
        </is>
      </c>
      <c r="C122" s="23" t="inlineStr">
        <is>
          <t>SHORT</t>
        </is>
      </c>
      <c r="D122" s="24" t="n">
        <v>46274</v>
      </c>
      <c r="E122" s="25" t="n">
        <v>613.9752</v>
      </c>
      <c r="F122" s="26" t="n">
        <v>324</v>
      </c>
      <c r="G122" s="24" t="n">
        <v>46274</v>
      </c>
      <c r="H122" s="25" t="n">
        <v>616.5076</v>
      </c>
      <c r="I122" s="21">
        <f>IF(OR($B122="",$H122=""),"",IF($C122="LONG",($H122-$E122)*$F122,($E122-$H122)*$F122))</f>
        <v/>
      </c>
      <c r="J122" s="4" t="n">
        <v>243.77</v>
      </c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inlineStr">
        <is>
          <t>DHAN-221260909100309</t>
        </is>
      </c>
      <c r="B123" s="23" t="inlineStr">
        <is>
          <t>VENUSPIPES</t>
        </is>
      </c>
      <c r="C123" s="23" t="inlineStr">
        <is>
          <t>SHORT</t>
        </is>
      </c>
      <c r="D123" s="24" t="n">
        <v>46274</v>
      </c>
      <c r="E123" s="25" t="n">
        <v>1987.3264</v>
      </c>
      <c r="F123" s="26" t="n">
        <v>102</v>
      </c>
      <c r="G123" s="24" t="n">
        <v>46274</v>
      </c>
      <c r="H123" s="25" t="n">
        <v>1943.597</v>
      </c>
      <c r="I123" s="21">
        <f>IF(OR($B123="",$H123=""),"",IF($C123="LONG",($H123-$E123)*$F123,($E123-$H123)*$F123))</f>
        <v/>
      </c>
      <c r="J123" s="4" t="n">
        <v>296.19</v>
      </c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inlineStr">
        <is>
          <t>DHAN-23126091046509</t>
        </is>
      </c>
      <c r="B124" s="23" t="inlineStr">
        <is>
          <t>ANTELOPUS</t>
        </is>
      </c>
      <c r="C124" s="23" t="inlineStr">
        <is>
          <t>SHORT</t>
        </is>
      </c>
      <c r="D124" s="24" t="n">
        <v>46275</v>
      </c>
      <c r="E124" s="25" t="n">
        <v>1137.38</v>
      </c>
      <c r="F124" s="26" t="n">
        <v>75</v>
      </c>
      <c r="G124" s="24" t="n">
        <v>46275</v>
      </c>
      <c r="H124" s="25" t="n">
        <v>1134.24</v>
      </c>
      <c r="I124" s="21">
        <f>IF(OR($B124="",$H124=""),"",IF($C124="LONG",($H124-$E124)*$F124,($E124-$H124)*$F124))</f>
        <v/>
      </c>
      <c r="J124" s="4" t="n">
        <v>139.07</v>
      </c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inlineStr">
        <is>
          <t>DHAN-34126091019209</t>
        </is>
      </c>
      <c r="B125" s="23" t="inlineStr">
        <is>
          <t>EIEL</t>
        </is>
      </c>
      <c r="C125" s="23" t="inlineStr">
        <is>
          <t>SHORT</t>
        </is>
      </c>
      <c r="D125" s="24" t="n">
        <v>46275</v>
      </c>
      <c r="E125" s="25" t="n">
        <v>213.59</v>
      </c>
      <c r="F125" s="26" t="n">
        <v>847</v>
      </c>
      <c r="G125" s="24" t="n">
        <v>46275</v>
      </c>
      <c r="H125" s="25" t="n">
        <v>213.18</v>
      </c>
      <c r="I125" s="21">
        <f>IF(OR($B125="",$H125=""),"",IF($C125="LONG",($H125-$E125)*$F125,($E125-$H125)*$F125))</f>
        <v/>
      </c>
      <c r="J125" s="4" t="n">
        <v>223.4</v>
      </c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inlineStr">
        <is>
          <t>DHAN-32126091099109</t>
        </is>
      </c>
      <c r="B126" s="23" t="inlineStr">
        <is>
          <t>INDNIPPON</t>
        </is>
      </c>
      <c r="C126" s="23" t="inlineStr">
        <is>
          <t>SHORT</t>
        </is>
      </c>
      <c r="D126" s="24" t="n">
        <v>46275</v>
      </c>
      <c r="E126" s="25" t="n">
        <v>1456.15</v>
      </c>
      <c r="F126" s="26" t="n">
        <v>207</v>
      </c>
      <c r="G126" s="24" t="n">
        <v>46275</v>
      </c>
      <c r="H126" s="25" t="n">
        <v>1552.9169</v>
      </c>
      <c r="I126" s="21">
        <f>IF(OR($B126="",$H126=""),"",IF($C126="LONG",($H126-$E126)*$F126,($E126-$H126)*$F126))</f>
        <v/>
      </c>
      <c r="J126" s="4" t="n">
        <v>442.09</v>
      </c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inlineStr">
        <is>
          <t>DHAN-321260910622509</t>
        </is>
      </c>
      <c r="B127" s="23" t="inlineStr">
        <is>
          <t>INDOCO</t>
        </is>
      </c>
      <c r="C127" s="23" t="inlineStr">
        <is>
          <t>LONG</t>
        </is>
      </c>
      <c r="D127" s="24" t="n">
        <v>46275</v>
      </c>
      <c r="E127" s="25" t="n">
        <v>253.0721</v>
      </c>
      <c r="F127" s="26" t="n">
        <v>1146</v>
      </c>
      <c r="G127" s="24" t="n">
        <v>46276</v>
      </c>
      <c r="H127" s="25" t="n">
        <v>263.23</v>
      </c>
      <c r="I127" s="21">
        <f>IF(OR($B127="",$H127=""),"",IF($C127="LONG",($H127-$E127)*$F127,($E127-$H127)*$F127))</f>
        <v/>
      </c>
      <c r="J127" s="4" t="n">
        <v>641.8</v>
      </c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inlineStr">
        <is>
          <t>DHAN-221260910389009</t>
        </is>
      </c>
      <c r="B128" s="23" t="inlineStr">
        <is>
          <t>INDORAMA</t>
        </is>
      </c>
      <c r="C128" s="23" t="inlineStr">
        <is>
          <t>SHORT</t>
        </is>
      </c>
      <c r="D128" s="24" t="n">
        <v>46275</v>
      </c>
      <c r="E128" s="25" t="n">
        <v>87.26000000000001</v>
      </c>
      <c r="F128" s="26" t="n">
        <v>1022</v>
      </c>
      <c r="G128" s="24" t="n">
        <v>46275</v>
      </c>
      <c r="H128" s="25" t="n">
        <v>84.66</v>
      </c>
      <c r="I128" s="21">
        <f>IF(OR($B128="",$H128=""),"",IF($C128="LONG",($H128-$E128)*$F128,($E128-$H128)*$F128))</f>
        <v/>
      </c>
      <c r="J128" s="4" t="n">
        <v>143.17</v>
      </c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inlineStr">
        <is>
          <t>DHAN-23126091079309</t>
        </is>
      </c>
      <c r="B129" s="23" t="inlineStr">
        <is>
          <t>KSL</t>
        </is>
      </c>
      <c r="C129" s="23" t="inlineStr">
        <is>
          <t>LONG</t>
        </is>
      </c>
      <c r="D129" s="24" t="n">
        <v>46275</v>
      </c>
      <c r="E129" s="25" t="n">
        <v>968.7272</v>
      </c>
      <c r="F129" s="26" t="n">
        <v>299</v>
      </c>
      <c r="G129" s="24" t="n">
        <v>46276</v>
      </c>
      <c r="H129" s="25" t="n">
        <v>970.53</v>
      </c>
      <c r="I129" s="21">
        <f>IF(OR($B129="",$H129=""),"",IF($C129="LONG",($H129-$E129)*$F129,($E129-$H129)*$F129))</f>
        <v/>
      </c>
      <c r="J129" s="4" t="n">
        <v>637.65</v>
      </c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inlineStr">
        <is>
          <t>DHAN-23126091046609</t>
        </is>
      </c>
      <c r="B130" s="23" t="inlineStr">
        <is>
          <t>RESPONIND</t>
        </is>
      </c>
      <c r="C130" s="23" t="inlineStr">
        <is>
          <t>SHORT</t>
        </is>
      </c>
      <c r="D130" s="24" t="n">
        <v>46275</v>
      </c>
      <c r="E130" s="25" t="n">
        <v>172.11</v>
      </c>
      <c r="F130" s="26" t="n">
        <v>1026</v>
      </c>
      <c r="G130" s="24" t="n">
        <v>46275</v>
      </c>
      <c r="H130" s="25" t="n">
        <v>171.29</v>
      </c>
      <c r="I130" s="21">
        <f>IF(OR($B130="",$H130=""),"",IF($C130="LONG",($H130-$E130)*$F130,($E130-$H130)*$F130))</f>
        <v/>
      </c>
      <c r="J130" s="4" t="n">
        <v>218.38</v>
      </c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inlineStr">
        <is>
          <t>DHAN-321260910622409</t>
        </is>
      </c>
      <c r="B131" s="23" t="inlineStr">
        <is>
          <t>SAMHI</t>
        </is>
      </c>
      <c r="C131" s="23" t="inlineStr">
        <is>
          <t>LONG</t>
        </is>
      </c>
      <c r="D131" s="24" t="n">
        <v>46275</v>
      </c>
      <c r="E131" s="25" t="n">
        <v>160.6529</v>
      </c>
      <c r="F131" s="26" t="n">
        <v>1815</v>
      </c>
      <c r="G131" s="24" t="n">
        <v>46276</v>
      </c>
      <c r="H131" s="25" t="n">
        <v>157.65</v>
      </c>
      <c r="I131" s="21">
        <f>IF(OR($B131="",$H131=""),"",IF($C131="LONG",($H131-$E131)*$F131,($E131-$H131)*$F131))</f>
        <v/>
      </c>
      <c r="J131" s="4" t="n">
        <v>653.3099999999999</v>
      </c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inlineStr">
        <is>
          <t>DHAN-221260910101209</t>
        </is>
      </c>
      <c r="B132" s="23" t="inlineStr">
        <is>
          <t>SHAREINDIA</t>
        </is>
      </c>
      <c r="C132" s="23" t="inlineStr">
        <is>
          <t>SHORT</t>
        </is>
      </c>
      <c r="D132" s="24" t="n">
        <v>46275</v>
      </c>
      <c r="E132" s="25" t="n">
        <v>201.46</v>
      </c>
      <c r="F132" s="26" t="n">
        <v>923</v>
      </c>
      <c r="G132" s="24" t="n">
        <v>46275</v>
      </c>
      <c r="H132" s="25" t="n">
        <v>205</v>
      </c>
      <c r="I132" s="21">
        <f>IF(OR($B132="",$H132=""),"",IF($C132="LONG",($H132-$E132)*$F132,($E132-$H132)*$F132))</f>
        <v/>
      </c>
      <c r="J132" s="4" t="n">
        <v>276.97</v>
      </c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inlineStr">
        <is>
          <t>DHAN-34126091072709</t>
        </is>
      </c>
      <c r="B133" s="23" t="inlineStr">
        <is>
          <t>VSSL</t>
        </is>
      </c>
      <c r="C133" s="23" t="inlineStr">
        <is>
          <t>LONG</t>
        </is>
      </c>
      <c r="D133" s="24" t="n">
        <v>46275</v>
      </c>
      <c r="E133" s="25" t="n">
        <v>390.2742</v>
      </c>
      <c r="F133" s="26" t="n">
        <v>739</v>
      </c>
      <c r="G133" s="24" t="n">
        <v>46276</v>
      </c>
      <c r="H133" s="25" t="n">
        <v>395.2</v>
      </c>
      <c r="I133" s="21">
        <f>IF(OR($B133="",$H133=""),"",IF($C133="LONG",($H133-$E133)*$F133,($E133-$H133)*$F133))</f>
        <v/>
      </c>
      <c r="J133" s="4" t="n">
        <v>563.48</v>
      </c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inlineStr">
        <is>
          <t>DHAN-321260910622609</t>
        </is>
      </c>
      <c r="B134" s="23" t="inlineStr">
        <is>
          <t>WENDT</t>
        </is>
      </c>
      <c r="C134" s="23" t="inlineStr">
        <is>
          <t>LONG</t>
        </is>
      </c>
      <c r="D134" s="24" t="n">
        <v>46275</v>
      </c>
      <c r="E134" s="25" t="n">
        <v>8657.606</v>
      </c>
      <c r="F134" s="26" t="n">
        <v>33</v>
      </c>
      <c r="G134" s="24" t="n">
        <v>46276</v>
      </c>
      <c r="H134" s="25" t="n">
        <v>8730.18</v>
      </c>
      <c r="I134" s="21">
        <f>IF(OR($B134="",$H134=""),"",IF($C134="LONG",($H134-$E134)*$F134,($E134-$H134)*$F134))</f>
        <v/>
      </c>
      <c r="J134" s="4" t="n">
        <v>631.45</v>
      </c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inlineStr">
        <is>
          <t>DHAN-23126091161109</t>
        </is>
      </c>
      <c r="B135" s="23" t="inlineStr">
        <is>
          <t>AWFIS</t>
        </is>
      </c>
      <c r="C135" s="23" t="inlineStr">
        <is>
          <t>LONG</t>
        </is>
      </c>
      <c r="D135" s="24" t="n">
        <v>46276</v>
      </c>
      <c r="E135" s="25" t="n">
        <v>293.7202</v>
      </c>
      <c r="F135" s="26" t="n">
        <v>618</v>
      </c>
      <c r="G135" s="24" t="n">
        <v>46280</v>
      </c>
      <c r="H135" s="25" t="n">
        <v>281.0708</v>
      </c>
      <c r="I135" s="21">
        <f>IF(OR($B135="",$H135=""),"",IF($C135="LONG",($H135-$E135)*$F135,($E135-$H135)*$F135))</f>
        <v/>
      </c>
      <c r="J135" s="4" t="n">
        <v>496.78</v>
      </c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inlineStr">
        <is>
          <t>DHAN-221260911696009</t>
        </is>
      </c>
      <c r="B136" s="23" t="inlineStr">
        <is>
          <t>FILATEX</t>
        </is>
      </c>
      <c r="C136" s="23" t="inlineStr">
        <is>
          <t>LONG</t>
        </is>
      </c>
      <c r="D136" s="24" t="n">
        <v>46276</v>
      </c>
      <c r="E136" s="25" t="n">
        <v>87.3199</v>
      </c>
      <c r="F136" s="26" t="n">
        <v>1042</v>
      </c>
      <c r="G136" s="24" t="n">
        <v>46280</v>
      </c>
      <c r="H136" s="25" t="n">
        <v>87.90260000000001</v>
      </c>
      <c r="I136" s="21">
        <f>IF(OR($B136="",$H136=""),"",IF($C136="LONG",($H136-$E136)*$F136,($E136-$H136)*$F136))</f>
        <v/>
      </c>
      <c r="J136" s="4" t="n">
        <v>149.82</v>
      </c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inlineStr">
        <is>
          <t>DHAN-23126091115309</t>
        </is>
      </c>
      <c r="B137" s="23" t="inlineStr">
        <is>
          <t>INDOCO</t>
        </is>
      </c>
      <c r="C137" s="23" t="inlineStr">
        <is>
          <t>SHORT</t>
        </is>
      </c>
      <c r="D137" s="24" t="n">
        <v>46276</v>
      </c>
      <c r="E137" s="25" t="n">
        <v>263.46</v>
      </c>
      <c r="F137" s="26" t="n">
        <v>1146</v>
      </c>
      <c r="G137" s="24" t="n">
        <v>46276</v>
      </c>
      <c r="H137" s="25" t="n">
        <v>262.88</v>
      </c>
      <c r="I137" s="21">
        <f>IF(OR($B137="",$H137=""),"",IF($C137="LONG",($H137-$E137)*$F137,($E137-$H137)*$F137))</f>
        <v/>
      </c>
      <c r="J137" s="4" t="n">
        <v>357.16</v>
      </c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inlineStr">
        <is>
          <t>DHAN-321260911696409</t>
        </is>
      </c>
      <c r="B138" s="23" t="inlineStr">
        <is>
          <t>KIRLOSIND</t>
        </is>
      </c>
      <c r="C138" s="23" t="inlineStr">
        <is>
          <t>LONG</t>
        </is>
      </c>
      <c r="D138" s="24" t="n">
        <v>46276</v>
      </c>
      <c r="E138" s="25" t="n">
        <v>3826.583</v>
      </c>
      <c r="F138" s="26" t="n">
        <v>47</v>
      </c>
      <c r="G138" s="24" t="n">
        <v>46280</v>
      </c>
      <c r="H138" s="25" t="n">
        <v>3905.0383</v>
      </c>
      <c r="I138" s="21">
        <f>IF(OR($B138="",$H138=""),"",IF($C138="LONG",($H138-$E138)*$F138,($E138-$H138)*$F138))</f>
        <v/>
      </c>
      <c r="J138" s="4" t="n">
        <v>493.54</v>
      </c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inlineStr">
        <is>
          <t>DHAN-321260911440509</t>
        </is>
      </c>
      <c r="B139" s="23" t="inlineStr">
        <is>
          <t>KSL</t>
        </is>
      </c>
      <c r="C139" s="23" t="inlineStr">
        <is>
          <t>SHORT</t>
        </is>
      </c>
      <c r="D139" s="24" t="n">
        <v>46276</v>
      </c>
      <c r="E139" s="25" t="n">
        <v>970.4299999999999</v>
      </c>
      <c r="F139" s="26" t="n">
        <v>299</v>
      </c>
      <c r="G139" s="24" t="n">
        <v>46276</v>
      </c>
      <c r="H139" s="25" t="n">
        <v>959.9299999999999</v>
      </c>
      <c r="I139" s="21">
        <f>IF(OR($B139="",$H139=""),"",IF($C139="LONG",($H139-$E139)*$F139,($E139-$H139)*$F139))</f>
        <v/>
      </c>
      <c r="J139" s="4" t="n">
        <v>342.92</v>
      </c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inlineStr">
        <is>
          <t>DHAN-321260911696509</t>
        </is>
      </c>
      <c r="B140" s="23" t="inlineStr">
        <is>
          <t>MOBIKWIK</t>
        </is>
      </c>
      <c r="C140" s="23" t="inlineStr">
        <is>
          <t>LONG</t>
        </is>
      </c>
      <c r="D140" s="24" t="n">
        <v>46276</v>
      </c>
      <c r="E140" s="25" t="n">
        <v>209.9685</v>
      </c>
      <c r="F140" s="26" t="n">
        <v>860</v>
      </c>
      <c r="G140" s="24" t="n">
        <v>46280</v>
      </c>
      <c r="H140" s="25" t="n">
        <v>204.1101</v>
      </c>
      <c r="I140" s="21">
        <f>IF(OR($B140="",$H140=""),"",IF($C140="LONG",($H140-$E140)*$F140,($E140-$H140)*$F140))</f>
        <v/>
      </c>
      <c r="J140" s="4" t="n">
        <v>503.39</v>
      </c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inlineStr">
        <is>
          <t>DHAN-321260911696609</t>
        </is>
      </c>
      <c r="B141" s="23" t="inlineStr">
        <is>
          <t>QUADFUTURE</t>
        </is>
      </c>
      <c r="C141" s="23" t="inlineStr">
        <is>
          <t>LONG</t>
        </is>
      </c>
      <c r="D141" s="24" t="n">
        <v>46276</v>
      </c>
      <c r="E141" s="25" t="n">
        <v>481.45</v>
      </c>
      <c r="F141" s="26" t="n">
        <v>377</v>
      </c>
      <c r="G141" s="24" t="n">
        <v>46280</v>
      </c>
      <c r="H141" s="25" t="n">
        <v>497.2753</v>
      </c>
      <c r="I141" s="21">
        <f>IF(OR($B141="",$H141=""),"",IF($C141="LONG",($H141-$E141)*$F141,($E141-$H141)*$F141))</f>
        <v/>
      </c>
      <c r="J141" s="4" t="n">
        <v>490.4</v>
      </c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inlineStr">
        <is>
          <t>DHAN-321260911696809</t>
        </is>
      </c>
      <c r="B142" s="23" t="inlineStr">
        <is>
          <t>RACLGEAR</t>
        </is>
      </c>
      <c r="C142" s="23" t="inlineStr">
        <is>
          <t>LONG</t>
        </is>
      </c>
      <c r="D142" s="24" t="n">
        <v>46276</v>
      </c>
      <c r="E142" s="25" t="n">
        <v>1756.5941</v>
      </c>
      <c r="F142" s="26" t="n">
        <v>103</v>
      </c>
      <c r="G142" s="24" t="n">
        <v>46280</v>
      </c>
      <c r="H142" s="25" t="n">
        <v>1775.6097</v>
      </c>
      <c r="I142" s="21">
        <f>IF(OR($B142="",$H142=""),"",IF($C142="LONG",($H142-$E142)*$F142,($E142-$H142)*$F142))</f>
        <v/>
      </c>
      <c r="J142" s="4" t="n">
        <v>466.38</v>
      </c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inlineStr">
        <is>
          <t>DHAN-221260911438509</t>
        </is>
      </c>
      <c r="B143" s="23" t="inlineStr">
        <is>
          <t>SAMHI</t>
        </is>
      </c>
      <c r="C143" s="23" t="inlineStr">
        <is>
          <t>SHORT</t>
        </is>
      </c>
      <c r="D143" s="24" t="n">
        <v>46276</v>
      </c>
      <c r="E143" s="25" t="n">
        <v>157.53</v>
      </c>
      <c r="F143" s="26" t="n">
        <v>1815</v>
      </c>
      <c r="G143" s="24" t="n">
        <v>46276</v>
      </c>
      <c r="H143" s="25" t="n">
        <v>157.18</v>
      </c>
      <c r="I143" s="21">
        <f>IF(OR($B143="",$H143=""),"",IF($C143="LONG",($H143-$E143)*$F143,($E143-$H143)*$F143))</f>
        <v/>
      </c>
      <c r="J143" s="4" t="n">
        <v>339.3</v>
      </c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inlineStr">
        <is>
          <t>DHAN-23126091161209</t>
        </is>
      </c>
      <c r="B144" s="23" t="inlineStr">
        <is>
          <t>SIKA</t>
        </is>
      </c>
      <c r="C144" s="23" t="inlineStr">
        <is>
          <t>LONG</t>
        </is>
      </c>
      <c r="D144" s="24" t="n">
        <v>46276</v>
      </c>
      <c r="E144" s="25" t="n">
        <v>1087.1632</v>
      </c>
      <c r="F144" s="26" t="n">
        <v>83</v>
      </c>
      <c r="G144" s="24" t="n">
        <v>46280</v>
      </c>
      <c r="H144" s="25" t="n">
        <v>1035.862</v>
      </c>
      <c r="I144" s="21">
        <f>IF(OR($B144="",$H144=""),"",IF($C144="LONG",($H144-$E144)*$F144,($E144-$H144)*$F144))</f>
        <v/>
      </c>
      <c r="J144" s="4" t="n">
        <v>148.71</v>
      </c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inlineStr">
        <is>
          <t>DHAN-221260911696209</t>
        </is>
      </c>
      <c r="B145" s="23" t="inlineStr">
        <is>
          <t>SMSPHARMA</t>
        </is>
      </c>
      <c r="C145" s="23" t="inlineStr">
        <is>
          <t>LONG</t>
        </is>
      </c>
      <c r="D145" s="24" t="n">
        <v>46276</v>
      </c>
      <c r="E145" s="25" t="n">
        <v>462.4796</v>
      </c>
      <c r="F145" s="26" t="n">
        <v>391</v>
      </c>
      <c r="G145" s="24" t="n">
        <v>46280</v>
      </c>
      <c r="H145" s="25" t="n">
        <v>409.8205</v>
      </c>
      <c r="I145" s="21">
        <f>IF(OR($B145="",$H145=""),"",IF($C145="LONG",($H145-$E145)*$F145,($E145-$H145)*$F145))</f>
        <v/>
      </c>
      <c r="J145" s="4" t="n">
        <v>541.75</v>
      </c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inlineStr">
        <is>
          <t>DHAN-23126091141909</t>
        </is>
      </c>
      <c r="B146" s="23" t="inlineStr">
        <is>
          <t>VSSL</t>
        </is>
      </c>
      <c r="C146" s="23" t="inlineStr">
        <is>
          <t>SHORT</t>
        </is>
      </c>
      <c r="D146" s="24" t="n">
        <v>46276</v>
      </c>
      <c r="E146" s="25" t="n">
        <v>394.09</v>
      </c>
      <c r="F146" s="26" t="n">
        <v>739</v>
      </c>
      <c r="G146" s="24" t="n">
        <v>46276</v>
      </c>
      <c r="H146" s="25" t="n">
        <v>401.45</v>
      </c>
      <c r="I146" s="21">
        <f>IF(OR($B146="",$H146=""),"",IF($C146="LONG",($H146-$E146)*$F146,($E146-$H146)*$F146))</f>
        <v/>
      </c>
      <c r="J146" s="4" t="n">
        <v>421.14</v>
      </c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inlineStr">
        <is>
          <t>DHAN-34126091130609</t>
        </is>
      </c>
      <c r="B147" s="23" t="inlineStr">
        <is>
          <t>WENDT</t>
        </is>
      </c>
      <c r="C147" s="23" t="inlineStr">
        <is>
          <t>SHORT</t>
        </is>
      </c>
      <c r="D147" s="24" t="n">
        <v>46276</v>
      </c>
      <c r="E147" s="25" t="n">
        <v>8724.209999999999</v>
      </c>
      <c r="F147" s="26" t="n">
        <v>33</v>
      </c>
      <c r="G147" s="24" t="n">
        <v>46276</v>
      </c>
      <c r="H147" s="25" t="n">
        <v>8867.91</v>
      </c>
      <c r="I147" s="21">
        <f>IF(OR($B147="",$H147=""),"",IF($C147="LONG",($H147-$E147)*$F147,($E147-$H147)*$F147))</f>
        <v/>
      </c>
      <c r="J147" s="4" t="n">
        <v>343.65</v>
      </c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inlineStr">
        <is>
          <t>DHAN-221260915461009</t>
        </is>
      </c>
      <c r="B148" s="23" t="inlineStr">
        <is>
          <t>AWFIS</t>
        </is>
      </c>
      <c r="C148" s="23" t="inlineStr">
        <is>
          <t>SHORT</t>
        </is>
      </c>
      <c r="D148" s="24" t="n">
        <v>46280</v>
      </c>
      <c r="E148" s="25" t="n">
        <v>280.9703</v>
      </c>
      <c r="F148" s="26" t="n">
        <v>618</v>
      </c>
      <c r="G148" s="24" t="n">
        <v>46280</v>
      </c>
      <c r="H148" s="25" t="n">
        <v>274.7952</v>
      </c>
      <c r="I148" s="21">
        <f>IF(OR($B148="",$H148=""),"",IF($C148="LONG",($H148-$E148)*$F148,($E148-$H148)*$F148))</f>
        <v/>
      </c>
      <c r="J148" s="4" t="n">
        <v>257.03</v>
      </c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inlineStr">
        <is>
          <t>DHAN-23126091516209</t>
        </is>
      </c>
      <c r="B149" s="23" t="inlineStr">
        <is>
          <t>FILATEX</t>
        </is>
      </c>
      <c r="C149" s="23" t="inlineStr">
        <is>
          <t>SHORT</t>
        </is>
      </c>
      <c r="D149" s="24" t="n">
        <v>46280</v>
      </c>
      <c r="E149" s="25" t="n">
        <v>87.81999999999999</v>
      </c>
      <c r="F149" s="26" t="n">
        <v>1042</v>
      </c>
      <c r="G149" s="24" t="n">
        <v>46280</v>
      </c>
      <c r="H149" s="25" t="n">
        <v>83.43000000000001</v>
      </c>
      <c r="I149" s="21">
        <f>IF(OR($B149="",$H149=""),"",IF($C149="LONG",($H149-$E149)*$F149,($E149-$H149)*$F149))</f>
        <v/>
      </c>
      <c r="J149" s="4" t="n">
        <v>145.39</v>
      </c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inlineStr">
        <is>
          <t>DHAN-23126091516309</t>
        </is>
      </c>
      <c r="B150" s="23" t="inlineStr">
        <is>
          <t>KIRLOSIND</t>
        </is>
      </c>
      <c r="C150" s="23" t="inlineStr">
        <is>
          <t>SHORT</t>
        </is>
      </c>
      <c r="D150" s="24" t="n">
        <v>46280</v>
      </c>
      <c r="E150" s="25" t="n">
        <v>3900.0042</v>
      </c>
      <c r="F150" s="26" t="n">
        <v>47</v>
      </c>
      <c r="G150" s="24" t="n">
        <v>46280</v>
      </c>
      <c r="H150" s="25" t="n">
        <v>3823.1084</v>
      </c>
      <c r="I150" s="21">
        <f>IF(OR($B150="",$H150=""),"",IF($C150="LONG",($H150-$E150)*$F150,($E150-$H150)*$F150))</f>
        <v/>
      </c>
      <c r="J150" s="4" t="n">
        <v>270.28</v>
      </c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inlineStr">
        <is>
          <t>DHAN-221260915460909</t>
        </is>
      </c>
      <c r="B151" s="23" t="inlineStr">
        <is>
          <t>MOBIKWIK</t>
        </is>
      </c>
      <c r="C151" s="23" t="inlineStr">
        <is>
          <t>SHORT</t>
        </is>
      </c>
      <c r="D151" s="24" t="n">
        <v>46280</v>
      </c>
      <c r="E151" s="25" t="n">
        <v>204.3287</v>
      </c>
      <c r="F151" s="26" t="n">
        <v>860</v>
      </c>
      <c r="G151" s="24" t="n">
        <v>46280</v>
      </c>
      <c r="H151" s="25" t="n">
        <v>205.9936</v>
      </c>
      <c r="I151" s="21">
        <f>IF(OR($B151="",$H151=""),"",IF($C151="LONG",($H151-$E151)*$F151,($E151-$H151)*$F151))</f>
        <v/>
      </c>
      <c r="J151" s="4" t="n">
        <v>262.28</v>
      </c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inlineStr">
        <is>
          <t>DHAN-34126091550709</t>
        </is>
      </c>
      <c r="B152" s="23" t="inlineStr">
        <is>
          <t>QUADFUTURE</t>
        </is>
      </c>
      <c r="C152" s="23" t="inlineStr">
        <is>
          <t>SHORT</t>
        </is>
      </c>
      <c r="D152" s="24" t="n">
        <v>46280</v>
      </c>
      <c r="E152" s="25" t="n">
        <v>496.9672</v>
      </c>
      <c r="F152" s="26" t="n">
        <v>377</v>
      </c>
      <c r="G152" s="24" t="n">
        <v>46280</v>
      </c>
      <c r="H152" s="25" t="n">
        <v>490</v>
      </c>
      <c r="I152" s="21">
        <f>IF(OR($B152="",$H152=""),"",IF($C152="LONG",($H152-$E152)*$F152,($E152-$H152)*$F152))</f>
        <v/>
      </c>
      <c r="J152" s="4" t="n">
        <v>276.22</v>
      </c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inlineStr">
        <is>
          <t>DHAN-34126091518009</t>
        </is>
      </c>
      <c r="B153" s="23" t="inlineStr">
        <is>
          <t>RACLGEAR</t>
        </is>
      </c>
      <c r="C153" s="23" t="inlineStr">
        <is>
          <t>SHORT</t>
        </is>
      </c>
      <c r="D153" s="24" t="n">
        <v>46280</v>
      </c>
      <c r="E153" s="25" t="n">
        <v>1779.6</v>
      </c>
      <c r="F153" s="26" t="n">
        <v>103</v>
      </c>
      <c r="G153" s="24" t="n">
        <v>46280</v>
      </c>
      <c r="H153" s="25" t="n">
        <v>1690.6</v>
      </c>
      <c r="I153" s="21">
        <f>IF(OR($B153="",$H153=""),"",IF($C153="LONG",($H153-$E153)*$F153,($E153-$H153)*$F153))</f>
        <v/>
      </c>
      <c r="J153" s="4" t="n">
        <v>266.93</v>
      </c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inlineStr">
        <is>
          <t>DHAN-23126091546509</t>
        </is>
      </c>
      <c r="B154" s="23" t="inlineStr">
        <is>
          <t>SIKA</t>
        </is>
      </c>
      <c r="C154" s="23" t="inlineStr">
        <is>
          <t>SHORT</t>
        </is>
      </c>
      <c r="D154" s="24" t="n">
        <v>46280</v>
      </c>
      <c r="E154" s="25" t="n">
        <v>1034.3916</v>
      </c>
      <c r="F154" s="26" t="n">
        <v>83</v>
      </c>
      <c r="G154" s="24" t="n">
        <v>46280</v>
      </c>
      <c r="H154" s="25" t="n">
        <v>1044.0566</v>
      </c>
      <c r="I154" s="21">
        <f>IF(OR($B154="",$H154=""),"",IF($C154="LONG",($H154-$E154)*$F154,($E154-$H154)*$F154))</f>
        <v/>
      </c>
      <c r="J154" s="4" t="n">
        <v>140.35</v>
      </c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4" t="n">
        <v>200.3</v>
      </c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4" t="n">
        <v>460.1</v>
      </c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inlineStr">
        <is>
          <t>DHAN-34126091663709</t>
        </is>
      </c>
      <c r="B157" s="23" t="inlineStr">
        <is>
          <t>FOSECOIND</t>
        </is>
      </c>
      <c r="C157" s="23" t="inlineStr">
        <is>
          <t>LONG</t>
        </is>
      </c>
      <c r="D157" s="24" t="n">
        <v>46281</v>
      </c>
      <c r="E157" s="25" t="n">
        <v>6778.811</v>
      </c>
      <c r="F157" s="26" t="n">
        <v>37</v>
      </c>
      <c r="G157" s="24" t="n">
        <v>46282</v>
      </c>
      <c r="H157" s="25" t="n">
        <v>6992.324</v>
      </c>
      <c r="I157" s="21">
        <f>IF(OR($B157="",$H157=""),"",IF($C157="LONG",($H157-$E157)*$F157,($E157-$H157)*$F157))</f>
        <v/>
      </c>
      <c r="J157" s="4" t="n">
        <v>524.72</v>
      </c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inlineStr">
        <is>
          <t>DHAN-221260916649209</t>
        </is>
      </c>
      <c r="B158" s="23" t="inlineStr">
        <is>
          <t>IPL</t>
        </is>
      </c>
      <c r="C158" s="23" t="inlineStr">
        <is>
          <t>LONG</t>
        </is>
      </c>
      <c r="D158" s="24" t="n">
        <v>46281</v>
      </c>
      <c r="E158" s="25" t="n">
        <v>136.1157</v>
      </c>
      <c r="F158" s="26" t="n">
        <v>1842</v>
      </c>
      <c r="G158" s="24" t="n">
        <v>46282</v>
      </c>
      <c r="H158" s="25" t="n">
        <v>136.6183</v>
      </c>
      <c r="I158" s="21">
        <f>IF(OR($B158="",$H158=""),"",IF($C158="LONG",($H158-$E158)*$F158,($E158-$H158)*$F158))</f>
        <v/>
      </c>
      <c r="J158" s="4" t="n">
        <v>519.0599999999999</v>
      </c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inlineStr">
        <is>
          <t>DHAN-221260916649109</t>
        </is>
      </c>
      <c r="B159" s="23" t="inlineStr">
        <is>
          <t>NPST</t>
        </is>
      </c>
      <c r="C159" s="23" t="inlineStr">
        <is>
          <t>LONG</t>
        </is>
      </c>
      <c r="D159" s="24" t="n">
        <v>46281</v>
      </c>
      <c r="E159" s="25" t="n">
        <v>1848.2214</v>
      </c>
      <c r="F159" s="26" t="n">
        <v>135</v>
      </c>
      <c r="G159" s="24" t="n">
        <v>46282</v>
      </c>
      <c r="H159" s="25" t="n">
        <v>1877.0074</v>
      </c>
      <c r="I159" s="21">
        <f>IF(OR($B159="",$H159=""),"",IF($C159="LONG",($H159-$E159)*$F159,($E159-$H159)*$F159))</f>
        <v/>
      </c>
      <c r="J159" s="4" t="n">
        <v>517.4400000000001</v>
      </c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inlineStr">
        <is>
          <t>DHAN-34126091663809</t>
        </is>
      </c>
      <c r="B160" s="23" t="inlineStr">
        <is>
          <t>ROSSTECH</t>
        </is>
      </c>
      <c r="C160" s="23" t="inlineStr">
        <is>
          <t>LONG</t>
        </is>
      </c>
      <c r="D160" s="24" t="n">
        <v>46281</v>
      </c>
      <c r="E160" s="25" t="n">
        <v>1340.8882</v>
      </c>
      <c r="F160" s="26" t="n">
        <v>186</v>
      </c>
      <c r="G160" s="24" t="n">
        <v>46282</v>
      </c>
      <c r="H160" s="25" t="n">
        <v>1364.2269</v>
      </c>
      <c r="I160" s="21">
        <f>IF(OR($B160="",$H160=""),"",IF($C160="LONG",($H160-$E160)*$F160,($E160-$H160)*$F160))</f>
        <v/>
      </c>
      <c r="J160" s="4" t="n">
        <v>445.64</v>
      </c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inlineStr">
        <is>
          <t>DHAN-221260916649309</t>
        </is>
      </c>
      <c r="B161" s="23" t="inlineStr">
        <is>
          <t>SAATVIKGL</t>
        </is>
      </c>
      <c r="C161" s="23" t="inlineStr">
        <is>
          <t>LONG</t>
        </is>
      </c>
      <c r="D161" s="24" t="n">
        <v>46281</v>
      </c>
      <c r="E161" s="25" t="n">
        <v>414.316</v>
      </c>
      <c r="F161" s="26" t="n">
        <v>603</v>
      </c>
      <c r="G161" s="24" t="n">
        <v>46282</v>
      </c>
      <c r="H161" s="25" t="n">
        <v>407.7921</v>
      </c>
      <c r="I161" s="21">
        <f>IF(OR($B161="",$H161=""),"",IF($C161="LONG",($H161-$E161)*$F161,($E161-$H161)*$F161))</f>
        <v/>
      </c>
      <c r="J161" s="4" t="n">
        <v>461.81</v>
      </c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inlineStr">
        <is>
          <t>DHAN-23126091746909</t>
        </is>
      </c>
      <c r="B162" s="23" t="inlineStr">
        <is>
          <t>EMUDHRA</t>
        </is>
      </c>
      <c r="C162" s="23" t="inlineStr">
        <is>
          <t>SHORT</t>
        </is>
      </c>
      <c r="D162" s="24" t="n">
        <v>46282</v>
      </c>
      <c r="E162" s="25" t="n">
        <v>633.678</v>
      </c>
      <c r="F162" s="26" t="n">
        <v>395</v>
      </c>
      <c r="G162" s="24" t="n">
        <v>46282</v>
      </c>
      <c r="H162" s="25" t="n">
        <v>648.2501999999999</v>
      </c>
      <c r="I162" s="21">
        <f>IF(OR($B162="",$H162=""),"",IF($C162="LONG",($H162-$E162)*$F162,($E162-$H162)*$F162))</f>
        <v/>
      </c>
      <c r="J162" s="4" t="n">
        <v>365.55</v>
      </c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inlineStr">
        <is>
          <t>DHAN-23126091718009</t>
        </is>
      </c>
      <c r="B163" s="23" t="inlineStr">
        <is>
          <t>FOSECOIND</t>
        </is>
      </c>
      <c r="C163" s="23" t="inlineStr">
        <is>
          <t>SHORT</t>
        </is>
      </c>
      <c r="D163" s="24" t="n">
        <v>46282</v>
      </c>
      <c r="E163" s="25" t="n">
        <v>6984.243</v>
      </c>
      <c r="F163" s="26" t="n">
        <v>37</v>
      </c>
      <c r="G163" s="24" t="n">
        <v>46282</v>
      </c>
      <c r="H163" s="25" t="n">
        <v>6814.2974</v>
      </c>
      <c r="I163" s="21">
        <f>IF(OR($B163="",$H163=""),"",IF($C163="LONG",($H163-$E163)*$F163,($E163-$H163)*$F163))</f>
        <v/>
      </c>
      <c r="J163" s="4" t="n">
        <v>306.98</v>
      </c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inlineStr">
        <is>
          <t>DHAN-34126091721009</t>
        </is>
      </c>
      <c r="B164" s="23" t="inlineStr">
        <is>
          <t>IPL</t>
        </is>
      </c>
      <c r="C164" s="23" t="inlineStr">
        <is>
          <t>SHORT</t>
        </is>
      </c>
      <c r="D164" s="24" t="n">
        <v>46282</v>
      </c>
      <c r="E164" s="25" t="n">
        <v>136.5789</v>
      </c>
      <c r="F164" s="26" t="n">
        <v>1842</v>
      </c>
      <c r="G164" s="24" t="n">
        <v>46282</v>
      </c>
      <c r="H164" s="25" t="n">
        <v>138.1175</v>
      </c>
      <c r="I164" s="21">
        <f>IF(OR($B164="",$H164=""),"",IF($C164="LONG",($H164-$E164)*$F164,($E164-$H164)*$F164))</f>
        <v/>
      </c>
      <c r="J164" s="4" t="n">
        <v>302.7</v>
      </c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inlineStr">
        <is>
          <t>DHAN-22126091785509</t>
        </is>
      </c>
      <c r="B165" s="23" t="inlineStr">
        <is>
          <t>NPST</t>
        </is>
      </c>
      <c r="C165" s="23" t="inlineStr">
        <is>
          <t>SHORT</t>
        </is>
      </c>
      <c r="D165" s="24" t="n">
        <v>46282</v>
      </c>
      <c r="E165" s="25" t="n">
        <v>1880.0497</v>
      </c>
      <c r="F165" s="26" t="n">
        <v>135</v>
      </c>
      <c r="G165" s="24" t="n">
        <v>46282</v>
      </c>
      <c r="H165" s="25" t="n">
        <v>1855.7349</v>
      </c>
      <c r="I165" s="21">
        <f>IF(OR($B165="",$H165=""),"",IF($C165="LONG",($H165-$E165)*$F165,($E165-$H165)*$F165))</f>
        <v/>
      </c>
      <c r="J165" s="4" t="n">
        <v>302.56</v>
      </c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inlineStr">
        <is>
          <t>DHAN-22126091785609</t>
        </is>
      </c>
      <c r="B166" s="23" t="inlineStr">
        <is>
          <t>ROSSTECH</t>
        </is>
      </c>
      <c r="C166" s="23" t="inlineStr">
        <is>
          <t>SHORT</t>
        </is>
      </c>
      <c r="D166" s="24" t="n">
        <v>46282</v>
      </c>
      <c r="E166" s="25" t="n">
        <v>1366.5123</v>
      </c>
      <c r="F166" s="26" t="n">
        <v>186</v>
      </c>
      <c r="G166" s="24" t="n">
        <v>46282</v>
      </c>
      <c r="H166" s="25" t="n">
        <v>1364.1118</v>
      </c>
      <c r="I166" s="21">
        <f>IF(OR($B166="",$H166=""),"",IF($C166="LONG",($H166-$E166)*$F166,($E166-$H166)*$F166))</f>
        <v/>
      </c>
      <c r="J166" s="4" t="n">
        <v>367.56</v>
      </c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4" t="n">
        <v>355.64</v>
      </c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4" t="n">
        <v>588.5</v>
      </c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inlineStr">
        <is>
          <t>DHAN-321260917609709</t>
        </is>
      </c>
      <c r="B169" s="23" t="inlineStr">
        <is>
          <t>VENUSPIPES</t>
        </is>
      </c>
      <c r="C169" s="23" t="inlineStr">
        <is>
          <t>LONG</t>
        </is>
      </c>
      <c r="D169" s="24" t="n">
        <v>46282</v>
      </c>
      <c r="E169" s="25" t="n">
        <v>2134.6694</v>
      </c>
      <c r="F169" s="26" t="n">
        <v>176</v>
      </c>
      <c r="G169" s="24" t="n">
        <v>46283</v>
      </c>
      <c r="H169" s="25" t="n">
        <v>2164.58</v>
      </c>
      <c r="I169" s="21">
        <f>IF(OR($B169="",$H169=""),"",IF($C169="LONG",($H169-$E169)*$F169,($E169-$H169)*$F169))</f>
        <v/>
      </c>
      <c r="J169" s="4" t="n">
        <v>596.58</v>
      </c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inlineStr">
        <is>
          <t>DHAN-34126091813609</t>
        </is>
      </c>
      <c r="B170" s="23" t="inlineStr">
        <is>
          <t>SHAREINDIA</t>
        </is>
      </c>
      <c r="C170" s="23" t="inlineStr">
        <is>
          <t>SHORT</t>
        </is>
      </c>
      <c r="D170" s="24" t="n">
        <v>46283</v>
      </c>
      <c r="E170" s="25" t="n">
        <v>223.51</v>
      </c>
      <c r="F170" s="26" t="n">
        <v>1722</v>
      </c>
      <c r="G170" s="24" t="inlineStr"/>
      <c r="H170" s="25" t="inlineStr"/>
      <c r="I170" s="21">
        <f>IF(OR($B170="",$H170=""),"",IF($C170="LONG",($H170-$E170)*$F170,($E170-$H170)*$F170))</f>
        <v/>
      </c>
      <c r="J170" s="4" t="n">
        <v>0</v>
      </c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inlineStr"/>
      <c r="H171" s="25" t="inlineStr"/>
      <c r="I171" s="21">
        <f>IF(OR($B171="",$H171=""),"",IF($C171="LONG",($H171-$E171)*$F171,($E171-$H171)*$F171))</f>
        <v/>
      </c>
      <c r="J171" s="4" t="n">
        <v>0</v>
      </c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ASHOKA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AWFIS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BAJAJHIND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BANARISUG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BCG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BFUTILITIE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BOMDYEING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CHEMPLASTS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EIEL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EMUDHRA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FILATEX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FMGOETZE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FOSECOIND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GKENERGY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GNRL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GOCLCORP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GOPAL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GUJTHEM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HERITGFOOD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HIKAL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HINDOILEXP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HUBTOWN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INDNIPPON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INDOCO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INDORAMA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IPL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JGCHEM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KCP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KIRIINDUS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KIRLOSIND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KLBRENG-B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KSL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MAITHANALL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MANGLMCEM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MASTEK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MOBIKWIK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NETWORK18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NILKAMAL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NORTHARC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NOVARTIND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NPST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OMAXE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OPTIEMUS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ORIENTHOT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PITTIENG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QUADFUTURE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RACLGEAR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RAMRAT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RAYMOND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RESPONIND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RML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ROSSTECH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SAATVIKGL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SAKAR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27" t="inlineStr">
        <is>
          <t>SAMHI</t>
        </is>
      </c>
      <c r="B60" s="20">
        <f>COUNTIF('Trade Log'!$B$4:$B$503,$A60)</f>
        <v/>
      </c>
      <c r="C60" s="20">
        <f>COUNTIFS('Trade Log'!$B$4:$B$503,$A60,'Trade Log'!$K$4:$K$503,"&gt;0")</f>
        <v/>
      </c>
      <c r="D60" s="20">
        <f>COUNTIFS('Trade Log'!$B$4:$B$503,$A60,'Trade Log'!$K$4:$K$503,"&lt;0")</f>
        <v/>
      </c>
      <c r="E60" s="29">
        <f>IFERROR($C60/$B60,"")</f>
        <v/>
      </c>
      <c r="F60" s="21">
        <f>SUMIF('Trade Log'!$B$4:$B$503,$A60,'Trade Log'!$I$4:$I$503)</f>
        <v/>
      </c>
      <c r="G60" s="21">
        <f>SUMIF('Trade Log'!$B$4:$B$503,$A60,'Trade Log'!$K$4:$K$503)</f>
        <v/>
      </c>
      <c r="H60" s="21">
        <f>IFERROR($G60/$B60,"")</f>
        <v/>
      </c>
      <c r="I60" s="21">
        <f>IFERROR(_xlfn.MAXIFS('Trade Log'!$K$4:$K$503,'Trade Log'!$B$4:$B$503,$A60),"")</f>
        <v/>
      </c>
      <c r="J60" s="21">
        <f>IFERROR(_xlfn.MINIFS('Trade Log'!$K$4:$K$503,'Trade Log'!$B$4:$B$503,$A60),"")</f>
        <v/>
      </c>
    </row>
    <row r="61">
      <c r="A61" s="27" t="inlineStr">
        <is>
          <t>SHAREINDIA</t>
        </is>
      </c>
      <c r="B61" s="20">
        <f>COUNTIF('Trade Log'!$B$4:$B$503,$A61)</f>
        <v/>
      </c>
      <c r="C61" s="20">
        <f>COUNTIFS('Trade Log'!$B$4:$B$503,$A61,'Trade Log'!$K$4:$K$503,"&gt;0")</f>
        <v/>
      </c>
      <c r="D61" s="20">
        <f>COUNTIFS('Trade Log'!$B$4:$B$503,$A61,'Trade Log'!$K$4:$K$503,"&lt;0")</f>
        <v/>
      </c>
      <c r="E61" s="29">
        <f>IFERROR($C61/$B61,"")</f>
        <v/>
      </c>
      <c r="F61" s="21">
        <f>SUMIF('Trade Log'!$B$4:$B$503,$A61,'Trade Log'!$I$4:$I$503)</f>
        <v/>
      </c>
      <c r="G61" s="21">
        <f>SUMIF('Trade Log'!$B$4:$B$503,$A61,'Trade Log'!$K$4:$K$503)</f>
        <v/>
      </c>
      <c r="H61" s="21">
        <f>IFERROR($G61/$B61,"")</f>
        <v/>
      </c>
      <c r="I61" s="21">
        <f>IFERROR(_xlfn.MAXIFS('Trade Log'!$K$4:$K$503,'Trade Log'!$B$4:$B$503,$A61),"")</f>
        <v/>
      </c>
      <c r="J61" s="21">
        <f>IFERROR(_xlfn.MINIFS('Trade Log'!$K$4:$K$503,'Trade Log'!$B$4:$B$503,$A61),"")</f>
        <v/>
      </c>
    </row>
    <row r="62">
      <c r="A62" s="27" t="inlineStr">
        <is>
          <t>SIKA</t>
        </is>
      </c>
      <c r="B62" s="20">
        <f>COUNTIF('Trade Log'!$B$4:$B$503,$A62)</f>
        <v/>
      </c>
      <c r="C62" s="20">
        <f>COUNTIFS('Trade Log'!$B$4:$B$503,$A62,'Trade Log'!$K$4:$K$503,"&gt;0")</f>
        <v/>
      </c>
      <c r="D62" s="20">
        <f>COUNTIFS('Trade Log'!$B$4:$B$503,$A62,'Trade Log'!$K$4:$K$503,"&lt;0")</f>
        <v/>
      </c>
      <c r="E62" s="29">
        <f>IFERROR($C62/$B62,"")</f>
        <v/>
      </c>
      <c r="F62" s="21">
        <f>SUMIF('Trade Log'!$B$4:$B$503,$A62,'Trade Log'!$I$4:$I$503)</f>
        <v/>
      </c>
      <c r="G62" s="21">
        <f>SUMIF('Trade Log'!$B$4:$B$503,$A62,'Trade Log'!$K$4:$K$503)</f>
        <v/>
      </c>
      <c r="H62" s="21">
        <f>IFERROR($G62/$B62,"")</f>
        <v/>
      </c>
      <c r="I62" s="21">
        <f>IFERROR(_xlfn.MAXIFS('Trade Log'!$K$4:$K$503,'Trade Log'!$B$4:$B$503,$A62),"")</f>
        <v/>
      </c>
      <c r="J62" s="21">
        <f>IFERROR(_xlfn.MINIFS('Trade Log'!$K$4:$K$503,'Trade Log'!$B$4:$B$503,$A62),"")</f>
        <v/>
      </c>
    </row>
    <row r="63">
      <c r="A63" s="27" t="inlineStr">
        <is>
          <t>SINDHUTRAD</t>
        </is>
      </c>
      <c r="B63" s="20">
        <f>COUNTIF('Trade Log'!$B$4:$B$503,$A63)</f>
        <v/>
      </c>
      <c r="C63" s="20">
        <f>COUNTIFS('Trade Log'!$B$4:$B$503,$A63,'Trade Log'!$K$4:$K$503,"&gt;0")</f>
        <v/>
      </c>
      <c r="D63" s="20">
        <f>COUNTIFS('Trade Log'!$B$4:$B$503,$A63,'Trade Log'!$K$4:$K$503,"&lt;0")</f>
        <v/>
      </c>
      <c r="E63" s="29">
        <f>IFERROR($C63/$B63,"")</f>
        <v/>
      </c>
      <c r="F63" s="21">
        <f>SUMIF('Trade Log'!$B$4:$B$503,$A63,'Trade Log'!$I$4:$I$503)</f>
        <v/>
      </c>
      <c r="G63" s="21">
        <f>SUMIF('Trade Log'!$B$4:$B$503,$A63,'Trade Log'!$K$4:$K$503)</f>
        <v/>
      </c>
      <c r="H63" s="21">
        <f>IFERROR($G63/$B63,"")</f>
        <v/>
      </c>
      <c r="I63" s="21">
        <f>IFERROR(_xlfn.MAXIFS('Trade Log'!$K$4:$K$503,'Trade Log'!$B$4:$B$503,$A63),"")</f>
        <v/>
      </c>
      <c r="J63" s="21">
        <f>IFERROR(_xlfn.MINIFS('Trade Log'!$K$4:$K$503,'Trade Log'!$B$4:$B$503,$A63),"")</f>
        <v/>
      </c>
    </row>
    <row r="64">
      <c r="A64" s="27" t="inlineStr">
        <is>
          <t>SMSPHARMA</t>
        </is>
      </c>
      <c r="B64" s="20">
        <f>COUNTIF('Trade Log'!$B$4:$B$503,$A64)</f>
        <v/>
      </c>
      <c r="C64" s="20">
        <f>COUNTIFS('Trade Log'!$B$4:$B$503,$A64,'Trade Log'!$K$4:$K$503,"&gt;0")</f>
        <v/>
      </c>
      <c r="D64" s="20">
        <f>COUNTIFS('Trade Log'!$B$4:$B$503,$A64,'Trade Log'!$K$4:$K$503,"&lt;0")</f>
        <v/>
      </c>
      <c r="E64" s="29">
        <f>IFERROR($C64/$B64,"")</f>
        <v/>
      </c>
      <c r="F64" s="21">
        <f>SUMIF('Trade Log'!$B$4:$B$503,$A64,'Trade Log'!$I$4:$I$503)</f>
        <v/>
      </c>
      <c r="G64" s="21">
        <f>SUMIF('Trade Log'!$B$4:$B$503,$A64,'Trade Log'!$K$4:$K$503)</f>
        <v/>
      </c>
      <c r="H64" s="21">
        <f>IFERROR($G64/$B64,"")</f>
        <v/>
      </c>
      <c r="I64" s="21">
        <f>IFERROR(_xlfn.MAXIFS('Trade Log'!$K$4:$K$503,'Trade Log'!$B$4:$B$503,$A64),"")</f>
        <v/>
      </c>
      <c r="J64" s="21">
        <f>IFERROR(_xlfn.MINIFS('Trade Log'!$K$4:$K$503,'Trade Log'!$B$4:$B$503,$A64),"")</f>
        <v/>
      </c>
    </row>
    <row r="65">
      <c r="A65" s="27" t="inlineStr">
        <is>
          <t>SOLARA</t>
        </is>
      </c>
      <c r="B65" s="20">
        <f>COUNTIF('Trade Log'!$B$4:$B$503,$A65)</f>
        <v/>
      </c>
      <c r="C65" s="20">
        <f>COUNTIFS('Trade Log'!$B$4:$B$503,$A65,'Trade Log'!$K$4:$K$503,"&gt;0")</f>
        <v/>
      </c>
      <c r="D65" s="20">
        <f>COUNTIFS('Trade Log'!$B$4:$B$503,$A65,'Trade Log'!$K$4:$K$503,"&lt;0")</f>
        <v/>
      </c>
      <c r="E65" s="29">
        <f>IFERROR($C65/$B65,"")</f>
        <v/>
      </c>
      <c r="F65" s="21">
        <f>SUMIF('Trade Log'!$B$4:$B$503,$A65,'Trade Log'!$I$4:$I$503)</f>
        <v/>
      </c>
      <c r="G65" s="21">
        <f>SUMIF('Trade Log'!$B$4:$B$503,$A65,'Trade Log'!$K$4:$K$503)</f>
        <v/>
      </c>
      <c r="H65" s="21">
        <f>IFERROR($G65/$B65,"")</f>
        <v/>
      </c>
      <c r="I65" s="21">
        <f>IFERROR(_xlfn.MAXIFS('Trade Log'!$K$4:$K$503,'Trade Log'!$B$4:$B$503,$A65),"")</f>
        <v/>
      </c>
      <c r="J65" s="21">
        <f>IFERROR(_xlfn.MINIFS('Trade Log'!$K$4:$K$503,'Trade Log'!$B$4:$B$503,$A65),"")</f>
        <v/>
      </c>
    </row>
    <row r="66">
      <c r="A66" s="27" t="inlineStr">
        <is>
          <t>SOTL</t>
        </is>
      </c>
      <c r="B66" s="20">
        <f>COUNTIF('Trade Log'!$B$4:$B$503,$A66)</f>
        <v/>
      </c>
      <c r="C66" s="20">
        <f>COUNTIFS('Trade Log'!$B$4:$B$503,$A66,'Trade Log'!$K$4:$K$503,"&gt;0")</f>
        <v/>
      </c>
      <c r="D66" s="20">
        <f>COUNTIFS('Trade Log'!$B$4:$B$503,$A66,'Trade Log'!$K$4:$K$503,"&lt;0")</f>
        <v/>
      </c>
      <c r="E66" s="29">
        <f>IFERROR($C66/$B66,"")</f>
        <v/>
      </c>
      <c r="F66" s="21">
        <f>SUMIF('Trade Log'!$B$4:$B$503,$A66,'Trade Log'!$I$4:$I$503)</f>
        <v/>
      </c>
      <c r="G66" s="21">
        <f>SUMIF('Trade Log'!$B$4:$B$503,$A66,'Trade Log'!$K$4:$K$503)</f>
        <v/>
      </c>
      <c r="H66" s="21">
        <f>IFERROR($G66/$B66,"")</f>
        <v/>
      </c>
      <c r="I66" s="21">
        <f>IFERROR(_xlfn.MAXIFS('Trade Log'!$K$4:$K$503,'Trade Log'!$B$4:$B$503,$A66),"")</f>
        <v/>
      </c>
      <c r="J66" s="21">
        <f>IFERROR(_xlfn.MINIFS('Trade Log'!$K$4:$K$503,'Trade Log'!$B$4:$B$503,$A66),"")</f>
        <v/>
      </c>
    </row>
    <row r="67">
      <c r="A67" s="27" t="inlineStr">
        <is>
          <t>SSWL</t>
        </is>
      </c>
      <c r="B67" s="20">
        <f>COUNTIF('Trade Log'!$B$4:$B$503,$A67)</f>
        <v/>
      </c>
      <c r="C67" s="20">
        <f>COUNTIFS('Trade Log'!$B$4:$B$503,$A67,'Trade Log'!$K$4:$K$503,"&gt;0")</f>
        <v/>
      </c>
      <c r="D67" s="20">
        <f>COUNTIFS('Trade Log'!$B$4:$B$503,$A67,'Trade Log'!$K$4:$K$503,"&lt;0")</f>
        <v/>
      </c>
      <c r="E67" s="29">
        <f>IFERROR($C67/$B67,"")</f>
        <v/>
      </c>
      <c r="F67" s="21">
        <f>SUMIF('Trade Log'!$B$4:$B$503,$A67,'Trade Log'!$I$4:$I$503)</f>
        <v/>
      </c>
      <c r="G67" s="21">
        <f>SUMIF('Trade Log'!$B$4:$B$503,$A67,'Trade Log'!$K$4:$K$503)</f>
        <v/>
      </c>
      <c r="H67" s="21">
        <f>IFERROR($G67/$B67,"")</f>
        <v/>
      </c>
      <c r="I67" s="21">
        <f>IFERROR(_xlfn.MAXIFS('Trade Log'!$K$4:$K$503,'Trade Log'!$B$4:$B$503,$A67),"")</f>
        <v/>
      </c>
      <c r="J67" s="21">
        <f>IFERROR(_xlfn.MINIFS('Trade Log'!$K$4:$K$503,'Trade Log'!$B$4:$B$503,$A67),"")</f>
        <v/>
      </c>
    </row>
    <row r="68">
      <c r="A68" s="27" t="inlineStr">
        <is>
          <t>SYMPHONY</t>
        </is>
      </c>
      <c r="B68" s="20">
        <f>COUNTIF('Trade Log'!$B$4:$B$503,$A68)</f>
        <v/>
      </c>
      <c r="C68" s="20">
        <f>COUNTIFS('Trade Log'!$B$4:$B$503,$A68,'Trade Log'!$K$4:$K$503,"&gt;0")</f>
        <v/>
      </c>
      <c r="D68" s="20">
        <f>COUNTIFS('Trade Log'!$B$4:$B$503,$A68,'Trade Log'!$K$4:$K$503,"&lt;0")</f>
        <v/>
      </c>
      <c r="E68" s="29">
        <f>IFERROR($C68/$B68,"")</f>
        <v/>
      </c>
      <c r="F68" s="21">
        <f>SUMIF('Trade Log'!$B$4:$B$503,$A68,'Trade Log'!$I$4:$I$503)</f>
        <v/>
      </c>
      <c r="G68" s="21">
        <f>SUMIF('Trade Log'!$B$4:$B$503,$A68,'Trade Log'!$K$4:$K$503)</f>
        <v/>
      </c>
      <c r="H68" s="21">
        <f>IFERROR($G68/$B68,"")</f>
        <v/>
      </c>
      <c r="I68" s="21">
        <f>IFERROR(_xlfn.MAXIFS('Trade Log'!$K$4:$K$503,'Trade Log'!$B$4:$B$503,$A68),"")</f>
        <v/>
      </c>
      <c r="J68" s="21">
        <f>IFERROR(_xlfn.MINIFS('Trade Log'!$K$4:$K$503,'Trade Log'!$B$4:$B$503,$A68),"")</f>
        <v/>
      </c>
    </row>
    <row r="69">
      <c r="A69" s="27" t="inlineStr">
        <is>
          <t>SYNCOMF</t>
        </is>
      </c>
      <c r="B69" s="20">
        <f>COUNTIF('Trade Log'!$B$4:$B$503,$A69)</f>
        <v/>
      </c>
      <c r="C69" s="20">
        <f>COUNTIFS('Trade Log'!$B$4:$B$503,$A69,'Trade Log'!$K$4:$K$503,"&gt;0")</f>
        <v/>
      </c>
      <c r="D69" s="20">
        <f>COUNTIFS('Trade Log'!$B$4:$B$503,$A69,'Trade Log'!$K$4:$K$503,"&lt;0")</f>
        <v/>
      </c>
      <c r="E69" s="29">
        <f>IFERROR($C69/$B69,"")</f>
        <v/>
      </c>
      <c r="F69" s="21">
        <f>SUMIF('Trade Log'!$B$4:$B$503,$A69,'Trade Log'!$I$4:$I$503)</f>
        <v/>
      </c>
      <c r="G69" s="21">
        <f>SUMIF('Trade Log'!$B$4:$B$503,$A69,'Trade Log'!$K$4:$K$503)</f>
        <v/>
      </c>
      <c r="H69" s="21">
        <f>IFERROR($G69/$B69,"")</f>
        <v/>
      </c>
      <c r="I69" s="21">
        <f>IFERROR(_xlfn.MAXIFS('Trade Log'!$K$4:$K$503,'Trade Log'!$B$4:$B$503,$A69),"")</f>
        <v/>
      </c>
      <c r="J69" s="21">
        <f>IFERROR(_xlfn.MINIFS('Trade Log'!$K$4:$K$503,'Trade Log'!$B$4:$B$503,$A69),"")</f>
        <v/>
      </c>
    </row>
    <row r="70">
      <c r="A70" s="27" t="inlineStr">
        <is>
          <t>TALBROAUTO</t>
        </is>
      </c>
      <c r="B70" s="20">
        <f>COUNTIF('Trade Log'!$B$4:$B$503,$A70)</f>
        <v/>
      </c>
      <c r="C70" s="20">
        <f>COUNTIFS('Trade Log'!$B$4:$B$503,$A70,'Trade Log'!$K$4:$K$503,"&gt;0")</f>
        <v/>
      </c>
      <c r="D70" s="20">
        <f>COUNTIFS('Trade Log'!$B$4:$B$503,$A70,'Trade Log'!$K$4:$K$503,"&lt;0")</f>
        <v/>
      </c>
      <c r="E70" s="29">
        <f>IFERROR($C70/$B70,"")</f>
        <v/>
      </c>
      <c r="F70" s="21">
        <f>SUMIF('Trade Log'!$B$4:$B$503,$A70,'Trade Log'!$I$4:$I$503)</f>
        <v/>
      </c>
      <c r="G70" s="21">
        <f>SUMIF('Trade Log'!$B$4:$B$503,$A70,'Trade Log'!$K$4:$K$503)</f>
        <v/>
      </c>
      <c r="H70" s="21">
        <f>IFERROR($G70/$B70,"")</f>
        <v/>
      </c>
      <c r="I70" s="21">
        <f>IFERROR(_xlfn.MAXIFS('Trade Log'!$K$4:$K$503,'Trade Log'!$B$4:$B$503,$A70),"")</f>
        <v/>
      </c>
      <c r="J70" s="21">
        <f>IFERROR(_xlfn.MINIFS('Trade Log'!$K$4:$K$503,'Trade Log'!$B$4:$B$503,$A70),"")</f>
        <v/>
      </c>
    </row>
    <row r="71">
      <c r="A71" s="27" t="inlineStr">
        <is>
          <t>TBZ</t>
        </is>
      </c>
      <c r="B71" s="20">
        <f>COUNTIF('Trade Log'!$B$4:$B$503,$A71)</f>
        <v/>
      </c>
      <c r="C71" s="20">
        <f>COUNTIFS('Trade Log'!$B$4:$B$503,$A71,'Trade Log'!$K$4:$K$503,"&gt;0")</f>
        <v/>
      </c>
      <c r="D71" s="20">
        <f>COUNTIFS('Trade Log'!$B$4:$B$503,$A71,'Trade Log'!$K$4:$K$503,"&lt;0")</f>
        <v/>
      </c>
      <c r="E71" s="29">
        <f>IFERROR($C71/$B71,"")</f>
        <v/>
      </c>
      <c r="F71" s="21">
        <f>SUMIF('Trade Log'!$B$4:$B$503,$A71,'Trade Log'!$I$4:$I$503)</f>
        <v/>
      </c>
      <c r="G71" s="21">
        <f>SUMIF('Trade Log'!$B$4:$B$503,$A71,'Trade Log'!$K$4:$K$503)</f>
        <v/>
      </c>
      <c r="H71" s="21">
        <f>IFERROR($G71/$B71,"")</f>
        <v/>
      </c>
      <c r="I71" s="21">
        <f>IFERROR(_xlfn.MAXIFS('Trade Log'!$K$4:$K$503,'Trade Log'!$B$4:$B$503,$A71),"")</f>
        <v/>
      </c>
      <c r="J71" s="21">
        <f>IFERROR(_xlfn.MINIFS('Trade Log'!$K$4:$K$503,'Trade Log'!$B$4:$B$503,$A71),"")</f>
        <v/>
      </c>
    </row>
    <row r="72">
      <c r="A72" s="27" t="inlineStr">
        <is>
          <t>THOMASCOOK</t>
        </is>
      </c>
      <c r="B72" s="20">
        <f>COUNTIF('Trade Log'!$B$4:$B$503,$A72)</f>
        <v/>
      </c>
      <c r="C72" s="20">
        <f>COUNTIFS('Trade Log'!$B$4:$B$503,$A72,'Trade Log'!$K$4:$K$503,"&gt;0")</f>
        <v/>
      </c>
      <c r="D72" s="20">
        <f>COUNTIFS('Trade Log'!$B$4:$B$503,$A72,'Trade Log'!$K$4:$K$503,"&lt;0")</f>
        <v/>
      </c>
      <c r="E72" s="29">
        <f>IFERROR($C72/$B72,"")</f>
        <v/>
      </c>
      <c r="F72" s="21">
        <f>SUMIF('Trade Log'!$B$4:$B$503,$A72,'Trade Log'!$I$4:$I$503)</f>
        <v/>
      </c>
      <c r="G72" s="21">
        <f>SUMIF('Trade Log'!$B$4:$B$503,$A72,'Trade Log'!$K$4:$K$503)</f>
        <v/>
      </c>
      <c r="H72" s="21">
        <f>IFERROR($G72/$B72,"")</f>
        <v/>
      </c>
      <c r="I72" s="21">
        <f>IFERROR(_xlfn.MAXIFS('Trade Log'!$K$4:$K$503,'Trade Log'!$B$4:$B$503,$A72),"")</f>
        <v/>
      </c>
      <c r="J72" s="21">
        <f>IFERROR(_xlfn.MINIFS('Trade Log'!$K$4:$K$503,'Trade Log'!$B$4:$B$503,$A72),"")</f>
        <v/>
      </c>
    </row>
    <row r="73">
      <c r="A73" s="27" t="inlineStr">
        <is>
          <t>VENKEYS</t>
        </is>
      </c>
      <c r="B73" s="20">
        <f>COUNTIF('Trade Log'!$B$4:$B$503,$A73)</f>
        <v/>
      </c>
      <c r="C73" s="20">
        <f>COUNTIFS('Trade Log'!$B$4:$B$503,$A73,'Trade Log'!$K$4:$K$503,"&gt;0")</f>
        <v/>
      </c>
      <c r="D73" s="20">
        <f>COUNTIFS('Trade Log'!$B$4:$B$503,$A73,'Trade Log'!$K$4:$K$503,"&lt;0")</f>
        <v/>
      </c>
      <c r="E73" s="29">
        <f>IFERROR($C73/$B73,"")</f>
        <v/>
      </c>
      <c r="F73" s="21">
        <f>SUMIF('Trade Log'!$B$4:$B$503,$A73,'Trade Log'!$I$4:$I$503)</f>
        <v/>
      </c>
      <c r="G73" s="21">
        <f>SUMIF('Trade Log'!$B$4:$B$503,$A73,'Trade Log'!$K$4:$K$503)</f>
        <v/>
      </c>
      <c r="H73" s="21">
        <f>IFERROR($G73/$B73,"")</f>
        <v/>
      </c>
      <c r="I73" s="21">
        <f>IFERROR(_xlfn.MAXIFS('Trade Log'!$K$4:$K$503,'Trade Log'!$B$4:$B$503,$A73),"")</f>
        <v/>
      </c>
      <c r="J73" s="21">
        <f>IFERROR(_xlfn.MINIFS('Trade Log'!$K$4:$K$503,'Trade Log'!$B$4:$B$503,$A73),"")</f>
        <v/>
      </c>
    </row>
    <row r="74">
      <c r="A74" s="27" t="inlineStr">
        <is>
          <t>VENUSPIPES</t>
        </is>
      </c>
      <c r="B74" s="20">
        <f>COUNTIF('Trade Log'!$B$4:$B$503,$A74)</f>
        <v/>
      </c>
      <c r="C74" s="20">
        <f>COUNTIFS('Trade Log'!$B$4:$B$503,$A74,'Trade Log'!$K$4:$K$503,"&gt;0")</f>
        <v/>
      </c>
      <c r="D74" s="20">
        <f>COUNTIFS('Trade Log'!$B$4:$B$503,$A74,'Trade Log'!$K$4:$K$503,"&lt;0")</f>
        <v/>
      </c>
      <c r="E74" s="29">
        <f>IFERROR($C74/$B74,"")</f>
        <v/>
      </c>
      <c r="F74" s="21">
        <f>SUMIF('Trade Log'!$B$4:$B$503,$A74,'Trade Log'!$I$4:$I$503)</f>
        <v/>
      </c>
      <c r="G74" s="21">
        <f>SUMIF('Trade Log'!$B$4:$B$503,$A74,'Trade Log'!$K$4:$K$503)</f>
        <v/>
      </c>
      <c r="H74" s="21">
        <f>IFERROR($G74/$B74,"")</f>
        <v/>
      </c>
      <c r="I74" s="21">
        <f>IFERROR(_xlfn.MAXIFS('Trade Log'!$K$4:$K$503,'Trade Log'!$B$4:$B$503,$A74),"")</f>
        <v/>
      </c>
      <c r="J74" s="21">
        <f>IFERROR(_xlfn.MINIFS('Trade Log'!$K$4:$K$503,'Trade Log'!$B$4:$B$503,$A74),"")</f>
        <v/>
      </c>
    </row>
    <row r="75">
      <c r="A75" s="27" t="inlineStr">
        <is>
          <t>VERANDA</t>
        </is>
      </c>
      <c r="B75" s="20">
        <f>COUNTIF('Trade Log'!$B$4:$B$503,$A75)</f>
        <v/>
      </c>
      <c r="C75" s="20">
        <f>COUNTIFS('Trade Log'!$B$4:$B$503,$A75,'Trade Log'!$K$4:$K$503,"&gt;0")</f>
        <v/>
      </c>
      <c r="D75" s="20">
        <f>COUNTIFS('Trade Log'!$B$4:$B$503,$A75,'Trade Log'!$K$4:$K$503,"&lt;0")</f>
        <v/>
      </c>
      <c r="E75" s="29">
        <f>IFERROR($C75/$B75,"")</f>
        <v/>
      </c>
      <c r="F75" s="21">
        <f>SUMIF('Trade Log'!$B$4:$B$503,$A75,'Trade Log'!$I$4:$I$503)</f>
        <v/>
      </c>
      <c r="G75" s="21">
        <f>SUMIF('Trade Log'!$B$4:$B$503,$A75,'Trade Log'!$K$4:$K$503)</f>
        <v/>
      </c>
      <c r="H75" s="21">
        <f>IFERROR($G75/$B75,"")</f>
        <v/>
      </c>
      <c r="I75" s="21">
        <f>IFERROR(_xlfn.MAXIFS('Trade Log'!$K$4:$K$503,'Trade Log'!$B$4:$B$503,$A75),"")</f>
        <v/>
      </c>
      <c r="J75" s="21">
        <f>IFERROR(_xlfn.MINIFS('Trade Log'!$K$4:$K$503,'Trade Log'!$B$4:$B$503,$A75),"")</f>
        <v/>
      </c>
    </row>
    <row r="76">
      <c r="A76" s="27" t="inlineStr">
        <is>
          <t>VSSL</t>
        </is>
      </c>
      <c r="B76" s="20">
        <f>COUNTIF('Trade Log'!$B$4:$B$503,$A76)</f>
        <v/>
      </c>
      <c r="C76" s="20">
        <f>COUNTIFS('Trade Log'!$B$4:$B$503,$A76,'Trade Log'!$K$4:$K$503,"&gt;0")</f>
        <v/>
      </c>
      <c r="D76" s="20">
        <f>COUNTIFS('Trade Log'!$B$4:$B$503,$A76,'Trade Log'!$K$4:$K$503,"&lt;0")</f>
        <v/>
      </c>
      <c r="E76" s="29">
        <f>IFERROR($C76/$B76,"")</f>
        <v/>
      </c>
      <c r="F76" s="21">
        <f>SUMIF('Trade Log'!$B$4:$B$503,$A76,'Trade Log'!$I$4:$I$503)</f>
        <v/>
      </c>
      <c r="G76" s="21">
        <f>SUMIF('Trade Log'!$B$4:$B$503,$A76,'Trade Log'!$K$4:$K$503)</f>
        <v/>
      </c>
      <c r="H76" s="21">
        <f>IFERROR($G76/$B76,"")</f>
        <v/>
      </c>
      <c r="I76" s="21">
        <f>IFERROR(_xlfn.MAXIFS('Trade Log'!$K$4:$K$503,'Trade Log'!$B$4:$B$503,$A76),"")</f>
        <v/>
      </c>
      <c r="J76" s="21">
        <f>IFERROR(_xlfn.MINIFS('Trade Log'!$K$4:$K$503,'Trade Log'!$B$4:$B$503,$A76),"")</f>
        <v/>
      </c>
    </row>
    <row r="77">
      <c r="A77" s="27" t="inlineStr">
        <is>
          <t>WELSPLSOL</t>
        </is>
      </c>
      <c r="B77" s="20">
        <f>COUNTIF('Trade Log'!$B$4:$B$503,$A77)</f>
        <v/>
      </c>
      <c r="C77" s="20">
        <f>COUNTIFS('Trade Log'!$B$4:$B$503,$A77,'Trade Log'!$K$4:$K$503,"&gt;0")</f>
        <v/>
      </c>
      <c r="D77" s="20">
        <f>COUNTIFS('Trade Log'!$B$4:$B$503,$A77,'Trade Log'!$K$4:$K$503,"&lt;0")</f>
        <v/>
      </c>
      <c r="E77" s="29">
        <f>IFERROR($C77/$B77,"")</f>
        <v/>
      </c>
      <c r="F77" s="21">
        <f>SUMIF('Trade Log'!$B$4:$B$503,$A77,'Trade Log'!$I$4:$I$503)</f>
        <v/>
      </c>
      <c r="G77" s="21">
        <f>SUMIF('Trade Log'!$B$4:$B$503,$A77,'Trade Log'!$K$4:$K$503)</f>
        <v/>
      </c>
      <c r="H77" s="21">
        <f>IFERROR($G77/$B77,"")</f>
        <v/>
      </c>
      <c r="I77" s="21">
        <f>IFERROR(_xlfn.MAXIFS('Trade Log'!$K$4:$K$503,'Trade Log'!$B$4:$B$503,$A77),"")</f>
        <v/>
      </c>
      <c r="J77" s="21">
        <f>IFERROR(_xlfn.MINIFS('Trade Log'!$K$4:$K$503,'Trade Log'!$B$4:$B$503,$A77),"")</f>
        <v/>
      </c>
    </row>
    <row r="78">
      <c r="A78" s="27" t="inlineStr">
        <is>
          <t>WENDT</t>
        </is>
      </c>
      <c r="B78" s="20">
        <f>COUNTIF('Trade Log'!$B$4:$B$503,$A78)</f>
        <v/>
      </c>
      <c r="C78" s="20">
        <f>COUNTIFS('Trade Log'!$B$4:$B$503,$A78,'Trade Log'!$K$4:$K$503,"&gt;0")</f>
        <v/>
      </c>
      <c r="D78" s="20">
        <f>COUNTIFS('Trade Log'!$B$4:$B$503,$A78,'Trade Log'!$K$4:$K$503,"&lt;0")</f>
        <v/>
      </c>
      <c r="E78" s="29">
        <f>IFERROR($C78/$B78,"")</f>
        <v/>
      </c>
      <c r="F78" s="21">
        <f>SUMIF('Trade Log'!$B$4:$B$503,$A78,'Trade Log'!$I$4:$I$503)</f>
        <v/>
      </c>
      <c r="G78" s="21">
        <f>SUMIF('Trade Log'!$B$4:$B$503,$A78,'Trade Log'!$K$4:$K$503)</f>
        <v/>
      </c>
      <c r="H78" s="21">
        <f>IFERROR($G78/$B78,"")</f>
        <v/>
      </c>
      <c r="I78" s="21">
        <f>IFERROR(_xlfn.MAXIFS('Trade Log'!$K$4:$K$503,'Trade Log'!$B$4:$B$503,$A78),"")</f>
        <v/>
      </c>
      <c r="J78" s="21">
        <f>IFERROR(_xlfn.MINIFS('Trade Log'!$K$4:$K$503,'Trade Log'!$B$4:$B$503,$A78),"")</f>
        <v/>
      </c>
    </row>
    <row r="79">
      <c r="A79" s="27" t="inlineStr">
        <is>
          <t>WINDLAS</t>
        </is>
      </c>
      <c r="B79" s="20">
        <f>COUNTIF('Trade Log'!$B$4:$B$503,$A79)</f>
        <v/>
      </c>
      <c r="C79" s="20">
        <f>COUNTIFS('Trade Log'!$B$4:$B$503,$A79,'Trade Log'!$K$4:$K$503,"&gt;0")</f>
        <v/>
      </c>
      <c r="D79" s="20">
        <f>COUNTIFS('Trade Log'!$B$4:$B$503,$A79,'Trade Log'!$K$4:$K$503,"&lt;0")</f>
        <v/>
      </c>
      <c r="E79" s="29">
        <f>IFERROR($C79/$B79,"")</f>
        <v/>
      </c>
      <c r="F79" s="21">
        <f>SUMIF('Trade Log'!$B$4:$B$503,$A79,'Trade Log'!$I$4:$I$503)</f>
        <v/>
      </c>
      <c r="G79" s="21">
        <f>SUMIF('Trade Log'!$B$4:$B$503,$A79,'Trade Log'!$K$4:$K$503)</f>
        <v/>
      </c>
      <c r="H79" s="21">
        <f>IFERROR($G79/$B79,"")</f>
        <v/>
      </c>
      <c r="I79" s="21">
        <f>IFERROR(_xlfn.MAXIFS('Trade Log'!$K$4:$K$503,'Trade Log'!$B$4:$B$503,$A79),"")</f>
        <v/>
      </c>
      <c r="J79" s="21">
        <f>IFERROR(_xlfn.MINIFS('Trade Log'!$K$4:$K$503,'Trade Log'!$B$4:$B$503,$A79),"")</f>
        <v/>
      </c>
    </row>
    <row r="80">
      <c r="A80" s="27" t="inlineStr">
        <is>
          <t>XPROINDIA</t>
        </is>
      </c>
      <c r="B80" s="20">
        <f>COUNTIF('Trade Log'!$B$4:$B$503,$A80)</f>
        <v/>
      </c>
      <c r="C80" s="20">
        <f>COUNTIFS('Trade Log'!$B$4:$B$503,$A80,'Trade Log'!$K$4:$K$503,"&gt;0")</f>
        <v/>
      </c>
      <c r="D80" s="20">
        <f>COUNTIFS('Trade Log'!$B$4:$B$503,$A80,'Trade Log'!$K$4:$K$503,"&lt;0")</f>
        <v/>
      </c>
      <c r="E80" s="29">
        <f>IFERROR($C80/$B80,"")</f>
        <v/>
      </c>
      <c r="F80" s="21">
        <f>SUMIF('Trade Log'!$B$4:$B$503,$A80,'Trade Log'!$I$4:$I$503)</f>
        <v/>
      </c>
      <c r="G80" s="21">
        <f>SUMIF('Trade Log'!$B$4:$B$503,$A80,'Trade Log'!$K$4:$K$503)</f>
        <v/>
      </c>
      <c r="H80" s="21">
        <f>IFERROR($G80/$B80,"")</f>
        <v/>
      </c>
      <c r="I80" s="21">
        <f>IFERROR(_xlfn.MAXIFS('Trade Log'!$K$4:$K$503,'Trade Log'!$B$4:$B$503,$A80),"")</f>
        <v/>
      </c>
      <c r="J80" s="21">
        <f>IFERROR(_xlfn.MINIFS('Trade Log'!$K$4:$K$503,'Trade Log'!$B$4:$B$503,$A80),"")</f>
        <v/>
      </c>
    </row>
    <row r="81">
      <c r="A81" s="27" t="inlineStr">
        <is>
          <t>ZAGGLE</t>
        </is>
      </c>
      <c r="B81" s="20">
        <f>COUNTIF('Trade Log'!$B$4:$B$503,$A81)</f>
        <v/>
      </c>
      <c r="C81" s="20">
        <f>COUNTIFS('Trade Log'!$B$4:$B$503,$A81,'Trade Log'!$K$4:$K$503,"&gt;0")</f>
        <v/>
      </c>
      <c r="D81" s="20">
        <f>COUNTIFS('Trade Log'!$B$4:$B$503,$A81,'Trade Log'!$K$4:$K$503,"&lt;0")</f>
        <v/>
      </c>
      <c r="E81" s="29">
        <f>IFERROR($C81/$B81,"")</f>
        <v/>
      </c>
      <c r="F81" s="21">
        <f>SUMIF('Trade Log'!$B$4:$B$503,$A81,'Trade Log'!$I$4:$I$503)</f>
        <v/>
      </c>
      <c r="G81" s="21">
        <f>SUMIF('Trade Log'!$B$4:$B$503,$A81,'Trade Log'!$K$4:$K$503)</f>
        <v/>
      </c>
      <c r="H81" s="21">
        <f>IFERROR($G81/$B81,"")</f>
        <v/>
      </c>
      <c r="I81" s="21">
        <f>IFERROR(_xlfn.MAXIFS('Trade Log'!$K$4:$K$503,'Trade Log'!$B$4:$B$503,$A81),"")</f>
        <v/>
      </c>
      <c r="J81" s="21">
        <f>IFERROR(_xlfn.MINIFS('Trade Log'!$K$4:$K$503,'Trade Log'!$B$4:$B$503,$A81),"")</f>
        <v/>
      </c>
    </row>
    <row r="82">
      <c r="A82" s="3" t="inlineStr">
        <is>
          <t>TOTAL</t>
        </is>
      </c>
      <c r="B82" s="30">
        <f>SUM(B4:B81)</f>
        <v/>
      </c>
      <c r="C82" s="30">
        <f>SUM(C4:C81)</f>
        <v/>
      </c>
      <c r="D82" s="30">
        <f>SUM(D4:D81)</f>
        <v/>
      </c>
      <c r="E82" s="31">
        <f>IFERROR(C82/B82,"")</f>
        <v/>
      </c>
      <c r="F82" s="32">
        <f>SUM(F4:F81)</f>
        <v/>
      </c>
      <c r="G82" s="32">
        <f>SUM(G4:G81)</f>
        <v/>
      </c>
      <c r="H82" s="32">
        <f>IFERROR(G82/B82,"")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2026-09-18T03:46:29Z</dcterms:created>
  <dcterms:modified xmlns:dcterms="http://purl.org/dc/terms/" xmlns:xsi="http://www.w3.org/2001/XMLSchema-instance" xsi:type="dcterms:W3CDTF">2026-09-18T03:46:29Z</dcterms:modified>
</cp:coreProperties>
</file>