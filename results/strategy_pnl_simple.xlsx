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571.63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688.97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570.48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662.86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591.59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398.53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414.06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345.01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414.39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380.54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413.82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406.37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870.55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390.57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349.19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329.26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385.4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977.05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956.65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991.03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597.72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598.83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677.24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670.4299999999999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574.4299999999999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628.42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619.39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612.4299999999999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693.6799999999999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617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441.48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387.49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386.09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435.16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356.27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364.89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412.31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344.24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313.13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893.51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799.53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826.87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479.58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531.37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531.58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480.9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420.15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428.89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546.35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425.04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371.59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642.52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638.36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654.42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564.1900000000001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632.15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497.9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494.64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504.47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490.94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467.31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542.35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463.89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528.75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522.78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521.15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448.73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465.91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631.21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640.01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605.97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594.85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608.03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596.85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296.91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300.31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338.75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289.65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192.39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297.41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203.22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93.83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463.67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176.57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182.99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216.64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87.7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466.8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498.79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209.7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522.87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460.55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n">
        <v>46289</v>
      </c>
      <c r="H200" s="25" t="n">
        <v>627.8200000000001</v>
      </c>
      <c r="I200" s="21">
        <f>IF(OR($B200="",$H200=""),"",IF($C200="LONG",($H200-$E200)*$F200,($E200-$H200)*$F200))</f>
        <v/>
      </c>
      <c r="J200" s="4" t="n">
        <v>131.89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352.9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359.46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n">
        <v>46289</v>
      </c>
      <c r="H203" s="25" t="n">
        <v>71</v>
      </c>
      <c r="I203" s="21">
        <f>IF(OR($B203="",$H203=""),"",IF($C203="LONG",($H203-$E203)*$F203,($E203-$H203)*$F203))</f>
        <v/>
      </c>
      <c r="J203" s="4" t="n">
        <v>91.13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n">
        <v>46289</v>
      </c>
      <c r="H204" s="25" t="n">
        <v>634.15</v>
      </c>
      <c r="I204" s="21">
        <f>IF(OR($B204="",$H204=""),"",IF($C204="LONG",($H204-$E204)*$F204,($E204-$H204)*$F204))</f>
        <v/>
      </c>
      <c r="J204" s="4" t="n">
        <v>63.56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n">
        <v>46289</v>
      </c>
      <c r="H205" s="25" t="n">
        <v>205.69</v>
      </c>
      <c r="I205" s="21">
        <f>IF(OR($B205="",$H205=""),"",IF($C205="LONG",($H205-$E205)*$F205,($E205-$H205)*$F205))</f>
        <v/>
      </c>
      <c r="J205" s="4" t="n">
        <v>130.64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n">
        <v>46289</v>
      </c>
      <c r="H206" s="25" t="n">
        <v>273.19</v>
      </c>
      <c r="I206" s="21">
        <f>IF(OR($B206="",$H206=""),"",IF($C206="LONG",($H206-$E206)*$F206,($E206-$H206)*$F206))</f>
        <v/>
      </c>
      <c r="J206" s="4" t="n">
        <v>316.19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n">
        <v>46289</v>
      </c>
      <c r="H207" s="25" t="n">
        <v>156.75</v>
      </c>
      <c r="I207" s="21">
        <f>IF(OR($B207="",$H207=""),"",IF($C207="LONG",($H207-$E207)*$F207,($E207-$H207)*$F207))</f>
        <v/>
      </c>
      <c r="J207" s="4" t="n">
        <v>319.03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n">
        <v>46289</v>
      </c>
      <c r="H208" s="25" t="n">
        <v>71.39</v>
      </c>
      <c r="I208" s="21">
        <f>IF(OR($B208="",$H208=""),"",IF($C208="LONG",($H208-$E208)*$F208,($E208-$H208)*$F208))</f>
        <v/>
      </c>
      <c r="J208" s="4" t="n">
        <v>360.24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365.31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298.29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n">
        <v>46289</v>
      </c>
      <c r="H211" s="25" t="n">
        <v>677.5</v>
      </c>
      <c r="I211" s="21">
        <f>IF(OR($B211="",$H211=""),"",IF($C211="LONG",($H211-$E211)*$F211,($E211-$H211)*$F211))</f>
        <v/>
      </c>
      <c r="J211" s="4" t="n">
        <v>317.41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n">
        <v>46289</v>
      </c>
      <c r="H212" s="25" t="n">
        <v>2940.33</v>
      </c>
      <c r="I212" s="21">
        <f>IF(OR($B212="",$H212=""),"",IF($C212="LONG",($H212-$E212)*$F212,($E212-$H212)*$F212))</f>
        <v/>
      </c>
      <c r="J212" s="4" t="n">
        <v>361.87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305.76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365.6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inlineStr">
        <is>
          <t>DHAN-221260924489209</t>
        </is>
      </c>
      <c r="B215" s="23" t="inlineStr">
        <is>
          <t>ARVSMART</t>
        </is>
      </c>
      <c r="C215" s="23" t="inlineStr">
        <is>
          <t>SHORT</t>
        </is>
      </c>
      <c r="D215" s="24" t="n">
        <v>46289</v>
      </c>
      <c r="E215" s="25" t="n">
        <v>627.33</v>
      </c>
      <c r="F215" s="26" t="n">
        <v>262</v>
      </c>
      <c r="G215" s="24" t="n">
        <v>46289</v>
      </c>
      <c r="H215" s="25" t="n">
        <v>624.98</v>
      </c>
      <c r="I215" s="21">
        <f>IF(OR($B215="",$H215=""),"",IF($C215="LONG",($H215-$E215)*$F215,($E215-$H215)*$F215))</f>
        <v/>
      </c>
      <c r="J215" s="4" t="n">
        <v>204.98</v>
      </c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inlineStr">
        <is>
          <t>DHAN-34126092474909</t>
        </is>
      </c>
      <c r="B216" s="23" t="inlineStr">
        <is>
          <t>AVANTEL</t>
        </is>
      </c>
      <c r="C216" s="23" t="inlineStr">
        <is>
          <t>LONG</t>
        </is>
      </c>
      <c r="D216" s="24" t="n">
        <v>46289</v>
      </c>
      <c r="E216" s="25" t="n">
        <v>155.3422</v>
      </c>
      <c r="F216" s="26" t="n">
        <v>1614</v>
      </c>
      <c r="G216" s="24" t="n">
        <v>46290</v>
      </c>
      <c r="H216" s="25" t="n">
        <v>157.11</v>
      </c>
      <c r="I216" s="21">
        <f>IF(OR($B216="",$H216=""),"",IF($C216="LONG",($H216-$E216)*$F216,($E216-$H216)*$F216))</f>
        <v/>
      </c>
      <c r="J216" s="4" t="n">
        <v>459.2</v>
      </c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inlineStr">
        <is>
          <t>DHAN-23126092413009</t>
        </is>
      </c>
      <c r="B217" s="23" t="inlineStr">
        <is>
          <t>DELTACORP</t>
        </is>
      </c>
      <c r="C217" s="23" t="inlineStr">
        <is>
          <t>SHORT</t>
        </is>
      </c>
      <c r="D217" s="24" t="n">
        <v>46289</v>
      </c>
      <c r="E217" s="25" t="n">
        <v>71.06999999999999</v>
      </c>
      <c r="F217" s="26" t="n">
        <v>2426</v>
      </c>
      <c r="G217" s="24" t="n">
        <v>46289</v>
      </c>
      <c r="H217" s="25" t="n">
        <v>72.55</v>
      </c>
      <c r="I217" s="21">
        <f>IF(OR($B217="",$H217=""),"",IF($C217="LONG",($H217-$E217)*$F217,($E217-$H217)*$F217))</f>
        <v/>
      </c>
      <c r="J217" s="4" t="n">
        <v>258.86</v>
      </c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inlineStr">
        <is>
          <t>DHAN-limit_entry_multi</t>
        </is>
      </c>
      <c r="B218" s="23" t="inlineStr">
        <is>
          <t>FRONTSP</t>
        </is>
      </c>
      <c r="C218" s="23" t="inlineStr">
        <is>
          <t>LONG</t>
        </is>
      </c>
      <c r="D218" s="24" t="n">
        <v>46289</v>
      </c>
      <c r="E218" s="25" t="n">
        <v>1515.4085</v>
      </c>
      <c r="F218" s="26" t="n">
        <v>82</v>
      </c>
      <c r="G218" s="24" t="n">
        <v>46290</v>
      </c>
      <c r="H218" s="25" t="n">
        <v>1533.8</v>
      </c>
      <c r="I218" s="21">
        <f>IF(OR($B218="",$H218=""),"",IF($C218="LONG",($H218-$E218)*$F218,($E218-$H218)*$F218))</f>
        <v/>
      </c>
      <c r="J218" s="4" t="n">
        <v>73.48999999999999</v>
      </c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inlineStr">
        <is>
          <t>DHAN-321260924470909</t>
        </is>
      </c>
      <c r="B219" s="23" t="inlineStr">
        <is>
          <t>GNA</t>
        </is>
      </c>
      <c r="C219" s="23" t="inlineStr">
        <is>
          <t>SHORT</t>
        </is>
      </c>
      <c r="D219" s="24" t="n">
        <v>46289</v>
      </c>
      <c r="E219" s="25" t="n">
        <v>634.42</v>
      </c>
      <c r="F219" s="26" t="n">
        <v>139</v>
      </c>
      <c r="G219" s="24" t="n">
        <v>46289</v>
      </c>
      <c r="H219" s="25" t="n">
        <v>622.92</v>
      </c>
      <c r="I219" s="21">
        <f>IF(OR($B219="",$H219=""),"",IF($C219="LONG",($H219-$E219)*$F219,($E219-$H219)*$F219))</f>
        <v/>
      </c>
      <c r="J219" s="4" t="n">
        <v>120.38</v>
      </c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inlineStr">
        <is>
          <t>DHAN-321260924764809</t>
        </is>
      </c>
      <c r="B220" s="23" t="inlineStr">
        <is>
          <t>GREAVESCOT</t>
        </is>
      </c>
      <c r="C220" s="23" t="inlineStr">
        <is>
          <t>LONG</t>
        </is>
      </c>
      <c r="D220" s="24" t="n">
        <v>46289</v>
      </c>
      <c r="E220" s="25" t="n">
        <v>221.6698</v>
      </c>
      <c r="F220" s="26" t="n">
        <v>1128</v>
      </c>
      <c r="G220" s="24" t="n">
        <v>46290</v>
      </c>
      <c r="H220" s="25" t="n">
        <v>223.36</v>
      </c>
      <c r="I220" s="21">
        <f>IF(OR($B220="",$H220=""),"",IF($C220="LONG",($H220-$E220)*$F220,($E220-$H220)*$F220))</f>
        <v/>
      </c>
      <c r="J220" s="4" t="n">
        <v>521.5</v>
      </c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inlineStr">
        <is>
          <t>DHAN-221260924781709</t>
        </is>
      </c>
      <c r="B221" s="23" t="inlineStr">
        <is>
          <t>INDIAGLYCO</t>
        </is>
      </c>
      <c r="C221" s="23" t="inlineStr">
        <is>
          <t>LONG</t>
        </is>
      </c>
      <c r="D221" s="24" t="n">
        <v>46289</v>
      </c>
      <c r="E221" s="25" t="n">
        <v>304.3391</v>
      </c>
      <c r="F221" s="26" t="n">
        <v>409</v>
      </c>
      <c r="G221" s="24" t="n">
        <v>46290</v>
      </c>
      <c r="H221" s="25" t="n">
        <v>308.29</v>
      </c>
      <c r="I221" s="21">
        <f>IF(OR($B221="",$H221=""),"",IF($C221="LONG",($H221-$E221)*$F221,($E221-$H221)*$F221))</f>
        <v/>
      </c>
      <c r="J221" s="4" t="n">
        <v>190.87</v>
      </c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inlineStr">
        <is>
          <t>DHAN-34126092446309</t>
        </is>
      </c>
      <c r="B222" s="23" t="inlineStr">
        <is>
          <t>JAYKAY</t>
        </is>
      </c>
      <c r="C222" s="23" t="inlineStr">
        <is>
          <t>SHORT</t>
        </is>
      </c>
      <c r="D222" s="24" t="n">
        <v>46289</v>
      </c>
      <c r="E222" s="25" t="n">
        <v>205.66</v>
      </c>
      <c r="F222" s="26" t="n">
        <v>780</v>
      </c>
      <c r="G222" s="24" t="n">
        <v>46289</v>
      </c>
      <c r="H222" s="25" t="n">
        <v>203.27</v>
      </c>
      <c r="I222" s="21">
        <f>IF(OR($B222="",$H222=""),"",IF($C222="LONG",($H222-$E222)*$F222,($E222-$H222)*$F222))</f>
        <v/>
      </c>
      <c r="J222" s="4" t="n">
        <v>200.09</v>
      </c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inlineStr">
        <is>
          <t>DHAN-34126092446409</t>
        </is>
      </c>
      <c r="B223" s="23" t="inlineStr">
        <is>
          <t>KROSS</t>
        </is>
      </c>
      <c r="C223" s="23" t="inlineStr">
        <is>
          <t>SHORT</t>
        </is>
      </c>
      <c r="D223" s="24" t="n">
        <v>46289</v>
      </c>
      <c r="E223" s="25" t="n">
        <v>273.1</v>
      </c>
      <c r="F223" s="26" t="n">
        <v>597</v>
      </c>
      <c r="G223" s="24" t="n">
        <v>46289</v>
      </c>
      <c r="H223" s="25" t="n">
        <v>270.06</v>
      </c>
      <c r="I223" s="21">
        <f>IF(OR($B223="",$H223=""),"",IF($C223="LONG",($H223-$E223)*$F223,($E223-$H223)*$F223))</f>
        <v/>
      </c>
      <c r="J223" s="4" t="n">
        <v>243.64</v>
      </c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inlineStr">
        <is>
          <t>DHAN-321260924764909</t>
        </is>
      </c>
      <c r="B224" s="23" t="inlineStr">
        <is>
          <t>KSCL</t>
        </is>
      </c>
      <c r="C224" s="23" t="inlineStr">
        <is>
          <t>LONG</t>
        </is>
      </c>
      <c r="D224" s="24" t="n">
        <v>46289</v>
      </c>
      <c r="E224" s="25" t="n">
        <v>783.6132</v>
      </c>
      <c r="F224" s="26" t="n">
        <v>319</v>
      </c>
      <c r="G224" s="24" t="n">
        <v>46290</v>
      </c>
      <c r="H224" s="25" t="n">
        <v>824.01</v>
      </c>
      <c r="I224" s="21">
        <f>IF(OR($B224="",$H224=""),"",IF($C224="LONG",($H224-$E224)*$F224,($E224-$H224)*$F224))</f>
        <v/>
      </c>
      <c r="J224" s="4" t="n">
        <v>461.32</v>
      </c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inlineStr">
        <is>
          <t>DHAN-32126092463309</t>
        </is>
      </c>
      <c r="B225" s="23" t="inlineStr">
        <is>
          <t>MUKANDLTD</t>
        </is>
      </c>
      <c r="C225" s="23" t="inlineStr">
        <is>
          <t>SHORT</t>
        </is>
      </c>
      <c r="D225" s="24" t="n">
        <v>46289</v>
      </c>
      <c r="E225" s="25" t="n">
        <v>157.54</v>
      </c>
      <c r="F225" s="26" t="n">
        <v>1059</v>
      </c>
      <c r="G225" s="24" t="n">
        <v>46289</v>
      </c>
      <c r="H225" s="25" t="n">
        <v>155.92</v>
      </c>
      <c r="I225" s="21">
        <f>IF(OR($B225="",$H225=""),"",IF($C225="LONG",($H225-$E225)*$F225,($E225-$H225)*$F225))</f>
        <v/>
      </c>
      <c r="J225" s="4" t="n">
        <v>248.07</v>
      </c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inlineStr">
        <is>
          <t>DHAN-34126092413109</t>
        </is>
      </c>
      <c r="B226" s="23" t="inlineStr">
        <is>
          <t>ONEPOINT</t>
        </is>
      </c>
      <c r="C226" s="23" t="inlineStr">
        <is>
          <t>SHORT</t>
        </is>
      </c>
      <c r="D226" s="24" t="n">
        <v>46289</v>
      </c>
      <c r="E226" s="25" t="n">
        <v>71.53</v>
      </c>
      <c r="F226" s="26" t="n">
        <v>2439</v>
      </c>
      <c r="G226" s="24" t="n">
        <v>46289</v>
      </c>
      <c r="H226" s="25" t="n">
        <v>69.06999999999999</v>
      </c>
      <c r="I226" s="21">
        <f>IF(OR($B226="",$H226=""),"",IF($C226="LONG",($H226-$E226)*$F226,($E226-$H226)*$F226))</f>
        <v/>
      </c>
      <c r="J226" s="4" t="n">
        <v>213.84</v>
      </c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inlineStr">
        <is>
          <t>DHAN-34126092475009</t>
        </is>
      </c>
      <c r="B227" s="23" t="inlineStr">
        <is>
          <t>RAYMONDREL</t>
        </is>
      </c>
      <c r="C227" s="23" t="inlineStr">
        <is>
          <t>LONG</t>
        </is>
      </c>
      <c r="D227" s="24" t="n">
        <v>46289</v>
      </c>
      <c r="E227" s="25" t="n">
        <v>708.4741</v>
      </c>
      <c r="F227" s="26" t="n">
        <v>176</v>
      </c>
      <c r="G227" s="24" t="n">
        <v>46290</v>
      </c>
      <c r="H227" s="25" t="n">
        <v>713.5029</v>
      </c>
      <c r="I227" s="21">
        <f>IF(OR($B227="",$H227=""),"",IF($C227="LONG",($H227-$E227)*$F227,($E227-$H227)*$F227))</f>
        <v/>
      </c>
      <c r="J227" s="4" t="n">
        <v>43.01</v>
      </c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inlineStr">
        <is>
          <t>DHAN-23126092413109</t>
        </is>
      </c>
      <c r="B228" s="23" t="inlineStr">
        <is>
          <t>RAYMONDREL</t>
        </is>
      </c>
      <c r="C228" s="23" t="inlineStr">
        <is>
          <t>SHORT</t>
        </is>
      </c>
      <c r="D228" s="24" t="n">
        <v>46289</v>
      </c>
      <c r="E228" s="25" t="n">
        <v>677.0599999999999</v>
      </c>
      <c r="F228" s="26" t="n">
        <v>246</v>
      </c>
      <c r="G228" s="24" t="n">
        <v>46289</v>
      </c>
      <c r="H228" s="25" t="n">
        <v>704</v>
      </c>
      <c r="I228" s="21">
        <f>IF(OR($B228="",$H228=""),"",IF($C228="LONG",($H228-$E228)*$F228,($E228-$H228)*$F228))</f>
        <v/>
      </c>
      <c r="J228" s="4" t="n">
        <v>190.03</v>
      </c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inlineStr">
        <is>
          <t>DHAN-221260924489309</t>
        </is>
      </c>
      <c r="B229" s="23" t="inlineStr">
        <is>
          <t>RPGLIFE</t>
        </is>
      </c>
      <c r="C229" s="23" t="inlineStr">
        <is>
          <t>SHORT</t>
        </is>
      </c>
      <c r="D229" s="24" t="n">
        <v>46289</v>
      </c>
      <c r="E229" s="25" t="n">
        <v>2938.97</v>
      </c>
      <c r="F229" s="26" t="n">
        <v>55</v>
      </c>
      <c r="G229" s="24" t="n">
        <v>46289</v>
      </c>
      <c r="H229" s="25" t="n">
        <v>2914.96</v>
      </c>
      <c r="I229" s="21">
        <f>IF(OR($B229="",$H229=""),"",IF($C229="LONG",($H229-$E229)*$F229,($E229-$H229)*$F229))</f>
        <v/>
      </c>
      <c r="J229" s="4" t="n">
        <v>201.68</v>
      </c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inlineStr">
        <is>
          <t>DHAN-34126092552909</t>
        </is>
      </c>
      <c r="B230" s="23" t="inlineStr">
        <is>
          <t>AVANTEL</t>
        </is>
      </c>
      <c r="C230" s="23" t="inlineStr">
        <is>
          <t>SHORT</t>
        </is>
      </c>
      <c r="D230" s="24" t="n">
        <v>46290</v>
      </c>
      <c r="E230" s="25" t="n">
        <v>157.03</v>
      </c>
      <c r="F230" s="26" t="n">
        <v>1614</v>
      </c>
      <c r="G230" s="24" t="n">
        <v>46290</v>
      </c>
      <c r="H230" s="25" t="n">
        <v>156.4</v>
      </c>
      <c r="I230" s="21">
        <f>IF(OR($B230="",$H230=""),"",IF($C230="LONG",($H230-$E230)*$F230,($E230-$H230)*$F230))</f>
        <v/>
      </c>
      <c r="J230" s="4" t="n">
        <v>366.54</v>
      </c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inlineStr">
        <is>
          <t>DHAN-limit_entry_multi</t>
        </is>
      </c>
      <c r="B231" s="23" t="inlineStr">
        <is>
          <t>BHAGERIA</t>
        </is>
      </c>
      <c r="C231" s="23" t="inlineStr">
        <is>
          <t>LONG</t>
        </is>
      </c>
      <c r="D231" s="24" t="n">
        <v>46290</v>
      </c>
      <c r="E231" s="25" t="n">
        <v>394.528</v>
      </c>
      <c r="F231" s="26" t="n">
        <v>316</v>
      </c>
      <c r="G231" s="24" t="inlineStr"/>
      <c r="H231" s="25" t="inlineStr"/>
      <c r="I231" s="21">
        <f>IF(OR($B231="",$H231=""),"",IF($C231="LONG",($H231-$E231)*$F231,($E231-$H231)*$F231))</f>
        <v/>
      </c>
      <c r="J231" s="4" t="n">
        <v>14.75</v>
      </c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inlineStr">
        <is>
          <t>DHAN-321260925638609</t>
        </is>
      </c>
      <c r="B232" s="23" t="inlineStr">
        <is>
          <t>DELTACORP</t>
        </is>
      </c>
      <c r="C232" s="23" t="inlineStr">
        <is>
          <t>LONG</t>
        </is>
      </c>
      <c r="D232" s="24" t="n">
        <v>46290</v>
      </c>
      <c r="E232" s="25" t="n">
        <v>76.9342</v>
      </c>
      <c r="F232" s="26" t="n">
        <v>3254</v>
      </c>
      <c r="G232" s="24" t="inlineStr"/>
      <c r="H232" s="25" t="inlineStr"/>
      <c r="I232" s="21">
        <f>IF(OR($B232="",$H232=""),"",IF($C232="LONG",($H232-$E232)*$F232,($E232-$H232)*$F232))</f>
        <v/>
      </c>
      <c r="J232" s="4" t="n">
        <v>424.64</v>
      </c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inlineStr">
        <is>
          <t>DHAN-22126092551109</t>
        </is>
      </c>
      <c r="B233" s="23" t="inlineStr">
        <is>
          <t>GREAVESCOT</t>
        </is>
      </c>
      <c r="C233" s="23" t="inlineStr">
        <is>
          <t>SHORT</t>
        </is>
      </c>
      <c r="D233" s="24" t="n">
        <v>46290</v>
      </c>
      <c r="E233" s="25" t="n">
        <v>222.61</v>
      </c>
      <c r="F233" s="26" t="n">
        <v>1128</v>
      </c>
      <c r="G233" s="24" t="n">
        <v>46290</v>
      </c>
      <c r="H233" s="25" t="n">
        <v>233.98</v>
      </c>
      <c r="I233" s="21">
        <f>IF(OR($B233="",$H233=""),"",IF($C233="LONG",($H233-$E233)*$F233,($E233-$H233)*$F233))</f>
        <v/>
      </c>
      <c r="J233" s="4" t="n">
        <v>306.44</v>
      </c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inlineStr">
        <is>
          <t>DHAN-32126092550109</t>
        </is>
      </c>
      <c r="B234" s="23" t="inlineStr">
        <is>
          <t>INDIAGLYCO</t>
        </is>
      </c>
      <c r="C234" s="23" t="inlineStr">
        <is>
          <t>SHORT</t>
        </is>
      </c>
      <c r="D234" s="24" t="n">
        <v>46290</v>
      </c>
      <c r="E234" s="25" t="n">
        <v>308</v>
      </c>
      <c r="F234" s="26" t="n">
        <v>409</v>
      </c>
      <c r="G234" s="24" t="n">
        <v>46290</v>
      </c>
      <c r="H234" s="25" t="n">
        <v>308.52</v>
      </c>
      <c r="I234" s="21">
        <f>IF(OR($B234="",$H234=""),"",IF($C234="LONG",($H234-$E234)*$F234,($E234-$H234)*$F234))</f>
        <v/>
      </c>
      <c r="J234" s="4" t="n">
        <v>194.42</v>
      </c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inlineStr">
        <is>
          <t>DHAN-32126092550209</t>
        </is>
      </c>
      <c r="B235" s="23" t="inlineStr">
        <is>
          <t>KSCL</t>
        </is>
      </c>
      <c r="C235" s="23" t="inlineStr">
        <is>
          <t>SHORT</t>
        </is>
      </c>
      <c r="D235" s="24" t="n">
        <v>46290</v>
      </c>
      <c r="E235" s="25" t="n">
        <v>826.46</v>
      </c>
      <c r="F235" s="26" t="n">
        <v>319</v>
      </c>
      <c r="G235" s="24" t="n">
        <v>46290</v>
      </c>
      <c r="H235" s="25" t="n">
        <v>785.15</v>
      </c>
      <c r="I235" s="21">
        <f>IF(OR($B235="",$H235=""),"",IF($C235="LONG",($H235-$E235)*$F235,($E235-$H235)*$F235))</f>
        <v/>
      </c>
      <c r="J235" s="4" t="n">
        <v>374.42</v>
      </c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inlineStr"/>
      <c r="H236" s="25" t="inlineStr"/>
      <c r="I236" s="21">
        <f>IF(OR($B236="",$H236=""),"",IF($C236="LONG",($H236-$E236)*$F236,($E236-$H236)*$F236))</f>
        <v/>
      </c>
      <c r="J236" s="4" t="n">
        <v>61.09</v>
      </c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inlineStr"/>
      <c r="H237" s="25" t="inlineStr"/>
      <c r="I237" s="21">
        <f>IF(OR($B237="",$H237=""),"",IF($C237="LONG",($H237-$E237)*$F237,($E237-$H237)*$F237))</f>
        <v/>
      </c>
      <c r="J237" s="4" t="n">
        <v>423.77</v>
      </c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inlineStr"/>
      <c r="H238" s="25" t="inlineStr"/>
      <c r="I238" s="21">
        <f>IF(OR($B238="",$H238=""),"",IF($C238="LONG",($H238-$E238)*$F238,($E238-$H238)*$F238))</f>
        <v/>
      </c>
      <c r="J238" s="4" t="n">
        <v>61.09</v>
      </c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inlineStr"/>
      <c r="H239" s="25" t="inlineStr"/>
      <c r="I239" s="21">
        <f>IF(OR($B239="",$H239=""),"",IF($C239="LONG",($H239-$E239)*$F239,($E239-$H239)*$F239))</f>
        <v/>
      </c>
      <c r="J239" s="4" t="n">
        <v>421.9</v>
      </c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KCP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KIRIINDUS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KIRLOSIND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KLBRENG-B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KROSS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KSCL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KSL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LUXIND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MAITHANALL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MANGLMCEM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MASTEK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MOBIKWIK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MUKANDLTD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NETWORK18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NILKAMAL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NORTHARC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NOVARTIND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NPST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NRBBEARING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OMAXE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ONEPOINT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OPTIEMUS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ORIENTHOT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PACEDIGITK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PITTIENG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PROTEAN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QUADFUTURE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RACLGEAR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RAMRAT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RAYMOND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RAYMONDREL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REFEX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RESPONIND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RML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ROSSTECH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RPGLIFE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SAATVIKGL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SAKAR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SAMBHV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SAMHI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SANGAMIND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SHANTIGOLD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SHAREINDIA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SHOPERSTOP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SIKA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SINDHUTRAD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SMSPHARMA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SOLARA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SOTL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SSWL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STEELCAS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SYMPHONY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SYNCOMF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TALBROAUTO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TBZ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THOMASCOOK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VENKEYS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27" t="inlineStr">
        <is>
          <t>VENUSPIPES</t>
        </is>
      </c>
      <c r="B103" s="20">
        <f>COUNTIF('Trade Log'!$B$4:$B$503,$A103)</f>
        <v/>
      </c>
      <c r="C103" s="20">
        <f>COUNTIFS('Trade Log'!$B$4:$B$503,$A103,'Trade Log'!$K$4:$K$503,"&gt;0")</f>
        <v/>
      </c>
      <c r="D103" s="20">
        <f>COUNTIFS('Trade Log'!$B$4:$B$503,$A103,'Trade Log'!$K$4:$K$503,"&lt;0")</f>
        <v/>
      </c>
      <c r="E103" s="29">
        <f>IFERROR($C103/$B103,"")</f>
        <v/>
      </c>
      <c r="F103" s="21">
        <f>SUMIF('Trade Log'!$B$4:$B$503,$A103,'Trade Log'!$I$4:$I$503)</f>
        <v/>
      </c>
      <c r="G103" s="21">
        <f>SUMIF('Trade Log'!$B$4:$B$503,$A103,'Trade Log'!$K$4:$K$503)</f>
        <v/>
      </c>
      <c r="H103" s="21">
        <f>IFERROR($G103/$B103,"")</f>
        <v/>
      </c>
      <c r="I103" s="21">
        <f>IFERROR(_xlfn.MAXIFS('Trade Log'!$K$4:$K$503,'Trade Log'!$B$4:$B$503,$A103),"")</f>
        <v/>
      </c>
      <c r="J103" s="21">
        <f>IFERROR(_xlfn.MINIFS('Trade Log'!$K$4:$K$503,'Trade Log'!$B$4:$B$503,$A103),"")</f>
        <v/>
      </c>
    </row>
    <row r="104">
      <c r="A104" s="27" t="inlineStr">
        <is>
          <t>VERANDA</t>
        </is>
      </c>
      <c r="B104" s="20">
        <f>COUNTIF('Trade Log'!$B$4:$B$503,$A104)</f>
        <v/>
      </c>
      <c r="C104" s="20">
        <f>COUNTIFS('Trade Log'!$B$4:$B$503,$A104,'Trade Log'!$K$4:$K$503,"&gt;0")</f>
        <v/>
      </c>
      <c r="D104" s="20">
        <f>COUNTIFS('Trade Log'!$B$4:$B$503,$A104,'Trade Log'!$K$4:$K$503,"&lt;0")</f>
        <v/>
      </c>
      <c r="E104" s="29">
        <f>IFERROR($C104/$B104,"")</f>
        <v/>
      </c>
      <c r="F104" s="21">
        <f>SUMIF('Trade Log'!$B$4:$B$503,$A104,'Trade Log'!$I$4:$I$503)</f>
        <v/>
      </c>
      <c r="G104" s="21">
        <f>SUMIF('Trade Log'!$B$4:$B$503,$A104,'Trade Log'!$K$4:$K$503)</f>
        <v/>
      </c>
      <c r="H104" s="21">
        <f>IFERROR($G104/$B104,"")</f>
        <v/>
      </c>
      <c r="I104" s="21">
        <f>IFERROR(_xlfn.MAXIFS('Trade Log'!$K$4:$K$503,'Trade Log'!$B$4:$B$503,$A104),"")</f>
        <v/>
      </c>
      <c r="J104" s="21">
        <f>IFERROR(_xlfn.MINIFS('Trade Log'!$K$4:$K$503,'Trade Log'!$B$4:$B$503,$A104),"")</f>
        <v/>
      </c>
    </row>
    <row r="105">
      <c r="A105" s="27" t="inlineStr">
        <is>
          <t>VSSL</t>
        </is>
      </c>
      <c r="B105" s="20">
        <f>COUNTIF('Trade Log'!$B$4:$B$503,$A105)</f>
        <v/>
      </c>
      <c r="C105" s="20">
        <f>COUNTIFS('Trade Log'!$B$4:$B$503,$A105,'Trade Log'!$K$4:$K$503,"&gt;0")</f>
        <v/>
      </c>
      <c r="D105" s="20">
        <f>COUNTIFS('Trade Log'!$B$4:$B$503,$A105,'Trade Log'!$K$4:$K$503,"&lt;0")</f>
        <v/>
      </c>
      <c r="E105" s="29">
        <f>IFERROR($C105/$B105,"")</f>
        <v/>
      </c>
      <c r="F105" s="21">
        <f>SUMIF('Trade Log'!$B$4:$B$503,$A105,'Trade Log'!$I$4:$I$503)</f>
        <v/>
      </c>
      <c r="G105" s="21">
        <f>SUMIF('Trade Log'!$B$4:$B$503,$A105,'Trade Log'!$K$4:$K$503)</f>
        <v/>
      </c>
      <c r="H105" s="21">
        <f>IFERROR($G105/$B105,"")</f>
        <v/>
      </c>
      <c r="I105" s="21">
        <f>IFERROR(_xlfn.MAXIFS('Trade Log'!$K$4:$K$503,'Trade Log'!$B$4:$B$503,$A105),"")</f>
        <v/>
      </c>
      <c r="J105" s="21">
        <f>IFERROR(_xlfn.MINIFS('Trade Log'!$K$4:$K$503,'Trade Log'!$B$4:$B$503,$A105),"")</f>
        <v/>
      </c>
    </row>
    <row r="106">
      <c r="A106" s="27" t="inlineStr">
        <is>
          <t>WELSPLSOL</t>
        </is>
      </c>
      <c r="B106" s="20">
        <f>COUNTIF('Trade Log'!$B$4:$B$503,$A106)</f>
        <v/>
      </c>
      <c r="C106" s="20">
        <f>COUNTIFS('Trade Log'!$B$4:$B$503,$A106,'Trade Log'!$K$4:$K$503,"&gt;0")</f>
        <v/>
      </c>
      <c r="D106" s="20">
        <f>COUNTIFS('Trade Log'!$B$4:$B$503,$A106,'Trade Log'!$K$4:$K$503,"&lt;0")</f>
        <v/>
      </c>
      <c r="E106" s="29">
        <f>IFERROR($C106/$B106,"")</f>
        <v/>
      </c>
      <c r="F106" s="21">
        <f>SUMIF('Trade Log'!$B$4:$B$503,$A106,'Trade Log'!$I$4:$I$503)</f>
        <v/>
      </c>
      <c r="G106" s="21">
        <f>SUMIF('Trade Log'!$B$4:$B$503,$A106,'Trade Log'!$K$4:$K$503)</f>
        <v/>
      </c>
      <c r="H106" s="21">
        <f>IFERROR($G106/$B106,"")</f>
        <v/>
      </c>
      <c r="I106" s="21">
        <f>IFERROR(_xlfn.MAXIFS('Trade Log'!$K$4:$K$503,'Trade Log'!$B$4:$B$503,$A106),"")</f>
        <v/>
      </c>
      <c r="J106" s="21">
        <f>IFERROR(_xlfn.MINIFS('Trade Log'!$K$4:$K$503,'Trade Log'!$B$4:$B$503,$A106),"")</f>
        <v/>
      </c>
    </row>
    <row r="107">
      <c r="A107" s="27" t="inlineStr">
        <is>
          <t>WENDT</t>
        </is>
      </c>
      <c r="B107" s="20">
        <f>COUNTIF('Trade Log'!$B$4:$B$503,$A107)</f>
        <v/>
      </c>
      <c r="C107" s="20">
        <f>COUNTIFS('Trade Log'!$B$4:$B$503,$A107,'Trade Log'!$K$4:$K$503,"&gt;0")</f>
        <v/>
      </c>
      <c r="D107" s="20">
        <f>COUNTIFS('Trade Log'!$B$4:$B$503,$A107,'Trade Log'!$K$4:$K$503,"&lt;0")</f>
        <v/>
      </c>
      <c r="E107" s="29">
        <f>IFERROR($C107/$B107,"")</f>
        <v/>
      </c>
      <c r="F107" s="21">
        <f>SUMIF('Trade Log'!$B$4:$B$503,$A107,'Trade Log'!$I$4:$I$503)</f>
        <v/>
      </c>
      <c r="G107" s="21">
        <f>SUMIF('Trade Log'!$B$4:$B$503,$A107,'Trade Log'!$K$4:$K$503)</f>
        <v/>
      </c>
      <c r="H107" s="21">
        <f>IFERROR($G107/$B107,"")</f>
        <v/>
      </c>
      <c r="I107" s="21">
        <f>IFERROR(_xlfn.MAXIFS('Trade Log'!$K$4:$K$503,'Trade Log'!$B$4:$B$503,$A107),"")</f>
        <v/>
      </c>
      <c r="J107" s="21">
        <f>IFERROR(_xlfn.MINIFS('Trade Log'!$K$4:$K$503,'Trade Log'!$B$4:$B$503,$A107),"")</f>
        <v/>
      </c>
    </row>
    <row r="108">
      <c r="A108" s="27" t="inlineStr">
        <is>
          <t>WINDLAS</t>
        </is>
      </c>
      <c r="B108" s="20">
        <f>COUNTIF('Trade Log'!$B$4:$B$503,$A108)</f>
        <v/>
      </c>
      <c r="C108" s="20">
        <f>COUNTIFS('Trade Log'!$B$4:$B$503,$A108,'Trade Log'!$K$4:$K$503,"&gt;0")</f>
        <v/>
      </c>
      <c r="D108" s="20">
        <f>COUNTIFS('Trade Log'!$B$4:$B$503,$A108,'Trade Log'!$K$4:$K$503,"&lt;0")</f>
        <v/>
      </c>
      <c r="E108" s="29">
        <f>IFERROR($C108/$B108,"")</f>
        <v/>
      </c>
      <c r="F108" s="21">
        <f>SUMIF('Trade Log'!$B$4:$B$503,$A108,'Trade Log'!$I$4:$I$503)</f>
        <v/>
      </c>
      <c r="G108" s="21">
        <f>SUMIF('Trade Log'!$B$4:$B$503,$A108,'Trade Log'!$K$4:$K$503)</f>
        <v/>
      </c>
      <c r="H108" s="21">
        <f>IFERROR($G108/$B108,"")</f>
        <v/>
      </c>
      <c r="I108" s="21">
        <f>IFERROR(_xlfn.MAXIFS('Trade Log'!$K$4:$K$503,'Trade Log'!$B$4:$B$503,$A108),"")</f>
        <v/>
      </c>
      <c r="J108" s="21">
        <f>IFERROR(_xlfn.MINIFS('Trade Log'!$K$4:$K$503,'Trade Log'!$B$4:$B$503,$A108),"")</f>
        <v/>
      </c>
    </row>
    <row r="109">
      <c r="A109" s="27" t="inlineStr">
        <is>
          <t>XPROINDIA</t>
        </is>
      </c>
      <c r="B109" s="20">
        <f>COUNTIF('Trade Log'!$B$4:$B$503,$A109)</f>
        <v/>
      </c>
      <c r="C109" s="20">
        <f>COUNTIFS('Trade Log'!$B$4:$B$503,$A109,'Trade Log'!$K$4:$K$503,"&gt;0")</f>
        <v/>
      </c>
      <c r="D109" s="20">
        <f>COUNTIFS('Trade Log'!$B$4:$B$503,$A109,'Trade Log'!$K$4:$K$503,"&lt;0")</f>
        <v/>
      </c>
      <c r="E109" s="29">
        <f>IFERROR($C109/$B109,"")</f>
        <v/>
      </c>
      <c r="F109" s="21">
        <f>SUMIF('Trade Log'!$B$4:$B$503,$A109,'Trade Log'!$I$4:$I$503)</f>
        <v/>
      </c>
      <c r="G109" s="21">
        <f>SUMIF('Trade Log'!$B$4:$B$503,$A109,'Trade Log'!$K$4:$K$503)</f>
        <v/>
      </c>
      <c r="H109" s="21">
        <f>IFERROR($G109/$B109,"")</f>
        <v/>
      </c>
      <c r="I109" s="21">
        <f>IFERROR(_xlfn.MAXIFS('Trade Log'!$K$4:$K$503,'Trade Log'!$B$4:$B$503,$A109),"")</f>
        <v/>
      </c>
      <c r="J109" s="21">
        <f>IFERROR(_xlfn.MINIFS('Trade Log'!$K$4:$K$503,'Trade Log'!$B$4:$B$503,$A109),"")</f>
        <v/>
      </c>
    </row>
    <row r="110">
      <c r="A110" s="27" t="inlineStr">
        <is>
          <t>ZAGGLE</t>
        </is>
      </c>
      <c r="B110" s="20">
        <f>COUNTIF('Trade Log'!$B$4:$B$503,$A110)</f>
        <v/>
      </c>
      <c r="C110" s="20">
        <f>COUNTIFS('Trade Log'!$B$4:$B$503,$A110,'Trade Log'!$K$4:$K$503,"&gt;0")</f>
        <v/>
      </c>
      <c r="D110" s="20">
        <f>COUNTIFS('Trade Log'!$B$4:$B$503,$A110,'Trade Log'!$K$4:$K$503,"&lt;0")</f>
        <v/>
      </c>
      <c r="E110" s="29">
        <f>IFERROR($C110/$B110,"")</f>
        <v/>
      </c>
      <c r="F110" s="21">
        <f>SUMIF('Trade Log'!$B$4:$B$503,$A110,'Trade Log'!$I$4:$I$503)</f>
        <v/>
      </c>
      <c r="G110" s="21">
        <f>SUMIF('Trade Log'!$B$4:$B$503,$A110,'Trade Log'!$K$4:$K$503)</f>
        <v/>
      </c>
      <c r="H110" s="21">
        <f>IFERROR($G110/$B110,"")</f>
        <v/>
      </c>
      <c r="I110" s="21">
        <f>IFERROR(_xlfn.MAXIFS('Trade Log'!$K$4:$K$503,'Trade Log'!$B$4:$B$503,$A110),"")</f>
        <v/>
      </c>
      <c r="J110" s="21">
        <f>IFERROR(_xlfn.MINIFS('Trade Log'!$K$4:$K$503,'Trade Log'!$B$4:$B$503,$A110),"")</f>
        <v/>
      </c>
    </row>
    <row r="111">
      <c r="A111" s="27" t="inlineStr">
        <is>
          <t>ZOTA</t>
        </is>
      </c>
      <c r="B111" s="20">
        <f>COUNTIF('Trade Log'!$B$4:$B$503,$A111)</f>
        <v/>
      </c>
      <c r="C111" s="20">
        <f>COUNTIFS('Trade Log'!$B$4:$B$503,$A111,'Trade Log'!$K$4:$K$503,"&gt;0")</f>
        <v/>
      </c>
      <c r="D111" s="20">
        <f>COUNTIFS('Trade Log'!$B$4:$B$503,$A111,'Trade Log'!$K$4:$K$503,"&lt;0")</f>
        <v/>
      </c>
      <c r="E111" s="29">
        <f>IFERROR($C111/$B111,"")</f>
        <v/>
      </c>
      <c r="F111" s="21">
        <f>SUMIF('Trade Log'!$B$4:$B$503,$A111,'Trade Log'!$I$4:$I$503)</f>
        <v/>
      </c>
      <c r="G111" s="21">
        <f>SUMIF('Trade Log'!$B$4:$B$503,$A111,'Trade Log'!$K$4:$K$503)</f>
        <v/>
      </c>
      <c r="H111" s="21">
        <f>IFERROR($G111/$B111,"")</f>
        <v/>
      </c>
      <c r="I111" s="21">
        <f>IFERROR(_xlfn.MAXIFS('Trade Log'!$K$4:$K$503,'Trade Log'!$B$4:$B$503,$A111),"")</f>
        <v/>
      </c>
      <c r="J111" s="21">
        <f>IFERROR(_xlfn.MINIFS('Trade Log'!$K$4:$K$503,'Trade Log'!$B$4:$B$503,$A111),"")</f>
        <v/>
      </c>
    </row>
    <row r="112">
      <c r="A112" s="3" t="inlineStr">
        <is>
          <t>TOTAL</t>
        </is>
      </c>
      <c r="B112" s="30">
        <f>SUM(B4:B111)</f>
        <v/>
      </c>
      <c r="C112" s="30">
        <f>SUM(C4:C111)</f>
        <v/>
      </c>
      <c r="D112" s="30">
        <f>SUM(D4:D111)</f>
        <v/>
      </c>
      <c r="E112" s="31">
        <f>IFERROR(C112/B112,"")</f>
        <v/>
      </c>
      <c r="F112" s="32">
        <f>SUM(F4:F111)</f>
        <v/>
      </c>
      <c r="G112" s="32">
        <f>SUM(G4:G111)</f>
        <v/>
      </c>
      <c r="H112" s="32">
        <f>IFERROR(G112/B112,"")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2026-09-26T14:20:56Z</dcterms:created>
  <dcterms:modified xmlns:dcterms="http://purl.org/dc/terms/" xmlns:xsi="http://www.w3.org/2001/XMLSchema-instance" xsi:type="dcterms:W3CDTF">2026-09-26T14:20:56Z</dcterms:modified>
</cp:coreProperties>
</file>