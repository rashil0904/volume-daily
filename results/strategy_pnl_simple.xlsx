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828.1799999999999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831.59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504.66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505.69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1180.15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503.19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493.06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833.89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888.66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831.16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830.12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966.99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939.37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937.8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174.02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167.02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406.77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954.59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944.79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168.01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585.74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584.8200000000001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110.57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172.38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165.98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240.58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588.72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582.0700000000001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530.78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207.68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520.8200000000001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522.52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117.05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522.78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118.48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527.75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524.65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83.56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120.22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118.26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111.61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77.73999999999999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110.47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109.62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108.56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109.99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1120.75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108.69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1100.92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25.2263</v>
      </c>
      <c r="I93" s="21">
        <f>IF(OR($B93="",$H93=""),"",IF($C93="LONG",($H93-$E93)*$F93,($E93-$H93)*$F93))</f>
        <v/>
      </c>
      <c r="J93" s="4" t="n">
        <v>1094.47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inlineStr"/>
      <c r="H94" s="25" t="inlineStr"/>
      <c r="I94" s="21">
        <f>IF(OR($B94="",$H94=""),"",IF($C94="LONG",($H94-$E94)*$F94,($E94-$H94)*$F94))</f>
        <v/>
      </c>
      <c r="J94" s="4" t="n">
        <v>350.43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inlineStr"/>
      <c r="H95" s="25" t="inlineStr"/>
      <c r="I95" s="21">
        <f>IF(OR($B95="",$H95=""),"",IF($C95="LONG",($H95-$E95)*$F95,($E95-$H95)*$F95))</f>
        <v/>
      </c>
      <c r="J95" s="4" t="n">
        <v>153.76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inlineStr"/>
      <c r="H96" s="25" t="inlineStr"/>
      <c r="I96" s="21">
        <f>IF(OR($B96="",$H96=""),"",IF($C96="LONG",($H96-$E96)*$F96,($E96-$H96)*$F96))</f>
        <v/>
      </c>
      <c r="J96" s="4" t="n">
        <v>350.39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180.83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inlineStr"/>
      <c r="H98" s="25" t="inlineStr"/>
      <c r="I98" s="21">
        <f>IF(OR($B98="",$H98=""),"",IF($C98="LONG",($H98-$E98)*$F98,($E98-$H98)*$F98))</f>
        <v/>
      </c>
      <c r="J98" s="4" t="n">
        <v>349.98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DHAN-321260907112709</t>
        </is>
      </c>
      <c r="B99" s="23" t="inlineStr">
        <is>
          <t>RML</t>
        </is>
      </c>
      <c r="C99" s="23" t="inlineStr">
        <is>
          <t>SHORT</t>
        </is>
      </c>
      <c r="D99" s="24" t="n">
        <v>46272</v>
      </c>
      <c r="E99" s="25" t="n">
        <v>1345.7526</v>
      </c>
      <c r="F99" s="26" t="n">
        <v>270</v>
      </c>
      <c r="G99" s="24" t="n">
        <v>46272</v>
      </c>
      <c r="H99" s="25" t="n">
        <v>1363.1344</v>
      </c>
      <c r="I99" s="21">
        <f>IF(OR($B99="",$H99=""),"",IF($C99="LONG",($H99-$E99)*$F99,($E99-$H99)*$F99))</f>
        <v/>
      </c>
      <c r="J99" s="4" t="n">
        <v>176.44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DHAN-34126090734409</t>
        </is>
      </c>
      <c r="B100" s="23" t="inlineStr">
        <is>
          <t>SINDHUTRAD</t>
        </is>
      </c>
      <c r="C100" s="23" t="inlineStr">
        <is>
          <t>SHORT</t>
        </is>
      </c>
      <c r="D100" s="24" t="n">
        <v>46272</v>
      </c>
      <c r="E100" s="25" t="n">
        <v>24.77</v>
      </c>
      <c r="F100" s="26" t="n">
        <v>13916</v>
      </c>
      <c r="G100" s="24" t="n">
        <v>46272</v>
      </c>
      <c r="H100" s="25" t="n">
        <v>25.2993</v>
      </c>
      <c r="I100" s="21">
        <f>IF(OR($B100="",$H100=""),"",IF($C100="LONG",($H100-$E100)*$F100,($E100-$H100)*$F100))</f>
        <v/>
      </c>
      <c r="J100" s="4" t="n">
        <v>170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DHAN-321260907804109</t>
        </is>
      </c>
      <c r="B101" s="23" t="inlineStr">
        <is>
          <t>TALBROAUTO</t>
        </is>
      </c>
      <c r="C101" s="23" t="inlineStr">
        <is>
          <t>LONG</t>
        </is>
      </c>
      <c r="D101" s="24" t="n">
        <v>46272</v>
      </c>
      <c r="E101" s="25" t="n">
        <v>433.5513</v>
      </c>
      <c r="F101" s="26" t="n">
        <v>538</v>
      </c>
      <c r="G101" s="24" t="inlineStr"/>
      <c r="H101" s="25" t="inlineStr"/>
      <c r="I101" s="21">
        <f>IF(OR($B101="",$H101=""),"",IF($C101="LONG",($H101-$E101)*$F101,($E101-$H101)*$F101))</f>
        <v/>
      </c>
      <c r="J101" s="4" t="n">
        <v>350.71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4" t="n"/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BFUTILITIE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BOMDYEING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CHEMPLASTS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FMGOETZE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GKENERGY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GNRL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GOCLCORP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GOPAL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GUJTHEM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HERITGFOOD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HIKAL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HINDOILEXP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HUBTOWN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INDOCO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JGCHEM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KCP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KIRIINDUS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KLBRENG-B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MAITHANALL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MANGLMCEM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MASTEK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NETWORK18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NILKAMAL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NORTHARC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OMAXE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OPTIEMUS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ORIENTHOT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PITTIENG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QUADFUTURE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RAMRAT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RAYMOND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RML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SAKAR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SINDHUTRAD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SOLARA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SOTL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SSWL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SYNCOMF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TALBROAUTO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TBZ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THOMASCOOK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VENKEYS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VERANDA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WELSPLSOL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WINDLAS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XPROINDIA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ZAGGLE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3" t="inlineStr">
        <is>
          <t>TOTAL</t>
        </is>
      </c>
      <c r="B56" s="30">
        <f>SUM(B4:B55)</f>
        <v/>
      </c>
      <c r="C56" s="30">
        <f>SUM(C4:C55)</f>
        <v/>
      </c>
      <c r="D56" s="30">
        <f>SUM(D4:D55)</f>
        <v/>
      </c>
      <c r="E56" s="31">
        <f>IFERROR(C56/B56,"")</f>
        <v/>
      </c>
      <c r="F56" s="32">
        <f>SUM(F4:F55)</f>
        <v/>
      </c>
      <c r="G56" s="32">
        <f>SUM(G4:G55)</f>
        <v/>
      </c>
      <c r="H56" s="32">
        <f>IFERROR(G56/B56,"")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2026-09-07T09:51:11Z</dcterms:created>
  <dcterms:modified xmlns:dcterms="http://purl.org/dc/terms/" xmlns:xsi="http://www.w3.org/2001/XMLSchema-instance" xsi:type="dcterms:W3CDTF">2026-09-07T09:51:12Z</dcterms:modified>
</cp:coreProperties>
</file>