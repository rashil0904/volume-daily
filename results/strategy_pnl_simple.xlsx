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'Charges'!$A$3:$N$244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571.63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688.97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570.48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662.86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591.59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398.53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414.06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345.01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414.39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380.54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413.82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406.37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870.55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991.03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597.72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598.83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677.24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670.4299999999999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574.4299999999999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612.4299999999999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693.6799999999999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441.48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356.27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412.31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893.51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799.53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826.87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479.58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531.37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420.15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428.89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642.52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638.36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654.42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564.1900000000001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632.15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494.64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504.47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490.94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467.31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542.35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461.25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526.11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520.35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518.72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446.71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463.14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628.09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636.36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599.72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589.05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601.72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591.03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295.56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337.38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288.82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191.91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296.03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500.23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461.09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464.04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497.33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520.4400000000001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457.98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395.2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355.55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385.64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315.52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318.22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359.56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316.61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360.99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162.78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531.9400000000001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562.72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526.92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589.12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524.41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inlineStr"/>
      <c r="H240" s="25" t="inlineStr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50.15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inlineStr"/>
      <c r="H241" s="25" t="inlineStr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50.15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DHAN-341260928158709+341260928158609+221260928823209+341260928158409+341260928158209+341260928158009+341260928157909+221260928821609+341260928157709+221260928820609+341260928157509</t>
        </is>
      </c>
      <c r="B242" s="23" t="inlineStr">
        <is>
          <t>SDBL</t>
        </is>
      </c>
      <c r="C242" s="23" t="inlineStr">
        <is>
          <t>LONG</t>
        </is>
      </c>
      <c r="D242" s="24" t="n">
        <v>46293</v>
      </c>
      <c r="E242" s="25" t="n">
        <v>80.2633</v>
      </c>
      <c r="F242" s="26" t="n">
        <v>3732</v>
      </c>
      <c r="G242" s="24" t="inlineStr"/>
      <c r="H242" s="25" t="inlineStr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50.15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5-10</t>
        </is>
      </c>
    </row>
    <row r="243">
      <c r="A243" s="23" t="inlineStr">
        <is>
          <t>DHAN-341260928159209</t>
        </is>
      </c>
      <c r="B243" s="23" t="inlineStr">
        <is>
          <t>SMCGLOBAL</t>
        </is>
      </c>
      <c r="C243" s="23" t="inlineStr">
        <is>
          <t>LONG</t>
        </is>
      </c>
      <c r="D243" s="24" t="n">
        <v>46293</v>
      </c>
      <c r="E243" s="25" t="n">
        <v>97.1964</v>
      </c>
      <c r="F243" s="26" t="n">
        <v>3087</v>
      </c>
      <c r="G243" s="24" t="inlineStr"/>
      <c r="H243" s="25" t="inlineStr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50.15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15-20</t>
        </is>
      </c>
    </row>
    <row r="244">
      <c r="A244" s="23" t="inlineStr">
        <is>
          <t>DHAN-341260928159109</t>
        </is>
      </c>
      <c r="B244" s="23" t="inlineStr">
        <is>
          <t>SYNCOMF</t>
        </is>
      </c>
      <c r="C244" s="23" t="inlineStr">
        <is>
          <t>LONG</t>
        </is>
      </c>
      <c r="D244" s="24" t="n">
        <v>46293</v>
      </c>
      <c r="E244" s="25" t="n">
        <v>22.1897</v>
      </c>
      <c r="F244" s="26" t="n">
        <v>13513</v>
      </c>
      <c r="G244" s="24" t="inlineStr"/>
      <c r="H244" s="25" t="inlineStr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50.15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10-15</t>
        </is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JINDRILL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KCP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KIRIINDUS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KIRLOSIND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KLBRENG-B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KROSS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KSCL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KSL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LUXIND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MAITHANALL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MANGLMCEM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MASTEK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MOBIKWIK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MUKANDLTD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NETWORK18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NILKAMAL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NORTHARC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NOVARTIND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NPST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NRBBEARING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OMAXE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ONEPOINT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OPTIEMUS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ORIENTHOT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PACEDIGITK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PITTIENG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PROTEAN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QUADFUTURE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RACLGEAR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RAMRAT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RAYMOND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RAYMONDREL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REFEX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RESPONIND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RML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ROSSTECH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RPGLIFE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RSYSTEMS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SAATVIKGL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SAKAR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SAMBHV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SAMHI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SANGAMIND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SDBL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SHANTIGOLD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SHAREINDIA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SHOPERSTOP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SIKA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SINDHUTRAD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SMCGLOBAL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SMSPHARMA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SOLARA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SOTL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SSWL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STEELCAS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SYMPHONY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SYNCOMF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TALBROAUTO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TBZ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THOMASCOOK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VENKEYS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VENUSPIPES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VERANDA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VSSL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WELSPLSOL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WENDT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WINDLAS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XPROINDIA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ZAGGLE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ZOTA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3" t="inlineStr">
        <is>
          <t>TOTAL</t>
        </is>
      </c>
      <c r="B116" s="30">
        <f>SUM(B4:B115)</f>
        <v/>
      </c>
      <c r="C116" s="30">
        <f>SUM(C4:C115)</f>
        <v/>
      </c>
      <c r="D116" s="30">
        <f>SUM(D4:D115)</f>
        <v/>
      </c>
      <c r="E116" s="31">
        <f>IFERROR(C116/B116,"")</f>
        <v/>
      </c>
      <c r="F116" s="32">
        <f>SUM(F4:F115)</f>
        <v/>
      </c>
      <c r="G116" s="32">
        <f>SUM(G4:G115)</f>
        <v/>
      </c>
      <c r="H116" s="32">
        <f>IFERROR(G116/B116,"")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4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107.54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150.57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107.37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128.7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126.13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59.49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71.89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43.2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71.67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78.93000000000001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72.04000000000001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61.39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314.23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46.96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98.34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82.03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98.76000000000001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157.28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171.58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156.76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131.96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98.84999999999999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97.06999999999999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53.72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57.47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274.38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274.45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96.83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91.65000000000001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91.51000000000001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91.76000000000001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90.48999999999999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78.44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72.28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70.40000000000001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114.09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128.7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113.46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112.39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178.51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176.87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186.14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170.92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56.99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57.15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52.74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52.48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43.72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59.95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67.58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79.02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135.21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125.69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136.63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126.19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29.08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29.81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17.88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10.52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29.91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31.59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55.88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59.65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31.58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52.62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55.75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17.52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18.32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10.46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14.58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17.48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14.61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17.33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19.12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55.07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124.67</v>
      </c>
      <c r="G234" s="4" t="n">
        <v>3.83</v>
      </c>
      <c r="H234" s="4" t="n">
        <v>0.12</v>
      </c>
      <c r="I234" s="4" t="n">
        <v>18.7</v>
      </c>
      <c r="J234" s="4" t="n">
        <v>0.71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20</v>
      </c>
      <c r="F235" s="4" t="n">
        <v>250.33</v>
      </c>
      <c r="G235" s="4" t="n">
        <v>7.69</v>
      </c>
      <c r="H235" s="4" t="n">
        <v>0.25</v>
      </c>
      <c r="I235" s="4" t="n">
        <v>37.55</v>
      </c>
      <c r="J235" s="4" t="n">
        <v>5.03</v>
      </c>
      <c r="K235" s="4" t="n">
        <v>14.75</v>
      </c>
      <c r="L235" s="4" t="n">
        <v>35.4</v>
      </c>
      <c r="M235" s="4" t="n">
        <v>160.94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74.84999999999999</v>
      </c>
      <c r="F236" s="4" t="n">
        <v>249.5</v>
      </c>
      <c r="G236" s="4" t="n">
        <v>7.66</v>
      </c>
      <c r="H236" s="4" t="n">
        <v>0.25</v>
      </c>
      <c r="I236" s="4" t="n">
        <v>37.42</v>
      </c>
      <c r="J236" s="4" t="n">
        <v>14.9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20</v>
      </c>
      <c r="F237" s="4" t="n">
        <v>251.34</v>
      </c>
      <c r="G237" s="4" t="n">
        <v>7.72</v>
      </c>
      <c r="H237" s="4" t="n">
        <v>0.25</v>
      </c>
      <c r="I237" s="4" t="n">
        <v>37.7</v>
      </c>
      <c r="J237" s="4" t="n">
        <v>5.03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74.97</v>
      </c>
      <c r="F238" s="4" t="n">
        <v>249.86</v>
      </c>
      <c r="G238" s="4" t="n">
        <v>7.67</v>
      </c>
      <c r="H238" s="4" t="n">
        <v>0.25</v>
      </c>
      <c r="I238" s="4" t="n">
        <v>37.48</v>
      </c>
      <c r="J238" s="4" t="n">
        <v>14.92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20</v>
      </c>
      <c r="F239" s="4" t="n">
        <v>249.79</v>
      </c>
      <c r="G239" s="4" t="n">
        <v>7.67</v>
      </c>
      <c r="H239" s="4" t="n">
        <v>0.25</v>
      </c>
      <c r="I239" s="4" t="n">
        <v>37.76</v>
      </c>
      <c r="J239" s="4" t="n">
        <v>5.03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inlineStr"/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14.75</v>
      </c>
      <c r="L240" s="4" t="n">
        <v>35.4</v>
      </c>
      <c r="M240" s="4" t="n">
        <v>0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inlineStr"/>
      <c r="E241" s="4" t="n">
        <v>0</v>
      </c>
      <c r="F241" s="4" t="n">
        <v>0</v>
      </c>
      <c r="G241" s="4" t="n">
        <v>0</v>
      </c>
      <c r="H241" s="4" t="n">
        <v>0</v>
      </c>
      <c r="I241" s="4" t="n">
        <v>0</v>
      </c>
      <c r="J241" s="4" t="n">
        <v>0</v>
      </c>
      <c r="K241" s="4" t="n">
        <v>14.75</v>
      </c>
      <c r="L241" s="4" t="n">
        <v>35.4</v>
      </c>
      <c r="M241" s="4" t="n">
        <v>0</v>
      </c>
      <c r="N241" s="21">
        <f>SUM(E241:M241)</f>
        <v/>
      </c>
    </row>
    <row r="242">
      <c r="A242" s="23" t="inlineStr">
        <is>
          <t>DHAN-341260928158709+341260928158609+221260928823209+341260928158409+341260928158209+341260928158009+341260928157909+221260928821609+341260928157709+221260928820609+341260928157509</t>
        </is>
      </c>
      <c r="B242" s="23" t="inlineStr">
        <is>
          <t>SDBL</t>
        </is>
      </c>
      <c r="C242" s="23" t="inlineStr">
        <is>
          <t>LONG</t>
        </is>
      </c>
      <c r="D242" s="24" t="inlineStr"/>
      <c r="E242" s="4" t="n">
        <v>0</v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14.75</v>
      </c>
      <c r="L242" s="4" t="n">
        <v>35.4</v>
      </c>
      <c r="M242" s="4" t="n">
        <v>0</v>
      </c>
      <c r="N242" s="21">
        <f>SUM(E242:M242)</f>
        <v/>
      </c>
    </row>
    <row r="243">
      <c r="A243" s="23" t="inlineStr">
        <is>
          <t>DHAN-341260928159209</t>
        </is>
      </c>
      <c r="B243" s="23" t="inlineStr">
        <is>
          <t>SMCGLOBAL</t>
        </is>
      </c>
      <c r="C243" s="23" t="inlineStr">
        <is>
          <t>LONG</t>
        </is>
      </c>
      <c r="D243" s="24" t="inlineStr"/>
      <c r="E243" s="4" t="n">
        <v>0</v>
      </c>
      <c r="F243" s="4" t="n">
        <v>0</v>
      </c>
      <c r="G243" s="4" t="n">
        <v>0</v>
      </c>
      <c r="H243" s="4" t="n">
        <v>0</v>
      </c>
      <c r="I243" s="4" t="n">
        <v>0</v>
      </c>
      <c r="J243" s="4" t="n">
        <v>0</v>
      </c>
      <c r="K243" s="4" t="n">
        <v>14.75</v>
      </c>
      <c r="L243" s="4" t="n">
        <v>35.4</v>
      </c>
      <c r="M243" s="4" t="n">
        <v>0</v>
      </c>
      <c r="N243" s="21">
        <f>SUM(E243:M243)</f>
        <v/>
      </c>
    </row>
    <row r="244">
      <c r="A244" s="23" t="inlineStr">
        <is>
          <t>DHAN-341260928159109</t>
        </is>
      </c>
      <c r="B244" s="23" t="inlineStr">
        <is>
          <t>SYNCOMF</t>
        </is>
      </c>
      <c r="C244" s="23" t="inlineStr">
        <is>
          <t>LONG</t>
        </is>
      </c>
      <c r="D244" s="24" t="inlineStr"/>
      <c r="E244" s="4" t="n">
        <v>0</v>
      </c>
      <c r="F244" s="4" t="n">
        <v>0</v>
      </c>
      <c r="G244" s="4" t="n">
        <v>0</v>
      </c>
      <c r="H244" s="4" t="n">
        <v>0</v>
      </c>
      <c r="I244" s="4" t="n">
        <v>0</v>
      </c>
      <c r="J244" s="4" t="n">
        <v>0</v>
      </c>
      <c r="K244" s="4" t="n">
        <v>14.75</v>
      </c>
      <c r="L244" s="4" t="n">
        <v>35.4</v>
      </c>
      <c r="M244" s="4" t="n">
        <v>0</v>
      </c>
      <c r="N244" s="21">
        <f>SUM(E244:M244)</f>
        <v/>
      </c>
    </row>
    <row r="245">
      <c r="A245" s="3" t="inlineStr">
        <is>
          <t>TOTAL</t>
        </is>
      </c>
      <c r="E245" s="32">
        <f>SUM(E4:E244)</f>
        <v/>
      </c>
      <c r="F245" s="32">
        <f>SUM(F4:F244)</f>
        <v/>
      </c>
      <c r="G245" s="32">
        <f>SUM(G4:G244)</f>
        <v/>
      </c>
      <c r="H245" s="32">
        <f>SUM(H4:H244)</f>
        <v/>
      </c>
      <c r="I245" s="32">
        <f>SUM(I4:I244)</f>
        <v/>
      </c>
      <c r="J245" s="32">
        <f>SUM(J4:J244)</f>
        <v/>
      </c>
      <c r="K245" s="32">
        <f>SUM(K4:K244)</f>
        <v/>
      </c>
      <c r="L245" s="32">
        <f>SUM(L4:L244)</f>
        <v/>
      </c>
      <c r="M245" s="32">
        <f>SUM(M4:M244)</f>
        <v/>
      </c>
      <c r="N245" s="32">
        <f>SUM(N4:N244)</f>
        <v/>
      </c>
    </row>
  </sheetData>
  <autoFilter ref="A3:N24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28" t="n">
        <v>46293</v>
      </c>
      <c r="B17" s="20">
        <f>COUNTIFS('Trade Log'!$G$4:$G$503,"&gt;="&amp;DATE(2026,9,28),'Trade Log'!$G$4:$G$503,"&lt;"&amp;DATE(2026,10,5))</f>
        <v/>
      </c>
      <c r="C17" s="20">
        <f>COUNTIFS('Trade Log'!$G$4:$G$503,"&gt;="&amp;DATE(2026,9,28),'Trade Log'!$G$4:$G$503,"&lt;"&amp;DATE(2026,10,5),'Trade Log'!$L$4:$L$503,"&gt;0")</f>
        <v/>
      </c>
      <c r="D17" s="20">
        <f>COUNTIFS('Trade Log'!$G$4:$G$503,"&gt;="&amp;DATE(2026,9,28),'Trade Log'!$G$4:$G$503,"&lt;"&amp;DATE(2026,10,5),'Trade Log'!$L$4:$L$503,"&lt;0")</f>
        <v/>
      </c>
      <c r="E17" s="22">
        <f>IFERROR($C17/$B17,"")</f>
        <v/>
      </c>
      <c r="F17" s="21">
        <f>SUMIFS('Trade Log'!$I$4:$I$503,'Trade Log'!$G$4:$G$503,"&gt;="&amp;DATE(2026,9,28),'Trade Log'!$G$4:$G$503,"&lt;"&amp;DATE(2026,10,5))</f>
        <v/>
      </c>
      <c r="G17" s="21">
        <f>SUMIFS('Trade Log'!$L$4:$L$503,'Trade Log'!$G$4:$G$503,"&gt;="&amp;DATE(2026,9,28),'Trade Log'!$G$4:$G$503,"&lt;"&amp;DATE(2026,10,5))</f>
        <v/>
      </c>
      <c r="H17" s="21">
        <f>IFERROR($G17/$B17,"")</f>
        <v/>
      </c>
      <c r="I17" s="21">
        <f>IFERROR(_xlfn.MAXIFS('Trade Log'!$L$4:$L$503,'Trade Log'!$G$4:$G$503,"&gt;="&amp;DATE(2026,9,28),'Trade Log'!$G$4:$G$503,"&lt;"&amp;DATE(2026,10,5)),"")</f>
        <v/>
      </c>
      <c r="J17" s="21">
        <f>IFERROR(_xlfn.MINIFS('Trade Log'!$L$4:$L$503,'Trade Log'!$G$4:$G$503,"&gt;="&amp;DATE(2026,9,28),'Trade Log'!$G$4:$G$503,"&lt;"&amp;DATE(2026,10,5)),"")</f>
        <v/>
      </c>
      <c r="K17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8">
      <c r="A18" s="3" t="inlineStr">
        <is>
          <t>TOTAL</t>
        </is>
      </c>
      <c r="B18" s="30">
        <f>SUM(B11:B17)</f>
        <v/>
      </c>
      <c r="C18" s="30">
        <f>SUM(C11:C17)</f>
        <v/>
      </c>
      <c r="D18" s="30">
        <f>SUM(D11:D17)</f>
        <v/>
      </c>
      <c r="E18" s="31">
        <f>IFERROR(C18/B18,"")</f>
        <v/>
      </c>
      <c r="F18" s="32">
        <f>SUM(F11:F17)</f>
        <v/>
      </c>
      <c r="G18" s="32">
        <f>SUM(G11:G17)</f>
        <v/>
      </c>
      <c r="H18" s="32">
        <f>IFERROR(G18/B18,"")</f>
        <v/>
      </c>
      <c r="K1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2026-09-28T16:17:20Z</dcterms:created>
  <dcterms:modified xmlns:dcterms="http://purl.org/dc/terms/" xmlns:xsi="http://www.w3.org/2001/XMLSchema-instance" xsi:type="dcterms:W3CDTF">2026-09-28T16:17:20Z</dcterms:modified>
</cp:coreProperties>
</file>