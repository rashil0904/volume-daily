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824.42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827.9299999999999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811.26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810.36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830.98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158.12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485.23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150.86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499.13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505.32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501.11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505.74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152.7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149.05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496.52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500.36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156.88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102.97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105.07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106.77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DHAN-321260821106109</t>
        </is>
      </c>
      <c r="B24" s="23" t="inlineStr">
        <is>
          <t>MANGLMCEM</t>
        </is>
      </c>
      <c r="C24" s="23" t="inlineStr">
        <is>
          <t>SHORT</t>
        </is>
      </c>
      <c r="D24" s="24" t="n">
        <v>46255</v>
      </c>
      <c r="E24" s="25" t="n">
        <v>988.4104</v>
      </c>
      <c r="F24" s="26" t="n">
        <v>168</v>
      </c>
      <c r="G24" s="24" t="n">
        <v>46255</v>
      </c>
      <c r="H24" s="25" t="n">
        <v>1013.811</v>
      </c>
      <c r="I24" s="21">
        <f>IF(OR($B24="",$H24=""),"",IF($C24="LONG",($H24-$E24)*$F24,($E24-$H24)*$F24))</f>
        <v/>
      </c>
      <c r="J24" s="4" t="n">
        <v>106.4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DHAN-321260821106709</t>
        </is>
      </c>
      <c r="B25" s="23" t="inlineStr">
        <is>
          <t>NETWORK18</t>
        </is>
      </c>
      <c r="C25" s="23" t="inlineStr">
        <is>
          <t>SHORT</t>
        </is>
      </c>
      <c r="D25" s="24" t="n">
        <v>46255</v>
      </c>
      <c r="E25" s="25" t="n">
        <v>30.5074</v>
      </c>
      <c r="F25" s="26" t="n">
        <v>5468</v>
      </c>
      <c r="G25" s="24" t="n">
        <v>46255</v>
      </c>
      <c r="H25" s="25" t="n">
        <v>29.9088</v>
      </c>
      <c r="I25" s="21">
        <f>IF(OR($B25="",$H25=""),"",IF($C25="LONG",($H25-$E25)*$F25,($E25-$H25)*$F25))</f>
        <v/>
      </c>
      <c r="J25" s="4" t="n">
        <v>106.17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DHAN-23126082147809</t>
        </is>
      </c>
      <c r="B26" s="23" t="inlineStr">
        <is>
          <t>SOLARA</t>
        </is>
      </c>
      <c r="C26" s="23" t="inlineStr">
        <is>
          <t>SHORT</t>
        </is>
      </c>
      <c r="D26" s="24" t="n">
        <v>46255</v>
      </c>
      <c r="E26" s="25" t="n">
        <v>614.6021</v>
      </c>
      <c r="F26" s="26" t="n">
        <v>261</v>
      </c>
      <c r="G26" s="24" t="n">
        <v>46255</v>
      </c>
      <c r="H26" s="25" t="n">
        <v>614.4914</v>
      </c>
      <c r="I26" s="21">
        <f>IF(OR($B26="",$H26=""),"",IF($C26="LONG",($H26-$E26)*$F26,($E26-$H26)*$F26))</f>
        <v/>
      </c>
      <c r="J26" s="4" t="n">
        <v>104.11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DHAN-321260821720509</t>
        </is>
      </c>
      <c r="B27" s="23" t="inlineStr">
        <is>
          <t>THOMASCOOK</t>
        </is>
      </c>
      <c r="C27" s="23" t="inlineStr">
        <is>
          <t>LONG</t>
        </is>
      </c>
      <c r="D27" s="24" t="n">
        <v>46255</v>
      </c>
      <c r="E27" s="25" t="n">
        <v>113.4719</v>
      </c>
      <c r="F27" s="26" t="n">
        <v>3301</v>
      </c>
      <c r="G27" s="24" t="inlineStr"/>
      <c r="H27" s="25" t="inlineStr"/>
      <c r="I27" s="21">
        <f>IF(OR($B27="",$H27=""),"",IF($C27="LONG",($H27-$E27)*$F27,($E27-$H27)*$F27))</f>
        <v/>
      </c>
      <c r="J27" s="4" t="n">
        <v>518.52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DHAN-34126082115309</t>
        </is>
      </c>
      <c r="B28" s="23" t="inlineStr">
        <is>
          <t>VERANDA</t>
        </is>
      </c>
      <c r="C28" s="23" t="inlineStr">
        <is>
          <t>SHORT</t>
        </is>
      </c>
      <c r="D28" s="24" t="n">
        <v>46255</v>
      </c>
      <c r="E28" s="25" t="n">
        <v>259.503</v>
      </c>
      <c r="F28" s="26" t="n">
        <v>650</v>
      </c>
      <c r="G28" s="24" t="n">
        <v>46255</v>
      </c>
      <c r="H28" s="25" t="n">
        <v>261.6704</v>
      </c>
      <c r="I28" s="21">
        <f>IF(OR($B28="",$H28=""),"",IF($C28="LONG",($H28-$E28)*$F28,($E28-$H28)*$F28))</f>
        <v/>
      </c>
      <c r="J28" s="4" t="n">
        <v>107.14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n"/>
      <c r="B29" s="23" t="n"/>
      <c r="C29" s="23" t="n"/>
      <c r="D29" s="24" t="n"/>
      <c r="E29" s="25" t="n"/>
      <c r="F29" s="26" t="n"/>
      <c r="G29" s="24" t="n"/>
      <c r="H29" s="25" t="n"/>
      <c r="I29" s="21">
        <f>IF(OR($B29="",$H29=""),"",IF($C29="LONG",($H29-$E29)*$F29,($E29-$H29)*$F29))</f>
        <v/>
      </c>
      <c r="J29" s="4" t="n"/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n"/>
      <c r="B30" s="23" t="n"/>
      <c r="C30" s="23" t="n"/>
      <c r="D30" s="24" t="n"/>
      <c r="E30" s="25" t="n"/>
      <c r="F30" s="26" t="n"/>
      <c r="G30" s="24" t="n"/>
      <c r="H30" s="25" t="n"/>
      <c r="I30" s="21">
        <f>IF(OR($B30="",$H30=""),"",IF($C30="LONG",($H30-$E30)*$F30,($E30-$H30)*$F30))</f>
        <v/>
      </c>
      <c r="J30" s="4" t="n"/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n"/>
      <c r="B31" s="23" t="n"/>
      <c r="C31" s="23" t="n"/>
      <c r="D31" s="24" t="n"/>
      <c r="E31" s="25" t="n"/>
      <c r="F31" s="26" t="n"/>
      <c r="G31" s="24" t="n"/>
      <c r="H31" s="25" t="n"/>
      <c r="I31" s="21">
        <f>IF(OR($B31="",$H31=""),"",IF($C31="LONG",($H31-$E31)*$F31,($E31-$H31)*$F31))</f>
        <v/>
      </c>
      <c r="J31" s="4" t="n"/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n"/>
      <c r="B32" s="23" t="n"/>
      <c r="C32" s="23" t="n"/>
      <c r="D32" s="24" t="n"/>
      <c r="E32" s="25" t="n"/>
      <c r="F32" s="26" t="n"/>
      <c r="G32" s="24" t="n"/>
      <c r="H32" s="25" t="n"/>
      <c r="I32" s="21">
        <f>IF(OR($B32="",$H32=""),"",IF($C32="LONG",($H32-$E32)*$F32,($E32-$H32)*$F32))</f>
        <v/>
      </c>
      <c r="J32" s="4" t="n"/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n"/>
      <c r="B33" s="23" t="n"/>
      <c r="C33" s="23" t="n"/>
      <c r="D33" s="24" t="n"/>
      <c r="E33" s="25" t="n"/>
      <c r="F33" s="26" t="n"/>
      <c r="G33" s="24" t="n"/>
      <c r="H33" s="25" t="n"/>
      <c r="I33" s="21">
        <f>IF(OR($B33="",$H33=""),"",IF($C33="LONG",($H33-$E33)*$F33,($E33-$H33)*$F33))</f>
        <v/>
      </c>
      <c r="J33" s="4" t="n"/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n"/>
      <c r="B34" s="23" t="n"/>
      <c r="C34" s="23" t="n"/>
      <c r="D34" s="24" t="n"/>
      <c r="E34" s="25" t="n"/>
      <c r="F34" s="26" t="n"/>
      <c r="G34" s="24" t="n"/>
      <c r="H34" s="25" t="n"/>
      <c r="I34" s="21">
        <f>IF(OR($B34="",$H34=""),"",IF($C34="LONG",($H34-$E34)*$F34,($E34-$H34)*$F34))</f>
        <v/>
      </c>
      <c r="J34" s="4" t="n"/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n"/>
      <c r="B35" s="23" t="n"/>
      <c r="C35" s="23" t="n"/>
      <c r="D35" s="24" t="n"/>
      <c r="E35" s="25" t="n"/>
      <c r="F35" s="26" t="n"/>
      <c r="G35" s="24" t="n"/>
      <c r="H35" s="25" t="n"/>
      <c r="I35" s="21">
        <f>IF(OR($B35="",$H35=""),"",IF($C35="LONG",($H35-$E35)*$F35,($E35-$H35)*$F35))</f>
        <v/>
      </c>
      <c r="J35" s="4" t="n"/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n"/>
      <c r="B36" s="23" t="n"/>
      <c r="C36" s="23" t="n"/>
      <c r="D36" s="24" t="n"/>
      <c r="E36" s="25" t="n"/>
      <c r="F36" s="26" t="n"/>
      <c r="G36" s="24" t="n"/>
      <c r="H36" s="25" t="n"/>
      <c r="I36" s="21">
        <f>IF(OR($B36="",$H36=""),"",IF($C36="LONG",($H36-$E36)*$F36,($E36-$H36)*$F36))</f>
        <v/>
      </c>
      <c r="J36" s="4" t="n"/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n"/>
      <c r="B37" s="23" t="n"/>
      <c r="C37" s="23" t="n"/>
      <c r="D37" s="24" t="n"/>
      <c r="E37" s="25" t="n"/>
      <c r="F37" s="26" t="n"/>
      <c r="G37" s="24" t="n"/>
      <c r="H37" s="25" t="n"/>
      <c r="I37" s="21">
        <f>IF(OR($B37="",$H37=""),"",IF($C37="LONG",($H37-$E37)*$F37,($E37-$H37)*$F37))</f>
        <v/>
      </c>
      <c r="J37" s="4" t="n"/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n"/>
      <c r="B38" s="23" t="n"/>
      <c r="C38" s="23" t="n"/>
      <c r="D38" s="24" t="n"/>
      <c r="E38" s="25" t="n"/>
      <c r="F38" s="26" t="n"/>
      <c r="G38" s="24" t="n"/>
      <c r="H38" s="25" t="n"/>
      <c r="I38" s="21">
        <f>IF(OR($B38="",$H38=""),"",IF($C38="LONG",($H38-$E38)*$F38,($E38-$H38)*$F38))</f>
        <v/>
      </c>
      <c r="J38" s="4" t="n"/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n"/>
      <c r="B39" s="23" t="n"/>
      <c r="C39" s="23" t="n"/>
      <c r="D39" s="24" t="n"/>
      <c r="E39" s="25" t="n"/>
      <c r="F39" s="26" t="n"/>
      <c r="G39" s="24" t="n"/>
      <c r="H39" s="25" t="n"/>
      <c r="I39" s="21">
        <f>IF(OR($B39="",$H39=""),"",IF($C39="LONG",($H39-$E39)*$F39,($E39-$H39)*$F39))</f>
        <v/>
      </c>
      <c r="J39" s="4" t="n"/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n"/>
      <c r="B40" s="23" t="n"/>
      <c r="C40" s="23" t="n"/>
      <c r="D40" s="24" t="n"/>
      <c r="E40" s="25" t="n"/>
      <c r="F40" s="26" t="n"/>
      <c r="G40" s="24" t="n"/>
      <c r="H40" s="25" t="n"/>
      <c r="I40" s="21">
        <f>IF(OR($B40="",$H40=""),"",IF($C40="LONG",($H40-$E40)*$F40,($E40-$H40)*$F40))</f>
        <v/>
      </c>
      <c r="J40" s="4" t="n"/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n"/>
      <c r="B41" s="23" t="n"/>
      <c r="C41" s="23" t="n"/>
      <c r="D41" s="24" t="n"/>
      <c r="E41" s="25" t="n"/>
      <c r="F41" s="26" t="n"/>
      <c r="G41" s="24" t="n"/>
      <c r="H41" s="25" t="n"/>
      <c r="I41" s="21">
        <f>IF(OR($B41="",$H41=""),"",IF($C41="LONG",($H41-$E41)*$F41,($E41-$H41)*$F41))</f>
        <v/>
      </c>
      <c r="J41" s="4" t="n"/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4" t="n"/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4" t="n"/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4" t="n"/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4" t="n"/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4" t="n"/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4" t="n"/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4" t="n"/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4" t="n"/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4" t="n"/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4" t="n"/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4" t="n"/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4" t="n"/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4" t="n"/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4" t="n"/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4" t="n"/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4" t="n"/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4" t="n"/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4" t="n"/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4" t="n"/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4" t="n"/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4" t="n"/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4" t="n"/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4" t="n"/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4" t="n"/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4" t="n"/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4" t="n"/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4" t="n"/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4" t="n"/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4" t="n"/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4" t="n"/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4" t="n"/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4" t="n"/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4" t="n"/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4" t="n"/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4" t="n"/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4" t="n"/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4" t="n"/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4" t="n"/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4" t="n"/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4" t="n"/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4" t="n"/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4" t="n"/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BAJAJHIND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BANARISUG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GOPAL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HUBTOWN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KIRIINDUS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MANGLMCEM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NETWORK18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NILKAMAL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ORIENTHOT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SOLARA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THOMASCOOK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VERANDA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ZAGGLE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3" t="inlineStr">
        <is>
          <t>TOTAL</t>
        </is>
      </c>
      <c r="B17" s="30">
        <f>SUM(B4:B16)</f>
        <v/>
      </c>
      <c r="C17" s="30">
        <f>SUM(C4:C16)</f>
        <v/>
      </c>
      <c r="D17" s="30">
        <f>SUM(D4:D16)</f>
        <v/>
      </c>
      <c r="E17" s="31">
        <f>IFERROR(C17/B17,"")</f>
        <v/>
      </c>
      <c r="F17" s="32">
        <f>SUM(F4:F16)</f>
        <v/>
      </c>
      <c r="G17" s="32">
        <f>SUM(G4:G16)</f>
        <v/>
      </c>
      <c r="H17" s="32">
        <f>IFERROR(G17/B17,"")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2026-08-21T09:51:16Z</dcterms:created>
  <dcterms:modified xmlns:dcterms="http://purl.org/dc/terms/" xmlns:xsi="http://www.w3.org/2001/XMLSchema-instance" xsi:type="dcterms:W3CDTF">2026-08-21T09:51:16Z</dcterms:modified>
</cp:coreProperties>
</file>