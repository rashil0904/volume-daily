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824.42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827.96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811.26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810.36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831.04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158.12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485.23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150.86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499.13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505.3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501.11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505.74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152.7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149.05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496.52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500.36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156.88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102.97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105.07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106.77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inlineStr"/>
      <c r="H24" s="25" t="inlineStr"/>
      <c r="I24" s="21">
        <f>IF(OR($B24="",$H24=""),"",IF($C24="LONG",($H24-$E24)*$F24,($E24-$H24)*$F24))</f>
        <v/>
      </c>
      <c r="J24" s="4" t="n">
        <v>472.73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106.4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106.17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104.11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1179.07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107.14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846.76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inlineStr"/>
      <c r="H31" s="25" t="inlineStr"/>
      <c r="I31" s="21">
        <f>IF(OR($B31="",$H31=""),"",IF($C31="LONG",($H31-$E31)*$F31,($E31-$H31)*$F31))</f>
        <v/>
      </c>
      <c r="J31" s="4" t="n">
        <v>132.89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DHAN-34126082414209</t>
        </is>
      </c>
      <c r="B32" s="23" t="inlineStr">
        <is>
          <t>WELSPLSOL</t>
        </is>
      </c>
      <c r="C32" s="23" t="inlineStr">
        <is>
          <t>SHORT</t>
        </is>
      </c>
      <c r="D32" s="24" t="n">
        <v>46258</v>
      </c>
      <c r="E32" s="25" t="n">
        <v>51.8309</v>
      </c>
      <c r="F32" s="26" t="n">
        <v>7230</v>
      </c>
      <c r="G32" s="24" t="inlineStr"/>
      <c r="H32" s="25" t="inlineStr"/>
      <c r="I32" s="21">
        <f>IF(OR($B32="",$H32=""),"",IF($C32="LONG",($H32-$E32)*$F32,($E32-$H32)*$F32))</f>
        <v/>
      </c>
      <c r="J32" s="4" t="n">
        <v>131.3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n"/>
      <c r="B33" s="23" t="n"/>
      <c r="C33" s="23" t="n"/>
      <c r="D33" s="24" t="n"/>
      <c r="E33" s="25" t="n"/>
      <c r="F33" s="26" t="n"/>
      <c r="G33" s="24" t="n"/>
      <c r="H33" s="25" t="n"/>
      <c r="I33" s="21">
        <f>IF(OR($B33="",$H33=""),"",IF($C33="LONG",($H33-$E33)*$F33,($E33-$H33)*$F33))</f>
        <v/>
      </c>
      <c r="J33" s="4" t="n"/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n"/>
      <c r="B34" s="23" t="n"/>
      <c r="C34" s="23" t="n"/>
      <c r="D34" s="24" t="n"/>
      <c r="E34" s="25" t="n"/>
      <c r="F34" s="26" t="n"/>
      <c r="G34" s="24" t="n"/>
      <c r="H34" s="25" t="n"/>
      <c r="I34" s="21">
        <f>IF(OR($B34="",$H34=""),"",IF($C34="LONG",($H34-$E34)*$F34,($E34-$H34)*$F34))</f>
        <v/>
      </c>
      <c r="J34" s="4" t="n"/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n"/>
      <c r="B35" s="23" t="n"/>
      <c r="C35" s="23" t="n"/>
      <c r="D35" s="24" t="n"/>
      <c r="E35" s="25" t="n"/>
      <c r="F35" s="26" t="n"/>
      <c r="G35" s="24" t="n"/>
      <c r="H35" s="25" t="n"/>
      <c r="I35" s="21">
        <f>IF(OR($B35="",$H35=""),"",IF($C35="LONG",($H35-$E35)*$F35,($E35-$H35)*$F35))</f>
        <v/>
      </c>
      <c r="J35" s="4" t="n"/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4" t="n"/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4" t="n"/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4" t="n"/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4" t="n"/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4" t="n"/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4" t="n"/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4" t="n"/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4" t="n"/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4" t="n"/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4" t="n"/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4" t="n"/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4" t="n"/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4" t="n"/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4" t="n"/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4" t="n"/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4" t="n"/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4" t="n"/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4" t="n"/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4" t="n"/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4" t="n"/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4" t="n"/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4" t="n"/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4" t="n"/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4" t="n"/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4" t="n"/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4" t="n"/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4" t="n"/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4" t="n"/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BAJAJHIND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BANARISUG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GOPAL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HUBTOWN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KIRIINDUS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KLBRENG-B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MANGLMCEM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NETWORK18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NILKAMAL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ORIENTHOT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SOLARA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THOMASCOOK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VERANDA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WELSPLSOL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ZAGGLE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3" t="inlineStr">
        <is>
          <t>TOTAL</t>
        </is>
      </c>
      <c r="B19" s="30">
        <f>SUM(B4:B18)</f>
        <v/>
      </c>
      <c r="C19" s="30">
        <f>SUM(C4:C18)</f>
        <v/>
      </c>
      <c r="D19" s="30">
        <f>SUM(D4:D18)</f>
        <v/>
      </c>
      <c r="E19" s="31">
        <f>IFERROR(C19/B19,"")</f>
        <v/>
      </c>
      <c r="F19" s="32">
        <f>SUM(F4:F18)</f>
        <v/>
      </c>
      <c r="G19" s="32">
        <f>SUM(G4:G18)</f>
        <v/>
      </c>
      <c r="H19" s="32">
        <f>IFERROR(G19/B19,"")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2026-08-24T05:35:37Z</dcterms:created>
  <dcterms:modified xmlns:dcterms="http://purl.org/dc/terms/" xmlns:xsi="http://www.w3.org/2001/XMLSchema-instance" xsi:type="dcterms:W3CDTF">2026-08-24T05:35:38Z</dcterms:modified>
</cp:coreProperties>
</file>