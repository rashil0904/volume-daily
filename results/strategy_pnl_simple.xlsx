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828.11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831.38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504.96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505.68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1180.15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503.11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480.6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949.8099999999999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934.5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964.41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833.89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892.01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888.4299999999999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831.16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830.12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966.97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150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145.38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139.92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939.23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146.82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147.8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937.8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174.02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167.02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406.77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954.59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944.74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168.01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inlineStr"/>
      <c r="H64" s="25" t="inlineStr"/>
      <c r="I64" s="21">
        <f>IF(OR($B64="",$H64=""),"",IF($C64="LONG",($H64-$E64)*$F64,($E64-$H64)*$F64))</f>
        <v/>
      </c>
      <c r="J64" s="4" t="n">
        <v>311.19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inlineStr"/>
      <c r="H65" s="25" t="inlineStr"/>
      <c r="I65" s="21">
        <f>IF(OR($B65="",$H65=""),"",IF($C65="LONG",($H65-$E65)*$F65,($E65-$H65)*$F65))</f>
        <v/>
      </c>
      <c r="J65" s="4" t="n">
        <v>311.61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110.57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172.38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165.98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DHAN-321260902743109</t>
        </is>
      </c>
      <c r="B69" s="23" t="inlineStr">
        <is>
          <t>WINDLAS</t>
        </is>
      </c>
      <c r="C69" s="23" t="inlineStr">
        <is>
          <t>LONG</t>
        </is>
      </c>
      <c r="D69" s="24" t="n">
        <v>46267</v>
      </c>
      <c r="E69" s="25" t="n">
        <v>1101.477</v>
      </c>
      <c r="F69" s="26" t="n">
        <v>181</v>
      </c>
      <c r="G69" s="24" t="inlineStr"/>
      <c r="H69" s="25" t="inlineStr"/>
      <c r="I69" s="21">
        <f>IF(OR($B69="",$H69=""),"",IF($C69="LONG",($H69-$E69)*$F69,($E69-$H69)*$F69))</f>
        <v/>
      </c>
      <c r="J69" s="4" t="n">
        <v>310.48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DHAN-321260902743209</t>
        </is>
      </c>
      <c r="B70" s="23" t="inlineStr">
        <is>
          <t>XPROINDIA</t>
        </is>
      </c>
      <c r="C70" s="23" t="inlineStr">
        <is>
          <t>LONG</t>
        </is>
      </c>
      <c r="D70" s="24" t="n">
        <v>46267</v>
      </c>
      <c r="E70" s="25" t="n">
        <v>1291.5</v>
      </c>
      <c r="F70" s="26" t="n">
        <v>154</v>
      </c>
      <c r="G70" s="24" t="inlineStr"/>
      <c r="H70" s="25" t="inlineStr"/>
      <c r="I70" s="21">
        <f>IF(OR($B70="",$H70=""),"",IF($C70="LONG",($H70-$E70)*$F70,($E70-$H70)*$F70))</f>
        <v/>
      </c>
      <c r="J70" s="4" t="n">
        <v>309.91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ASHOKA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BAJAJHIND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BANARISUG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BOMDYEING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FMGOETZE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GKENERGY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GOPAL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GUJTHEM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HERITGFOOD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HUBTOWN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INDOCO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JGCHEM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KCP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KIRIINDUS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KLBRENG-B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MANGLMCEM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MASTEK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NETWORK18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NILKAMAL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NORTHARC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OMAXE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OPTIEMUS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ORIENTHOT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QUADFUTURE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RAMRAT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SAKAR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SOLARA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SOTL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SSWL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SYNCOMF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THOMASCOOK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VENKEYS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VERANDA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WELSPLSOL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WINDLAS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XPROINDIA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ZAGGLE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3" t="inlineStr">
        <is>
          <t>TOTAL</t>
        </is>
      </c>
      <c r="B41" s="30">
        <f>SUM(B4:B40)</f>
        <v/>
      </c>
      <c r="C41" s="30">
        <f>SUM(C4:C40)</f>
        <v/>
      </c>
      <c r="D41" s="30">
        <f>SUM(D4:D40)</f>
        <v/>
      </c>
      <c r="E41" s="31">
        <f>IFERROR(C41/B41,"")</f>
        <v/>
      </c>
      <c r="F41" s="32">
        <f>SUM(F4:F40)</f>
        <v/>
      </c>
      <c r="G41" s="32">
        <f>SUM(G4:G40)</f>
        <v/>
      </c>
      <c r="H41" s="32">
        <f>IFERROR(G41/B41,"")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2026-09-02T09:51:21Z</dcterms:created>
  <dcterms:modified xmlns:dcterms="http://purl.org/dc/terms/" xmlns:xsi="http://www.w3.org/2001/XMLSchema-instance" xsi:type="dcterms:W3CDTF">2026-09-02T09:51:21Z</dcterms:modified>
</cp:coreProperties>
</file>