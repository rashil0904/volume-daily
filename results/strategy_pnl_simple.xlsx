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571.8200000000001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688.91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570.67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663.08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590.67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398.64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414.18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345.09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414.51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380.28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413.94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870.3200000000001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391.16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386.38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978.27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599.6900000000001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678.54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672.47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627.83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619.1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691.97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615.86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440.62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386.52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385.13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376.86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327.29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330.13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375.06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323.33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324.62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433.66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437.61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382.63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394.17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494.15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391.34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343.5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814.21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801.76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807.52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801.97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794.09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inlineStr"/>
      <c r="H135" s="25" t="inlineStr"/>
      <c r="I135" s="21">
        <f>IF(OR($B135="",$H135=""),"",IF($C135="LONG",($H135-$E135)*$F135,($E135-$H135)*$F135))</f>
        <v/>
      </c>
      <c r="J135" s="4" t="n">
        <v>289.29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inlineStr"/>
      <c r="H136" s="25" t="inlineStr"/>
      <c r="I136" s="21">
        <f>IF(OR($B136="",$H136=""),"",IF($C136="LONG",($H136-$E136)*$F136,($E136-$H136)*$F136))</f>
        <v/>
      </c>
      <c r="J136" s="4" t="n">
        <v>122.79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154.28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inlineStr"/>
      <c r="H138" s="25" t="inlineStr"/>
      <c r="I138" s="21">
        <f>IF(OR($B138="",$H138=""),"",IF($C138="LONG",($H138-$E138)*$F138,($E138-$H138)*$F138))</f>
        <v/>
      </c>
      <c r="J138" s="4" t="n">
        <v>287.3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149.94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inlineStr"/>
      <c r="H140" s="25" t="inlineStr"/>
      <c r="I140" s="21">
        <f>IF(OR($B140="",$H140=""),"",IF($C140="LONG",($H140-$E140)*$F140,($E140-$H140)*$F140))</f>
        <v/>
      </c>
      <c r="J140" s="4" t="n">
        <v>288.16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inlineStr"/>
      <c r="H141" s="25" t="inlineStr"/>
      <c r="I141" s="21">
        <f>IF(OR($B141="",$H141=""),"",IF($C141="LONG",($H141-$E141)*$F141,($E141-$H141)*$F141))</f>
        <v/>
      </c>
      <c r="J141" s="4" t="n">
        <v>289.27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inlineStr"/>
      <c r="H142" s="25" t="inlineStr"/>
      <c r="I142" s="21">
        <f>IF(OR($B142="",$H142=""),"",IF($C142="LONG",($H142-$E142)*$F142,($E142-$H142)*$F142))</f>
        <v/>
      </c>
      <c r="J142" s="4" t="n">
        <v>288.59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148.6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inlineStr"/>
      <c r="H144" s="25" t="inlineStr"/>
      <c r="I144" s="21">
        <f>IF(OR($B144="",$H144=""),"",IF($C144="LONG",($H144-$E144)*$F144,($E144-$H144)*$F144))</f>
        <v/>
      </c>
      <c r="J144" s="4" t="n">
        <v>121.89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inlineStr"/>
      <c r="H145" s="25" t="inlineStr"/>
      <c r="I145" s="21">
        <f>IF(OR($B145="",$H145=""),"",IF($C145="LONG",($H145-$E145)*$F145,($E145-$H145)*$F145))</f>
        <v/>
      </c>
      <c r="J145" s="4" t="n">
        <v>288.47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150.9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149.67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FILATEX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FMGOETZE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GKENERGY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GNRL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GOCLCORP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GOPAL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GUJTHEM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HERITGFOOD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HIKAL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HINDOILEXP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HUBTOWN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INDNIPPON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INDOCO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INDORAMA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JGCHEM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KCP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KIRIINDUS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KIRLOSIND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KLBRENG-B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KSL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MAITHANALL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MANGLMCEM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MASTEK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MOBIKWIK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NETWORK18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NILKAMAL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NORTHARC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NOVARTIND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OMAXE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OPTIEMUS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ORIENTHOT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PITTIENG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QUADFUTURE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RACLGEAR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RAMRAT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RAYMOND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RESPONIND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RML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SAKAR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SAMHI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SHAREINDIA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SIKA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SINDHUTRAD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SMSPHARMA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SOLARA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SOTL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SSWL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SYMPHONY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SYNCOMF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TALBROAUTO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TBZ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THOMASCOOK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VENKEYS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VENUSPIPES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VERANDA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VSSL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WELSPLSOL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WENDT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WINDLAS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XPROINDIA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ZAGGLE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3" t="inlineStr">
        <is>
          <t>TOTAL</t>
        </is>
      </c>
      <c r="B76" s="30">
        <f>SUM(B4:B75)</f>
        <v/>
      </c>
      <c r="C76" s="30">
        <f>SUM(C4:C75)</f>
        <v/>
      </c>
      <c r="D76" s="30">
        <f>SUM(D4:D75)</f>
        <v/>
      </c>
      <c r="E76" s="31">
        <f>IFERROR(C76/B76,"")</f>
        <v/>
      </c>
      <c r="F76" s="32">
        <f>SUM(F4:F75)</f>
        <v/>
      </c>
      <c r="G76" s="32">
        <f>SUM(G4:G75)</f>
        <v/>
      </c>
      <c r="H76" s="32">
        <f>IFERROR(G76/B76,"")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2026-09-11T09:51:23Z</dcterms:created>
  <dcterms:modified xmlns:dcterms="http://purl.org/dc/terms/" xmlns:xsi="http://www.w3.org/2001/XMLSchema-instance" xsi:type="dcterms:W3CDTF">2026-09-11T09:51:23Z</dcterms:modified>
</cp:coreProperties>
</file>