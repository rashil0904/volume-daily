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571.6900000000001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688.92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570.54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662.9299999999999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591.38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398.57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345.03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414.43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380.49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413.86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869.5700000000001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390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348.62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346.34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385.16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975.85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955.65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989.83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595.8099999999999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596.91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675.08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668.47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572.83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627.63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618.74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611.85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693.71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616.9299999999999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441.48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387.51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386.11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435.18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411.81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356.27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364.89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412.23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344.24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313.13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893.48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799.5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826.84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479.59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474.59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531.36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531.58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480.93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420.14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428.78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546.34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424.98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371.59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642.51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638.35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654.25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564.1799999999999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632.14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497.88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494.63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504.18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492.11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467.29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542.0599999999999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435.16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524.72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519.0599999999999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517.4400000000001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445.64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461.69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626.4400000000001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634.4299999999999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258.56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662.13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647.29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665.03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649.5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294.85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185.64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300.31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336.65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298.41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191.65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436.71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434.19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295.25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447.15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429.11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203.22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n">
        <v>46288</v>
      </c>
      <c r="H189" s="25" t="n">
        <v>775.9299999999999</v>
      </c>
      <c r="I189" s="21">
        <f>IF(OR($B189="",$H189=""),"",IF($C189="LONG",($H189-$E189)*$F189,($E189-$H189)*$F189))</f>
        <v/>
      </c>
      <c r="J189" s="4" t="n">
        <v>132.03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n">
        <v>46288</v>
      </c>
      <c r="H190" s="25" t="n">
        <v>196.71</v>
      </c>
      <c r="I190" s="21">
        <f>IF(OR($B190="",$H190=""),"",IF($C190="LONG",($H190-$E190)*$F190,($E190-$H190)*$F190))</f>
        <v/>
      </c>
      <c r="J190" s="4" t="n">
        <v>459.73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176.57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182.99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216.64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87.7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n">
        <v>46288</v>
      </c>
      <c r="H195" s="25" t="n">
        <v>170.47</v>
      </c>
      <c r="I195" s="21">
        <f>IF(OR($B195="",$H195=""),"",IF($C195="LONG",($H195-$E195)*$F195,($E195-$H195)*$F195))</f>
        <v/>
      </c>
      <c r="J195" s="4" t="n">
        <v>462.53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n">
        <v>46288</v>
      </c>
      <c r="H196" s="25" t="n">
        <v>607.61</v>
      </c>
      <c r="I196" s="21">
        <f>IF(OR($B196="",$H196=""),"",IF($C196="LONG",($H196-$E196)*$F196,($E196-$H196)*$F196))</f>
        <v/>
      </c>
      <c r="J196" s="4" t="n">
        <v>517.1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209.7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n">
        <v>46288</v>
      </c>
      <c r="H198" s="25" t="n">
        <v>357.47</v>
      </c>
      <c r="I198" s="21">
        <f>IF(OR($B198="",$H198=""),"",IF($C198="LONG",($H198-$E198)*$F198,($E198-$H198)*$F198))</f>
        <v/>
      </c>
      <c r="J198" s="4" t="n">
        <v>519.16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n">
        <v>46288</v>
      </c>
      <c r="H199" s="25" t="n">
        <v>1372.32</v>
      </c>
      <c r="I199" s="21">
        <f>IF(OR($B199="",$H199=""),"",IF($C199="LONG",($H199-$E199)*$F199,($E199-$H199)*$F199))</f>
        <v/>
      </c>
      <c r="J199" s="4" t="n">
        <v>456.59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inlineStr">
        <is>
          <t>DHAN-limit_entry_multi</t>
        </is>
      </c>
      <c r="B200" s="23" t="inlineStr">
        <is>
          <t>ARVSMART</t>
        </is>
      </c>
      <c r="C200" s="23" t="inlineStr">
        <is>
          <t>LONG</t>
        </is>
      </c>
      <c r="D200" s="24" t="n">
        <v>46288</v>
      </c>
      <c r="E200" s="25" t="n">
        <v>635.6889</v>
      </c>
      <c r="F200" s="26" t="n">
        <v>262</v>
      </c>
      <c r="G200" s="24" t="n">
        <v>46289</v>
      </c>
      <c r="H200" s="25" t="n">
        <v>627.8200000000001</v>
      </c>
      <c r="I200" s="21">
        <f>IF(OR($B200="",$H200=""),"",IF($C200="LONG",($H200-$E200)*$F200,($E200-$H200)*$F200))</f>
        <v/>
      </c>
      <c r="J200" s="4" t="n">
        <v>84.33</v>
      </c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inlineStr">
        <is>
          <t>DHAN-221260923445309</t>
        </is>
      </c>
      <c r="B201" s="23" t="inlineStr">
        <is>
          <t>ASTEC</t>
        </is>
      </c>
      <c r="C201" s="23" t="inlineStr">
        <is>
          <t>SHORT</t>
        </is>
      </c>
      <c r="D201" s="24" t="n">
        <v>46288</v>
      </c>
      <c r="E201" s="25" t="n">
        <v>775.25</v>
      </c>
      <c r="F201" s="26" t="n">
        <v>315</v>
      </c>
      <c r="G201" s="24" t="n">
        <v>46288</v>
      </c>
      <c r="H201" s="25" t="n">
        <v>764.5</v>
      </c>
      <c r="I201" s="21">
        <f>IF(OR($B201="",$H201=""),"",IF($C201="LONG",($H201-$E201)*$F201,($E201-$H201)*$F201))</f>
        <v/>
      </c>
      <c r="J201" s="4" t="n">
        <v>352.9</v>
      </c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inlineStr">
        <is>
          <t>DHAN-34126092354709</t>
        </is>
      </c>
      <c r="B202" s="23" t="inlineStr">
        <is>
          <t>CHEMPLASTS</t>
        </is>
      </c>
      <c r="C202" s="23" t="inlineStr">
        <is>
          <t>SHORT</t>
        </is>
      </c>
      <c r="D202" s="24" t="n">
        <v>46288</v>
      </c>
      <c r="E202" s="25" t="n">
        <v>196.53</v>
      </c>
      <c r="F202" s="26" t="n">
        <v>1255</v>
      </c>
      <c r="G202" s="24" t="n">
        <v>46288</v>
      </c>
      <c r="H202" s="25" t="n">
        <v>199.17</v>
      </c>
      <c r="I202" s="21">
        <f>IF(OR($B202="",$H202=""),"",IF($C202="LONG",($H202-$E202)*$F202,($E202-$H202)*$F202))</f>
        <v/>
      </c>
      <c r="J202" s="4" t="n">
        <v>359.46</v>
      </c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inlineStr">
        <is>
          <t>DHAN-limit_entry_multi</t>
        </is>
      </c>
      <c r="B203" s="23" t="inlineStr">
        <is>
          <t>DELTACORP</t>
        </is>
      </c>
      <c r="C203" s="23" t="inlineStr">
        <is>
          <t>LONG</t>
        </is>
      </c>
      <c r="D203" s="24" t="n">
        <v>46288</v>
      </c>
      <c r="E203" s="25" t="n">
        <v>68.7423</v>
      </c>
      <c r="F203" s="26" t="n">
        <v>2426</v>
      </c>
      <c r="G203" s="24" t="n">
        <v>46289</v>
      </c>
      <c r="H203" s="25" t="n">
        <v>71</v>
      </c>
      <c r="I203" s="21">
        <f>IF(OR($B203="",$H203=""),"",IF($C203="LONG",($H203-$E203)*$F203,($E203-$H203)*$F203))</f>
        <v/>
      </c>
      <c r="J203" s="4" t="n">
        <v>86.05</v>
      </c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inlineStr">
        <is>
          <t>DHAN-limit_entry_multi</t>
        </is>
      </c>
      <c r="B204" s="23" t="inlineStr">
        <is>
          <t>GNA</t>
        </is>
      </c>
      <c r="C204" s="23" t="inlineStr">
        <is>
          <t>LONG</t>
        </is>
      </c>
      <c r="D204" s="24" t="n">
        <v>46288</v>
      </c>
      <c r="E204" s="25" t="n">
        <v>596.2712</v>
      </c>
      <c r="F204" s="26" t="n">
        <v>139</v>
      </c>
      <c r="G204" s="24" t="n">
        <v>46289</v>
      </c>
      <c r="H204" s="25" t="n">
        <v>634.15</v>
      </c>
      <c r="I204" s="21">
        <f>IF(OR($B204="",$H204=""),"",IF($C204="LONG",($H204-$E204)*$F204,($E204-$H204)*$F204))</f>
        <v/>
      </c>
      <c r="J204" s="4" t="n">
        <v>14.75</v>
      </c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inlineStr">
        <is>
          <t>DHAN-limit_entry_multi</t>
        </is>
      </c>
      <c r="B205" s="23" t="inlineStr">
        <is>
          <t>JAYKAY</t>
        </is>
      </c>
      <c r="C205" s="23" t="inlineStr">
        <is>
          <t>LONG</t>
        </is>
      </c>
      <c r="D205" s="24" t="n">
        <v>46288</v>
      </c>
      <c r="E205" s="25" t="n">
        <v>212.4728</v>
      </c>
      <c r="F205" s="26" t="n">
        <v>780</v>
      </c>
      <c r="G205" s="24" t="n">
        <v>46289</v>
      </c>
      <c r="H205" s="25" t="n">
        <v>205.69</v>
      </c>
      <c r="I205" s="21">
        <f>IF(OR($B205="",$H205=""),"",IF($C205="LONG",($H205-$E205)*$F205,($E205-$H205)*$F205))</f>
        <v/>
      </c>
      <c r="J205" s="4" t="n">
        <v>82.28</v>
      </c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inlineStr">
        <is>
          <t>DHAN-23126092396409</t>
        </is>
      </c>
      <c r="B206" s="23" t="inlineStr">
        <is>
          <t>KROSS</t>
        </is>
      </c>
      <c r="C206" s="23" t="inlineStr">
        <is>
          <t>LONG</t>
        </is>
      </c>
      <c r="D206" s="24" t="n">
        <v>46288</v>
      </c>
      <c r="E206" s="25" t="n">
        <v>278.5987</v>
      </c>
      <c r="F206" s="26" t="n">
        <v>597</v>
      </c>
      <c r="G206" s="24" t="n">
        <v>46289</v>
      </c>
      <c r="H206" s="25" t="n">
        <v>273.19</v>
      </c>
      <c r="I206" s="21">
        <f>IF(OR($B206="",$H206=""),"",IF($C206="LONG",($H206-$E206)*$F206,($E206-$H206)*$F206))</f>
        <v/>
      </c>
      <c r="J206" s="4" t="n">
        <v>299.68</v>
      </c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inlineStr">
        <is>
          <t>DHAN-221260923710209</t>
        </is>
      </c>
      <c r="B207" s="23" t="inlineStr">
        <is>
          <t>MUKANDLTD</t>
        </is>
      </c>
      <c r="C207" s="23" t="inlineStr">
        <is>
          <t>LONG</t>
        </is>
      </c>
      <c r="D207" s="24" t="n">
        <v>46288</v>
      </c>
      <c r="E207" s="25" t="n">
        <v>156.9292</v>
      </c>
      <c r="F207" s="26" t="n">
        <v>1059</v>
      </c>
      <c r="G207" s="24" t="n">
        <v>46289</v>
      </c>
      <c r="H207" s="25" t="n">
        <v>156.75</v>
      </c>
      <c r="I207" s="21">
        <f>IF(OR($B207="",$H207=""),"",IF($C207="LONG",($H207-$E207)*$F207,($E207-$H207)*$F207))</f>
        <v/>
      </c>
      <c r="J207" s="4" t="n">
        <v>305.04</v>
      </c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inlineStr">
        <is>
          <t>DHAN-34126092398809</t>
        </is>
      </c>
      <c r="B208" s="23" t="inlineStr">
        <is>
          <t>ONEPOINT</t>
        </is>
      </c>
      <c r="C208" s="23" t="inlineStr">
        <is>
          <t>LONG</t>
        </is>
      </c>
      <c r="D208" s="24" t="n">
        <v>46288</v>
      </c>
      <c r="E208" s="25" t="n">
        <v>68.3674</v>
      </c>
      <c r="F208" s="26" t="n">
        <v>2439</v>
      </c>
      <c r="G208" s="24" t="n">
        <v>46289</v>
      </c>
      <c r="H208" s="25" t="n">
        <v>71.39</v>
      </c>
      <c r="I208" s="21">
        <f>IF(OR($B208="",$H208=""),"",IF($C208="LONG",($H208-$E208)*$F208,($E208-$H208)*$F208))</f>
        <v/>
      </c>
      <c r="J208" s="4" t="n">
        <v>300.26</v>
      </c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inlineStr">
        <is>
          <t>DHAN-22126092353109</t>
        </is>
      </c>
      <c r="B209" s="23" t="inlineStr">
        <is>
          <t>PACEDIGITK</t>
        </is>
      </c>
      <c r="C209" s="23" t="inlineStr">
        <is>
          <t>SHORT</t>
        </is>
      </c>
      <c r="D209" s="24" t="n">
        <v>46288</v>
      </c>
      <c r="E209" s="25" t="n">
        <v>170.48</v>
      </c>
      <c r="F209" s="26" t="n">
        <v>1482</v>
      </c>
      <c r="G209" s="24" t="n">
        <v>46288</v>
      </c>
      <c r="H209" s="25" t="n">
        <v>169.7</v>
      </c>
      <c r="I209" s="21">
        <f>IF(OR($B209="",$H209=""),"",IF($C209="LONG",($H209-$E209)*$F209,($E209-$H209)*$F209))</f>
        <v/>
      </c>
      <c r="J209" s="4" t="n">
        <v>365.31</v>
      </c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inlineStr">
        <is>
          <t>DHAN-321260923455309</t>
        </is>
      </c>
      <c r="B210" s="23" t="inlineStr">
        <is>
          <t>PROTEAN</t>
        </is>
      </c>
      <c r="C210" s="23" t="inlineStr">
        <is>
          <t>SHORT</t>
        </is>
      </c>
      <c r="D210" s="24" t="n">
        <v>46288</v>
      </c>
      <c r="E210" s="25" t="n">
        <v>607.0599999999999</v>
      </c>
      <c r="F210" s="26" t="n">
        <v>403</v>
      </c>
      <c r="G210" s="24" t="n">
        <v>46288</v>
      </c>
      <c r="H210" s="25" t="n">
        <v>633.91</v>
      </c>
      <c r="I210" s="21">
        <f>IF(OR($B210="",$H210=""),"",IF($C210="LONG",($H210-$E210)*$F210,($E210-$H210)*$F210))</f>
        <v/>
      </c>
      <c r="J210" s="4" t="n">
        <v>298.29</v>
      </c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inlineStr">
        <is>
          <t>DHAN-221260923710309</t>
        </is>
      </c>
      <c r="B211" s="23" t="inlineStr">
        <is>
          <t>RAYMONDREL</t>
        </is>
      </c>
      <c r="C211" s="23" t="inlineStr">
        <is>
          <t>LONG</t>
        </is>
      </c>
      <c r="D211" s="24" t="n">
        <v>46288</v>
      </c>
      <c r="E211" s="25" t="n">
        <v>669.9376</v>
      </c>
      <c r="F211" s="26" t="n">
        <v>246</v>
      </c>
      <c r="G211" s="24" t="n">
        <v>46289</v>
      </c>
      <c r="H211" s="25" t="n">
        <v>677.5</v>
      </c>
      <c r="I211" s="21">
        <f>IF(OR($B211="",$H211=""),"",IF($C211="LONG",($H211-$E211)*$F211,($E211-$H211)*$F211))</f>
        <v/>
      </c>
      <c r="J211" s="4" t="n">
        <v>303.26</v>
      </c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inlineStr">
        <is>
          <t>DHAN-34126092398909</t>
        </is>
      </c>
      <c r="B212" s="23" t="inlineStr">
        <is>
          <t>RPGLIFE</t>
        </is>
      </c>
      <c r="C212" s="23" t="inlineStr">
        <is>
          <t>LONG</t>
        </is>
      </c>
      <c r="D212" s="24" t="n">
        <v>46288</v>
      </c>
      <c r="E212" s="25" t="n">
        <v>3034.4072</v>
      </c>
      <c r="F212" s="26" t="n">
        <v>55</v>
      </c>
      <c r="G212" s="24" t="n">
        <v>46289</v>
      </c>
      <c r="H212" s="25" t="n">
        <v>2940.33</v>
      </c>
      <c r="I212" s="21">
        <f>IF(OR($B212="",$H212=""),"",IF($C212="LONG",($H212-$E212)*$F212,($E212-$H212)*$F212))</f>
        <v/>
      </c>
      <c r="J212" s="4" t="n">
        <v>309.33</v>
      </c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inlineStr">
        <is>
          <t>DHAN-23126092351809</t>
        </is>
      </c>
      <c r="B213" s="23" t="inlineStr">
        <is>
          <t>STEELCAS</t>
        </is>
      </c>
      <c r="C213" s="23" t="inlineStr">
        <is>
          <t>SHORT</t>
        </is>
      </c>
      <c r="D213" s="24" t="n">
        <v>46288</v>
      </c>
      <c r="E213" s="25" t="n">
        <v>356.89</v>
      </c>
      <c r="F213" s="26" t="n">
        <v>715</v>
      </c>
      <c r="G213" s="24" t="n">
        <v>46288</v>
      </c>
      <c r="H213" s="25" t="n">
        <v>356.99</v>
      </c>
      <c r="I213" s="21">
        <f>IF(OR($B213="",$H213=""),"",IF($C213="LONG",($H213-$E213)*$F213,($E213-$H213)*$F213))</f>
        <v/>
      </c>
      <c r="J213" s="4" t="n">
        <v>305.76</v>
      </c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inlineStr">
        <is>
          <t>DHAN-23126092351709</t>
        </is>
      </c>
      <c r="B214" s="23" t="inlineStr">
        <is>
          <t>ZOTA</t>
        </is>
      </c>
      <c r="C214" s="23" t="inlineStr">
        <is>
          <t>SHORT</t>
        </is>
      </c>
      <c r="D214" s="24" t="n">
        <v>46288</v>
      </c>
      <c r="E214" s="25" t="n">
        <v>1372.09</v>
      </c>
      <c r="F214" s="26" t="n">
        <v>183</v>
      </c>
      <c r="G214" s="24" t="n">
        <v>46288</v>
      </c>
      <c r="H214" s="25" t="n">
        <v>1392.4</v>
      </c>
      <c r="I214" s="21">
        <f>IF(OR($B214="",$H214=""),"",IF($C214="LONG",($H214-$E214)*$F214,($E214-$H214)*$F214))</f>
        <v/>
      </c>
      <c r="J214" s="4" t="n">
        <v>365.6</v>
      </c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inlineStr">
        <is>
          <t>DHAN-221260924489209</t>
        </is>
      </c>
      <c r="B215" s="23" t="inlineStr">
        <is>
          <t>ARVSMART</t>
        </is>
      </c>
      <c r="C215" s="23" t="inlineStr">
        <is>
          <t>SHORT</t>
        </is>
      </c>
      <c r="D215" s="24" t="n">
        <v>46289</v>
      </c>
      <c r="E215" s="25" t="n">
        <v>627.33</v>
      </c>
      <c r="F215" s="26" t="n">
        <v>262</v>
      </c>
      <c r="G215" s="24" t="n">
        <v>46289</v>
      </c>
      <c r="H215" s="25" t="n">
        <v>624.98</v>
      </c>
      <c r="I215" s="21">
        <f>IF(OR($B215="",$H215=""),"",IF($C215="LONG",($H215-$E215)*$F215,($E215-$H215)*$F215))</f>
        <v/>
      </c>
      <c r="J215" s="4" t="n">
        <v>0</v>
      </c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inlineStr">
        <is>
          <t>DHAN-34126092474909</t>
        </is>
      </c>
      <c r="B216" s="23" t="inlineStr">
        <is>
          <t>AVANTEL</t>
        </is>
      </c>
      <c r="C216" s="23" t="inlineStr">
        <is>
          <t>LONG</t>
        </is>
      </c>
      <c r="D216" s="24" t="n">
        <v>46289</v>
      </c>
      <c r="E216" s="25" t="n">
        <v>155.3422</v>
      </c>
      <c r="F216" s="26" t="n">
        <v>1614</v>
      </c>
      <c r="G216" s="24" t="inlineStr"/>
      <c r="H216" s="25" t="inlineStr"/>
      <c r="I216" s="21">
        <f>IF(OR($B216="",$H216=""),"",IF($C216="LONG",($H216-$E216)*$F216,($E216-$H216)*$F216))</f>
        <v/>
      </c>
      <c r="J216" s="4" t="n">
        <v>50.15</v>
      </c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inlineStr">
        <is>
          <t>DHAN-23126092413009</t>
        </is>
      </c>
      <c r="B217" s="23" t="inlineStr">
        <is>
          <t>DELTACORP</t>
        </is>
      </c>
      <c r="C217" s="23" t="inlineStr">
        <is>
          <t>SHORT</t>
        </is>
      </c>
      <c r="D217" s="24" t="n">
        <v>46289</v>
      </c>
      <c r="E217" s="25" t="n">
        <v>71.06999999999999</v>
      </c>
      <c r="F217" s="26" t="n">
        <v>2426</v>
      </c>
      <c r="G217" s="24" t="n">
        <v>46289</v>
      </c>
      <c r="H217" s="25" t="n">
        <v>72.55</v>
      </c>
      <c r="I217" s="21">
        <f>IF(OR($B217="",$H217=""),"",IF($C217="LONG",($H217-$E217)*$F217,($E217-$H217)*$F217))</f>
        <v/>
      </c>
      <c r="J217" s="4" t="n">
        <v>0</v>
      </c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inlineStr">
        <is>
          <t>DHAN-limit_entry_multi</t>
        </is>
      </c>
      <c r="B218" s="23" t="inlineStr">
        <is>
          <t>FRONTSP</t>
        </is>
      </c>
      <c r="C218" s="23" t="inlineStr">
        <is>
          <t>LONG</t>
        </is>
      </c>
      <c r="D218" s="24" t="n">
        <v>46289</v>
      </c>
      <c r="E218" s="25" t="n">
        <v>1515.4085</v>
      </c>
      <c r="F218" s="26" t="n">
        <v>82</v>
      </c>
      <c r="G218" s="24" t="inlineStr"/>
      <c r="H218" s="25" t="inlineStr"/>
      <c r="I218" s="21">
        <f>IF(OR($B218="",$H218=""),"",IF($C218="LONG",($H218-$E218)*$F218,($E218-$H218)*$F218))</f>
        <v/>
      </c>
      <c r="J218" s="4" t="n">
        <v>14.75</v>
      </c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inlineStr">
        <is>
          <t>DHAN-321260924470909</t>
        </is>
      </c>
      <c r="B219" s="23" t="inlineStr">
        <is>
          <t>GNA</t>
        </is>
      </c>
      <c r="C219" s="23" t="inlineStr">
        <is>
          <t>SHORT</t>
        </is>
      </c>
      <c r="D219" s="24" t="n">
        <v>46289</v>
      </c>
      <c r="E219" s="25" t="n">
        <v>634.42</v>
      </c>
      <c r="F219" s="26" t="n">
        <v>139</v>
      </c>
      <c r="G219" s="24" t="n">
        <v>46289</v>
      </c>
      <c r="H219" s="25" t="n">
        <v>622.92</v>
      </c>
      <c r="I219" s="21">
        <f>IF(OR($B219="",$H219=""),"",IF($C219="LONG",($H219-$E219)*$F219,($E219-$H219)*$F219))</f>
        <v/>
      </c>
      <c r="J219" s="4" t="n">
        <v>0</v>
      </c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inlineStr">
        <is>
          <t>DHAN-321260924764809</t>
        </is>
      </c>
      <c r="B220" s="23" t="inlineStr">
        <is>
          <t>GREAVESCOT</t>
        </is>
      </c>
      <c r="C220" s="23" t="inlineStr">
        <is>
          <t>LONG</t>
        </is>
      </c>
      <c r="D220" s="24" t="n">
        <v>46289</v>
      </c>
      <c r="E220" s="25" t="n">
        <v>221.6698</v>
      </c>
      <c r="F220" s="26" t="n">
        <v>1128</v>
      </c>
      <c r="G220" s="24" t="inlineStr"/>
      <c r="H220" s="25" t="inlineStr"/>
      <c r="I220" s="21">
        <f>IF(OR($B220="",$H220=""),"",IF($C220="LONG",($H220-$E220)*$F220,($E220-$H220)*$F220))</f>
        <v/>
      </c>
      <c r="J220" s="4" t="n">
        <v>50.15</v>
      </c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inlineStr">
        <is>
          <t>DHAN-221260924781709</t>
        </is>
      </c>
      <c r="B221" s="23" t="inlineStr">
        <is>
          <t>INDIAGLYCO</t>
        </is>
      </c>
      <c r="C221" s="23" t="inlineStr">
        <is>
          <t>LONG</t>
        </is>
      </c>
      <c r="D221" s="24" t="n">
        <v>46289</v>
      </c>
      <c r="E221" s="25" t="n">
        <v>304.3391</v>
      </c>
      <c r="F221" s="26" t="n">
        <v>409</v>
      </c>
      <c r="G221" s="24" t="inlineStr"/>
      <c r="H221" s="25" t="inlineStr"/>
      <c r="I221" s="21">
        <f>IF(OR($B221="",$H221=""),"",IF($C221="LONG",($H221-$E221)*$F221,($E221-$H221)*$F221))</f>
        <v/>
      </c>
      <c r="J221" s="4" t="n">
        <v>14.75</v>
      </c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inlineStr">
        <is>
          <t>DHAN-34126092446309</t>
        </is>
      </c>
      <c r="B222" s="23" t="inlineStr">
        <is>
          <t>JAYKAY</t>
        </is>
      </c>
      <c r="C222" s="23" t="inlineStr">
        <is>
          <t>SHORT</t>
        </is>
      </c>
      <c r="D222" s="24" t="n">
        <v>46289</v>
      </c>
      <c r="E222" s="25" t="n">
        <v>205.66</v>
      </c>
      <c r="F222" s="26" t="n">
        <v>780</v>
      </c>
      <c r="G222" s="24" t="n">
        <v>46289</v>
      </c>
      <c r="H222" s="25" t="n">
        <v>203.27</v>
      </c>
      <c r="I222" s="21">
        <f>IF(OR($B222="",$H222=""),"",IF($C222="LONG",($H222-$E222)*$F222,($E222-$H222)*$F222))</f>
        <v/>
      </c>
      <c r="J222" s="4" t="n">
        <v>0</v>
      </c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inlineStr">
        <is>
          <t>DHAN-34126092446409</t>
        </is>
      </c>
      <c r="B223" s="23" t="inlineStr">
        <is>
          <t>KROSS</t>
        </is>
      </c>
      <c r="C223" s="23" t="inlineStr">
        <is>
          <t>SHORT</t>
        </is>
      </c>
      <c r="D223" s="24" t="n">
        <v>46289</v>
      </c>
      <c r="E223" s="25" t="n">
        <v>273.1</v>
      </c>
      <c r="F223" s="26" t="n">
        <v>597</v>
      </c>
      <c r="G223" s="24" t="n">
        <v>46289</v>
      </c>
      <c r="H223" s="25" t="n">
        <v>270.06</v>
      </c>
      <c r="I223" s="21">
        <f>IF(OR($B223="",$H223=""),"",IF($C223="LONG",($H223-$E223)*$F223,($E223-$H223)*$F223))</f>
        <v/>
      </c>
      <c r="J223" s="4" t="n">
        <v>0</v>
      </c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inlineStr">
        <is>
          <t>DHAN-321260924764909</t>
        </is>
      </c>
      <c r="B224" s="23" t="inlineStr">
        <is>
          <t>KSCL</t>
        </is>
      </c>
      <c r="C224" s="23" t="inlineStr">
        <is>
          <t>LONG</t>
        </is>
      </c>
      <c r="D224" s="24" t="n">
        <v>46289</v>
      </c>
      <c r="E224" s="25" t="n">
        <v>783.6132</v>
      </c>
      <c r="F224" s="26" t="n">
        <v>319</v>
      </c>
      <c r="G224" s="24" t="inlineStr"/>
      <c r="H224" s="25" t="inlineStr"/>
      <c r="I224" s="21">
        <f>IF(OR($B224="",$H224=""),"",IF($C224="LONG",($H224-$E224)*$F224,($E224-$H224)*$F224))</f>
        <v/>
      </c>
      <c r="J224" s="4" t="n">
        <v>50.15</v>
      </c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inlineStr">
        <is>
          <t>DHAN-32126092463309</t>
        </is>
      </c>
      <c r="B225" s="23" t="inlineStr">
        <is>
          <t>MUKANDLTD</t>
        </is>
      </c>
      <c r="C225" s="23" t="inlineStr">
        <is>
          <t>SHORT</t>
        </is>
      </c>
      <c r="D225" s="24" t="n">
        <v>46289</v>
      </c>
      <c r="E225" s="25" t="n">
        <v>157.54</v>
      </c>
      <c r="F225" s="26" t="n">
        <v>1059</v>
      </c>
      <c r="G225" s="24" t="n">
        <v>46289</v>
      </c>
      <c r="H225" s="25" t="n">
        <v>155.92</v>
      </c>
      <c r="I225" s="21">
        <f>IF(OR($B225="",$H225=""),"",IF($C225="LONG",($H225-$E225)*$F225,($E225-$H225)*$F225))</f>
        <v/>
      </c>
      <c r="J225" s="4" t="n">
        <v>0</v>
      </c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inlineStr">
        <is>
          <t>DHAN-34126092413109</t>
        </is>
      </c>
      <c r="B226" s="23" t="inlineStr">
        <is>
          <t>ONEPOINT</t>
        </is>
      </c>
      <c r="C226" s="23" t="inlineStr">
        <is>
          <t>SHORT</t>
        </is>
      </c>
      <c r="D226" s="24" t="n">
        <v>46289</v>
      </c>
      <c r="E226" s="25" t="n">
        <v>71.53</v>
      </c>
      <c r="F226" s="26" t="n">
        <v>2439</v>
      </c>
      <c r="G226" s="24" t="n">
        <v>46289</v>
      </c>
      <c r="H226" s="25" t="n">
        <v>69.06999999999999</v>
      </c>
      <c r="I226" s="21">
        <f>IF(OR($B226="",$H226=""),"",IF($C226="LONG",($H226-$E226)*$F226,($E226-$H226)*$F226))</f>
        <v/>
      </c>
      <c r="J226" s="4" t="n">
        <v>0</v>
      </c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inlineStr">
        <is>
          <t>DHAN-34126092475009</t>
        </is>
      </c>
      <c r="B227" s="23" t="inlineStr">
        <is>
          <t>RAYMONDREL</t>
        </is>
      </c>
      <c r="C227" s="23" t="inlineStr">
        <is>
          <t>LONG</t>
        </is>
      </c>
      <c r="D227" s="24" t="n">
        <v>46289</v>
      </c>
      <c r="E227" s="25" t="n">
        <v>708.4741</v>
      </c>
      <c r="F227" s="26" t="n">
        <v>176</v>
      </c>
      <c r="G227" s="24" t="inlineStr"/>
      <c r="H227" s="25" t="inlineStr"/>
      <c r="I227" s="21">
        <f>IF(OR($B227="",$H227=""),"",IF($C227="LONG",($H227-$E227)*$F227,($E227-$H227)*$F227))</f>
        <v/>
      </c>
      <c r="J227" s="4" t="n">
        <v>14.75</v>
      </c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inlineStr">
        <is>
          <t>DHAN-23126092413109</t>
        </is>
      </c>
      <c r="B228" s="23" t="inlineStr">
        <is>
          <t>RAYMONDREL</t>
        </is>
      </c>
      <c r="C228" s="23" t="inlineStr">
        <is>
          <t>SHORT</t>
        </is>
      </c>
      <c r="D228" s="24" t="n">
        <v>46289</v>
      </c>
      <c r="E228" s="25" t="n">
        <v>677.0599999999999</v>
      </c>
      <c r="F228" s="26" t="n">
        <v>246</v>
      </c>
      <c r="G228" s="24" t="n">
        <v>46289</v>
      </c>
      <c r="H228" s="25" t="n">
        <v>704</v>
      </c>
      <c r="I228" s="21">
        <f>IF(OR($B228="",$H228=""),"",IF($C228="LONG",($H228-$E228)*$F228,($E228-$H228)*$F228))</f>
        <v/>
      </c>
      <c r="J228" s="4" t="n">
        <v>0</v>
      </c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inlineStr">
        <is>
          <t>DHAN-221260924489309</t>
        </is>
      </c>
      <c r="B229" s="23" t="inlineStr">
        <is>
          <t>RPGLIFE</t>
        </is>
      </c>
      <c r="C229" s="23" t="inlineStr">
        <is>
          <t>SHORT</t>
        </is>
      </c>
      <c r="D229" s="24" t="n">
        <v>46289</v>
      </c>
      <c r="E229" s="25" t="n">
        <v>2938.97</v>
      </c>
      <c r="F229" s="26" t="n">
        <v>55</v>
      </c>
      <c r="G229" s="24" t="n">
        <v>46289</v>
      </c>
      <c r="H229" s="25" t="n">
        <v>2914.96</v>
      </c>
      <c r="I229" s="21">
        <f>IF(OR($B229="",$H229=""),"",IF($C229="LONG",($H229-$E229)*$F229,($E229-$H229)*$F229))</f>
        <v/>
      </c>
      <c r="J229" s="4" t="n">
        <v>0</v>
      </c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BOMDYEING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CHEMPLASTS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DELTACORP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EIEL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EMUDHRA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FILATEX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FMGOETZE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FOSECOIND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FRONTSP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GKENERGY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GNA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GNRL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GOCLCORP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GOPAL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GRAUWEIL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GREAVESCOT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GUJTHEM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HERITGFOOD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HIKAL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HINDOILEXP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HUBTOWN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INDIAGLYCO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INDNIPPON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INDOCO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INDORAMA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IPL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JASH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JAYKAY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JGCHEM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KCP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KIRIINDUS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KIRLOSIND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KLBRENG-B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KROSS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KSCL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KSL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LUXIND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MAITHANALL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MANGLMCEM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MASTEK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MOBIKWIK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MUKANDLTD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NETWORK18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NILKAMAL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NORTHARC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NOVARTIND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NPST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NRBBEARING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OMAXE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ONEPOINT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OPTIEMUS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ORIENTHOT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PACEDIGITK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PITTIENG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PROTEAN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QUADFUTURE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RACLGEAR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RAMRAT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RAYMOND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RAYMONDREL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REFEX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RESPONIND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RML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ROSSTECH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RPGLIFE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SAATVIKGL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SAKAR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SAMBHV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SAMHI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SHAREINDIA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SIKA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SINDHUTRAD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SMSPHARMA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SOLARA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SOTL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SSWL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STEELCAS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SYMPHONY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SYNCOMF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TALBROAUTO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27" t="inlineStr">
        <is>
          <t>TBZ</t>
        </is>
      </c>
      <c r="B96" s="20">
        <f>COUNTIF('Trade Log'!$B$4:$B$503,$A96)</f>
        <v/>
      </c>
      <c r="C96" s="20">
        <f>COUNTIFS('Trade Log'!$B$4:$B$503,$A96,'Trade Log'!$K$4:$K$503,"&gt;0")</f>
        <v/>
      </c>
      <c r="D96" s="20">
        <f>COUNTIFS('Trade Log'!$B$4:$B$503,$A96,'Trade Log'!$K$4:$K$503,"&lt;0")</f>
        <v/>
      </c>
      <c r="E96" s="29">
        <f>IFERROR($C96/$B96,"")</f>
        <v/>
      </c>
      <c r="F96" s="21">
        <f>SUMIF('Trade Log'!$B$4:$B$503,$A96,'Trade Log'!$I$4:$I$503)</f>
        <v/>
      </c>
      <c r="G96" s="21">
        <f>SUMIF('Trade Log'!$B$4:$B$503,$A96,'Trade Log'!$K$4:$K$503)</f>
        <v/>
      </c>
      <c r="H96" s="21">
        <f>IFERROR($G96/$B96,"")</f>
        <v/>
      </c>
      <c r="I96" s="21">
        <f>IFERROR(_xlfn.MAXIFS('Trade Log'!$K$4:$K$503,'Trade Log'!$B$4:$B$503,$A96),"")</f>
        <v/>
      </c>
      <c r="J96" s="21">
        <f>IFERROR(_xlfn.MINIFS('Trade Log'!$K$4:$K$503,'Trade Log'!$B$4:$B$503,$A96),"")</f>
        <v/>
      </c>
    </row>
    <row r="97">
      <c r="A97" s="27" t="inlineStr">
        <is>
          <t>THOMASCOOK</t>
        </is>
      </c>
      <c r="B97" s="20">
        <f>COUNTIF('Trade Log'!$B$4:$B$503,$A97)</f>
        <v/>
      </c>
      <c r="C97" s="20">
        <f>COUNTIFS('Trade Log'!$B$4:$B$503,$A97,'Trade Log'!$K$4:$K$503,"&gt;0")</f>
        <v/>
      </c>
      <c r="D97" s="20">
        <f>COUNTIFS('Trade Log'!$B$4:$B$503,$A97,'Trade Log'!$K$4:$K$503,"&lt;0")</f>
        <v/>
      </c>
      <c r="E97" s="29">
        <f>IFERROR($C97/$B97,"")</f>
        <v/>
      </c>
      <c r="F97" s="21">
        <f>SUMIF('Trade Log'!$B$4:$B$503,$A97,'Trade Log'!$I$4:$I$503)</f>
        <v/>
      </c>
      <c r="G97" s="21">
        <f>SUMIF('Trade Log'!$B$4:$B$503,$A97,'Trade Log'!$K$4:$K$503)</f>
        <v/>
      </c>
      <c r="H97" s="21">
        <f>IFERROR($G97/$B97,"")</f>
        <v/>
      </c>
      <c r="I97" s="21">
        <f>IFERROR(_xlfn.MAXIFS('Trade Log'!$K$4:$K$503,'Trade Log'!$B$4:$B$503,$A97),"")</f>
        <v/>
      </c>
      <c r="J97" s="21">
        <f>IFERROR(_xlfn.MINIFS('Trade Log'!$K$4:$K$503,'Trade Log'!$B$4:$B$503,$A97),"")</f>
        <v/>
      </c>
    </row>
    <row r="98">
      <c r="A98" s="27" t="inlineStr">
        <is>
          <t>VENKEYS</t>
        </is>
      </c>
      <c r="B98" s="20">
        <f>COUNTIF('Trade Log'!$B$4:$B$503,$A98)</f>
        <v/>
      </c>
      <c r="C98" s="20">
        <f>COUNTIFS('Trade Log'!$B$4:$B$503,$A98,'Trade Log'!$K$4:$K$503,"&gt;0")</f>
        <v/>
      </c>
      <c r="D98" s="20">
        <f>COUNTIFS('Trade Log'!$B$4:$B$503,$A98,'Trade Log'!$K$4:$K$503,"&lt;0")</f>
        <v/>
      </c>
      <c r="E98" s="29">
        <f>IFERROR($C98/$B98,"")</f>
        <v/>
      </c>
      <c r="F98" s="21">
        <f>SUMIF('Trade Log'!$B$4:$B$503,$A98,'Trade Log'!$I$4:$I$503)</f>
        <v/>
      </c>
      <c r="G98" s="21">
        <f>SUMIF('Trade Log'!$B$4:$B$503,$A98,'Trade Log'!$K$4:$K$503)</f>
        <v/>
      </c>
      <c r="H98" s="21">
        <f>IFERROR($G98/$B98,"")</f>
        <v/>
      </c>
      <c r="I98" s="21">
        <f>IFERROR(_xlfn.MAXIFS('Trade Log'!$K$4:$K$503,'Trade Log'!$B$4:$B$503,$A98),"")</f>
        <v/>
      </c>
      <c r="J98" s="21">
        <f>IFERROR(_xlfn.MINIFS('Trade Log'!$K$4:$K$503,'Trade Log'!$B$4:$B$503,$A98),"")</f>
        <v/>
      </c>
    </row>
    <row r="99">
      <c r="A99" s="27" t="inlineStr">
        <is>
          <t>VENUSPIPES</t>
        </is>
      </c>
      <c r="B99" s="20">
        <f>COUNTIF('Trade Log'!$B$4:$B$503,$A99)</f>
        <v/>
      </c>
      <c r="C99" s="20">
        <f>COUNTIFS('Trade Log'!$B$4:$B$503,$A99,'Trade Log'!$K$4:$K$503,"&gt;0")</f>
        <v/>
      </c>
      <c r="D99" s="20">
        <f>COUNTIFS('Trade Log'!$B$4:$B$503,$A99,'Trade Log'!$K$4:$K$503,"&lt;0")</f>
        <v/>
      </c>
      <c r="E99" s="29">
        <f>IFERROR($C99/$B99,"")</f>
        <v/>
      </c>
      <c r="F99" s="21">
        <f>SUMIF('Trade Log'!$B$4:$B$503,$A99,'Trade Log'!$I$4:$I$503)</f>
        <v/>
      </c>
      <c r="G99" s="21">
        <f>SUMIF('Trade Log'!$B$4:$B$503,$A99,'Trade Log'!$K$4:$K$503)</f>
        <v/>
      </c>
      <c r="H99" s="21">
        <f>IFERROR($G99/$B99,"")</f>
        <v/>
      </c>
      <c r="I99" s="21">
        <f>IFERROR(_xlfn.MAXIFS('Trade Log'!$K$4:$K$503,'Trade Log'!$B$4:$B$503,$A99),"")</f>
        <v/>
      </c>
      <c r="J99" s="21">
        <f>IFERROR(_xlfn.MINIFS('Trade Log'!$K$4:$K$503,'Trade Log'!$B$4:$B$503,$A99),"")</f>
        <v/>
      </c>
    </row>
    <row r="100">
      <c r="A100" s="27" t="inlineStr">
        <is>
          <t>VERANDA</t>
        </is>
      </c>
      <c r="B100" s="20">
        <f>COUNTIF('Trade Log'!$B$4:$B$503,$A100)</f>
        <v/>
      </c>
      <c r="C100" s="20">
        <f>COUNTIFS('Trade Log'!$B$4:$B$503,$A100,'Trade Log'!$K$4:$K$503,"&gt;0")</f>
        <v/>
      </c>
      <c r="D100" s="20">
        <f>COUNTIFS('Trade Log'!$B$4:$B$503,$A100,'Trade Log'!$K$4:$K$503,"&lt;0")</f>
        <v/>
      </c>
      <c r="E100" s="29">
        <f>IFERROR($C100/$B100,"")</f>
        <v/>
      </c>
      <c r="F100" s="21">
        <f>SUMIF('Trade Log'!$B$4:$B$503,$A100,'Trade Log'!$I$4:$I$503)</f>
        <v/>
      </c>
      <c r="G100" s="21">
        <f>SUMIF('Trade Log'!$B$4:$B$503,$A100,'Trade Log'!$K$4:$K$503)</f>
        <v/>
      </c>
      <c r="H100" s="21">
        <f>IFERROR($G100/$B100,"")</f>
        <v/>
      </c>
      <c r="I100" s="21">
        <f>IFERROR(_xlfn.MAXIFS('Trade Log'!$K$4:$K$503,'Trade Log'!$B$4:$B$503,$A100),"")</f>
        <v/>
      </c>
      <c r="J100" s="21">
        <f>IFERROR(_xlfn.MINIFS('Trade Log'!$K$4:$K$503,'Trade Log'!$B$4:$B$503,$A100),"")</f>
        <v/>
      </c>
    </row>
    <row r="101">
      <c r="A101" s="27" t="inlineStr">
        <is>
          <t>VSSL</t>
        </is>
      </c>
      <c r="B101" s="20">
        <f>COUNTIF('Trade Log'!$B$4:$B$503,$A101)</f>
        <v/>
      </c>
      <c r="C101" s="20">
        <f>COUNTIFS('Trade Log'!$B$4:$B$503,$A101,'Trade Log'!$K$4:$K$503,"&gt;0")</f>
        <v/>
      </c>
      <c r="D101" s="20">
        <f>COUNTIFS('Trade Log'!$B$4:$B$503,$A101,'Trade Log'!$K$4:$K$503,"&lt;0")</f>
        <v/>
      </c>
      <c r="E101" s="29">
        <f>IFERROR($C101/$B101,"")</f>
        <v/>
      </c>
      <c r="F101" s="21">
        <f>SUMIF('Trade Log'!$B$4:$B$503,$A101,'Trade Log'!$I$4:$I$503)</f>
        <v/>
      </c>
      <c r="G101" s="21">
        <f>SUMIF('Trade Log'!$B$4:$B$503,$A101,'Trade Log'!$K$4:$K$503)</f>
        <v/>
      </c>
      <c r="H101" s="21">
        <f>IFERROR($G101/$B101,"")</f>
        <v/>
      </c>
      <c r="I101" s="21">
        <f>IFERROR(_xlfn.MAXIFS('Trade Log'!$K$4:$K$503,'Trade Log'!$B$4:$B$503,$A101),"")</f>
        <v/>
      </c>
      <c r="J101" s="21">
        <f>IFERROR(_xlfn.MINIFS('Trade Log'!$K$4:$K$503,'Trade Log'!$B$4:$B$503,$A101),"")</f>
        <v/>
      </c>
    </row>
    <row r="102">
      <c r="A102" s="27" t="inlineStr">
        <is>
          <t>WELSPLSOL</t>
        </is>
      </c>
      <c r="B102" s="20">
        <f>COUNTIF('Trade Log'!$B$4:$B$503,$A102)</f>
        <v/>
      </c>
      <c r="C102" s="20">
        <f>COUNTIFS('Trade Log'!$B$4:$B$503,$A102,'Trade Log'!$K$4:$K$503,"&gt;0")</f>
        <v/>
      </c>
      <c r="D102" s="20">
        <f>COUNTIFS('Trade Log'!$B$4:$B$503,$A102,'Trade Log'!$K$4:$K$503,"&lt;0")</f>
        <v/>
      </c>
      <c r="E102" s="29">
        <f>IFERROR($C102/$B102,"")</f>
        <v/>
      </c>
      <c r="F102" s="21">
        <f>SUMIF('Trade Log'!$B$4:$B$503,$A102,'Trade Log'!$I$4:$I$503)</f>
        <v/>
      </c>
      <c r="G102" s="21">
        <f>SUMIF('Trade Log'!$B$4:$B$503,$A102,'Trade Log'!$K$4:$K$503)</f>
        <v/>
      </c>
      <c r="H102" s="21">
        <f>IFERROR($G102/$B102,"")</f>
        <v/>
      </c>
      <c r="I102" s="21">
        <f>IFERROR(_xlfn.MAXIFS('Trade Log'!$K$4:$K$503,'Trade Log'!$B$4:$B$503,$A102),"")</f>
        <v/>
      </c>
      <c r="J102" s="21">
        <f>IFERROR(_xlfn.MINIFS('Trade Log'!$K$4:$K$503,'Trade Log'!$B$4:$B$503,$A102),"")</f>
        <v/>
      </c>
    </row>
    <row r="103">
      <c r="A103" s="27" t="inlineStr">
        <is>
          <t>WENDT</t>
        </is>
      </c>
      <c r="B103" s="20">
        <f>COUNTIF('Trade Log'!$B$4:$B$503,$A103)</f>
        <v/>
      </c>
      <c r="C103" s="20">
        <f>COUNTIFS('Trade Log'!$B$4:$B$503,$A103,'Trade Log'!$K$4:$K$503,"&gt;0")</f>
        <v/>
      </c>
      <c r="D103" s="20">
        <f>COUNTIFS('Trade Log'!$B$4:$B$503,$A103,'Trade Log'!$K$4:$K$503,"&lt;0")</f>
        <v/>
      </c>
      <c r="E103" s="29">
        <f>IFERROR($C103/$B103,"")</f>
        <v/>
      </c>
      <c r="F103" s="21">
        <f>SUMIF('Trade Log'!$B$4:$B$503,$A103,'Trade Log'!$I$4:$I$503)</f>
        <v/>
      </c>
      <c r="G103" s="21">
        <f>SUMIF('Trade Log'!$B$4:$B$503,$A103,'Trade Log'!$K$4:$K$503)</f>
        <v/>
      </c>
      <c r="H103" s="21">
        <f>IFERROR($G103/$B103,"")</f>
        <v/>
      </c>
      <c r="I103" s="21">
        <f>IFERROR(_xlfn.MAXIFS('Trade Log'!$K$4:$K$503,'Trade Log'!$B$4:$B$503,$A103),"")</f>
        <v/>
      </c>
      <c r="J103" s="21">
        <f>IFERROR(_xlfn.MINIFS('Trade Log'!$K$4:$K$503,'Trade Log'!$B$4:$B$503,$A103),"")</f>
        <v/>
      </c>
    </row>
    <row r="104">
      <c r="A104" s="27" t="inlineStr">
        <is>
          <t>WINDLAS</t>
        </is>
      </c>
      <c r="B104" s="20">
        <f>COUNTIF('Trade Log'!$B$4:$B$503,$A104)</f>
        <v/>
      </c>
      <c r="C104" s="20">
        <f>COUNTIFS('Trade Log'!$B$4:$B$503,$A104,'Trade Log'!$K$4:$K$503,"&gt;0")</f>
        <v/>
      </c>
      <c r="D104" s="20">
        <f>COUNTIFS('Trade Log'!$B$4:$B$503,$A104,'Trade Log'!$K$4:$K$503,"&lt;0")</f>
        <v/>
      </c>
      <c r="E104" s="29">
        <f>IFERROR($C104/$B104,"")</f>
        <v/>
      </c>
      <c r="F104" s="21">
        <f>SUMIF('Trade Log'!$B$4:$B$503,$A104,'Trade Log'!$I$4:$I$503)</f>
        <v/>
      </c>
      <c r="G104" s="21">
        <f>SUMIF('Trade Log'!$B$4:$B$503,$A104,'Trade Log'!$K$4:$K$503)</f>
        <v/>
      </c>
      <c r="H104" s="21">
        <f>IFERROR($G104/$B104,"")</f>
        <v/>
      </c>
      <c r="I104" s="21">
        <f>IFERROR(_xlfn.MAXIFS('Trade Log'!$K$4:$K$503,'Trade Log'!$B$4:$B$503,$A104),"")</f>
        <v/>
      </c>
      <c r="J104" s="21">
        <f>IFERROR(_xlfn.MINIFS('Trade Log'!$K$4:$K$503,'Trade Log'!$B$4:$B$503,$A104),"")</f>
        <v/>
      </c>
    </row>
    <row r="105">
      <c r="A105" s="27" t="inlineStr">
        <is>
          <t>XPROINDIA</t>
        </is>
      </c>
      <c r="B105" s="20">
        <f>COUNTIF('Trade Log'!$B$4:$B$503,$A105)</f>
        <v/>
      </c>
      <c r="C105" s="20">
        <f>COUNTIFS('Trade Log'!$B$4:$B$503,$A105,'Trade Log'!$K$4:$K$503,"&gt;0")</f>
        <v/>
      </c>
      <c r="D105" s="20">
        <f>COUNTIFS('Trade Log'!$B$4:$B$503,$A105,'Trade Log'!$K$4:$K$503,"&lt;0")</f>
        <v/>
      </c>
      <c r="E105" s="29">
        <f>IFERROR($C105/$B105,"")</f>
        <v/>
      </c>
      <c r="F105" s="21">
        <f>SUMIF('Trade Log'!$B$4:$B$503,$A105,'Trade Log'!$I$4:$I$503)</f>
        <v/>
      </c>
      <c r="G105" s="21">
        <f>SUMIF('Trade Log'!$B$4:$B$503,$A105,'Trade Log'!$K$4:$K$503)</f>
        <v/>
      </c>
      <c r="H105" s="21">
        <f>IFERROR($G105/$B105,"")</f>
        <v/>
      </c>
      <c r="I105" s="21">
        <f>IFERROR(_xlfn.MAXIFS('Trade Log'!$K$4:$K$503,'Trade Log'!$B$4:$B$503,$A105),"")</f>
        <v/>
      </c>
      <c r="J105" s="21">
        <f>IFERROR(_xlfn.MINIFS('Trade Log'!$K$4:$K$503,'Trade Log'!$B$4:$B$503,$A105),"")</f>
        <v/>
      </c>
    </row>
    <row r="106">
      <c r="A106" s="27" t="inlineStr">
        <is>
          <t>ZAGGLE</t>
        </is>
      </c>
      <c r="B106" s="20">
        <f>COUNTIF('Trade Log'!$B$4:$B$503,$A106)</f>
        <v/>
      </c>
      <c r="C106" s="20">
        <f>COUNTIFS('Trade Log'!$B$4:$B$503,$A106,'Trade Log'!$K$4:$K$503,"&gt;0")</f>
        <v/>
      </c>
      <c r="D106" s="20">
        <f>COUNTIFS('Trade Log'!$B$4:$B$503,$A106,'Trade Log'!$K$4:$K$503,"&lt;0")</f>
        <v/>
      </c>
      <c r="E106" s="29">
        <f>IFERROR($C106/$B106,"")</f>
        <v/>
      </c>
      <c r="F106" s="21">
        <f>SUMIF('Trade Log'!$B$4:$B$503,$A106,'Trade Log'!$I$4:$I$503)</f>
        <v/>
      </c>
      <c r="G106" s="21">
        <f>SUMIF('Trade Log'!$B$4:$B$503,$A106,'Trade Log'!$K$4:$K$503)</f>
        <v/>
      </c>
      <c r="H106" s="21">
        <f>IFERROR($G106/$B106,"")</f>
        <v/>
      </c>
      <c r="I106" s="21">
        <f>IFERROR(_xlfn.MAXIFS('Trade Log'!$K$4:$K$503,'Trade Log'!$B$4:$B$503,$A106),"")</f>
        <v/>
      </c>
      <c r="J106" s="21">
        <f>IFERROR(_xlfn.MINIFS('Trade Log'!$K$4:$K$503,'Trade Log'!$B$4:$B$503,$A106),"")</f>
        <v/>
      </c>
    </row>
    <row r="107">
      <c r="A107" s="27" t="inlineStr">
        <is>
          <t>ZOTA</t>
        </is>
      </c>
      <c r="B107" s="20">
        <f>COUNTIF('Trade Log'!$B$4:$B$503,$A107)</f>
        <v/>
      </c>
      <c r="C107" s="20">
        <f>COUNTIFS('Trade Log'!$B$4:$B$503,$A107,'Trade Log'!$K$4:$K$503,"&gt;0")</f>
        <v/>
      </c>
      <c r="D107" s="20">
        <f>COUNTIFS('Trade Log'!$B$4:$B$503,$A107,'Trade Log'!$K$4:$K$503,"&lt;0")</f>
        <v/>
      </c>
      <c r="E107" s="29">
        <f>IFERROR($C107/$B107,"")</f>
        <v/>
      </c>
      <c r="F107" s="21">
        <f>SUMIF('Trade Log'!$B$4:$B$503,$A107,'Trade Log'!$I$4:$I$503)</f>
        <v/>
      </c>
      <c r="G107" s="21">
        <f>SUMIF('Trade Log'!$B$4:$B$503,$A107,'Trade Log'!$K$4:$K$503)</f>
        <v/>
      </c>
      <c r="H107" s="21">
        <f>IFERROR($G107/$B107,"")</f>
        <v/>
      </c>
      <c r="I107" s="21">
        <f>IFERROR(_xlfn.MAXIFS('Trade Log'!$K$4:$K$503,'Trade Log'!$B$4:$B$503,$A107),"")</f>
        <v/>
      </c>
      <c r="J107" s="21">
        <f>IFERROR(_xlfn.MINIFS('Trade Log'!$K$4:$K$503,'Trade Log'!$B$4:$B$503,$A107),"")</f>
        <v/>
      </c>
    </row>
    <row r="108">
      <c r="A108" s="3" t="inlineStr">
        <is>
          <t>TOTAL</t>
        </is>
      </c>
      <c r="B108" s="30">
        <f>SUM(B4:B107)</f>
        <v/>
      </c>
      <c r="C108" s="30">
        <f>SUM(C4:C107)</f>
        <v/>
      </c>
      <c r="D108" s="30">
        <f>SUM(D4:D107)</f>
        <v/>
      </c>
      <c r="E108" s="31">
        <f>IFERROR(C108/B108,"")</f>
        <v/>
      </c>
      <c r="F108" s="32">
        <f>SUM(F4:F107)</f>
        <v/>
      </c>
      <c r="G108" s="32">
        <f>SUM(G4:G107)</f>
        <v/>
      </c>
      <c r="H108" s="32">
        <f>IFERROR(G108/B108,"")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2026-09-24T09:51:57Z</dcterms:created>
  <dcterms:modified xmlns:dcterms="http://purl.org/dc/terms/" xmlns:xsi="http://www.w3.org/2001/XMLSchema-instance" xsi:type="dcterms:W3CDTF">2026-09-24T09:51:57Z</dcterms:modified>
</cp:coreProperties>
</file>