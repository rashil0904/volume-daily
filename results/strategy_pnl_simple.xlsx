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570.16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686.95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569.01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661.09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590.1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397.72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413.07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344.42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413.41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379.51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412.83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405.53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867.36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390.58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329.27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385.46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977.0599999999999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956.66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991.04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597.74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677.37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670.05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574.45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628.4400000000001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619.39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612.4400000000001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693.67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616.97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441.52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386.09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435.16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356.26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412.4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344.23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893.48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799.49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826.83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479.69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474.59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531.5700000000001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480.98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420.14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428.94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546.34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425.06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371.59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642.5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654.08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564.17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632.14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497.88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494.62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504.68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491.12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467.29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542.29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461.56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526.4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520.61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518.99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446.93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463.48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628.4299999999999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636.76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600.3200000000001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589.6799999999999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602.41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591.66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295.71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337.53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288.91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191.96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296.19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500.39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461.44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464.36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497.49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520.71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458.33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395.29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347.81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385.69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315.59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318.31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359.64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316.7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361.06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459.23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521.55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461.19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815.71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150.51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903.78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800.77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374.49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373.24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42.36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69.44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424.47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0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424.42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inlineStr"/>
      <c r="H253" s="25" t="inlineStr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50.15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inlineStr"/>
      <c r="H254" s="25" t="inlineStr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14.75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106.07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148.55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105.9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126.94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124.64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58.68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70.91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42.61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70.69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77.89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71.06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60.55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311.04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46.98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46.97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28.07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44.86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98.36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82.04000000000001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98.77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157.29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171.71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156.38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131.97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98.87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97.06999999999999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78.05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85.97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50.14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44.29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44.19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57.55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274.34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274.42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276.16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96.94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91.64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91.5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91.73999999999999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90.56999999999999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78.43000000000001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72.31999999999999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109.1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58.72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114.07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113.93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128.36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113.44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112.37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178.49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176.85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186.35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171.1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184.24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57.29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57.44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53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52.75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43.94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60.29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67.92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79.42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135.81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126.33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137.32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126.83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29.22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29.96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17.97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10.57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30.08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31.75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56.23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59.97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31.74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52.89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56.1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17.6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10.58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10.51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14.65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17.57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14.69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17.42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19.19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55.09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53.95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57.18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62.9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64.97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62.46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20</v>
      </c>
      <c r="F246" s="4" t="n">
        <v>214.11</v>
      </c>
      <c r="G246" s="4" t="n">
        <v>6.57</v>
      </c>
      <c r="H246" s="4" t="n">
        <v>0.21</v>
      </c>
      <c r="I246" s="4" t="n">
        <v>32.11</v>
      </c>
      <c r="J246" s="4" t="n">
        <v>4.82</v>
      </c>
      <c r="K246" s="4" t="n">
        <v>14.75</v>
      </c>
      <c r="L246" s="4" t="n">
        <v>35.4</v>
      </c>
      <c r="M246" s="4" t="n">
        <v>46.51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20</v>
      </c>
      <c r="F247" s="4" t="n">
        <v>214.74</v>
      </c>
      <c r="G247" s="4" t="n">
        <v>6.59</v>
      </c>
      <c r="H247" s="4" t="n">
        <v>0.21</v>
      </c>
      <c r="I247" s="4" t="n">
        <v>32.65</v>
      </c>
      <c r="J247" s="4" t="n">
        <v>4.83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20</v>
      </c>
      <c r="F248" s="4" t="n">
        <v>0</v>
      </c>
      <c r="G248" s="4" t="n">
        <v>3.29</v>
      </c>
      <c r="H248" s="4" t="n">
        <v>0.11</v>
      </c>
      <c r="I248" s="4" t="n">
        <v>0</v>
      </c>
      <c r="J248" s="4" t="n">
        <v>4.21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20</v>
      </c>
      <c r="F249" s="4" t="n">
        <v>23.86</v>
      </c>
      <c r="G249" s="4" t="n">
        <v>3.29</v>
      </c>
      <c r="H249" s="4" t="n">
        <v>0.11</v>
      </c>
      <c r="I249" s="4" t="n">
        <v>3.22</v>
      </c>
      <c r="J249" s="4" t="n">
        <v>4.21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64.29000000000001</v>
      </c>
      <c r="F250" s="4" t="n">
        <v>214.31</v>
      </c>
      <c r="G250" s="4" t="n">
        <v>6.58</v>
      </c>
      <c r="H250" s="4" t="n">
        <v>0.21</v>
      </c>
      <c r="I250" s="4" t="n">
        <v>32.15</v>
      </c>
      <c r="J250" s="4" t="n">
        <v>12.8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0</v>
      </c>
      <c r="F251" s="4" t="n">
        <v>0</v>
      </c>
      <c r="G251" s="4" t="n">
        <v>0</v>
      </c>
      <c r="H251" s="4" t="n">
        <v>0</v>
      </c>
      <c r="I251" s="4" t="n">
        <v>0</v>
      </c>
      <c r="J251" s="4" t="n">
        <v>0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64.28</v>
      </c>
      <c r="F252" s="4" t="n">
        <v>214.29</v>
      </c>
      <c r="G252" s="4" t="n">
        <v>6.58</v>
      </c>
      <c r="H252" s="4" t="n">
        <v>0.21</v>
      </c>
      <c r="I252" s="4" t="n">
        <v>32.14</v>
      </c>
      <c r="J252" s="4" t="n">
        <v>12.79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inlineStr"/>
      <c r="E253" s="4" t="n">
        <v>0</v>
      </c>
      <c r="F253" s="4" t="n">
        <v>0</v>
      </c>
      <c r="G253" s="4" t="n">
        <v>0</v>
      </c>
      <c r="H253" s="4" t="n">
        <v>0</v>
      </c>
      <c r="I253" s="4" t="n">
        <v>0</v>
      </c>
      <c r="J253" s="4" t="n">
        <v>0</v>
      </c>
      <c r="K253" s="4" t="n">
        <v>14.75</v>
      </c>
      <c r="L253" s="4" t="n">
        <v>35.4</v>
      </c>
      <c r="M253" s="4" t="n">
        <v>0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inlineStr"/>
      <c r="E254" s="4" t="n">
        <v>0</v>
      </c>
      <c r="F254" s="4" t="n">
        <v>0</v>
      </c>
      <c r="G254" s="4" t="n">
        <v>0</v>
      </c>
      <c r="H254" s="4" t="n">
        <v>0</v>
      </c>
      <c r="I254" s="4" t="n">
        <v>0</v>
      </c>
      <c r="J254" s="4" t="n">
        <v>0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28" t="n">
        <v>46293</v>
      </c>
      <c r="B17" s="20">
        <f>COUNTIFS('Trade Log'!$G$4:$G$503,"&gt;="&amp;DATE(2026,9,28),'Trade Log'!$G$4:$G$503,"&lt;"&amp;DATE(2026,10,5))</f>
        <v/>
      </c>
      <c r="C17" s="20">
        <f>COUNTIFS('Trade Log'!$G$4:$G$503,"&gt;="&amp;DATE(2026,9,28),'Trade Log'!$G$4:$G$503,"&lt;"&amp;DATE(2026,10,5),'Trade Log'!$L$4:$L$503,"&gt;0")</f>
        <v/>
      </c>
      <c r="D17" s="20">
        <f>COUNTIFS('Trade Log'!$G$4:$G$503,"&gt;="&amp;DATE(2026,9,28),'Trade Log'!$G$4:$G$503,"&lt;"&amp;DATE(2026,10,5),'Trade Log'!$L$4:$L$503,"&lt;0")</f>
        <v/>
      </c>
      <c r="E17" s="22">
        <f>IFERROR($C17/$B17,"")</f>
        <v/>
      </c>
      <c r="F17" s="21">
        <f>SUMIFS('Trade Log'!$I$4:$I$503,'Trade Log'!$G$4:$G$503,"&gt;="&amp;DATE(2026,9,28),'Trade Log'!$G$4:$G$503,"&lt;"&amp;DATE(2026,10,5))</f>
        <v/>
      </c>
      <c r="G17" s="21">
        <f>SUMIFS('Trade Log'!$L$4:$L$503,'Trade Log'!$G$4:$G$503,"&gt;="&amp;DATE(2026,9,28),'Trade Log'!$G$4:$G$503,"&lt;"&amp;DATE(2026,10,5))</f>
        <v/>
      </c>
      <c r="H17" s="21">
        <f>IFERROR($G17/$B17,"")</f>
        <v/>
      </c>
      <c r="I17" s="21">
        <f>IFERROR(_xlfn.MAXIFS('Trade Log'!$L$4:$L$503,'Trade Log'!$G$4:$G$503,"&gt;="&amp;DATE(2026,9,28),'Trade Log'!$G$4:$G$503,"&lt;"&amp;DATE(2026,10,5)),"")</f>
        <v/>
      </c>
      <c r="J17" s="21">
        <f>IFERROR(_xlfn.MINIFS('Trade Log'!$L$4:$L$503,'Trade Log'!$G$4:$G$503,"&gt;="&amp;DATE(2026,9,28),'Trade Log'!$G$4:$G$503,"&lt;"&amp;DATE(2026,10,5)),"")</f>
        <v/>
      </c>
      <c r="K17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8">
      <c r="A18" s="3" t="inlineStr">
        <is>
          <t>TOTAL</t>
        </is>
      </c>
      <c r="B18" s="30">
        <f>SUM(B11:B17)</f>
        <v/>
      </c>
      <c r="C18" s="30">
        <f>SUM(C11:C17)</f>
        <v/>
      </c>
      <c r="D18" s="30">
        <f>SUM(D11:D17)</f>
        <v/>
      </c>
      <c r="E18" s="31">
        <f>IFERROR(C18/B18,"")</f>
        <v/>
      </c>
      <c r="F18" s="32">
        <f>SUM(F11:F17)</f>
        <v/>
      </c>
      <c r="G18" s="32">
        <f>SUM(G11:G17)</f>
        <v/>
      </c>
      <c r="H18" s="32">
        <f>IFERROR(G18/B18,"")</f>
        <v/>
      </c>
      <c r="K1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2026-09-30T10:16:15Z</dcterms:created>
  <dcterms:modified xmlns:dcterms="http://purl.org/dc/terms/" xmlns:xsi="http://www.w3.org/2001/XMLSchema-instance" xsi:type="dcterms:W3CDTF">2026-09-30T10:16:16Z</dcterms:modified>
</cp:coreProperties>
</file>