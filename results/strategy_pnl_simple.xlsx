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570.13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686.97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568.98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661.0599999999999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590.21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397.7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413.05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344.41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413.39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379.54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412.81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405.51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867.47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329.26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385.5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977.03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956.64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991.02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598.8099999999999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677.33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670.2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574.42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628.47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619.42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612.42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693.65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616.98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441.54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387.48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386.08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435.15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411.79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356.25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364.87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412.42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344.23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893.4299999999999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799.4400000000001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479.65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474.57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531.35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531.5599999999999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481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428.98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546.3200000000001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425.1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371.58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642.48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638.33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654.01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564.15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632.12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497.85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494.59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504.8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491.3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467.26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542.41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461.72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526.66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520.86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519.23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447.13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463.78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628.74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637.12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601.05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590.26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603.04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592.24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295.85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337.66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192.01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296.34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500.53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461.68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464.65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497.64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520.95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458.63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395.37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347.86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385.74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315.66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311.33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359.7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316.78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361.15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459.21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521.5700000000001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461.19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815.77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150.3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903.83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800.77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622.27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inlineStr"/>
      <c r="H253" s="25" t="inlineStr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inlineStr"/>
      <c r="H254" s="25" t="inlineStr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106.04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148.58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105.87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126.9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124.75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58.66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70.89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42.6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70.67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77.92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71.04000000000001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60.54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311.14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46.97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46.95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28.06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44.9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98.33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82.02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98.73999999999999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157.26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171.67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156.53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131.94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98.90000000000001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97.11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87.81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78.03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50.16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44.28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44.18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44.79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57.57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274.29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274.37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96.89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91.62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91.48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91.73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90.59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72.37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109.08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70.45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58.71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114.05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113.91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128.29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113.42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112.35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178.46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186.47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171.28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148.23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184.36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57.45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57.7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53.25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52.99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44.14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60.59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68.23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79.79000000000001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136.53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126.91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137.95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127.41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29.36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30.1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18.05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10.62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30.23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31.89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56.47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60.26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31.89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53.13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56.4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17.68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10.62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10.56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14.72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10.59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14.75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17.5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19.28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55.08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53.98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57.18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62.96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64.76000000000001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62.51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51.31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46.51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inlineStr"/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inlineStr"/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28" t="n">
        <v>46293</v>
      </c>
      <c r="B17" s="20">
        <f>COUNTIFS('Trade Log'!$G$4:$G$503,"&gt;="&amp;DATE(2026,9,28),'Trade Log'!$G$4:$G$503,"&lt;"&amp;DATE(2026,10,5))</f>
        <v/>
      </c>
      <c r="C17" s="20">
        <f>COUNTIFS('Trade Log'!$G$4:$G$503,"&gt;="&amp;DATE(2026,9,28),'Trade Log'!$G$4:$G$503,"&lt;"&amp;DATE(2026,10,5),'Trade Log'!$L$4:$L$503,"&gt;0")</f>
        <v/>
      </c>
      <c r="D17" s="20">
        <f>COUNTIFS('Trade Log'!$G$4:$G$503,"&gt;="&amp;DATE(2026,9,28),'Trade Log'!$G$4:$G$503,"&lt;"&amp;DATE(2026,10,5),'Trade Log'!$L$4:$L$503,"&lt;0")</f>
        <v/>
      </c>
      <c r="E17" s="22">
        <f>IFERROR($C17/$B17,"")</f>
        <v/>
      </c>
      <c r="F17" s="21">
        <f>SUMIFS('Trade Log'!$I$4:$I$503,'Trade Log'!$G$4:$G$503,"&gt;="&amp;DATE(2026,9,28),'Trade Log'!$G$4:$G$503,"&lt;"&amp;DATE(2026,10,5))</f>
        <v/>
      </c>
      <c r="G17" s="21">
        <f>SUMIFS('Trade Log'!$L$4:$L$503,'Trade Log'!$G$4:$G$503,"&gt;="&amp;DATE(2026,9,28),'Trade Log'!$G$4:$G$503,"&lt;"&amp;DATE(2026,10,5))</f>
        <v/>
      </c>
      <c r="H17" s="21">
        <f>IFERROR($G17/$B17,"")</f>
        <v/>
      </c>
      <c r="I17" s="21">
        <f>IFERROR(_xlfn.MAXIFS('Trade Log'!$L$4:$L$503,'Trade Log'!$G$4:$G$503,"&gt;="&amp;DATE(2026,9,28),'Trade Log'!$G$4:$G$503,"&lt;"&amp;DATE(2026,10,5)),"")</f>
        <v/>
      </c>
      <c r="J17" s="21">
        <f>IFERROR(_xlfn.MINIFS('Trade Log'!$L$4:$L$503,'Trade Log'!$G$4:$G$503,"&gt;="&amp;DATE(2026,9,28),'Trade Log'!$G$4:$G$503,"&lt;"&amp;DATE(2026,10,5)),"")</f>
        <v/>
      </c>
      <c r="K17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8">
      <c r="A18" s="3" t="inlineStr">
        <is>
          <t>TOTAL</t>
        </is>
      </c>
      <c r="B18" s="30">
        <f>SUM(B11:B17)</f>
        <v/>
      </c>
      <c r="C18" s="30">
        <f>SUM(C11:C17)</f>
        <v/>
      </c>
      <c r="D18" s="30">
        <f>SUM(D11:D17)</f>
        <v/>
      </c>
      <c r="E18" s="31">
        <f>IFERROR(C18/B18,"")</f>
        <v/>
      </c>
      <c r="F18" s="32">
        <f>SUM(F11:F17)</f>
        <v/>
      </c>
      <c r="G18" s="32">
        <f>SUM(G11:G17)</f>
        <v/>
      </c>
      <c r="H18" s="32">
        <f>IFERROR(G18/B18,"")</f>
        <v/>
      </c>
      <c r="K1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2026-10-01T03:37:35Z</dcterms:created>
  <dcterms:modified xmlns:dcterms="http://purl.org/dc/terms/" xmlns:xsi="http://www.w3.org/2001/XMLSchema-instance" xsi:type="dcterms:W3CDTF">2026-10-01T03:37:36Z</dcterms:modified>
</cp:coreProperties>
</file>