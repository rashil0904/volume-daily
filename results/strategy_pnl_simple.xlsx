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1">
      <c r="B21" s="3" t="inlineStr">
        <is>
          <t>Max Drawdown (₹)</t>
        </is>
      </c>
      <c r="C21" s="21">
        <f>IFERROR(MIN('Day Wise PnL'!$K$4:$K$403),"")</f>
        <v/>
      </c>
    </row>
    <row r="22">
      <c r="B22" s="3" t="inlineStr">
        <is>
          <t>Max Drawdown (%)</t>
        </is>
      </c>
      <c r="C22" s="22">
        <f>IFERROR(MIN('Day Wise PnL'!$L$4:$L$403),"")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571.63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688.97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570.48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662.86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591.59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398.53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414.06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345.01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414.39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380.54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413.82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406.37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870.55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349.19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329.26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977.05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991.03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597.72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598.83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677.24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670.4299999999999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574.4299999999999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628.42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619.39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612.4299999999999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693.6799999999999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617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441.48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386.09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435.16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356.27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364.89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412.31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893.51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799.53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826.87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479.58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531.37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531.58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480.9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420.15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428.89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425.04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371.59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642.52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638.36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654.42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564.1900000000001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632.15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497.9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494.64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504.47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490.94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467.31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542.35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463.89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528.75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522.78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521.15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448.73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465.91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631.21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640.01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605.97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594.85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608.03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596.85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296.91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338.75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289.65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192.39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297.41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DHAN-limit_entry_multi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93.83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463.67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466.8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498.79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522.87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460.55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DHAN-limit_entry_multi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131.89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DHAN-limit_entry_multi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91.13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DHAN-limit_entry_multi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63.56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DHAN-limit_entry_multi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130.64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316.19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319.03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360.24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317.41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361.87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DHAN-limit_entry_multi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73.48999999999999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461.32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DHAN-limit_entry_multi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inlineStr"/>
      <c r="H234" s="25" t="inlineStr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14.75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inlineStr"/>
      <c r="H235" s="25" t="inlineStr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531.9400000000001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inlineStr"/>
      <c r="H236" s="25" t="inlineStr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61.09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inlineStr"/>
      <c r="H237" s="25" t="inlineStr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526.92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inlineStr"/>
      <c r="H238" s="25" t="inlineStr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61.09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inlineStr"/>
      <c r="H239" s="25" t="inlineStr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524.41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4" customWidth="1" min="9" max="9"/>
    <col width="14" customWidth="1" min="10" max="10"/>
    <col width="15" customWidth="1" min="11" max="11"/>
    <col width="14" customWidth="1" min="12" max="12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  <c r="I3" s="19" t="inlineStr">
        <is>
          <t>Equity</t>
        </is>
      </c>
      <c r="J3" s="19" t="inlineStr">
        <is>
          <t>Peak Equity</t>
        </is>
      </c>
      <c r="K3" s="19" t="inlineStr">
        <is>
          <t>Drawdown (₹)</t>
        </is>
      </c>
      <c r="L3" s="19" t="inlineStr">
        <is>
          <t>Drawdown (%)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  <c r="I4" s="21">
        <f>IF($A4="","",'Total PnL'!$B$3+$H4)</f>
        <v/>
      </c>
      <c r="J4" s="21">
        <f>IF($A4="","",MAX($I$4:$I4))</f>
        <v/>
      </c>
      <c r="K4" s="21">
        <f>IF($A4="","",$I4-$J4)</f>
        <v/>
      </c>
      <c r="L4" s="22">
        <f>IF($A4="","",IF($J4=0,"",$K4/$J4))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  <c r="I5" s="21">
        <f>IF($A5="","",'Total PnL'!$B$3+$H5)</f>
        <v/>
      </c>
      <c r="J5" s="21">
        <f>IF($A5="","",MAX($I$4:$I5))</f>
        <v/>
      </c>
      <c r="K5" s="21">
        <f>IF($A5="","",$I5-$J5)</f>
        <v/>
      </c>
      <c r="L5" s="22">
        <f>IF($A5="","",IF($J5=0,"",$K5/$J5))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  <c r="I6" s="21">
        <f>IF($A6="","",'Total PnL'!$B$3+$H6)</f>
        <v/>
      </c>
      <c r="J6" s="21">
        <f>IF($A6="","",MAX($I$4:$I6))</f>
        <v/>
      </c>
      <c r="K6" s="21">
        <f>IF($A6="","",$I6-$J6)</f>
        <v/>
      </c>
      <c r="L6" s="22">
        <f>IF($A6="","",IF($J6=0,"",$K6/$J6))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  <c r="I7" s="21">
        <f>IF($A7="","",'Total PnL'!$B$3+$H7)</f>
        <v/>
      </c>
      <c r="J7" s="21">
        <f>IF($A7="","",MAX($I$4:$I7))</f>
        <v/>
      </c>
      <c r="K7" s="21">
        <f>IF($A7="","",$I7-$J7)</f>
        <v/>
      </c>
      <c r="L7" s="22">
        <f>IF($A7="","",IF($J7=0,"",$K7/$J7))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  <c r="I8" s="21">
        <f>IF($A8="","",'Total PnL'!$B$3+$H8)</f>
        <v/>
      </c>
      <c r="J8" s="21">
        <f>IF($A8="","",MAX($I$4:$I8))</f>
        <v/>
      </c>
      <c r="K8" s="21">
        <f>IF($A8="","",$I8-$J8)</f>
        <v/>
      </c>
      <c r="L8" s="22">
        <f>IF($A8="","",IF($J8=0,"",$K8/$J8))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  <c r="I9" s="21">
        <f>IF($A9="","",'Total PnL'!$B$3+$H9)</f>
        <v/>
      </c>
      <c r="J9" s="21">
        <f>IF($A9="","",MAX($I$4:$I9))</f>
        <v/>
      </c>
      <c r="K9" s="21">
        <f>IF($A9="","",$I9-$J9)</f>
        <v/>
      </c>
      <c r="L9" s="22">
        <f>IF($A9="","",IF($J9=0,"",$K9/$J9))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  <c r="I10" s="21">
        <f>IF($A10="","",'Total PnL'!$B$3+$H10)</f>
        <v/>
      </c>
      <c r="J10" s="21">
        <f>IF($A10="","",MAX($I$4:$I10))</f>
        <v/>
      </c>
      <c r="K10" s="21">
        <f>IF($A10="","",$I10-$J10)</f>
        <v/>
      </c>
      <c r="L10" s="22">
        <f>IF($A10="","",IF($J10=0,"",$K10/$J10))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  <c r="I11" s="21">
        <f>IF($A11="","",'Total PnL'!$B$3+$H11)</f>
        <v/>
      </c>
      <c r="J11" s="21">
        <f>IF($A11="","",MAX($I$4:$I11))</f>
        <v/>
      </c>
      <c r="K11" s="21">
        <f>IF($A11="","",$I11-$J11)</f>
        <v/>
      </c>
      <c r="L11" s="22">
        <f>IF($A11="","",IF($J11=0,"",$K11/$J11))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  <c r="I12" s="21">
        <f>IF($A12="","",'Total PnL'!$B$3+$H12)</f>
        <v/>
      </c>
      <c r="J12" s="21">
        <f>IF($A12="","",MAX($I$4:$I12))</f>
        <v/>
      </c>
      <c r="K12" s="21">
        <f>IF($A12="","",$I12-$J12)</f>
        <v/>
      </c>
      <c r="L12" s="22">
        <f>IF($A12="","",IF($J12=0,"",$K12/$J12))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  <c r="I13" s="21">
        <f>IF($A13="","",'Total PnL'!$B$3+$H13)</f>
        <v/>
      </c>
      <c r="J13" s="21">
        <f>IF($A13="","",MAX($I$4:$I13))</f>
        <v/>
      </c>
      <c r="K13" s="21">
        <f>IF($A13="","",$I13-$J13)</f>
        <v/>
      </c>
      <c r="L13" s="22">
        <f>IF($A13="","",IF($J13=0,"",$K13/$J13))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  <c r="I14" s="21">
        <f>IF($A14="","",'Total PnL'!$B$3+$H14)</f>
        <v/>
      </c>
      <c r="J14" s="21">
        <f>IF($A14="","",MAX($I$4:$I14))</f>
        <v/>
      </c>
      <c r="K14" s="21">
        <f>IF($A14="","",$I14-$J14)</f>
        <v/>
      </c>
      <c r="L14" s="22">
        <f>IF($A14="","",IF($J14=0,"",$K14/$J14))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  <c r="I15" s="21">
        <f>IF($A15="","",'Total PnL'!$B$3+$H15)</f>
        <v/>
      </c>
      <c r="J15" s="21">
        <f>IF($A15="","",MAX($I$4:$I15))</f>
        <v/>
      </c>
      <c r="K15" s="21">
        <f>IF($A15="","",$I15-$J15)</f>
        <v/>
      </c>
      <c r="L15" s="22">
        <f>IF($A15="","",IF($J15=0,"",$K15/$J15))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  <c r="I16" s="21">
        <f>IF($A16="","",'Total PnL'!$B$3+$H16)</f>
        <v/>
      </c>
      <c r="J16" s="21">
        <f>IF($A16="","",MAX($I$4:$I16))</f>
        <v/>
      </c>
      <c r="K16" s="21">
        <f>IF($A16="","",$I16-$J16)</f>
        <v/>
      </c>
      <c r="L16" s="22">
        <f>IF($A16="","",IF($J16=0,"",$K16/$J16))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  <c r="I17" s="21">
        <f>IF($A17="","",'Total PnL'!$B$3+$H17)</f>
        <v/>
      </c>
      <c r="J17" s="21">
        <f>IF($A17="","",MAX($I$4:$I17))</f>
        <v/>
      </c>
      <c r="K17" s="21">
        <f>IF($A17="","",$I17-$J17)</f>
        <v/>
      </c>
      <c r="L17" s="22">
        <f>IF($A17="","",IF($J17=0,"",$K17/$J17))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  <c r="I18" s="21">
        <f>IF($A18="","",'Total PnL'!$B$3+$H18)</f>
        <v/>
      </c>
      <c r="J18" s="21">
        <f>IF($A18="","",MAX($I$4:$I18))</f>
        <v/>
      </c>
      <c r="K18" s="21">
        <f>IF($A18="","",$I18-$J18)</f>
        <v/>
      </c>
      <c r="L18" s="22">
        <f>IF($A18="","",IF($J18=0,"",$K18/$J18))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  <c r="I19" s="21">
        <f>IF($A19="","",'Total PnL'!$B$3+$H19)</f>
        <v/>
      </c>
      <c r="J19" s="21">
        <f>IF($A19="","",MAX($I$4:$I19))</f>
        <v/>
      </c>
      <c r="K19" s="21">
        <f>IF($A19="","",$I19-$J19)</f>
        <v/>
      </c>
      <c r="L19" s="22">
        <f>IF($A19="","",IF($J19=0,"",$K19/$J19))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  <c r="I20" s="21">
        <f>IF($A20="","",'Total PnL'!$B$3+$H20)</f>
        <v/>
      </c>
      <c r="J20" s="21">
        <f>IF($A20="","",MAX($I$4:$I20))</f>
        <v/>
      </c>
      <c r="K20" s="21">
        <f>IF($A20="","",$I20-$J20)</f>
        <v/>
      </c>
      <c r="L20" s="22">
        <f>IF($A20="","",IF($J20=0,"",$K20/$J20))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  <c r="I21" s="21">
        <f>IF($A21="","",'Total PnL'!$B$3+$H21)</f>
        <v/>
      </c>
      <c r="J21" s="21">
        <f>IF($A21="","",MAX($I$4:$I21))</f>
        <v/>
      </c>
      <c r="K21" s="21">
        <f>IF($A21="","",$I21-$J21)</f>
        <v/>
      </c>
      <c r="L21" s="22">
        <f>IF($A21="","",IF($J21=0,"",$K21/$J21))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  <c r="I22" s="21">
        <f>IF($A22="","",'Total PnL'!$B$3+$H22)</f>
        <v/>
      </c>
      <c r="J22" s="21">
        <f>IF($A22="","",MAX($I$4:$I22))</f>
        <v/>
      </c>
      <c r="K22" s="21">
        <f>IF($A22="","",$I22-$J22)</f>
        <v/>
      </c>
      <c r="L22" s="22">
        <f>IF($A22="","",IF($J22=0,"",$K22/$J22))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  <c r="I23" s="21">
        <f>IF($A23="","",'Total PnL'!$B$3+$H23)</f>
        <v/>
      </c>
      <c r="J23" s="21">
        <f>IF($A23="","",MAX($I$4:$I23))</f>
        <v/>
      </c>
      <c r="K23" s="21">
        <f>IF($A23="","",$I23-$J23)</f>
        <v/>
      </c>
      <c r="L23" s="22">
        <f>IF($A23="","",IF($J23=0,"",$K23/$J23))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  <c r="I24" s="21">
        <f>IF($A24="","",'Total PnL'!$B$3+$H24)</f>
        <v/>
      </c>
      <c r="J24" s="21">
        <f>IF($A24="","",MAX($I$4:$I24))</f>
        <v/>
      </c>
      <c r="K24" s="21">
        <f>IF($A24="","",$I24-$J24)</f>
        <v/>
      </c>
      <c r="L24" s="22">
        <f>IF($A24="","",IF($J24=0,"",$K24/$J24))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  <c r="I25" s="21">
        <f>IF($A25="","",'Total PnL'!$B$3+$H25)</f>
        <v/>
      </c>
      <c r="J25" s="21">
        <f>IF($A25="","",MAX($I$4:$I25))</f>
        <v/>
      </c>
      <c r="K25" s="21">
        <f>IF($A25="","",$I25-$J25)</f>
        <v/>
      </c>
      <c r="L25" s="22">
        <f>IF($A25="","",IF($J25=0,"",$K25/$J25))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  <c r="I26" s="21">
        <f>IF($A26="","",'Total PnL'!$B$3+$H26)</f>
        <v/>
      </c>
      <c r="J26" s="21">
        <f>IF($A26="","",MAX($I$4:$I26))</f>
        <v/>
      </c>
      <c r="K26" s="21">
        <f>IF($A26="","",$I26-$J26)</f>
        <v/>
      </c>
      <c r="L26" s="22">
        <f>IF($A26="","",IF($J26=0,"",$K26/$J26))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  <c r="I27" s="21">
        <f>IF($A27="","",'Total PnL'!$B$3+$H27)</f>
        <v/>
      </c>
      <c r="J27" s="21">
        <f>IF($A27="","",MAX($I$4:$I27))</f>
        <v/>
      </c>
      <c r="K27" s="21">
        <f>IF($A27="","",$I27-$J27)</f>
        <v/>
      </c>
      <c r="L27" s="22">
        <f>IF($A27="","",IF($J27=0,"",$K27/$J27))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  <c r="I28" s="21">
        <f>IF($A28="","",'Total PnL'!$B$3+$H28)</f>
        <v/>
      </c>
      <c r="J28" s="21">
        <f>IF($A28="","",MAX($I$4:$I28))</f>
        <v/>
      </c>
      <c r="K28" s="21">
        <f>IF($A28="","",$I28-$J28)</f>
        <v/>
      </c>
      <c r="L28" s="22">
        <f>IF($A28="","",IF($J28=0,"",$K28/$J28))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  <c r="I29" s="21">
        <f>IF($A29="","",'Total PnL'!$B$3+$H29)</f>
        <v/>
      </c>
      <c r="J29" s="21">
        <f>IF($A29="","",MAX($I$4:$I29))</f>
        <v/>
      </c>
      <c r="K29" s="21">
        <f>IF($A29="","",$I29-$J29)</f>
        <v/>
      </c>
      <c r="L29" s="22">
        <f>IF($A29="","",IF($J29=0,"",$K29/$J29))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  <c r="I30" s="21">
        <f>IF($A30="","",'Total PnL'!$B$3+$H30)</f>
        <v/>
      </c>
      <c r="J30" s="21">
        <f>IF($A30="","",MAX($I$4:$I30))</f>
        <v/>
      </c>
      <c r="K30" s="21">
        <f>IF($A30="","",$I30-$J30)</f>
        <v/>
      </c>
      <c r="L30" s="22">
        <f>IF($A30="","",IF($J30=0,"",$K30/$J30))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  <c r="I31" s="21">
        <f>IF($A31="","",'Total PnL'!$B$3+$H31)</f>
        <v/>
      </c>
      <c r="J31" s="21">
        <f>IF($A31="","",MAX($I$4:$I31))</f>
        <v/>
      </c>
      <c r="K31" s="21">
        <f>IF($A31="","",$I31-$J31)</f>
        <v/>
      </c>
      <c r="L31" s="22">
        <f>IF($A31="","",IF($J31=0,"",$K31/$J31))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  <c r="I32" s="21">
        <f>IF($A32="","",'Total PnL'!$B$3+$H32)</f>
        <v/>
      </c>
      <c r="J32" s="21">
        <f>IF($A32="","",MAX($I$4:$I32))</f>
        <v/>
      </c>
      <c r="K32" s="21">
        <f>IF($A32="","",$I32-$J32)</f>
        <v/>
      </c>
      <c r="L32" s="22">
        <f>IF($A32="","",IF($J32=0,"",$K32/$J32))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  <c r="I33" s="21">
        <f>IF($A33="","",'Total PnL'!$B$3+$H33)</f>
        <v/>
      </c>
      <c r="J33" s="21">
        <f>IF($A33="","",MAX($I$4:$I33))</f>
        <v/>
      </c>
      <c r="K33" s="21">
        <f>IF($A33="","",$I33-$J33)</f>
        <v/>
      </c>
      <c r="L33" s="22">
        <f>IF($A33="","",IF($J33=0,"",$K33/$J33))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  <c r="I34" s="21">
        <f>IF($A34="","",'Total PnL'!$B$3+$H34)</f>
        <v/>
      </c>
      <c r="J34" s="21">
        <f>IF($A34="","",MAX($I$4:$I34))</f>
        <v/>
      </c>
      <c r="K34" s="21">
        <f>IF($A34="","",$I34-$J34)</f>
        <v/>
      </c>
      <c r="L34" s="22">
        <f>IF($A34="","",IF($J34=0,"",$K34/$J34))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  <c r="I35" s="21">
        <f>IF($A35="","",'Total PnL'!$B$3+$H35)</f>
        <v/>
      </c>
      <c r="J35" s="21">
        <f>IF($A35="","",MAX($I$4:$I35))</f>
        <v/>
      </c>
      <c r="K35" s="21">
        <f>IF($A35="","",$I35-$J35)</f>
        <v/>
      </c>
      <c r="L35" s="22">
        <f>IF($A35="","",IF($J35=0,"",$K35/$J35))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  <c r="I36" s="21">
        <f>IF($A36="","",'Total PnL'!$B$3+$H36)</f>
        <v/>
      </c>
      <c r="J36" s="21">
        <f>IF($A36="","",MAX($I$4:$I36))</f>
        <v/>
      </c>
      <c r="K36" s="21">
        <f>IF($A36="","",$I36-$J36)</f>
        <v/>
      </c>
      <c r="L36" s="22">
        <f>IF($A36="","",IF($J36=0,"",$K36/$J36))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  <c r="I37" s="21">
        <f>IF($A37="","",'Total PnL'!$B$3+$H37)</f>
        <v/>
      </c>
      <c r="J37" s="21">
        <f>IF($A37="","",MAX($I$4:$I37))</f>
        <v/>
      </c>
      <c r="K37" s="21">
        <f>IF($A37="","",$I37-$J37)</f>
        <v/>
      </c>
      <c r="L37" s="22">
        <f>IF($A37="","",IF($J37=0,"",$K37/$J37))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  <c r="I38" s="21">
        <f>IF($A38="","",'Total PnL'!$B$3+$H38)</f>
        <v/>
      </c>
      <c r="J38" s="21">
        <f>IF($A38="","",MAX($I$4:$I38))</f>
        <v/>
      </c>
      <c r="K38" s="21">
        <f>IF($A38="","",$I38-$J38)</f>
        <v/>
      </c>
      <c r="L38" s="22">
        <f>IF($A38="","",IF($J38=0,"",$K38/$J38))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  <c r="I39" s="21">
        <f>IF($A39="","",'Total PnL'!$B$3+$H39)</f>
        <v/>
      </c>
      <c r="J39" s="21">
        <f>IF($A39="","",MAX($I$4:$I39))</f>
        <v/>
      </c>
      <c r="K39" s="21">
        <f>IF($A39="","",$I39-$J39)</f>
        <v/>
      </c>
      <c r="L39" s="22">
        <f>IF($A39="","",IF($J39=0,"",$K39/$J39))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  <c r="I40" s="21">
        <f>IF($A40="","",'Total PnL'!$B$3+$H40)</f>
        <v/>
      </c>
      <c r="J40" s="21">
        <f>IF($A40="","",MAX($I$4:$I40))</f>
        <v/>
      </c>
      <c r="K40" s="21">
        <f>IF($A40="","",$I40-$J40)</f>
        <v/>
      </c>
      <c r="L40" s="22">
        <f>IF($A40="","",IF($J40=0,"",$K40/$J40))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  <c r="I41" s="21">
        <f>IF($A41="","",'Total PnL'!$B$3+$H41)</f>
        <v/>
      </c>
      <c r="J41" s="21">
        <f>IF($A41="","",MAX($I$4:$I41))</f>
        <v/>
      </c>
      <c r="K41" s="21">
        <f>IF($A41="","",$I41-$J41)</f>
        <v/>
      </c>
      <c r="L41" s="22">
        <f>IF($A41="","",IF($J41=0,"",$K41/$J41))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  <c r="I42" s="21">
        <f>IF($A42="","",'Total PnL'!$B$3+$H42)</f>
        <v/>
      </c>
      <c r="J42" s="21">
        <f>IF($A42="","",MAX($I$4:$I42))</f>
        <v/>
      </c>
      <c r="K42" s="21">
        <f>IF($A42="","",$I42-$J42)</f>
        <v/>
      </c>
      <c r="L42" s="22">
        <f>IF($A42="","",IF($J42=0,"",$K42/$J42))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  <c r="I43" s="21">
        <f>IF($A43="","",'Total PnL'!$B$3+$H43)</f>
        <v/>
      </c>
      <c r="J43" s="21">
        <f>IF($A43="","",MAX($I$4:$I43))</f>
        <v/>
      </c>
      <c r="K43" s="21">
        <f>IF($A43="","",$I43-$J43)</f>
        <v/>
      </c>
      <c r="L43" s="22">
        <f>IF($A43="","",IF($J43=0,"",$K43/$J43))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  <c r="I44" s="21">
        <f>IF($A44="","",'Total PnL'!$B$3+$H44)</f>
        <v/>
      </c>
      <c r="J44" s="21">
        <f>IF($A44="","",MAX($I$4:$I44))</f>
        <v/>
      </c>
      <c r="K44" s="21">
        <f>IF($A44="","",$I44-$J44)</f>
        <v/>
      </c>
      <c r="L44" s="22">
        <f>IF($A44="","",IF($J44=0,"",$K44/$J44))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  <c r="I45" s="21">
        <f>IF($A45="","",'Total PnL'!$B$3+$H45)</f>
        <v/>
      </c>
      <c r="J45" s="21">
        <f>IF($A45="","",MAX($I$4:$I45))</f>
        <v/>
      </c>
      <c r="K45" s="21">
        <f>IF($A45="","",$I45-$J45)</f>
        <v/>
      </c>
      <c r="L45" s="22">
        <f>IF($A45="","",IF($J45=0,"",$K45/$J45))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  <c r="I46" s="21">
        <f>IF($A46="","",'Total PnL'!$B$3+$H46)</f>
        <v/>
      </c>
      <c r="J46" s="21">
        <f>IF($A46="","",MAX($I$4:$I46))</f>
        <v/>
      </c>
      <c r="K46" s="21">
        <f>IF($A46="","",$I46-$J46)</f>
        <v/>
      </c>
      <c r="L46" s="22">
        <f>IF($A46="","",IF($J46=0,"",$K46/$J46))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  <c r="I47" s="21">
        <f>IF($A47="","",'Total PnL'!$B$3+$H47)</f>
        <v/>
      </c>
      <c r="J47" s="21">
        <f>IF($A47="","",MAX($I$4:$I47))</f>
        <v/>
      </c>
      <c r="K47" s="21">
        <f>IF($A47="","",$I47-$J47)</f>
        <v/>
      </c>
      <c r="L47" s="22">
        <f>IF($A47="","",IF($J47=0,"",$K47/$J47))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  <c r="I48" s="21">
        <f>IF($A48="","",'Total PnL'!$B$3+$H48)</f>
        <v/>
      </c>
      <c r="J48" s="21">
        <f>IF($A48="","",MAX($I$4:$I48))</f>
        <v/>
      </c>
      <c r="K48" s="21">
        <f>IF($A48="","",$I48-$J48)</f>
        <v/>
      </c>
      <c r="L48" s="22">
        <f>IF($A48="","",IF($J48=0,"",$K48/$J48))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  <c r="I49" s="21">
        <f>IF($A49="","",'Total PnL'!$B$3+$H49)</f>
        <v/>
      </c>
      <c r="J49" s="21">
        <f>IF($A49="","",MAX($I$4:$I49))</f>
        <v/>
      </c>
      <c r="K49" s="21">
        <f>IF($A49="","",$I49-$J49)</f>
        <v/>
      </c>
      <c r="L49" s="22">
        <f>IF($A49="","",IF($J49=0,"",$K49/$J49))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  <c r="I50" s="21">
        <f>IF($A50="","",'Total PnL'!$B$3+$H50)</f>
        <v/>
      </c>
      <c r="J50" s="21">
        <f>IF($A50="","",MAX($I$4:$I50))</f>
        <v/>
      </c>
      <c r="K50" s="21">
        <f>IF($A50="","",$I50-$J50)</f>
        <v/>
      </c>
      <c r="L50" s="22">
        <f>IF($A50="","",IF($J50=0,"",$K50/$J50))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  <c r="I51" s="21">
        <f>IF($A51="","",'Total PnL'!$B$3+$H51)</f>
        <v/>
      </c>
      <c r="J51" s="21">
        <f>IF($A51="","",MAX($I$4:$I51))</f>
        <v/>
      </c>
      <c r="K51" s="21">
        <f>IF($A51="","",$I51-$J51)</f>
        <v/>
      </c>
      <c r="L51" s="22">
        <f>IF($A51="","",IF($J51=0,"",$K51/$J51))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  <c r="I52" s="21">
        <f>IF($A52="","",'Total PnL'!$B$3+$H52)</f>
        <v/>
      </c>
      <c r="J52" s="21">
        <f>IF($A52="","",MAX($I$4:$I52))</f>
        <v/>
      </c>
      <c r="K52" s="21">
        <f>IF($A52="","",$I52-$J52)</f>
        <v/>
      </c>
      <c r="L52" s="22">
        <f>IF($A52="","",IF($J52=0,"",$K52/$J52))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  <c r="I53" s="21">
        <f>IF($A53="","",'Total PnL'!$B$3+$H53)</f>
        <v/>
      </c>
      <c r="J53" s="21">
        <f>IF($A53="","",MAX($I$4:$I53))</f>
        <v/>
      </c>
      <c r="K53" s="21">
        <f>IF($A53="","",$I53-$J53)</f>
        <v/>
      </c>
      <c r="L53" s="22">
        <f>IF($A53="","",IF($J53=0,"",$K53/$J53))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  <c r="I54" s="21">
        <f>IF($A54="","",'Total PnL'!$B$3+$H54)</f>
        <v/>
      </c>
      <c r="J54" s="21">
        <f>IF($A54="","",MAX($I$4:$I54))</f>
        <v/>
      </c>
      <c r="K54" s="21">
        <f>IF($A54="","",$I54-$J54)</f>
        <v/>
      </c>
      <c r="L54" s="22">
        <f>IF($A54="","",IF($J54=0,"",$K54/$J54))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  <c r="I55" s="21">
        <f>IF($A55="","",'Total PnL'!$B$3+$H55)</f>
        <v/>
      </c>
      <c r="J55" s="21">
        <f>IF($A55="","",MAX($I$4:$I55))</f>
        <v/>
      </c>
      <c r="K55" s="21">
        <f>IF($A55="","",$I55-$J55)</f>
        <v/>
      </c>
      <c r="L55" s="22">
        <f>IF($A55="","",IF($J55=0,"",$K55/$J55))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  <c r="I56" s="21">
        <f>IF($A56="","",'Total PnL'!$B$3+$H56)</f>
        <v/>
      </c>
      <c r="J56" s="21">
        <f>IF($A56="","",MAX($I$4:$I56))</f>
        <v/>
      </c>
      <c r="K56" s="21">
        <f>IF($A56="","",$I56-$J56)</f>
        <v/>
      </c>
      <c r="L56" s="22">
        <f>IF($A56="","",IF($J56=0,"",$K56/$J56))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  <c r="I57" s="21">
        <f>IF($A57="","",'Total PnL'!$B$3+$H57)</f>
        <v/>
      </c>
      <c r="J57" s="21">
        <f>IF($A57="","",MAX($I$4:$I57))</f>
        <v/>
      </c>
      <c r="K57" s="21">
        <f>IF($A57="","",$I57-$J57)</f>
        <v/>
      </c>
      <c r="L57" s="22">
        <f>IF($A57="","",IF($J57=0,"",$K57/$J57))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  <c r="I58" s="21">
        <f>IF($A58="","",'Total PnL'!$B$3+$H58)</f>
        <v/>
      </c>
      <c r="J58" s="21">
        <f>IF($A58="","",MAX($I$4:$I58))</f>
        <v/>
      </c>
      <c r="K58" s="21">
        <f>IF($A58="","",$I58-$J58)</f>
        <v/>
      </c>
      <c r="L58" s="22">
        <f>IF($A58="","",IF($J58=0,"",$K58/$J58))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  <c r="I59" s="21">
        <f>IF($A59="","",'Total PnL'!$B$3+$H59)</f>
        <v/>
      </c>
      <c r="J59" s="21">
        <f>IF($A59="","",MAX($I$4:$I59))</f>
        <v/>
      </c>
      <c r="K59" s="21">
        <f>IF($A59="","",$I59-$J59)</f>
        <v/>
      </c>
      <c r="L59" s="22">
        <f>IF($A59="","",IF($J59=0,"",$K59/$J59))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  <c r="I60" s="21">
        <f>IF($A60="","",'Total PnL'!$B$3+$H60)</f>
        <v/>
      </c>
      <c r="J60" s="21">
        <f>IF($A60="","",MAX($I$4:$I60))</f>
        <v/>
      </c>
      <c r="K60" s="21">
        <f>IF($A60="","",$I60-$J60)</f>
        <v/>
      </c>
      <c r="L60" s="22">
        <f>IF($A60="","",IF($J60=0,"",$K60/$J60))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  <c r="I61" s="21">
        <f>IF($A61="","",'Total PnL'!$B$3+$H61)</f>
        <v/>
      </c>
      <c r="J61" s="21">
        <f>IF($A61="","",MAX($I$4:$I61))</f>
        <v/>
      </c>
      <c r="K61" s="21">
        <f>IF($A61="","",$I61-$J61)</f>
        <v/>
      </c>
      <c r="L61" s="22">
        <f>IF($A61="","",IF($J61=0,"",$K61/$J61))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  <c r="I62" s="21">
        <f>IF($A62="","",'Total PnL'!$B$3+$H62)</f>
        <v/>
      </c>
      <c r="J62" s="21">
        <f>IF($A62="","",MAX($I$4:$I62))</f>
        <v/>
      </c>
      <c r="K62" s="21">
        <f>IF($A62="","",$I62-$J62)</f>
        <v/>
      </c>
      <c r="L62" s="22">
        <f>IF($A62="","",IF($J62=0,"",$K62/$J62))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  <c r="I63" s="21">
        <f>IF($A63="","",'Total PnL'!$B$3+$H63)</f>
        <v/>
      </c>
      <c r="J63" s="21">
        <f>IF($A63="","",MAX($I$4:$I63))</f>
        <v/>
      </c>
      <c r="K63" s="21">
        <f>IF($A63="","",$I63-$J63)</f>
        <v/>
      </c>
      <c r="L63" s="22">
        <f>IF($A63="","",IF($J63=0,"",$K63/$J63))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  <c r="I64" s="21">
        <f>IF($A64="","",'Total PnL'!$B$3+$H64)</f>
        <v/>
      </c>
      <c r="J64" s="21">
        <f>IF($A64="","",MAX($I$4:$I64))</f>
        <v/>
      </c>
      <c r="K64" s="21">
        <f>IF($A64="","",$I64-$J64)</f>
        <v/>
      </c>
      <c r="L64" s="22">
        <f>IF($A64="","",IF($J64=0,"",$K64/$J64))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  <c r="I65" s="21">
        <f>IF($A65="","",'Total PnL'!$B$3+$H65)</f>
        <v/>
      </c>
      <c r="J65" s="21">
        <f>IF($A65="","",MAX($I$4:$I65))</f>
        <v/>
      </c>
      <c r="K65" s="21">
        <f>IF($A65="","",$I65-$J65)</f>
        <v/>
      </c>
      <c r="L65" s="22">
        <f>IF($A65="","",IF($J65=0,"",$K65/$J65))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  <c r="I66" s="21">
        <f>IF($A66="","",'Total PnL'!$B$3+$H66)</f>
        <v/>
      </c>
      <c r="J66" s="21">
        <f>IF($A66="","",MAX($I$4:$I66))</f>
        <v/>
      </c>
      <c r="K66" s="21">
        <f>IF($A66="","",$I66-$J66)</f>
        <v/>
      </c>
      <c r="L66" s="22">
        <f>IF($A66="","",IF($J66=0,"",$K66/$J66))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  <c r="I67" s="21">
        <f>IF($A67="","",'Total PnL'!$B$3+$H67)</f>
        <v/>
      </c>
      <c r="J67" s="21">
        <f>IF($A67="","",MAX($I$4:$I67))</f>
        <v/>
      </c>
      <c r="K67" s="21">
        <f>IF($A67="","",$I67-$J67)</f>
        <v/>
      </c>
      <c r="L67" s="22">
        <f>IF($A67="","",IF($J67=0,"",$K67/$J67))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  <c r="I68" s="21">
        <f>IF($A68="","",'Total PnL'!$B$3+$H68)</f>
        <v/>
      </c>
      <c r="J68" s="21">
        <f>IF($A68="","",MAX($I$4:$I68))</f>
        <v/>
      </c>
      <c r="K68" s="21">
        <f>IF($A68="","",$I68-$J68)</f>
        <v/>
      </c>
      <c r="L68" s="22">
        <f>IF($A68="","",IF($J68=0,"",$K68/$J68))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  <c r="I69" s="21">
        <f>IF($A69="","",'Total PnL'!$B$3+$H69)</f>
        <v/>
      </c>
      <c r="J69" s="21">
        <f>IF($A69="","",MAX($I$4:$I69))</f>
        <v/>
      </c>
      <c r="K69" s="21">
        <f>IF($A69="","",$I69-$J69)</f>
        <v/>
      </c>
      <c r="L69" s="22">
        <f>IF($A69="","",IF($J69=0,"",$K69/$J69))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  <c r="I70" s="21">
        <f>IF($A70="","",'Total PnL'!$B$3+$H70)</f>
        <v/>
      </c>
      <c r="J70" s="21">
        <f>IF($A70="","",MAX($I$4:$I70))</f>
        <v/>
      </c>
      <c r="K70" s="21">
        <f>IF($A70="","",$I70-$J70)</f>
        <v/>
      </c>
      <c r="L70" s="22">
        <f>IF($A70="","",IF($J70=0,"",$K70/$J70))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  <c r="I71" s="21">
        <f>IF($A71="","",'Total PnL'!$B$3+$H71)</f>
        <v/>
      </c>
      <c r="J71" s="21">
        <f>IF($A71="","",MAX($I$4:$I71))</f>
        <v/>
      </c>
      <c r="K71" s="21">
        <f>IF($A71="","",$I71-$J71)</f>
        <v/>
      </c>
      <c r="L71" s="22">
        <f>IF($A71="","",IF($J71=0,"",$K71/$J71))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  <c r="I72" s="21">
        <f>IF($A72="","",'Total PnL'!$B$3+$H72)</f>
        <v/>
      </c>
      <c r="J72" s="21">
        <f>IF($A72="","",MAX($I$4:$I72))</f>
        <v/>
      </c>
      <c r="K72" s="21">
        <f>IF($A72="","",$I72-$J72)</f>
        <v/>
      </c>
      <c r="L72" s="22">
        <f>IF($A72="","",IF($J72=0,"",$K72/$J72))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  <c r="I73" s="21">
        <f>IF($A73="","",'Total PnL'!$B$3+$H73)</f>
        <v/>
      </c>
      <c r="J73" s="21">
        <f>IF($A73="","",MAX($I$4:$I73))</f>
        <v/>
      </c>
      <c r="K73" s="21">
        <f>IF($A73="","",$I73-$J73)</f>
        <v/>
      </c>
      <c r="L73" s="22">
        <f>IF($A73="","",IF($J73=0,"",$K73/$J73))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  <c r="I74" s="21">
        <f>IF($A74="","",'Total PnL'!$B$3+$H74)</f>
        <v/>
      </c>
      <c r="J74" s="21">
        <f>IF($A74="","",MAX($I$4:$I74))</f>
        <v/>
      </c>
      <c r="K74" s="21">
        <f>IF($A74="","",$I74-$J74)</f>
        <v/>
      </c>
      <c r="L74" s="22">
        <f>IF($A74="","",IF($J74=0,"",$K74/$J74))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  <c r="I75" s="21">
        <f>IF($A75="","",'Total PnL'!$B$3+$H75)</f>
        <v/>
      </c>
      <c r="J75" s="21">
        <f>IF($A75="","",MAX($I$4:$I75))</f>
        <v/>
      </c>
      <c r="K75" s="21">
        <f>IF($A75="","",$I75-$J75)</f>
        <v/>
      </c>
      <c r="L75" s="22">
        <f>IF($A75="","",IF($J75=0,"",$K75/$J75))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  <c r="I76" s="21">
        <f>IF($A76="","",'Total PnL'!$B$3+$H76)</f>
        <v/>
      </c>
      <c r="J76" s="21">
        <f>IF($A76="","",MAX($I$4:$I76))</f>
        <v/>
      </c>
      <c r="K76" s="21">
        <f>IF($A76="","",$I76-$J76)</f>
        <v/>
      </c>
      <c r="L76" s="22">
        <f>IF($A76="","",IF($J76=0,"",$K76/$J76))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  <c r="I77" s="21">
        <f>IF($A77="","",'Total PnL'!$B$3+$H77)</f>
        <v/>
      </c>
      <c r="J77" s="21">
        <f>IF($A77="","",MAX($I$4:$I77))</f>
        <v/>
      </c>
      <c r="K77" s="21">
        <f>IF($A77="","",$I77-$J77)</f>
        <v/>
      </c>
      <c r="L77" s="22">
        <f>IF($A77="","",IF($J77=0,"",$K77/$J77))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  <c r="I78" s="21">
        <f>IF($A78="","",'Total PnL'!$B$3+$H78)</f>
        <v/>
      </c>
      <c r="J78" s="21">
        <f>IF($A78="","",MAX($I$4:$I78))</f>
        <v/>
      </c>
      <c r="K78" s="21">
        <f>IF($A78="","",$I78-$J78)</f>
        <v/>
      </c>
      <c r="L78" s="22">
        <f>IF($A78="","",IF($J78=0,"",$K78/$J78))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  <c r="I79" s="21">
        <f>IF($A79="","",'Total PnL'!$B$3+$H79)</f>
        <v/>
      </c>
      <c r="J79" s="21">
        <f>IF($A79="","",MAX($I$4:$I79))</f>
        <v/>
      </c>
      <c r="K79" s="21">
        <f>IF($A79="","",$I79-$J79)</f>
        <v/>
      </c>
      <c r="L79" s="22">
        <f>IF($A79="","",IF($J79=0,"",$K79/$J79))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  <c r="I80" s="21">
        <f>IF($A80="","",'Total PnL'!$B$3+$H80)</f>
        <v/>
      </c>
      <c r="J80" s="21">
        <f>IF($A80="","",MAX($I$4:$I80))</f>
        <v/>
      </c>
      <c r="K80" s="21">
        <f>IF($A80="","",$I80-$J80)</f>
        <v/>
      </c>
      <c r="L80" s="22">
        <f>IF($A80="","",IF($J80=0,"",$K80/$J80))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  <c r="I81" s="21">
        <f>IF($A81="","",'Total PnL'!$B$3+$H81)</f>
        <v/>
      </c>
      <c r="J81" s="21">
        <f>IF($A81="","",MAX($I$4:$I81))</f>
        <v/>
      </c>
      <c r="K81" s="21">
        <f>IF($A81="","",$I81-$J81)</f>
        <v/>
      </c>
      <c r="L81" s="22">
        <f>IF($A81="","",IF($J81=0,"",$K81/$J81))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  <c r="I82" s="21">
        <f>IF($A82="","",'Total PnL'!$B$3+$H82)</f>
        <v/>
      </c>
      <c r="J82" s="21">
        <f>IF($A82="","",MAX($I$4:$I82))</f>
        <v/>
      </c>
      <c r="K82" s="21">
        <f>IF($A82="","",$I82-$J82)</f>
        <v/>
      </c>
      <c r="L82" s="22">
        <f>IF($A82="","",IF($J82=0,"",$K82/$J82))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  <c r="I83" s="21">
        <f>IF($A83="","",'Total PnL'!$B$3+$H83)</f>
        <v/>
      </c>
      <c r="J83" s="21">
        <f>IF($A83="","",MAX($I$4:$I83))</f>
        <v/>
      </c>
      <c r="K83" s="21">
        <f>IF($A83="","",$I83-$J83)</f>
        <v/>
      </c>
      <c r="L83" s="22">
        <f>IF($A83="","",IF($J83=0,"",$K83/$J83))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  <c r="I84" s="21">
        <f>IF($A84="","",'Total PnL'!$B$3+$H84)</f>
        <v/>
      </c>
      <c r="J84" s="21">
        <f>IF($A84="","",MAX($I$4:$I84))</f>
        <v/>
      </c>
      <c r="K84" s="21">
        <f>IF($A84="","",$I84-$J84)</f>
        <v/>
      </c>
      <c r="L84" s="22">
        <f>IF($A84="","",IF($J84=0,"",$K84/$J84))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  <c r="I85" s="21">
        <f>IF($A85="","",'Total PnL'!$B$3+$H85)</f>
        <v/>
      </c>
      <c r="J85" s="21">
        <f>IF($A85="","",MAX($I$4:$I85))</f>
        <v/>
      </c>
      <c r="K85" s="21">
        <f>IF($A85="","",$I85-$J85)</f>
        <v/>
      </c>
      <c r="L85" s="22">
        <f>IF($A85="","",IF($J85=0,"",$K85/$J85))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  <c r="I86" s="21">
        <f>IF($A86="","",'Total PnL'!$B$3+$H86)</f>
        <v/>
      </c>
      <c r="J86" s="21">
        <f>IF($A86="","",MAX($I$4:$I86))</f>
        <v/>
      </c>
      <c r="K86" s="21">
        <f>IF($A86="","",$I86-$J86)</f>
        <v/>
      </c>
      <c r="L86" s="22">
        <f>IF($A86="","",IF($J86=0,"",$K86/$J86))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  <c r="I87" s="21">
        <f>IF($A87="","",'Total PnL'!$B$3+$H87)</f>
        <v/>
      </c>
      <c r="J87" s="21">
        <f>IF($A87="","",MAX($I$4:$I87))</f>
        <v/>
      </c>
      <c r="K87" s="21">
        <f>IF($A87="","",$I87-$J87)</f>
        <v/>
      </c>
      <c r="L87" s="22">
        <f>IF($A87="","",IF($J87=0,"",$K87/$J87))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  <c r="I88" s="21">
        <f>IF($A88="","",'Total PnL'!$B$3+$H88)</f>
        <v/>
      </c>
      <c r="J88" s="21">
        <f>IF($A88="","",MAX($I$4:$I88))</f>
        <v/>
      </c>
      <c r="K88" s="21">
        <f>IF($A88="","",$I88-$J88)</f>
        <v/>
      </c>
      <c r="L88" s="22">
        <f>IF($A88="","",IF($J88=0,"",$K88/$J88))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  <c r="I89" s="21">
        <f>IF($A89="","",'Total PnL'!$B$3+$H89)</f>
        <v/>
      </c>
      <c r="J89" s="21">
        <f>IF($A89="","",MAX($I$4:$I89))</f>
        <v/>
      </c>
      <c r="K89" s="21">
        <f>IF($A89="","",$I89-$J89)</f>
        <v/>
      </c>
      <c r="L89" s="22">
        <f>IF($A89="","",IF($J89=0,"",$K89/$J89))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  <c r="I90" s="21">
        <f>IF($A90="","",'Total PnL'!$B$3+$H90)</f>
        <v/>
      </c>
      <c r="J90" s="21">
        <f>IF($A90="","",MAX($I$4:$I90))</f>
        <v/>
      </c>
      <c r="K90" s="21">
        <f>IF($A90="","",$I90-$J90)</f>
        <v/>
      </c>
      <c r="L90" s="22">
        <f>IF($A90="","",IF($J90=0,"",$K90/$J90))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  <c r="I91" s="21">
        <f>IF($A91="","",'Total PnL'!$B$3+$H91)</f>
        <v/>
      </c>
      <c r="J91" s="21">
        <f>IF($A91="","",MAX($I$4:$I91))</f>
        <v/>
      </c>
      <c r="K91" s="21">
        <f>IF($A91="","",$I91-$J91)</f>
        <v/>
      </c>
      <c r="L91" s="22">
        <f>IF($A91="","",IF($J91=0,"",$K91/$J91))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  <c r="I92" s="21">
        <f>IF($A92="","",'Total PnL'!$B$3+$H92)</f>
        <v/>
      </c>
      <c r="J92" s="21">
        <f>IF($A92="","",MAX($I$4:$I92))</f>
        <v/>
      </c>
      <c r="K92" s="21">
        <f>IF($A92="","",$I92-$J92)</f>
        <v/>
      </c>
      <c r="L92" s="22">
        <f>IF($A92="","",IF($J92=0,"",$K92/$J92))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  <c r="I93" s="21">
        <f>IF($A93="","",'Total PnL'!$B$3+$H93)</f>
        <v/>
      </c>
      <c r="J93" s="21">
        <f>IF($A93="","",MAX($I$4:$I93))</f>
        <v/>
      </c>
      <c r="K93" s="21">
        <f>IF($A93="","",$I93-$J93)</f>
        <v/>
      </c>
      <c r="L93" s="22">
        <f>IF($A93="","",IF($J93=0,"",$K93/$J93))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  <c r="I94" s="21">
        <f>IF($A94="","",'Total PnL'!$B$3+$H94)</f>
        <v/>
      </c>
      <c r="J94" s="21">
        <f>IF($A94="","",MAX($I$4:$I94))</f>
        <v/>
      </c>
      <c r="K94" s="21">
        <f>IF($A94="","",$I94-$J94)</f>
        <v/>
      </c>
      <c r="L94" s="22">
        <f>IF($A94="","",IF($J94=0,"",$K94/$J94))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  <c r="I95" s="21">
        <f>IF($A95="","",'Total PnL'!$B$3+$H95)</f>
        <v/>
      </c>
      <c r="J95" s="21">
        <f>IF($A95="","",MAX($I$4:$I95))</f>
        <v/>
      </c>
      <c r="K95" s="21">
        <f>IF($A95="","",$I95-$J95)</f>
        <v/>
      </c>
      <c r="L95" s="22">
        <f>IF($A95="","",IF($J95=0,"",$K95/$J95))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  <c r="I96" s="21">
        <f>IF($A96="","",'Total PnL'!$B$3+$H96)</f>
        <v/>
      </c>
      <c r="J96" s="21">
        <f>IF($A96="","",MAX($I$4:$I96))</f>
        <v/>
      </c>
      <c r="K96" s="21">
        <f>IF($A96="","",$I96-$J96)</f>
        <v/>
      </c>
      <c r="L96" s="22">
        <f>IF($A96="","",IF($J96=0,"",$K96/$J96))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  <c r="I97" s="21">
        <f>IF($A97="","",'Total PnL'!$B$3+$H97)</f>
        <v/>
      </c>
      <c r="J97" s="21">
        <f>IF($A97="","",MAX($I$4:$I97))</f>
        <v/>
      </c>
      <c r="K97" s="21">
        <f>IF($A97="","",$I97-$J97)</f>
        <v/>
      </c>
      <c r="L97" s="22">
        <f>IF($A97="","",IF($J97=0,"",$K97/$J97))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  <c r="I98" s="21">
        <f>IF($A98="","",'Total PnL'!$B$3+$H98)</f>
        <v/>
      </c>
      <c r="J98" s="21">
        <f>IF($A98="","",MAX($I$4:$I98))</f>
        <v/>
      </c>
      <c r="K98" s="21">
        <f>IF($A98="","",$I98-$J98)</f>
        <v/>
      </c>
      <c r="L98" s="22">
        <f>IF($A98="","",IF($J98=0,"",$K98/$J98))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  <c r="I99" s="21">
        <f>IF($A99="","",'Total PnL'!$B$3+$H99)</f>
        <v/>
      </c>
      <c r="J99" s="21">
        <f>IF($A99="","",MAX($I$4:$I99))</f>
        <v/>
      </c>
      <c r="K99" s="21">
        <f>IF($A99="","",$I99-$J99)</f>
        <v/>
      </c>
      <c r="L99" s="22">
        <f>IF($A99="","",IF($J99=0,"",$K99/$J99))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  <c r="I100" s="21">
        <f>IF($A100="","",'Total PnL'!$B$3+$H100)</f>
        <v/>
      </c>
      <c r="J100" s="21">
        <f>IF($A100="","",MAX($I$4:$I100))</f>
        <v/>
      </c>
      <c r="K100" s="21">
        <f>IF($A100="","",$I100-$J100)</f>
        <v/>
      </c>
      <c r="L100" s="22">
        <f>IF($A100="","",IF($J100=0,"",$K100/$J100))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  <c r="I101" s="21">
        <f>IF($A101="","",'Total PnL'!$B$3+$H101)</f>
        <v/>
      </c>
      <c r="J101" s="21">
        <f>IF($A101="","",MAX($I$4:$I101))</f>
        <v/>
      </c>
      <c r="K101" s="21">
        <f>IF($A101="","",$I101-$J101)</f>
        <v/>
      </c>
      <c r="L101" s="22">
        <f>IF($A101="","",IF($J101=0,"",$K101/$J101))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  <c r="I102" s="21">
        <f>IF($A102="","",'Total PnL'!$B$3+$H102)</f>
        <v/>
      </c>
      <c r="J102" s="21">
        <f>IF($A102="","",MAX($I$4:$I102))</f>
        <v/>
      </c>
      <c r="K102" s="21">
        <f>IF($A102="","",$I102-$J102)</f>
        <v/>
      </c>
      <c r="L102" s="22">
        <f>IF($A102="","",IF($J102=0,"",$K102/$J102))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  <c r="I103" s="21">
        <f>IF($A103="","",'Total PnL'!$B$3+$H103)</f>
        <v/>
      </c>
      <c r="J103" s="21">
        <f>IF($A103="","",MAX($I$4:$I103))</f>
        <v/>
      </c>
      <c r="K103" s="21">
        <f>IF($A103="","",$I103-$J103)</f>
        <v/>
      </c>
      <c r="L103" s="22">
        <f>IF($A103="","",IF($J103=0,"",$K103/$J103))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  <c r="I104" s="21">
        <f>IF($A104="","",'Total PnL'!$B$3+$H104)</f>
        <v/>
      </c>
      <c r="J104" s="21">
        <f>IF($A104="","",MAX($I$4:$I104))</f>
        <v/>
      </c>
      <c r="K104" s="21">
        <f>IF($A104="","",$I104-$J104)</f>
        <v/>
      </c>
      <c r="L104" s="22">
        <f>IF($A104="","",IF($J104=0,"",$K104/$J104))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  <c r="I105" s="21">
        <f>IF($A105="","",'Total PnL'!$B$3+$H105)</f>
        <v/>
      </c>
      <c r="J105" s="21">
        <f>IF($A105="","",MAX($I$4:$I105))</f>
        <v/>
      </c>
      <c r="K105" s="21">
        <f>IF($A105="","",$I105-$J105)</f>
        <v/>
      </c>
      <c r="L105" s="22">
        <f>IF($A105="","",IF($J105=0,"",$K105/$J105))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  <c r="I106" s="21">
        <f>IF($A106="","",'Total PnL'!$B$3+$H106)</f>
        <v/>
      </c>
      <c r="J106" s="21">
        <f>IF($A106="","",MAX($I$4:$I106))</f>
        <v/>
      </c>
      <c r="K106" s="21">
        <f>IF($A106="","",$I106-$J106)</f>
        <v/>
      </c>
      <c r="L106" s="22">
        <f>IF($A106="","",IF($J106=0,"",$K106/$J106))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  <c r="I107" s="21">
        <f>IF($A107="","",'Total PnL'!$B$3+$H107)</f>
        <v/>
      </c>
      <c r="J107" s="21">
        <f>IF($A107="","",MAX($I$4:$I107))</f>
        <v/>
      </c>
      <c r="K107" s="21">
        <f>IF($A107="","",$I107-$J107)</f>
        <v/>
      </c>
      <c r="L107" s="22">
        <f>IF($A107="","",IF($J107=0,"",$K107/$J107))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  <c r="I108" s="21">
        <f>IF($A108="","",'Total PnL'!$B$3+$H108)</f>
        <v/>
      </c>
      <c r="J108" s="21">
        <f>IF($A108="","",MAX($I$4:$I108))</f>
        <v/>
      </c>
      <c r="K108" s="21">
        <f>IF($A108="","",$I108-$J108)</f>
        <v/>
      </c>
      <c r="L108" s="22">
        <f>IF($A108="","",IF($J108=0,"",$K108/$J108))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  <c r="I109" s="21">
        <f>IF($A109="","",'Total PnL'!$B$3+$H109)</f>
        <v/>
      </c>
      <c r="J109" s="21">
        <f>IF($A109="","",MAX($I$4:$I109))</f>
        <v/>
      </c>
      <c r="K109" s="21">
        <f>IF($A109="","",$I109-$J109)</f>
        <v/>
      </c>
      <c r="L109" s="22">
        <f>IF($A109="","",IF($J109=0,"",$K109/$J109))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  <c r="I110" s="21">
        <f>IF($A110="","",'Total PnL'!$B$3+$H110)</f>
        <v/>
      </c>
      <c r="J110" s="21">
        <f>IF($A110="","",MAX($I$4:$I110))</f>
        <v/>
      </c>
      <c r="K110" s="21">
        <f>IF($A110="","",$I110-$J110)</f>
        <v/>
      </c>
      <c r="L110" s="22">
        <f>IF($A110="","",IF($J110=0,"",$K110/$J110))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  <c r="I111" s="21">
        <f>IF($A111="","",'Total PnL'!$B$3+$H111)</f>
        <v/>
      </c>
      <c r="J111" s="21">
        <f>IF($A111="","",MAX($I$4:$I111))</f>
        <v/>
      </c>
      <c r="K111" s="21">
        <f>IF($A111="","",$I111-$J111)</f>
        <v/>
      </c>
      <c r="L111" s="22">
        <f>IF($A111="","",IF($J111=0,"",$K111/$J111))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  <c r="I112" s="21">
        <f>IF($A112="","",'Total PnL'!$B$3+$H112)</f>
        <v/>
      </c>
      <c r="J112" s="21">
        <f>IF($A112="","",MAX($I$4:$I112))</f>
        <v/>
      </c>
      <c r="K112" s="21">
        <f>IF($A112="","",$I112-$J112)</f>
        <v/>
      </c>
      <c r="L112" s="22">
        <f>IF($A112="","",IF($J112=0,"",$K112/$J112))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  <c r="I113" s="21">
        <f>IF($A113="","",'Total PnL'!$B$3+$H113)</f>
        <v/>
      </c>
      <c r="J113" s="21">
        <f>IF($A113="","",MAX($I$4:$I113))</f>
        <v/>
      </c>
      <c r="K113" s="21">
        <f>IF($A113="","",$I113-$J113)</f>
        <v/>
      </c>
      <c r="L113" s="22">
        <f>IF($A113="","",IF($J113=0,"",$K113/$J113))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  <c r="I114" s="21">
        <f>IF($A114="","",'Total PnL'!$B$3+$H114)</f>
        <v/>
      </c>
      <c r="J114" s="21">
        <f>IF($A114="","",MAX($I$4:$I114))</f>
        <v/>
      </c>
      <c r="K114" s="21">
        <f>IF($A114="","",$I114-$J114)</f>
        <v/>
      </c>
      <c r="L114" s="22">
        <f>IF($A114="","",IF($J114=0,"",$K114/$J114))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  <c r="I115" s="21">
        <f>IF($A115="","",'Total PnL'!$B$3+$H115)</f>
        <v/>
      </c>
      <c r="J115" s="21">
        <f>IF($A115="","",MAX($I$4:$I115))</f>
        <v/>
      </c>
      <c r="K115" s="21">
        <f>IF($A115="","",$I115-$J115)</f>
        <v/>
      </c>
      <c r="L115" s="22">
        <f>IF($A115="","",IF($J115=0,"",$K115/$J115))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  <c r="I116" s="21">
        <f>IF($A116="","",'Total PnL'!$B$3+$H116)</f>
        <v/>
      </c>
      <c r="J116" s="21">
        <f>IF($A116="","",MAX($I$4:$I116))</f>
        <v/>
      </c>
      <c r="K116" s="21">
        <f>IF($A116="","",$I116-$J116)</f>
        <v/>
      </c>
      <c r="L116" s="22">
        <f>IF($A116="","",IF($J116=0,"",$K116/$J116))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  <c r="I117" s="21">
        <f>IF($A117="","",'Total PnL'!$B$3+$H117)</f>
        <v/>
      </c>
      <c r="J117" s="21">
        <f>IF($A117="","",MAX($I$4:$I117))</f>
        <v/>
      </c>
      <c r="K117" s="21">
        <f>IF($A117="","",$I117-$J117)</f>
        <v/>
      </c>
      <c r="L117" s="22">
        <f>IF($A117="","",IF($J117=0,"",$K117/$J117))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  <c r="I118" s="21">
        <f>IF($A118="","",'Total PnL'!$B$3+$H118)</f>
        <v/>
      </c>
      <c r="J118" s="21">
        <f>IF($A118="","",MAX($I$4:$I118))</f>
        <v/>
      </c>
      <c r="K118" s="21">
        <f>IF($A118="","",$I118-$J118)</f>
        <v/>
      </c>
      <c r="L118" s="22">
        <f>IF($A118="","",IF($J118=0,"",$K118/$J118))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  <c r="I119" s="21">
        <f>IF($A119="","",'Total PnL'!$B$3+$H119)</f>
        <v/>
      </c>
      <c r="J119" s="21">
        <f>IF($A119="","",MAX($I$4:$I119))</f>
        <v/>
      </c>
      <c r="K119" s="21">
        <f>IF($A119="","",$I119-$J119)</f>
        <v/>
      </c>
      <c r="L119" s="22">
        <f>IF($A119="","",IF($J119=0,"",$K119/$J119))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  <c r="I120" s="21">
        <f>IF($A120="","",'Total PnL'!$B$3+$H120)</f>
        <v/>
      </c>
      <c r="J120" s="21">
        <f>IF($A120="","",MAX($I$4:$I120))</f>
        <v/>
      </c>
      <c r="K120" s="21">
        <f>IF($A120="","",$I120-$J120)</f>
        <v/>
      </c>
      <c r="L120" s="22">
        <f>IF($A120="","",IF($J120=0,"",$K120/$J120))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  <c r="I121" s="21">
        <f>IF($A121="","",'Total PnL'!$B$3+$H121)</f>
        <v/>
      </c>
      <c r="J121" s="21">
        <f>IF($A121="","",MAX($I$4:$I121))</f>
        <v/>
      </c>
      <c r="K121" s="21">
        <f>IF($A121="","",$I121-$J121)</f>
        <v/>
      </c>
      <c r="L121" s="22">
        <f>IF($A121="","",IF($J121=0,"",$K121/$J121))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  <c r="I122" s="21">
        <f>IF($A122="","",'Total PnL'!$B$3+$H122)</f>
        <v/>
      </c>
      <c r="J122" s="21">
        <f>IF($A122="","",MAX($I$4:$I122))</f>
        <v/>
      </c>
      <c r="K122" s="21">
        <f>IF($A122="","",$I122-$J122)</f>
        <v/>
      </c>
      <c r="L122" s="22">
        <f>IF($A122="","",IF($J122=0,"",$K122/$J122))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  <c r="I123" s="21">
        <f>IF($A123="","",'Total PnL'!$B$3+$H123)</f>
        <v/>
      </c>
      <c r="J123" s="21">
        <f>IF($A123="","",MAX($I$4:$I123))</f>
        <v/>
      </c>
      <c r="K123" s="21">
        <f>IF($A123="","",$I123-$J123)</f>
        <v/>
      </c>
      <c r="L123" s="22">
        <f>IF($A123="","",IF($J123=0,"",$K123/$J123))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  <c r="I124" s="21">
        <f>IF($A124="","",'Total PnL'!$B$3+$H124)</f>
        <v/>
      </c>
      <c r="J124" s="21">
        <f>IF($A124="","",MAX($I$4:$I124))</f>
        <v/>
      </c>
      <c r="K124" s="21">
        <f>IF($A124="","",$I124-$J124)</f>
        <v/>
      </c>
      <c r="L124" s="22">
        <f>IF($A124="","",IF($J124=0,"",$K124/$J124))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  <c r="I125" s="21">
        <f>IF($A125="","",'Total PnL'!$B$3+$H125)</f>
        <v/>
      </c>
      <c r="J125" s="21">
        <f>IF($A125="","",MAX($I$4:$I125))</f>
        <v/>
      </c>
      <c r="K125" s="21">
        <f>IF($A125="","",$I125-$J125)</f>
        <v/>
      </c>
      <c r="L125" s="22">
        <f>IF($A125="","",IF($J125=0,"",$K125/$J125))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  <c r="I126" s="21">
        <f>IF($A126="","",'Total PnL'!$B$3+$H126)</f>
        <v/>
      </c>
      <c r="J126" s="21">
        <f>IF($A126="","",MAX($I$4:$I126))</f>
        <v/>
      </c>
      <c r="K126" s="21">
        <f>IF($A126="","",$I126-$J126)</f>
        <v/>
      </c>
      <c r="L126" s="22">
        <f>IF($A126="","",IF($J126=0,"",$K126/$J126))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  <c r="I127" s="21">
        <f>IF($A127="","",'Total PnL'!$B$3+$H127)</f>
        <v/>
      </c>
      <c r="J127" s="21">
        <f>IF($A127="","",MAX($I$4:$I127))</f>
        <v/>
      </c>
      <c r="K127" s="21">
        <f>IF($A127="","",$I127-$J127)</f>
        <v/>
      </c>
      <c r="L127" s="22">
        <f>IF($A127="","",IF($J127=0,"",$K127/$J127))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  <c r="I128" s="21">
        <f>IF($A128="","",'Total PnL'!$B$3+$H128)</f>
        <v/>
      </c>
      <c r="J128" s="21">
        <f>IF($A128="","",MAX($I$4:$I128))</f>
        <v/>
      </c>
      <c r="K128" s="21">
        <f>IF($A128="","",$I128-$J128)</f>
        <v/>
      </c>
      <c r="L128" s="22">
        <f>IF($A128="","",IF($J128=0,"",$K128/$J128))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  <c r="I129" s="21">
        <f>IF($A129="","",'Total PnL'!$B$3+$H129)</f>
        <v/>
      </c>
      <c r="J129" s="21">
        <f>IF($A129="","",MAX($I$4:$I129))</f>
        <v/>
      </c>
      <c r="K129" s="21">
        <f>IF($A129="","",$I129-$J129)</f>
        <v/>
      </c>
      <c r="L129" s="22">
        <f>IF($A129="","",IF($J129=0,"",$K129/$J129))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  <c r="I130" s="21">
        <f>IF($A130="","",'Total PnL'!$B$3+$H130)</f>
        <v/>
      </c>
      <c r="J130" s="21">
        <f>IF($A130="","",MAX($I$4:$I130))</f>
        <v/>
      </c>
      <c r="K130" s="21">
        <f>IF($A130="","",$I130-$J130)</f>
        <v/>
      </c>
      <c r="L130" s="22">
        <f>IF($A130="","",IF($J130=0,"",$K130/$J130))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  <c r="I131" s="21">
        <f>IF($A131="","",'Total PnL'!$B$3+$H131)</f>
        <v/>
      </c>
      <c r="J131" s="21">
        <f>IF($A131="","",MAX($I$4:$I131))</f>
        <v/>
      </c>
      <c r="K131" s="21">
        <f>IF($A131="","",$I131-$J131)</f>
        <v/>
      </c>
      <c r="L131" s="22">
        <f>IF($A131="","",IF($J131=0,"",$K131/$J131))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  <c r="I132" s="21">
        <f>IF($A132="","",'Total PnL'!$B$3+$H132)</f>
        <v/>
      </c>
      <c r="J132" s="21">
        <f>IF($A132="","",MAX($I$4:$I132))</f>
        <v/>
      </c>
      <c r="K132" s="21">
        <f>IF($A132="","",$I132-$J132)</f>
        <v/>
      </c>
      <c r="L132" s="22">
        <f>IF($A132="","",IF($J132=0,"",$K132/$J132))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  <c r="I133" s="21">
        <f>IF($A133="","",'Total PnL'!$B$3+$H133)</f>
        <v/>
      </c>
      <c r="J133" s="21">
        <f>IF($A133="","",MAX($I$4:$I133))</f>
        <v/>
      </c>
      <c r="K133" s="21">
        <f>IF($A133="","",$I133-$J133)</f>
        <v/>
      </c>
      <c r="L133" s="22">
        <f>IF($A133="","",IF($J133=0,"",$K133/$J133))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  <c r="I134" s="21">
        <f>IF($A134="","",'Total PnL'!$B$3+$H134)</f>
        <v/>
      </c>
      <c r="J134" s="21">
        <f>IF($A134="","",MAX($I$4:$I134))</f>
        <v/>
      </c>
      <c r="K134" s="21">
        <f>IF($A134="","",$I134-$J134)</f>
        <v/>
      </c>
      <c r="L134" s="22">
        <f>IF($A134="","",IF($J134=0,"",$K134/$J134))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  <c r="I135" s="21">
        <f>IF($A135="","",'Total PnL'!$B$3+$H135)</f>
        <v/>
      </c>
      <c r="J135" s="21">
        <f>IF($A135="","",MAX($I$4:$I135))</f>
        <v/>
      </c>
      <c r="K135" s="21">
        <f>IF($A135="","",$I135-$J135)</f>
        <v/>
      </c>
      <c r="L135" s="22">
        <f>IF($A135="","",IF($J135=0,"",$K135/$J135))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  <c r="I136" s="21">
        <f>IF($A136="","",'Total PnL'!$B$3+$H136)</f>
        <v/>
      </c>
      <c r="J136" s="21">
        <f>IF($A136="","",MAX($I$4:$I136))</f>
        <v/>
      </c>
      <c r="K136" s="21">
        <f>IF($A136="","",$I136-$J136)</f>
        <v/>
      </c>
      <c r="L136" s="22">
        <f>IF($A136="","",IF($J136=0,"",$K136/$J136))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  <c r="I137" s="21">
        <f>IF($A137="","",'Total PnL'!$B$3+$H137)</f>
        <v/>
      </c>
      <c r="J137" s="21">
        <f>IF($A137="","",MAX($I$4:$I137))</f>
        <v/>
      </c>
      <c r="K137" s="21">
        <f>IF($A137="","",$I137-$J137)</f>
        <v/>
      </c>
      <c r="L137" s="22">
        <f>IF($A137="","",IF($J137=0,"",$K137/$J137))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  <c r="I138" s="21">
        <f>IF($A138="","",'Total PnL'!$B$3+$H138)</f>
        <v/>
      </c>
      <c r="J138" s="21">
        <f>IF($A138="","",MAX($I$4:$I138))</f>
        <v/>
      </c>
      <c r="K138" s="21">
        <f>IF($A138="","",$I138-$J138)</f>
        <v/>
      </c>
      <c r="L138" s="22">
        <f>IF($A138="","",IF($J138=0,"",$K138/$J138))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  <c r="I139" s="21">
        <f>IF($A139="","",'Total PnL'!$B$3+$H139)</f>
        <v/>
      </c>
      <c r="J139" s="21">
        <f>IF($A139="","",MAX($I$4:$I139))</f>
        <v/>
      </c>
      <c r="K139" s="21">
        <f>IF($A139="","",$I139-$J139)</f>
        <v/>
      </c>
      <c r="L139" s="22">
        <f>IF($A139="","",IF($J139=0,"",$K139/$J139))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  <c r="I140" s="21">
        <f>IF($A140="","",'Total PnL'!$B$3+$H140)</f>
        <v/>
      </c>
      <c r="J140" s="21">
        <f>IF($A140="","",MAX($I$4:$I140))</f>
        <v/>
      </c>
      <c r="K140" s="21">
        <f>IF($A140="","",$I140-$J140)</f>
        <v/>
      </c>
      <c r="L140" s="22">
        <f>IF($A140="","",IF($J140=0,"",$K140/$J140))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  <c r="I141" s="21">
        <f>IF($A141="","",'Total PnL'!$B$3+$H141)</f>
        <v/>
      </c>
      <c r="J141" s="21">
        <f>IF($A141="","",MAX($I$4:$I141))</f>
        <v/>
      </c>
      <c r="K141" s="21">
        <f>IF($A141="","",$I141-$J141)</f>
        <v/>
      </c>
      <c r="L141" s="22">
        <f>IF($A141="","",IF($J141=0,"",$K141/$J141))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  <c r="I142" s="21">
        <f>IF($A142="","",'Total PnL'!$B$3+$H142)</f>
        <v/>
      </c>
      <c r="J142" s="21">
        <f>IF($A142="","",MAX($I$4:$I142))</f>
        <v/>
      </c>
      <c r="K142" s="21">
        <f>IF($A142="","",$I142-$J142)</f>
        <v/>
      </c>
      <c r="L142" s="22">
        <f>IF($A142="","",IF($J142=0,"",$K142/$J142))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  <c r="I143" s="21">
        <f>IF($A143="","",'Total PnL'!$B$3+$H143)</f>
        <v/>
      </c>
      <c r="J143" s="21">
        <f>IF($A143="","",MAX($I$4:$I143))</f>
        <v/>
      </c>
      <c r="K143" s="21">
        <f>IF($A143="","",$I143-$J143)</f>
        <v/>
      </c>
      <c r="L143" s="22">
        <f>IF($A143="","",IF($J143=0,"",$K143/$J143))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  <c r="I144" s="21">
        <f>IF($A144="","",'Total PnL'!$B$3+$H144)</f>
        <v/>
      </c>
      <c r="J144" s="21">
        <f>IF($A144="","",MAX($I$4:$I144))</f>
        <v/>
      </c>
      <c r="K144" s="21">
        <f>IF($A144="","",$I144-$J144)</f>
        <v/>
      </c>
      <c r="L144" s="22">
        <f>IF($A144="","",IF($J144=0,"",$K144/$J144))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  <c r="I145" s="21">
        <f>IF($A145="","",'Total PnL'!$B$3+$H145)</f>
        <v/>
      </c>
      <c r="J145" s="21">
        <f>IF($A145="","",MAX($I$4:$I145))</f>
        <v/>
      </c>
      <c r="K145" s="21">
        <f>IF($A145="","",$I145-$J145)</f>
        <v/>
      </c>
      <c r="L145" s="22">
        <f>IF($A145="","",IF($J145=0,"",$K145/$J145))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  <c r="I146" s="21">
        <f>IF($A146="","",'Total PnL'!$B$3+$H146)</f>
        <v/>
      </c>
      <c r="J146" s="21">
        <f>IF($A146="","",MAX($I$4:$I146))</f>
        <v/>
      </c>
      <c r="K146" s="21">
        <f>IF($A146="","",$I146-$J146)</f>
        <v/>
      </c>
      <c r="L146" s="22">
        <f>IF($A146="","",IF($J146=0,"",$K146/$J146))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  <c r="I147" s="21">
        <f>IF($A147="","",'Total PnL'!$B$3+$H147)</f>
        <v/>
      </c>
      <c r="J147" s="21">
        <f>IF($A147="","",MAX($I$4:$I147))</f>
        <v/>
      </c>
      <c r="K147" s="21">
        <f>IF($A147="","",$I147-$J147)</f>
        <v/>
      </c>
      <c r="L147" s="22">
        <f>IF($A147="","",IF($J147=0,"",$K147/$J147))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  <c r="I148" s="21">
        <f>IF($A148="","",'Total PnL'!$B$3+$H148)</f>
        <v/>
      </c>
      <c r="J148" s="21">
        <f>IF($A148="","",MAX($I$4:$I148))</f>
        <v/>
      </c>
      <c r="K148" s="21">
        <f>IF($A148="","",$I148-$J148)</f>
        <v/>
      </c>
      <c r="L148" s="22">
        <f>IF($A148="","",IF($J148=0,"",$K148/$J148))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  <c r="I149" s="21">
        <f>IF($A149="","",'Total PnL'!$B$3+$H149)</f>
        <v/>
      </c>
      <c r="J149" s="21">
        <f>IF($A149="","",MAX($I$4:$I149))</f>
        <v/>
      </c>
      <c r="K149" s="21">
        <f>IF($A149="","",$I149-$J149)</f>
        <v/>
      </c>
      <c r="L149" s="22">
        <f>IF($A149="","",IF($J149=0,"",$K149/$J149))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  <c r="I150" s="21">
        <f>IF($A150="","",'Total PnL'!$B$3+$H150)</f>
        <v/>
      </c>
      <c r="J150" s="21">
        <f>IF($A150="","",MAX($I$4:$I150))</f>
        <v/>
      </c>
      <c r="K150" s="21">
        <f>IF($A150="","",$I150-$J150)</f>
        <v/>
      </c>
      <c r="L150" s="22">
        <f>IF($A150="","",IF($J150=0,"",$K150/$J150))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  <c r="I151" s="21">
        <f>IF($A151="","",'Total PnL'!$B$3+$H151)</f>
        <v/>
      </c>
      <c r="J151" s="21">
        <f>IF($A151="","",MAX($I$4:$I151))</f>
        <v/>
      </c>
      <c r="K151" s="21">
        <f>IF($A151="","",$I151-$J151)</f>
        <v/>
      </c>
      <c r="L151" s="22">
        <f>IF($A151="","",IF($J151=0,"",$K151/$J151))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  <c r="I152" s="21">
        <f>IF($A152="","",'Total PnL'!$B$3+$H152)</f>
        <v/>
      </c>
      <c r="J152" s="21">
        <f>IF($A152="","",MAX($I$4:$I152))</f>
        <v/>
      </c>
      <c r="K152" s="21">
        <f>IF($A152="","",$I152-$J152)</f>
        <v/>
      </c>
      <c r="L152" s="22">
        <f>IF($A152="","",IF($J152=0,"",$K152/$J152))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  <c r="I153" s="21">
        <f>IF($A153="","",'Total PnL'!$B$3+$H153)</f>
        <v/>
      </c>
      <c r="J153" s="21">
        <f>IF($A153="","",MAX($I$4:$I153))</f>
        <v/>
      </c>
      <c r="K153" s="21">
        <f>IF($A153="","",$I153-$J153)</f>
        <v/>
      </c>
      <c r="L153" s="22">
        <f>IF($A153="","",IF($J153=0,"",$K153/$J153))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  <c r="I154" s="21">
        <f>IF($A154="","",'Total PnL'!$B$3+$H154)</f>
        <v/>
      </c>
      <c r="J154" s="21">
        <f>IF($A154="","",MAX($I$4:$I154))</f>
        <v/>
      </c>
      <c r="K154" s="21">
        <f>IF($A154="","",$I154-$J154)</f>
        <v/>
      </c>
      <c r="L154" s="22">
        <f>IF($A154="","",IF($J154=0,"",$K154/$J154))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  <c r="I155" s="21">
        <f>IF($A155="","",'Total PnL'!$B$3+$H155)</f>
        <v/>
      </c>
      <c r="J155" s="21">
        <f>IF($A155="","",MAX($I$4:$I155))</f>
        <v/>
      </c>
      <c r="K155" s="21">
        <f>IF($A155="","",$I155-$J155)</f>
        <v/>
      </c>
      <c r="L155" s="22">
        <f>IF($A155="","",IF($J155=0,"",$K155/$J155))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  <c r="I156" s="21">
        <f>IF($A156="","",'Total PnL'!$B$3+$H156)</f>
        <v/>
      </c>
      <c r="J156" s="21">
        <f>IF($A156="","",MAX($I$4:$I156))</f>
        <v/>
      </c>
      <c r="K156" s="21">
        <f>IF($A156="","",$I156-$J156)</f>
        <v/>
      </c>
      <c r="L156" s="22">
        <f>IF($A156="","",IF($J156=0,"",$K156/$J156))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  <c r="I157" s="21">
        <f>IF($A157="","",'Total PnL'!$B$3+$H157)</f>
        <v/>
      </c>
      <c r="J157" s="21">
        <f>IF($A157="","",MAX($I$4:$I157))</f>
        <v/>
      </c>
      <c r="K157" s="21">
        <f>IF($A157="","",$I157-$J157)</f>
        <v/>
      </c>
      <c r="L157" s="22">
        <f>IF($A157="","",IF($J157=0,"",$K157/$J157))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  <c r="I158" s="21">
        <f>IF($A158="","",'Total PnL'!$B$3+$H158)</f>
        <v/>
      </c>
      <c r="J158" s="21">
        <f>IF($A158="","",MAX($I$4:$I158))</f>
        <v/>
      </c>
      <c r="K158" s="21">
        <f>IF($A158="","",$I158-$J158)</f>
        <v/>
      </c>
      <c r="L158" s="22">
        <f>IF($A158="","",IF($J158=0,"",$K158/$J158))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  <c r="I159" s="21">
        <f>IF($A159="","",'Total PnL'!$B$3+$H159)</f>
        <v/>
      </c>
      <c r="J159" s="21">
        <f>IF($A159="","",MAX($I$4:$I159))</f>
        <v/>
      </c>
      <c r="K159" s="21">
        <f>IF($A159="","",$I159-$J159)</f>
        <v/>
      </c>
      <c r="L159" s="22">
        <f>IF($A159="","",IF($J159=0,"",$K159/$J159))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  <c r="I160" s="21">
        <f>IF($A160="","",'Total PnL'!$B$3+$H160)</f>
        <v/>
      </c>
      <c r="J160" s="21">
        <f>IF($A160="","",MAX($I$4:$I160))</f>
        <v/>
      </c>
      <c r="K160" s="21">
        <f>IF($A160="","",$I160-$J160)</f>
        <v/>
      </c>
      <c r="L160" s="22">
        <f>IF($A160="","",IF($J160=0,"",$K160/$J160))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  <c r="I161" s="21">
        <f>IF($A161="","",'Total PnL'!$B$3+$H161)</f>
        <v/>
      </c>
      <c r="J161" s="21">
        <f>IF($A161="","",MAX($I$4:$I161))</f>
        <v/>
      </c>
      <c r="K161" s="21">
        <f>IF($A161="","",$I161-$J161)</f>
        <v/>
      </c>
      <c r="L161" s="22">
        <f>IF($A161="","",IF($J161=0,"",$K161/$J161))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  <c r="I162" s="21">
        <f>IF($A162="","",'Total PnL'!$B$3+$H162)</f>
        <v/>
      </c>
      <c r="J162" s="21">
        <f>IF($A162="","",MAX($I$4:$I162))</f>
        <v/>
      </c>
      <c r="K162" s="21">
        <f>IF($A162="","",$I162-$J162)</f>
        <v/>
      </c>
      <c r="L162" s="22">
        <f>IF($A162="","",IF($J162=0,"",$K162/$J162))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  <c r="I163" s="21">
        <f>IF($A163="","",'Total PnL'!$B$3+$H163)</f>
        <v/>
      </c>
      <c r="J163" s="21">
        <f>IF($A163="","",MAX($I$4:$I163))</f>
        <v/>
      </c>
      <c r="K163" s="21">
        <f>IF($A163="","",$I163-$J163)</f>
        <v/>
      </c>
      <c r="L163" s="22">
        <f>IF($A163="","",IF($J163=0,"",$K163/$J163))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  <c r="I164" s="21">
        <f>IF($A164="","",'Total PnL'!$B$3+$H164)</f>
        <v/>
      </c>
      <c r="J164" s="21">
        <f>IF($A164="","",MAX($I$4:$I164))</f>
        <v/>
      </c>
      <c r="K164" s="21">
        <f>IF($A164="","",$I164-$J164)</f>
        <v/>
      </c>
      <c r="L164" s="22">
        <f>IF($A164="","",IF($J164=0,"",$K164/$J164))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  <c r="I165" s="21">
        <f>IF($A165="","",'Total PnL'!$B$3+$H165)</f>
        <v/>
      </c>
      <c r="J165" s="21">
        <f>IF($A165="","",MAX($I$4:$I165))</f>
        <v/>
      </c>
      <c r="K165" s="21">
        <f>IF($A165="","",$I165-$J165)</f>
        <v/>
      </c>
      <c r="L165" s="22">
        <f>IF($A165="","",IF($J165=0,"",$K165/$J165))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  <c r="I166" s="21">
        <f>IF($A166="","",'Total PnL'!$B$3+$H166)</f>
        <v/>
      </c>
      <c r="J166" s="21">
        <f>IF($A166="","",MAX($I$4:$I166))</f>
        <v/>
      </c>
      <c r="K166" s="21">
        <f>IF($A166="","",$I166-$J166)</f>
        <v/>
      </c>
      <c r="L166" s="22">
        <f>IF($A166="","",IF($J166=0,"",$K166/$J166))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  <c r="I167" s="21">
        <f>IF($A167="","",'Total PnL'!$B$3+$H167)</f>
        <v/>
      </c>
      <c r="J167" s="21">
        <f>IF($A167="","",MAX($I$4:$I167))</f>
        <v/>
      </c>
      <c r="K167" s="21">
        <f>IF($A167="","",$I167-$J167)</f>
        <v/>
      </c>
      <c r="L167" s="22">
        <f>IF($A167="","",IF($J167=0,"",$K167/$J167))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  <c r="I168" s="21">
        <f>IF($A168="","",'Total PnL'!$B$3+$H168)</f>
        <v/>
      </c>
      <c r="J168" s="21">
        <f>IF($A168="","",MAX($I$4:$I168))</f>
        <v/>
      </c>
      <c r="K168" s="21">
        <f>IF($A168="","",$I168-$J168)</f>
        <v/>
      </c>
      <c r="L168" s="22">
        <f>IF($A168="","",IF($J168=0,"",$K168/$J168))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  <c r="I169" s="21">
        <f>IF($A169="","",'Total PnL'!$B$3+$H169)</f>
        <v/>
      </c>
      <c r="J169" s="21">
        <f>IF($A169="","",MAX($I$4:$I169))</f>
        <v/>
      </c>
      <c r="K169" s="21">
        <f>IF($A169="","",$I169-$J169)</f>
        <v/>
      </c>
      <c r="L169" s="22">
        <f>IF($A169="","",IF($J169=0,"",$K169/$J169))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  <c r="I170" s="21">
        <f>IF($A170="","",'Total PnL'!$B$3+$H170)</f>
        <v/>
      </c>
      <c r="J170" s="21">
        <f>IF($A170="","",MAX($I$4:$I170))</f>
        <v/>
      </c>
      <c r="K170" s="21">
        <f>IF($A170="","",$I170-$J170)</f>
        <v/>
      </c>
      <c r="L170" s="22">
        <f>IF($A170="","",IF($J170=0,"",$K170/$J170))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  <c r="I171" s="21">
        <f>IF($A171="","",'Total PnL'!$B$3+$H171)</f>
        <v/>
      </c>
      <c r="J171" s="21">
        <f>IF($A171="","",MAX($I$4:$I171))</f>
        <v/>
      </c>
      <c r="K171" s="21">
        <f>IF($A171="","",$I171-$J171)</f>
        <v/>
      </c>
      <c r="L171" s="22">
        <f>IF($A171="","",IF($J171=0,"",$K171/$J171))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  <c r="I172" s="21">
        <f>IF($A172="","",'Total PnL'!$B$3+$H172)</f>
        <v/>
      </c>
      <c r="J172" s="21">
        <f>IF($A172="","",MAX($I$4:$I172))</f>
        <v/>
      </c>
      <c r="K172" s="21">
        <f>IF($A172="","",$I172-$J172)</f>
        <v/>
      </c>
      <c r="L172" s="22">
        <f>IF($A172="","",IF($J172=0,"",$K172/$J172))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  <c r="I173" s="21">
        <f>IF($A173="","",'Total PnL'!$B$3+$H173)</f>
        <v/>
      </c>
      <c r="J173" s="21">
        <f>IF($A173="","",MAX($I$4:$I173))</f>
        <v/>
      </c>
      <c r="K173" s="21">
        <f>IF($A173="","",$I173-$J173)</f>
        <v/>
      </c>
      <c r="L173" s="22">
        <f>IF($A173="","",IF($J173=0,"",$K173/$J173))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  <c r="I174" s="21">
        <f>IF($A174="","",'Total PnL'!$B$3+$H174)</f>
        <v/>
      </c>
      <c r="J174" s="21">
        <f>IF($A174="","",MAX($I$4:$I174))</f>
        <v/>
      </c>
      <c r="K174" s="21">
        <f>IF($A174="","",$I174-$J174)</f>
        <v/>
      </c>
      <c r="L174" s="22">
        <f>IF($A174="","",IF($J174=0,"",$K174/$J174))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  <c r="I175" s="21">
        <f>IF($A175="","",'Total PnL'!$B$3+$H175)</f>
        <v/>
      </c>
      <c r="J175" s="21">
        <f>IF($A175="","",MAX($I$4:$I175))</f>
        <v/>
      </c>
      <c r="K175" s="21">
        <f>IF($A175="","",$I175-$J175)</f>
        <v/>
      </c>
      <c r="L175" s="22">
        <f>IF($A175="","",IF($J175=0,"",$K175/$J175))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  <c r="I176" s="21">
        <f>IF($A176="","",'Total PnL'!$B$3+$H176)</f>
        <v/>
      </c>
      <c r="J176" s="21">
        <f>IF($A176="","",MAX($I$4:$I176))</f>
        <v/>
      </c>
      <c r="K176" s="21">
        <f>IF($A176="","",$I176-$J176)</f>
        <v/>
      </c>
      <c r="L176" s="22">
        <f>IF($A176="","",IF($J176=0,"",$K176/$J176))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  <c r="I177" s="21">
        <f>IF($A177="","",'Total PnL'!$B$3+$H177)</f>
        <v/>
      </c>
      <c r="J177" s="21">
        <f>IF($A177="","",MAX($I$4:$I177))</f>
        <v/>
      </c>
      <c r="K177" s="21">
        <f>IF($A177="","",$I177-$J177)</f>
        <v/>
      </c>
      <c r="L177" s="22">
        <f>IF($A177="","",IF($J177=0,"",$K177/$J177))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  <c r="I178" s="21">
        <f>IF($A178="","",'Total PnL'!$B$3+$H178)</f>
        <v/>
      </c>
      <c r="J178" s="21">
        <f>IF($A178="","",MAX($I$4:$I178))</f>
        <v/>
      </c>
      <c r="K178" s="21">
        <f>IF($A178="","",$I178-$J178)</f>
        <v/>
      </c>
      <c r="L178" s="22">
        <f>IF($A178="","",IF($J178=0,"",$K178/$J178))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  <c r="I179" s="21">
        <f>IF($A179="","",'Total PnL'!$B$3+$H179)</f>
        <v/>
      </c>
      <c r="J179" s="21">
        <f>IF($A179="","",MAX($I$4:$I179))</f>
        <v/>
      </c>
      <c r="K179" s="21">
        <f>IF($A179="","",$I179-$J179)</f>
        <v/>
      </c>
      <c r="L179" s="22">
        <f>IF($A179="","",IF($J179=0,"",$K179/$J179))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  <c r="I180" s="21">
        <f>IF($A180="","",'Total PnL'!$B$3+$H180)</f>
        <v/>
      </c>
      <c r="J180" s="21">
        <f>IF($A180="","",MAX($I$4:$I180))</f>
        <v/>
      </c>
      <c r="K180" s="21">
        <f>IF($A180="","",$I180-$J180)</f>
        <v/>
      </c>
      <c r="L180" s="22">
        <f>IF($A180="","",IF($J180=0,"",$K180/$J180))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  <c r="I181" s="21">
        <f>IF($A181="","",'Total PnL'!$B$3+$H181)</f>
        <v/>
      </c>
      <c r="J181" s="21">
        <f>IF($A181="","",MAX($I$4:$I181))</f>
        <v/>
      </c>
      <c r="K181" s="21">
        <f>IF($A181="","",$I181-$J181)</f>
        <v/>
      </c>
      <c r="L181" s="22">
        <f>IF($A181="","",IF($J181=0,"",$K181/$J181))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  <c r="I182" s="21">
        <f>IF($A182="","",'Total PnL'!$B$3+$H182)</f>
        <v/>
      </c>
      <c r="J182" s="21">
        <f>IF($A182="","",MAX($I$4:$I182))</f>
        <v/>
      </c>
      <c r="K182" s="21">
        <f>IF($A182="","",$I182-$J182)</f>
        <v/>
      </c>
      <c r="L182" s="22">
        <f>IF($A182="","",IF($J182=0,"",$K182/$J182))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  <c r="I183" s="21">
        <f>IF($A183="","",'Total PnL'!$B$3+$H183)</f>
        <v/>
      </c>
      <c r="J183" s="21">
        <f>IF($A183="","",MAX($I$4:$I183))</f>
        <v/>
      </c>
      <c r="K183" s="21">
        <f>IF($A183="","",$I183-$J183)</f>
        <v/>
      </c>
      <c r="L183" s="22">
        <f>IF($A183="","",IF($J183=0,"",$K183/$J183))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  <c r="I184" s="21">
        <f>IF($A184="","",'Total PnL'!$B$3+$H184)</f>
        <v/>
      </c>
      <c r="J184" s="21">
        <f>IF($A184="","",MAX($I$4:$I184))</f>
        <v/>
      </c>
      <c r="K184" s="21">
        <f>IF($A184="","",$I184-$J184)</f>
        <v/>
      </c>
      <c r="L184" s="22">
        <f>IF($A184="","",IF($J184=0,"",$K184/$J184))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  <c r="I185" s="21">
        <f>IF($A185="","",'Total PnL'!$B$3+$H185)</f>
        <v/>
      </c>
      <c r="J185" s="21">
        <f>IF($A185="","",MAX($I$4:$I185))</f>
        <v/>
      </c>
      <c r="K185" s="21">
        <f>IF($A185="","",$I185-$J185)</f>
        <v/>
      </c>
      <c r="L185" s="22">
        <f>IF($A185="","",IF($J185=0,"",$K185/$J185))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  <c r="I186" s="21">
        <f>IF($A186="","",'Total PnL'!$B$3+$H186)</f>
        <v/>
      </c>
      <c r="J186" s="21">
        <f>IF($A186="","",MAX($I$4:$I186))</f>
        <v/>
      </c>
      <c r="K186" s="21">
        <f>IF($A186="","",$I186-$J186)</f>
        <v/>
      </c>
      <c r="L186" s="22">
        <f>IF($A186="","",IF($J186=0,"",$K186/$J186))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  <c r="I187" s="21">
        <f>IF($A187="","",'Total PnL'!$B$3+$H187)</f>
        <v/>
      </c>
      <c r="J187" s="21">
        <f>IF($A187="","",MAX($I$4:$I187))</f>
        <v/>
      </c>
      <c r="K187" s="21">
        <f>IF($A187="","",$I187-$J187)</f>
        <v/>
      </c>
      <c r="L187" s="22">
        <f>IF($A187="","",IF($J187=0,"",$K187/$J187))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  <c r="I188" s="21">
        <f>IF($A188="","",'Total PnL'!$B$3+$H188)</f>
        <v/>
      </c>
      <c r="J188" s="21">
        <f>IF($A188="","",MAX($I$4:$I188))</f>
        <v/>
      </c>
      <c r="K188" s="21">
        <f>IF($A188="","",$I188-$J188)</f>
        <v/>
      </c>
      <c r="L188" s="22">
        <f>IF($A188="","",IF($J188=0,"",$K188/$J188))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  <c r="I189" s="21">
        <f>IF($A189="","",'Total PnL'!$B$3+$H189)</f>
        <v/>
      </c>
      <c r="J189" s="21">
        <f>IF($A189="","",MAX($I$4:$I189))</f>
        <v/>
      </c>
      <c r="K189" s="21">
        <f>IF($A189="","",$I189-$J189)</f>
        <v/>
      </c>
      <c r="L189" s="22">
        <f>IF($A189="","",IF($J189=0,"",$K189/$J189))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  <c r="I190" s="21">
        <f>IF($A190="","",'Total PnL'!$B$3+$H190)</f>
        <v/>
      </c>
      <c r="J190" s="21">
        <f>IF($A190="","",MAX($I$4:$I190))</f>
        <v/>
      </c>
      <c r="K190" s="21">
        <f>IF($A190="","",$I190-$J190)</f>
        <v/>
      </c>
      <c r="L190" s="22">
        <f>IF($A190="","",IF($J190=0,"",$K190/$J190))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  <c r="I191" s="21">
        <f>IF($A191="","",'Total PnL'!$B$3+$H191)</f>
        <v/>
      </c>
      <c r="J191" s="21">
        <f>IF($A191="","",MAX($I$4:$I191))</f>
        <v/>
      </c>
      <c r="K191" s="21">
        <f>IF($A191="","",$I191-$J191)</f>
        <v/>
      </c>
      <c r="L191" s="22">
        <f>IF($A191="","",IF($J191=0,"",$K191/$J191))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  <c r="I192" s="21">
        <f>IF($A192="","",'Total PnL'!$B$3+$H192)</f>
        <v/>
      </c>
      <c r="J192" s="21">
        <f>IF($A192="","",MAX($I$4:$I192))</f>
        <v/>
      </c>
      <c r="K192" s="21">
        <f>IF($A192="","",$I192-$J192)</f>
        <v/>
      </c>
      <c r="L192" s="22">
        <f>IF($A192="","",IF($J192=0,"",$K192/$J192))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  <c r="I193" s="21">
        <f>IF($A193="","",'Total PnL'!$B$3+$H193)</f>
        <v/>
      </c>
      <c r="J193" s="21">
        <f>IF($A193="","",MAX($I$4:$I193))</f>
        <v/>
      </c>
      <c r="K193" s="21">
        <f>IF($A193="","",$I193-$J193)</f>
        <v/>
      </c>
      <c r="L193" s="22">
        <f>IF($A193="","",IF($J193=0,"",$K193/$J193))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  <c r="I194" s="21">
        <f>IF($A194="","",'Total PnL'!$B$3+$H194)</f>
        <v/>
      </c>
      <c r="J194" s="21">
        <f>IF($A194="","",MAX($I$4:$I194))</f>
        <v/>
      </c>
      <c r="K194" s="21">
        <f>IF($A194="","",$I194-$J194)</f>
        <v/>
      </c>
      <c r="L194" s="22">
        <f>IF($A194="","",IF($J194=0,"",$K194/$J194))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  <c r="I195" s="21">
        <f>IF($A195="","",'Total PnL'!$B$3+$H195)</f>
        <v/>
      </c>
      <c r="J195" s="21">
        <f>IF($A195="","",MAX($I$4:$I195))</f>
        <v/>
      </c>
      <c r="K195" s="21">
        <f>IF($A195="","",$I195-$J195)</f>
        <v/>
      </c>
      <c r="L195" s="22">
        <f>IF($A195="","",IF($J195=0,"",$K195/$J195))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  <c r="I196" s="21">
        <f>IF($A196="","",'Total PnL'!$B$3+$H196)</f>
        <v/>
      </c>
      <c r="J196" s="21">
        <f>IF($A196="","",MAX($I$4:$I196))</f>
        <v/>
      </c>
      <c r="K196" s="21">
        <f>IF($A196="","",$I196-$J196)</f>
        <v/>
      </c>
      <c r="L196" s="22">
        <f>IF($A196="","",IF($J196=0,"",$K196/$J196))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  <c r="I197" s="21">
        <f>IF($A197="","",'Total PnL'!$B$3+$H197)</f>
        <v/>
      </c>
      <c r="J197" s="21">
        <f>IF($A197="","",MAX($I$4:$I197))</f>
        <v/>
      </c>
      <c r="K197" s="21">
        <f>IF($A197="","",$I197-$J197)</f>
        <v/>
      </c>
      <c r="L197" s="22">
        <f>IF($A197="","",IF($J197=0,"",$K197/$J197))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  <c r="I198" s="21">
        <f>IF($A198="","",'Total PnL'!$B$3+$H198)</f>
        <v/>
      </c>
      <c r="J198" s="21">
        <f>IF($A198="","",MAX($I$4:$I198))</f>
        <v/>
      </c>
      <c r="K198" s="21">
        <f>IF($A198="","",$I198-$J198)</f>
        <v/>
      </c>
      <c r="L198" s="22">
        <f>IF($A198="","",IF($J198=0,"",$K198/$J198))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  <c r="I199" s="21">
        <f>IF($A199="","",'Total PnL'!$B$3+$H199)</f>
        <v/>
      </c>
      <c r="J199" s="21">
        <f>IF($A199="","",MAX($I$4:$I199))</f>
        <v/>
      </c>
      <c r="K199" s="21">
        <f>IF($A199="","",$I199-$J199)</f>
        <v/>
      </c>
      <c r="L199" s="22">
        <f>IF($A199="","",IF($J199=0,"",$K199/$J199))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  <c r="I200" s="21">
        <f>IF($A200="","",'Total PnL'!$B$3+$H200)</f>
        <v/>
      </c>
      <c r="J200" s="21">
        <f>IF($A200="","",MAX($I$4:$I200))</f>
        <v/>
      </c>
      <c r="K200" s="21">
        <f>IF($A200="","",$I200-$J200)</f>
        <v/>
      </c>
      <c r="L200" s="22">
        <f>IF($A200="","",IF($J200=0,"",$K200/$J200))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  <c r="I201" s="21">
        <f>IF($A201="","",'Total PnL'!$B$3+$H201)</f>
        <v/>
      </c>
      <c r="J201" s="21">
        <f>IF($A201="","",MAX($I$4:$I201))</f>
        <v/>
      </c>
      <c r="K201" s="21">
        <f>IF($A201="","",$I201-$J201)</f>
        <v/>
      </c>
      <c r="L201" s="22">
        <f>IF($A201="","",IF($J201=0,"",$K201/$J201))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  <c r="I202" s="21">
        <f>IF($A202="","",'Total PnL'!$B$3+$H202)</f>
        <v/>
      </c>
      <c r="J202" s="21">
        <f>IF($A202="","",MAX($I$4:$I202))</f>
        <v/>
      </c>
      <c r="K202" s="21">
        <f>IF($A202="","",$I202-$J202)</f>
        <v/>
      </c>
      <c r="L202" s="22">
        <f>IF($A202="","",IF($J202=0,"",$K202/$J202))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  <c r="I203" s="21">
        <f>IF($A203="","",'Total PnL'!$B$3+$H203)</f>
        <v/>
      </c>
      <c r="J203" s="21">
        <f>IF($A203="","",MAX($I$4:$I203))</f>
        <v/>
      </c>
      <c r="K203" s="21">
        <f>IF($A203="","",$I203-$J203)</f>
        <v/>
      </c>
      <c r="L203" s="22">
        <f>IF($A203="","",IF($J203=0,"",$K203/$J203))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  <c r="I204" s="21">
        <f>IF($A204="","",'Total PnL'!$B$3+$H204)</f>
        <v/>
      </c>
      <c r="J204" s="21">
        <f>IF($A204="","",MAX($I$4:$I204))</f>
        <v/>
      </c>
      <c r="K204" s="21">
        <f>IF($A204="","",$I204-$J204)</f>
        <v/>
      </c>
      <c r="L204" s="22">
        <f>IF($A204="","",IF($J204=0,"",$K204/$J204))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  <c r="I205" s="21">
        <f>IF($A205="","",'Total PnL'!$B$3+$H205)</f>
        <v/>
      </c>
      <c r="J205" s="21">
        <f>IF($A205="","",MAX($I$4:$I205))</f>
        <v/>
      </c>
      <c r="K205" s="21">
        <f>IF($A205="","",$I205-$J205)</f>
        <v/>
      </c>
      <c r="L205" s="22">
        <f>IF($A205="","",IF($J205=0,"",$K205/$J205))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  <c r="I206" s="21">
        <f>IF($A206="","",'Total PnL'!$B$3+$H206)</f>
        <v/>
      </c>
      <c r="J206" s="21">
        <f>IF($A206="","",MAX($I$4:$I206))</f>
        <v/>
      </c>
      <c r="K206" s="21">
        <f>IF($A206="","",$I206-$J206)</f>
        <v/>
      </c>
      <c r="L206" s="22">
        <f>IF($A206="","",IF($J206=0,"",$K206/$J206))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  <c r="I207" s="21">
        <f>IF($A207="","",'Total PnL'!$B$3+$H207)</f>
        <v/>
      </c>
      <c r="J207" s="21">
        <f>IF($A207="","",MAX($I$4:$I207))</f>
        <v/>
      </c>
      <c r="K207" s="21">
        <f>IF($A207="","",$I207-$J207)</f>
        <v/>
      </c>
      <c r="L207" s="22">
        <f>IF($A207="","",IF($J207=0,"",$K207/$J207))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  <c r="I208" s="21">
        <f>IF($A208="","",'Total PnL'!$B$3+$H208)</f>
        <v/>
      </c>
      <c r="J208" s="21">
        <f>IF($A208="","",MAX($I$4:$I208))</f>
        <v/>
      </c>
      <c r="K208" s="21">
        <f>IF($A208="","",$I208-$J208)</f>
        <v/>
      </c>
      <c r="L208" s="22">
        <f>IF($A208="","",IF($J208=0,"",$K208/$J208))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  <c r="I209" s="21">
        <f>IF($A209="","",'Total PnL'!$B$3+$H209)</f>
        <v/>
      </c>
      <c r="J209" s="21">
        <f>IF($A209="","",MAX($I$4:$I209))</f>
        <v/>
      </c>
      <c r="K209" s="21">
        <f>IF($A209="","",$I209-$J209)</f>
        <v/>
      </c>
      <c r="L209" s="22">
        <f>IF($A209="","",IF($J209=0,"",$K209/$J209))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  <c r="I210" s="21">
        <f>IF($A210="","",'Total PnL'!$B$3+$H210)</f>
        <v/>
      </c>
      <c r="J210" s="21">
        <f>IF($A210="","",MAX($I$4:$I210))</f>
        <v/>
      </c>
      <c r="K210" s="21">
        <f>IF($A210="","",$I210-$J210)</f>
        <v/>
      </c>
      <c r="L210" s="22">
        <f>IF($A210="","",IF($J210=0,"",$K210/$J210))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  <c r="I211" s="21">
        <f>IF($A211="","",'Total PnL'!$B$3+$H211)</f>
        <v/>
      </c>
      <c r="J211" s="21">
        <f>IF($A211="","",MAX($I$4:$I211))</f>
        <v/>
      </c>
      <c r="K211" s="21">
        <f>IF($A211="","",$I211-$J211)</f>
        <v/>
      </c>
      <c r="L211" s="22">
        <f>IF($A211="","",IF($J211=0,"",$K211/$J211))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  <c r="I212" s="21">
        <f>IF($A212="","",'Total PnL'!$B$3+$H212)</f>
        <v/>
      </c>
      <c r="J212" s="21">
        <f>IF($A212="","",MAX($I$4:$I212))</f>
        <v/>
      </c>
      <c r="K212" s="21">
        <f>IF($A212="","",$I212-$J212)</f>
        <v/>
      </c>
      <c r="L212" s="22">
        <f>IF($A212="","",IF($J212=0,"",$K212/$J212))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  <c r="I213" s="21">
        <f>IF($A213="","",'Total PnL'!$B$3+$H213)</f>
        <v/>
      </c>
      <c r="J213" s="21">
        <f>IF($A213="","",MAX($I$4:$I213))</f>
        <v/>
      </c>
      <c r="K213" s="21">
        <f>IF($A213="","",$I213-$J213)</f>
        <v/>
      </c>
      <c r="L213" s="22">
        <f>IF($A213="","",IF($J213=0,"",$K213/$J213))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  <c r="I214" s="21">
        <f>IF($A214="","",'Total PnL'!$B$3+$H214)</f>
        <v/>
      </c>
      <c r="J214" s="21">
        <f>IF($A214="","",MAX($I$4:$I214))</f>
        <v/>
      </c>
      <c r="K214" s="21">
        <f>IF($A214="","",$I214-$J214)</f>
        <v/>
      </c>
      <c r="L214" s="22">
        <f>IF($A214="","",IF($J214=0,"",$K214/$J214))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  <c r="I215" s="21">
        <f>IF($A215="","",'Total PnL'!$B$3+$H215)</f>
        <v/>
      </c>
      <c r="J215" s="21">
        <f>IF($A215="","",MAX($I$4:$I215))</f>
        <v/>
      </c>
      <c r="K215" s="21">
        <f>IF($A215="","",$I215-$J215)</f>
        <v/>
      </c>
      <c r="L215" s="22">
        <f>IF($A215="","",IF($J215=0,"",$K215/$J215))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  <c r="I216" s="21">
        <f>IF($A216="","",'Total PnL'!$B$3+$H216)</f>
        <v/>
      </c>
      <c r="J216" s="21">
        <f>IF($A216="","",MAX($I$4:$I216))</f>
        <v/>
      </c>
      <c r="K216" s="21">
        <f>IF($A216="","",$I216-$J216)</f>
        <v/>
      </c>
      <c r="L216" s="22">
        <f>IF($A216="","",IF($J216=0,"",$K216/$J216))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  <c r="I217" s="21">
        <f>IF($A217="","",'Total PnL'!$B$3+$H217)</f>
        <v/>
      </c>
      <c r="J217" s="21">
        <f>IF($A217="","",MAX($I$4:$I217))</f>
        <v/>
      </c>
      <c r="K217" s="21">
        <f>IF($A217="","",$I217-$J217)</f>
        <v/>
      </c>
      <c r="L217" s="22">
        <f>IF($A217="","",IF($J217=0,"",$K217/$J217))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  <c r="I218" s="21">
        <f>IF($A218="","",'Total PnL'!$B$3+$H218)</f>
        <v/>
      </c>
      <c r="J218" s="21">
        <f>IF($A218="","",MAX($I$4:$I218))</f>
        <v/>
      </c>
      <c r="K218" s="21">
        <f>IF($A218="","",$I218-$J218)</f>
        <v/>
      </c>
      <c r="L218" s="22">
        <f>IF($A218="","",IF($J218=0,"",$K218/$J218))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  <c r="I219" s="21">
        <f>IF($A219="","",'Total PnL'!$B$3+$H219)</f>
        <v/>
      </c>
      <c r="J219" s="21">
        <f>IF($A219="","",MAX($I$4:$I219))</f>
        <v/>
      </c>
      <c r="K219" s="21">
        <f>IF($A219="","",$I219-$J219)</f>
        <v/>
      </c>
      <c r="L219" s="22">
        <f>IF($A219="","",IF($J219=0,"",$K219/$J219))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  <c r="I220" s="21">
        <f>IF($A220="","",'Total PnL'!$B$3+$H220)</f>
        <v/>
      </c>
      <c r="J220" s="21">
        <f>IF($A220="","",MAX($I$4:$I220))</f>
        <v/>
      </c>
      <c r="K220" s="21">
        <f>IF($A220="","",$I220-$J220)</f>
        <v/>
      </c>
      <c r="L220" s="22">
        <f>IF($A220="","",IF($J220=0,"",$K220/$J220))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  <c r="I221" s="21">
        <f>IF($A221="","",'Total PnL'!$B$3+$H221)</f>
        <v/>
      </c>
      <c r="J221" s="21">
        <f>IF($A221="","",MAX($I$4:$I221))</f>
        <v/>
      </c>
      <c r="K221" s="21">
        <f>IF($A221="","",$I221-$J221)</f>
        <v/>
      </c>
      <c r="L221" s="22">
        <f>IF($A221="","",IF($J221=0,"",$K221/$J221))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  <c r="I222" s="21">
        <f>IF($A222="","",'Total PnL'!$B$3+$H222)</f>
        <v/>
      </c>
      <c r="J222" s="21">
        <f>IF($A222="","",MAX($I$4:$I222))</f>
        <v/>
      </c>
      <c r="K222" s="21">
        <f>IF($A222="","",$I222-$J222)</f>
        <v/>
      </c>
      <c r="L222" s="22">
        <f>IF($A222="","",IF($J222=0,"",$K222/$J222))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  <c r="I223" s="21">
        <f>IF($A223="","",'Total PnL'!$B$3+$H223)</f>
        <v/>
      </c>
      <c r="J223" s="21">
        <f>IF($A223="","",MAX($I$4:$I223))</f>
        <v/>
      </c>
      <c r="K223" s="21">
        <f>IF($A223="","",$I223-$J223)</f>
        <v/>
      </c>
      <c r="L223" s="22">
        <f>IF($A223="","",IF($J223=0,"",$K223/$J223))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  <c r="I224" s="21">
        <f>IF($A224="","",'Total PnL'!$B$3+$H224)</f>
        <v/>
      </c>
      <c r="J224" s="21">
        <f>IF($A224="","",MAX($I$4:$I224))</f>
        <v/>
      </c>
      <c r="K224" s="21">
        <f>IF($A224="","",$I224-$J224)</f>
        <v/>
      </c>
      <c r="L224" s="22">
        <f>IF($A224="","",IF($J224=0,"",$K224/$J224))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  <c r="I225" s="21">
        <f>IF($A225="","",'Total PnL'!$B$3+$H225)</f>
        <v/>
      </c>
      <c r="J225" s="21">
        <f>IF($A225="","",MAX($I$4:$I225))</f>
        <v/>
      </c>
      <c r="K225" s="21">
        <f>IF($A225="","",$I225-$J225)</f>
        <v/>
      </c>
      <c r="L225" s="22">
        <f>IF($A225="","",IF($J225=0,"",$K225/$J225))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  <c r="I226" s="21">
        <f>IF($A226="","",'Total PnL'!$B$3+$H226)</f>
        <v/>
      </c>
      <c r="J226" s="21">
        <f>IF($A226="","",MAX($I$4:$I226))</f>
        <v/>
      </c>
      <c r="K226" s="21">
        <f>IF($A226="","",$I226-$J226)</f>
        <v/>
      </c>
      <c r="L226" s="22">
        <f>IF($A226="","",IF($J226=0,"",$K226/$J226))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  <c r="I227" s="21">
        <f>IF($A227="","",'Total PnL'!$B$3+$H227)</f>
        <v/>
      </c>
      <c r="J227" s="21">
        <f>IF($A227="","",MAX($I$4:$I227))</f>
        <v/>
      </c>
      <c r="K227" s="21">
        <f>IF($A227="","",$I227-$J227)</f>
        <v/>
      </c>
      <c r="L227" s="22">
        <f>IF($A227="","",IF($J227=0,"",$K227/$J227))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  <c r="I228" s="21">
        <f>IF($A228="","",'Total PnL'!$B$3+$H228)</f>
        <v/>
      </c>
      <c r="J228" s="21">
        <f>IF($A228="","",MAX($I$4:$I228))</f>
        <v/>
      </c>
      <c r="K228" s="21">
        <f>IF($A228="","",$I228-$J228)</f>
        <v/>
      </c>
      <c r="L228" s="22">
        <f>IF($A228="","",IF($J228=0,"",$K228/$J228))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  <c r="I229" s="21">
        <f>IF($A229="","",'Total PnL'!$B$3+$H229)</f>
        <v/>
      </c>
      <c r="J229" s="21">
        <f>IF($A229="","",MAX($I$4:$I229))</f>
        <v/>
      </c>
      <c r="K229" s="21">
        <f>IF($A229="","",$I229-$J229)</f>
        <v/>
      </c>
      <c r="L229" s="22">
        <f>IF($A229="","",IF($J229=0,"",$K229/$J229))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  <c r="I230" s="21">
        <f>IF($A230="","",'Total PnL'!$B$3+$H230)</f>
        <v/>
      </c>
      <c r="J230" s="21">
        <f>IF($A230="","",MAX($I$4:$I230))</f>
        <v/>
      </c>
      <c r="K230" s="21">
        <f>IF($A230="","",$I230-$J230)</f>
        <v/>
      </c>
      <c r="L230" s="22">
        <f>IF($A230="","",IF($J230=0,"",$K230/$J230))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  <c r="I231" s="21">
        <f>IF($A231="","",'Total PnL'!$B$3+$H231)</f>
        <v/>
      </c>
      <c r="J231" s="21">
        <f>IF($A231="","",MAX($I$4:$I231))</f>
        <v/>
      </c>
      <c r="K231" s="21">
        <f>IF($A231="","",$I231-$J231)</f>
        <v/>
      </c>
      <c r="L231" s="22">
        <f>IF($A231="","",IF($J231=0,"",$K231/$J231))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  <c r="I232" s="21">
        <f>IF($A232="","",'Total PnL'!$B$3+$H232)</f>
        <v/>
      </c>
      <c r="J232" s="21">
        <f>IF($A232="","",MAX($I$4:$I232))</f>
        <v/>
      </c>
      <c r="K232" s="21">
        <f>IF($A232="","",$I232-$J232)</f>
        <v/>
      </c>
      <c r="L232" s="22">
        <f>IF($A232="","",IF($J232=0,"",$K232/$J232))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  <c r="I233" s="21">
        <f>IF($A233="","",'Total PnL'!$B$3+$H233)</f>
        <v/>
      </c>
      <c r="J233" s="21">
        <f>IF($A233="","",MAX($I$4:$I233))</f>
        <v/>
      </c>
      <c r="K233" s="21">
        <f>IF($A233="","",$I233-$J233)</f>
        <v/>
      </c>
      <c r="L233" s="22">
        <f>IF($A233="","",IF($J233=0,"",$K233/$J233))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  <c r="I234" s="21">
        <f>IF($A234="","",'Total PnL'!$B$3+$H234)</f>
        <v/>
      </c>
      <c r="J234" s="21">
        <f>IF($A234="","",MAX($I$4:$I234))</f>
        <v/>
      </c>
      <c r="K234" s="21">
        <f>IF($A234="","",$I234-$J234)</f>
        <v/>
      </c>
      <c r="L234" s="22">
        <f>IF($A234="","",IF($J234=0,"",$K234/$J234))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  <c r="I235" s="21">
        <f>IF($A235="","",'Total PnL'!$B$3+$H235)</f>
        <v/>
      </c>
      <c r="J235" s="21">
        <f>IF($A235="","",MAX($I$4:$I235))</f>
        <v/>
      </c>
      <c r="K235" s="21">
        <f>IF($A235="","",$I235-$J235)</f>
        <v/>
      </c>
      <c r="L235" s="22">
        <f>IF($A235="","",IF($J235=0,"",$K235/$J235))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  <c r="I236" s="21">
        <f>IF($A236="","",'Total PnL'!$B$3+$H236)</f>
        <v/>
      </c>
      <c r="J236" s="21">
        <f>IF($A236="","",MAX($I$4:$I236))</f>
        <v/>
      </c>
      <c r="K236" s="21">
        <f>IF($A236="","",$I236-$J236)</f>
        <v/>
      </c>
      <c r="L236" s="22">
        <f>IF($A236="","",IF($J236=0,"",$K236/$J236))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  <c r="I237" s="21">
        <f>IF($A237="","",'Total PnL'!$B$3+$H237)</f>
        <v/>
      </c>
      <c r="J237" s="21">
        <f>IF($A237="","",MAX($I$4:$I237))</f>
        <v/>
      </c>
      <c r="K237" s="21">
        <f>IF($A237="","",$I237-$J237)</f>
        <v/>
      </c>
      <c r="L237" s="22">
        <f>IF($A237="","",IF($J237=0,"",$K237/$J237))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  <c r="I238" s="21">
        <f>IF($A238="","",'Total PnL'!$B$3+$H238)</f>
        <v/>
      </c>
      <c r="J238" s="21">
        <f>IF($A238="","",MAX($I$4:$I238))</f>
        <v/>
      </c>
      <c r="K238" s="21">
        <f>IF($A238="","",$I238-$J238)</f>
        <v/>
      </c>
      <c r="L238" s="22">
        <f>IF($A238="","",IF($J238=0,"",$K238/$J238))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  <c r="I239" s="21">
        <f>IF($A239="","",'Total PnL'!$B$3+$H239)</f>
        <v/>
      </c>
      <c r="J239" s="21">
        <f>IF($A239="","",MAX($I$4:$I239))</f>
        <v/>
      </c>
      <c r="K239" s="21">
        <f>IF($A239="","",$I239-$J239)</f>
        <v/>
      </c>
      <c r="L239" s="22">
        <f>IF($A239="","",IF($J239=0,"",$K239/$J239))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  <c r="I240" s="21">
        <f>IF($A240="","",'Total PnL'!$B$3+$H240)</f>
        <v/>
      </c>
      <c r="J240" s="21">
        <f>IF($A240="","",MAX($I$4:$I240))</f>
        <v/>
      </c>
      <c r="K240" s="21">
        <f>IF($A240="","",$I240-$J240)</f>
        <v/>
      </c>
      <c r="L240" s="22">
        <f>IF($A240="","",IF($J240=0,"",$K240/$J240))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  <c r="I241" s="21">
        <f>IF($A241="","",'Total PnL'!$B$3+$H241)</f>
        <v/>
      </c>
      <c r="J241" s="21">
        <f>IF($A241="","",MAX($I$4:$I241))</f>
        <v/>
      </c>
      <c r="K241" s="21">
        <f>IF($A241="","",$I241-$J241)</f>
        <v/>
      </c>
      <c r="L241" s="22">
        <f>IF($A241="","",IF($J241=0,"",$K241/$J241))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  <c r="I242" s="21">
        <f>IF($A242="","",'Total PnL'!$B$3+$H242)</f>
        <v/>
      </c>
      <c r="J242" s="21">
        <f>IF($A242="","",MAX($I$4:$I242))</f>
        <v/>
      </c>
      <c r="K242" s="21">
        <f>IF($A242="","",$I242-$J242)</f>
        <v/>
      </c>
      <c r="L242" s="22">
        <f>IF($A242="","",IF($J242=0,"",$K242/$J242))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  <c r="I243" s="21">
        <f>IF($A243="","",'Total PnL'!$B$3+$H243)</f>
        <v/>
      </c>
      <c r="J243" s="21">
        <f>IF($A243="","",MAX($I$4:$I243))</f>
        <v/>
      </c>
      <c r="K243" s="21">
        <f>IF($A243="","",$I243-$J243)</f>
        <v/>
      </c>
      <c r="L243" s="22">
        <f>IF($A243="","",IF($J243=0,"",$K243/$J243))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  <c r="I244" s="21">
        <f>IF($A244="","",'Total PnL'!$B$3+$H244)</f>
        <v/>
      </c>
      <c r="J244" s="21">
        <f>IF($A244="","",MAX($I$4:$I244))</f>
        <v/>
      </c>
      <c r="K244" s="21">
        <f>IF($A244="","",$I244-$J244)</f>
        <v/>
      </c>
      <c r="L244" s="22">
        <f>IF($A244="","",IF($J244=0,"",$K244/$J244))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  <c r="I245" s="21">
        <f>IF($A245="","",'Total PnL'!$B$3+$H245)</f>
        <v/>
      </c>
      <c r="J245" s="21">
        <f>IF($A245="","",MAX($I$4:$I245))</f>
        <v/>
      </c>
      <c r="K245" s="21">
        <f>IF($A245="","",$I245-$J245)</f>
        <v/>
      </c>
      <c r="L245" s="22">
        <f>IF($A245="","",IF($J245=0,"",$K245/$J245))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  <c r="I246" s="21">
        <f>IF($A246="","",'Total PnL'!$B$3+$H246)</f>
        <v/>
      </c>
      <c r="J246" s="21">
        <f>IF($A246="","",MAX($I$4:$I246))</f>
        <v/>
      </c>
      <c r="K246" s="21">
        <f>IF($A246="","",$I246-$J246)</f>
        <v/>
      </c>
      <c r="L246" s="22">
        <f>IF($A246="","",IF($J246=0,"",$K246/$J246))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  <c r="I247" s="21">
        <f>IF($A247="","",'Total PnL'!$B$3+$H247)</f>
        <v/>
      </c>
      <c r="J247" s="21">
        <f>IF($A247="","",MAX($I$4:$I247))</f>
        <v/>
      </c>
      <c r="K247" s="21">
        <f>IF($A247="","",$I247-$J247)</f>
        <v/>
      </c>
      <c r="L247" s="22">
        <f>IF($A247="","",IF($J247=0,"",$K247/$J247))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  <c r="I248" s="21">
        <f>IF($A248="","",'Total PnL'!$B$3+$H248)</f>
        <v/>
      </c>
      <c r="J248" s="21">
        <f>IF($A248="","",MAX($I$4:$I248))</f>
        <v/>
      </c>
      <c r="K248" s="21">
        <f>IF($A248="","",$I248-$J248)</f>
        <v/>
      </c>
      <c r="L248" s="22">
        <f>IF($A248="","",IF($J248=0,"",$K248/$J248))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  <c r="I249" s="21">
        <f>IF($A249="","",'Total PnL'!$B$3+$H249)</f>
        <v/>
      </c>
      <c r="J249" s="21">
        <f>IF($A249="","",MAX($I$4:$I249))</f>
        <v/>
      </c>
      <c r="K249" s="21">
        <f>IF($A249="","",$I249-$J249)</f>
        <v/>
      </c>
      <c r="L249" s="22">
        <f>IF($A249="","",IF($J249=0,"",$K249/$J249))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  <c r="I250" s="21">
        <f>IF($A250="","",'Total PnL'!$B$3+$H250)</f>
        <v/>
      </c>
      <c r="J250" s="21">
        <f>IF($A250="","",MAX($I$4:$I250))</f>
        <v/>
      </c>
      <c r="K250" s="21">
        <f>IF($A250="","",$I250-$J250)</f>
        <v/>
      </c>
      <c r="L250" s="22">
        <f>IF($A250="","",IF($J250=0,"",$K250/$J250))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  <c r="I251" s="21">
        <f>IF($A251="","",'Total PnL'!$B$3+$H251)</f>
        <v/>
      </c>
      <c r="J251" s="21">
        <f>IF($A251="","",MAX($I$4:$I251))</f>
        <v/>
      </c>
      <c r="K251" s="21">
        <f>IF($A251="","",$I251-$J251)</f>
        <v/>
      </c>
      <c r="L251" s="22">
        <f>IF($A251="","",IF($J251=0,"",$K251/$J251))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  <c r="I252" s="21">
        <f>IF($A252="","",'Total PnL'!$B$3+$H252)</f>
        <v/>
      </c>
      <c r="J252" s="21">
        <f>IF($A252="","",MAX($I$4:$I252))</f>
        <v/>
      </c>
      <c r="K252" s="21">
        <f>IF($A252="","",$I252-$J252)</f>
        <v/>
      </c>
      <c r="L252" s="22">
        <f>IF($A252="","",IF($J252=0,"",$K252/$J252))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  <c r="I253" s="21">
        <f>IF($A253="","",'Total PnL'!$B$3+$H253)</f>
        <v/>
      </c>
      <c r="J253" s="21">
        <f>IF($A253="","",MAX($I$4:$I253))</f>
        <v/>
      </c>
      <c r="K253" s="21">
        <f>IF($A253="","",$I253-$J253)</f>
        <v/>
      </c>
      <c r="L253" s="22">
        <f>IF($A253="","",IF($J253=0,"",$K253/$J253))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  <c r="I254" s="21">
        <f>IF($A254="","",'Total PnL'!$B$3+$H254)</f>
        <v/>
      </c>
      <c r="J254" s="21">
        <f>IF($A254="","",MAX($I$4:$I254))</f>
        <v/>
      </c>
      <c r="K254" s="21">
        <f>IF($A254="","",$I254-$J254)</f>
        <v/>
      </c>
      <c r="L254" s="22">
        <f>IF($A254="","",IF($J254=0,"",$K254/$J254))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  <c r="I255" s="21">
        <f>IF($A255="","",'Total PnL'!$B$3+$H255)</f>
        <v/>
      </c>
      <c r="J255" s="21">
        <f>IF($A255="","",MAX($I$4:$I255))</f>
        <v/>
      </c>
      <c r="K255" s="21">
        <f>IF($A255="","",$I255-$J255)</f>
        <v/>
      </c>
      <c r="L255" s="22">
        <f>IF($A255="","",IF($J255=0,"",$K255/$J255))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  <c r="I256" s="21">
        <f>IF($A256="","",'Total PnL'!$B$3+$H256)</f>
        <v/>
      </c>
      <c r="J256" s="21">
        <f>IF($A256="","",MAX($I$4:$I256))</f>
        <v/>
      </c>
      <c r="K256" s="21">
        <f>IF($A256="","",$I256-$J256)</f>
        <v/>
      </c>
      <c r="L256" s="22">
        <f>IF($A256="","",IF($J256=0,"",$K256/$J256))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  <c r="I257" s="21">
        <f>IF($A257="","",'Total PnL'!$B$3+$H257)</f>
        <v/>
      </c>
      <c r="J257" s="21">
        <f>IF($A257="","",MAX($I$4:$I257))</f>
        <v/>
      </c>
      <c r="K257" s="21">
        <f>IF($A257="","",$I257-$J257)</f>
        <v/>
      </c>
      <c r="L257" s="22">
        <f>IF($A257="","",IF($J257=0,"",$K257/$J257))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  <c r="I258" s="21">
        <f>IF($A258="","",'Total PnL'!$B$3+$H258)</f>
        <v/>
      </c>
      <c r="J258" s="21">
        <f>IF($A258="","",MAX($I$4:$I258))</f>
        <v/>
      </c>
      <c r="K258" s="21">
        <f>IF($A258="","",$I258-$J258)</f>
        <v/>
      </c>
      <c r="L258" s="22">
        <f>IF($A258="","",IF($J258=0,"",$K258/$J258))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  <c r="I259" s="21">
        <f>IF($A259="","",'Total PnL'!$B$3+$H259)</f>
        <v/>
      </c>
      <c r="J259" s="21">
        <f>IF($A259="","",MAX($I$4:$I259))</f>
        <v/>
      </c>
      <c r="K259" s="21">
        <f>IF($A259="","",$I259-$J259)</f>
        <v/>
      </c>
      <c r="L259" s="22">
        <f>IF($A259="","",IF($J259=0,"",$K259/$J259))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  <c r="I260" s="21">
        <f>IF($A260="","",'Total PnL'!$B$3+$H260)</f>
        <v/>
      </c>
      <c r="J260" s="21">
        <f>IF($A260="","",MAX($I$4:$I260))</f>
        <v/>
      </c>
      <c r="K260" s="21">
        <f>IF($A260="","",$I260-$J260)</f>
        <v/>
      </c>
      <c r="L260" s="22">
        <f>IF($A260="","",IF($J260=0,"",$K260/$J260))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  <c r="I261" s="21">
        <f>IF($A261="","",'Total PnL'!$B$3+$H261)</f>
        <v/>
      </c>
      <c r="J261" s="21">
        <f>IF($A261="","",MAX($I$4:$I261))</f>
        <v/>
      </c>
      <c r="K261" s="21">
        <f>IF($A261="","",$I261-$J261)</f>
        <v/>
      </c>
      <c r="L261" s="22">
        <f>IF($A261="","",IF($J261=0,"",$K261/$J261))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  <c r="I262" s="21">
        <f>IF($A262="","",'Total PnL'!$B$3+$H262)</f>
        <v/>
      </c>
      <c r="J262" s="21">
        <f>IF($A262="","",MAX($I$4:$I262))</f>
        <v/>
      </c>
      <c r="K262" s="21">
        <f>IF($A262="","",$I262-$J262)</f>
        <v/>
      </c>
      <c r="L262" s="22">
        <f>IF($A262="","",IF($J262=0,"",$K262/$J262))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  <c r="I263" s="21">
        <f>IF($A263="","",'Total PnL'!$B$3+$H263)</f>
        <v/>
      </c>
      <c r="J263" s="21">
        <f>IF($A263="","",MAX($I$4:$I263))</f>
        <v/>
      </c>
      <c r="K263" s="21">
        <f>IF($A263="","",$I263-$J263)</f>
        <v/>
      </c>
      <c r="L263" s="22">
        <f>IF($A263="","",IF($J263=0,"",$K263/$J263))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  <c r="I264" s="21">
        <f>IF($A264="","",'Total PnL'!$B$3+$H264)</f>
        <v/>
      </c>
      <c r="J264" s="21">
        <f>IF($A264="","",MAX($I$4:$I264))</f>
        <v/>
      </c>
      <c r="K264" s="21">
        <f>IF($A264="","",$I264-$J264)</f>
        <v/>
      </c>
      <c r="L264" s="22">
        <f>IF($A264="","",IF($J264=0,"",$K264/$J264))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  <c r="I265" s="21">
        <f>IF($A265="","",'Total PnL'!$B$3+$H265)</f>
        <v/>
      </c>
      <c r="J265" s="21">
        <f>IF($A265="","",MAX($I$4:$I265))</f>
        <v/>
      </c>
      <c r="K265" s="21">
        <f>IF($A265="","",$I265-$J265)</f>
        <v/>
      </c>
      <c r="L265" s="22">
        <f>IF($A265="","",IF($J265=0,"",$K265/$J265))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  <c r="I266" s="21">
        <f>IF($A266="","",'Total PnL'!$B$3+$H266)</f>
        <v/>
      </c>
      <c r="J266" s="21">
        <f>IF($A266="","",MAX($I$4:$I266))</f>
        <v/>
      </c>
      <c r="K266" s="21">
        <f>IF($A266="","",$I266-$J266)</f>
        <v/>
      </c>
      <c r="L266" s="22">
        <f>IF($A266="","",IF($J266=0,"",$K266/$J266))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  <c r="I267" s="21">
        <f>IF($A267="","",'Total PnL'!$B$3+$H267)</f>
        <v/>
      </c>
      <c r="J267" s="21">
        <f>IF($A267="","",MAX($I$4:$I267))</f>
        <v/>
      </c>
      <c r="K267" s="21">
        <f>IF($A267="","",$I267-$J267)</f>
        <v/>
      </c>
      <c r="L267" s="22">
        <f>IF($A267="","",IF($J267=0,"",$K267/$J267))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  <c r="I268" s="21">
        <f>IF($A268="","",'Total PnL'!$B$3+$H268)</f>
        <v/>
      </c>
      <c r="J268" s="21">
        <f>IF($A268="","",MAX($I$4:$I268))</f>
        <v/>
      </c>
      <c r="K268" s="21">
        <f>IF($A268="","",$I268-$J268)</f>
        <v/>
      </c>
      <c r="L268" s="22">
        <f>IF($A268="","",IF($J268=0,"",$K268/$J268))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  <c r="I269" s="21">
        <f>IF($A269="","",'Total PnL'!$B$3+$H269)</f>
        <v/>
      </c>
      <c r="J269" s="21">
        <f>IF($A269="","",MAX($I$4:$I269))</f>
        <v/>
      </c>
      <c r="K269" s="21">
        <f>IF($A269="","",$I269-$J269)</f>
        <v/>
      </c>
      <c r="L269" s="22">
        <f>IF($A269="","",IF($J269=0,"",$K269/$J269))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  <c r="I270" s="21">
        <f>IF($A270="","",'Total PnL'!$B$3+$H270)</f>
        <v/>
      </c>
      <c r="J270" s="21">
        <f>IF($A270="","",MAX($I$4:$I270))</f>
        <v/>
      </c>
      <c r="K270" s="21">
        <f>IF($A270="","",$I270-$J270)</f>
        <v/>
      </c>
      <c r="L270" s="22">
        <f>IF($A270="","",IF($J270=0,"",$K270/$J270))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  <c r="I271" s="21">
        <f>IF($A271="","",'Total PnL'!$B$3+$H271)</f>
        <v/>
      </c>
      <c r="J271" s="21">
        <f>IF($A271="","",MAX($I$4:$I271))</f>
        <v/>
      </c>
      <c r="K271" s="21">
        <f>IF($A271="","",$I271-$J271)</f>
        <v/>
      </c>
      <c r="L271" s="22">
        <f>IF($A271="","",IF($J271=0,"",$K271/$J271))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  <c r="I272" s="21">
        <f>IF($A272="","",'Total PnL'!$B$3+$H272)</f>
        <v/>
      </c>
      <c r="J272" s="21">
        <f>IF($A272="","",MAX($I$4:$I272))</f>
        <v/>
      </c>
      <c r="K272" s="21">
        <f>IF($A272="","",$I272-$J272)</f>
        <v/>
      </c>
      <c r="L272" s="22">
        <f>IF($A272="","",IF($J272=0,"",$K272/$J272))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  <c r="I273" s="21">
        <f>IF($A273="","",'Total PnL'!$B$3+$H273)</f>
        <v/>
      </c>
      <c r="J273" s="21">
        <f>IF($A273="","",MAX($I$4:$I273))</f>
        <v/>
      </c>
      <c r="K273" s="21">
        <f>IF($A273="","",$I273-$J273)</f>
        <v/>
      </c>
      <c r="L273" s="22">
        <f>IF($A273="","",IF($J273=0,"",$K273/$J273))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  <c r="I274" s="21">
        <f>IF($A274="","",'Total PnL'!$B$3+$H274)</f>
        <v/>
      </c>
      <c r="J274" s="21">
        <f>IF($A274="","",MAX($I$4:$I274))</f>
        <v/>
      </c>
      <c r="K274" s="21">
        <f>IF($A274="","",$I274-$J274)</f>
        <v/>
      </c>
      <c r="L274" s="22">
        <f>IF($A274="","",IF($J274=0,"",$K274/$J274))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  <c r="I275" s="21">
        <f>IF($A275="","",'Total PnL'!$B$3+$H275)</f>
        <v/>
      </c>
      <c r="J275" s="21">
        <f>IF($A275="","",MAX($I$4:$I275))</f>
        <v/>
      </c>
      <c r="K275" s="21">
        <f>IF($A275="","",$I275-$J275)</f>
        <v/>
      </c>
      <c r="L275" s="22">
        <f>IF($A275="","",IF($J275=0,"",$K275/$J275))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  <c r="I276" s="21">
        <f>IF($A276="","",'Total PnL'!$B$3+$H276)</f>
        <v/>
      </c>
      <c r="J276" s="21">
        <f>IF($A276="","",MAX($I$4:$I276))</f>
        <v/>
      </c>
      <c r="K276" s="21">
        <f>IF($A276="","",$I276-$J276)</f>
        <v/>
      </c>
      <c r="L276" s="22">
        <f>IF($A276="","",IF($J276=0,"",$K276/$J276))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  <c r="I277" s="21">
        <f>IF($A277="","",'Total PnL'!$B$3+$H277)</f>
        <v/>
      </c>
      <c r="J277" s="21">
        <f>IF($A277="","",MAX($I$4:$I277))</f>
        <v/>
      </c>
      <c r="K277" s="21">
        <f>IF($A277="","",$I277-$J277)</f>
        <v/>
      </c>
      <c r="L277" s="22">
        <f>IF($A277="","",IF($J277=0,"",$K277/$J277))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  <c r="I278" s="21">
        <f>IF($A278="","",'Total PnL'!$B$3+$H278)</f>
        <v/>
      </c>
      <c r="J278" s="21">
        <f>IF($A278="","",MAX($I$4:$I278))</f>
        <v/>
      </c>
      <c r="K278" s="21">
        <f>IF($A278="","",$I278-$J278)</f>
        <v/>
      </c>
      <c r="L278" s="22">
        <f>IF($A278="","",IF($J278=0,"",$K278/$J278))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  <c r="I279" s="21">
        <f>IF($A279="","",'Total PnL'!$B$3+$H279)</f>
        <v/>
      </c>
      <c r="J279" s="21">
        <f>IF($A279="","",MAX($I$4:$I279))</f>
        <v/>
      </c>
      <c r="K279" s="21">
        <f>IF($A279="","",$I279-$J279)</f>
        <v/>
      </c>
      <c r="L279" s="22">
        <f>IF($A279="","",IF($J279=0,"",$K279/$J279))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  <c r="I280" s="21">
        <f>IF($A280="","",'Total PnL'!$B$3+$H280)</f>
        <v/>
      </c>
      <c r="J280" s="21">
        <f>IF($A280="","",MAX($I$4:$I280))</f>
        <v/>
      </c>
      <c r="K280" s="21">
        <f>IF($A280="","",$I280-$J280)</f>
        <v/>
      </c>
      <c r="L280" s="22">
        <f>IF($A280="","",IF($J280=0,"",$K280/$J280))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  <c r="I281" s="21">
        <f>IF($A281="","",'Total PnL'!$B$3+$H281)</f>
        <v/>
      </c>
      <c r="J281" s="21">
        <f>IF($A281="","",MAX($I$4:$I281))</f>
        <v/>
      </c>
      <c r="K281" s="21">
        <f>IF($A281="","",$I281-$J281)</f>
        <v/>
      </c>
      <c r="L281" s="22">
        <f>IF($A281="","",IF($J281=0,"",$K281/$J281))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  <c r="I282" s="21">
        <f>IF($A282="","",'Total PnL'!$B$3+$H282)</f>
        <v/>
      </c>
      <c r="J282" s="21">
        <f>IF($A282="","",MAX($I$4:$I282))</f>
        <v/>
      </c>
      <c r="K282" s="21">
        <f>IF($A282="","",$I282-$J282)</f>
        <v/>
      </c>
      <c r="L282" s="22">
        <f>IF($A282="","",IF($J282=0,"",$K282/$J282))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  <c r="I283" s="21">
        <f>IF($A283="","",'Total PnL'!$B$3+$H283)</f>
        <v/>
      </c>
      <c r="J283" s="21">
        <f>IF($A283="","",MAX($I$4:$I283))</f>
        <v/>
      </c>
      <c r="K283" s="21">
        <f>IF($A283="","",$I283-$J283)</f>
        <v/>
      </c>
      <c r="L283" s="22">
        <f>IF($A283="","",IF($J283=0,"",$K283/$J283))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  <c r="I284" s="21">
        <f>IF($A284="","",'Total PnL'!$B$3+$H284)</f>
        <v/>
      </c>
      <c r="J284" s="21">
        <f>IF($A284="","",MAX($I$4:$I284))</f>
        <v/>
      </c>
      <c r="K284" s="21">
        <f>IF($A284="","",$I284-$J284)</f>
        <v/>
      </c>
      <c r="L284" s="22">
        <f>IF($A284="","",IF($J284=0,"",$K284/$J284))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  <c r="I285" s="21">
        <f>IF($A285="","",'Total PnL'!$B$3+$H285)</f>
        <v/>
      </c>
      <c r="J285" s="21">
        <f>IF($A285="","",MAX($I$4:$I285))</f>
        <v/>
      </c>
      <c r="K285" s="21">
        <f>IF($A285="","",$I285-$J285)</f>
        <v/>
      </c>
      <c r="L285" s="22">
        <f>IF($A285="","",IF($J285=0,"",$K285/$J285))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  <c r="I286" s="21">
        <f>IF($A286="","",'Total PnL'!$B$3+$H286)</f>
        <v/>
      </c>
      <c r="J286" s="21">
        <f>IF($A286="","",MAX($I$4:$I286))</f>
        <v/>
      </c>
      <c r="K286" s="21">
        <f>IF($A286="","",$I286-$J286)</f>
        <v/>
      </c>
      <c r="L286" s="22">
        <f>IF($A286="","",IF($J286=0,"",$K286/$J286))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  <c r="I287" s="21">
        <f>IF($A287="","",'Total PnL'!$B$3+$H287)</f>
        <v/>
      </c>
      <c r="J287" s="21">
        <f>IF($A287="","",MAX($I$4:$I287))</f>
        <v/>
      </c>
      <c r="K287" s="21">
        <f>IF($A287="","",$I287-$J287)</f>
        <v/>
      </c>
      <c r="L287" s="22">
        <f>IF($A287="","",IF($J287=0,"",$K287/$J287))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  <c r="I288" s="21">
        <f>IF($A288="","",'Total PnL'!$B$3+$H288)</f>
        <v/>
      </c>
      <c r="J288" s="21">
        <f>IF($A288="","",MAX($I$4:$I288))</f>
        <v/>
      </c>
      <c r="K288" s="21">
        <f>IF($A288="","",$I288-$J288)</f>
        <v/>
      </c>
      <c r="L288" s="22">
        <f>IF($A288="","",IF($J288=0,"",$K288/$J288))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  <c r="I289" s="21">
        <f>IF($A289="","",'Total PnL'!$B$3+$H289)</f>
        <v/>
      </c>
      <c r="J289" s="21">
        <f>IF($A289="","",MAX($I$4:$I289))</f>
        <v/>
      </c>
      <c r="K289" s="21">
        <f>IF($A289="","",$I289-$J289)</f>
        <v/>
      </c>
      <c r="L289" s="22">
        <f>IF($A289="","",IF($J289=0,"",$K289/$J289))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  <c r="I290" s="21">
        <f>IF($A290="","",'Total PnL'!$B$3+$H290)</f>
        <v/>
      </c>
      <c r="J290" s="21">
        <f>IF($A290="","",MAX($I$4:$I290))</f>
        <v/>
      </c>
      <c r="K290" s="21">
        <f>IF($A290="","",$I290-$J290)</f>
        <v/>
      </c>
      <c r="L290" s="22">
        <f>IF($A290="","",IF($J290=0,"",$K290/$J290))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  <c r="I291" s="21">
        <f>IF($A291="","",'Total PnL'!$B$3+$H291)</f>
        <v/>
      </c>
      <c r="J291" s="21">
        <f>IF($A291="","",MAX($I$4:$I291))</f>
        <v/>
      </c>
      <c r="K291" s="21">
        <f>IF($A291="","",$I291-$J291)</f>
        <v/>
      </c>
      <c r="L291" s="22">
        <f>IF($A291="","",IF($J291=0,"",$K291/$J291))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  <c r="I292" s="21">
        <f>IF($A292="","",'Total PnL'!$B$3+$H292)</f>
        <v/>
      </c>
      <c r="J292" s="21">
        <f>IF($A292="","",MAX($I$4:$I292))</f>
        <v/>
      </c>
      <c r="K292" s="21">
        <f>IF($A292="","",$I292-$J292)</f>
        <v/>
      </c>
      <c r="L292" s="22">
        <f>IF($A292="","",IF($J292=0,"",$K292/$J292))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  <c r="I293" s="21">
        <f>IF($A293="","",'Total PnL'!$B$3+$H293)</f>
        <v/>
      </c>
      <c r="J293" s="21">
        <f>IF($A293="","",MAX($I$4:$I293))</f>
        <v/>
      </c>
      <c r="K293" s="21">
        <f>IF($A293="","",$I293-$J293)</f>
        <v/>
      </c>
      <c r="L293" s="22">
        <f>IF($A293="","",IF($J293=0,"",$K293/$J293))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  <c r="I294" s="21">
        <f>IF($A294="","",'Total PnL'!$B$3+$H294)</f>
        <v/>
      </c>
      <c r="J294" s="21">
        <f>IF($A294="","",MAX($I$4:$I294))</f>
        <v/>
      </c>
      <c r="K294" s="21">
        <f>IF($A294="","",$I294-$J294)</f>
        <v/>
      </c>
      <c r="L294" s="22">
        <f>IF($A294="","",IF($J294=0,"",$K294/$J294))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  <c r="I295" s="21">
        <f>IF($A295="","",'Total PnL'!$B$3+$H295)</f>
        <v/>
      </c>
      <c r="J295" s="21">
        <f>IF($A295="","",MAX($I$4:$I295))</f>
        <v/>
      </c>
      <c r="K295" s="21">
        <f>IF($A295="","",$I295-$J295)</f>
        <v/>
      </c>
      <c r="L295" s="22">
        <f>IF($A295="","",IF($J295=0,"",$K295/$J295))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  <c r="I296" s="21">
        <f>IF($A296="","",'Total PnL'!$B$3+$H296)</f>
        <v/>
      </c>
      <c r="J296" s="21">
        <f>IF($A296="","",MAX($I$4:$I296))</f>
        <v/>
      </c>
      <c r="K296" s="21">
        <f>IF($A296="","",$I296-$J296)</f>
        <v/>
      </c>
      <c r="L296" s="22">
        <f>IF($A296="","",IF($J296=0,"",$K296/$J296))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  <c r="I297" s="21">
        <f>IF($A297="","",'Total PnL'!$B$3+$H297)</f>
        <v/>
      </c>
      <c r="J297" s="21">
        <f>IF($A297="","",MAX($I$4:$I297))</f>
        <v/>
      </c>
      <c r="K297" s="21">
        <f>IF($A297="","",$I297-$J297)</f>
        <v/>
      </c>
      <c r="L297" s="22">
        <f>IF($A297="","",IF($J297=0,"",$K297/$J297))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  <c r="I298" s="21">
        <f>IF($A298="","",'Total PnL'!$B$3+$H298)</f>
        <v/>
      </c>
      <c r="J298" s="21">
        <f>IF($A298="","",MAX($I$4:$I298))</f>
        <v/>
      </c>
      <c r="K298" s="21">
        <f>IF($A298="","",$I298-$J298)</f>
        <v/>
      </c>
      <c r="L298" s="22">
        <f>IF($A298="","",IF($J298=0,"",$K298/$J298))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  <c r="I299" s="21">
        <f>IF($A299="","",'Total PnL'!$B$3+$H299)</f>
        <v/>
      </c>
      <c r="J299" s="21">
        <f>IF($A299="","",MAX($I$4:$I299))</f>
        <v/>
      </c>
      <c r="K299" s="21">
        <f>IF($A299="","",$I299-$J299)</f>
        <v/>
      </c>
      <c r="L299" s="22">
        <f>IF($A299="","",IF($J299=0,"",$K299/$J299))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  <c r="I300" s="21">
        <f>IF($A300="","",'Total PnL'!$B$3+$H300)</f>
        <v/>
      </c>
      <c r="J300" s="21">
        <f>IF($A300="","",MAX($I$4:$I300))</f>
        <v/>
      </c>
      <c r="K300" s="21">
        <f>IF($A300="","",$I300-$J300)</f>
        <v/>
      </c>
      <c r="L300" s="22">
        <f>IF($A300="","",IF($J300=0,"",$K300/$J300))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  <c r="I301" s="21">
        <f>IF($A301="","",'Total PnL'!$B$3+$H301)</f>
        <v/>
      </c>
      <c r="J301" s="21">
        <f>IF($A301="","",MAX($I$4:$I301))</f>
        <v/>
      </c>
      <c r="K301" s="21">
        <f>IF($A301="","",$I301-$J301)</f>
        <v/>
      </c>
      <c r="L301" s="22">
        <f>IF($A301="","",IF($J301=0,"",$K301/$J301))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  <c r="I302" s="21">
        <f>IF($A302="","",'Total PnL'!$B$3+$H302)</f>
        <v/>
      </c>
      <c r="J302" s="21">
        <f>IF($A302="","",MAX($I$4:$I302))</f>
        <v/>
      </c>
      <c r="K302" s="21">
        <f>IF($A302="","",$I302-$J302)</f>
        <v/>
      </c>
      <c r="L302" s="22">
        <f>IF($A302="","",IF($J302=0,"",$K302/$J302))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  <c r="I303" s="21">
        <f>IF($A303="","",'Total PnL'!$B$3+$H303)</f>
        <v/>
      </c>
      <c r="J303" s="21">
        <f>IF($A303="","",MAX($I$4:$I303))</f>
        <v/>
      </c>
      <c r="K303" s="21">
        <f>IF($A303="","",$I303-$J303)</f>
        <v/>
      </c>
      <c r="L303" s="22">
        <f>IF($A303="","",IF($J303=0,"",$K303/$J303))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  <c r="I304" s="21">
        <f>IF($A304="","",'Total PnL'!$B$3+$H304)</f>
        <v/>
      </c>
      <c r="J304" s="21">
        <f>IF($A304="","",MAX($I$4:$I304))</f>
        <v/>
      </c>
      <c r="K304" s="21">
        <f>IF($A304="","",$I304-$J304)</f>
        <v/>
      </c>
      <c r="L304" s="22">
        <f>IF($A304="","",IF($J304=0,"",$K304/$J304))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  <c r="I305" s="21">
        <f>IF($A305="","",'Total PnL'!$B$3+$H305)</f>
        <v/>
      </c>
      <c r="J305" s="21">
        <f>IF($A305="","",MAX($I$4:$I305))</f>
        <v/>
      </c>
      <c r="K305" s="21">
        <f>IF($A305="","",$I305-$J305)</f>
        <v/>
      </c>
      <c r="L305" s="22">
        <f>IF($A305="","",IF($J305=0,"",$K305/$J305))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  <c r="I306" s="21">
        <f>IF($A306="","",'Total PnL'!$B$3+$H306)</f>
        <v/>
      </c>
      <c r="J306" s="21">
        <f>IF($A306="","",MAX($I$4:$I306))</f>
        <v/>
      </c>
      <c r="K306" s="21">
        <f>IF($A306="","",$I306-$J306)</f>
        <v/>
      </c>
      <c r="L306" s="22">
        <f>IF($A306="","",IF($J306=0,"",$K306/$J306))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  <c r="I307" s="21">
        <f>IF($A307="","",'Total PnL'!$B$3+$H307)</f>
        <v/>
      </c>
      <c r="J307" s="21">
        <f>IF($A307="","",MAX($I$4:$I307))</f>
        <v/>
      </c>
      <c r="K307" s="21">
        <f>IF($A307="","",$I307-$J307)</f>
        <v/>
      </c>
      <c r="L307" s="22">
        <f>IF($A307="","",IF($J307=0,"",$K307/$J307))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  <c r="I308" s="21">
        <f>IF($A308="","",'Total PnL'!$B$3+$H308)</f>
        <v/>
      </c>
      <c r="J308" s="21">
        <f>IF($A308="","",MAX($I$4:$I308))</f>
        <v/>
      </c>
      <c r="K308" s="21">
        <f>IF($A308="","",$I308-$J308)</f>
        <v/>
      </c>
      <c r="L308" s="22">
        <f>IF($A308="","",IF($J308=0,"",$K308/$J308))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  <c r="I309" s="21">
        <f>IF($A309="","",'Total PnL'!$B$3+$H309)</f>
        <v/>
      </c>
      <c r="J309" s="21">
        <f>IF($A309="","",MAX($I$4:$I309))</f>
        <v/>
      </c>
      <c r="K309" s="21">
        <f>IF($A309="","",$I309-$J309)</f>
        <v/>
      </c>
      <c r="L309" s="22">
        <f>IF($A309="","",IF($J309=0,"",$K309/$J309))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  <c r="I310" s="21">
        <f>IF($A310="","",'Total PnL'!$B$3+$H310)</f>
        <v/>
      </c>
      <c r="J310" s="21">
        <f>IF($A310="","",MAX($I$4:$I310))</f>
        <v/>
      </c>
      <c r="K310" s="21">
        <f>IF($A310="","",$I310-$J310)</f>
        <v/>
      </c>
      <c r="L310" s="22">
        <f>IF($A310="","",IF($J310=0,"",$K310/$J310))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  <c r="I311" s="21">
        <f>IF($A311="","",'Total PnL'!$B$3+$H311)</f>
        <v/>
      </c>
      <c r="J311" s="21">
        <f>IF($A311="","",MAX($I$4:$I311))</f>
        <v/>
      </c>
      <c r="K311" s="21">
        <f>IF($A311="","",$I311-$J311)</f>
        <v/>
      </c>
      <c r="L311" s="22">
        <f>IF($A311="","",IF($J311=0,"",$K311/$J311))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  <c r="I312" s="21">
        <f>IF($A312="","",'Total PnL'!$B$3+$H312)</f>
        <v/>
      </c>
      <c r="J312" s="21">
        <f>IF($A312="","",MAX($I$4:$I312))</f>
        <v/>
      </c>
      <c r="K312" s="21">
        <f>IF($A312="","",$I312-$J312)</f>
        <v/>
      </c>
      <c r="L312" s="22">
        <f>IF($A312="","",IF($J312=0,"",$K312/$J312))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  <c r="I313" s="21">
        <f>IF($A313="","",'Total PnL'!$B$3+$H313)</f>
        <v/>
      </c>
      <c r="J313" s="21">
        <f>IF($A313="","",MAX($I$4:$I313))</f>
        <v/>
      </c>
      <c r="K313" s="21">
        <f>IF($A313="","",$I313-$J313)</f>
        <v/>
      </c>
      <c r="L313" s="22">
        <f>IF($A313="","",IF($J313=0,"",$K313/$J313))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  <c r="I314" s="21">
        <f>IF($A314="","",'Total PnL'!$B$3+$H314)</f>
        <v/>
      </c>
      <c r="J314" s="21">
        <f>IF($A314="","",MAX($I$4:$I314))</f>
        <v/>
      </c>
      <c r="K314" s="21">
        <f>IF($A314="","",$I314-$J314)</f>
        <v/>
      </c>
      <c r="L314" s="22">
        <f>IF($A314="","",IF($J314=0,"",$K314/$J314))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  <c r="I315" s="21">
        <f>IF($A315="","",'Total PnL'!$B$3+$H315)</f>
        <v/>
      </c>
      <c r="J315" s="21">
        <f>IF($A315="","",MAX($I$4:$I315))</f>
        <v/>
      </c>
      <c r="K315" s="21">
        <f>IF($A315="","",$I315-$J315)</f>
        <v/>
      </c>
      <c r="L315" s="22">
        <f>IF($A315="","",IF($J315=0,"",$K315/$J315))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  <c r="I316" s="21">
        <f>IF($A316="","",'Total PnL'!$B$3+$H316)</f>
        <v/>
      </c>
      <c r="J316" s="21">
        <f>IF($A316="","",MAX($I$4:$I316))</f>
        <v/>
      </c>
      <c r="K316" s="21">
        <f>IF($A316="","",$I316-$J316)</f>
        <v/>
      </c>
      <c r="L316" s="22">
        <f>IF($A316="","",IF($J316=0,"",$K316/$J316))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  <c r="I317" s="21">
        <f>IF($A317="","",'Total PnL'!$B$3+$H317)</f>
        <v/>
      </c>
      <c r="J317" s="21">
        <f>IF($A317="","",MAX($I$4:$I317))</f>
        <v/>
      </c>
      <c r="K317" s="21">
        <f>IF($A317="","",$I317-$J317)</f>
        <v/>
      </c>
      <c r="L317" s="22">
        <f>IF($A317="","",IF($J317=0,"",$K317/$J317))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  <c r="I318" s="21">
        <f>IF($A318="","",'Total PnL'!$B$3+$H318)</f>
        <v/>
      </c>
      <c r="J318" s="21">
        <f>IF($A318="","",MAX($I$4:$I318))</f>
        <v/>
      </c>
      <c r="K318" s="21">
        <f>IF($A318="","",$I318-$J318)</f>
        <v/>
      </c>
      <c r="L318" s="22">
        <f>IF($A318="","",IF($J318=0,"",$K318/$J318))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  <c r="I319" s="21">
        <f>IF($A319="","",'Total PnL'!$B$3+$H319)</f>
        <v/>
      </c>
      <c r="J319" s="21">
        <f>IF($A319="","",MAX($I$4:$I319))</f>
        <v/>
      </c>
      <c r="K319" s="21">
        <f>IF($A319="","",$I319-$J319)</f>
        <v/>
      </c>
      <c r="L319" s="22">
        <f>IF($A319="","",IF($J319=0,"",$K319/$J319))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  <c r="I320" s="21">
        <f>IF($A320="","",'Total PnL'!$B$3+$H320)</f>
        <v/>
      </c>
      <c r="J320" s="21">
        <f>IF($A320="","",MAX($I$4:$I320))</f>
        <v/>
      </c>
      <c r="K320" s="21">
        <f>IF($A320="","",$I320-$J320)</f>
        <v/>
      </c>
      <c r="L320" s="22">
        <f>IF($A320="","",IF($J320=0,"",$K320/$J320))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  <c r="I321" s="21">
        <f>IF($A321="","",'Total PnL'!$B$3+$H321)</f>
        <v/>
      </c>
      <c r="J321" s="21">
        <f>IF($A321="","",MAX($I$4:$I321))</f>
        <v/>
      </c>
      <c r="K321" s="21">
        <f>IF($A321="","",$I321-$J321)</f>
        <v/>
      </c>
      <c r="L321" s="22">
        <f>IF($A321="","",IF($J321=0,"",$K321/$J321))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  <c r="I322" s="21">
        <f>IF($A322="","",'Total PnL'!$B$3+$H322)</f>
        <v/>
      </c>
      <c r="J322" s="21">
        <f>IF($A322="","",MAX($I$4:$I322))</f>
        <v/>
      </c>
      <c r="K322" s="21">
        <f>IF($A322="","",$I322-$J322)</f>
        <v/>
      </c>
      <c r="L322" s="22">
        <f>IF($A322="","",IF($J322=0,"",$K322/$J322))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  <c r="I323" s="21">
        <f>IF($A323="","",'Total PnL'!$B$3+$H323)</f>
        <v/>
      </c>
      <c r="J323" s="21">
        <f>IF($A323="","",MAX($I$4:$I323))</f>
        <v/>
      </c>
      <c r="K323" s="21">
        <f>IF($A323="","",$I323-$J323)</f>
        <v/>
      </c>
      <c r="L323" s="22">
        <f>IF($A323="","",IF($J323=0,"",$K323/$J323))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  <c r="I324" s="21">
        <f>IF($A324="","",'Total PnL'!$B$3+$H324)</f>
        <v/>
      </c>
      <c r="J324" s="21">
        <f>IF($A324="","",MAX($I$4:$I324))</f>
        <v/>
      </c>
      <c r="K324" s="21">
        <f>IF($A324="","",$I324-$J324)</f>
        <v/>
      </c>
      <c r="L324" s="22">
        <f>IF($A324="","",IF($J324=0,"",$K324/$J324))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  <c r="I325" s="21">
        <f>IF($A325="","",'Total PnL'!$B$3+$H325)</f>
        <v/>
      </c>
      <c r="J325" s="21">
        <f>IF($A325="","",MAX($I$4:$I325))</f>
        <v/>
      </c>
      <c r="K325" s="21">
        <f>IF($A325="","",$I325-$J325)</f>
        <v/>
      </c>
      <c r="L325" s="22">
        <f>IF($A325="","",IF($J325=0,"",$K325/$J325))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  <c r="I326" s="21">
        <f>IF($A326="","",'Total PnL'!$B$3+$H326)</f>
        <v/>
      </c>
      <c r="J326" s="21">
        <f>IF($A326="","",MAX($I$4:$I326))</f>
        <v/>
      </c>
      <c r="K326" s="21">
        <f>IF($A326="","",$I326-$J326)</f>
        <v/>
      </c>
      <c r="L326" s="22">
        <f>IF($A326="","",IF($J326=0,"",$K326/$J326))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  <c r="I327" s="21">
        <f>IF($A327="","",'Total PnL'!$B$3+$H327)</f>
        <v/>
      </c>
      <c r="J327" s="21">
        <f>IF($A327="","",MAX($I$4:$I327))</f>
        <v/>
      </c>
      <c r="K327" s="21">
        <f>IF($A327="","",$I327-$J327)</f>
        <v/>
      </c>
      <c r="L327" s="22">
        <f>IF($A327="","",IF($J327=0,"",$K327/$J327))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  <c r="I328" s="21">
        <f>IF($A328="","",'Total PnL'!$B$3+$H328)</f>
        <v/>
      </c>
      <c r="J328" s="21">
        <f>IF($A328="","",MAX($I$4:$I328))</f>
        <v/>
      </c>
      <c r="K328" s="21">
        <f>IF($A328="","",$I328-$J328)</f>
        <v/>
      </c>
      <c r="L328" s="22">
        <f>IF($A328="","",IF($J328=0,"",$K328/$J328))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  <c r="I329" s="21">
        <f>IF($A329="","",'Total PnL'!$B$3+$H329)</f>
        <v/>
      </c>
      <c r="J329" s="21">
        <f>IF($A329="","",MAX($I$4:$I329))</f>
        <v/>
      </c>
      <c r="K329" s="21">
        <f>IF($A329="","",$I329-$J329)</f>
        <v/>
      </c>
      <c r="L329" s="22">
        <f>IF($A329="","",IF($J329=0,"",$K329/$J329))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  <c r="I330" s="21">
        <f>IF($A330="","",'Total PnL'!$B$3+$H330)</f>
        <v/>
      </c>
      <c r="J330" s="21">
        <f>IF($A330="","",MAX($I$4:$I330))</f>
        <v/>
      </c>
      <c r="K330" s="21">
        <f>IF($A330="","",$I330-$J330)</f>
        <v/>
      </c>
      <c r="L330" s="22">
        <f>IF($A330="","",IF($J330=0,"",$K330/$J330))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  <c r="I331" s="21">
        <f>IF($A331="","",'Total PnL'!$B$3+$H331)</f>
        <v/>
      </c>
      <c r="J331" s="21">
        <f>IF($A331="","",MAX($I$4:$I331))</f>
        <v/>
      </c>
      <c r="K331" s="21">
        <f>IF($A331="","",$I331-$J331)</f>
        <v/>
      </c>
      <c r="L331" s="22">
        <f>IF($A331="","",IF($J331=0,"",$K331/$J331))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  <c r="I332" s="21">
        <f>IF($A332="","",'Total PnL'!$B$3+$H332)</f>
        <v/>
      </c>
      <c r="J332" s="21">
        <f>IF($A332="","",MAX($I$4:$I332))</f>
        <v/>
      </c>
      <c r="K332" s="21">
        <f>IF($A332="","",$I332-$J332)</f>
        <v/>
      </c>
      <c r="L332" s="22">
        <f>IF($A332="","",IF($J332=0,"",$K332/$J332))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  <c r="I333" s="21">
        <f>IF($A333="","",'Total PnL'!$B$3+$H333)</f>
        <v/>
      </c>
      <c r="J333" s="21">
        <f>IF($A333="","",MAX($I$4:$I333))</f>
        <v/>
      </c>
      <c r="K333" s="21">
        <f>IF($A333="","",$I333-$J333)</f>
        <v/>
      </c>
      <c r="L333" s="22">
        <f>IF($A333="","",IF($J333=0,"",$K333/$J333))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  <c r="I334" s="21">
        <f>IF($A334="","",'Total PnL'!$B$3+$H334)</f>
        <v/>
      </c>
      <c r="J334" s="21">
        <f>IF($A334="","",MAX($I$4:$I334))</f>
        <v/>
      </c>
      <c r="K334" s="21">
        <f>IF($A334="","",$I334-$J334)</f>
        <v/>
      </c>
      <c r="L334" s="22">
        <f>IF($A334="","",IF($J334=0,"",$K334/$J334))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  <c r="I335" s="21">
        <f>IF($A335="","",'Total PnL'!$B$3+$H335)</f>
        <v/>
      </c>
      <c r="J335" s="21">
        <f>IF($A335="","",MAX($I$4:$I335))</f>
        <v/>
      </c>
      <c r="K335" s="21">
        <f>IF($A335="","",$I335-$J335)</f>
        <v/>
      </c>
      <c r="L335" s="22">
        <f>IF($A335="","",IF($J335=0,"",$K335/$J335))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  <c r="I336" s="21">
        <f>IF($A336="","",'Total PnL'!$B$3+$H336)</f>
        <v/>
      </c>
      <c r="J336" s="21">
        <f>IF($A336="","",MAX($I$4:$I336))</f>
        <v/>
      </c>
      <c r="K336" s="21">
        <f>IF($A336="","",$I336-$J336)</f>
        <v/>
      </c>
      <c r="L336" s="22">
        <f>IF($A336="","",IF($J336=0,"",$K336/$J336))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  <c r="I337" s="21">
        <f>IF($A337="","",'Total PnL'!$B$3+$H337)</f>
        <v/>
      </c>
      <c r="J337" s="21">
        <f>IF($A337="","",MAX($I$4:$I337))</f>
        <v/>
      </c>
      <c r="K337" s="21">
        <f>IF($A337="","",$I337-$J337)</f>
        <v/>
      </c>
      <c r="L337" s="22">
        <f>IF($A337="","",IF($J337=0,"",$K337/$J337))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  <c r="I338" s="21">
        <f>IF($A338="","",'Total PnL'!$B$3+$H338)</f>
        <v/>
      </c>
      <c r="J338" s="21">
        <f>IF($A338="","",MAX($I$4:$I338))</f>
        <v/>
      </c>
      <c r="K338" s="21">
        <f>IF($A338="","",$I338-$J338)</f>
        <v/>
      </c>
      <c r="L338" s="22">
        <f>IF($A338="","",IF($J338=0,"",$K338/$J338))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  <c r="I339" s="21">
        <f>IF($A339="","",'Total PnL'!$B$3+$H339)</f>
        <v/>
      </c>
      <c r="J339" s="21">
        <f>IF($A339="","",MAX($I$4:$I339))</f>
        <v/>
      </c>
      <c r="K339" s="21">
        <f>IF($A339="","",$I339-$J339)</f>
        <v/>
      </c>
      <c r="L339" s="22">
        <f>IF($A339="","",IF($J339=0,"",$K339/$J339))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  <c r="I340" s="21">
        <f>IF($A340="","",'Total PnL'!$B$3+$H340)</f>
        <v/>
      </c>
      <c r="J340" s="21">
        <f>IF($A340="","",MAX($I$4:$I340))</f>
        <v/>
      </c>
      <c r="K340" s="21">
        <f>IF($A340="","",$I340-$J340)</f>
        <v/>
      </c>
      <c r="L340" s="22">
        <f>IF($A340="","",IF($J340=0,"",$K340/$J340))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  <c r="I341" s="21">
        <f>IF($A341="","",'Total PnL'!$B$3+$H341)</f>
        <v/>
      </c>
      <c r="J341" s="21">
        <f>IF($A341="","",MAX($I$4:$I341))</f>
        <v/>
      </c>
      <c r="K341" s="21">
        <f>IF($A341="","",$I341-$J341)</f>
        <v/>
      </c>
      <c r="L341" s="22">
        <f>IF($A341="","",IF($J341=0,"",$K341/$J341))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  <c r="I342" s="21">
        <f>IF($A342="","",'Total PnL'!$B$3+$H342)</f>
        <v/>
      </c>
      <c r="J342" s="21">
        <f>IF($A342="","",MAX($I$4:$I342))</f>
        <v/>
      </c>
      <c r="K342" s="21">
        <f>IF($A342="","",$I342-$J342)</f>
        <v/>
      </c>
      <c r="L342" s="22">
        <f>IF($A342="","",IF($J342=0,"",$K342/$J342))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  <c r="I343" s="21">
        <f>IF($A343="","",'Total PnL'!$B$3+$H343)</f>
        <v/>
      </c>
      <c r="J343" s="21">
        <f>IF($A343="","",MAX($I$4:$I343))</f>
        <v/>
      </c>
      <c r="K343" s="21">
        <f>IF($A343="","",$I343-$J343)</f>
        <v/>
      </c>
      <c r="L343" s="22">
        <f>IF($A343="","",IF($J343=0,"",$K343/$J343))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  <c r="I344" s="21">
        <f>IF($A344="","",'Total PnL'!$B$3+$H344)</f>
        <v/>
      </c>
      <c r="J344" s="21">
        <f>IF($A344="","",MAX($I$4:$I344))</f>
        <v/>
      </c>
      <c r="K344" s="21">
        <f>IF($A344="","",$I344-$J344)</f>
        <v/>
      </c>
      <c r="L344" s="22">
        <f>IF($A344="","",IF($J344=0,"",$K344/$J344))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  <c r="I345" s="21">
        <f>IF($A345="","",'Total PnL'!$B$3+$H345)</f>
        <v/>
      </c>
      <c r="J345" s="21">
        <f>IF($A345="","",MAX($I$4:$I345))</f>
        <v/>
      </c>
      <c r="K345" s="21">
        <f>IF($A345="","",$I345-$J345)</f>
        <v/>
      </c>
      <c r="L345" s="22">
        <f>IF($A345="","",IF($J345=0,"",$K345/$J345))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  <c r="I346" s="21">
        <f>IF($A346="","",'Total PnL'!$B$3+$H346)</f>
        <v/>
      </c>
      <c r="J346" s="21">
        <f>IF($A346="","",MAX($I$4:$I346))</f>
        <v/>
      </c>
      <c r="K346" s="21">
        <f>IF($A346="","",$I346-$J346)</f>
        <v/>
      </c>
      <c r="L346" s="22">
        <f>IF($A346="","",IF($J346=0,"",$K346/$J346))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  <c r="I347" s="21">
        <f>IF($A347="","",'Total PnL'!$B$3+$H347)</f>
        <v/>
      </c>
      <c r="J347" s="21">
        <f>IF($A347="","",MAX($I$4:$I347))</f>
        <v/>
      </c>
      <c r="K347" s="21">
        <f>IF($A347="","",$I347-$J347)</f>
        <v/>
      </c>
      <c r="L347" s="22">
        <f>IF($A347="","",IF($J347=0,"",$K347/$J347))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  <c r="I348" s="21">
        <f>IF($A348="","",'Total PnL'!$B$3+$H348)</f>
        <v/>
      </c>
      <c r="J348" s="21">
        <f>IF($A348="","",MAX($I$4:$I348))</f>
        <v/>
      </c>
      <c r="K348" s="21">
        <f>IF($A348="","",$I348-$J348)</f>
        <v/>
      </c>
      <c r="L348" s="22">
        <f>IF($A348="","",IF($J348=0,"",$K348/$J348))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  <c r="I349" s="21">
        <f>IF($A349="","",'Total PnL'!$B$3+$H349)</f>
        <v/>
      </c>
      <c r="J349" s="21">
        <f>IF($A349="","",MAX($I$4:$I349))</f>
        <v/>
      </c>
      <c r="K349" s="21">
        <f>IF($A349="","",$I349-$J349)</f>
        <v/>
      </c>
      <c r="L349" s="22">
        <f>IF($A349="","",IF($J349=0,"",$K349/$J349))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  <c r="I350" s="21">
        <f>IF($A350="","",'Total PnL'!$B$3+$H350)</f>
        <v/>
      </c>
      <c r="J350" s="21">
        <f>IF($A350="","",MAX($I$4:$I350))</f>
        <v/>
      </c>
      <c r="K350" s="21">
        <f>IF($A350="","",$I350-$J350)</f>
        <v/>
      </c>
      <c r="L350" s="22">
        <f>IF($A350="","",IF($J350=0,"",$K350/$J350))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  <c r="I351" s="21">
        <f>IF($A351="","",'Total PnL'!$B$3+$H351)</f>
        <v/>
      </c>
      <c r="J351" s="21">
        <f>IF($A351="","",MAX($I$4:$I351))</f>
        <v/>
      </c>
      <c r="K351" s="21">
        <f>IF($A351="","",$I351-$J351)</f>
        <v/>
      </c>
      <c r="L351" s="22">
        <f>IF($A351="","",IF($J351=0,"",$K351/$J351))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  <c r="I352" s="21">
        <f>IF($A352="","",'Total PnL'!$B$3+$H352)</f>
        <v/>
      </c>
      <c r="J352" s="21">
        <f>IF($A352="","",MAX($I$4:$I352))</f>
        <v/>
      </c>
      <c r="K352" s="21">
        <f>IF($A352="","",$I352-$J352)</f>
        <v/>
      </c>
      <c r="L352" s="22">
        <f>IF($A352="","",IF($J352=0,"",$K352/$J352))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  <c r="I353" s="21">
        <f>IF($A353="","",'Total PnL'!$B$3+$H353)</f>
        <v/>
      </c>
      <c r="J353" s="21">
        <f>IF($A353="","",MAX($I$4:$I353))</f>
        <v/>
      </c>
      <c r="K353" s="21">
        <f>IF($A353="","",$I353-$J353)</f>
        <v/>
      </c>
      <c r="L353" s="22">
        <f>IF($A353="","",IF($J353=0,"",$K353/$J353))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  <c r="I354" s="21">
        <f>IF($A354="","",'Total PnL'!$B$3+$H354)</f>
        <v/>
      </c>
      <c r="J354" s="21">
        <f>IF($A354="","",MAX($I$4:$I354))</f>
        <v/>
      </c>
      <c r="K354" s="21">
        <f>IF($A354="","",$I354-$J354)</f>
        <v/>
      </c>
      <c r="L354" s="22">
        <f>IF($A354="","",IF($J354=0,"",$K354/$J354))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  <c r="I355" s="21">
        <f>IF($A355="","",'Total PnL'!$B$3+$H355)</f>
        <v/>
      </c>
      <c r="J355" s="21">
        <f>IF($A355="","",MAX($I$4:$I355))</f>
        <v/>
      </c>
      <c r="K355" s="21">
        <f>IF($A355="","",$I355-$J355)</f>
        <v/>
      </c>
      <c r="L355" s="22">
        <f>IF($A355="","",IF($J355=0,"",$K355/$J355))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  <c r="I356" s="21">
        <f>IF($A356="","",'Total PnL'!$B$3+$H356)</f>
        <v/>
      </c>
      <c r="J356" s="21">
        <f>IF($A356="","",MAX($I$4:$I356))</f>
        <v/>
      </c>
      <c r="K356" s="21">
        <f>IF($A356="","",$I356-$J356)</f>
        <v/>
      </c>
      <c r="L356" s="22">
        <f>IF($A356="","",IF($J356=0,"",$K356/$J356))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  <c r="I357" s="21">
        <f>IF($A357="","",'Total PnL'!$B$3+$H357)</f>
        <v/>
      </c>
      <c r="J357" s="21">
        <f>IF($A357="","",MAX($I$4:$I357))</f>
        <v/>
      </c>
      <c r="K357" s="21">
        <f>IF($A357="","",$I357-$J357)</f>
        <v/>
      </c>
      <c r="L357" s="22">
        <f>IF($A357="","",IF($J357=0,"",$K357/$J357))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  <c r="I358" s="21">
        <f>IF($A358="","",'Total PnL'!$B$3+$H358)</f>
        <v/>
      </c>
      <c r="J358" s="21">
        <f>IF($A358="","",MAX($I$4:$I358))</f>
        <v/>
      </c>
      <c r="K358" s="21">
        <f>IF($A358="","",$I358-$J358)</f>
        <v/>
      </c>
      <c r="L358" s="22">
        <f>IF($A358="","",IF($J358=0,"",$K358/$J358))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  <c r="I359" s="21">
        <f>IF($A359="","",'Total PnL'!$B$3+$H359)</f>
        <v/>
      </c>
      <c r="J359" s="21">
        <f>IF($A359="","",MAX($I$4:$I359))</f>
        <v/>
      </c>
      <c r="K359" s="21">
        <f>IF($A359="","",$I359-$J359)</f>
        <v/>
      </c>
      <c r="L359" s="22">
        <f>IF($A359="","",IF($J359=0,"",$K359/$J359))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  <c r="I360" s="21">
        <f>IF($A360="","",'Total PnL'!$B$3+$H360)</f>
        <v/>
      </c>
      <c r="J360" s="21">
        <f>IF($A360="","",MAX($I$4:$I360))</f>
        <v/>
      </c>
      <c r="K360" s="21">
        <f>IF($A360="","",$I360-$J360)</f>
        <v/>
      </c>
      <c r="L360" s="22">
        <f>IF($A360="","",IF($J360=0,"",$K360/$J360))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  <c r="I361" s="21">
        <f>IF($A361="","",'Total PnL'!$B$3+$H361)</f>
        <v/>
      </c>
      <c r="J361" s="21">
        <f>IF($A361="","",MAX($I$4:$I361))</f>
        <v/>
      </c>
      <c r="K361" s="21">
        <f>IF($A361="","",$I361-$J361)</f>
        <v/>
      </c>
      <c r="L361" s="22">
        <f>IF($A361="","",IF($J361=0,"",$K361/$J361))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  <c r="I362" s="21">
        <f>IF($A362="","",'Total PnL'!$B$3+$H362)</f>
        <v/>
      </c>
      <c r="J362" s="21">
        <f>IF($A362="","",MAX($I$4:$I362))</f>
        <v/>
      </c>
      <c r="K362" s="21">
        <f>IF($A362="","",$I362-$J362)</f>
        <v/>
      </c>
      <c r="L362" s="22">
        <f>IF($A362="","",IF($J362=0,"",$K362/$J362))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  <c r="I363" s="21">
        <f>IF($A363="","",'Total PnL'!$B$3+$H363)</f>
        <v/>
      </c>
      <c r="J363" s="21">
        <f>IF($A363="","",MAX($I$4:$I363))</f>
        <v/>
      </c>
      <c r="K363" s="21">
        <f>IF($A363="","",$I363-$J363)</f>
        <v/>
      </c>
      <c r="L363" s="22">
        <f>IF($A363="","",IF($J363=0,"",$K363/$J363))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  <c r="I364" s="21">
        <f>IF($A364="","",'Total PnL'!$B$3+$H364)</f>
        <v/>
      </c>
      <c r="J364" s="21">
        <f>IF($A364="","",MAX($I$4:$I364))</f>
        <v/>
      </c>
      <c r="K364" s="21">
        <f>IF($A364="","",$I364-$J364)</f>
        <v/>
      </c>
      <c r="L364" s="22">
        <f>IF($A364="","",IF($J364=0,"",$K364/$J364))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  <c r="I365" s="21">
        <f>IF($A365="","",'Total PnL'!$B$3+$H365)</f>
        <v/>
      </c>
      <c r="J365" s="21">
        <f>IF($A365="","",MAX($I$4:$I365))</f>
        <v/>
      </c>
      <c r="K365" s="21">
        <f>IF($A365="","",$I365-$J365)</f>
        <v/>
      </c>
      <c r="L365" s="22">
        <f>IF($A365="","",IF($J365=0,"",$K365/$J365))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  <c r="I366" s="21">
        <f>IF($A366="","",'Total PnL'!$B$3+$H366)</f>
        <v/>
      </c>
      <c r="J366" s="21">
        <f>IF($A366="","",MAX($I$4:$I366))</f>
        <v/>
      </c>
      <c r="K366" s="21">
        <f>IF($A366="","",$I366-$J366)</f>
        <v/>
      </c>
      <c r="L366" s="22">
        <f>IF($A366="","",IF($J366=0,"",$K366/$J366))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  <c r="I367" s="21">
        <f>IF($A367="","",'Total PnL'!$B$3+$H367)</f>
        <v/>
      </c>
      <c r="J367" s="21">
        <f>IF($A367="","",MAX($I$4:$I367))</f>
        <v/>
      </c>
      <c r="K367" s="21">
        <f>IF($A367="","",$I367-$J367)</f>
        <v/>
      </c>
      <c r="L367" s="22">
        <f>IF($A367="","",IF($J367=0,"",$K367/$J367))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  <c r="I368" s="21">
        <f>IF($A368="","",'Total PnL'!$B$3+$H368)</f>
        <v/>
      </c>
      <c r="J368" s="21">
        <f>IF($A368="","",MAX($I$4:$I368))</f>
        <v/>
      </c>
      <c r="K368" s="21">
        <f>IF($A368="","",$I368-$J368)</f>
        <v/>
      </c>
      <c r="L368" s="22">
        <f>IF($A368="","",IF($J368=0,"",$K368/$J368))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  <c r="I369" s="21">
        <f>IF($A369="","",'Total PnL'!$B$3+$H369)</f>
        <v/>
      </c>
      <c r="J369" s="21">
        <f>IF($A369="","",MAX($I$4:$I369))</f>
        <v/>
      </c>
      <c r="K369" s="21">
        <f>IF($A369="","",$I369-$J369)</f>
        <v/>
      </c>
      <c r="L369" s="22">
        <f>IF($A369="","",IF($J369=0,"",$K369/$J369))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  <c r="I370" s="21">
        <f>IF($A370="","",'Total PnL'!$B$3+$H370)</f>
        <v/>
      </c>
      <c r="J370" s="21">
        <f>IF($A370="","",MAX($I$4:$I370))</f>
        <v/>
      </c>
      <c r="K370" s="21">
        <f>IF($A370="","",$I370-$J370)</f>
        <v/>
      </c>
      <c r="L370" s="22">
        <f>IF($A370="","",IF($J370=0,"",$K370/$J370))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  <c r="I371" s="21">
        <f>IF($A371="","",'Total PnL'!$B$3+$H371)</f>
        <v/>
      </c>
      <c r="J371" s="21">
        <f>IF($A371="","",MAX($I$4:$I371))</f>
        <v/>
      </c>
      <c r="K371" s="21">
        <f>IF($A371="","",$I371-$J371)</f>
        <v/>
      </c>
      <c r="L371" s="22">
        <f>IF($A371="","",IF($J371=0,"",$K371/$J371))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  <c r="I372" s="21">
        <f>IF($A372="","",'Total PnL'!$B$3+$H372)</f>
        <v/>
      </c>
      <c r="J372" s="21">
        <f>IF($A372="","",MAX($I$4:$I372))</f>
        <v/>
      </c>
      <c r="K372" s="21">
        <f>IF($A372="","",$I372-$J372)</f>
        <v/>
      </c>
      <c r="L372" s="22">
        <f>IF($A372="","",IF($J372=0,"",$K372/$J372))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  <c r="I373" s="21">
        <f>IF($A373="","",'Total PnL'!$B$3+$H373)</f>
        <v/>
      </c>
      <c r="J373" s="21">
        <f>IF($A373="","",MAX($I$4:$I373))</f>
        <v/>
      </c>
      <c r="K373" s="21">
        <f>IF($A373="","",$I373-$J373)</f>
        <v/>
      </c>
      <c r="L373" s="22">
        <f>IF($A373="","",IF($J373=0,"",$K373/$J373))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  <c r="I374" s="21">
        <f>IF($A374="","",'Total PnL'!$B$3+$H374)</f>
        <v/>
      </c>
      <c r="J374" s="21">
        <f>IF($A374="","",MAX($I$4:$I374))</f>
        <v/>
      </c>
      <c r="K374" s="21">
        <f>IF($A374="","",$I374-$J374)</f>
        <v/>
      </c>
      <c r="L374" s="22">
        <f>IF($A374="","",IF($J374=0,"",$K374/$J374))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  <c r="I375" s="21">
        <f>IF($A375="","",'Total PnL'!$B$3+$H375)</f>
        <v/>
      </c>
      <c r="J375" s="21">
        <f>IF($A375="","",MAX($I$4:$I375))</f>
        <v/>
      </c>
      <c r="K375" s="21">
        <f>IF($A375="","",$I375-$J375)</f>
        <v/>
      </c>
      <c r="L375" s="22">
        <f>IF($A375="","",IF($J375=0,"",$K375/$J375))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  <c r="I376" s="21">
        <f>IF($A376="","",'Total PnL'!$B$3+$H376)</f>
        <v/>
      </c>
      <c r="J376" s="21">
        <f>IF($A376="","",MAX($I$4:$I376))</f>
        <v/>
      </c>
      <c r="K376" s="21">
        <f>IF($A376="","",$I376-$J376)</f>
        <v/>
      </c>
      <c r="L376" s="22">
        <f>IF($A376="","",IF($J376=0,"",$K376/$J376))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  <c r="I377" s="21">
        <f>IF($A377="","",'Total PnL'!$B$3+$H377)</f>
        <v/>
      </c>
      <c r="J377" s="21">
        <f>IF($A377="","",MAX($I$4:$I377))</f>
        <v/>
      </c>
      <c r="K377" s="21">
        <f>IF($A377="","",$I377-$J377)</f>
        <v/>
      </c>
      <c r="L377" s="22">
        <f>IF($A377="","",IF($J377=0,"",$K377/$J377))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  <c r="I378" s="21">
        <f>IF($A378="","",'Total PnL'!$B$3+$H378)</f>
        <v/>
      </c>
      <c r="J378" s="21">
        <f>IF($A378="","",MAX($I$4:$I378))</f>
        <v/>
      </c>
      <c r="K378" s="21">
        <f>IF($A378="","",$I378-$J378)</f>
        <v/>
      </c>
      <c r="L378" s="22">
        <f>IF($A378="","",IF($J378=0,"",$K378/$J378))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  <c r="I379" s="21">
        <f>IF($A379="","",'Total PnL'!$B$3+$H379)</f>
        <v/>
      </c>
      <c r="J379" s="21">
        <f>IF($A379="","",MAX($I$4:$I379))</f>
        <v/>
      </c>
      <c r="K379" s="21">
        <f>IF($A379="","",$I379-$J379)</f>
        <v/>
      </c>
      <c r="L379" s="22">
        <f>IF($A379="","",IF($J379=0,"",$K379/$J379))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  <c r="I380" s="21">
        <f>IF($A380="","",'Total PnL'!$B$3+$H380)</f>
        <v/>
      </c>
      <c r="J380" s="21">
        <f>IF($A380="","",MAX($I$4:$I380))</f>
        <v/>
      </c>
      <c r="K380" s="21">
        <f>IF($A380="","",$I380-$J380)</f>
        <v/>
      </c>
      <c r="L380" s="22">
        <f>IF($A380="","",IF($J380=0,"",$K380/$J380))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  <c r="I381" s="21">
        <f>IF($A381="","",'Total PnL'!$B$3+$H381)</f>
        <v/>
      </c>
      <c r="J381" s="21">
        <f>IF($A381="","",MAX($I$4:$I381))</f>
        <v/>
      </c>
      <c r="K381" s="21">
        <f>IF($A381="","",$I381-$J381)</f>
        <v/>
      </c>
      <c r="L381" s="22">
        <f>IF($A381="","",IF($J381=0,"",$K381/$J381))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  <c r="I382" s="21">
        <f>IF($A382="","",'Total PnL'!$B$3+$H382)</f>
        <v/>
      </c>
      <c r="J382" s="21">
        <f>IF($A382="","",MAX($I$4:$I382))</f>
        <v/>
      </c>
      <c r="K382" s="21">
        <f>IF($A382="","",$I382-$J382)</f>
        <v/>
      </c>
      <c r="L382" s="22">
        <f>IF($A382="","",IF($J382=0,"",$K382/$J382))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  <c r="I383" s="21">
        <f>IF($A383="","",'Total PnL'!$B$3+$H383)</f>
        <v/>
      </c>
      <c r="J383" s="21">
        <f>IF($A383="","",MAX($I$4:$I383))</f>
        <v/>
      </c>
      <c r="K383" s="21">
        <f>IF($A383="","",$I383-$J383)</f>
        <v/>
      </c>
      <c r="L383" s="22">
        <f>IF($A383="","",IF($J383=0,"",$K383/$J383))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  <c r="I384" s="21">
        <f>IF($A384="","",'Total PnL'!$B$3+$H384)</f>
        <v/>
      </c>
      <c r="J384" s="21">
        <f>IF($A384="","",MAX($I$4:$I384))</f>
        <v/>
      </c>
      <c r="K384" s="21">
        <f>IF($A384="","",$I384-$J384)</f>
        <v/>
      </c>
      <c r="L384" s="22">
        <f>IF($A384="","",IF($J384=0,"",$K384/$J384))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  <c r="I385" s="21">
        <f>IF($A385="","",'Total PnL'!$B$3+$H385)</f>
        <v/>
      </c>
      <c r="J385" s="21">
        <f>IF($A385="","",MAX($I$4:$I385))</f>
        <v/>
      </c>
      <c r="K385" s="21">
        <f>IF($A385="","",$I385-$J385)</f>
        <v/>
      </c>
      <c r="L385" s="22">
        <f>IF($A385="","",IF($J385=0,"",$K385/$J385))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  <c r="I386" s="21">
        <f>IF($A386="","",'Total PnL'!$B$3+$H386)</f>
        <v/>
      </c>
      <c r="J386" s="21">
        <f>IF($A386="","",MAX($I$4:$I386))</f>
        <v/>
      </c>
      <c r="K386" s="21">
        <f>IF($A386="","",$I386-$J386)</f>
        <v/>
      </c>
      <c r="L386" s="22">
        <f>IF($A386="","",IF($J386=0,"",$K386/$J386))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  <c r="I387" s="21">
        <f>IF($A387="","",'Total PnL'!$B$3+$H387)</f>
        <v/>
      </c>
      <c r="J387" s="21">
        <f>IF($A387="","",MAX($I$4:$I387))</f>
        <v/>
      </c>
      <c r="K387" s="21">
        <f>IF($A387="","",$I387-$J387)</f>
        <v/>
      </c>
      <c r="L387" s="22">
        <f>IF($A387="","",IF($J387=0,"",$K387/$J387))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  <c r="I388" s="21">
        <f>IF($A388="","",'Total PnL'!$B$3+$H388)</f>
        <v/>
      </c>
      <c r="J388" s="21">
        <f>IF($A388="","",MAX($I$4:$I388))</f>
        <v/>
      </c>
      <c r="K388" s="21">
        <f>IF($A388="","",$I388-$J388)</f>
        <v/>
      </c>
      <c r="L388" s="22">
        <f>IF($A388="","",IF($J388=0,"",$K388/$J388))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  <c r="I389" s="21">
        <f>IF($A389="","",'Total PnL'!$B$3+$H389)</f>
        <v/>
      </c>
      <c r="J389" s="21">
        <f>IF($A389="","",MAX($I$4:$I389))</f>
        <v/>
      </c>
      <c r="K389" s="21">
        <f>IF($A389="","",$I389-$J389)</f>
        <v/>
      </c>
      <c r="L389" s="22">
        <f>IF($A389="","",IF($J389=0,"",$K389/$J389))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  <c r="I390" s="21">
        <f>IF($A390="","",'Total PnL'!$B$3+$H390)</f>
        <v/>
      </c>
      <c r="J390" s="21">
        <f>IF($A390="","",MAX($I$4:$I390))</f>
        <v/>
      </c>
      <c r="K390" s="21">
        <f>IF($A390="","",$I390-$J390)</f>
        <v/>
      </c>
      <c r="L390" s="22">
        <f>IF($A390="","",IF($J390=0,"",$K390/$J390))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  <c r="I391" s="21">
        <f>IF($A391="","",'Total PnL'!$B$3+$H391)</f>
        <v/>
      </c>
      <c r="J391" s="21">
        <f>IF($A391="","",MAX($I$4:$I391))</f>
        <v/>
      </c>
      <c r="K391" s="21">
        <f>IF($A391="","",$I391-$J391)</f>
        <v/>
      </c>
      <c r="L391" s="22">
        <f>IF($A391="","",IF($J391=0,"",$K391/$J391))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  <c r="I392" s="21">
        <f>IF($A392="","",'Total PnL'!$B$3+$H392)</f>
        <v/>
      </c>
      <c r="J392" s="21">
        <f>IF($A392="","",MAX($I$4:$I392))</f>
        <v/>
      </c>
      <c r="K392" s="21">
        <f>IF($A392="","",$I392-$J392)</f>
        <v/>
      </c>
      <c r="L392" s="22">
        <f>IF($A392="","",IF($J392=0,"",$K392/$J392))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  <c r="I393" s="21">
        <f>IF($A393="","",'Total PnL'!$B$3+$H393)</f>
        <v/>
      </c>
      <c r="J393" s="21">
        <f>IF($A393="","",MAX($I$4:$I393))</f>
        <v/>
      </c>
      <c r="K393" s="21">
        <f>IF($A393="","",$I393-$J393)</f>
        <v/>
      </c>
      <c r="L393" s="22">
        <f>IF($A393="","",IF($J393=0,"",$K393/$J393))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  <c r="I394" s="21">
        <f>IF($A394="","",'Total PnL'!$B$3+$H394)</f>
        <v/>
      </c>
      <c r="J394" s="21">
        <f>IF($A394="","",MAX($I$4:$I394))</f>
        <v/>
      </c>
      <c r="K394" s="21">
        <f>IF($A394="","",$I394-$J394)</f>
        <v/>
      </c>
      <c r="L394" s="22">
        <f>IF($A394="","",IF($J394=0,"",$K394/$J394))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  <c r="I395" s="21">
        <f>IF($A395="","",'Total PnL'!$B$3+$H395)</f>
        <v/>
      </c>
      <c r="J395" s="21">
        <f>IF($A395="","",MAX($I$4:$I395))</f>
        <v/>
      </c>
      <c r="K395" s="21">
        <f>IF($A395="","",$I395-$J395)</f>
        <v/>
      </c>
      <c r="L395" s="22">
        <f>IF($A395="","",IF($J395=0,"",$K395/$J395))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  <c r="I396" s="21">
        <f>IF($A396="","",'Total PnL'!$B$3+$H396)</f>
        <v/>
      </c>
      <c r="J396" s="21">
        <f>IF($A396="","",MAX($I$4:$I396))</f>
        <v/>
      </c>
      <c r="K396" s="21">
        <f>IF($A396="","",$I396-$J396)</f>
        <v/>
      </c>
      <c r="L396" s="22">
        <f>IF($A396="","",IF($J396=0,"",$K396/$J396))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  <c r="I397" s="21">
        <f>IF($A397="","",'Total PnL'!$B$3+$H397)</f>
        <v/>
      </c>
      <c r="J397" s="21">
        <f>IF($A397="","",MAX($I$4:$I397))</f>
        <v/>
      </c>
      <c r="K397" s="21">
        <f>IF($A397="","",$I397-$J397)</f>
        <v/>
      </c>
      <c r="L397" s="22">
        <f>IF($A397="","",IF($J397=0,"",$K397/$J397))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  <c r="I398" s="21">
        <f>IF($A398="","",'Total PnL'!$B$3+$H398)</f>
        <v/>
      </c>
      <c r="J398" s="21">
        <f>IF($A398="","",MAX($I$4:$I398))</f>
        <v/>
      </c>
      <c r="K398" s="21">
        <f>IF($A398="","",$I398-$J398)</f>
        <v/>
      </c>
      <c r="L398" s="22">
        <f>IF($A398="","",IF($J398=0,"",$K398/$J398))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  <c r="I399" s="21">
        <f>IF($A399="","",'Total PnL'!$B$3+$H399)</f>
        <v/>
      </c>
      <c r="J399" s="21">
        <f>IF($A399="","",MAX($I$4:$I399))</f>
        <v/>
      </c>
      <c r="K399" s="21">
        <f>IF($A399="","",$I399-$J399)</f>
        <v/>
      </c>
      <c r="L399" s="22">
        <f>IF($A399="","",IF($J399=0,"",$K399/$J399))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  <c r="I400" s="21">
        <f>IF($A400="","",'Total PnL'!$B$3+$H400)</f>
        <v/>
      </c>
      <c r="J400" s="21">
        <f>IF($A400="","",MAX($I$4:$I400))</f>
        <v/>
      </c>
      <c r="K400" s="21">
        <f>IF($A400="","",$I400-$J400)</f>
        <v/>
      </c>
      <c r="L400" s="22">
        <f>IF($A400="","",IF($J400=0,"",$K400/$J400))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  <c r="I401" s="21">
        <f>IF($A401="","",'Total PnL'!$B$3+$H401)</f>
        <v/>
      </c>
      <c r="J401" s="21">
        <f>IF($A401="","",MAX($I$4:$I401))</f>
        <v/>
      </c>
      <c r="K401" s="21">
        <f>IF($A401="","",$I401-$J401)</f>
        <v/>
      </c>
      <c r="L401" s="22">
        <f>IF($A401="","",IF($J401=0,"",$K401/$J401))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  <c r="I402" s="21">
        <f>IF($A402="","",'Total PnL'!$B$3+$H402)</f>
        <v/>
      </c>
      <c r="J402" s="21">
        <f>IF($A402="","",MAX($I$4:$I402))</f>
        <v/>
      </c>
      <c r="K402" s="21">
        <f>IF($A402="","",$I402-$J402)</f>
        <v/>
      </c>
      <c r="L402" s="22">
        <f>IF($A402="","",IF($J402=0,"",$K402/$J402))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  <c r="I403" s="21">
        <f>IF($A403="","",'Total PnL'!$B$3+$H403)</f>
        <v/>
      </c>
      <c r="J403" s="21">
        <f>IF($A403="","",MAX($I$4:$I403))</f>
        <v/>
      </c>
      <c r="K403" s="21">
        <f>IF($A403="","",$I403-$J403)</f>
        <v/>
      </c>
      <c r="L403" s="22">
        <f>IF($A403="","",IF($J403=0,"",$K403/$J403))</f>
        <v/>
      </c>
    </row>
  </sheetData>
  <mergeCells count="2">
    <mergeCell ref="A2:L2"/>
    <mergeCell ref="A1:L1"/>
  </mergeCells>
  <conditionalFormatting sqref="G4:G403">
    <cfRule type="cellIs" priority="1" operator="lessThan" dxfId="2">
      <formula>0</formula>
    </cfRule>
  </conditionalFormatting>
  <conditionalFormatting sqref="K4:L403">
    <cfRule type="cellIs" priority="2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KCP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KIRIINDUS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KIRLOSIND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KLBRENG-B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KROSS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KSCL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KSL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LUXIND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MAITHANALL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MANGLMCEM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MASTEK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MOBIKWIK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MUKANDLTD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NETWORK18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NILKAMAL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NORTHARC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NOVARTIND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NPST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NRBBEARING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OMAXE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ONEPOINT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OPTIEMUS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ORIENTHOT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PACEDIGITK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PITTIENG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PROTEAN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QUADFUTURE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RACLGEAR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RAMRAT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RAYMOND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RAYMONDREL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REFEX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RESPONIND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RML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ROSSTECH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RPGLIFE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SAATVIKGL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SAKAR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SAMBHV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SAMHI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SANGAMIND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SHANTIGOLD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SHAREINDIA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SHOPERSTOP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SIKA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SINDHUTRAD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SMSPHARMA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SOLARA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SOTL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SSWL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STEELCAS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SYMPHONY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SYNCOMF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TALBROAUTO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TBZ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THOMASCOOK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VENKEYS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VENUSPIPES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VERANDA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VSSL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WELSPLSOL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WENDT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WINDLAS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XPROINDIA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ZAGGLE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ZOTA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3" t="inlineStr">
        <is>
          <t>TOTAL</t>
        </is>
      </c>
      <c r="B112" s="30">
        <f>SUM(B4:B111)</f>
        <v/>
      </c>
      <c r="C112" s="30">
        <f>SUM(C4:C111)</f>
        <v/>
      </c>
      <c r="D112" s="30">
        <f>SUM(D4:D111)</f>
        <v/>
      </c>
      <c r="E112" s="31">
        <f>IFERROR(C112/B112,"")</f>
        <v/>
      </c>
      <c r="F112" s="32">
        <f>SUM(F4:F111)</f>
        <v/>
      </c>
      <c r="G112" s="32">
        <f>SUM(G4:G111)</f>
        <v/>
      </c>
      <c r="H112" s="32">
        <f>IFERROR(G112/B112,"")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4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107.54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150.57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107.37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128.7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126.13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59.49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71.89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43.2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71.67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78.93000000000001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72.04000000000001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61.39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314.23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46.98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46.96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28.06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44.8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98.34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82.03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98.76000000000001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157.28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157.72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171.58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156.76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131.96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98.84999999999999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97.06999999999999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78.06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85.98999999999999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44.19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44.8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53.72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57.47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274.38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274.45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276.19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96.83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91.65000000000001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91.51000000000001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91.76000000000001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90.48999999999999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78.44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72.28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109.12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70.40000000000001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58.73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114.09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128.7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113.46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112.39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178.51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176.87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186.14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170.92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148.28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59.62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59.79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55.17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54.91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45.74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62.72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70.7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82.67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141.45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131.5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142.94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132.02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30.42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31.18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18.71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11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31.29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DHAN-limit_entry_multi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20</v>
      </c>
      <c r="F194" s="4" t="n">
        <v>0</v>
      </c>
      <c r="G194" s="4" t="n">
        <v>7.5</v>
      </c>
      <c r="H194" s="4" t="n">
        <v>0.24</v>
      </c>
      <c r="I194" s="4" t="n">
        <v>0</v>
      </c>
      <c r="J194" s="4" t="n">
        <v>4.99</v>
      </c>
      <c r="K194" s="4" t="n">
        <v>14.75</v>
      </c>
      <c r="L194" s="4" t="n">
        <v>35.4</v>
      </c>
      <c r="M194" s="4" t="n">
        <v>10.94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58.46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62.41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33.04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55.05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58.32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DHAN-limit_entry_multi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20</v>
      </c>
      <c r="F206" s="4" t="n">
        <v>41.05</v>
      </c>
      <c r="G206" s="4" t="n">
        <v>5.05</v>
      </c>
      <c r="H206" s="4" t="n">
        <v>0.16</v>
      </c>
      <c r="I206" s="4" t="n">
        <v>0</v>
      </c>
      <c r="J206" s="4" t="n">
        <v>4.54</v>
      </c>
      <c r="K206" s="4" t="n">
        <v>14.75</v>
      </c>
      <c r="L206" s="4" t="n">
        <v>35.4</v>
      </c>
      <c r="M206" s="4" t="n">
        <v>10.94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DHAN-limit_entry_multi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20</v>
      </c>
      <c r="F208" s="4" t="n">
        <v>0</v>
      </c>
      <c r="G208" s="4" t="n">
        <v>5.29</v>
      </c>
      <c r="H208" s="4" t="n">
        <v>0.17</v>
      </c>
      <c r="I208" s="4" t="n">
        <v>0</v>
      </c>
      <c r="J208" s="4" t="n">
        <v>4.58</v>
      </c>
      <c r="K208" s="4" t="n">
        <v>14.75</v>
      </c>
      <c r="L208" s="4" t="n">
        <v>35.4</v>
      </c>
      <c r="M208" s="4" t="n">
        <v>10.94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DHAN-limit_entry_multi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21.91</v>
      </c>
      <c r="G210" s="4" t="n">
        <v>2.71</v>
      </c>
      <c r="H210" s="4" t="n">
        <v>0.09</v>
      </c>
      <c r="I210" s="4" t="n">
        <v>0</v>
      </c>
      <c r="J210" s="4" t="n">
        <v>4.1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DHAN-limit_entry_multi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20</v>
      </c>
      <c r="F212" s="4" t="n">
        <v>39.95</v>
      </c>
      <c r="G212" s="4" t="n">
        <v>4.93</v>
      </c>
      <c r="H212" s="4" t="n">
        <v>0.16</v>
      </c>
      <c r="I212" s="4" t="n">
        <v>0</v>
      </c>
      <c r="J212" s="4" t="n">
        <v>4.52</v>
      </c>
      <c r="K212" s="4" t="n">
        <v>14.75</v>
      </c>
      <c r="L212" s="4" t="n">
        <v>35.4</v>
      </c>
      <c r="M212" s="4" t="n">
        <v>10.94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15.25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18.29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15.29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18.13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20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55.07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DHAN-limit_entry_multi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30.44</v>
      </c>
      <c r="G226" s="4" t="n">
        <v>3.86</v>
      </c>
      <c r="H226" s="4" t="n">
        <v>0.13</v>
      </c>
      <c r="I226" s="4" t="n">
        <v>0</v>
      </c>
      <c r="J226" s="4" t="n">
        <v>4.32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57.31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DHAN-limit_entry_multi</t>
        </is>
      </c>
      <c r="B234" s="23" t="inlineStr">
        <is>
          <t>BHAGERIA</t>
        </is>
      </c>
      <c r="C234" s="23" t="inlineStr">
        <is>
          <t>LONG</t>
        </is>
      </c>
      <c r="D234" s="24" t="inlineStr"/>
      <c r="E234" s="4" t="n">
        <v>0</v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inlineStr"/>
      <c r="E235" s="4" t="n">
        <v>20</v>
      </c>
      <c r="F235" s="4" t="n">
        <v>250.33</v>
      </c>
      <c r="G235" s="4" t="n">
        <v>7.69</v>
      </c>
      <c r="H235" s="4" t="n">
        <v>0.25</v>
      </c>
      <c r="I235" s="4" t="n">
        <v>37.55</v>
      </c>
      <c r="J235" s="4" t="n">
        <v>5.03</v>
      </c>
      <c r="K235" s="4" t="n">
        <v>14.75</v>
      </c>
      <c r="L235" s="4" t="n">
        <v>35.4</v>
      </c>
      <c r="M235" s="4" t="n">
        <v>160.94</v>
      </c>
      <c r="N235" s="21">
        <f>SUM(E235:M235)</f>
        <v/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inlineStr"/>
      <c r="E236" s="4" t="n">
        <v>0</v>
      </c>
      <c r="F236" s="4" t="n">
        <v>0</v>
      </c>
      <c r="G236" s="4" t="n">
        <v>0</v>
      </c>
      <c r="H236" s="4" t="n">
        <v>0</v>
      </c>
      <c r="I236" s="4" t="n">
        <v>0</v>
      </c>
      <c r="J236" s="4" t="n">
        <v>0</v>
      </c>
      <c r="K236" s="4" t="n">
        <v>14.75</v>
      </c>
      <c r="L236" s="4" t="n">
        <v>35.4</v>
      </c>
      <c r="M236" s="4" t="n">
        <v>10.94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inlineStr"/>
      <c r="E237" s="4" t="n">
        <v>20</v>
      </c>
      <c r="F237" s="4" t="n">
        <v>251.34</v>
      </c>
      <c r="G237" s="4" t="n">
        <v>7.72</v>
      </c>
      <c r="H237" s="4" t="n">
        <v>0.25</v>
      </c>
      <c r="I237" s="4" t="n">
        <v>37.7</v>
      </c>
      <c r="J237" s="4" t="n">
        <v>5.03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inlineStr"/>
      <c r="E238" s="4" t="n">
        <v>0</v>
      </c>
      <c r="F238" s="4" t="n">
        <v>0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14.75</v>
      </c>
      <c r="L238" s="4" t="n">
        <v>35.4</v>
      </c>
      <c r="M238" s="4" t="n">
        <v>10.94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inlineStr"/>
      <c r="E239" s="4" t="n">
        <v>20</v>
      </c>
      <c r="F239" s="4" t="n">
        <v>249.79</v>
      </c>
      <c r="G239" s="4" t="n">
        <v>7.67</v>
      </c>
      <c r="H239" s="4" t="n">
        <v>0.25</v>
      </c>
      <c r="I239" s="4" t="n">
        <v>37.76</v>
      </c>
      <c r="J239" s="4" t="n">
        <v>5.03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3" t="inlineStr">
        <is>
          <t>TOTAL</t>
        </is>
      </c>
      <c r="E240" s="32">
        <f>SUM(E4:E239)</f>
        <v/>
      </c>
      <c r="F240" s="32">
        <f>SUM(F4:F239)</f>
        <v/>
      </c>
      <c r="G240" s="32">
        <f>SUM(G4:G239)</f>
        <v/>
      </c>
      <c r="H240" s="32">
        <f>SUM(H4:H239)</f>
        <v/>
      </c>
      <c r="I240" s="32">
        <f>SUM(I4:I239)</f>
        <v/>
      </c>
      <c r="J240" s="32">
        <f>SUM(J4:J239)</f>
        <v/>
      </c>
      <c r="K240" s="32">
        <f>SUM(K4:K239)</f>
        <v/>
      </c>
      <c r="L240" s="32">
        <f>SUM(L4:L239)</f>
        <v/>
      </c>
      <c r="M240" s="32">
        <f>SUM(M4:M239)</f>
        <v/>
      </c>
      <c r="N240" s="32">
        <f>SUM(N4:N239)</f>
        <v/>
      </c>
    </row>
  </sheetData>
  <autoFilter ref="A3:N239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3" t="inlineStr">
        <is>
          <t>TOTAL</t>
        </is>
      </c>
      <c r="B7" s="30">
        <f>SUM(B5:B6)</f>
        <v/>
      </c>
      <c r="C7" s="30">
        <f>SUM(C5:C6)</f>
        <v/>
      </c>
      <c r="D7" s="30">
        <f>SUM(D5:D6)</f>
        <v/>
      </c>
      <c r="E7" s="31">
        <f>IFERROR(C7/B7,"")</f>
        <v/>
      </c>
      <c r="F7" s="32">
        <f>SUM(F5:F6)</f>
        <v/>
      </c>
      <c r="G7" s="32">
        <f>SUM(G5:G6)</f>
        <v/>
      </c>
      <c r="H7" s="32">
        <f>IFERROR(G7/B7,"")</f>
        <v/>
      </c>
      <c r="K7" s="33">
        <f>IFERROR(SUMIF('Trade Log'!$L$4:$L$503,"&gt;0")/ABS(SUMIF('Trade Log'!$L$4:$L$503,"&lt;0")),"")</f>
        <v/>
      </c>
    </row>
    <row r="9">
      <c r="A9" s="3" t="inlineStr">
        <is>
          <t>WEEKLY PnL</t>
        </is>
      </c>
    </row>
    <row r="10">
      <c r="A10" s="19" t="inlineStr">
        <is>
          <t>Period</t>
        </is>
      </c>
      <c r="B10" s="19" t="inlineStr">
        <is>
          <t>Trades</t>
        </is>
      </c>
      <c r="C10" s="19" t="inlineStr">
        <is>
          <t>Wins</t>
        </is>
      </c>
      <c r="D10" s="19" t="inlineStr">
        <is>
          <t>Losses</t>
        </is>
      </c>
      <c r="E10" s="19" t="inlineStr">
        <is>
          <t>Win Rate</t>
        </is>
      </c>
      <c r="F10" s="19" t="inlineStr">
        <is>
          <t>Gross P&amp;L</t>
        </is>
      </c>
      <c r="G10" s="19" t="inlineStr">
        <is>
          <t>Net P&amp;L</t>
        </is>
      </c>
      <c r="H10" s="19" t="inlineStr">
        <is>
          <t>Avg Net P&amp;L / Trade</t>
        </is>
      </c>
      <c r="I10" s="19" t="inlineStr">
        <is>
          <t>Best Trade</t>
        </is>
      </c>
      <c r="J10" s="19" t="inlineStr">
        <is>
          <t>Worst Trade</t>
        </is>
      </c>
      <c r="K10" s="19" t="inlineStr">
        <is>
          <t>Profit Factor</t>
        </is>
      </c>
    </row>
    <row r="11">
      <c r="A11" s="28" t="n">
        <v>46251</v>
      </c>
      <c r="B11" s="20">
        <f>COUNTIFS('Trade Log'!$G$4:$G$503,"&gt;="&amp;DATE(2026,8,17),'Trade Log'!$G$4:$G$503,"&lt;"&amp;DATE(2026,8,24))</f>
        <v/>
      </c>
      <c r="C11" s="20">
        <f>COUNTIFS('Trade Log'!$G$4:$G$503,"&gt;="&amp;DATE(2026,8,17),'Trade Log'!$G$4:$G$503,"&lt;"&amp;DATE(2026,8,24),'Trade Log'!$L$4:$L$503,"&gt;0")</f>
        <v/>
      </c>
      <c r="D11" s="20">
        <f>COUNTIFS('Trade Log'!$G$4:$G$503,"&gt;="&amp;DATE(2026,8,17),'Trade Log'!$G$4:$G$503,"&lt;"&amp;DATE(2026,8,24),'Trade Log'!$L$4:$L$503,"&lt;0")</f>
        <v/>
      </c>
      <c r="E11" s="22">
        <f>IFERROR($C11/$B11,"")</f>
        <v/>
      </c>
      <c r="F11" s="21">
        <f>SUMIFS('Trade Log'!$I$4:$I$503,'Trade Log'!$G$4:$G$503,"&gt;="&amp;DATE(2026,8,17),'Trade Log'!$G$4:$G$503,"&lt;"&amp;DATE(2026,8,24))</f>
        <v/>
      </c>
      <c r="G11" s="21">
        <f>SUMIFS('Trade Log'!$L$4:$L$503,'Trade Log'!$G$4:$G$503,"&gt;="&amp;DATE(2026,8,17),'Trade Log'!$G$4:$G$503,"&lt;"&amp;DATE(2026,8,24))</f>
        <v/>
      </c>
      <c r="H11" s="21">
        <f>IFERROR($G11/$B11,"")</f>
        <v/>
      </c>
      <c r="I11" s="21">
        <f>IFERROR(_xlfn.MAXIFS('Trade Log'!$L$4:$L$503,'Trade Log'!$G$4:$G$503,"&gt;="&amp;DATE(2026,8,17),'Trade Log'!$G$4:$G$503,"&lt;"&amp;DATE(2026,8,24)),"")</f>
        <v/>
      </c>
      <c r="J11" s="21">
        <f>IFERROR(_xlfn.MINIFS('Trade Log'!$L$4:$L$503,'Trade Log'!$G$4:$G$503,"&gt;="&amp;DATE(2026,8,17),'Trade Log'!$G$4:$G$503,"&lt;"&amp;DATE(2026,8,24)),"")</f>
        <v/>
      </c>
      <c r="K11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2">
      <c r="A12" s="28" t="n">
        <v>46258</v>
      </c>
      <c r="B12" s="20">
        <f>COUNTIFS('Trade Log'!$G$4:$G$503,"&gt;="&amp;DATE(2026,8,24),'Trade Log'!$G$4:$G$503,"&lt;"&amp;DATE(2026,8,31))</f>
        <v/>
      </c>
      <c r="C12" s="20">
        <f>COUNTIFS('Trade Log'!$G$4:$G$503,"&gt;="&amp;DATE(2026,8,24),'Trade Log'!$G$4:$G$503,"&lt;"&amp;DATE(2026,8,31),'Trade Log'!$L$4:$L$503,"&gt;0")</f>
        <v/>
      </c>
      <c r="D12" s="20">
        <f>COUNTIFS('Trade Log'!$G$4:$G$503,"&gt;="&amp;DATE(2026,8,24),'Trade Log'!$G$4:$G$503,"&lt;"&amp;DATE(2026,8,31),'Trade Log'!$L$4:$L$503,"&lt;0")</f>
        <v/>
      </c>
      <c r="E12" s="22">
        <f>IFERROR($C12/$B12,"")</f>
        <v/>
      </c>
      <c r="F12" s="21">
        <f>SUMIFS('Trade Log'!$I$4:$I$503,'Trade Log'!$G$4:$G$503,"&gt;="&amp;DATE(2026,8,24),'Trade Log'!$G$4:$G$503,"&lt;"&amp;DATE(2026,8,31))</f>
        <v/>
      </c>
      <c r="G12" s="21">
        <f>SUMIFS('Trade Log'!$L$4:$L$503,'Trade Log'!$G$4:$G$503,"&gt;="&amp;DATE(2026,8,24),'Trade Log'!$G$4:$G$503,"&lt;"&amp;DATE(2026,8,31))</f>
        <v/>
      </c>
      <c r="H12" s="21">
        <f>IFERROR($G12/$B12,"")</f>
        <v/>
      </c>
      <c r="I12" s="21">
        <f>IFERROR(_xlfn.MAXIFS('Trade Log'!$L$4:$L$503,'Trade Log'!$G$4:$G$503,"&gt;="&amp;DATE(2026,8,24),'Trade Log'!$G$4:$G$503,"&lt;"&amp;DATE(2026,8,31)),"")</f>
        <v/>
      </c>
      <c r="J12" s="21">
        <f>IFERROR(_xlfn.MINIFS('Trade Log'!$L$4:$L$503,'Trade Log'!$G$4:$G$503,"&gt;="&amp;DATE(2026,8,24),'Trade Log'!$G$4:$G$503,"&lt;"&amp;DATE(2026,8,31)),"")</f>
        <v/>
      </c>
      <c r="K12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3">
      <c r="A13" s="28" t="n">
        <v>46265</v>
      </c>
      <c r="B13" s="20">
        <f>COUNTIFS('Trade Log'!$G$4:$G$503,"&gt;="&amp;DATE(2026,8,31),'Trade Log'!$G$4:$G$503,"&lt;"&amp;DATE(2026,9,7))</f>
        <v/>
      </c>
      <c r="C13" s="20">
        <f>COUNTIFS('Trade Log'!$G$4:$G$503,"&gt;="&amp;DATE(2026,8,31),'Trade Log'!$G$4:$G$503,"&lt;"&amp;DATE(2026,9,7),'Trade Log'!$L$4:$L$503,"&gt;0")</f>
        <v/>
      </c>
      <c r="D13" s="20">
        <f>COUNTIFS('Trade Log'!$G$4:$G$503,"&gt;="&amp;DATE(2026,8,31),'Trade Log'!$G$4:$G$503,"&lt;"&amp;DATE(2026,9,7),'Trade Log'!$L$4:$L$503,"&lt;0")</f>
        <v/>
      </c>
      <c r="E13" s="22">
        <f>IFERROR($C13/$B13,"")</f>
        <v/>
      </c>
      <c r="F13" s="21">
        <f>SUMIFS('Trade Log'!$I$4:$I$503,'Trade Log'!$G$4:$G$503,"&gt;="&amp;DATE(2026,8,31),'Trade Log'!$G$4:$G$503,"&lt;"&amp;DATE(2026,9,7))</f>
        <v/>
      </c>
      <c r="G13" s="21">
        <f>SUMIFS('Trade Log'!$L$4:$L$503,'Trade Log'!$G$4:$G$503,"&gt;="&amp;DATE(2026,8,31),'Trade Log'!$G$4:$G$503,"&lt;"&amp;DATE(2026,9,7))</f>
        <v/>
      </c>
      <c r="H13" s="21">
        <f>IFERROR($G13/$B13,"")</f>
        <v/>
      </c>
      <c r="I13" s="21">
        <f>IFERROR(_xlfn.MAXIFS('Trade Log'!$L$4:$L$503,'Trade Log'!$G$4:$G$503,"&gt;="&amp;DATE(2026,8,31),'Trade Log'!$G$4:$G$503,"&lt;"&amp;DATE(2026,9,7)),"")</f>
        <v/>
      </c>
      <c r="J13" s="21">
        <f>IFERROR(_xlfn.MINIFS('Trade Log'!$L$4:$L$503,'Trade Log'!$G$4:$G$503,"&gt;="&amp;DATE(2026,8,31),'Trade Log'!$G$4:$G$503,"&lt;"&amp;DATE(2026,9,7)),"")</f>
        <v/>
      </c>
      <c r="K13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4">
      <c r="A14" s="28" t="n">
        <v>46272</v>
      </c>
      <c r="B14" s="20">
        <f>COUNTIFS('Trade Log'!$G$4:$G$503,"&gt;="&amp;DATE(2026,9,7),'Trade Log'!$G$4:$G$503,"&lt;"&amp;DATE(2026,9,14))</f>
        <v/>
      </c>
      <c r="C14" s="20">
        <f>COUNTIFS('Trade Log'!$G$4:$G$503,"&gt;="&amp;DATE(2026,9,7),'Trade Log'!$G$4:$G$503,"&lt;"&amp;DATE(2026,9,14),'Trade Log'!$L$4:$L$503,"&gt;0")</f>
        <v/>
      </c>
      <c r="D14" s="20">
        <f>COUNTIFS('Trade Log'!$G$4:$G$503,"&gt;="&amp;DATE(2026,9,7),'Trade Log'!$G$4:$G$503,"&lt;"&amp;DATE(2026,9,14),'Trade Log'!$L$4:$L$503,"&lt;0")</f>
        <v/>
      </c>
      <c r="E14" s="22">
        <f>IFERROR($C14/$B14,"")</f>
        <v/>
      </c>
      <c r="F14" s="21">
        <f>SUMIFS('Trade Log'!$I$4:$I$503,'Trade Log'!$G$4:$G$503,"&gt;="&amp;DATE(2026,9,7),'Trade Log'!$G$4:$G$503,"&lt;"&amp;DATE(2026,9,14))</f>
        <v/>
      </c>
      <c r="G14" s="21">
        <f>SUMIFS('Trade Log'!$L$4:$L$503,'Trade Log'!$G$4:$G$503,"&gt;="&amp;DATE(2026,9,7),'Trade Log'!$G$4:$G$503,"&lt;"&amp;DATE(2026,9,14))</f>
        <v/>
      </c>
      <c r="H14" s="21">
        <f>IFERROR($G14/$B14,"")</f>
        <v/>
      </c>
      <c r="I14" s="21">
        <f>IFERROR(_xlfn.MAXIFS('Trade Log'!$L$4:$L$503,'Trade Log'!$G$4:$G$503,"&gt;="&amp;DATE(2026,9,7),'Trade Log'!$G$4:$G$503,"&lt;"&amp;DATE(2026,9,14)),"")</f>
        <v/>
      </c>
      <c r="J14" s="21">
        <f>IFERROR(_xlfn.MINIFS('Trade Log'!$L$4:$L$503,'Trade Log'!$G$4:$G$503,"&gt;="&amp;DATE(2026,9,7),'Trade Log'!$G$4:$G$503,"&lt;"&amp;DATE(2026,9,14)),"")</f>
        <v/>
      </c>
      <c r="K14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5">
      <c r="A15" s="28" t="n">
        <v>46279</v>
      </c>
      <c r="B15" s="20">
        <f>COUNTIFS('Trade Log'!$G$4:$G$503,"&gt;="&amp;DATE(2026,9,14),'Trade Log'!$G$4:$G$503,"&lt;"&amp;DATE(2026,9,21))</f>
        <v/>
      </c>
      <c r="C15" s="20">
        <f>COUNTIFS('Trade Log'!$G$4:$G$503,"&gt;="&amp;DATE(2026,9,14),'Trade Log'!$G$4:$G$503,"&lt;"&amp;DATE(2026,9,21),'Trade Log'!$L$4:$L$503,"&gt;0")</f>
        <v/>
      </c>
      <c r="D15" s="20">
        <f>COUNTIFS('Trade Log'!$G$4:$G$503,"&gt;="&amp;DATE(2026,9,14),'Trade Log'!$G$4:$G$503,"&lt;"&amp;DATE(2026,9,21),'Trade Log'!$L$4:$L$503,"&lt;0")</f>
        <v/>
      </c>
      <c r="E15" s="22">
        <f>IFERROR($C15/$B15,"")</f>
        <v/>
      </c>
      <c r="F15" s="21">
        <f>SUMIFS('Trade Log'!$I$4:$I$503,'Trade Log'!$G$4:$G$503,"&gt;="&amp;DATE(2026,9,14),'Trade Log'!$G$4:$G$503,"&lt;"&amp;DATE(2026,9,21))</f>
        <v/>
      </c>
      <c r="G15" s="21">
        <f>SUMIFS('Trade Log'!$L$4:$L$503,'Trade Log'!$G$4:$G$503,"&gt;="&amp;DATE(2026,9,14),'Trade Log'!$G$4:$G$503,"&lt;"&amp;DATE(2026,9,21))</f>
        <v/>
      </c>
      <c r="H15" s="21">
        <f>IFERROR($G15/$B15,"")</f>
        <v/>
      </c>
      <c r="I15" s="21">
        <f>IFERROR(_xlfn.MAXIFS('Trade Log'!$L$4:$L$503,'Trade Log'!$G$4:$G$503,"&gt;="&amp;DATE(2026,9,14),'Trade Log'!$G$4:$G$503,"&lt;"&amp;DATE(2026,9,21)),"")</f>
        <v/>
      </c>
      <c r="J15" s="21">
        <f>IFERROR(_xlfn.MINIFS('Trade Log'!$L$4:$L$503,'Trade Log'!$G$4:$G$503,"&gt;="&amp;DATE(2026,9,14),'Trade Log'!$G$4:$G$503,"&lt;"&amp;DATE(2026,9,21)),"")</f>
        <v/>
      </c>
      <c r="K15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6">
      <c r="A16" s="28" t="n">
        <v>46286</v>
      </c>
      <c r="B16" s="20">
        <f>COUNTIFS('Trade Log'!$G$4:$G$503,"&gt;="&amp;DATE(2026,9,21),'Trade Log'!$G$4:$G$503,"&lt;"&amp;DATE(2026,9,28))</f>
        <v/>
      </c>
      <c r="C16" s="20">
        <f>COUNTIFS('Trade Log'!$G$4:$G$503,"&gt;="&amp;DATE(2026,9,21),'Trade Log'!$G$4:$G$503,"&lt;"&amp;DATE(2026,9,28),'Trade Log'!$L$4:$L$503,"&gt;0")</f>
        <v/>
      </c>
      <c r="D16" s="20">
        <f>COUNTIFS('Trade Log'!$G$4:$G$503,"&gt;="&amp;DATE(2026,9,21),'Trade Log'!$G$4:$G$503,"&lt;"&amp;DATE(2026,9,28),'Trade Log'!$L$4:$L$503,"&lt;0")</f>
        <v/>
      </c>
      <c r="E16" s="22">
        <f>IFERROR($C16/$B16,"")</f>
        <v/>
      </c>
      <c r="F16" s="21">
        <f>SUMIFS('Trade Log'!$I$4:$I$503,'Trade Log'!$G$4:$G$503,"&gt;="&amp;DATE(2026,9,21),'Trade Log'!$G$4:$G$503,"&lt;"&amp;DATE(2026,9,28))</f>
        <v/>
      </c>
      <c r="G16" s="21">
        <f>SUMIFS('Trade Log'!$L$4:$L$503,'Trade Log'!$G$4:$G$503,"&gt;="&amp;DATE(2026,9,21),'Trade Log'!$G$4:$G$503,"&lt;"&amp;DATE(2026,9,28))</f>
        <v/>
      </c>
      <c r="H16" s="21">
        <f>IFERROR($G16/$B16,"")</f>
        <v/>
      </c>
      <c r="I16" s="21">
        <f>IFERROR(_xlfn.MAXIFS('Trade Log'!$L$4:$L$503,'Trade Log'!$G$4:$G$503,"&gt;="&amp;DATE(2026,9,21),'Trade Log'!$G$4:$G$503,"&lt;"&amp;DATE(2026,9,28)),"")</f>
        <v/>
      </c>
      <c r="J16" s="21">
        <f>IFERROR(_xlfn.MINIFS('Trade Log'!$L$4:$L$503,'Trade Log'!$G$4:$G$503,"&gt;="&amp;DATE(2026,9,21),'Trade Log'!$G$4:$G$503,"&lt;"&amp;DATE(2026,9,28)),"")</f>
        <v/>
      </c>
      <c r="K16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7">
      <c r="A17" s="3" t="inlineStr">
        <is>
          <t>TOTAL</t>
        </is>
      </c>
      <c r="B17" s="30">
        <f>SUM(B11:B16)</f>
        <v/>
      </c>
      <c r="C17" s="30">
        <f>SUM(C11:C16)</f>
        <v/>
      </c>
      <c r="D17" s="30">
        <f>SUM(D11:D16)</f>
        <v/>
      </c>
      <c r="E17" s="31">
        <f>IFERROR(C17/B17,"")</f>
        <v/>
      </c>
      <c r="F17" s="32">
        <f>SUM(F11:F16)</f>
        <v/>
      </c>
      <c r="G17" s="32">
        <f>SUM(G11:G16)</f>
        <v/>
      </c>
      <c r="H17" s="32">
        <f>IFERROR(G17/B17,"")</f>
        <v/>
      </c>
      <c r="K17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2026-09-28T00:47:11Z</dcterms:created>
  <dcterms:modified xmlns:dcterms="http://purl.org/dc/terms/" xmlns:xsi="http://www.w3.org/2001/XMLSchema-instance" xsi:type="dcterms:W3CDTF">2026-09-28T00:47:12Z</dcterms:modified>
</cp:coreProperties>
</file>