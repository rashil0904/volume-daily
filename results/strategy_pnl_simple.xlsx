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824.42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828.1799999999999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811.26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810.36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831.59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158.12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485.23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150.86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499.13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504.66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501.11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505.69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152.7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149.05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496.52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500.36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156.88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102.97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105.07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106.77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856.27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106.4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106.17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104.11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1180.15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107.14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846.76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503.53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499.18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178.58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503.19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493.06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181.75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179.88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106.27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105.3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106.56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103.52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949.8099999999999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934.5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964.41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833.89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892.01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888.66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831.16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830.12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n">
        <v>46266</v>
      </c>
      <c r="H50" s="25" t="n">
        <v>121.8089</v>
      </c>
      <c r="I50" s="21">
        <f>IF(OR($B50="",$H50=""),"",IF($C50="LONG",($H50-$E50)*$F50,($E50-$H50)*$F50))</f>
        <v/>
      </c>
      <c r="J50" s="4" t="n">
        <v>966.99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150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145.38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139.92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n">
        <v>46266</v>
      </c>
      <c r="H54" s="25" t="n">
        <v>303.0902</v>
      </c>
      <c r="I54" s="21">
        <f>IF(OR($B54="",$H54=""),"",IF($C54="LONG",($H54-$E54)*$F54,($E54-$H54)*$F54))</f>
        <v/>
      </c>
      <c r="J54" s="4" t="n">
        <v>939.37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146.82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147.8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n">
        <v>46266</v>
      </c>
      <c r="H57" s="25" t="n">
        <v>1666.1965</v>
      </c>
      <c r="I57" s="21">
        <f>IF(OR($B57="",$H57=""),"",IF($C57="LONG",($H57-$E57)*$F57,($E57-$H57)*$F57))</f>
        <v/>
      </c>
      <c r="J57" s="4" t="n">
        <v>937.8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inlineStr">
        <is>
          <t>DHAN-22126090197109</t>
        </is>
      </c>
      <c r="B58" s="23" t="inlineStr">
        <is>
          <t>ASHOKA</t>
        </is>
      </c>
      <c r="C58" s="23" t="inlineStr">
        <is>
          <t>SHORT</t>
        </is>
      </c>
      <c r="D58" s="24" t="n">
        <v>46266</v>
      </c>
      <c r="E58" s="25" t="n">
        <v>121.775</v>
      </c>
      <c r="F58" s="26" t="n">
        <v>2933</v>
      </c>
      <c r="G58" s="24" t="n">
        <v>46266</v>
      </c>
      <c r="H58" s="25" t="n">
        <v>122.25</v>
      </c>
      <c r="I58" s="21">
        <f>IF(OR($B58="",$H58=""),"",IF($C58="LONG",($H58-$E58)*$F58,($E58-$H58)*$F58))</f>
        <v/>
      </c>
      <c r="J58" s="4" t="n">
        <v>174.02</v>
      </c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inlineStr">
        <is>
          <t>DHAN-221260901437609</t>
        </is>
      </c>
      <c r="B59" s="23" t="inlineStr">
        <is>
          <t>NORTHARC</t>
        </is>
      </c>
      <c r="C59" s="23" t="inlineStr">
        <is>
          <t>SHORT</t>
        </is>
      </c>
      <c r="D59" s="24" t="n">
        <v>46266</v>
      </c>
      <c r="E59" s="25" t="n">
        <v>303.0625</v>
      </c>
      <c r="F59" s="26" t="n">
        <v>1117</v>
      </c>
      <c r="G59" s="24" t="n">
        <v>46266</v>
      </c>
      <c r="H59" s="25" t="n">
        <v>299.1408</v>
      </c>
      <c r="I59" s="21">
        <f>IF(OR($B59="",$H59=""),"",IF($C59="LONG",($H59-$E59)*$F59,($E59-$H59)*$F59))</f>
        <v/>
      </c>
      <c r="J59" s="4" t="n">
        <v>167.02</v>
      </c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inlineStr">
        <is>
          <t>DHAN-221260901669709</t>
        </is>
      </c>
      <c r="B60" s="23" t="inlineStr">
        <is>
          <t>SAKAR</t>
        </is>
      </c>
      <c r="C60" s="23" t="inlineStr">
        <is>
          <t>LONG</t>
        </is>
      </c>
      <c r="D60" s="24" t="n">
        <v>46266</v>
      </c>
      <c r="E60" s="25" t="n">
        <v>961.5373</v>
      </c>
      <c r="F60" s="26" t="n">
        <v>181</v>
      </c>
      <c r="G60" s="24" t="n">
        <v>46267</v>
      </c>
      <c r="H60" s="25" t="n">
        <v>987.1939</v>
      </c>
      <c r="I60" s="21">
        <f>IF(OR($B60="",$H60=""),"",IF($C60="LONG",($H60-$E60)*$F60,($E60-$H60)*$F60))</f>
        <v/>
      </c>
      <c r="J60" s="4" t="n">
        <v>406.77</v>
      </c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inlineStr">
        <is>
          <t>DHAN-321260901678509</t>
        </is>
      </c>
      <c r="B61" s="23" t="inlineStr">
        <is>
          <t>SOTL</t>
        </is>
      </c>
      <c r="C61" s="23" t="inlineStr">
        <is>
          <t>LONG</t>
        </is>
      </c>
      <c r="D61" s="24" t="n">
        <v>46266</v>
      </c>
      <c r="E61" s="25" t="n">
        <v>773.7782999999999</v>
      </c>
      <c r="F61" s="26" t="n">
        <v>454</v>
      </c>
      <c r="G61" s="24" t="n">
        <v>46267</v>
      </c>
      <c r="H61" s="25" t="n">
        <v>781.4043</v>
      </c>
      <c r="I61" s="21">
        <f>IF(OR($B61="",$H61=""),"",IF($C61="LONG",($H61-$E61)*$F61,($E61-$H61)*$F61))</f>
        <v/>
      </c>
      <c r="J61" s="4" t="n">
        <v>954.59</v>
      </c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inlineStr">
        <is>
          <t>DHAN-34126090172909</t>
        </is>
      </c>
      <c r="B62" s="23" t="inlineStr">
        <is>
          <t>SSWL</t>
        </is>
      </c>
      <c r="C62" s="23" t="inlineStr">
        <is>
          <t>LONG</t>
        </is>
      </c>
      <c r="D62" s="24" t="n">
        <v>46266</v>
      </c>
      <c r="E62" s="25" t="n">
        <v>361.4802</v>
      </c>
      <c r="F62" s="26" t="n">
        <v>981</v>
      </c>
      <c r="G62" s="24" t="n">
        <v>46267</v>
      </c>
      <c r="H62" s="25" t="n">
        <v>340.3868</v>
      </c>
      <c r="I62" s="21">
        <f>IF(OR($B62="",$H62=""),"",IF($C62="LONG",($H62-$E62)*$F62,($E62-$H62)*$F62))</f>
        <v/>
      </c>
      <c r="J62" s="4" t="n">
        <v>944.79</v>
      </c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inlineStr">
        <is>
          <t>DHAN-23126090154109</t>
        </is>
      </c>
      <c r="B63" s="23" t="inlineStr">
        <is>
          <t>VENKEYS</t>
        </is>
      </c>
      <c r="C63" s="23" t="inlineStr">
        <is>
          <t>SHORT</t>
        </is>
      </c>
      <c r="D63" s="24" t="n">
        <v>46266</v>
      </c>
      <c r="E63" s="25" t="n">
        <v>1664.2166</v>
      </c>
      <c r="F63" s="26" t="n">
        <v>205</v>
      </c>
      <c r="G63" s="24" t="n">
        <v>46266</v>
      </c>
      <c r="H63" s="25" t="n">
        <v>1647.3204</v>
      </c>
      <c r="I63" s="21">
        <f>IF(OR($B63="",$H63=""),"",IF($C63="LONG",($H63-$E63)*$F63,($E63-$H63)*$F63))</f>
        <v/>
      </c>
      <c r="J63" s="4" t="n">
        <v>168.01</v>
      </c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inlineStr">
        <is>
          <t>DHAN-231260902149109</t>
        </is>
      </c>
      <c r="B64" s="23" t="inlineStr">
        <is>
          <t>HERITGFOOD</t>
        </is>
      </c>
      <c r="C64" s="23" t="inlineStr">
        <is>
          <t>LONG</t>
        </is>
      </c>
      <c r="D64" s="24" t="n">
        <v>46267</v>
      </c>
      <c r="E64" s="25" t="n">
        <v>378</v>
      </c>
      <c r="F64" s="26" t="n">
        <v>529</v>
      </c>
      <c r="G64" s="24" t="n">
        <v>46268</v>
      </c>
      <c r="H64" s="25" t="n">
        <v>372.563</v>
      </c>
      <c r="I64" s="21">
        <f>IF(OR($B64="",$H64=""),"",IF($C64="LONG",($H64-$E64)*$F64,($E64-$H64)*$F64))</f>
        <v/>
      </c>
      <c r="J64" s="4" t="n">
        <v>585.74</v>
      </c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inlineStr">
        <is>
          <t>DHAN-321260902743009</t>
        </is>
      </c>
      <c r="B65" s="23" t="inlineStr">
        <is>
          <t>INDOCO</t>
        </is>
      </c>
      <c r="C65" s="23" t="inlineStr">
        <is>
          <t>LONG</t>
        </is>
      </c>
      <c r="D65" s="24" t="n">
        <v>46267</v>
      </c>
      <c r="E65" s="25" t="n">
        <v>274.0386</v>
      </c>
      <c r="F65" s="26" t="n">
        <v>731</v>
      </c>
      <c r="G65" s="24" t="n">
        <v>46268</v>
      </c>
      <c r="H65" s="25" t="n">
        <v>274.9479</v>
      </c>
      <c r="I65" s="21">
        <f>IF(OR($B65="",$H65=""),"",IF($C65="LONG",($H65-$E65)*$F65,($E65-$H65)*$F65))</f>
        <v/>
      </c>
      <c r="J65" s="4" t="n">
        <v>584.8200000000001</v>
      </c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inlineStr">
        <is>
          <t>DHAN-221260902120009</t>
        </is>
      </c>
      <c r="B66" s="23" t="inlineStr">
        <is>
          <t>SAKAR</t>
        </is>
      </c>
      <c r="C66" s="23" t="inlineStr">
        <is>
          <t>SHORT</t>
        </is>
      </c>
      <c r="D66" s="24" t="n">
        <v>46267</v>
      </c>
      <c r="E66" s="25" t="n">
        <v>987.1041</v>
      </c>
      <c r="F66" s="26" t="n">
        <v>181</v>
      </c>
      <c r="G66" s="24" t="n">
        <v>46267</v>
      </c>
      <c r="H66" s="25" t="n">
        <v>984.9721</v>
      </c>
      <c r="I66" s="21">
        <f>IF(OR($B66="",$H66=""),"",IF($C66="LONG",($H66-$E66)*$F66,($E66-$H66)*$F66))</f>
        <v/>
      </c>
      <c r="J66" s="4" t="n">
        <v>110.57</v>
      </c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inlineStr">
        <is>
          <t>DHAN-23126090223909</t>
        </is>
      </c>
      <c r="B67" s="23" t="inlineStr">
        <is>
          <t>SOTL</t>
        </is>
      </c>
      <c r="C67" s="23" t="inlineStr">
        <is>
          <t>SHORT</t>
        </is>
      </c>
      <c r="D67" s="24" t="n">
        <v>46267</v>
      </c>
      <c r="E67" s="25" t="n">
        <v>781.15</v>
      </c>
      <c r="F67" s="26" t="n">
        <v>454</v>
      </c>
      <c r="G67" s="24" t="n">
        <v>46267</v>
      </c>
      <c r="H67" s="25" t="n">
        <v>759.8953</v>
      </c>
      <c r="I67" s="21">
        <f>IF(OR($B67="",$H67=""),"",IF($C67="LONG",($H67-$E67)*$F67,($E67-$H67)*$F67))</f>
        <v/>
      </c>
      <c r="J67" s="4" t="n">
        <v>172.38</v>
      </c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inlineStr">
        <is>
          <t>DHAN-231260902110309</t>
        </is>
      </c>
      <c r="B68" s="23" t="inlineStr">
        <is>
          <t>SSWL</t>
        </is>
      </c>
      <c r="C68" s="23" t="inlineStr">
        <is>
          <t>SHORT</t>
        </is>
      </c>
      <c r="D68" s="24" t="n">
        <v>46267</v>
      </c>
      <c r="E68" s="25" t="n">
        <v>340.3105</v>
      </c>
      <c r="F68" s="26" t="n">
        <v>981</v>
      </c>
      <c r="G68" s="24" t="n">
        <v>46267</v>
      </c>
      <c r="H68" s="25" t="n">
        <v>345.273</v>
      </c>
      <c r="I68" s="21">
        <f>IF(OR($B68="",$H68=""),"",IF($C68="LONG",($H68-$E68)*$F68,($E68-$H68)*$F68))</f>
        <v/>
      </c>
      <c r="J68" s="4" t="n">
        <v>165.98</v>
      </c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inlineStr">
        <is>
          <t>DHAN-221260902724009</t>
        </is>
      </c>
      <c r="B69" s="23" t="inlineStr">
        <is>
          <t>TBZ</t>
        </is>
      </c>
      <c r="C69" s="23" t="inlineStr">
        <is>
          <t>LONG</t>
        </is>
      </c>
      <c r="D69" s="24" t="n">
        <v>46267</v>
      </c>
      <c r="E69" s="25" t="n">
        <v>416.35</v>
      </c>
      <c r="F69" s="26" t="n">
        <v>242</v>
      </c>
      <c r="G69" s="24" t="n">
        <v>46268</v>
      </c>
      <c r="H69" s="25" t="n">
        <v>422.9651</v>
      </c>
      <c r="I69" s="21">
        <f>IF(OR($B69="",$H69=""),"",IF($C69="LONG",($H69-$E69)*$F69,($E69-$H69)*$F69))</f>
        <v/>
      </c>
      <c r="J69" s="4" t="n">
        <v>240.58</v>
      </c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inlineStr">
        <is>
          <t>DHAN-321260902743109</t>
        </is>
      </c>
      <c r="B70" s="23" t="inlineStr">
        <is>
          <t>WINDLAS</t>
        </is>
      </c>
      <c r="C70" s="23" t="inlineStr">
        <is>
          <t>LONG</t>
        </is>
      </c>
      <c r="D70" s="24" t="n">
        <v>46267</v>
      </c>
      <c r="E70" s="25" t="n">
        <v>1101.477</v>
      </c>
      <c r="F70" s="26" t="n">
        <v>181</v>
      </c>
      <c r="G70" s="24" t="n">
        <v>46268</v>
      </c>
      <c r="H70" s="25" t="n">
        <v>1138.2559</v>
      </c>
      <c r="I70" s="21">
        <f>IF(OR($B70="",$H70=""),"",IF($C70="LONG",($H70-$E70)*$F70,($E70-$H70)*$F70))</f>
        <v/>
      </c>
      <c r="J70" s="4" t="n">
        <v>588.72</v>
      </c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inlineStr">
        <is>
          <t>DHAN-321260902743209</t>
        </is>
      </c>
      <c r="B71" s="23" t="inlineStr">
        <is>
          <t>XPROINDIA</t>
        </is>
      </c>
      <c r="C71" s="23" t="inlineStr">
        <is>
          <t>LONG</t>
        </is>
      </c>
      <c r="D71" s="24" t="n">
        <v>46267</v>
      </c>
      <c r="E71" s="25" t="n">
        <v>1291.5</v>
      </c>
      <c r="F71" s="26" t="n">
        <v>154</v>
      </c>
      <c r="G71" s="24" t="n">
        <v>46268</v>
      </c>
      <c r="H71" s="25" t="n">
        <v>1300.3182</v>
      </c>
      <c r="I71" s="21">
        <f>IF(OR($B71="",$H71=""),"",IF($C71="LONG",($H71-$E71)*$F71,($E71-$H71)*$F71))</f>
        <v/>
      </c>
      <c r="J71" s="4" t="n">
        <v>582.0700000000001</v>
      </c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inlineStr">
        <is>
          <t>DHAN-34126090364809</t>
        </is>
      </c>
      <c r="B72" s="23" t="inlineStr">
        <is>
          <t>ALEMBICLTD</t>
        </is>
      </c>
      <c r="C72" s="23" t="inlineStr">
        <is>
          <t>LONG</t>
        </is>
      </c>
      <c r="D72" s="24" t="n">
        <v>46268</v>
      </c>
      <c r="E72" s="25" t="n">
        <v>109.8863</v>
      </c>
      <c r="F72" s="26" t="n">
        <v>1597</v>
      </c>
      <c r="G72" s="24" t="n">
        <v>46269</v>
      </c>
      <c r="H72" s="25" t="n">
        <v>114.1086</v>
      </c>
      <c r="I72" s="21">
        <f>IF(OR($B72="",$H72=""),"",IF($C72="LONG",($H72-$E72)*$F72,($E72-$H72)*$F72))</f>
        <v/>
      </c>
      <c r="J72" s="4" t="n">
        <v>530.78</v>
      </c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inlineStr">
        <is>
          <t>DHAN-321260903596709</t>
        </is>
      </c>
      <c r="B73" s="23" t="inlineStr">
        <is>
          <t>ANTELOPUS</t>
        </is>
      </c>
      <c r="C73" s="23" t="inlineStr">
        <is>
          <t>LONG</t>
        </is>
      </c>
      <c r="D73" s="24" t="n">
        <v>46268</v>
      </c>
      <c r="E73" s="25" t="n">
        <v>1012.0773</v>
      </c>
      <c r="F73" s="26" t="n">
        <v>86</v>
      </c>
      <c r="G73" s="24" t="n">
        <v>46269</v>
      </c>
      <c r="H73" s="25" t="n">
        <v>1004.061</v>
      </c>
      <c r="I73" s="21">
        <f>IF(OR($B73="",$H73=""),"",IF($C73="LONG",($H73-$E73)*$F73,($E73-$H73)*$F73))</f>
        <v/>
      </c>
      <c r="J73" s="4" t="n">
        <v>207.68</v>
      </c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inlineStr">
        <is>
          <t>DHAN-34126090364909</t>
        </is>
      </c>
      <c r="B74" s="23" t="inlineStr">
        <is>
          <t>BFUTILITIE</t>
        </is>
      </c>
      <c r="C74" s="23" t="inlineStr">
        <is>
          <t>LONG</t>
        </is>
      </c>
      <c r="D74" s="24" t="n">
        <v>46268</v>
      </c>
      <c r="E74" s="25" t="n">
        <v>544.1489</v>
      </c>
      <c r="F74" s="26" t="n">
        <v>321</v>
      </c>
      <c r="G74" s="24" t="n">
        <v>46269</v>
      </c>
      <c r="H74" s="25" t="n">
        <v>559.1366</v>
      </c>
      <c r="I74" s="21">
        <f>IF(OR($B74="",$H74=""),"",IF($C74="LONG",($H74-$E74)*$F74,($E74-$H74)*$F74))</f>
        <v/>
      </c>
      <c r="J74" s="4" t="n">
        <v>520.8200000000001</v>
      </c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inlineStr">
        <is>
          <t>DHAN-221260903780209</t>
        </is>
      </c>
      <c r="B75" s="23" t="inlineStr">
        <is>
          <t>GOCLCORP</t>
        </is>
      </c>
      <c r="C75" s="23" t="inlineStr">
        <is>
          <t>LONG</t>
        </is>
      </c>
      <c r="D75" s="24" t="n">
        <v>46268</v>
      </c>
      <c r="E75" s="25" t="n">
        <v>421.586</v>
      </c>
      <c r="F75" s="26" t="n">
        <v>414</v>
      </c>
      <c r="G75" s="24" t="n">
        <v>46269</v>
      </c>
      <c r="H75" s="25" t="n">
        <v>424.026</v>
      </c>
      <c r="I75" s="21">
        <f>IF(OR($B75="",$H75=""),"",IF($C75="LONG",($H75-$E75)*$F75,($E75-$H75)*$F75))</f>
        <v/>
      </c>
      <c r="J75" s="4" t="n">
        <v>522.52</v>
      </c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inlineStr">
        <is>
          <t>DHAN-23126090343709</t>
        </is>
      </c>
      <c r="B76" s="23" t="inlineStr">
        <is>
          <t>HERITGFOOD</t>
        </is>
      </c>
      <c r="C76" s="23" t="inlineStr">
        <is>
          <t>SHORT</t>
        </is>
      </c>
      <c r="D76" s="24" t="n">
        <v>46268</v>
      </c>
      <c r="E76" s="25" t="n">
        <v>372.1501</v>
      </c>
      <c r="F76" s="26" t="n">
        <v>529</v>
      </c>
      <c r="G76" s="24" t="n">
        <v>46268</v>
      </c>
      <c r="H76" s="25" t="n">
        <v>372.0471</v>
      </c>
      <c r="I76" s="21">
        <f>IF(OR($B76="",$H76=""),"",IF($C76="LONG",($H76-$E76)*$F76,($E76-$H76)*$F76))</f>
        <v/>
      </c>
      <c r="J76" s="4" t="n">
        <v>117.05</v>
      </c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inlineStr">
        <is>
          <t>DHAN-23126090365609</t>
        </is>
      </c>
      <c r="B77" s="23" t="inlineStr">
        <is>
          <t>HINDOILEXP</t>
        </is>
      </c>
      <c r="C77" s="23" t="inlineStr">
        <is>
          <t>LONG</t>
        </is>
      </c>
      <c r="D77" s="24" t="n">
        <v>46268</v>
      </c>
      <c r="E77" s="25" t="n">
        <v>183.9966</v>
      </c>
      <c r="F77" s="26" t="n">
        <v>951</v>
      </c>
      <c r="G77" s="24" t="n">
        <v>46269</v>
      </c>
      <c r="H77" s="25" t="n">
        <v>181.9446</v>
      </c>
      <c r="I77" s="21">
        <f>IF(OR($B77="",$H77=""),"",IF($C77="LONG",($H77-$E77)*$F77,($E77-$H77)*$F77))</f>
        <v/>
      </c>
      <c r="J77" s="4" t="n">
        <v>522.78</v>
      </c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inlineStr">
        <is>
          <t>DHAN-22126090392509</t>
        </is>
      </c>
      <c r="B78" s="23" t="inlineStr">
        <is>
          <t>INDOCO</t>
        </is>
      </c>
      <c r="C78" s="23" t="inlineStr">
        <is>
          <t>SHORT</t>
        </is>
      </c>
      <c r="D78" s="24" t="n">
        <v>46268</v>
      </c>
      <c r="E78" s="25" t="n">
        <v>274.0624</v>
      </c>
      <c r="F78" s="26" t="n">
        <v>731</v>
      </c>
      <c r="G78" s="24" t="n">
        <v>46268</v>
      </c>
      <c r="H78" s="25" t="n">
        <v>278.0089</v>
      </c>
      <c r="I78" s="21">
        <f>IF(OR($B78="",$H78=""),"",IF($C78="LONG",($H78-$E78)*$F78,($E78-$H78)*$F78))</f>
        <v/>
      </c>
      <c r="J78" s="4" t="n">
        <v>118.48</v>
      </c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inlineStr">
        <is>
          <t>DHAN-23126090365509</t>
        </is>
      </c>
      <c r="B79" s="23" t="inlineStr">
        <is>
          <t>KIRIINDUS</t>
        </is>
      </c>
      <c r="C79" s="23" t="inlineStr">
        <is>
          <t>LONG</t>
        </is>
      </c>
      <c r="D79" s="24" t="n">
        <v>46268</v>
      </c>
      <c r="E79" s="25" t="n">
        <v>579.35</v>
      </c>
      <c r="F79" s="26" t="n">
        <v>302</v>
      </c>
      <c r="G79" s="24" t="n">
        <v>46269</v>
      </c>
      <c r="H79" s="25" t="n">
        <v>591.2967</v>
      </c>
      <c r="I79" s="21">
        <f>IF(OR($B79="",$H79=""),"",IF($C79="LONG",($H79-$E79)*$F79,($E79-$H79)*$F79))</f>
        <v/>
      </c>
      <c r="J79" s="4" t="n">
        <v>527.75</v>
      </c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inlineStr">
        <is>
          <t>DHAN-34126090365009</t>
        </is>
      </c>
      <c r="B80" s="23" t="inlineStr">
        <is>
          <t>RAYMOND</t>
        </is>
      </c>
      <c r="C80" s="23" t="inlineStr">
        <is>
          <t>LONG</t>
        </is>
      </c>
      <c r="D80" s="24" t="n">
        <v>46268</v>
      </c>
      <c r="E80" s="25" t="n">
        <v>763</v>
      </c>
      <c r="F80" s="26" t="n">
        <v>231</v>
      </c>
      <c r="G80" s="24" t="n">
        <v>46269</v>
      </c>
      <c r="H80" s="25" t="n">
        <v>751.7106</v>
      </c>
      <c r="I80" s="21">
        <f>IF(OR($B80="",$H80=""),"",IF($C80="LONG",($H80-$E80)*$F80,($E80-$H80)*$F80))</f>
        <v/>
      </c>
      <c r="J80" s="4" t="n">
        <v>524.65</v>
      </c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inlineStr">
        <is>
          <t>DHAN-32126090398709</t>
        </is>
      </c>
      <c r="B81" s="23" t="inlineStr">
        <is>
          <t>TBZ</t>
        </is>
      </c>
      <c r="C81" s="23" t="inlineStr">
        <is>
          <t>SHORT</t>
        </is>
      </c>
      <c r="D81" s="24" t="n">
        <v>46268</v>
      </c>
      <c r="E81" s="25" t="n">
        <v>423.45</v>
      </c>
      <c r="F81" s="26" t="n">
        <v>242</v>
      </c>
      <c r="G81" s="24" t="n">
        <v>46268</v>
      </c>
      <c r="H81" s="25" t="n">
        <v>423.6072</v>
      </c>
      <c r="I81" s="21">
        <f>IF(OR($B81="",$H81=""),"",IF($C81="LONG",($H81-$E81)*$F81,($E81-$H81)*$F81))</f>
        <v/>
      </c>
      <c r="J81" s="4" t="n">
        <v>83.56</v>
      </c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inlineStr">
        <is>
          <t>DHAN-321260903384009</t>
        </is>
      </c>
      <c r="B82" s="23" t="inlineStr">
        <is>
          <t>WINDLAS</t>
        </is>
      </c>
      <c r="C82" s="23" t="inlineStr">
        <is>
          <t>SHORT</t>
        </is>
      </c>
      <c r="D82" s="24" t="n">
        <v>46268</v>
      </c>
      <c r="E82" s="25" t="n">
        <v>1139.3014</v>
      </c>
      <c r="F82" s="26" t="n">
        <v>181</v>
      </c>
      <c r="G82" s="24" t="n">
        <v>46268</v>
      </c>
      <c r="H82" s="25" t="n">
        <v>1127.3989</v>
      </c>
      <c r="I82" s="21">
        <f>IF(OR($B82="",$H82=""),"",IF($C82="LONG",($H82-$E82)*$F82,($E82-$H82)*$F82))</f>
        <v/>
      </c>
      <c r="J82" s="4" t="n">
        <v>120.22</v>
      </c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inlineStr">
        <is>
          <t>DHAN-34126090316409</t>
        </is>
      </c>
      <c r="B83" s="23" t="inlineStr">
        <is>
          <t>XPROINDIA</t>
        </is>
      </c>
      <c r="C83" s="23" t="inlineStr">
        <is>
          <t>SHORT</t>
        </is>
      </c>
      <c r="D83" s="24" t="n">
        <v>46268</v>
      </c>
      <c r="E83" s="25" t="n">
        <v>1302.759</v>
      </c>
      <c r="F83" s="26" t="n">
        <v>154</v>
      </c>
      <c r="G83" s="24" t="n">
        <v>46268</v>
      </c>
      <c r="H83" s="25" t="n">
        <v>1290.8416</v>
      </c>
      <c r="I83" s="21">
        <f>IF(OR($B83="",$H83=""),"",IF($C83="LONG",($H83-$E83)*$F83,($E83-$H83)*$F83))</f>
        <v/>
      </c>
      <c r="J83" s="4" t="n">
        <v>118.26</v>
      </c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inlineStr">
        <is>
          <t>DHAN-32126090489209</t>
        </is>
      </c>
      <c r="B84" s="23" t="inlineStr">
        <is>
          <t>ALEMBICLTD</t>
        </is>
      </c>
      <c r="C84" s="23" t="inlineStr">
        <is>
          <t>SHORT</t>
        </is>
      </c>
      <c r="D84" s="24" t="n">
        <v>46269</v>
      </c>
      <c r="E84" s="25" t="n">
        <v>114.098</v>
      </c>
      <c r="F84" s="26" t="n">
        <v>1597</v>
      </c>
      <c r="G84" s="24" t="n">
        <v>46269</v>
      </c>
      <c r="H84" s="25" t="n">
        <v>111.8446</v>
      </c>
      <c r="I84" s="21">
        <f>IF(OR($B84="",$H84=""),"",IF($C84="LONG",($H84-$E84)*$F84,($E84-$H84)*$F84))</f>
        <v/>
      </c>
      <c r="J84" s="4" t="n">
        <v>111.61</v>
      </c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inlineStr">
        <is>
          <t>DHAN-34126090463509</t>
        </is>
      </c>
      <c r="B85" s="23" t="inlineStr">
        <is>
          <t>ANTELOPUS</t>
        </is>
      </c>
      <c r="C85" s="23" t="inlineStr">
        <is>
          <t>SHORT</t>
        </is>
      </c>
      <c r="D85" s="24" t="n">
        <v>46269</v>
      </c>
      <c r="E85" s="25" t="n">
        <v>1003.9</v>
      </c>
      <c r="F85" s="26" t="n">
        <v>86</v>
      </c>
      <c r="G85" s="24" t="n">
        <v>46269</v>
      </c>
      <c r="H85" s="25" t="n">
        <v>987.1866</v>
      </c>
      <c r="I85" s="21">
        <f>IF(OR($B85="",$H85=""),"",IF($C85="LONG",($H85-$E85)*$F85,($E85-$H85)*$F85))</f>
        <v/>
      </c>
      <c r="J85" s="4" t="n">
        <v>77.73999999999999</v>
      </c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inlineStr">
        <is>
          <t>DHAN-34126090416009</t>
        </is>
      </c>
      <c r="B86" s="23" t="inlineStr">
        <is>
          <t>BFUTILITIE</t>
        </is>
      </c>
      <c r="C86" s="23" t="inlineStr">
        <is>
          <t>SHORT</t>
        </is>
      </c>
      <c r="D86" s="24" t="n">
        <v>46269</v>
      </c>
      <c r="E86" s="25" t="n">
        <v>557.8248</v>
      </c>
      <c r="F86" s="26" t="n">
        <v>321</v>
      </c>
      <c r="G86" s="24" t="n">
        <v>46269</v>
      </c>
      <c r="H86" s="25" t="n">
        <v>545.7992</v>
      </c>
      <c r="I86" s="21">
        <f>IF(OR($B86="",$H86=""),"",IF($C86="LONG",($H86-$E86)*$F86,($E86-$H86)*$F86))</f>
        <v/>
      </c>
      <c r="J86" s="4" t="n">
        <v>110.47</v>
      </c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inlineStr">
        <is>
          <t>DHAN-22126090492309</t>
        </is>
      </c>
      <c r="B87" s="23" t="inlineStr">
        <is>
          <t>GOCLCORP</t>
        </is>
      </c>
      <c r="C87" s="23" t="inlineStr">
        <is>
          <t>SHORT</t>
        </is>
      </c>
      <c r="D87" s="24" t="n">
        <v>46269</v>
      </c>
      <c r="E87" s="25" t="n">
        <v>423.9067</v>
      </c>
      <c r="F87" s="26" t="n">
        <v>414</v>
      </c>
      <c r="G87" s="24" t="n">
        <v>46269</v>
      </c>
      <c r="H87" s="25" t="n">
        <v>429.4497</v>
      </c>
      <c r="I87" s="21">
        <f>IF(OR($B87="",$H87=""),"",IF($C87="LONG",($H87-$E87)*$F87,($E87-$H87)*$F87))</f>
        <v/>
      </c>
      <c r="J87" s="4" t="n">
        <v>109.62</v>
      </c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inlineStr">
        <is>
          <t>DHAN-34126090463609</t>
        </is>
      </c>
      <c r="B88" s="23" t="inlineStr">
        <is>
          <t>HINDOILEXP</t>
        </is>
      </c>
      <c r="C88" s="23" t="inlineStr">
        <is>
          <t>SHORT</t>
        </is>
      </c>
      <c r="D88" s="24" t="n">
        <v>46269</v>
      </c>
      <c r="E88" s="25" t="n">
        <v>181.8259</v>
      </c>
      <c r="F88" s="26" t="n">
        <v>951</v>
      </c>
      <c r="G88" s="24" t="n">
        <v>46269</v>
      </c>
      <c r="H88" s="25" t="n">
        <v>182</v>
      </c>
      <c r="I88" s="21">
        <f>IF(OR($B88="",$H88=""),"",IF($C88="LONG",($H88-$E88)*$F88,($E88-$H88)*$F88))</f>
        <v/>
      </c>
      <c r="J88" s="4" t="n">
        <v>108.56</v>
      </c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inlineStr">
        <is>
          <t>DHAN-23126090415409</t>
        </is>
      </c>
      <c r="B89" s="23" t="inlineStr">
        <is>
          <t>KIRIINDUS</t>
        </is>
      </c>
      <c r="C89" s="23" t="inlineStr">
        <is>
          <t>SHORT</t>
        </is>
      </c>
      <c r="D89" s="24" t="n">
        <v>46269</v>
      </c>
      <c r="E89" s="25" t="n">
        <v>591.654</v>
      </c>
      <c r="F89" s="26" t="n">
        <v>302</v>
      </c>
      <c r="G89" s="24" t="n">
        <v>46269</v>
      </c>
      <c r="H89" s="25" t="n">
        <v>562.05</v>
      </c>
      <c r="I89" s="21">
        <f>IF(OR($B89="",$H89=""),"",IF($C89="LONG",($H89-$E89)*$F89,($E89-$H89)*$F89))</f>
        <v/>
      </c>
      <c r="J89" s="4" t="n">
        <v>109.99</v>
      </c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inlineStr">
        <is>
          <t>DHAN-34126090488609</t>
        </is>
      </c>
      <c r="B90" s="23" t="inlineStr">
        <is>
          <t>MAITHANALL</t>
        </is>
      </c>
      <c r="C90" s="23" t="inlineStr">
        <is>
          <t>LONG</t>
        </is>
      </c>
      <c r="D90" s="24" t="n">
        <v>46269</v>
      </c>
      <c r="E90" s="25" t="n">
        <v>1086.426</v>
      </c>
      <c r="F90" s="26" t="n">
        <v>321</v>
      </c>
      <c r="G90" s="24" t="n">
        <v>46272</v>
      </c>
      <c r="H90" s="25" t="n">
        <v>1185</v>
      </c>
      <c r="I90" s="21">
        <f>IF(OR($B90="",$H90=""),"",IF($C90="LONG",($H90-$E90)*$F90,($E90-$H90)*$F90))</f>
        <v/>
      </c>
      <c r="J90" s="4" t="n">
        <v>1120.75</v>
      </c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inlineStr">
        <is>
          <t>DHAN-321260904383309</t>
        </is>
      </c>
      <c r="B91" s="23" t="inlineStr">
        <is>
          <t>RAYMOND</t>
        </is>
      </c>
      <c r="C91" s="23" t="inlineStr">
        <is>
          <t>SHORT</t>
        </is>
      </c>
      <c r="D91" s="24" t="n">
        <v>46269</v>
      </c>
      <c r="E91" s="25" t="n">
        <v>752.5812</v>
      </c>
      <c r="F91" s="26" t="n">
        <v>231</v>
      </c>
      <c r="G91" s="24" t="n">
        <v>46269</v>
      </c>
      <c r="H91" s="25" t="n">
        <v>740.4414</v>
      </c>
      <c r="I91" s="21">
        <f>IF(OR($B91="",$H91=""),"",IF($C91="LONG",($H91-$E91)*$F91,($E91-$H91)*$F91))</f>
        <v/>
      </c>
      <c r="J91" s="4" t="n">
        <v>108.69</v>
      </c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inlineStr">
        <is>
          <t>DHAN-221260904639609</t>
        </is>
      </c>
      <c r="B92" s="23" t="inlineStr">
        <is>
          <t>RML</t>
        </is>
      </c>
      <c r="C92" s="23" t="inlineStr">
        <is>
          <t>LONG</t>
        </is>
      </c>
      <c r="D92" s="24" t="n">
        <v>46269</v>
      </c>
      <c r="E92" s="25" t="n">
        <v>1291.9929</v>
      </c>
      <c r="F92" s="26" t="n">
        <v>270</v>
      </c>
      <c r="G92" s="24" t="n">
        <v>46272</v>
      </c>
      <c r="H92" s="25" t="n">
        <v>1337.4363</v>
      </c>
      <c r="I92" s="21">
        <f>IF(OR($B92="",$H92=""),"",IF($C92="LONG",($H92-$E92)*$F92,($E92-$H92)*$F92))</f>
        <v/>
      </c>
      <c r="J92" s="4" t="n">
        <v>1100.92</v>
      </c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inlineStr">
        <is>
          <t>DHAN-23126090486609</t>
        </is>
      </c>
      <c r="B93" s="23" t="inlineStr">
        <is>
          <t>SINDHUTRAD</t>
        </is>
      </c>
      <c r="C93" s="23" t="inlineStr">
        <is>
          <t>LONG</t>
        </is>
      </c>
      <c r="D93" s="24" t="n">
        <v>46269</v>
      </c>
      <c r="E93" s="25" t="n">
        <v>25.2263</v>
      </c>
      <c r="F93" s="26" t="n">
        <v>13916</v>
      </c>
      <c r="G93" s="24" t="inlineStr"/>
      <c r="H93" s="25" t="inlineStr"/>
      <c r="I93" s="21">
        <f>IF(OR($B93="",$H93=""),"",IF($C93="LONG",($H93-$E93)*$F93,($E93-$H93)*$F93))</f>
        <v/>
      </c>
      <c r="J93" s="4" t="n">
        <v>706.6900000000001</v>
      </c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inlineStr">
        <is>
          <t>DHAN-23126090714709</t>
        </is>
      </c>
      <c r="B94" s="23" t="inlineStr">
        <is>
          <t>MAITHANALL</t>
        </is>
      </c>
      <c r="C94" s="23" t="inlineStr">
        <is>
          <t>SHORT</t>
        </is>
      </c>
      <c r="D94" s="24" t="n">
        <v>46272</v>
      </c>
      <c r="E94" s="25" t="n">
        <v>1183.4504</v>
      </c>
      <c r="F94" s="26" t="n">
        <v>321</v>
      </c>
      <c r="G94" s="24" t="inlineStr"/>
      <c r="H94" s="25" t="inlineStr"/>
      <c r="I94" s="21">
        <f>IF(OR($B94="",$H94=""),"",IF($C94="LONG",($H94-$E94)*$F94,($E94-$H94)*$F94))</f>
        <v/>
      </c>
      <c r="J94" s="4" t="n">
        <v>132.78</v>
      </c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inlineStr">
        <is>
          <t>DHAN-321260907112709</t>
        </is>
      </c>
      <c r="B95" s="23" t="inlineStr">
        <is>
          <t>RML</t>
        </is>
      </c>
      <c r="C95" s="23" t="inlineStr">
        <is>
          <t>SHORT</t>
        </is>
      </c>
      <c r="D95" s="24" t="n">
        <v>46272</v>
      </c>
      <c r="E95" s="25" t="n">
        <v>1345.7526</v>
      </c>
      <c r="F95" s="26" t="n">
        <v>270</v>
      </c>
      <c r="G95" s="24" t="inlineStr"/>
      <c r="H95" s="25" t="inlineStr"/>
      <c r="I95" s="21">
        <f>IF(OR($B95="",$H95=""),"",IF($C95="LONG",($H95-$E95)*$F95,($E95-$H95)*$F95))</f>
        <v/>
      </c>
      <c r="J95" s="4" t="n">
        <v>128.03</v>
      </c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4" t="n"/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4" t="n"/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4" t="n"/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4" t="n"/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4" t="n"/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4" t="n"/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4" t="n"/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4" t="n"/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4" t="n"/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4" t="n"/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4" t="n"/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4" t="n"/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4" t="n"/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4" t="n"/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4" t="n"/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4" t="n"/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4" t="n"/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4" t="n"/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4" t="n"/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4" t="n"/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4" t="n"/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4" t="n"/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4" t="n"/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4" t="n"/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4" t="n"/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4" t="n"/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4" t="n"/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4" t="n"/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ASHOKA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BAJAJHIND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BANARISUG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BFUTILITIE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BOMDYEING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FMGOETZE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GKENERGY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GOCLCORP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GOPAL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GUJTHEM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HERITGFOOD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HINDOILEXP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HUBTOWN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INDOCO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JGCHEM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KCP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KIRIINDUS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KLBRENG-B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MAITHANALL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MANGLMCEM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MASTEK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NETWORK18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NILKAMAL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NORTHARC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OMAXE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OPTIEMUS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ORIENTHOT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QUADFUTURE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27" t="inlineStr">
        <is>
          <t>RAMRAT</t>
        </is>
      </c>
      <c r="B34" s="20">
        <f>COUNTIF('Trade Log'!$B$4:$B$503,$A34)</f>
        <v/>
      </c>
      <c r="C34" s="20">
        <f>COUNTIFS('Trade Log'!$B$4:$B$503,$A34,'Trade Log'!$K$4:$K$503,"&gt;0")</f>
        <v/>
      </c>
      <c r="D34" s="20">
        <f>COUNTIFS('Trade Log'!$B$4:$B$503,$A34,'Trade Log'!$K$4:$K$503,"&lt;0")</f>
        <v/>
      </c>
      <c r="E34" s="29">
        <f>IFERROR($C34/$B34,"")</f>
        <v/>
      </c>
      <c r="F34" s="21">
        <f>SUMIF('Trade Log'!$B$4:$B$503,$A34,'Trade Log'!$I$4:$I$503)</f>
        <v/>
      </c>
      <c r="G34" s="21">
        <f>SUMIF('Trade Log'!$B$4:$B$503,$A34,'Trade Log'!$K$4:$K$503)</f>
        <v/>
      </c>
      <c r="H34" s="21">
        <f>IFERROR($G34/$B34,"")</f>
        <v/>
      </c>
      <c r="I34" s="21">
        <f>IFERROR(_xlfn.MAXIFS('Trade Log'!$K$4:$K$503,'Trade Log'!$B$4:$B$503,$A34),"")</f>
        <v/>
      </c>
      <c r="J34" s="21">
        <f>IFERROR(_xlfn.MINIFS('Trade Log'!$K$4:$K$503,'Trade Log'!$B$4:$B$503,$A34),"")</f>
        <v/>
      </c>
    </row>
    <row r="35">
      <c r="A35" s="27" t="inlineStr">
        <is>
          <t>RAYMOND</t>
        </is>
      </c>
      <c r="B35" s="20">
        <f>COUNTIF('Trade Log'!$B$4:$B$503,$A35)</f>
        <v/>
      </c>
      <c r="C35" s="20">
        <f>COUNTIFS('Trade Log'!$B$4:$B$503,$A35,'Trade Log'!$K$4:$K$503,"&gt;0")</f>
        <v/>
      </c>
      <c r="D35" s="20">
        <f>COUNTIFS('Trade Log'!$B$4:$B$503,$A35,'Trade Log'!$K$4:$K$503,"&lt;0")</f>
        <v/>
      </c>
      <c r="E35" s="29">
        <f>IFERROR($C35/$B35,"")</f>
        <v/>
      </c>
      <c r="F35" s="21">
        <f>SUMIF('Trade Log'!$B$4:$B$503,$A35,'Trade Log'!$I$4:$I$503)</f>
        <v/>
      </c>
      <c r="G35" s="21">
        <f>SUMIF('Trade Log'!$B$4:$B$503,$A35,'Trade Log'!$K$4:$K$503)</f>
        <v/>
      </c>
      <c r="H35" s="21">
        <f>IFERROR($G35/$B35,"")</f>
        <v/>
      </c>
      <c r="I35" s="21">
        <f>IFERROR(_xlfn.MAXIFS('Trade Log'!$K$4:$K$503,'Trade Log'!$B$4:$B$503,$A35),"")</f>
        <v/>
      </c>
      <c r="J35" s="21">
        <f>IFERROR(_xlfn.MINIFS('Trade Log'!$K$4:$K$503,'Trade Log'!$B$4:$B$503,$A35),"")</f>
        <v/>
      </c>
    </row>
    <row r="36">
      <c r="A36" s="27" t="inlineStr">
        <is>
          <t>RML</t>
        </is>
      </c>
      <c r="B36" s="20">
        <f>COUNTIF('Trade Log'!$B$4:$B$503,$A36)</f>
        <v/>
      </c>
      <c r="C36" s="20">
        <f>COUNTIFS('Trade Log'!$B$4:$B$503,$A36,'Trade Log'!$K$4:$K$503,"&gt;0")</f>
        <v/>
      </c>
      <c r="D36" s="20">
        <f>COUNTIFS('Trade Log'!$B$4:$B$503,$A36,'Trade Log'!$K$4:$K$503,"&lt;0")</f>
        <v/>
      </c>
      <c r="E36" s="29">
        <f>IFERROR($C36/$B36,"")</f>
        <v/>
      </c>
      <c r="F36" s="21">
        <f>SUMIF('Trade Log'!$B$4:$B$503,$A36,'Trade Log'!$I$4:$I$503)</f>
        <v/>
      </c>
      <c r="G36" s="21">
        <f>SUMIF('Trade Log'!$B$4:$B$503,$A36,'Trade Log'!$K$4:$K$503)</f>
        <v/>
      </c>
      <c r="H36" s="21">
        <f>IFERROR($G36/$B36,"")</f>
        <v/>
      </c>
      <c r="I36" s="21">
        <f>IFERROR(_xlfn.MAXIFS('Trade Log'!$K$4:$K$503,'Trade Log'!$B$4:$B$503,$A36),"")</f>
        <v/>
      </c>
      <c r="J36" s="21">
        <f>IFERROR(_xlfn.MINIFS('Trade Log'!$K$4:$K$503,'Trade Log'!$B$4:$B$503,$A36),"")</f>
        <v/>
      </c>
    </row>
    <row r="37">
      <c r="A37" s="27" t="inlineStr">
        <is>
          <t>SAKAR</t>
        </is>
      </c>
      <c r="B37" s="20">
        <f>COUNTIF('Trade Log'!$B$4:$B$503,$A37)</f>
        <v/>
      </c>
      <c r="C37" s="20">
        <f>COUNTIFS('Trade Log'!$B$4:$B$503,$A37,'Trade Log'!$K$4:$K$503,"&gt;0")</f>
        <v/>
      </c>
      <c r="D37" s="20">
        <f>COUNTIFS('Trade Log'!$B$4:$B$503,$A37,'Trade Log'!$K$4:$K$503,"&lt;0")</f>
        <v/>
      </c>
      <c r="E37" s="29">
        <f>IFERROR($C37/$B37,"")</f>
        <v/>
      </c>
      <c r="F37" s="21">
        <f>SUMIF('Trade Log'!$B$4:$B$503,$A37,'Trade Log'!$I$4:$I$503)</f>
        <v/>
      </c>
      <c r="G37" s="21">
        <f>SUMIF('Trade Log'!$B$4:$B$503,$A37,'Trade Log'!$K$4:$K$503)</f>
        <v/>
      </c>
      <c r="H37" s="21">
        <f>IFERROR($G37/$B37,"")</f>
        <v/>
      </c>
      <c r="I37" s="21">
        <f>IFERROR(_xlfn.MAXIFS('Trade Log'!$K$4:$K$503,'Trade Log'!$B$4:$B$503,$A37),"")</f>
        <v/>
      </c>
      <c r="J37" s="21">
        <f>IFERROR(_xlfn.MINIFS('Trade Log'!$K$4:$K$503,'Trade Log'!$B$4:$B$503,$A37),"")</f>
        <v/>
      </c>
    </row>
    <row r="38">
      <c r="A38" s="27" t="inlineStr">
        <is>
          <t>SINDHUTRAD</t>
        </is>
      </c>
      <c r="B38" s="20">
        <f>COUNTIF('Trade Log'!$B$4:$B$503,$A38)</f>
        <v/>
      </c>
      <c r="C38" s="20">
        <f>COUNTIFS('Trade Log'!$B$4:$B$503,$A38,'Trade Log'!$K$4:$K$503,"&gt;0")</f>
        <v/>
      </c>
      <c r="D38" s="20">
        <f>COUNTIFS('Trade Log'!$B$4:$B$503,$A38,'Trade Log'!$K$4:$K$503,"&lt;0")</f>
        <v/>
      </c>
      <c r="E38" s="29">
        <f>IFERROR($C38/$B38,"")</f>
        <v/>
      </c>
      <c r="F38" s="21">
        <f>SUMIF('Trade Log'!$B$4:$B$503,$A38,'Trade Log'!$I$4:$I$503)</f>
        <v/>
      </c>
      <c r="G38" s="21">
        <f>SUMIF('Trade Log'!$B$4:$B$503,$A38,'Trade Log'!$K$4:$K$503)</f>
        <v/>
      </c>
      <c r="H38" s="21">
        <f>IFERROR($G38/$B38,"")</f>
        <v/>
      </c>
      <c r="I38" s="21">
        <f>IFERROR(_xlfn.MAXIFS('Trade Log'!$K$4:$K$503,'Trade Log'!$B$4:$B$503,$A38),"")</f>
        <v/>
      </c>
      <c r="J38" s="21">
        <f>IFERROR(_xlfn.MINIFS('Trade Log'!$K$4:$K$503,'Trade Log'!$B$4:$B$503,$A38),"")</f>
        <v/>
      </c>
    </row>
    <row r="39">
      <c r="A39" s="27" t="inlineStr">
        <is>
          <t>SOLARA</t>
        </is>
      </c>
      <c r="B39" s="20">
        <f>COUNTIF('Trade Log'!$B$4:$B$503,$A39)</f>
        <v/>
      </c>
      <c r="C39" s="20">
        <f>COUNTIFS('Trade Log'!$B$4:$B$503,$A39,'Trade Log'!$K$4:$K$503,"&gt;0")</f>
        <v/>
      </c>
      <c r="D39" s="20">
        <f>COUNTIFS('Trade Log'!$B$4:$B$503,$A39,'Trade Log'!$K$4:$K$503,"&lt;0")</f>
        <v/>
      </c>
      <c r="E39" s="29">
        <f>IFERROR($C39/$B39,"")</f>
        <v/>
      </c>
      <c r="F39" s="21">
        <f>SUMIF('Trade Log'!$B$4:$B$503,$A39,'Trade Log'!$I$4:$I$503)</f>
        <v/>
      </c>
      <c r="G39" s="21">
        <f>SUMIF('Trade Log'!$B$4:$B$503,$A39,'Trade Log'!$K$4:$K$503)</f>
        <v/>
      </c>
      <c r="H39" s="21">
        <f>IFERROR($G39/$B39,"")</f>
        <v/>
      </c>
      <c r="I39" s="21">
        <f>IFERROR(_xlfn.MAXIFS('Trade Log'!$K$4:$K$503,'Trade Log'!$B$4:$B$503,$A39),"")</f>
        <v/>
      </c>
      <c r="J39" s="21">
        <f>IFERROR(_xlfn.MINIFS('Trade Log'!$K$4:$K$503,'Trade Log'!$B$4:$B$503,$A39),"")</f>
        <v/>
      </c>
    </row>
    <row r="40">
      <c r="A40" s="27" t="inlineStr">
        <is>
          <t>SOTL</t>
        </is>
      </c>
      <c r="B40" s="20">
        <f>COUNTIF('Trade Log'!$B$4:$B$503,$A40)</f>
        <v/>
      </c>
      <c r="C40" s="20">
        <f>COUNTIFS('Trade Log'!$B$4:$B$503,$A40,'Trade Log'!$K$4:$K$503,"&gt;0")</f>
        <v/>
      </c>
      <c r="D40" s="20">
        <f>COUNTIFS('Trade Log'!$B$4:$B$503,$A40,'Trade Log'!$K$4:$K$503,"&lt;0")</f>
        <v/>
      </c>
      <c r="E40" s="29">
        <f>IFERROR($C40/$B40,"")</f>
        <v/>
      </c>
      <c r="F40" s="21">
        <f>SUMIF('Trade Log'!$B$4:$B$503,$A40,'Trade Log'!$I$4:$I$503)</f>
        <v/>
      </c>
      <c r="G40" s="21">
        <f>SUMIF('Trade Log'!$B$4:$B$503,$A40,'Trade Log'!$K$4:$K$503)</f>
        <v/>
      </c>
      <c r="H40" s="21">
        <f>IFERROR($G40/$B40,"")</f>
        <v/>
      </c>
      <c r="I40" s="21">
        <f>IFERROR(_xlfn.MAXIFS('Trade Log'!$K$4:$K$503,'Trade Log'!$B$4:$B$503,$A40),"")</f>
        <v/>
      </c>
      <c r="J40" s="21">
        <f>IFERROR(_xlfn.MINIFS('Trade Log'!$K$4:$K$503,'Trade Log'!$B$4:$B$503,$A40),"")</f>
        <v/>
      </c>
    </row>
    <row r="41">
      <c r="A41" s="27" t="inlineStr">
        <is>
          <t>SSWL</t>
        </is>
      </c>
      <c r="B41" s="20">
        <f>COUNTIF('Trade Log'!$B$4:$B$503,$A41)</f>
        <v/>
      </c>
      <c r="C41" s="20">
        <f>COUNTIFS('Trade Log'!$B$4:$B$503,$A41,'Trade Log'!$K$4:$K$503,"&gt;0")</f>
        <v/>
      </c>
      <c r="D41" s="20">
        <f>COUNTIFS('Trade Log'!$B$4:$B$503,$A41,'Trade Log'!$K$4:$K$503,"&lt;0")</f>
        <v/>
      </c>
      <c r="E41" s="29">
        <f>IFERROR($C41/$B41,"")</f>
        <v/>
      </c>
      <c r="F41" s="21">
        <f>SUMIF('Trade Log'!$B$4:$B$503,$A41,'Trade Log'!$I$4:$I$503)</f>
        <v/>
      </c>
      <c r="G41" s="21">
        <f>SUMIF('Trade Log'!$B$4:$B$503,$A41,'Trade Log'!$K$4:$K$503)</f>
        <v/>
      </c>
      <c r="H41" s="21">
        <f>IFERROR($G41/$B41,"")</f>
        <v/>
      </c>
      <c r="I41" s="21">
        <f>IFERROR(_xlfn.MAXIFS('Trade Log'!$K$4:$K$503,'Trade Log'!$B$4:$B$503,$A41),"")</f>
        <v/>
      </c>
      <c r="J41" s="21">
        <f>IFERROR(_xlfn.MINIFS('Trade Log'!$K$4:$K$503,'Trade Log'!$B$4:$B$503,$A41),"")</f>
        <v/>
      </c>
    </row>
    <row r="42">
      <c r="A42" s="27" t="inlineStr">
        <is>
          <t>SYNCOMF</t>
        </is>
      </c>
      <c r="B42" s="20">
        <f>COUNTIF('Trade Log'!$B$4:$B$503,$A42)</f>
        <v/>
      </c>
      <c r="C42" s="20">
        <f>COUNTIFS('Trade Log'!$B$4:$B$503,$A42,'Trade Log'!$K$4:$K$503,"&gt;0")</f>
        <v/>
      </c>
      <c r="D42" s="20">
        <f>COUNTIFS('Trade Log'!$B$4:$B$503,$A42,'Trade Log'!$K$4:$K$503,"&lt;0")</f>
        <v/>
      </c>
      <c r="E42" s="29">
        <f>IFERROR($C42/$B42,"")</f>
        <v/>
      </c>
      <c r="F42" s="21">
        <f>SUMIF('Trade Log'!$B$4:$B$503,$A42,'Trade Log'!$I$4:$I$503)</f>
        <v/>
      </c>
      <c r="G42" s="21">
        <f>SUMIF('Trade Log'!$B$4:$B$503,$A42,'Trade Log'!$K$4:$K$503)</f>
        <v/>
      </c>
      <c r="H42" s="21">
        <f>IFERROR($G42/$B42,"")</f>
        <v/>
      </c>
      <c r="I42" s="21">
        <f>IFERROR(_xlfn.MAXIFS('Trade Log'!$K$4:$K$503,'Trade Log'!$B$4:$B$503,$A42),"")</f>
        <v/>
      </c>
      <c r="J42" s="21">
        <f>IFERROR(_xlfn.MINIFS('Trade Log'!$K$4:$K$503,'Trade Log'!$B$4:$B$503,$A42),"")</f>
        <v/>
      </c>
    </row>
    <row r="43">
      <c r="A43" s="27" t="inlineStr">
        <is>
          <t>TBZ</t>
        </is>
      </c>
      <c r="B43" s="20">
        <f>COUNTIF('Trade Log'!$B$4:$B$503,$A43)</f>
        <v/>
      </c>
      <c r="C43" s="20">
        <f>COUNTIFS('Trade Log'!$B$4:$B$503,$A43,'Trade Log'!$K$4:$K$503,"&gt;0")</f>
        <v/>
      </c>
      <c r="D43" s="20">
        <f>COUNTIFS('Trade Log'!$B$4:$B$503,$A43,'Trade Log'!$K$4:$K$503,"&lt;0")</f>
        <v/>
      </c>
      <c r="E43" s="29">
        <f>IFERROR($C43/$B43,"")</f>
        <v/>
      </c>
      <c r="F43" s="21">
        <f>SUMIF('Trade Log'!$B$4:$B$503,$A43,'Trade Log'!$I$4:$I$503)</f>
        <v/>
      </c>
      <c r="G43" s="21">
        <f>SUMIF('Trade Log'!$B$4:$B$503,$A43,'Trade Log'!$K$4:$K$503)</f>
        <v/>
      </c>
      <c r="H43" s="21">
        <f>IFERROR($G43/$B43,"")</f>
        <v/>
      </c>
      <c r="I43" s="21">
        <f>IFERROR(_xlfn.MAXIFS('Trade Log'!$K$4:$K$503,'Trade Log'!$B$4:$B$503,$A43),"")</f>
        <v/>
      </c>
      <c r="J43" s="21">
        <f>IFERROR(_xlfn.MINIFS('Trade Log'!$K$4:$K$503,'Trade Log'!$B$4:$B$503,$A43),"")</f>
        <v/>
      </c>
    </row>
    <row r="44">
      <c r="A44" s="27" t="inlineStr">
        <is>
          <t>THOMASCOOK</t>
        </is>
      </c>
      <c r="B44" s="20">
        <f>COUNTIF('Trade Log'!$B$4:$B$503,$A44)</f>
        <v/>
      </c>
      <c r="C44" s="20">
        <f>COUNTIFS('Trade Log'!$B$4:$B$503,$A44,'Trade Log'!$K$4:$K$503,"&gt;0")</f>
        <v/>
      </c>
      <c r="D44" s="20">
        <f>COUNTIFS('Trade Log'!$B$4:$B$503,$A44,'Trade Log'!$K$4:$K$503,"&lt;0")</f>
        <v/>
      </c>
      <c r="E44" s="29">
        <f>IFERROR($C44/$B44,"")</f>
        <v/>
      </c>
      <c r="F44" s="21">
        <f>SUMIF('Trade Log'!$B$4:$B$503,$A44,'Trade Log'!$I$4:$I$503)</f>
        <v/>
      </c>
      <c r="G44" s="21">
        <f>SUMIF('Trade Log'!$B$4:$B$503,$A44,'Trade Log'!$K$4:$K$503)</f>
        <v/>
      </c>
      <c r="H44" s="21">
        <f>IFERROR($G44/$B44,"")</f>
        <v/>
      </c>
      <c r="I44" s="21">
        <f>IFERROR(_xlfn.MAXIFS('Trade Log'!$K$4:$K$503,'Trade Log'!$B$4:$B$503,$A44),"")</f>
        <v/>
      </c>
      <c r="J44" s="21">
        <f>IFERROR(_xlfn.MINIFS('Trade Log'!$K$4:$K$503,'Trade Log'!$B$4:$B$503,$A44),"")</f>
        <v/>
      </c>
    </row>
    <row r="45">
      <c r="A45" s="27" t="inlineStr">
        <is>
          <t>VENKEYS</t>
        </is>
      </c>
      <c r="B45" s="20">
        <f>COUNTIF('Trade Log'!$B$4:$B$503,$A45)</f>
        <v/>
      </c>
      <c r="C45" s="20">
        <f>COUNTIFS('Trade Log'!$B$4:$B$503,$A45,'Trade Log'!$K$4:$K$503,"&gt;0")</f>
        <v/>
      </c>
      <c r="D45" s="20">
        <f>COUNTIFS('Trade Log'!$B$4:$B$503,$A45,'Trade Log'!$K$4:$K$503,"&lt;0")</f>
        <v/>
      </c>
      <c r="E45" s="29">
        <f>IFERROR($C45/$B45,"")</f>
        <v/>
      </c>
      <c r="F45" s="21">
        <f>SUMIF('Trade Log'!$B$4:$B$503,$A45,'Trade Log'!$I$4:$I$503)</f>
        <v/>
      </c>
      <c r="G45" s="21">
        <f>SUMIF('Trade Log'!$B$4:$B$503,$A45,'Trade Log'!$K$4:$K$503)</f>
        <v/>
      </c>
      <c r="H45" s="21">
        <f>IFERROR($G45/$B45,"")</f>
        <v/>
      </c>
      <c r="I45" s="21">
        <f>IFERROR(_xlfn.MAXIFS('Trade Log'!$K$4:$K$503,'Trade Log'!$B$4:$B$503,$A45),"")</f>
        <v/>
      </c>
      <c r="J45" s="21">
        <f>IFERROR(_xlfn.MINIFS('Trade Log'!$K$4:$K$503,'Trade Log'!$B$4:$B$503,$A45),"")</f>
        <v/>
      </c>
    </row>
    <row r="46">
      <c r="A46" s="27" t="inlineStr">
        <is>
          <t>VERANDA</t>
        </is>
      </c>
      <c r="B46" s="20">
        <f>COUNTIF('Trade Log'!$B$4:$B$503,$A46)</f>
        <v/>
      </c>
      <c r="C46" s="20">
        <f>COUNTIFS('Trade Log'!$B$4:$B$503,$A46,'Trade Log'!$K$4:$K$503,"&gt;0")</f>
        <v/>
      </c>
      <c r="D46" s="20">
        <f>COUNTIFS('Trade Log'!$B$4:$B$503,$A46,'Trade Log'!$K$4:$K$503,"&lt;0")</f>
        <v/>
      </c>
      <c r="E46" s="29">
        <f>IFERROR($C46/$B46,"")</f>
        <v/>
      </c>
      <c r="F46" s="21">
        <f>SUMIF('Trade Log'!$B$4:$B$503,$A46,'Trade Log'!$I$4:$I$503)</f>
        <v/>
      </c>
      <c r="G46" s="21">
        <f>SUMIF('Trade Log'!$B$4:$B$503,$A46,'Trade Log'!$K$4:$K$503)</f>
        <v/>
      </c>
      <c r="H46" s="21">
        <f>IFERROR($G46/$B46,"")</f>
        <v/>
      </c>
      <c r="I46" s="21">
        <f>IFERROR(_xlfn.MAXIFS('Trade Log'!$K$4:$K$503,'Trade Log'!$B$4:$B$503,$A46),"")</f>
        <v/>
      </c>
      <c r="J46" s="21">
        <f>IFERROR(_xlfn.MINIFS('Trade Log'!$K$4:$K$503,'Trade Log'!$B$4:$B$503,$A46),"")</f>
        <v/>
      </c>
    </row>
    <row r="47">
      <c r="A47" s="27" t="inlineStr">
        <is>
          <t>WELSPLSOL</t>
        </is>
      </c>
      <c r="B47" s="20">
        <f>COUNTIF('Trade Log'!$B$4:$B$503,$A47)</f>
        <v/>
      </c>
      <c r="C47" s="20">
        <f>COUNTIFS('Trade Log'!$B$4:$B$503,$A47,'Trade Log'!$K$4:$K$503,"&gt;0")</f>
        <v/>
      </c>
      <c r="D47" s="20">
        <f>COUNTIFS('Trade Log'!$B$4:$B$503,$A47,'Trade Log'!$K$4:$K$503,"&lt;0")</f>
        <v/>
      </c>
      <c r="E47" s="29">
        <f>IFERROR($C47/$B47,"")</f>
        <v/>
      </c>
      <c r="F47" s="21">
        <f>SUMIF('Trade Log'!$B$4:$B$503,$A47,'Trade Log'!$I$4:$I$503)</f>
        <v/>
      </c>
      <c r="G47" s="21">
        <f>SUMIF('Trade Log'!$B$4:$B$503,$A47,'Trade Log'!$K$4:$K$503)</f>
        <v/>
      </c>
      <c r="H47" s="21">
        <f>IFERROR($G47/$B47,"")</f>
        <v/>
      </c>
      <c r="I47" s="21">
        <f>IFERROR(_xlfn.MAXIFS('Trade Log'!$K$4:$K$503,'Trade Log'!$B$4:$B$503,$A47),"")</f>
        <v/>
      </c>
      <c r="J47" s="21">
        <f>IFERROR(_xlfn.MINIFS('Trade Log'!$K$4:$K$503,'Trade Log'!$B$4:$B$503,$A47),"")</f>
        <v/>
      </c>
    </row>
    <row r="48">
      <c r="A48" s="27" t="inlineStr">
        <is>
          <t>WINDLAS</t>
        </is>
      </c>
      <c r="B48" s="20">
        <f>COUNTIF('Trade Log'!$B$4:$B$503,$A48)</f>
        <v/>
      </c>
      <c r="C48" s="20">
        <f>COUNTIFS('Trade Log'!$B$4:$B$503,$A48,'Trade Log'!$K$4:$K$503,"&gt;0")</f>
        <v/>
      </c>
      <c r="D48" s="20">
        <f>COUNTIFS('Trade Log'!$B$4:$B$503,$A48,'Trade Log'!$K$4:$K$503,"&lt;0")</f>
        <v/>
      </c>
      <c r="E48" s="29">
        <f>IFERROR($C48/$B48,"")</f>
        <v/>
      </c>
      <c r="F48" s="21">
        <f>SUMIF('Trade Log'!$B$4:$B$503,$A48,'Trade Log'!$I$4:$I$503)</f>
        <v/>
      </c>
      <c r="G48" s="21">
        <f>SUMIF('Trade Log'!$B$4:$B$503,$A48,'Trade Log'!$K$4:$K$503)</f>
        <v/>
      </c>
      <c r="H48" s="21">
        <f>IFERROR($G48/$B48,"")</f>
        <v/>
      </c>
      <c r="I48" s="21">
        <f>IFERROR(_xlfn.MAXIFS('Trade Log'!$K$4:$K$503,'Trade Log'!$B$4:$B$503,$A48),"")</f>
        <v/>
      </c>
      <c r="J48" s="21">
        <f>IFERROR(_xlfn.MINIFS('Trade Log'!$K$4:$K$503,'Trade Log'!$B$4:$B$503,$A48),"")</f>
        <v/>
      </c>
    </row>
    <row r="49">
      <c r="A49" s="27" t="inlineStr">
        <is>
          <t>XPROINDIA</t>
        </is>
      </c>
      <c r="B49" s="20">
        <f>COUNTIF('Trade Log'!$B$4:$B$503,$A49)</f>
        <v/>
      </c>
      <c r="C49" s="20">
        <f>COUNTIFS('Trade Log'!$B$4:$B$503,$A49,'Trade Log'!$K$4:$K$503,"&gt;0")</f>
        <v/>
      </c>
      <c r="D49" s="20">
        <f>COUNTIFS('Trade Log'!$B$4:$B$503,$A49,'Trade Log'!$K$4:$K$503,"&lt;0")</f>
        <v/>
      </c>
      <c r="E49" s="29">
        <f>IFERROR($C49/$B49,"")</f>
        <v/>
      </c>
      <c r="F49" s="21">
        <f>SUMIF('Trade Log'!$B$4:$B$503,$A49,'Trade Log'!$I$4:$I$503)</f>
        <v/>
      </c>
      <c r="G49" s="21">
        <f>SUMIF('Trade Log'!$B$4:$B$503,$A49,'Trade Log'!$K$4:$K$503)</f>
        <v/>
      </c>
      <c r="H49" s="21">
        <f>IFERROR($G49/$B49,"")</f>
        <v/>
      </c>
      <c r="I49" s="21">
        <f>IFERROR(_xlfn.MAXIFS('Trade Log'!$K$4:$K$503,'Trade Log'!$B$4:$B$503,$A49),"")</f>
        <v/>
      </c>
      <c r="J49" s="21">
        <f>IFERROR(_xlfn.MINIFS('Trade Log'!$K$4:$K$503,'Trade Log'!$B$4:$B$503,$A49),"")</f>
        <v/>
      </c>
    </row>
    <row r="50">
      <c r="A50" s="27" t="inlineStr">
        <is>
          <t>ZAGGLE</t>
        </is>
      </c>
      <c r="B50" s="20">
        <f>COUNTIF('Trade Log'!$B$4:$B$503,$A50)</f>
        <v/>
      </c>
      <c r="C50" s="20">
        <f>COUNTIFS('Trade Log'!$B$4:$B$503,$A50,'Trade Log'!$K$4:$K$503,"&gt;0")</f>
        <v/>
      </c>
      <c r="D50" s="20">
        <f>COUNTIFS('Trade Log'!$B$4:$B$503,$A50,'Trade Log'!$K$4:$K$503,"&lt;0")</f>
        <v/>
      </c>
      <c r="E50" s="29">
        <f>IFERROR($C50/$B50,"")</f>
        <v/>
      </c>
      <c r="F50" s="21">
        <f>SUMIF('Trade Log'!$B$4:$B$503,$A50,'Trade Log'!$I$4:$I$503)</f>
        <v/>
      </c>
      <c r="G50" s="21">
        <f>SUMIF('Trade Log'!$B$4:$B$503,$A50,'Trade Log'!$K$4:$K$503)</f>
        <v/>
      </c>
      <c r="H50" s="21">
        <f>IFERROR($G50/$B50,"")</f>
        <v/>
      </c>
      <c r="I50" s="21">
        <f>IFERROR(_xlfn.MAXIFS('Trade Log'!$K$4:$K$503,'Trade Log'!$B$4:$B$503,$A50),"")</f>
        <v/>
      </c>
      <c r="J50" s="21">
        <f>IFERROR(_xlfn.MINIFS('Trade Log'!$K$4:$K$503,'Trade Log'!$B$4:$B$503,$A50),"")</f>
        <v/>
      </c>
    </row>
    <row r="51">
      <c r="A51" s="3" t="inlineStr">
        <is>
          <t>TOTAL</t>
        </is>
      </c>
      <c r="B51" s="30">
        <f>SUM(B4:B50)</f>
        <v/>
      </c>
      <c r="C51" s="30">
        <f>SUM(C4:C50)</f>
        <v/>
      </c>
      <c r="D51" s="30">
        <f>SUM(D4:D50)</f>
        <v/>
      </c>
      <c r="E51" s="31">
        <f>IFERROR(C51/B51,"")</f>
        <v/>
      </c>
      <c r="F51" s="32">
        <f>SUM(F4:F50)</f>
        <v/>
      </c>
      <c r="G51" s="32">
        <f>SUM(G4:G50)</f>
        <v/>
      </c>
      <c r="H51" s="32">
        <f>IFERROR(G51/B51,"")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2026-09-07T03:55:22Z</dcterms:created>
  <dcterms:modified xmlns:dcterms="http://purl.org/dc/terms/" xmlns:xsi="http://www.w3.org/2001/XMLSchema-instance" xsi:type="dcterms:W3CDTF">2026-09-07T03:55:22Z</dcterms:modified>
</cp:coreProperties>
</file>