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570.0599999999999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686.25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568.91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660.97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588.4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451.6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397.66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346.76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413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375.65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413.34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378.85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427.19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341.04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412.76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405.47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444.79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197.25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203.83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251.98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534.25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208.81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248.04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200.87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870.97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210.52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517.89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395.75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354.37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526.1799999999999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354.52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390.79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536.1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529.84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207.3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246.41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251.07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198.63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987.89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965.7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1001.93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545.22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616.22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695.01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619.58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547.97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631.8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415.51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397.84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312.31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623.02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332.07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407.39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615.9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508.65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480.12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296.33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689.77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613.25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484.3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439.24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385.26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220.84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411.42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478.28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161.82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383.87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432.95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n">
        <v>46269</v>
      </c>
      <c r="H72" s="25" t="n">
        <v>114.1086</v>
      </c>
      <c r="I72" s="21">
        <f>IF(OR($B72="",$H72=""),"",IF($C72="LONG",($H72-$E72)*$F72,($E72-$H72)*$F72))</f>
        <v/>
      </c>
      <c r="J72" s="4" t="n">
        <v>376.31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n">
        <v>46269</v>
      </c>
      <c r="H73" s="25" t="n">
        <v>1004.061</v>
      </c>
      <c r="I73" s="21">
        <f>IF(OR($B73="",$H73=""),"",IF($C73="LONG",($H73-$E73)*$F73,($E73-$H73)*$F73))</f>
        <v/>
      </c>
      <c r="J73" s="4" t="n">
        <v>166.41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n">
        <v>46269</v>
      </c>
      <c r="H74" s="25" t="n">
        <v>559.1366</v>
      </c>
      <c r="I74" s="21">
        <f>IF(OR($B74="",$H74=""),"",IF($C74="LONG",($H74-$E74)*$F74,($E74-$H74)*$F74))</f>
        <v/>
      </c>
      <c r="J74" s="4" t="n">
        <v>326.83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n">
        <v>46269</v>
      </c>
      <c r="H75" s="25" t="n">
        <v>424.026</v>
      </c>
      <c r="I75" s="21">
        <f>IF(OR($B75="",$H75=""),"",IF($C75="LONG",($H75-$E75)*$F75,($E75-$H75)*$F75))</f>
        <v/>
      </c>
      <c r="J75" s="4" t="n">
        <v>329.58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241.15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n">
        <v>46269</v>
      </c>
      <c r="H77" s="25" t="n">
        <v>181.9446</v>
      </c>
      <c r="I77" s="21">
        <f>IF(OR($B77="",$H77=""),"",IF($C77="LONG",($H77-$E77)*$F77,($E77-$H77)*$F77))</f>
        <v/>
      </c>
      <c r="J77" s="4" t="n">
        <v>374.48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296.69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n">
        <v>46269</v>
      </c>
      <c r="H79" s="25" t="n">
        <v>591.2967</v>
      </c>
      <c r="I79" s="21">
        <f>IF(OR($B79="",$H79=""),"",IF($C79="LONG",($H79-$E79)*$F79,($E79-$H79)*$F79))</f>
        <v/>
      </c>
      <c r="J79" s="4" t="n">
        <v>331.14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n">
        <v>46269</v>
      </c>
      <c r="H80" s="25" t="n">
        <v>751.7106</v>
      </c>
      <c r="I80" s="21">
        <f>IF(OR($B80="",$H80=""),"",IF($C80="LONG",($H80-$E80)*$F80,($E80-$H80)*$F80))</f>
        <v/>
      </c>
      <c r="J80" s="4" t="n">
        <v>332.59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162.41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302.18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244.39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inlineStr">
        <is>
          <t>DHAN-32126090489209</t>
        </is>
      </c>
      <c r="B84" s="23" t="inlineStr">
        <is>
          <t>ALEMBICLTD</t>
        </is>
      </c>
      <c r="C84" s="23" t="inlineStr">
        <is>
          <t>SHORT</t>
        </is>
      </c>
      <c r="D84" s="24" t="n">
        <v>46269</v>
      </c>
      <c r="E84" s="25" t="n">
        <v>114.098</v>
      </c>
      <c r="F84" s="26" t="n">
        <v>1597</v>
      </c>
      <c r="G84" s="24" t="n">
        <v>46269</v>
      </c>
      <c r="H84" s="25" t="n">
        <v>111.8446</v>
      </c>
      <c r="I84" s="21">
        <f>IF(OR($B84="",$H84=""),"",IF($C84="LONG",($H84-$E84)*$F84,($E84-$H84)*$F84))</f>
        <v/>
      </c>
      <c r="J84" s="4" t="n">
        <v>223.48</v>
      </c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inlineStr">
        <is>
          <t>DHAN-34126090463509</t>
        </is>
      </c>
      <c r="B85" s="23" t="inlineStr">
        <is>
          <t>ANTELOPUS</t>
        </is>
      </c>
      <c r="C85" s="23" t="inlineStr">
        <is>
          <t>SHORT</t>
        </is>
      </c>
      <c r="D85" s="24" t="n">
        <v>46269</v>
      </c>
      <c r="E85" s="25" t="n">
        <v>1003.9</v>
      </c>
      <c r="F85" s="26" t="n">
        <v>86</v>
      </c>
      <c r="G85" s="24" t="n">
        <v>46269</v>
      </c>
      <c r="H85" s="25" t="n">
        <v>987.1866</v>
      </c>
      <c r="I85" s="21">
        <f>IF(OR($B85="",$H85=""),"",IF($C85="LONG",($H85-$E85)*$F85,($E85-$H85)*$F85))</f>
        <v/>
      </c>
      <c r="J85" s="4" t="n">
        <v>118.41</v>
      </c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inlineStr">
        <is>
          <t>DHAN-34126090416009</t>
        </is>
      </c>
      <c r="B86" s="23" t="inlineStr">
        <is>
          <t>BFUTILITIE</t>
        </is>
      </c>
      <c r="C86" s="23" t="inlineStr">
        <is>
          <t>SHORT</t>
        </is>
      </c>
      <c r="D86" s="24" t="n">
        <v>46269</v>
      </c>
      <c r="E86" s="25" t="n">
        <v>557.8248</v>
      </c>
      <c r="F86" s="26" t="n">
        <v>321</v>
      </c>
      <c r="G86" s="24" t="n">
        <v>46269</v>
      </c>
      <c r="H86" s="25" t="n">
        <v>545.7992</v>
      </c>
      <c r="I86" s="21">
        <f>IF(OR($B86="",$H86=""),"",IF($C86="LONG",($H86-$E86)*$F86,($E86-$H86)*$F86))</f>
        <v/>
      </c>
      <c r="J86" s="4" t="n">
        <v>264.5</v>
      </c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inlineStr">
        <is>
          <t>DHAN-22126090492309</t>
        </is>
      </c>
      <c r="B87" s="23" t="inlineStr">
        <is>
          <t>GOCLCORP</t>
        </is>
      </c>
      <c r="C87" s="23" t="inlineStr">
        <is>
          <t>SHORT</t>
        </is>
      </c>
      <c r="D87" s="24" t="n">
        <v>46269</v>
      </c>
      <c r="E87" s="25" t="n">
        <v>423.9067</v>
      </c>
      <c r="F87" s="26" t="n">
        <v>414</v>
      </c>
      <c r="G87" s="24" t="n">
        <v>46269</v>
      </c>
      <c r="H87" s="25" t="n">
        <v>429.4497</v>
      </c>
      <c r="I87" s="21">
        <f>IF(OR($B87="",$H87=""),"",IF($C87="LONG",($H87-$E87)*$F87,($E87-$H87)*$F87))</f>
        <v/>
      </c>
      <c r="J87" s="4" t="n">
        <v>262.49</v>
      </c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inlineStr">
        <is>
          <t>DHAN-34126090463609</t>
        </is>
      </c>
      <c r="B88" s="23" t="inlineStr">
        <is>
          <t>HINDOILEXP</t>
        </is>
      </c>
      <c r="C88" s="23" t="inlineStr">
        <is>
          <t>SHORT</t>
        </is>
      </c>
      <c r="D88" s="24" t="n">
        <v>46269</v>
      </c>
      <c r="E88" s="25" t="n">
        <v>181.8259</v>
      </c>
      <c r="F88" s="26" t="n">
        <v>951</v>
      </c>
      <c r="G88" s="24" t="n">
        <v>46269</v>
      </c>
      <c r="H88" s="25" t="n">
        <v>182</v>
      </c>
      <c r="I88" s="21">
        <f>IF(OR($B88="",$H88=""),"",IF($C88="LONG",($H88-$E88)*$F88,($E88-$H88)*$F88))</f>
        <v/>
      </c>
      <c r="J88" s="4" t="n">
        <v>214.74</v>
      </c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inlineStr">
        <is>
          <t>DHAN-23126090415409</t>
        </is>
      </c>
      <c r="B89" s="23" t="inlineStr">
        <is>
          <t>KIRIINDUS</t>
        </is>
      </c>
      <c r="C89" s="23" t="inlineStr">
        <is>
          <t>SHORT</t>
        </is>
      </c>
      <c r="D89" s="24" t="n">
        <v>46269</v>
      </c>
      <c r="E89" s="25" t="n">
        <v>591.654</v>
      </c>
      <c r="F89" s="26" t="n">
        <v>302</v>
      </c>
      <c r="G89" s="24" t="n">
        <v>46269</v>
      </c>
      <c r="H89" s="25" t="n">
        <v>562.05</v>
      </c>
      <c r="I89" s="21">
        <f>IF(OR($B89="",$H89=""),"",IF($C89="LONG",($H89-$E89)*$F89,($E89-$H89)*$F89))</f>
        <v/>
      </c>
      <c r="J89" s="4" t="n">
        <v>261.3</v>
      </c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inlineStr">
        <is>
          <t>DHAN-34126090488609</t>
        </is>
      </c>
      <c r="B90" s="23" t="inlineStr">
        <is>
          <t>MAITHANALL</t>
        </is>
      </c>
      <c r="C90" s="23" t="inlineStr">
        <is>
          <t>LONG</t>
        </is>
      </c>
      <c r="D90" s="24" t="n">
        <v>46269</v>
      </c>
      <c r="E90" s="25" t="n">
        <v>1086.426</v>
      </c>
      <c r="F90" s="26" t="n">
        <v>321</v>
      </c>
      <c r="G90" s="24" t="n">
        <v>46272</v>
      </c>
      <c r="H90" s="25" t="n">
        <v>1185</v>
      </c>
      <c r="I90" s="21">
        <f>IF(OR($B90="",$H90=""),"",IF($C90="LONG",($H90-$E90)*$F90,($E90-$H90)*$F90))</f>
        <v/>
      </c>
      <c r="J90" s="4" t="n">
        <v>833.8200000000001</v>
      </c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inlineStr">
        <is>
          <t>DHAN-321260904383309</t>
        </is>
      </c>
      <c r="B91" s="23" t="inlineStr">
        <is>
          <t>RAYMOND</t>
        </is>
      </c>
      <c r="C91" s="23" t="inlineStr">
        <is>
          <t>SHORT</t>
        </is>
      </c>
      <c r="D91" s="24" t="n">
        <v>46269</v>
      </c>
      <c r="E91" s="25" t="n">
        <v>752.5812</v>
      </c>
      <c r="F91" s="26" t="n">
        <v>231</v>
      </c>
      <c r="G91" s="24" t="n">
        <v>46269</v>
      </c>
      <c r="H91" s="25" t="n">
        <v>740.4414</v>
      </c>
      <c r="I91" s="21">
        <f>IF(OR($B91="",$H91=""),"",IF($C91="LONG",($H91-$E91)*$F91,($E91-$H91)*$F91))</f>
        <v/>
      </c>
      <c r="J91" s="4" t="n">
        <v>257.68</v>
      </c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inlineStr">
        <is>
          <t>DHAN-221260904639609</t>
        </is>
      </c>
      <c r="B92" s="23" t="inlineStr">
        <is>
          <t>RML</t>
        </is>
      </c>
      <c r="C92" s="23" t="inlineStr">
        <is>
          <t>LONG</t>
        </is>
      </c>
      <c r="D92" s="24" t="n">
        <v>46269</v>
      </c>
      <c r="E92" s="25" t="n">
        <v>1291.9929</v>
      </c>
      <c r="F92" s="26" t="n">
        <v>270</v>
      </c>
      <c r="G92" s="24" t="n">
        <v>46272</v>
      </c>
      <c r="H92" s="25" t="n">
        <v>1337.4363</v>
      </c>
      <c r="I92" s="21">
        <f>IF(OR($B92="",$H92=""),"",IF($C92="LONG",($H92-$E92)*$F92,($E92-$H92)*$F92))</f>
        <v/>
      </c>
      <c r="J92" s="4" t="n">
        <v>739.8200000000001</v>
      </c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inlineStr">
        <is>
          <t>DHAN-23126090486609</t>
        </is>
      </c>
      <c r="B93" s="23" t="inlineStr">
        <is>
          <t>SINDHUTRAD</t>
        </is>
      </c>
      <c r="C93" s="23" t="inlineStr">
        <is>
          <t>LONG</t>
        </is>
      </c>
      <c r="D93" s="24" t="n">
        <v>46269</v>
      </c>
      <c r="E93" s="25" t="n">
        <v>25.2263</v>
      </c>
      <c r="F93" s="26" t="n">
        <v>13916</v>
      </c>
      <c r="G93" s="24" t="n">
        <v>46272</v>
      </c>
      <c r="H93" s="25" t="n">
        <v>24.6576</v>
      </c>
      <c r="I93" s="21">
        <f>IF(OR($B93="",$H93=""),"",IF($C93="LONG",($H93-$E93)*$F93,($E93-$H93)*$F93))</f>
        <v/>
      </c>
      <c r="J93" s="4" t="n">
        <v>766.78</v>
      </c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inlineStr">
        <is>
          <t>DHAN-221260907740209</t>
        </is>
      </c>
      <c r="B94" s="23" t="inlineStr">
        <is>
          <t>CHEMPLASTS</t>
        </is>
      </c>
      <c r="C94" s="23" t="inlineStr">
        <is>
          <t>LONG</t>
        </is>
      </c>
      <c r="D94" s="24" t="n">
        <v>46272</v>
      </c>
      <c r="E94" s="25" t="n">
        <v>184.7831</v>
      </c>
      <c r="F94" s="26" t="n">
        <v>1261</v>
      </c>
      <c r="G94" s="24" t="n">
        <v>46273</v>
      </c>
      <c r="H94" s="25" t="n">
        <v>185.135</v>
      </c>
      <c r="I94" s="21">
        <f>IF(OR($B94="",$H94=""),"",IF($C94="LONG",($H94-$E94)*$F94,($E94-$H94)*$F94))</f>
        <v/>
      </c>
      <c r="J94" s="4" t="n">
        <v>667.05</v>
      </c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inlineStr">
        <is>
          <t>DHAN-23126090769809</t>
        </is>
      </c>
      <c r="B95" s="23" t="inlineStr">
        <is>
          <t>GNRL</t>
        </is>
      </c>
      <c r="C95" s="23" t="inlineStr">
        <is>
          <t>LONG</t>
        </is>
      </c>
      <c r="D95" s="24" t="n">
        <v>46272</v>
      </c>
      <c r="E95" s="25" t="n">
        <v>114.89</v>
      </c>
      <c r="F95" s="26" t="n">
        <v>1019</v>
      </c>
      <c r="G95" s="24" t="inlineStr"/>
      <c r="H95" s="25" t="inlineStr"/>
      <c r="I95" s="21">
        <f>IF(OR($B95="",$H95=""),"",IF($C95="LONG",($H95-$E95)*$F95,($E95-$H95)*$F95))</f>
        <v/>
      </c>
      <c r="J95" s="4" t="n">
        <v>153.76</v>
      </c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inlineStr">
        <is>
          <t>DHAN-23126090769609</t>
        </is>
      </c>
      <c r="B96" s="23" t="inlineStr">
        <is>
          <t>HIKAL</t>
        </is>
      </c>
      <c r="C96" s="23" t="inlineStr">
        <is>
          <t>LONG</t>
        </is>
      </c>
      <c r="D96" s="24" t="n">
        <v>46272</v>
      </c>
      <c r="E96" s="25" t="n">
        <v>242.9411</v>
      </c>
      <c r="F96" s="26" t="n">
        <v>959</v>
      </c>
      <c r="G96" s="24" t="n">
        <v>46273</v>
      </c>
      <c r="H96" s="25" t="n">
        <v>249.6418</v>
      </c>
      <c r="I96" s="21">
        <f>IF(OR($B96="",$H96=""),"",IF($C96="LONG",($H96-$E96)*$F96,($E96-$H96)*$F96))</f>
        <v/>
      </c>
      <c r="J96" s="4" t="n">
        <v>670.16</v>
      </c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inlineStr">
        <is>
          <t>DHAN-23126090714709</t>
        </is>
      </c>
      <c r="B97" s="23" t="inlineStr">
        <is>
          <t>MAITHANALL</t>
        </is>
      </c>
      <c r="C97" s="23" t="inlineStr">
        <is>
          <t>SHORT</t>
        </is>
      </c>
      <c r="D97" s="24" t="n">
        <v>46272</v>
      </c>
      <c r="E97" s="25" t="n">
        <v>1183.4504</v>
      </c>
      <c r="F97" s="26" t="n">
        <v>321</v>
      </c>
      <c r="G97" s="24" t="n">
        <v>46272</v>
      </c>
      <c r="H97" s="25" t="n">
        <v>1129.9305</v>
      </c>
      <c r="I97" s="21">
        <f>IF(OR($B97="",$H97=""),"",IF($C97="LONG",($H97-$E97)*$F97,($E97-$H97)*$F97))</f>
        <v/>
      </c>
      <c r="J97" s="4" t="n">
        <v>437.06</v>
      </c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inlineStr">
        <is>
          <t>DHAN-23126090769709</t>
        </is>
      </c>
      <c r="B98" s="23" t="inlineStr">
        <is>
          <t>PITTIENG</t>
        </is>
      </c>
      <c r="C98" s="23" t="inlineStr">
        <is>
          <t>LONG</t>
        </is>
      </c>
      <c r="D98" s="24" t="n">
        <v>46272</v>
      </c>
      <c r="E98" s="25" t="n">
        <v>1174.901</v>
      </c>
      <c r="F98" s="26" t="n">
        <v>198</v>
      </c>
      <c r="G98" s="24" t="inlineStr"/>
      <c r="H98" s="25" t="inlineStr"/>
      <c r="I98" s="21">
        <f>IF(OR($B98="",$H98=""),"",IF($C98="LONG",($H98-$E98)*$F98,($E98-$H98)*$F98))</f>
        <v/>
      </c>
      <c r="J98" s="4" t="n">
        <v>397.89</v>
      </c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inlineStr">
        <is>
          <t>DHAN-211260907540809</t>
        </is>
      </c>
      <c r="B99" s="23" t="inlineStr">
        <is>
          <t>RML</t>
        </is>
      </c>
      <c r="C99" s="23" t="inlineStr">
        <is>
          <t>LONG</t>
        </is>
      </c>
      <c r="D99" s="24" t="n">
        <v>46272</v>
      </c>
      <c r="E99" s="25" t="n">
        <v>1397.9</v>
      </c>
      <c r="F99" s="26" t="n">
        <v>167</v>
      </c>
      <c r="G99" s="24" t="inlineStr"/>
      <c r="H99" s="25" t="inlineStr"/>
      <c r="I99" s="21">
        <f>IF(OR($B99="",$H99=""),"",IF($C99="LONG",($H99-$E99)*$F99,($E99-$H99)*$F99))</f>
        <v/>
      </c>
      <c r="J99" s="4" t="n">
        <v>47.08</v>
      </c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inlineStr">
        <is>
          <t>DHAN-321260907112709</t>
        </is>
      </c>
      <c r="B100" s="23" t="inlineStr">
        <is>
          <t>RML</t>
        </is>
      </c>
      <c r="C100" s="23" t="inlineStr">
        <is>
          <t>SHORT</t>
        </is>
      </c>
      <c r="D100" s="24" t="n">
        <v>46272</v>
      </c>
      <c r="E100" s="25" t="n">
        <v>1345.7526</v>
      </c>
      <c r="F100" s="26" t="n">
        <v>270</v>
      </c>
      <c r="G100" s="24" t="n">
        <v>46272</v>
      </c>
      <c r="H100" s="25" t="n">
        <v>1363.1344</v>
      </c>
      <c r="I100" s="21">
        <f>IF(OR($B100="",$H100=""),"",IF($C100="LONG",($H100-$E100)*$F100,($E100-$H100)*$F100))</f>
        <v/>
      </c>
      <c r="J100" s="4" t="n">
        <v>380.66</v>
      </c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inlineStr">
        <is>
          <t>DHAN-34126090734409</t>
        </is>
      </c>
      <c r="B101" s="23" t="inlineStr">
        <is>
          <t>SINDHUTRAD</t>
        </is>
      </c>
      <c r="C101" s="23" t="inlineStr">
        <is>
          <t>SHORT</t>
        </is>
      </c>
      <c r="D101" s="24" t="n">
        <v>46272</v>
      </c>
      <c r="E101" s="25" t="n">
        <v>24.65</v>
      </c>
      <c r="F101" s="26" t="n">
        <v>13916</v>
      </c>
      <c r="G101" s="24" t="n">
        <v>46272</v>
      </c>
      <c r="H101" s="25" t="n">
        <v>25.2993</v>
      </c>
      <c r="I101" s="21">
        <f>IF(OR($B101="",$H101=""),"",IF($C101="LONG",($H101-$E101)*$F101,($E101-$H101)*$F101))</f>
        <v/>
      </c>
      <c r="J101" s="4" t="n">
        <v>516.37</v>
      </c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inlineStr">
        <is>
          <t>DHAN-321260907804109</t>
        </is>
      </c>
      <c r="B102" s="23" t="inlineStr">
        <is>
          <t>TALBROAUTO</t>
        </is>
      </c>
      <c r="C102" s="23" t="inlineStr">
        <is>
          <t>LONG</t>
        </is>
      </c>
      <c r="D102" s="24" t="n">
        <v>46272</v>
      </c>
      <c r="E102" s="25" t="n">
        <v>433.5513</v>
      </c>
      <c r="F102" s="26" t="n">
        <v>538</v>
      </c>
      <c r="G102" s="24" t="inlineStr"/>
      <c r="H102" s="25" t="inlineStr"/>
      <c r="I102" s="21">
        <f>IF(OR($B102="",$H102=""),"",IF($C102="LONG",($H102-$E102)*$F102,($E102-$H102)*$F102))</f>
        <v/>
      </c>
      <c r="J102" s="4" t="n">
        <v>398.58</v>
      </c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inlineStr">
        <is>
          <t>DHAN-23126090817409</t>
        </is>
      </c>
      <c r="B103" s="23" t="inlineStr">
        <is>
          <t>CHEMPLASTS</t>
        </is>
      </c>
      <c r="C103" s="23" t="inlineStr">
        <is>
          <t>SHORT</t>
        </is>
      </c>
      <c r="D103" s="24" t="n">
        <v>46273</v>
      </c>
      <c r="E103" s="25" t="n">
        <v>184.8514</v>
      </c>
      <c r="F103" s="26" t="n">
        <v>1261</v>
      </c>
      <c r="G103" s="24" t="inlineStr"/>
      <c r="H103" s="25" t="inlineStr"/>
      <c r="I103" s="21">
        <f>IF(OR($B103="",$H103=""),"",IF($C103="LONG",($H103-$E103)*$F103,($E103-$H103)*$F103))</f>
        <v/>
      </c>
      <c r="J103" s="4" t="n">
        <v>90.59</v>
      </c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inlineStr">
        <is>
          <t>DHAN-23126090817509</t>
        </is>
      </c>
      <c r="B104" s="23" t="inlineStr">
        <is>
          <t>HIKAL</t>
        </is>
      </c>
      <c r="C104" s="23" t="inlineStr">
        <is>
          <t>SHORT</t>
        </is>
      </c>
      <c r="D104" s="24" t="n">
        <v>46273</v>
      </c>
      <c r="E104" s="25" t="n">
        <v>250.9033</v>
      </c>
      <c r="F104" s="26" t="n">
        <v>959</v>
      </c>
      <c r="G104" s="24" t="inlineStr"/>
      <c r="H104" s="25" t="inlineStr"/>
      <c r="I104" s="21">
        <f>IF(OR($B104="",$H104=""),"",IF($C104="LONG",($H104-$E104)*$F104,($E104-$H104)*$F104))</f>
        <v/>
      </c>
      <c r="J104" s="4" t="n">
        <v>92.75</v>
      </c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ASHOKA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BAJAJHIND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BANARISUG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BFUTILITIE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BOMDYEING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CHEMPLASTS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FMGOETZE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GKENERGY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GNRL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GOCLCORP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GOPAL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GUJTHEM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HERITGFOOD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HIKAL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HINDOILEXP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HUBTOWN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INDOCO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JGCHEM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KCP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KIRIINDUS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KLBRENG-B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MAITHANALL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MANGLMCEM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MASTEK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NETWORK18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NILKAMAL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NORTHARC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OMAXE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OPTIEMUS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ORIENTHOT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PITTIENG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QUADFUTURE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RAMRAT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RAYMOND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RML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SAKAR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SINDHUTRAD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SOLARA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SOTL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SSWL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SYNCOMF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TALBROAUTO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27" t="inlineStr">
        <is>
          <t>TBZ</t>
        </is>
      </c>
      <c r="B48" s="20">
        <f>COUNTIF('Trade Log'!$B$4:$B$503,$A48)</f>
        <v/>
      </c>
      <c r="C48" s="20">
        <f>COUNTIFS('Trade Log'!$B$4:$B$503,$A48,'Trade Log'!$K$4:$K$503,"&gt;0")</f>
        <v/>
      </c>
      <c r="D48" s="20">
        <f>COUNTIFS('Trade Log'!$B$4:$B$503,$A48,'Trade Log'!$K$4:$K$503,"&lt;0")</f>
        <v/>
      </c>
      <c r="E48" s="29">
        <f>IFERROR($C48/$B48,"")</f>
        <v/>
      </c>
      <c r="F48" s="21">
        <f>SUMIF('Trade Log'!$B$4:$B$503,$A48,'Trade Log'!$I$4:$I$503)</f>
        <v/>
      </c>
      <c r="G48" s="21">
        <f>SUMIF('Trade Log'!$B$4:$B$503,$A48,'Trade Log'!$K$4:$K$503)</f>
        <v/>
      </c>
      <c r="H48" s="21">
        <f>IFERROR($G48/$B48,"")</f>
        <v/>
      </c>
      <c r="I48" s="21">
        <f>IFERROR(_xlfn.MAXIFS('Trade Log'!$K$4:$K$503,'Trade Log'!$B$4:$B$503,$A48),"")</f>
        <v/>
      </c>
      <c r="J48" s="21">
        <f>IFERROR(_xlfn.MINIFS('Trade Log'!$K$4:$K$503,'Trade Log'!$B$4:$B$503,$A48),"")</f>
        <v/>
      </c>
    </row>
    <row r="49">
      <c r="A49" s="27" t="inlineStr">
        <is>
          <t>THOMASCOOK</t>
        </is>
      </c>
      <c r="B49" s="20">
        <f>COUNTIF('Trade Log'!$B$4:$B$503,$A49)</f>
        <v/>
      </c>
      <c r="C49" s="20">
        <f>COUNTIFS('Trade Log'!$B$4:$B$503,$A49,'Trade Log'!$K$4:$K$503,"&gt;0")</f>
        <v/>
      </c>
      <c r="D49" s="20">
        <f>COUNTIFS('Trade Log'!$B$4:$B$503,$A49,'Trade Log'!$K$4:$K$503,"&lt;0")</f>
        <v/>
      </c>
      <c r="E49" s="29">
        <f>IFERROR($C49/$B49,"")</f>
        <v/>
      </c>
      <c r="F49" s="21">
        <f>SUMIF('Trade Log'!$B$4:$B$503,$A49,'Trade Log'!$I$4:$I$503)</f>
        <v/>
      </c>
      <c r="G49" s="21">
        <f>SUMIF('Trade Log'!$B$4:$B$503,$A49,'Trade Log'!$K$4:$K$503)</f>
        <v/>
      </c>
      <c r="H49" s="21">
        <f>IFERROR($G49/$B49,"")</f>
        <v/>
      </c>
      <c r="I49" s="21">
        <f>IFERROR(_xlfn.MAXIFS('Trade Log'!$K$4:$K$503,'Trade Log'!$B$4:$B$503,$A49),"")</f>
        <v/>
      </c>
      <c r="J49" s="21">
        <f>IFERROR(_xlfn.MINIFS('Trade Log'!$K$4:$K$503,'Trade Log'!$B$4:$B$503,$A49),"")</f>
        <v/>
      </c>
    </row>
    <row r="50">
      <c r="A50" s="27" t="inlineStr">
        <is>
          <t>VENKEYS</t>
        </is>
      </c>
      <c r="B50" s="20">
        <f>COUNTIF('Trade Log'!$B$4:$B$503,$A50)</f>
        <v/>
      </c>
      <c r="C50" s="20">
        <f>COUNTIFS('Trade Log'!$B$4:$B$503,$A50,'Trade Log'!$K$4:$K$503,"&gt;0")</f>
        <v/>
      </c>
      <c r="D50" s="20">
        <f>COUNTIFS('Trade Log'!$B$4:$B$503,$A50,'Trade Log'!$K$4:$K$503,"&lt;0")</f>
        <v/>
      </c>
      <c r="E50" s="29">
        <f>IFERROR($C50/$B50,"")</f>
        <v/>
      </c>
      <c r="F50" s="21">
        <f>SUMIF('Trade Log'!$B$4:$B$503,$A50,'Trade Log'!$I$4:$I$503)</f>
        <v/>
      </c>
      <c r="G50" s="21">
        <f>SUMIF('Trade Log'!$B$4:$B$503,$A50,'Trade Log'!$K$4:$K$503)</f>
        <v/>
      </c>
      <c r="H50" s="21">
        <f>IFERROR($G50/$B50,"")</f>
        <v/>
      </c>
      <c r="I50" s="21">
        <f>IFERROR(_xlfn.MAXIFS('Trade Log'!$K$4:$K$503,'Trade Log'!$B$4:$B$503,$A50),"")</f>
        <v/>
      </c>
      <c r="J50" s="21">
        <f>IFERROR(_xlfn.MINIFS('Trade Log'!$K$4:$K$503,'Trade Log'!$B$4:$B$503,$A50),"")</f>
        <v/>
      </c>
    </row>
    <row r="51">
      <c r="A51" s="27" t="inlineStr">
        <is>
          <t>VERANDA</t>
        </is>
      </c>
      <c r="B51" s="20">
        <f>COUNTIF('Trade Log'!$B$4:$B$503,$A51)</f>
        <v/>
      </c>
      <c r="C51" s="20">
        <f>COUNTIFS('Trade Log'!$B$4:$B$503,$A51,'Trade Log'!$K$4:$K$503,"&gt;0")</f>
        <v/>
      </c>
      <c r="D51" s="20">
        <f>COUNTIFS('Trade Log'!$B$4:$B$503,$A51,'Trade Log'!$K$4:$K$503,"&lt;0")</f>
        <v/>
      </c>
      <c r="E51" s="29">
        <f>IFERROR($C51/$B51,"")</f>
        <v/>
      </c>
      <c r="F51" s="21">
        <f>SUMIF('Trade Log'!$B$4:$B$503,$A51,'Trade Log'!$I$4:$I$503)</f>
        <v/>
      </c>
      <c r="G51" s="21">
        <f>SUMIF('Trade Log'!$B$4:$B$503,$A51,'Trade Log'!$K$4:$K$503)</f>
        <v/>
      </c>
      <c r="H51" s="21">
        <f>IFERROR($G51/$B51,"")</f>
        <v/>
      </c>
      <c r="I51" s="21">
        <f>IFERROR(_xlfn.MAXIFS('Trade Log'!$K$4:$K$503,'Trade Log'!$B$4:$B$503,$A51),"")</f>
        <v/>
      </c>
      <c r="J51" s="21">
        <f>IFERROR(_xlfn.MINIFS('Trade Log'!$K$4:$K$503,'Trade Log'!$B$4:$B$503,$A51),"")</f>
        <v/>
      </c>
    </row>
    <row r="52">
      <c r="A52" s="27" t="inlineStr">
        <is>
          <t>WELSPLSOL</t>
        </is>
      </c>
      <c r="B52" s="20">
        <f>COUNTIF('Trade Log'!$B$4:$B$503,$A52)</f>
        <v/>
      </c>
      <c r="C52" s="20">
        <f>COUNTIFS('Trade Log'!$B$4:$B$503,$A52,'Trade Log'!$K$4:$K$503,"&gt;0")</f>
        <v/>
      </c>
      <c r="D52" s="20">
        <f>COUNTIFS('Trade Log'!$B$4:$B$503,$A52,'Trade Log'!$K$4:$K$503,"&lt;0")</f>
        <v/>
      </c>
      <c r="E52" s="29">
        <f>IFERROR($C52/$B52,"")</f>
        <v/>
      </c>
      <c r="F52" s="21">
        <f>SUMIF('Trade Log'!$B$4:$B$503,$A52,'Trade Log'!$I$4:$I$503)</f>
        <v/>
      </c>
      <c r="G52" s="21">
        <f>SUMIF('Trade Log'!$B$4:$B$503,$A52,'Trade Log'!$K$4:$K$503)</f>
        <v/>
      </c>
      <c r="H52" s="21">
        <f>IFERROR($G52/$B52,"")</f>
        <v/>
      </c>
      <c r="I52" s="21">
        <f>IFERROR(_xlfn.MAXIFS('Trade Log'!$K$4:$K$503,'Trade Log'!$B$4:$B$503,$A52),"")</f>
        <v/>
      </c>
      <c r="J52" s="21">
        <f>IFERROR(_xlfn.MINIFS('Trade Log'!$K$4:$K$503,'Trade Log'!$B$4:$B$503,$A52),"")</f>
        <v/>
      </c>
    </row>
    <row r="53">
      <c r="A53" s="27" t="inlineStr">
        <is>
          <t>WINDLAS</t>
        </is>
      </c>
      <c r="B53" s="20">
        <f>COUNTIF('Trade Log'!$B$4:$B$503,$A53)</f>
        <v/>
      </c>
      <c r="C53" s="20">
        <f>COUNTIFS('Trade Log'!$B$4:$B$503,$A53,'Trade Log'!$K$4:$K$503,"&gt;0")</f>
        <v/>
      </c>
      <c r="D53" s="20">
        <f>COUNTIFS('Trade Log'!$B$4:$B$503,$A53,'Trade Log'!$K$4:$K$503,"&lt;0")</f>
        <v/>
      </c>
      <c r="E53" s="29">
        <f>IFERROR($C53/$B53,"")</f>
        <v/>
      </c>
      <c r="F53" s="21">
        <f>SUMIF('Trade Log'!$B$4:$B$503,$A53,'Trade Log'!$I$4:$I$503)</f>
        <v/>
      </c>
      <c r="G53" s="21">
        <f>SUMIF('Trade Log'!$B$4:$B$503,$A53,'Trade Log'!$K$4:$K$503)</f>
        <v/>
      </c>
      <c r="H53" s="21">
        <f>IFERROR($G53/$B53,"")</f>
        <v/>
      </c>
      <c r="I53" s="21">
        <f>IFERROR(_xlfn.MAXIFS('Trade Log'!$K$4:$K$503,'Trade Log'!$B$4:$B$503,$A53),"")</f>
        <v/>
      </c>
      <c r="J53" s="21">
        <f>IFERROR(_xlfn.MINIFS('Trade Log'!$K$4:$K$503,'Trade Log'!$B$4:$B$503,$A53),"")</f>
        <v/>
      </c>
    </row>
    <row r="54">
      <c r="A54" s="27" t="inlineStr">
        <is>
          <t>XPROINDIA</t>
        </is>
      </c>
      <c r="B54" s="20">
        <f>COUNTIF('Trade Log'!$B$4:$B$503,$A54)</f>
        <v/>
      </c>
      <c r="C54" s="20">
        <f>COUNTIFS('Trade Log'!$B$4:$B$503,$A54,'Trade Log'!$K$4:$K$503,"&gt;0")</f>
        <v/>
      </c>
      <c r="D54" s="20">
        <f>COUNTIFS('Trade Log'!$B$4:$B$503,$A54,'Trade Log'!$K$4:$K$503,"&lt;0")</f>
        <v/>
      </c>
      <c r="E54" s="29">
        <f>IFERROR($C54/$B54,"")</f>
        <v/>
      </c>
      <c r="F54" s="21">
        <f>SUMIF('Trade Log'!$B$4:$B$503,$A54,'Trade Log'!$I$4:$I$503)</f>
        <v/>
      </c>
      <c r="G54" s="21">
        <f>SUMIF('Trade Log'!$B$4:$B$503,$A54,'Trade Log'!$K$4:$K$503)</f>
        <v/>
      </c>
      <c r="H54" s="21">
        <f>IFERROR($G54/$B54,"")</f>
        <v/>
      </c>
      <c r="I54" s="21">
        <f>IFERROR(_xlfn.MAXIFS('Trade Log'!$K$4:$K$503,'Trade Log'!$B$4:$B$503,$A54),"")</f>
        <v/>
      </c>
      <c r="J54" s="21">
        <f>IFERROR(_xlfn.MINIFS('Trade Log'!$K$4:$K$503,'Trade Log'!$B$4:$B$503,$A54),"")</f>
        <v/>
      </c>
    </row>
    <row r="55">
      <c r="A55" s="27" t="inlineStr">
        <is>
          <t>ZAGGLE</t>
        </is>
      </c>
      <c r="B55" s="20">
        <f>COUNTIF('Trade Log'!$B$4:$B$503,$A55)</f>
        <v/>
      </c>
      <c r="C55" s="20">
        <f>COUNTIFS('Trade Log'!$B$4:$B$503,$A55,'Trade Log'!$K$4:$K$503,"&gt;0")</f>
        <v/>
      </c>
      <c r="D55" s="20">
        <f>COUNTIFS('Trade Log'!$B$4:$B$503,$A55,'Trade Log'!$K$4:$K$503,"&lt;0")</f>
        <v/>
      </c>
      <c r="E55" s="29">
        <f>IFERROR($C55/$B55,"")</f>
        <v/>
      </c>
      <c r="F55" s="21">
        <f>SUMIF('Trade Log'!$B$4:$B$503,$A55,'Trade Log'!$I$4:$I$503)</f>
        <v/>
      </c>
      <c r="G55" s="21">
        <f>SUMIF('Trade Log'!$B$4:$B$503,$A55,'Trade Log'!$K$4:$K$503)</f>
        <v/>
      </c>
      <c r="H55" s="21">
        <f>IFERROR($G55/$B55,"")</f>
        <v/>
      </c>
      <c r="I55" s="21">
        <f>IFERROR(_xlfn.MAXIFS('Trade Log'!$K$4:$K$503,'Trade Log'!$B$4:$B$503,$A55),"")</f>
        <v/>
      </c>
      <c r="J55" s="21">
        <f>IFERROR(_xlfn.MINIFS('Trade Log'!$K$4:$K$503,'Trade Log'!$B$4:$B$503,$A55),"")</f>
        <v/>
      </c>
    </row>
    <row r="56">
      <c r="A56" s="3" t="inlineStr">
        <is>
          <t>TOTAL</t>
        </is>
      </c>
      <c r="B56" s="30">
        <f>SUM(B4:B55)</f>
        <v/>
      </c>
      <c r="C56" s="30">
        <f>SUM(C4:C55)</f>
        <v/>
      </c>
      <c r="D56" s="30">
        <f>SUM(D4:D55)</f>
        <v/>
      </c>
      <c r="E56" s="31">
        <f>IFERROR(C56/B56,"")</f>
        <v/>
      </c>
      <c r="F56" s="32">
        <f>SUM(F4:F55)</f>
        <v/>
      </c>
      <c r="G56" s="32">
        <f>SUM(G4:G55)</f>
        <v/>
      </c>
      <c r="H56" s="32">
        <f>IFERROR(G56/B56,"")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2026-09-08T03:55:21Z</dcterms:created>
  <dcterms:modified xmlns:dcterms="http://purl.org/dc/terms/" xmlns:xsi="http://www.w3.org/2001/XMLSchema-instance" xsi:type="dcterms:W3CDTF">2026-09-08T03:55:22Z</dcterms:modified>
</cp:coreProperties>
</file>