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'Charges'!$A$3:$N$254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515.25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Untagged</t>
        </is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25" t="n">
        <v>20.9605</v>
      </c>
      <c r="F5" s="26" t="n">
        <v>14742</v>
      </c>
      <c r="G5" s="24" t="n">
        <v>46254</v>
      </c>
      <c r="H5" s="25" t="n">
        <v>22.2519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451.6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Untagged</t>
        </is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46253</v>
      </c>
      <c r="E6" s="25" t="n">
        <v>289.4016</v>
      </c>
      <c r="F6" s="26" t="n">
        <v>1038</v>
      </c>
      <c r="G6" s="24" t="n">
        <v>46254</v>
      </c>
      <c r="H6" s="25" t="n">
        <v>281.1859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610.24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Untagged</t>
        </is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25" t="n">
        <v>281.1067</v>
      </c>
      <c r="F7" s="26" t="n">
        <v>1038</v>
      </c>
      <c r="G7" s="24" t="n">
        <v>46254</v>
      </c>
      <c r="H7" s="25" t="n">
        <v>282.9361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346.76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Untagged</t>
        </is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46253</v>
      </c>
      <c r="E8" s="25" t="n">
        <v>2031.8572</v>
      </c>
      <c r="F8" s="26" t="n">
        <v>147</v>
      </c>
      <c r="G8" s="24" t="n">
        <v>46254</v>
      </c>
      <c r="H8" s="25" t="n">
        <v>2020.8687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514.1900000000001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Untagged</t>
        </is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25" t="n">
        <v>2019.2572</v>
      </c>
      <c r="F9" s="26" t="n">
        <v>147</v>
      </c>
      <c r="G9" s="24" t="n">
        <v>46254</v>
      </c>
      <c r="H9" s="25" t="n">
        <v>2037.9993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427.19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Untagged</t>
        </is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46253</v>
      </c>
      <c r="E10" s="25" t="n">
        <v>139.6107</v>
      </c>
      <c r="F10" s="26" t="n">
        <v>2137</v>
      </c>
      <c r="G10" s="24" t="n">
        <v>46254</v>
      </c>
      <c r="H10" s="25" t="n">
        <v>134.2087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595.38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Untagged</t>
        </is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25" t="n">
        <v>134.1808</v>
      </c>
      <c r="F11" s="26" t="n">
        <v>2137</v>
      </c>
      <c r="G11" s="24" t="n">
        <v>46254</v>
      </c>
      <c r="H11" s="25" t="n">
        <v>134.9144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341.04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Untagged</t>
        </is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46253</v>
      </c>
      <c r="E12" s="25" t="n">
        <v>186.67</v>
      </c>
      <c r="F12" s="26" t="n">
        <v>1609</v>
      </c>
      <c r="G12" s="24" t="n">
        <v>46254</v>
      </c>
      <c r="H12" s="25" t="n">
        <v>190.697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525.96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Untagged</t>
        </is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25" t="n">
        <v>190.82</v>
      </c>
      <c r="F13" s="26" t="n">
        <v>1609</v>
      </c>
      <c r="G13" s="24" t="n">
        <v>46254</v>
      </c>
      <c r="H13" s="25" t="n">
        <v>197.6402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444.79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Untagged</t>
        </is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46254</v>
      </c>
      <c r="E14" s="25" t="n">
        <v>4243.582</v>
      </c>
      <c r="F14" s="26" t="n">
        <v>39</v>
      </c>
      <c r="G14" s="24" t="n">
        <v>46255</v>
      </c>
      <c r="H14" s="25" t="n">
        <v>4030.5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367.34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Untagged</t>
        </is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25" t="n">
        <v>4030.5103</v>
      </c>
      <c r="F15" s="26" t="n">
        <v>39</v>
      </c>
      <c r="G15" s="24" t="n">
        <v>46255</v>
      </c>
      <c r="H15" s="25" t="n">
        <v>4029.782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197.25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Untagged</t>
        </is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46254</v>
      </c>
      <c r="E16" s="25" t="n">
        <v>201.5272</v>
      </c>
      <c r="F16" s="26" t="n">
        <v>827</v>
      </c>
      <c r="G16" s="24" t="n">
        <v>46255</v>
      </c>
      <c r="H16" s="25" t="n">
        <v>197.7805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376.36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Untagged</t>
        </is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25" t="n">
        <v>197.3558</v>
      </c>
      <c r="F17" s="26" t="n">
        <v>827</v>
      </c>
      <c r="G17" s="24" t="n">
        <v>46255</v>
      </c>
      <c r="H17" s="25" t="n">
        <v>196.7219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203.83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Untagged</t>
        </is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46254</v>
      </c>
      <c r="E18" s="25" t="n">
        <v>462.385</v>
      </c>
      <c r="F18" s="26" t="n">
        <v>361</v>
      </c>
      <c r="G18" s="24" t="n">
        <v>46255</v>
      </c>
      <c r="H18" s="25" t="n">
        <v>463.0857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337.55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Untagged</t>
        </is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25" t="n">
        <v>462.9753</v>
      </c>
      <c r="F19" s="26" t="n">
        <v>361</v>
      </c>
      <c r="G19" s="24" t="n">
        <v>46255</v>
      </c>
      <c r="H19" s="25" t="n">
        <v>474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251.98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Untagged</t>
        </is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46254</v>
      </c>
      <c r="E20" s="25" t="n">
        <v>988.9262</v>
      </c>
      <c r="F20" s="26" t="n">
        <v>168</v>
      </c>
      <c r="G20" s="24" t="n">
        <v>46255</v>
      </c>
      <c r="H20" s="25" t="n">
        <v>989.1455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376.81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Untagged</t>
        </is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25" t="n">
        <v>988.4104</v>
      </c>
      <c r="F21" s="26" t="n">
        <v>168</v>
      </c>
      <c r="G21" s="24" t="n">
        <v>46255</v>
      </c>
      <c r="H21" s="25" t="n">
        <v>1013.811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208.81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Untagged</t>
        </is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46254</v>
      </c>
      <c r="E22" s="25" t="n">
        <v>30.4987</v>
      </c>
      <c r="F22" s="26" t="n">
        <v>5468</v>
      </c>
      <c r="G22" s="24" t="n">
        <v>46255</v>
      </c>
      <c r="H22" s="25" t="n">
        <v>30.5039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339.19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Untagged</t>
        </is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25" t="n">
        <v>30.5074</v>
      </c>
      <c r="F23" s="26" t="n">
        <v>5468</v>
      </c>
      <c r="G23" s="24" t="n">
        <v>46255</v>
      </c>
      <c r="H23" s="25" t="n">
        <v>29.9088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248.04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Untagged</t>
        </is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46254</v>
      </c>
      <c r="E24" s="25" t="n">
        <v>639.9</v>
      </c>
      <c r="F24" s="26" t="n">
        <v>261</v>
      </c>
      <c r="G24" s="24" t="n">
        <v>46255</v>
      </c>
      <c r="H24" s="25" t="n">
        <v>615.2594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376.04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Untagged</t>
        </is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25" t="n">
        <v>614.6021</v>
      </c>
      <c r="F25" s="26" t="n">
        <v>261</v>
      </c>
      <c r="G25" s="24" t="n">
        <v>46255</v>
      </c>
      <c r="H25" s="25" t="n">
        <v>614.4914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200.87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Untagged</t>
        </is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46254</v>
      </c>
      <c r="E26" s="25" t="n">
        <v>257.6</v>
      </c>
      <c r="F26" s="26" t="n">
        <v>650</v>
      </c>
      <c r="G26" s="24" t="n">
        <v>46255</v>
      </c>
      <c r="H26" s="25" t="n">
        <v>259.5025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0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Untagged</t>
        </is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25" t="n">
        <v>259.503</v>
      </c>
      <c r="F27" s="26" t="n">
        <v>650</v>
      </c>
      <c r="G27" s="24" t="n">
        <v>46255</v>
      </c>
      <c r="H27" s="25" t="n">
        <v>261.6704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210.52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Untagged</t>
        </is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46255</v>
      </c>
      <c r="E28" s="25" t="n">
        <v>406</v>
      </c>
      <c r="F28" s="26" t="n">
        <v>950</v>
      </c>
      <c r="G28" s="24" t="n">
        <v>46258</v>
      </c>
      <c r="H28" s="25" t="n">
        <v>389.171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534.25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Untagged</t>
        </is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25" t="n">
        <v>389.0013</v>
      </c>
      <c r="F29" s="26" t="n">
        <v>950</v>
      </c>
      <c r="G29" s="24" t="n">
        <v>46258</v>
      </c>
      <c r="H29" s="25" t="n">
        <v>392.9899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526.1799999999999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Untagged</t>
        </is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46255</v>
      </c>
      <c r="E30" s="25" t="n">
        <v>113.4719</v>
      </c>
      <c r="F30" s="26" t="n">
        <v>3301</v>
      </c>
      <c r="G30" s="24" t="n">
        <v>46258</v>
      </c>
      <c r="H30" s="25" t="n">
        <v>115.0974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803.16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Untagged</t>
        </is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n">
        <v>46258</v>
      </c>
      <c r="H31" s="25" t="n">
        <v>113.5099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536.1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Untagged</t>
        </is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46255</v>
      </c>
      <c r="E32" s="25" t="n">
        <v>51.46937</v>
      </c>
      <c r="F32" s="26" t="n">
        <v>7230</v>
      </c>
      <c r="G32" s="24" t="n">
        <v>46258</v>
      </c>
      <c r="H32" s="25" t="n">
        <v>52.017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517.89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Untagged</t>
        </is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25" t="n">
        <v>51.8309</v>
      </c>
      <c r="F33" s="26" t="n">
        <v>7230</v>
      </c>
      <c r="G33" s="24" t="n">
        <v>46258</v>
      </c>
      <c r="H33" s="25" t="n">
        <v>51.2492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529.84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Untagged</t>
        </is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46258</v>
      </c>
      <c r="E34" s="25" t="n">
        <v>412.7273</v>
      </c>
      <c r="F34" s="26" t="n">
        <v>405</v>
      </c>
      <c r="G34" s="24" t="n">
        <v>46259</v>
      </c>
      <c r="H34" s="25" t="n">
        <v>412.7043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377.89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Untagged</t>
        </is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25" t="n">
        <v>412.5647</v>
      </c>
      <c r="F35" s="26" t="n">
        <v>405</v>
      </c>
      <c r="G35" s="24" t="n">
        <v>46259</v>
      </c>
      <c r="H35" s="25" t="n">
        <v>404.7939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207.3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Untagged</t>
        </is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46258</v>
      </c>
      <c r="E36" s="25" t="n">
        <v>177.3833</v>
      </c>
      <c r="F36" s="26" t="n">
        <v>942</v>
      </c>
      <c r="G36" s="24" t="n">
        <v>46259</v>
      </c>
      <c r="H36" s="25" t="n">
        <v>173.0689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336.52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Untagged</t>
        </is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25" t="n">
        <v>173.0006</v>
      </c>
      <c r="F37" s="26" t="n">
        <v>942</v>
      </c>
      <c r="G37" s="24" t="n">
        <v>46259</v>
      </c>
      <c r="H37" s="25" t="n">
        <v>177.3819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246.41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Untagged</t>
        </is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46258</v>
      </c>
      <c r="E38" s="25" t="n">
        <v>586</v>
      </c>
      <c r="F38" s="26" t="n">
        <v>284</v>
      </c>
      <c r="G38" s="24" t="n">
        <v>46259</v>
      </c>
      <c r="H38" s="25" t="n">
        <v>587.8211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301.2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Untagged</t>
        </is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25" t="n">
        <v>587.5364</v>
      </c>
      <c r="F39" s="26" t="n">
        <v>284</v>
      </c>
      <c r="G39" s="24" t="n">
        <v>46259</v>
      </c>
      <c r="H39" s="25" t="n">
        <v>595.4639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251.07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Untagged</t>
        </is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46258</v>
      </c>
      <c r="E40" s="25" t="n">
        <v>443.9459</v>
      </c>
      <c r="F40" s="26" t="n">
        <v>375</v>
      </c>
      <c r="G40" s="24" t="n">
        <v>46259</v>
      </c>
      <c r="H40" s="25" t="n">
        <v>424.3155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373.46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Untagged</t>
        </is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198.63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Untagged</t>
        </is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950.51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Untagged</t>
        </is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934.51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Untagged</t>
        </is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964.38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Untagged</t>
        </is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612.7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Untagged</t>
        </is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25" t="n">
        <v>625.4782</v>
      </c>
      <c r="F46" s="26" t="n">
        <v>464</v>
      </c>
      <c r="G46" s="24" t="n">
        <v>46265</v>
      </c>
      <c r="H46" s="25" t="n">
        <v>620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415.51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Untagged</t>
        </is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46262</v>
      </c>
      <c r="E47" s="25" t="n">
        <v>655.6077</v>
      </c>
      <c r="F47" s="26" t="n">
        <v>428</v>
      </c>
      <c r="G47" s="24" t="n">
        <v>46265</v>
      </c>
      <c r="H47" s="25" t="n">
        <v>650.2959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613.84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Untagged</t>
        </is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25" t="n">
        <v>648.4623</v>
      </c>
      <c r="F48" s="26" t="n">
        <v>428</v>
      </c>
      <c r="G48" s="24" t="n">
        <v>46265</v>
      </c>
      <c r="H48" s="25" t="n">
        <v>638.2939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397.84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Untagged</t>
        </is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46262</v>
      </c>
      <c r="E49" s="25" t="n">
        <v>1908.9741</v>
      </c>
      <c r="F49" s="26" t="n">
        <v>147</v>
      </c>
      <c r="G49" s="24" t="n">
        <v>46265</v>
      </c>
      <c r="H49" s="25" t="n">
        <v>1777.534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694.1900000000001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Untagged</t>
        </is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25" t="n">
        <v>1777.6041</v>
      </c>
      <c r="F50" s="26" t="n">
        <v>147</v>
      </c>
      <c r="G50" s="24" t="n">
        <v>46265</v>
      </c>
      <c r="H50" s="25" t="n">
        <v>1777.866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312.31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Untagged</t>
        </is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46262</v>
      </c>
      <c r="E51" s="25" t="n">
        <v>130.8863</v>
      </c>
      <c r="F51" s="26" t="n">
        <v>2161</v>
      </c>
      <c r="G51" s="24" t="n">
        <v>46265</v>
      </c>
      <c r="H51" s="25" t="n">
        <v>130.9149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661.67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Untagged</t>
        </is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25" t="n">
        <v>130.7703</v>
      </c>
      <c r="F52" s="26" t="n">
        <v>2161</v>
      </c>
      <c r="G52" s="24" t="n">
        <v>46265</v>
      </c>
      <c r="H52" s="25" t="n">
        <v>126.3456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332.07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Untagged</t>
        </is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46262</v>
      </c>
      <c r="E53" s="25" t="n">
        <v>19.4799</v>
      </c>
      <c r="F53" s="26" t="n">
        <v>14462</v>
      </c>
      <c r="G53" s="24" t="n">
        <v>46265</v>
      </c>
      <c r="H53" s="25" t="n">
        <v>19.6094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587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Untagged</t>
        </is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25" t="n">
        <v>19.6247</v>
      </c>
      <c r="F54" s="26" t="n">
        <v>14462</v>
      </c>
      <c r="G54" s="24" t="n">
        <v>46265</v>
      </c>
      <c r="H54" s="25" t="n">
        <v>19.5263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407.39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Untagged</t>
        </is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46265</v>
      </c>
      <c r="E55" s="25" t="n">
        <v>120.2727</v>
      </c>
      <c r="F55" s="26" t="n">
        <v>2933</v>
      </c>
      <c r="G55" s="24" t="n">
        <v>46266</v>
      </c>
      <c r="H55" s="25" t="n">
        <v>121.8089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610.39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Untagged</t>
        </is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25" t="n">
        <v>121.775</v>
      </c>
      <c r="F56" s="26" t="n">
        <v>2933</v>
      </c>
      <c r="G56" s="24" t="n">
        <v>46266</v>
      </c>
      <c r="H56" s="25" t="n">
        <v>122.25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508.65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Untagged</t>
        </is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46265</v>
      </c>
      <c r="E57" s="25" t="n">
        <v>310.5</v>
      </c>
      <c r="F57" s="26" t="n">
        <v>1117</v>
      </c>
      <c r="G57" s="24" t="n">
        <v>46266</v>
      </c>
      <c r="H57" s="25" t="n">
        <v>303.0902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601.55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Untagged</t>
        </is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25" t="n">
        <v>303.0625</v>
      </c>
      <c r="F58" s="26" t="n">
        <v>1117</v>
      </c>
      <c r="G58" s="24" t="n">
        <v>46266</v>
      </c>
      <c r="H58" s="25" t="n">
        <v>299.1408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480.12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Untagged</t>
        </is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46265</v>
      </c>
      <c r="E59" s="25" t="n">
        <v>1702.7395</v>
      </c>
      <c r="F59" s="26" t="n">
        <v>205</v>
      </c>
      <c r="G59" s="24" t="n">
        <v>46266</v>
      </c>
      <c r="H59" s="25" t="n">
        <v>1666.1965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596.23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Untagged</t>
        </is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25" t="n">
        <v>1664.2166</v>
      </c>
      <c r="F60" s="26" t="n">
        <v>205</v>
      </c>
      <c r="G60" s="24" t="n">
        <v>46266</v>
      </c>
      <c r="H60" s="25" t="n">
        <v>1647.3204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484.3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Untagged</t>
        </is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46266</v>
      </c>
      <c r="E61" s="25" t="n">
        <v>961.5373</v>
      </c>
      <c r="F61" s="26" t="n">
        <v>181</v>
      </c>
      <c r="G61" s="24" t="n">
        <v>46267</v>
      </c>
      <c r="H61" s="25" t="n">
        <v>987.1939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296.33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Untagged</t>
        </is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25" t="n">
        <v>987.1041</v>
      </c>
      <c r="F62" s="26" t="n">
        <v>181</v>
      </c>
      <c r="G62" s="24" t="n">
        <v>46267</v>
      </c>
      <c r="H62" s="25" t="n">
        <v>984.9721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220.84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Untagged</t>
        </is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46266</v>
      </c>
      <c r="E63" s="25" t="n">
        <v>773.7782999999999</v>
      </c>
      <c r="F63" s="26" t="n">
        <v>454</v>
      </c>
      <c r="G63" s="24" t="n">
        <v>46267</v>
      </c>
      <c r="H63" s="25" t="n">
        <v>781.4043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687.71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Untagged</t>
        </is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25" t="n">
        <v>781.15</v>
      </c>
      <c r="F64" s="26" t="n">
        <v>454</v>
      </c>
      <c r="G64" s="24" t="n">
        <v>46267</v>
      </c>
      <c r="H64" s="25" t="n">
        <v>759.8953</v>
      </c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411.42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Untagged</t>
        </is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46266</v>
      </c>
      <c r="E65" s="25" t="n">
        <v>361.4802</v>
      </c>
      <c r="F65" s="26" t="n">
        <v>981</v>
      </c>
      <c r="G65" s="24" t="n">
        <v>46267</v>
      </c>
      <c r="H65" s="25" t="n">
        <v>340.3868</v>
      </c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610.23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Untagged</t>
        </is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25" t="n">
        <v>340.3105</v>
      </c>
      <c r="F66" s="26" t="n">
        <v>981</v>
      </c>
      <c r="G66" s="24" t="n">
        <v>46267</v>
      </c>
      <c r="H66" s="25" t="n">
        <v>345.273</v>
      </c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478.28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Untagged</t>
        </is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46267</v>
      </c>
      <c r="E67" s="25" t="n">
        <v>378</v>
      </c>
      <c r="F67" s="26" t="n">
        <v>529</v>
      </c>
      <c r="G67" s="24" t="n">
        <v>46268</v>
      </c>
      <c r="H67" s="25" t="n">
        <v>372.563</v>
      </c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>
        <v>437.71</v>
      </c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inlineStr">
        <is>
          <t>Untagged</t>
        </is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25" t="n">
        <v>372.1501</v>
      </c>
      <c r="F68" s="26" t="n">
        <v>529</v>
      </c>
      <c r="G68" s="24" t="n">
        <v>46268</v>
      </c>
      <c r="H68" s="25" t="n">
        <v>372.0471</v>
      </c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>
        <v>241.15</v>
      </c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inlineStr">
        <is>
          <t>Untagged</t>
        </is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46267</v>
      </c>
      <c r="E69" s="25" t="n">
        <v>274.0386</v>
      </c>
      <c r="F69" s="26" t="n">
        <v>731</v>
      </c>
      <c r="G69" s="24" t="n">
        <v>46268</v>
      </c>
      <c r="H69" s="25" t="n">
        <v>274.9479</v>
      </c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>
        <v>384.09</v>
      </c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inlineStr">
        <is>
          <t>Untagged</t>
        </is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25" t="n">
        <v>274.0624</v>
      </c>
      <c r="F70" s="26" t="n">
        <v>731</v>
      </c>
      <c r="G70" s="24" t="n">
        <v>46268</v>
      </c>
      <c r="H70" s="25" t="n">
        <v>278.0089</v>
      </c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>
        <v>296.69</v>
      </c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inlineStr">
        <is>
          <t>Untagged</t>
        </is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46267</v>
      </c>
      <c r="E71" s="25" t="n">
        <v>416.35</v>
      </c>
      <c r="F71" s="26" t="n">
        <v>242</v>
      </c>
      <c r="G71" s="24" t="n">
        <v>46268</v>
      </c>
      <c r="H71" s="25" t="n">
        <v>422.9651</v>
      </c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>
        <v>161.82</v>
      </c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inlineStr">
        <is>
          <t>Untagged</t>
        </is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25" t="n">
        <v>423.45</v>
      </c>
      <c r="F72" s="26" t="n">
        <v>242</v>
      </c>
      <c r="G72" s="24" t="n">
        <v>46268</v>
      </c>
      <c r="H72" s="25" t="n">
        <v>423.6072</v>
      </c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>
        <v>162.41</v>
      </c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inlineStr">
        <is>
          <t>Untagged</t>
        </is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46267</v>
      </c>
      <c r="E73" s="25" t="n">
        <v>1101.477</v>
      </c>
      <c r="F73" s="26" t="n">
        <v>181</v>
      </c>
      <c r="G73" s="24" t="n">
        <v>46268</v>
      </c>
      <c r="H73" s="25" t="n">
        <v>1138.2559</v>
      </c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>
        <v>382.7</v>
      </c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inlineStr">
        <is>
          <t>Untagged</t>
        </is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25" t="n">
        <v>1139.3014</v>
      </c>
      <c r="F74" s="26" t="n">
        <v>181</v>
      </c>
      <c r="G74" s="24" t="n">
        <v>46268</v>
      </c>
      <c r="H74" s="25" t="n">
        <v>1127.3989</v>
      </c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>
        <v>302.18</v>
      </c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inlineStr">
        <is>
          <t>Untagged</t>
        </is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46267</v>
      </c>
      <c r="E75" s="25" t="n">
        <v>1291.5</v>
      </c>
      <c r="F75" s="26" t="n">
        <v>154</v>
      </c>
      <c r="G75" s="24" t="n">
        <v>46268</v>
      </c>
      <c r="H75" s="25" t="n">
        <v>1300.3182</v>
      </c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>
        <v>431.78</v>
      </c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inlineStr">
        <is>
          <t>Untagged</t>
        </is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25" t="n">
        <v>1302.759</v>
      </c>
      <c r="F76" s="26" t="n">
        <v>154</v>
      </c>
      <c r="G76" s="24" t="n">
        <v>46268</v>
      </c>
      <c r="H76" s="25" t="n">
        <v>1290.8416</v>
      </c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>
        <v>244.39</v>
      </c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inlineStr">
        <is>
          <t>Untagged</t>
        </is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46268</v>
      </c>
      <c r="E77" s="25" t="n">
        <v>109.8863</v>
      </c>
      <c r="F77" s="26" t="n">
        <v>1597</v>
      </c>
      <c r="G77" s="24" t="n">
        <v>46269</v>
      </c>
      <c r="H77" s="25" t="n">
        <v>114.1086</v>
      </c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>
        <v>393.8</v>
      </c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inlineStr">
        <is>
          <t>Untagged</t>
        </is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25" t="n">
        <v>114.098</v>
      </c>
      <c r="F78" s="26" t="n">
        <v>1597</v>
      </c>
      <c r="G78" s="24" t="n">
        <v>46269</v>
      </c>
      <c r="H78" s="25" t="n">
        <v>111.8446</v>
      </c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>
        <v>223.48</v>
      </c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inlineStr">
        <is>
          <t>Untagged</t>
        </is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46268</v>
      </c>
      <c r="E79" s="25" t="n">
        <v>1012.0773</v>
      </c>
      <c r="F79" s="26" t="n">
        <v>86</v>
      </c>
      <c r="G79" s="24" t="n">
        <v>46269</v>
      </c>
      <c r="H79" s="25" t="n">
        <v>1004.061</v>
      </c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>
        <v>166.41</v>
      </c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inlineStr">
        <is>
          <t>Untagged</t>
        </is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25" t="n">
        <v>1003.9</v>
      </c>
      <c r="F80" s="26" t="n">
        <v>86</v>
      </c>
      <c r="G80" s="24" t="n">
        <v>46269</v>
      </c>
      <c r="H80" s="25" t="n">
        <v>987.1866</v>
      </c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>
        <v>118.41</v>
      </c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inlineStr">
        <is>
          <t>Untagged</t>
        </is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46268</v>
      </c>
      <c r="E81" s="25" t="n">
        <v>544.1489</v>
      </c>
      <c r="F81" s="26" t="n">
        <v>321</v>
      </c>
      <c r="G81" s="24" t="n">
        <v>46269</v>
      </c>
      <c r="H81" s="25" t="n">
        <v>559.1366</v>
      </c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>
        <v>341.34</v>
      </c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inlineStr">
        <is>
          <t>Untagged</t>
        </is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25" t="n">
        <v>557.8248</v>
      </c>
      <c r="F82" s="26" t="n">
        <v>321</v>
      </c>
      <c r="G82" s="24" t="n">
        <v>46269</v>
      </c>
      <c r="H82" s="25" t="n">
        <v>545.7992</v>
      </c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>
        <v>264.5</v>
      </c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inlineStr">
        <is>
          <t>Untagged</t>
        </is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46268</v>
      </c>
      <c r="E83" s="25" t="n">
        <v>421.586</v>
      </c>
      <c r="F83" s="26" t="n">
        <v>414</v>
      </c>
      <c r="G83" s="24" t="n">
        <v>46269</v>
      </c>
      <c r="H83" s="25" t="n">
        <v>424.026</v>
      </c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>
        <v>346.98</v>
      </c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inlineStr">
        <is>
          <t>Untagged</t>
        </is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25" t="n">
        <v>423.9067</v>
      </c>
      <c r="F84" s="26" t="n">
        <v>414</v>
      </c>
      <c r="G84" s="24" t="n">
        <v>46269</v>
      </c>
      <c r="H84" s="25" t="n">
        <v>429.4497</v>
      </c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>
        <v>262.49</v>
      </c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inlineStr">
        <is>
          <t>Untagged</t>
        </is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46268</v>
      </c>
      <c r="E85" s="25" t="n">
        <v>183.9966</v>
      </c>
      <c r="F85" s="26" t="n">
        <v>951</v>
      </c>
      <c r="G85" s="24" t="n">
        <v>46269</v>
      </c>
      <c r="H85" s="25" t="n">
        <v>181.9446</v>
      </c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>
        <v>393.33</v>
      </c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inlineStr">
        <is>
          <t>Untagged</t>
        </is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25" t="n">
        <v>181.8259</v>
      </c>
      <c r="F86" s="26" t="n">
        <v>951</v>
      </c>
      <c r="G86" s="24" t="n">
        <v>46269</v>
      </c>
      <c r="H86" s="25" t="n">
        <v>182</v>
      </c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>
        <v>214.74</v>
      </c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inlineStr">
        <is>
          <t>Untagged</t>
        </is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46268</v>
      </c>
      <c r="E87" s="25" t="n">
        <v>579.35</v>
      </c>
      <c r="F87" s="26" t="n">
        <v>302</v>
      </c>
      <c r="G87" s="24" t="n">
        <v>46269</v>
      </c>
      <c r="H87" s="25" t="n">
        <v>591.2967</v>
      </c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>
        <v>349.39</v>
      </c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inlineStr">
        <is>
          <t>Untagged</t>
        </is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25" t="n">
        <v>591.654</v>
      </c>
      <c r="F88" s="26" t="n">
        <v>302</v>
      </c>
      <c r="G88" s="24" t="n">
        <v>46269</v>
      </c>
      <c r="H88" s="25" t="n">
        <v>562.05</v>
      </c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>
        <v>261.3</v>
      </c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inlineStr">
        <is>
          <t>Untagged</t>
        </is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46268</v>
      </c>
      <c r="E89" s="25" t="n">
        <v>763</v>
      </c>
      <c r="F89" s="26" t="n">
        <v>231</v>
      </c>
      <c r="G89" s="24" t="n">
        <v>46269</v>
      </c>
      <c r="H89" s="25" t="n">
        <v>751.7106</v>
      </c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>
        <v>313.13</v>
      </c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inlineStr">
        <is>
          <t>Untagged</t>
        </is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25" t="n">
        <v>752.5812</v>
      </c>
      <c r="F90" s="26" t="n">
        <v>231</v>
      </c>
      <c r="G90" s="24" t="n">
        <v>46269</v>
      </c>
      <c r="H90" s="25" t="n">
        <v>740.4414</v>
      </c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>
        <v>257.68</v>
      </c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inlineStr">
        <is>
          <t>Untagged</t>
        </is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46269</v>
      </c>
      <c r="E91" s="25" t="n">
        <v>1086.426</v>
      </c>
      <c r="F91" s="26" t="n">
        <v>321</v>
      </c>
      <c r="G91" s="24" t="n">
        <v>46272</v>
      </c>
      <c r="H91" s="25" t="n">
        <v>1185</v>
      </c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>
        <v>833.8200000000001</v>
      </c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inlineStr">
        <is>
          <t>Untagged</t>
        </is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25" t="n">
        <v>1183.4504</v>
      </c>
      <c r="F92" s="26" t="n">
        <v>321</v>
      </c>
      <c r="G92" s="24" t="n">
        <v>46272</v>
      </c>
      <c r="H92" s="25" t="n">
        <v>1129.9305</v>
      </c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>
        <v>437.06</v>
      </c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inlineStr">
        <is>
          <t>Untagged</t>
        </is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46269</v>
      </c>
      <c r="E93" s="25" t="n">
        <v>1291.9929</v>
      </c>
      <c r="F93" s="26" t="n">
        <v>270</v>
      </c>
      <c r="G93" s="24" t="n">
        <v>46272</v>
      </c>
      <c r="H93" s="25" t="n">
        <v>1337.4363</v>
      </c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>
        <v>739.8200000000001</v>
      </c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inlineStr">
        <is>
          <t>Untagged</t>
        </is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25" t="n">
        <v>1345.7526</v>
      </c>
      <c r="F94" s="26" t="n">
        <v>270</v>
      </c>
      <c r="G94" s="24" t="n">
        <v>46272</v>
      </c>
      <c r="H94" s="25" t="n">
        <v>1363.1344</v>
      </c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>
        <v>380.66</v>
      </c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inlineStr">
        <is>
          <t>Untagged</t>
        </is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46269</v>
      </c>
      <c r="E95" s="25" t="n">
        <v>25.2263</v>
      </c>
      <c r="F95" s="26" t="n">
        <v>13916</v>
      </c>
      <c r="G95" s="24" t="n">
        <v>46272</v>
      </c>
      <c r="H95" s="25" t="n">
        <v>24.6576</v>
      </c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>
        <v>766.78</v>
      </c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inlineStr">
        <is>
          <t>Untagged</t>
        </is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25" t="n">
        <v>24.65</v>
      </c>
      <c r="F96" s="26" t="n">
        <v>13916</v>
      </c>
      <c r="G96" s="24" t="n">
        <v>46272</v>
      </c>
      <c r="H96" s="25" t="n">
        <v>25.2993</v>
      </c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>
        <v>516.37</v>
      </c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inlineStr">
        <is>
          <t>Untagged</t>
        </is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46272</v>
      </c>
      <c r="E97" s="25" t="n">
        <v>184.7831</v>
      </c>
      <c r="F97" s="26" t="n">
        <v>1261</v>
      </c>
      <c r="G97" s="24" t="n">
        <v>46273</v>
      </c>
      <c r="H97" s="25" t="n">
        <v>185.135</v>
      </c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>
        <v>432.7</v>
      </c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inlineStr">
        <is>
          <t>Untagged</t>
        </is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25" t="n">
        <v>184.8514</v>
      </c>
      <c r="F98" s="26" t="n">
        <v>1261</v>
      </c>
      <c r="G98" s="24" t="n">
        <v>46273</v>
      </c>
      <c r="H98" s="25" t="n">
        <v>180.8919</v>
      </c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>
        <v>337.14</v>
      </c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inlineStr">
        <is>
          <t>Untagged</t>
        </is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46272</v>
      </c>
      <c r="E99" s="25" t="n">
        <v>114.89</v>
      </c>
      <c r="F99" s="26" t="n">
        <v>1019</v>
      </c>
      <c r="G99" s="24" t="n">
        <v>46273</v>
      </c>
      <c r="H99" s="25" t="n">
        <v>107.5603</v>
      </c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>
        <v>181.46</v>
      </c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inlineStr">
        <is>
          <t>Untagged</t>
        </is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25" t="n">
        <v>107.3351</v>
      </c>
      <c r="F100" s="26" t="n">
        <v>1019</v>
      </c>
      <c r="G100" s="24" t="n">
        <v>46273</v>
      </c>
      <c r="H100" s="25" t="n">
        <v>107.6045</v>
      </c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>
        <v>172.01</v>
      </c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inlineStr">
        <is>
          <t>Untagged</t>
        </is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46272</v>
      </c>
      <c r="E101" s="25" t="n">
        <v>242.9411</v>
      </c>
      <c r="F101" s="26" t="n">
        <v>959</v>
      </c>
      <c r="G101" s="24" t="n">
        <v>46273</v>
      </c>
      <c r="H101" s="25" t="n">
        <v>249.6418</v>
      </c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>
        <v>430.76</v>
      </c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inlineStr">
        <is>
          <t>Untagged</t>
        </is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25" t="n">
        <v>250.9033</v>
      </c>
      <c r="F102" s="26" t="n">
        <v>959</v>
      </c>
      <c r="G102" s="24" t="n">
        <v>46273</v>
      </c>
      <c r="H102" s="25" t="n">
        <v>238.36</v>
      </c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>
        <v>343.41</v>
      </c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inlineStr">
        <is>
          <t>Untagged</t>
        </is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46272</v>
      </c>
      <c r="E103" s="25" t="n">
        <v>1174.901</v>
      </c>
      <c r="F103" s="26" t="n">
        <v>198</v>
      </c>
      <c r="G103" s="24" t="n">
        <v>46273</v>
      </c>
      <c r="H103" s="25" t="n">
        <v>1155.7843</v>
      </c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>
        <v>487.6</v>
      </c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inlineStr">
        <is>
          <t>Untagged</t>
        </is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25" t="n">
        <v>1156.1207</v>
      </c>
      <c r="F104" s="26" t="n">
        <v>198</v>
      </c>
      <c r="G104" s="24" t="n">
        <v>46273</v>
      </c>
      <c r="H104" s="25" t="n">
        <v>1175.9915</v>
      </c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>
        <v>278.06</v>
      </c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inlineStr">
        <is>
          <t>Untagged</t>
        </is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46272</v>
      </c>
      <c r="E105" s="25" t="n">
        <v>1397.9</v>
      </c>
      <c r="F105" s="26" t="n">
        <v>167</v>
      </c>
      <c r="G105" s="24" t="n">
        <v>46273</v>
      </c>
      <c r="H105" s="25" t="n">
        <v>1390.2426</v>
      </c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>
        <v>311.54</v>
      </c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inlineStr">
        <is>
          <t>Untagged</t>
        </is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46272</v>
      </c>
      <c r="E106" s="25" t="n">
        <v>433.5513</v>
      </c>
      <c r="F106" s="26" t="n">
        <v>538</v>
      </c>
      <c r="G106" s="24" t="n">
        <v>46273</v>
      </c>
      <c r="H106" s="25" t="n">
        <v>424.0808</v>
      </c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>
        <v>487.69</v>
      </c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inlineStr">
        <is>
          <t>Untagged</t>
        </is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25" t="n">
        <v>423.2118</v>
      </c>
      <c r="F107" s="26" t="n">
        <v>538</v>
      </c>
      <c r="G107" s="24" t="n">
        <v>46273</v>
      </c>
      <c r="H107" s="25" t="n">
        <v>423.5558</v>
      </c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>
        <v>275.39</v>
      </c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inlineStr">
        <is>
          <t>Untagged</t>
        </is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46273</v>
      </c>
      <c r="E108" s="25" t="n">
        <v>1102.5764</v>
      </c>
      <c r="F108" s="26" t="n">
        <v>91</v>
      </c>
      <c r="G108" s="24" t="n">
        <v>46274</v>
      </c>
      <c r="H108" s="25" t="n">
        <v>1138.4203</v>
      </c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>
        <v>161.36</v>
      </c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inlineStr">
        <is>
          <t>Untagged</t>
        </is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25" t="n">
        <v>1140.9686</v>
      </c>
      <c r="F109" s="26" t="n">
        <v>91</v>
      </c>
      <c r="G109" s="24" t="n">
        <v>46274</v>
      </c>
      <c r="H109" s="25" t="n">
        <v>1162.65</v>
      </c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>
        <v>126.99</v>
      </c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inlineStr">
        <is>
          <t>Untagged</t>
        </is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46273</v>
      </c>
      <c r="E110" s="25" t="n">
        <v>10.548</v>
      </c>
      <c r="F110" s="26" t="n">
        <v>9469</v>
      </c>
      <c r="G110" s="24" t="n">
        <v>46274</v>
      </c>
      <c r="H110" s="25" t="n">
        <v>10.7</v>
      </c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>
        <v>185.66</v>
      </c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inlineStr">
        <is>
          <t>Untagged</t>
        </is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25" t="n">
        <v>10.7</v>
      </c>
      <c r="F111" s="26" t="n">
        <v>9469</v>
      </c>
      <c r="G111" s="24" t="n">
        <v>46274</v>
      </c>
      <c r="H111" s="25" t="n">
        <v>10.16</v>
      </c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>
        <v>133.49</v>
      </c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inlineStr">
        <is>
          <t>Untagged</t>
        </is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46273</v>
      </c>
      <c r="E112" s="25" t="n">
        <v>1830.287</v>
      </c>
      <c r="F112" s="26" t="n">
        <v>54</v>
      </c>
      <c r="G112" s="24" t="n">
        <v>46274</v>
      </c>
      <c r="H112" s="25" t="n">
        <v>1990.874</v>
      </c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>
        <v>187.34</v>
      </c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inlineStr">
        <is>
          <t>Untagged</t>
        </is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25" t="n">
        <v>1982.2908</v>
      </c>
      <c r="F113" s="26" t="n">
        <v>54</v>
      </c>
      <c r="G113" s="24" t="n">
        <v>46274</v>
      </c>
      <c r="H113" s="25" t="n">
        <v>2159.2258</v>
      </c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>
        <v>145.85</v>
      </c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inlineStr">
        <is>
          <t>Untagged</t>
        </is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46273</v>
      </c>
      <c r="E114" s="25" t="n">
        <v>614</v>
      </c>
      <c r="F114" s="26" t="n">
        <v>324</v>
      </c>
      <c r="G114" s="24" t="n">
        <v>46274</v>
      </c>
      <c r="H114" s="25" t="n">
        <v>614.6335</v>
      </c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>
        <v>437.7</v>
      </c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inlineStr">
        <is>
          <t>Untagged</t>
        </is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25" t="n">
        <v>613.9752</v>
      </c>
      <c r="F115" s="26" t="n">
        <v>324</v>
      </c>
      <c r="G115" s="24" t="n">
        <v>46274</v>
      </c>
      <c r="H115" s="25" t="n">
        <v>616.5076</v>
      </c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>
        <v>243.77</v>
      </c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inlineStr">
        <is>
          <t>Untagged</t>
        </is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46273</v>
      </c>
      <c r="E116" s="25" t="n">
        <v>1954.9</v>
      </c>
      <c r="F116" s="26" t="n">
        <v>102</v>
      </c>
      <c r="G116" s="24" t="n">
        <v>46274</v>
      </c>
      <c r="H116" s="25" t="n">
        <v>1990.0922</v>
      </c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>
        <v>382.63</v>
      </c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inlineStr">
        <is>
          <t>Untagged</t>
        </is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25" t="n">
        <v>1987.3264</v>
      </c>
      <c r="F117" s="26" t="n">
        <v>102</v>
      </c>
      <c r="G117" s="24" t="n">
        <v>46274</v>
      </c>
      <c r="H117" s="25" t="n">
        <v>1943.597</v>
      </c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>
        <v>296.19</v>
      </c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inlineStr">
        <is>
          <t>Untagged</t>
        </is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46274</v>
      </c>
      <c r="E118" s="25" t="n">
        <v>1162.9767</v>
      </c>
      <c r="F118" s="26" t="n">
        <v>75</v>
      </c>
      <c r="G118" s="24" t="n">
        <v>46275</v>
      </c>
      <c r="H118" s="25" t="n">
        <v>1137.85</v>
      </c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>
        <v>68.40000000000001</v>
      </c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inlineStr">
        <is>
          <t>Untagged</t>
        </is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25" t="n">
        <v>1137.38</v>
      </c>
      <c r="F119" s="26" t="n">
        <v>75</v>
      </c>
      <c r="G119" s="24" t="n">
        <v>46275</v>
      </c>
      <c r="H119" s="25" t="n">
        <v>1134.24</v>
      </c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>
        <v>139.07</v>
      </c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inlineStr">
        <is>
          <t>Untagged</t>
        </is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46274</v>
      </c>
      <c r="E120" s="25" t="n">
        <v>206.0991</v>
      </c>
      <c r="F120" s="26" t="n">
        <v>847</v>
      </c>
      <c r="G120" s="24" t="n">
        <v>46275</v>
      </c>
      <c r="H120" s="25" t="n">
        <v>213.8</v>
      </c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>
        <v>394.44</v>
      </c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inlineStr">
        <is>
          <t>Untagged</t>
        </is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25" t="n">
        <v>213.59</v>
      </c>
      <c r="F121" s="26" t="n">
        <v>847</v>
      </c>
      <c r="G121" s="24" t="n">
        <v>46275</v>
      </c>
      <c r="H121" s="25" t="n">
        <v>213.18</v>
      </c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>
        <v>223.4</v>
      </c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inlineStr">
        <is>
          <t>Untagged</t>
        </is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46274</v>
      </c>
      <c r="E122" s="25" t="n">
        <v>1340</v>
      </c>
      <c r="F122" s="26" t="n">
        <v>207</v>
      </c>
      <c r="G122" s="24" t="n">
        <v>46275</v>
      </c>
      <c r="H122" s="25" t="n">
        <v>1460.09</v>
      </c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>
        <v>494.15</v>
      </c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inlineStr">
        <is>
          <t>Untagged</t>
        </is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25" t="n">
        <v>1456.15</v>
      </c>
      <c r="F123" s="26" t="n">
        <v>207</v>
      </c>
      <c r="G123" s="24" t="n">
        <v>46275</v>
      </c>
      <c r="H123" s="25" t="n">
        <v>1552.9169</v>
      </c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>
        <v>442.09</v>
      </c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inlineStr">
        <is>
          <t>Untagged</t>
        </is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46274</v>
      </c>
      <c r="E124" s="25" t="n">
        <v>85.4701</v>
      </c>
      <c r="F124" s="26" t="n">
        <v>1022</v>
      </c>
      <c r="G124" s="24" t="n">
        <v>46275</v>
      </c>
      <c r="H124" s="25" t="n">
        <v>87.33</v>
      </c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>
        <v>145.41</v>
      </c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inlineStr">
        <is>
          <t>Untagged</t>
        </is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25" t="n">
        <v>87.26000000000001</v>
      </c>
      <c r="F125" s="26" t="n">
        <v>1022</v>
      </c>
      <c r="G125" s="24" t="n">
        <v>46275</v>
      </c>
      <c r="H125" s="25" t="n">
        <v>84.66</v>
      </c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>
        <v>143.17</v>
      </c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inlineStr">
        <is>
          <t>Untagged</t>
        </is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46274</v>
      </c>
      <c r="E126" s="25" t="n">
        <v>169.585</v>
      </c>
      <c r="F126" s="26" t="n">
        <v>1026</v>
      </c>
      <c r="G126" s="24" t="n">
        <v>46275</v>
      </c>
      <c r="H126" s="25" t="n">
        <v>172.17</v>
      </c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>
        <v>391.49</v>
      </c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inlineStr">
        <is>
          <t>Untagged</t>
        </is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25" t="n">
        <v>172.11</v>
      </c>
      <c r="F127" s="26" t="n">
        <v>1026</v>
      </c>
      <c r="G127" s="24" t="n">
        <v>46275</v>
      </c>
      <c r="H127" s="25" t="n">
        <v>171.29</v>
      </c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>
        <v>218.38</v>
      </c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inlineStr">
        <is>
          <t>Untagged</t>
        </is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46274</v>
      </c>
      <c r="E128" s="25" t="n">
        <v>190.2983</v>
      </c>
      <c r="F128" s="26" t="n">
        <v>923</v>
      </c>
      <c r="G128" s="24" t="n">
        <v>46275</v>
      </c>
      <c r="H128" s="25" t="n">
        <v>201.1</v>
      </c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>
        <v>343.5</v>
      </c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inlineStr">
        <is>
          <t>Untagged</t>
        </is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25" t="n">
        <v>201.46</v>
      </c>
      <c r="F129" s="26" t="n">
        <v>923</v>
      </c>
      <c r="G129" s="24" t="n">
        <v>46275</v>
      </c>
      <c r="H129" s="25" t="n">
        <v>205</v>
      </c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>
        <v>276.97</v>
      </c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inlineStr">
        <is>
          <t>Untagged</t>
        </is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46275</v>
      </c>
      <c r="E130" s="25" t="n">
        <v>253.0721</v>
      </c>
      <c r="F130" s="26" t="n">
        <v>1146</v>
      </c>
      <c r="G130" s="24" t="n">
        <v>46276</v>
      </c>
      <c r="H130" s="25" t="n">
        <v>263.23</v>
      </c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>
        <v>587.9400000000001</v>
      </c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inlineStr">
        <is>
          <t>Untagged</t>
        </is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25" t="n">
        <v>263.46</v>
      </c>
      <c r="F131" s="26" t="n">
        <v>1146</v>
      </c>
      <c r="G131" s="24" t="n">
        <v>46276</v>
      </c>
      <c r="H131" s="25" t="n">
        <v>262.88</v>
      </c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>
        <v>357.16</v>
      </c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inlineStr">
        <is>
          <t>Untagged</t>
        </is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46275</v>
      </c>
      <c r="E132" s="25" t="n">
        <v>968.7272</v>
      </c>
      <c r="F132" s="26" t="n">
        <v>299</v>
      </c>
      <c r="G132" s="24" t="n">
        <v>46276</v>
      </c>
      <c r="H132" s="25" t="n">
        <v>970.53</v>
      </c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>
        <v>583.85</v>
      </c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inlineStr">
        <is>
          <t>Untagged</t>
        </is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25" t="n">
        <v>970.4299999999999</v>
      </c>
      <c r="F133" s="26" t="n">
        <v>299</v>
      </c>
      <c r="G133" s="24" t="n">
        <v>46276</v>
      </c>
      <c r="H133" s="25" t="n">
        <v>959.9299999999999</v>
      </c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>
        <v>342.92</v>
      </c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inlineStr">
        <is>
          <t>Untagged</t>
        </is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46275</v>
      </c>
      <c r="E134" s="25" t="n">
        <v>160.6529</v>
      </c>
      <c r="F134" s="26" t="n">
        <v>1815</v>
      </c>
      <c r="G134" s="24" t="n">
        <v>46276</v>
      </c>
      <c r="H134" s="25" t="n">
        <v>157.65</v>
      </c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>
        <v>592.78</v>
      </c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inlineStr">
        <is>
          <t>Untagged</t>
        </is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25" t="n">
        <v>157.53</v>
      </c>
      <c r="F135" s="26" t="n">
        <v>1815</v>
      </c>
      <c r="G135" s="24" t="n">
        <v>46276</v>
      </c>
      <c r="H135" s="25" t="n">
        <v>157.18</v>
      </c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>
        <v>339.3</v>
      </c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inlineStr">
        <is>
          <t>Untagged</t>
        </is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46275</v>
      </c>
      <c r="E136" s="25" t="n">
        <v>390.2742</v>
      </c>
      <c r="F136" s="26" t="n">
        <v>739</v>
      </c>
      <c r="G136" s="24" t="n">
        <v>46276</v>
      </c>
      <c r="H136" s="25" t="n">
        <v>395.2</v>
      </c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>
        <v>509.91</v>
      </c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inlineStr">
        <is>
          <t>Untagged</t>
        </is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25" t="n">
        <v>394.09</v>
      </c>
      <c r="F137" s="26" t="n">
        <v>739</v>
      </c>
      <c r="G137" s="24" t="n">
        <v>46276</v>
      </c>
      <c r="H137" s="25" t="n">
        <v>401.45</v>
      </c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>
        <v>421.14</v>
      </c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inlineStr">
        <is>
          <t>Untagged</t>
        </is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46275</v>
      </c>
      <c r="E138" s="25" t="n">
        <v>8657.606</v>
      </c>
      <c r="F138" s="26" t="n">
        <v>33</v>
      </c>
      <c r="G138" s="24" t="n">
        <v>46276</v>
      </c>
      <c r="H138" s="25" t="n">
        <v>8730.18</v>
      </c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>
        <v>578.39</v>
      </c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inlineStr">
        <is>
          <t>Untagged</t>
        </is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25" t="n">
        <v>8724.209999999999</v>
      </c>
      <c r="F139" s="26" t="n">
        <v>33</v>
      </c>
      <c r="G139" s="24" t="n">
        <v>46276</v>
      </c>
      <c r="H139" s="25" t="n">
        <v>8867.91</v>
      </c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>
        <v>343.65</v>
      </c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inlineStr">
        <is>
          <t>Untagged</t>
        </is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46276</v>
      </c>
      <c r="E140" s="25" t="n">
        <v>293.7202</v>
      </c>
      <c r="F140" s="26" t="n">
        <v>618</v>
      </c>
      <c r="G140" s="24" t="n">
        <v>46280</v>
      </c>
      <c r="H140" s="25" t="n">
        <v>281.0708</v>
      </c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>
        <v>468.38</v>
      </c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inlineStr">
        <is>
          <t>Untagged</t>
        </is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25" t="n">
        <v>280.9703</v>
      </c>
      <c r="F141" s="26" t="n">
        <v>618</v>
      </c>
      <c r="G141" s="24" t="n">
        <v>46280</v>
      </c>
      <c r="H141" s="25" t="n">
        <v>274.7952</v>
      </c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>
        <v>257.03</v>
      </c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inlineStr">
        <is>
          <t>Untagged</t>
        </is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46276</v>
      </c>
      <c r="E142" s="25" t="n">
        <v>87.3199</v>
      </c>
      <c r="F142" s="26" t="n">
        <v>1042</v>
      </c>
      <c r="G142" s="24" t="n">
        <v>46280</v>
      </c>
      <c r="H142" s="25" t="n">
        <v>87.90260000000001</v>
      </c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>
        <v>149.82</v>
      </c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inlineStr">
        <is>
          <t>Untagged</t>
        </is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25" t="n">
        <v>87.81999999999999</v>
      </c>
      <c r="F143" s="26" t="n">
        <v>1042</v>
      </c>
      <c r="G143" s="24" t="n">
        <v>46280</v>
      </c>
      <c r="H143" s="25" t="n">
        <v>83.43000000000001</v>
      </c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>
        <v>145.39</v>
      </c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inlineStr">
        <is>
          <t>Untagged</t>
        </is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46276</v>
      </c>
      <c r="E144" s="25" t="n">
        <v>3826.583</v>
      </c>
      <c r="F144" s="26" t="n">
        <v>47</v>
      </c>
      <c r="G144" s="24" t="n">
        <v>46280</v>
      </c>
      <c r="H144" s="25" t="n">
        <v>3905.0383</v>
      </c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>
        <v>465.39</v>
      </c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inlineStr">
        <is>
          <t>Untagged</t>
        </is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25" t="n">
        <v>3900.0042</v>
      </c>
      <c r="F145" s="26" t="n">
        <v>47</v>
      </c>
      <c r="G145" s="24" t="n">
        <v>46280</v>
      </c>
      <c r="H145" s="25" t="n">
        <v>3823.1084</v>
      </c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>
        <v>270.28</v>
      </c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inlineStr">
        <is>
          <t>Untagged</t>
        </is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46276</v>
      </c>
      <c r="E146" s="25" t="n">
        <v>209.9685</v>
      </c>
      <c r="F146" s="26" t="n">
        <v>860</v>
      </c>
      <c r="G146" s="24" t="n">
        <v>46280</v>
      </c>
      <c r="H146" s="25" t="n">
        <v>204.1101</v>
      </c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>
        <v>407.26</v>
      </c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inlineStr">
        <is>
          <t>Untagged</t>
        </is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25" t="n">
        <v>204.3287</v>
      </c>
      <c r="F147" s="26" t="n">
        <v>860</v>
      </c>
      <c r="G147" s="24" t="n">
        <v>46280</v>
      </c>
      <c r="H147" s="25" t="n">
        <v>205.9936</v>
      </c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>
        <v>262.28</v>
      </c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inlineStr">
        <is>
          <t>Untagged</t>
        </is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46276</v>
      </c>
      <c r="E148" s="25" t="n">
        <v>481.45</v>
      </c>
      <c r="F148" s="26" t="n">
        <v>377</v>
      </c>
      <c r="G148" s="24" t="n">
        <v>46280</v>
      </c>
      <c r="H148" s="25" t="n">
        <v>497.2753</v>
      </c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>
        <v>463.32</v>
      </c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inlineStr">
        <is>
          <t>Untagged</t>
        </is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25" t="n">
        <v>496.9672</v>
      </c>
      <c r="F149" s="26" t="n">
        <v>377</v>
      </c>
      <c r="G149" s="24" t="n">
        <v>46280</v>
      </c>
      <c r="H149" s="25" t="n">
        <v>490</v>
      </c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>
        <v>276.22</v>
      </c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inlineStr">
        <is>
          <t>Untagged</t>
        </is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46276</v>
      </c>
      <c r="E150" s="25" t="n">
        <v>1756.5941</v>
      </c>
      <c r="F150" s="26" t="n">
        <v>103</v>
      </c>
      <c r="G150" s="24" t="n">
        <v>46280</v>
      </c>
      <c r="H150" s="25" t="n">
        <v>1775.6097</v>
      </c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>
        <v>442.78</v>
      </c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inlineStr">
        <is>
          <t>Untagged</t>
        </is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25" t="n">
        <v>1779.6</v>
      </c>
      <c r="F151" s="26" t="n">
        <v>103</v>
      </c>
      <c r="G151" s="24" t="n">
        <v>46280</v>
      </c>
      <c r="H151" s="25" t="n">
        <v>1690.6</v>
      </c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>
        <v>266.93</v>
      </c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inlineStr">
        <is>
          <t>Untagged</t>
        </is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46276</v>
      </c>
      <c r="E152" s="25" t="n">
        <v>1087.1632</v>
      </c>
      <c r="F152" s="26" t="n">
        <v>83</v>
      </c>
      <c r="G152" s="24" t="n">
        <v>46280</v>
      </c>
      <c r="H152" s="25" t="n">
        <v>1035.862</v>
      </c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>
        <v>148.71</v>
      </c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inlineStr">
        <is>
          <t>Untagged</t>
        </is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25" t="n">
        <v>1034.3916</v>
      </c>
      <c r="F153" s="26" t="n">
        <v>83</v>
      </c>
      <c r="G153" s="24" t="n">
        <v>46280</v>
      </c>
      <c r="H153" s="25" t="n">
        <v>1044.0566</v>
      </c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>
        <v>140.35</v>
      </c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inlineStr">
        <is>
          <t>Untagged</t>
        </is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46276</v>
      </c>
      <c r="E154" s="25" t="n">
        <v>462.4796</v>
      </c>
      <c r="F154" s="26" t="n">
        <v>391</v>
      </c>
      <c r="G154" s="24" t="n">
        <v>46280</v>
      </c>
      <c r="H154" s="25" t="n">
        <v>409.8205</v>
      </c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>
        <v>512.36</v>
      </c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inlineStr">
        <is>
          <t>Untagged</t>
        </is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>
        <v>200.3</v>
      </c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inlineStr">
        <is>
          <t>Untagged</t>
        </is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>
        <v>459.71</v>
      </c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inlineStr">
        <is>
          <t>Untagged</t>
        </is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25" t="n">
        <v>633.678</v>
      </c>
      <c r="F157" s="26" t="n">
        <v>395</v>
      </c>
      <c r="G157" s="24" t="n">
        <v>46282</v>
      </c>
      <c r="H157" s="25" t="n">
        <v>648.2501999999999</v>
      </c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>
        <v>365.55</v>
      </c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inlineStr">
        <is>
          <t>Untagged</t>
        </is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46281</v>
      </c>
      <c r="E158" s="25" t="n">
        <v>6778.811</v>
      </c>
      <c r="F158" s="26" t="n">
        <v>37</v>
      </c>
      <c r="G158" s="24" t="n">
        <v>46282</v>
      </c>
      <c r="H158" s="25" t="n">
        <v>6992.324</v>
      </c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>
        <v>524.72</v>
      </c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inlineStr">
        <is>
          <t>Untagged</t>
        </is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25" t="n">
        <v>6984.243</v>
      </c>
      <c r="F159" s="26" t="n">
        <v>37</v>
      </c>
      <c r="G159" s="24" t="n">
        <v>46282</v>
      </c>
      <c r="H159" s="25" t="n">
        <v>6814.2974</v>
      </c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>
        <v>306.98</v>
      </c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inlineStr">
        <is>
          <t>Untagged</t>
        </is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46281</v>
      </c>
      <c r="E160" s="25" t="n">
        <v>136.1157</v>
      </c>
      <c r="F160" s="26" t="n">
        <v>1842</v>
      </c>
      <c r="G160" s="24" t="n">
        <v>46282</v>
      </c>
      <c r="H160" s="25" t="n">
        <v>136.6183</v>
      </c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>
        <v>519.0599999999999</v>
      </c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inlineStr">
        <is>
          <t>Untagged</t>
        </is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25" t="n">
        <v>136.5789</v>
      </c>
      <c r="F161" s="26" t="n">
        <v>1842</v>
      </c>
      <c r="G161" s="24" t="n">
        <v>46282</v>
      </c>
      <c r="H161" s="25" t="n">
        <v>138.1175</v>
      </c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>
        <v>302.7</v>
      </c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inlineStr">
        <is>
          <t>Untagged</t>
        </is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46281</v>
      </c>
      <c r="E162" s="25" t="n">
        <v>1848.2214</v>
      </c>
      <c r="F162" s="26" t="n">
        <v>135</v>
      </c>
      <c r="G162" s="24" t="n">
        <v>46282</v>
      </c>
      <c r="H162" s="25" t="n">
        <v>1877.0074</v>
      </c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>
        <v>517.4400000000001</v>
      </c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inlineStr">
        <is>
          <t>Untagged</t>
        </is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25" t="n">
        <v>1880.0497</v>
      </c>
      <c r="F163" s="26" t="n">
        <v>135</v>
      </c>
      <c r="G163" s="24" t="n">
        <v>46282</v>
      </c>
      <c r="H163" s="25" t="n">
        <v>1855.7349</v>
      </c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>
        <v>302.56</v>
      </c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inlineStr">
        <is>
          <t>Untagged</t>
        </is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46281</v>
      </c>
      <c r="E164" s="25" t="n">
        <v>1340.8882</v>
      </c>
      <c r="F164" s="26" t="n">
        <v>186</v>
      </c>
      <c r="G164" s="24" t="n">
        <v>46282</v>
      </c>
      <c r="H164" s="25" t="n">
        <v>1364.2269</v>
      </c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>
        <v>445.64</v>
      </c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inlineStr">
        <is>
          <t>Untagged</t>
        </is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25" t="n">
        <v>1366.5123</v>
      </c>
      <c r="F165" s="26" t="n">
        <v>186</v>
      </c>
      <c r="G165" s="24" t="n">
        <v>46282</v>
      </c>
      <c r="H165" s="25" t="n">
        <v>1364.1118</v>
      </c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>
        <v>367.56</v>
      </c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inlineStr">
        <is>
          <t>Untagged</t>
        </is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46281</v>
      </c>
      <c r="E166" s="25" t="n">
        <v>414.316</v>
      </c>
      <c r="F166" s="26" t="n">
        <v>603</v>
      </c>
      <c r="G166" s="24" t="n">
        <v>46282</v>
      </c>
      <c r="H166" s="25" t="n">
        <v>407.7921</v>
      </c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>
        <v>461.87</v>
      </c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inlineStr">
        <is>
          <t>Untagged</t>
        </is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>
        <v>355.64</v>
      </c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inlineStr">
        <is>
          <t>Untagged</t>
        </is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>
        <v>626.4400000000001</v>
      </c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inlineStr">
        <is>
          <t>Untagged</t>
        </is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25" t="n">
        <v>223.51</v>
      </c>
      <c r="F169" s="26" t="n">
        <v>1722</v>
      </c>
      <c r="G169" s="24" t="n">
        <v>46283</v>
      </c>
      <c r="H169" s="25" t="n">
        <v>227.78</v>
      </c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>
        <v>548.39</v>
      </c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inlineStr">
        <is>
          <t>Untagged</t>
        </is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46282</v>
      </c>
      <c r="E170" s="25" t="n">
        <v>2134.6694</v>
      </c>
      <c r="F170" s="26" t="n">
        <v>176</v>
      </c>
      <c r="G170" s="24" t="n">
        <v>46283</v>
      </c>
      <c r="H170" s="25" t="n">
        <v>2164.58</v>
      </c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>
        <v>634.4299999999999</v>
      </c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inlineStr">
        <is>
          <t>Untagged</t>
        </is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25" t="n">
        <v>2168.7</v>
      </c>
      <c r="F171" s="26" t="n">
        <v>176</v>
      </c>
      <c r="G171" s="24" t="n">
        <v>46283</v>
      </c>
      <c r="H171" s="25" t="n">
        <v>2291</v>
      </c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>
        <v>550.84</v>
      </c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inlineStr">
        <is>
          <t>Untagged</t>
        </is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46283</v>
      </c>
      <c r="E172" s="25" t="n">
        <v>86.8737</v>
      </c>
      <c r="F172" s="26" t="n">
        <v>1726</v>
      </c>
      <c r="G172" s="24" t="n">
        <v>46286</v>
      </c>
      <c r="H172" s="25" t="n">
        <v>85.17</v>
      </c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>
        <v>258.56</v>
      </c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inlineStr">
        <is>
          <t>Untagged</t>
        </is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25" t="n">
        <v>85.12</v>
      </c>
      <c r="F173" s="26" t="n">
        <v>1726</v>
      </c>
      <c r="G173" s="24" t="n">
        <v>46286</v>
      </c>
      <c r="H173" s="25" t="n">
        <v>84.69</v>
      </c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>
        <v>185.64</v>
      </c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inlineStr">
        <is>
          <t>Untagged</t>
        </is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46283</v>
      </c>
      <c r="E174" s="25" t="n">
        <v>1139.811</v>
      </c>
      <c r="F174" s="26" t="n">
        <v>263</v>
      </c>
      <c r="G174" s="24" t="n">
        <v>46286</v>
      </c>
      <c r="H174" s="25" t="n">
        <v>1139.97</v>
      </c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>
        <v>661.45</v>
      </c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inlineStr">
        <is>
          <t>Untagged</t>
        </is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25" t="n">
        <v>1142.1</v>
      </c>
      <c r="F175" s="26" t="n">
        <v>263</v>
      </c>
      <c r="G175" s="24" t="n">
        <v>46286</v>
      </c>
      <c r="H175" s="25" t="n">
        <v>1197.67</v>
      </c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>
        <v>436.71</v>
      </c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inlineStr">
        <is>
          <t>Untagged</t>
        </is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46283</v>
      </c>
      <c r="E176" s="25" t="n">
        <v>526.0403</v>
      </c>
      <c r="F176" s="26" t="n">
        <v>568</v>
      </c>
      <c r="G176" s="24" t="n">
        <v>46286</v>
      </c>
      <c r="H176" s="25" t="n">
        <v>533.65</v>
      </c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>
        <v>647.29</v>
      </c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inlineStr">
        <is>
          <t>Untagged</t>
        </is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25" t="n">
        <v>535.51</v>
      </c>
      <c r="F177" s="26" t="n">
        <v>568</v>
      </c>
      <c r="G177" s="24" t="n">
        <v>46286</v>
      </c>
      <c r="H177" s="25" t="n">
        <v>531.6799999999999</v>
      </c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>
        <v>434.19</v>
      </c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inlineStr">
        <is>
          <t>Untagged</t>
        </is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46283</v>
      </c>
      <c r="E178" s="25" t="n">
        <v>148.3417</v>
      </c>
      <c r="F178" s="26" t="n">
        <v>2021</v>
      </c>
      <c r="G178" s="24" t="n">
        <v>46286</v>
      </c>
      <c r="H178" s="25" t="n">
        <v>155.57</v>
      </c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>
        <v>665.03</v>
      </c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inlineStr">
        <is>
          <t>Untagged</t>
        </is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25" t="n">
        <v>156.2</v>
      </c>
      <c r="F179" s="26" t="n">
        <v>2021</v>
      </c>
      <c r="G179" s="24" t="n">
        <v>46286</v>
      </c>
      <c r="H179" s="25" t="n">
        <v>153.42</v>
      </c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>
        <v>447.15</v>
      </c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inlineStr">
        <is>
          <t>Untagged</t>
        </is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46283</v>
      </c>
      <c r="E180" s="25" t="n">
        <v>474.6399</v>
      </c>
      <c r="F180" s="26" t="n">
        <v>632</v>
      </c>
      <c r="G180" s="24" t="n">
        <v>46286</v>
      </c>
      <c r="H180" s="25" t="n">
        <v>477.78</v>
      </c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>
        <v>649.5</v>
      </c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inlineStr">
        <is>
          <t>Untagged</t>
        </is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25" t="n">
        <v>478.39</v>
      </c>
      <c r="F181" s="26" t="n">
        <v>632</v>
      </c>
      <c r="G181" s="24" t="n">
        <v>46286</v>
      </c>
      <c r="H181" s="25" t="n">
        <v>465.51</v>
      </c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>
        <v>429.11</v>
      </c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inlineStr">
        <is>
          <t>Untagged</t>
        </is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46286</v>
      </c>
      <c r="E182" s="25" t="n">
        <v>406.58957</v>
      </c>
      <c r="F182" s="26" t="n">
        <v>340</v>
      </c>
      <c r="G182" s="24" t="n">
        <v>46287</v>
      </c>
      <c r="H182" s="25" t="n">
        <v>392.12</v>
      </c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>
        <v>294.85</v>
      </c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inlineStr">
        <is>
          <t>Untagged</t>
        </is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25" t="n">
        <v>391.52</v>
      </c>
      <c r="F183" s="26" t="n">
        <v>340</v>
      </c>
      <c r="G183" s="24" t="n">
        <v>46287</v>
      </c>
      <c r="H183" s="25" t="n">
        <v>386.54</v>
      </c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>
        <v>203.22</v>
      </c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inlineStr">
        <is>
          <t>Untagged</t>
        </is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46286</v>
      </c>
      <c r="E184" s="25" t="n">
        <v>105.67</v>
      </c>
      <c r="F184" s="26" t="n">
        <v>1300</v>
      </c>
      <c r="G184" s="24" t="n">
        <v>46287</v>
      </c>
      <c r="H184" s="25" t="n">
        <v>107.2</v>
      </c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>
        <v>300.31</v>
      </c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inlineStr">
        <is>
          <t>Untagged</t>
        </is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25" t="n">
        <v>107.16</v>
      </c>
      <c r="F185" s="26" t="n">
        <v>1300</v>
      </c>
      <c r="G185" s="24" t="n">
        <v>46287</v>
      </c>
      <c r="H185" s="25" t="n">
        <v>105.33</v>
      </c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>
        <v>176.57</v>
      </c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inlineStr">
        <is>
          <t>Untagged</t>
        </is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46286</v>
      </c>
      <c r="E186" s="25" t="n">
        <v>580.8</v>
      </c>
      <c r="F186" s="26" t="n">
        <v>244</v>
      </c>
      <c r="G186" s="24" t="n">
        <v>46287</v>
      </c>
      <c r="H186" s="25" t="n">
        <v>593.59</v>
      </c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>
        <v>336.65</v>
      </c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inlineStr">
        <is>
          <t>Untagged</t>
        </is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25" t="n">
        <v>595.99</v>
      </c>
      <c r="F187" s="26" t="n">
        <v>244</v>
      </c>
      <c r="G187" s="24" t="n">
        <v>46287</v>
      </c>
      <c r="H187" s="25" t="n">
        <v>584.99</v>
      </c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>
        <v>182.99</v>
      </c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inlineStr">
        <is>
          <t>Untagged</t>
        </is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46286</v>
      </c>
      <c r="E188" s="25" t="n">
        <v>188.91</v>
      </c>
      <c r="F188" s="26" t="n">
        <v>750</v>
      </c>
      <c r="G188" s="24" t="n">
        <v>46287</v>
      </c>
      <c r="H188" s="25" t="n">
        <v>191.21</v>
      </c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>
        <v>288.39</v>
      </c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inlineStr">
        <is>
          <t>Untagged</t>
        </is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25" t="n">
        <v>190.59</v>
      </c>
      <c r="F189" s="26" t="n">
        <v>750</v>
      </c>
      <c r="G189" s="24" t="n">
        <v>46287</v>
      </c>
      <c r="H189" s="25" t="n">
        <v>188.34</v>
      </c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>
        <v>216.64</v>
      </c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inlineStr">
        <is>
          <t>Untagged</t>
        </is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46286</v>
      </c>
      <c r="E190" s="25" t="n">
        <v>257.49</v>
      </c>
      <c r="F190" s="26" t="n">
        <v>233</v>
      </c>
      <c r="G190" s="24" t="n">
        <v>46287</v>
      </c>
      <c r="H190" s="25" t="n">
        <v>260.01</v>
      </c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>
        <v>191.65</v>
      </c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inlineStr">
        <is>
          <t>Untagged</t>
        </is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25" t="n">
        <v>259</v>
      </c>
      <c r="F191" s="26" t="n">
        <v>233</v>
      </c>
      <c r="G191" s="24" t="n">
        <v>46287</v>
      </c>
      <c r="H191" s="25" t="n">
        <v>256.71</v>
      </c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>
        <v>87.7</v>
      </c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inlineStr">
        <is>
          <t>Untagged</t>
        </is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46286</v>
      </c>
      <c r="E192" s="25" t="n">
        <v>293.2</v>
      </c>
      <c r="F192" s="26" t="n">
        <v>470</v>
      </c>
      <c r="G192" s="24" t="n">
        <v>46287</v>
      </c>
      <c r="H192" s="25" t="n">
        <v>292.43</v>
      </c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>
        <v>290.15</v>
      </c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inlineStr">
        <is>
          <t>Untagged</t>
        </is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25" t="n">
        <v>292.4</v>
      </c>
      <c r="F193" s="26" t="n">
        <v>470</v>
      </c>
      <c r="G193" s="24" t="n">
        <v>46287</v>
      </c>
      <c r="H193" s="25" t="n">
        <v>292</v>
      </c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>
        <v>209.7</v>
      </c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inlineStr">
        <is>
          <t>Untagged</t>
        </is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46287</v>
      </c>
      <c r="E194" s="25" t="n">
        <v>794.5626999999999</v>
      </c>
      <c r="F194" s="26" t="n">
        <v>315</v>
      </c>
      <c r="G194" s="24" t="n">
        <v>46288</v>
      </c>
      <c r="H194" s="25" t="n">
        <v>775.9299999999999</v>
      </c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>
        <v>499.46</v>
      </c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inlineStr">
        <is>
          <t>Untagged</t>
        </is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25" t="n">
        <v>775.25</v>
      </c>
      <c r="F195" s="26" t="n">
        <v>315</v>
      </c>
      <c r="G195" s="24" t="n">
        <v>46288</v>
      </c>
      <c r="H195" s="25" t="n">
        <v>764.5</v>
      </c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>
        <v>352.9</v>
      </c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inlineStr">
        <is>
          <t>Untagged</t>
        </is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46287</v>
      </c>
      <c r="E196" s="25" t="n">
        <v>200.3954</v>
      </c>
      <c r="F196" s="26" t="n">
        <v>1255</v>
      </c>
      <c r="G196" s="24" t="n">
        <v>46288</v>
      </c>
      <c r="H196" s="25" t="n">
        <v>196.71</v>
      </c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>
        <v>459.12</v>
      </c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inlineStr">
        <is>
          <t>Untagged</t>
        </is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25" t="n">
        <v>196.53</v>
      </c>
      <c r="F197" s="26" t="n">
        <v>1255</v>
      </c>
      <c r="G197" s="24" t="n">
        <v>46288</v>
      </c>
      <c r="H197" s="25" t="n">
        <v>199.17</v>
      </c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>
        <v>359.46</v>
      </c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inlineStr">
        <is>
          <t>Untagged</t>
        </is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46287</v>
      </c>
      <c r="E198" s="25" t="n">
        <v>168.7</v>
      </c>
      <c r="F198" s="26" t="n">
        <v>1482</v>
      </c>
      <c r="G198" s="24" t="n">
        <v>46288</v>
      </c>
      <c r="H198" s="25" t="n">
        <v>170.47</v>
      </c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>
        <v>462.58</v>
      </c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inlineStr">
        <is>
          <t>Untagged</t>
        </is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25" t="n">
        <v>170.48</v>
      </c>
      <c r="F199" s="26" t="n">
        <v>1482</v>
      </c>
      <c r="G199" s="24" t="n">
        <v>46288</v>
      </c>
      <c r="H199" s="25" t="n">
        <v>169.7</v>
      </c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>
        <v>365.31</v>
      </c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inlineStr">
        <is>
          <t>Untagged</t>
        </is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46287</v>
      </c>
      <c r="E200" s="25" t="n">
        <v>620.9959</v>
      </c>
      <c r="F200" s="26" t="n">
        <v>403</v>
      </c>
      <c r="G200" s="24" t="n">
        <v>46288</v>
      </c>
      <c r="H200" s="25" t="n">
        <v>607.61</v>
      </c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>
        <v>517.1</v>
      </c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inlineStr">
        <is>
          <t>Untagged</t>
        </is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25" t="n">
        <v>607.0599999999999</v>
      </c>
      <c r="F201" s="26" t="n">
        <v>403</v>
      </c>
      <c r="G201" s="24" t="n">
        <v>46288</v>
      </c>
      <c r="H201" s="25" t="n">
        <v>633.91</v>
      </c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>
        <v>298.29</v>
      </c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inlineStr">
        <is>
          <t>Untagged</t>
        </is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46287</v>
      </c>
      <c r="E202" s="25" t="n">
        <v>349.9038</v>
      </c>
      <c r="F202" s="26" t="n">
        <v>715</v>
      </c>
      <c r="G202" s="24" t="n">
        <v>46288</v>
      </c>
      <c r="H202" s="25" t="n">
        <v>357.47</v>
      </c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>
        <v>519.16</v>
      </c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inlineStr">
        <is>
          <t>Untagged</t>
        </is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25" t="n">
        <v>356.89</v>
      </c>
      <c r="F203" s="26" t="n">
        <v>715</v>
      </c>
      <c r="G203" s="24" t="n">
        <v>46288</v>
      </c>
      <c r="H203" s="25" t="n">
        <v>356.99</v>
      </c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>
        <v>305.76</v>
      </c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inlineStr">
        <is>
          <t>Untagged</t>
        </is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46287</v>
      </c>
      <c r="E204" s="25" t="n">
        <v>1359.8431</v>
      </c>
      <c r="F204" s="26" t="n">
        <v>183</v>
      </c>
      <c r="G204" s="24" t="n">
        <v>46288</v>
      </c>
      <c r="H204" s="25" t="n">
        <v>1372.32</v>
      </c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>
        <v>456.78</v>
      </c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inlineStr">
        <is>
          <t>Untagged</t>
        </is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25" t="n">
        <v>1372.09</v>
      </c>
      <c r="F205" s="26" t="n">
        <v>183</v>
      </c>
      <c r="G205" s="24" t="n">
        <v>46288</v>
      </c>
      <c r="H205" s="25" t="n">
        <v>1392.4</v>
      </c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>
        <v>365.6</v>
      </c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inlineStr">
        <is>
          <t>Untagged</t>
        </is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46288</v>
      </c>
      <c r="E206" s="25" t="n">
        <v>635.6889</v>
      </c>
      <c r="F206" s="26" t="n">
        <v>262</v>
      </c>
      <c r="G206" s="24" t="n">
        <v>46289</v>
      </c>
      <c r="H206" s="25" t="n">
        <v>627.8200000000001</v>
      </c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>
        <v>411.86</v>
      </c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inlineStr">
        <is>
          <t>Untagged</t>
        </is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25" t="n">
        <v>627.33</v>
      </c>
      <c r="F207" s="26" t="n">
        <v>262</v>
      </c>
      <c r="G207" s="24" t="n">
        <v>46289</v>
      </c>
      <c r="H207" s="25" t="n">
        <v>624.98</v>
      </c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>
        <v>204.98</v>
      </c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inlineStr">
        <is>
          <t>Untagged</t>
        </is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46288</v>
      </c>
      <c r="E208" s="25" t="n">
        <v>68.7423</v>
      </c>
      <c r="F208" s="26" t="n">
        <v>2426</v>
      </c>
      <c r="G208" s="24" t="n">
        <v>46289</v>
      </c>
      <c r="H208" s="25" t="n">
        <v>71</v>
      </c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>
        <v>357.77</v>
      </c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inlineStr">
        <is>
          <t>Untagged</t>
        </is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25" t="n">
        <v>71.06999999999999</v>
      </c>
      <c r="F209" s="26" t="n">
        <v>2426</v>
      </c>
      <c r="G209" s="24" t="n">
        <v>46289</v>
      </c>
      <c r="H209" s="25" t="n">
        <v>72.55</v>
      </c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>
        <v>258.86</v>
      </c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inlineStr">
        <is>
          <t>Untagged</t>
        </is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46288</v>
      </c>
      <c r="E210" s="25" t="n">
        <v>596.2712</v>
      </c>
      <c r="F210" s="26" t="n">
        <v>139</v>
      </c>
      <c r="G210" s="24" t="n">
        <v>46289</v>
      </c>
      <c r="H210" s="25" t="n">
        <v>634.15</v>
      </c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>
        <v>161.97</v>
      </c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inlineStr">
        <is>
          <t>Untagged</t>
        </is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25" t="n">
        <v>634.42</v>
      </c>
      <c r="F211" s="26" t="n">
        <v>139</v>
      </c>
      <c r="G211" s="24" t="n">
        <v>46289</v>
      </c>
      <c r="H211" s="25" t="n">
        <v>622.92</v>
      </c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>
        <v>120.38</v>
      </c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inlineStr">
        <is>
          <t>Untagged</t>
        </is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46288</v>
      </c>
      <c r="E212" s="25" t="n">
        <v>212.4728</v>
      </c>
      <c r="F212" s="26" t="n">
        <v>780</v>
      </c>
      <c r="G212" s="24" t="n">
        <v>46289</v>
      </c>
      <c r="H212" s="25" t="n">
        <v>205.69</v>
      </c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>
        <v>395.59</v>
      </c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inlineStr">
        <is>
          <t>Untagged</t>
        </is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25" t="n">
        <v>205.66</v>
      </c>
      <c r="F213" s="26" t="n">
        <v>780</v>
      </c>
      <c r="G213" s="24" t="n">
        <v>46289</v>
      </c>
      <c r="H213" s="25" t="n">
        <v>203.27</v>
      </c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>
        <v>200.09</v>
      </c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inlineStr">
        <is>
          <t>Untagged</t>
        </is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46288</v>
      </c>
      <c r="E214" s="25" t="n">
        <v>278.5987</v>
      </c>
      <c r="F214" s="26" t="n">
        <v>597</v>
      </c>
      <c r="G214" s="24" t="n">
        <v>46289</v>
      </c>
      <c r="H214" s="25" t="n">
        <v>273.19</v>
      </c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>
        <v>329.38</v>
      </c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inlineStr">
        <is>
          <t>Untagged</t>
        </is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25" t="n">
        <v>273.1</v>
      </c>
      <c r="F215" s="26" t="n">
        <v>597</v>
      </c>
      <c r="G215" s="24" t="n">
        <v>46289</v>
      </c>
      <c r="H215" s="25" t="n">
        <v>270.06</v>
      </c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>
        <v>243.64</v>
      </c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inlineStr">
        <is>
          <t>Untagged</t>
        </is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46288</v>
      </c>
      <c r="E216" s="25" t="n">
        <v>156.9292</v>
      </c>
      <c r="F216" s="26" t="n">
        <v>1059</v>
      </c>
      <c r="G216" s="24" t="n">
        <v>46289</v>
      </c>
      <c r="H216" s="25" t="n">
        <v>156.75</v>
      </c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>
        <v>334.85</v>
      </c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inlineStr">
        <is>
          <t>Untagged</t>
        </is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25" t="n">
        <v>157.54</v>
      </c>
      <c r="F217" s="26" t="n">
        <v>1059</v>
      </c>
      <c r="G217" s="24" t="n">
        <v>46289</v>
      </c>
      <c r="H217" s="25" t="n">
        <v>155.92</v>
      </c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>
        <v>248.07</v>
      </c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inlineStr">
        <is>
          <t>Untagged</t>
        </is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46288</v>
      </c>
      <c r="E218" s="25" t="n">
        <v>68.3674</v>
      </c>
      <c r="F218" s="26" t="n">
        <v>2439</v>
      </c>
      <c r="G218" s="24" t="n">
        <v>46289</v>
      </c>
      <c r="H218" s="25" t="n">
        <v>71.39</v>
      </c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>
        <v>373.46</v>
      </c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inlineStr">
        <is>
          <t>Untagged</t>
        </is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25" t="n">
        <v>71.53</v>
      </c>
      <c r="F219" s="26" t="n">
        <v>2439</v>
      </c>
      <c r="G219" s="24" t="n">
        <v>46289</v>
      </c>
      <c r="H219" s="25" t="n">
        <v>69.06999999999999</v>
      </c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>
        <v>213.84</v>
      </c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inlineStr">
        <is>
          <t>Untagged</t>
        </is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46288</v>
      </c>
      <c r="E220" s="25" t="n">
        <v>669.9376</v>
      </c>
      <c r="F220" s="26" t="n">
        <v>246</v>
      </c>
      <c r="G220" s="24" t="n">
        <v>46289</v>
      </c>
      <c r="H220" s="25" t="n">
        <v>677.5</v>
      </c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>
        <v>333.1</v>
      </c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inlineStr">
        <is>
          <t>Untagged</t>
        </is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25" t="n">
        <v>677.0599999999999</v>
      </c>
      <c r="F221" s="26" t="n">
        <v>246</v>
      </c>
      <c r="G221" s="24" t="n">
        <v>46289</v>
      </c>
      <c r="H221" s="25" t="n">
        <v>704</v>
      </c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>
        <v>190.03</v>
      </c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inlineStr">
        <is>
          <t>Untagged</t>
        </is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46288</v>
      </c>
      <c r="E222" s="25" t="n">
        <v>3034.4072</v>
      </c>
      <c r="F222" s="26" t="n">
        <v>55</v>
      </c>
      <c r="G222" s="24" t="n">
        <v>46289</v>
      </c>
      <c r="H222" s="25" t="n">
        <v>2940.33</v>
      </c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>
        <v>379.15</v>
      </c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inlineStr">
        <is>
          <t>Untagged</t>
        </is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25" t="n">
        <v>2938.97</v>
      </c>
      <c r="F223" s="26" t="n">
        <v>55</v>
      </c>
      <c r="G223" s="24" t="n">
        <v>46289</v>
      </c>
      <c r="H223" s="25" t="n">
        <v>2914.96</v>
      </c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>
        <v>201.68</v>
      </c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inlineStr">
        <is>
          <t>Untagged</t>
        </is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46289</v>
      </c>
      <c r="E224" s="25" t="n">
        <v>155.3422</v>
      </c>
      <c r="F224" s="26" t="n">
        <v>1614</v>
      </c>
      <c r="G224" s="24" t="n">
        <v>46290</v>
      </c>
      <c r="H224" s="25" t="n">
        <v>157.11</v>
      </c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>
        <v>459.21</v>
      </c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inlineStr">
        <is>
          <t>Untagged</t>
        </is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25" t="n">
        <v>157.03</v>
      </c>
      <c r="F225" s="26" t="n">
        <v>1614</v>
      </c>
      <c r="G225" s="24" t="n">
        <v>46290</v>
      </c>
      <c r="H225" s="25" t="n">
        <v>156.4</v>
      </c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>
        <v>366.54</v>
      </c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inlineStr">
        <is>
          <t>Untagged</t>
        </is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46289</v>
      </c>
      <c r="E226" s="25" t="n">
        <v>1515.4085</v>
      </c>
      <c r="F226" s="26" t="n">
        <v>82</v>
      </c>
      <c r="G226" s="24" t="n">
        <v>46290</v>
      </c>
      <c r="H226" s="25" t="n">
        <v>1533.8</v>
      </c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>
        <v>221.04</v>
      </c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inlineStr">
        <is>
          <t>Untagged</t>
        </is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46289</v>
      </c>
      <c r="E227" s="25" t="n">
        <v>221.6698</v>
      </c>
      <c r="F227" s="26" t="n">
        <v>1128</v>
      </c>
      <c r="G227" s="24" t="n">
        <v>46290</v>
      </c>
      <c r="H227" s="25" t="n">
        <v>223.36</v>
      </c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>
        <v>521.64</v>
      </c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inlineStr">
        <is>
          <t>Untagged</t>
        </is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25" t="n">
        <v>222.61</v>
      </c>
      <c r="F228" s="26" t="n">
        <v>1128</v>
      </c>
      <c r="G228" s="24" t="n">
        <v>46290</v>
      </c>
      <c r="H228" s="25" t="n">
        <v>233.98</v>
      </c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>
        <v>306.44</v>
      </c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inlineStr">
        <is>
          <t>Untagged</t>
        </is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46289</v>
      </c>
      <c r="E229" s="25" t="n">
        <v>304.3391</v>
      </c>
      <c r="F229" s="26" t="n">
        <v>409</v>
      </c>
      <c r="G229" s="24" t="n">
        <v>46290</v>
      </c>
      <c r="H229" s="25" t="n">
        <v>308.29</v>
      </c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>
        <v>190.87</v>
      </c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inlineStr">
        <is>
          <t>Untagged</t>
        </is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25" t="n">
        <v>308</v>
      </c>
      <c r="F230" s="26" t="n">
        <v>409</v>
      </c>
      <c r="G230" s="24" t="n">
        <v>46290</v>
      </c>
      <c r="H230" s="25" t="n">
        <v>308.52</v>
      </c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>
        <v>194.42</v>
      </c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inlineStr">
        <is>
          <t>Untagged</t>
        </is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46289</v>
      </c>
      <c r="E231" s="25" t="n">
        <v>783.6132</v>
      </c>
      <c r="F231" s="26" t="n">
        <v>319</v>
      </c>
      <c r="G231" s="24" t="n">
        <v>46290</v>
      </c>
      <c r="H231" s="25" t="n">
        <v>824.01</v>
      </c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>
        <v>461.2</v>
      </c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inlineStr">
        <is>
          <t>Untagged</t>
        </is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25" t="n">
        <v>826.46</v>
      </c>
      <c r="F232" s="26" t="n">
        <v>319</v>
      </c>
      <c r="G232" s="24" t="n">
        <v>46290</v>
      </c>
      <c r="H232" s="25" t="n">
        <v>785.15</v>
      </c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>
        <v>374.42</v>
      </c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inlineStr">
        <is>
          <t>Untagged</t>
        </is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46289</v>
      </c>
      <c r="E233" s="25" t="n">
        <v>708.4741</v>
      </c>
      <c r="F233" s="26" t="n">
        <v>176</v>
      </c>
      <c r="G233" s="24" t="n">
        <v>46290</v>
      </c>
      <c r="H233" s="25" t="n">
        <v>713.5029</v>
      </c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>
        <v>43.01</v>
      </c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inlineStr">
        <is>
          <t>Untagged</t>
        </is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46290</v>
      </c>
      <c r="E234" s="25" t="n">
        <v>394.528</v>
      </c>
      <c r="F234" s="26" t="n">
        <v>316</v>
      </c>
      <c r="G234" s="24" t="n">
        <v>46293</v>
      </c>
      <c r="H234" s="25" t="n">
        <v>384.93</v>
      </c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>
        <v>288.97</v>
      </c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inlineStr">
        <is>
          <t>5-10</t>
        </is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46290</v>
      </c>
      <c r="E235" s="25" t="n">
        <v>76.9342</v>
      </c>
      <c r="F235" s="26" t="n">
        <v>3254</v>
      </c>
      <c r="G235" s="24" t="n">
        <v>46293</v>
      </c>
      <c r="H235" s="25" t="n">
        <v>79</v>
      </c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>
        <v>753.75</v>
      </c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inlineStr">
        <is>
          <t>5-10</t>
        </is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n">
        <v>46293</v>
      </c>
      <c r="H236" s="25" t="n">
        <v>616.9</v>
      </c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>
        <v>844.87</v>
      </c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inlineStr">
        <is>
          <t>5-10</t>
        </is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n">
        <v>46293</v>
      </c>
      <c r="H237" s="25" t="n">
        <v>310.62</v>
      </c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>
        <v>798.96</v>
      </c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inlineStr">
        <is>
          <t>15-20</t>
        </is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n">
        <v>46293</v>
      </c>
      <c r="H238" s="25" t="n">
        <v>421.35</v>
      </c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>
        <v>871.05</v>
      </c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inlineStr">
        <is>
          <t>5-10</t>
        </is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n">
        <v>46293</v>
      </c>
      <c r="H239" s="25" t="n">
        <v>376.65</v>
      </c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>
        <v>807.85</v>
      </c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inlineStr">
        <is>
          <t>5-10</t>
        </is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46293</v>
      </c>
      <c r="E240" s="25" t="n">
        <v>625.9431</v>
      </c>
      <c r="F240" s="26" t="n">
        <v>479</v>
      </c>
      <c r="G240" s="24" t="n">
        <v>46294</v>
      </c>
      <c r="H240" s="25" t="n">
        <v>602.61</v>
      </c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>
        <v>816</v>
      </c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inlineStr">
        <is>
          <t>5-10</t>
        </is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46293</v>
      </c>
      <c r="E241" s="25" t="n">
        <v>282.74</v>
      </c>
      <c r="F241" s="26" t="n">
        <v>1061</v>
      </c>
      <c r="G241" s="24" t="n">
        <v>46294</v>
      </c>
      <c r="H241" s="25" t="n">
        <v>297</v>
      </c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>
        <v>149.34</v>
      </c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inlineStr">
        <is>
          <t>15-20</t>
        </is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25" t="n">
        <v>297.01</v>
      </c>
      <c r="F242" s="26" t="n">
        <v>1061</v>
      </c>
      <c r="G242" s="24" t="n">
        <v>46294</v>
      </c>
      <c r="H242" s="25" t="n">
        <v>298.99</v>
      </c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>
        <v>398.29</v>
      </c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inlineStr">
        <is>
          <t>15-20</t>
        </is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46293</v>
      </c>
      <c r="E243" s="25" t="n">
        <v>80.2633</v>
      </c>
      <c r="F243" s="26" t="n">
        <v>3732</v>
      </c>
      <c r="G243" s="24" t="n">
        <v>46294</v>
      </c>
      <c r="H243" s="25" t="n">
        <v>78.87</v>
      </c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>
        <v>903.96</v>
      </c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inlineStr">
        <is>
          <t>5-10</t>
        </is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46293</v>
      </c>
      <c r="E244" s="25" t="n">
        <v>97.1964</v>
      </c>
      <c r="F244" s="26" t="n">
        <v>3087</v>
      </c>
      <c r="G244" s="24" t="n">
        <v>46294</v>
      </c>
      <c r="H244" s="25" t="n">
        <v>92.37</v>
      </c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>
        <v>786.4</v>
      </c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inlineStr">
        <is>
          <t>15-20</t>
        </is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46293</v>
      </c>
      <c r="E245" s="25" t="n">
        <v>22.1897</v>
      </c>
      <c r="F245" s="26" t="n">
        <v>13513</v>
      </c>
      <c r="G245" s="24" t="n">
        <v>46294</v>
      </c>
      <c r="H245" s="25" t="n">
        <v>22.65</v>
      </c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>
        <v>762.1</v>
      </c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inlineStr">
        <is>
          <t>10-15</t>
        </is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46294</v>
      </c>
      <c r="E246" s="25" t="n">
        <v>76.3257</v>
      </c>
      <c r="F246" s="26" t="n">
        <v>2805</v>
      </c>
      <c r="G246" s="24" t="n">
        <v>46295</v>
      </c>
      <c r="H246" s="25" t="n">
        <v>77.04000000000001</v>
      </c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>
        <v>622.23</v>
      </c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inlineStr">
        <is>
          <t>5-10</t>
        </is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46294</v>
      </c>
      <c r="E247" s="25" t="n">
        <v>272.5066</v>
      </c>
      <c r="F247" s="26" t="n">
        <v>788</v>
      </c>
      <c r="G247" s="24" t="n">
        <v>46295</v>
      </c>
      <c r="H247" s="25" t="n">
        <v>265.34</v>
      </c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>
        <v>613.75</v>
      </c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inlineStr">
        <is>
          <t>5-10</t>
        </is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46294</v>
      </c>
      <c r="E248" s="25" t="n">
        <v>298.4</v>
      </c>
      <c r="F248" s="26" t="n">
        <v>359</v>
      </c>
      <c r="G248" s="24" t="n">
        <v>46295</v>
      </c>
      <c r="H248" s="25" t="n">
        <v>292.46</v>
      </c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>
        <v>174.87</v>
      </c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inlineStr">
        <is>
          <t>5-10</t>
        </is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46294</v>
      </c>
      <c r="E249" s="25" t="n">
        <v>26.45</v>
      </c>
      <c r="F249" s="26" t="n">
        <v>4058</v>
      </c>
      <c r="G249" s="24" t="n">
        <v>46295</v>
      </c>
      <c r="H249" s="25" t="n">
        <v>24.94</v>
      </c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>
        <v>198.04</v>
      </c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inlineStr">
        <is>
          <t>15-20</t>
        </is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46294</v>
      </c>
      <c r="E250" s="25" t="n">
        <v>526.5716</v>
      </c>
      <c r="F250" s="26" t="n">
        <v>407</v>
      </c>
      <c r="G250" s="24" t="n">
        <v>46295</v>
      </c>
      <c r="H250" s="25" t="n">
        <v>545.84</v>
      </c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>
        <v>456.38</v>
      </c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inlineStr">
        <is>
          <t>5-10</t>
        </is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25" t="n">
        <v>547.72</v>
      </c>
      <c r="F251" s="26" t="n">
        <v>407</v>
      </c>
      <c r="G251" s="24" t="n">
        <v>46295</v>
      </c>
      <c r="H251" s="25" t="n">
        <v>530.67</v>
      </c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>
        <v>321.81</v>
      </c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inlineStr">
        <is>
          <t>5-10</t>
        </is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46294</v>
      </c>
      <c r="E252" s="25" t="n">
        <v>571.4527</v>
      </c>
      <c r="F252" s="26" t="n">
        <v>375</v>
      </c>
      <c r="G252" s="24" t="n">
        <v>46295</v>
      </c>
      <c r="H252" s="25" t="n">
        <v>566.01</v>
      </c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>
        <v>668.21</v>
      </c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inlineStr">
        <is>
          <t>5-10</t>
        </is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46295</v>
      </c>
      <c r="E253" s="25" t="n">
        <v>1112.4101</v>
      </c>
      <c r="F253" s="26" t="n">
        <v>338</v>
      </c>
      <c r="G253" s="24" t="n">
        <v>46296</v>
      </c>
      <c r="H253" s="25" t="n">
        <v>1092.88</v>
      </c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>
        <v>670.53</v>
      </c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inlineStr">
        <is>
          <t>5-10</t>
        </is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46295</v>
      </c>
      <c r="E254" s="25" t="n">
        <v>1772</v>
      </c>
      <c r="F254" s="26" t="n">
        <v>105</v>
      </c>
      <c r="G254" s="24" t="n">
        <v>46296</v>
      </c>
      <c r="H254" s="25" t="n">
        <v>1775.08</v>
      </c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>
        <v>235.89</v>
      </c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inlineStr">
        <is>
          <t>5-10</t>
        </is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DIAMONDYD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DPABHUSHAN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EIEL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ELECTCAST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EMUDHRA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FILATEX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FMGOETZE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FOSECOIND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FRONTSP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GKENERGY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GNA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GNRL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GOCLCORP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GOPAL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GRAUWEIL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GREAVESCOT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GUJTHEM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HERITGFOOD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HIKAL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HINDOILEXP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HUBTOWN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INDIAGLYCO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INDNIPPON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INDOCO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INDORAMA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IPL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JASH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JAYKAY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JGCHEM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JINDRILL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KCP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KIRIINDUS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KIRLOSIND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KLBRENG-B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KROSS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27" t="inlineStr">
        <is>
          <t>KSCL</t>
        </is>
      </c>
      <c r="B55" s="20">
        <f>COUNTIF('Trade Log'!$B$4:$B$503,$A55)</f>
        <v/>
      </c>
      <c r="C55" s="20">
        <f>COUNTIFS('Trade Log'!$B$4:$B$503,$A55,'Trade Log'!$L$4:$L$503,"&gt;0")</f>
        <v/>
      </c>
      <c r="D55" s="20">
        <f>COUNTIFS('Trade Log'!$B$4:$B$503,$A55,'Trade Log'!$L$4:$L$503,"&lt;0")</f>
        <v/>
      </c>
      <c r="E55" s="22">
        <f>IFERROR($C55/$B55,"")</f>
        <v/>
      </c>
      <c r="F55" s="21">
        <f>SUMIF('Trade Log'!$B$4:$B$503,$A55,'Trade Log'!$I$4:$I$503)</f>
        <v/>
      </c>
      <c r="G55" s="21">
        <f>SUMIF('Trade Log'!$B$4:$B$503,$A55,'Trade Log'!$L$4:$L$503)</f>
        <v/>
      </c>
      <c r="H55" s="21">
        <f>IFERROR($G55/$B55,"")</f>
        <v/>
      </c>
      <c r="I55" s="21">
        <f>IFERROR(_xlfn.MAXIFS('Trade Log'!$L$4:$L$503,'Trade Log'!$B$4:$B$503,$A55),"")</f>
        <v/>
      </c>
      <c r="J55" s="21">
        <f>IFERROR(_xlfn.MINIFS('Trade Log'!$L$4:$L$503,'Trade Log'!$B$4:$B$503,$A55),"")</f>
        <v/>
      </c>
    </row>
    <row r="56">
      <c r="A56" s="27" t="inlineStr">
        <is>
          <t>KSL</t>
        </is>
      </c>
      <c r="B56" s="20">
        <f>COUNTIF('Trade Log'!$B$4:$B$503,$A56)</f>
        <v/>
      </c>
      <c r="C56" s="20">
        <f>COUNTIFS('Trade Log'!$B$4:$B$503,$A56,'Trade Log'!$L$4:$L$503,"&gt;0")</f>
        <v/>
      </c>
      <c r="D56" s="20">
        <f>COUNTIFS('Trade Log'!$B$4:$B$503,$A56,'Trade Log'!$L$4:$L$503,"&lt;0")</f>
        <v/>
      </c>
      <c r="E56" s="22">
        <f>IFERROR($C56/$B56,"")</f>
        <v/>
      </c>
      <c r="F56" s="21">
        <f>SUMIF('Trade Log'!$B$4:$B$503,$A56,'Trade Log'!$I$4:$I$503)</f>
        <v/>
      </c>
      <c r="G56" s="21">
        <f>SUMIF('Trade Log'!$B$4:$B$503,$A56,'Trade Log'!$L$4:$L$503)</f>
        <v/>
      </c>
      <c r="H56" s="21">
        <f>IFERROR($G56/$B56,"")</f>
        <v/>
      </c>
      <c r="I56" s="21">
        <f>IFERROR(_xlfn.MAXIFS('Trade Log'!$L$4:$L$503,'Trade Log'!$B$4:$B$503,$A56),"")</f>
        <v/>
      </c>
      <c r="J56" s="21">
        <f>IFERROR(_xlfn.MINIFS('Trade Log'!$L$4:$L$503,'Trade Log'!$B$4:$B$503,$A56),"")</f>
        <v/>
      </c>
    </row>
    <row r="57">
      <c r="A57" s="27" t="inlineStr">
        <is>
          <t>LUXIND</t>
        </is>
      </c>
      <c r="B57" s="20">
        <f>COUNTIF('Trade Log'!$B$4:$B$503,$A57)</f>
        <v/>
      </c>
      <c r="C57" s="20">
        <f>COUNTIFS('Trade Log'!$B$4:$B$503,$A57,'Trade Log'!$L$4:$L$503,"&gt;0")</f>
        <v/>
      </c>
      <c r="D57" s="20">
        <f>COUNTIFS('Trade Log'!$B$4:$B$503,$A57,'Trade Log'!$L$4:$L$503,"&lt;0")</f>
        <v/>
      </c>
      <c r="E57" s="22">
        <f>IFERROR($C57/$B57,"")</f>
        <v/>
      </c>
      <c r="F57" s="21">
        <f>SUMIF('Trade Log'!$B$4:$B$503,$A57,'Trade Log'!$I$4:$I$503)</f>
        <v/>
      </c>
      <c r="G57" s="21">
        <f>SUMIF('Trade Log'!$B$4:$B$503,$A57,'Trade Log'!$L$4:$L$503)</f>
        <v/>
      </c>
      <c r="H57" s="21">
        <f>IFERROR($G57/$B57,"")</f>
        <v/>
      </c>
      <c r="I57" s="21">
        <f>IFERROR(_xlfn.MAXIFS('Trade Log'!$L$4:$L$503,'Trade Log'!$B$4:$B$503,$A57),"")</f>
        <v/>
      </c>
      <c r="J57" s="21">
        <f>IFERROR(_xlfn.MINIFS('Trade Log'!$L$4:$L$503,'Trade Log'!$B$4:$B$503,$A57),"")</f>
        <v/>
      </c>
    </row>
    <row r="58">
      <c r="A58" s="27" t="inlineStr">
        <is>
          <t>MAITHANALL</t>
        </is>
      </c>
      <c r="B58" s="20">
        <f>COUNTIF('Trade Log'!$B$4:$B$503,$A58)</f>
        <v/>
      </c>
      <c r="C58" s="20">
        <f>COUNTIFS('Trade Log'!$B$4:$B$503,$A58,'Trade Log'!$L$4:$L$503,"&gt;0")</f>
        <v/>
      </c>
      <c r="D58" s="20">
        <f>COUNTIFS('Trade Log'!$B$4:$B$503,$A58,'Trade Log'!$L$4:$L$503,"&lt;0")</f>
        <v/>
      </c>
      <c r="E58" s="22">
        <f>IFERROR($C58/$B58,"")</f>
        <v/>
      </c>
      <c r="F58" s="21">
        <f>SUMIF('Trade Log'!$B$4:$B$503,$A58,'Trade Log'!$I$4:$I$503)</f>
        <v/>
      </c>
      <c r="G58" s="21">
        <f>SUMIF('Trade Log'!$B$4:$B$503,$A58,'Trade Log'!$L$4:$L$503)</f>
        <v/>
      </c>
      <c r="H58" s="21">
        <f>IFERROR($G58/$B58,"")</f>
        <v/>
      </c>
      <c r="I58" s="21">
        <f>IFERROR(_xlfn.MAXIFS('Trade Log'!$L$4:$L$503,'Trade Log'!$B$4:$B$503,$A58),"")</f>
        <v/>
      </c>
      <c r="J58" s="21">
        <f>IFERROR(_xlfn.MINIFS('Trade Log'!$L$4:$L$503,'Trade Log'!$B$4:$B$503,$A58),"")</f>
        <v/>
      </c>
    </row>
    <row r="59">
      <c r="A59" s="27" t="inlineStr">
        <is>
          <t>MANGLMCEM</t>
        </is>
      </c>
      <c r="B59" s="20">
        <f>COUNTIF('Trade Log'!$B$4:$B$503,$A59)</f>
        <v/>
      </c>
      <c r="C59" s="20">
        <f>COUNTIFS('Trade Log'!$B$4:$B$503,$A59,'Trade Log'!$L$4:$L$503,"&gt;0")</f>
        <v/>
      </c>
      <c r="D59" s="20">
        <f>COUNTIFS('Trade Log'!$B$4:$B$503,$A59,'Trade Log'!$L$4:$L$503,"&lt;0")</f>
        <v/>
      </c>
      <c r="E59" s="22">
        <f>IFERROR($C59/$B59,"")</f>
        <v/>
      </c>
      <c r="F59" s="21">
        <f>SUMIF('Trade Log'!$B$4:$B$503,$A59,'Trade Log'!$I$4:$I$503)</f>
        <v/>
      </c>
      <c r="G59" s="21">
        <f>SUMIF('Trade Log'!$B$4:$B$503,$A59,'Trade Log'!$L$4:$L$503)</f>
        <v/>
      </c>
      <c r="H59" s="21">
        <f>IFERROR($G59/$B59,"")</f>
        <v/>
      </c>
      <c r="I59" s="21">
        <f>IFERROR(_xlfn.MAXIFS('Trade Log'!$L$4:$L$503,'Trade Log'!$B$4:$B$503,$A59),"")</f>
        <v/>
      </c>
      <c r="J59" s="21">
        <f>IFERROR(_xlfn.MINIFS('Trade Log'!$L$4:$L$503,'Trade Log'!$B$4:$B$503,$A59),"")</f>
        <v/>
      </c>
    </row>
    <row r="60">
      <c r="A60" s="27" t="inlineStr">
        <is>
          <t>MASTEK</t>
        </is>
      </c>
      <c r="B60" s="20">
        <f>COUNTIF('Trade Log'!$B$4:$B$503,$A60)</f>
        <v/>
      </c>
      <c r="C60" s="20">
        <f>COUNTIFS('Trade Log'!$B$4:$B$503,$A60,'Trade Log'!$L$4:$L$503,"&gt;0")</f>
        <v/>
      </c>
      <c r="D60" s="20">
        <f>COUNTIFS('Trade Log'!$B$4:$B$503,$A60,'Trade Log'!$L$4:$L$503,"&lt;0")</f>
        <v/>
      </c>
      <c r="E60" s="22">
        <f>IFERROR($C60/$B60,"")</f>
        <v/>
      </c>
      <c r="F60" s="21">
        <f>SUMIF('Trade Log'!$B$4:$B$503,$A60,'Trade Log'!$I$4:$I$503)</f>
        <v/>
      </c>
      <c r="G60" s="21">
        <f>SUMIF('Trade Log'!$B$4:$B$503,$A60,'Trade Log'!$L$4:$L$503)</f>
        <v/>
      </c>
      <c r="H60" s="21">
        <f>IFERROR($G60/$B60,"")</f>
        <v/>
      </c>
      <c r="I60" s="21">
        <f>IFERROR(_xlfn.MAXIFS('Trade Log'!$L$4:$L$503,'Trade Log'!$B$4:$B$503,$A60),"")</f>
        <v/>
      </c>
      <c r="J60" s="21">
        <f>IFERROR(_xlfn.MINIFS('Trade Log'!$L$4:$L$503,'Trade Log'!$B$4:$B$503,$A60),"")</f>
        <v/>
      </c>
    </row>
    <row r="61">
      <c r="A61" s="27" t="inlineStr">
        <is>
          <t>MOBIKWIK</t>
        </is>
      </c>
      <c r="B61" s="20">
        <f>COUNTIF('Trade Log'!$B$4:$B$503,$A61)</f>
        <v/>
      </c>
      <c r="C61" s="20">
        <f>COUNTIFS('Trade Log'!$B$4:$B$503,$A61,'Trade Log'!$L$4:$L$503,"&gt;0")</f>
        <v/>
      </c>
      <c r="D61" s="20">
        <f>COUNTIFS('Trade Log'!$B$4:$B$503,$A61,'Trade Log'!$L$4:$L$503,"&lt;0")</f>
        <v/>
      </c>
      <c r="E61" s="22">
        <f>IFERROR($C61/$B61,"")</f>
        <v/>
      </c>
      <c r="F61" s="21">
        <f>SUMIF('Trade Log'!$B$4:$B$503,$A61,'Trade Log'!$I$4:$I$503)</f>
        <v/>
      </c>
      <c r="G61" s="21">
        <f>SUMIF('Trade Log'!$B$4:$B$503,$A61,'Trade Log'!$L$4:$L$503)</f>
        <v/>
      </c>
      <c r="H61" s="21">
        <f>IFERROR($G61/$B61,"")</f>
        <v/>
      </c>
      <c r="I61" s="21">
        <f>IFERROR(_xlfn.MAXIFS('Trade Log'!$L$4:$L$503,'Trade Log'!$B$4:$B$503,$A61),"")</f>
        <v/>
      </c>
      <c r="J61" s="21">
        <f>IFERROR(_xlfn.MINIFS('Trade Log'!$L$4:$L$503,'Trade Log'!$B$4:$B$503,$A61),"")</f>
        <v/>
      </c>
    </row>
    <row r="62">
      <c r="A62" s="27" t="inlineStr">
        <is>
          <t>MUKANDLTD</t>
        </is>
      </c>
      <c r="B62" s="20">
        <f>COUNTIF('Trade Log'!$B$4:$B$503,$A62)</f>
        <v/>
      </c>
      <c r="C62" s="20">
        <f>COUNTIFS('Trade Log'!$B$4:$B$503,$A62,'Trade Log'!$L$4:$L$503,"&gt;0")</f>
        <v/>
      </c>
      <c r="D62" s="20">
        <f>COUNTIFS('Trade Log'!$B$4:$B$503,$A62,'Trade Log'!$L$4:$L$503,"&lt;0")</f>
        <v/>
      </c>
      <c r="E62" s="22">
        <f>IFERROR($C62/$B62,"")</f>
        <v/>
      </c>
      <c r="F62" s="21">
        <f>SUMIF('Trade Log'!$B$4:$B$503,$A62,'Trade Log'!$I$4:$I$503)</f>
        <v/>
      </c>
      <c r="G62" s="21">
        <f>SUMIF('Trade Log'!$B$4:$B$503,$A62,'Trade Log'!$L$4:$L$503)</f>
        <v/>
      </c>
      <c r="H62" s="21">
        <f>IFERROR($G62/$B62,"")</f>
        <v/>
      </c>
      <c r="I62" s="21">
        <f>IFERROR(_xlfn.MAXIFS('Trade Log'!$L$4:$L$503,'Trade Log'!$B$4:$B$503,$A62),"")</f>
        <v/>
      </c>
      <c r="J62" s="21">
        <f>IFERROR(_xlfn.MINIFS('Trade Log'!$L$4:$L$503,'Trade Log'!$B$4:$B$503,$A62),"")</f>
        <v/>
      </c>
    </row>
    <row r="63">
      <c r="A63" s="27" t="inlineStr">
        <is>
          <t>NETWORK18</t>
        </is>
      </c>
      <c r="B63" s="20">
        <f>COUNTIF('Trade Log'!$B$4:$B$503,$A63)</f>
        <v/>
      </c>
      <c r="C63" s="20">
        <f>COUNTIFS('Trade Log'!$B$4:$B$503,$A63,'Trade Log'!$L$4:$L$503,"&gt;0")</f>
        <v/>
      </c>
      <c r="D63" s="20">
        <f>COUNTIFS('Trade Log'!$B$4:$B$503,$A63,'Trade Log'!$L$4:$L$503,"&lt;0")</f>
        <v/>
      </c>
      <c r="E63" s="22">
        <f>IFERROR($C63/$B63,"")</f>
        <v/>
      </c>
      <c r="F63" s="21">
        <f>SUMIF('Trade Log'!$B$4:$B$503,$A63,'Trade Log'!$I$4:$I$503)</f>
        <v/>
      </c>
      <c r="G63" s="21">
        <f>SUMIF('Trade Log'!$B$4:$B$503,$A63,'Trade Log'!$L$4:$L$503)</f>
        <v/>
      </c>
      <c r="H63" s="21">
        <f>IFERROR($G63/$B63,"")</f>
        <v/>
      </c>
      <c r="I63" s="21">
        <f>IFERROR(_xlfn.MAXIFS('Trade Log'!$L$4:$L$503,'Trade Log'!$B$4:$B$503,$A63),"")</f>
        <v/>
      </c>
      <c r="J63" s="21">
        <f>IFERROR(_xlfn.MINIFS('Trade Log'!$L$4:$L$503,'Trade Log'!$B$4:$B$503,$A63),"")</f>
        <v/>
      </c>
    </row>
    <row r="64">
      <c r="A64" s="27" t="inlineStr">
        <is>
          <t>NILKAMAL</t>
        </is>
      </c>
      <c r="B64" s="20">
        <f>COUNTIF('Trade Log'!$B$4:$B$503,$A64)</f>
        <v/>
      </c>
      <c r="C64" s="20">
        <f>COUNTIFS('Trade Log'!$B$4:$B$503,$A64,'Trade Log'!$L$4:$L$503,"&gt;0")</f>
        <v/>
      </c>
      <c r="D64" s="20">
        <f>COUNTIFS('Trade Log'!$B$4:$B$503,$A64,'Trade Log'!$L$4:$L$503,"&lt;0")</f>
        <v/>
      </c>
      <c r="E64" s="22">
        <f>IFERROR($C64/$B64,"")</f>
        <v/>
      </c>
      <c r="F64" s="21">
        <f>SUMIF('Trade Log'!$B$4:$B$503,$A64,'Trade Log'!$I$4:$I$503)</f>
        <v/>
      </c>
      <c r="G64" s="21">
        <f>SUMIF('Trade Log'!$B$4:$B$503,$A64,'Trade Log'!$L$4:$L$503)</f>
        <v/>
      </c>
      <c r="H64" s="21">
        <f>IFERROR($G64/$B64,"")</f>
        <v/>
      </c>
      <c r="I64" s="21">
        <f>IFERROR(_xlfn.MAXIFS('Trade Log'!$L$4:$L$503,'Trade Log'!$B$4:$B$503,$A64),"")</f>
        <v/>
      </c>
      <c r="J64" s="21">
        <f>IFERROR(_xlfn.MINIFS('Trade Log'!$L$4:$L$503,'Trade Log'!$B$4:$B$503,$A64),"")</f>
        <v/>
      </c>
    </row>
    <row r="65">
      <c r="A65" s="27" t="inlineStr">
        <is>
          <t>NORTHARC</t>
        </is>
      </c>
      <c r="B65" s="20">
        <f>COUNTIF('Trade Log'!$B$4:$B$503,$A65)</f>
        <v/>
      </c>
      <c r="C65" s="20">
        <f>COUNTIFS('Trade Log'!$B$4:$B$503,$A65,'Trade Log'!$L$4:$L$503,"&gt;0")</f>
        <v/>
      </c>
      <c r="D65" s="20">
        <f>COUNTIFS('Trade Log'!$B$4:$B$503,$A65,'Trade Log'!$L$4:$L$503,"&lt;0")</f>
        <v/>
      </c>
      <c r="E65" s="22">
        <f>IFERROR($C65/$B65,"")</f>
        <v/>
      </c>
      <c r="F65" s="21">
        <f>SUMIF('Trade Log'!$B$4:$B$503,$A65,'Trade Log'!$I$4:$I$503)</f>
        <v/>
      </c>
      <c r="G65" s="21">
        <f>SUMIF('Trade Log'!$B$4:$B$503,$A65,'Trade Log'!$L$4:$L$503)</f>
        <v/>
      </c>
      <c r="H65" s="21">
        <f>IFERROR($G65/$B65,"")</f>
        <v/>
      </c>
      <c r="I65" s="21">
        <f>IFERROR(_xlfn.MAXIFS('Trade Log'!$L$4:$L$503,'Trade Log'!$B$4:$B$503,$A65),"")</f>
        <v/>
      </c>
      <c r="J65" s="21">
        <f>IFERROR(_xlfn.MINIFS('Trade Log'!$L$4:$L$503,'Trade Log'!$B$4:$B$503,$A65),"")</f>
        <v/>
      </c>
    </row>
    <row r="66">
      <c r="A66" s="27" t="inlineStr">
        <is>
          <t>NOVARTIND</t>
        </is>
      </c>
      <c r="B66" s="20">
        <f>COUNTIF('Trade Log'!$B$4:$B$503,$A66)</f>
        <v/>
      </c>
      <c r="C66" s="20">
        <f>COUNTIFS('Trade Log'!$B$4:$B$503,$A66,'Trade Log'!$L$4:$L$503,"&gt;0")</f>
        <v/>
      </c>
      <c r="D66" s="20">
        <f>COUNTIFS('Trade Log'!$B$4:$B$503,$A66,'Trade Log'!$L$4:$L$503,"&lt;0")</f>
        <v/>
      </c>
      <c r="E66" s="22">
        <f>IFERROR($C66/$B66,"")</f>
        <v/>
      </c>
      <c r="F66" s="21">
        <f>SUMIF('Trade Log'!$B$4:$B$503,$A66,'Trade Log'!$I$4:$I$503)</f>
        <v/>
      </c>
      <c r="G66" s="21">
        <f>SUMIF('Trade Log'!$B$4:$B$503,$A66,'Trade Log'!$L$4:$L$503)</f>
        <v/>
      </c>
      <c r="H66" s="21">
        <f>IFERROR($G66/$B66,"")</f>
        <v/>
      </c>
      <c r="I66" s="21">
        <f>IFERROR(_xlfn.MAXIFS('Trade Log'!$L$4:$L$503,'Trade Log'!$B$4:$B$503,$A66),"")</f>
        <v/>
      </c>
      <c r="J66" s="21">
        <f>IFERROR(_xlfn.MINIFS('Trade Log'!$L$4:$L$503,'Trade Log'!$B$4:$B$503,$A66),"")</f>
        <v/>
      </c>
    </row>
    <row r="67">
      <c r="A67" s="27" t="inlineStr">
        <is>
          <t>NPST</t>
        </is>
      </c>
      <c r="B67" s="20">
        <f>COUNTIF('Trade Log'!$B$4:$B$503,$A67)</f>
        <v/>
      </c>
      <c r="C67" s="20">
        <f>COUNTIFS('Trade Log'!$B$4:$B$503,$A67,'Trade Log'!$L$4:$L$503,"&gt;0")</f>
        <v/>
      </c>
      <c r="D67" s="20">
        <f>COUNTIFS('Trade Log'!$B$4:$B$503,$A67,'Trade Log'!$L$4:$L$503,"&lt;0")</f>
        <v/>
      </c>
      <c r="E67" s="22">
        <f>IFERROR($C67/$B67,"")</f>
        <v/>
      </c>
      <c r="F67" s="21">
        <f>SUMIF('Trade Log'!$B$4:$B$503,$A67,'Trade Log'!$I$4:$I$503)</f>
        <v/>
      </c>
      <c r="G67" s="21">
        <f>SUMIF('Trade Log'!$B$4:$B$503,$A67,'Trade Log'!$L$4:$L$503)</f>
        <v/>
      </c>
      <c r="H67" s="21">
        <f>IFERROR($G67/$B67,"")</f>
        <v/>
      </c>
      <c r="I67" s="21">
        <f>IFERROR(_xlfn.MAXIFS('Trade Log'!$L$4:$L$503,'Trade Log'!$B$4:$B$503,$A67),"")</f>
        <v/>
      </c>
      <c r="J67" s="21">
        <f>IFERROR(_xlfn.MINIFS('Trade Log'!$L$4:$L$503,'Trade Log'!$B$4:$B$503,$A67),"")</f>
        <v/>
      </c>
    </row>
    <row r="68">
      <c r="A68" s="27" t="inlineStr">
        <is>
          <t>NRBBEARING</t>
        </is>
      </c>
      <c r="B68" s="20">
        <f>COUNTIF('Trade Log'!$B$4:$B$503,$A68)</f>
        <v/>
      </c>
      <c r="C68" s="20">
        <f>COUNTIFS('Trade Log'!$B$4:$B$503,$A68,'Trade Log'!$L$4:$L$503,"&gt;0")</f>
        <v/>
      </c>
      <c r="D68" s="20">
        <f>COUNTIFS('Trade Log'!$B$4:$B$503,$A68,'Trade Log'!$L$4:$L$503,"&lt;0")</f>
        <v/>
      </c>
      <c r="E68" s="22">
        <f>IFERROR($C68/$B68,"")</f>
        <v/>
      </c>
      <c r="F68" s="21">
        <f>SUMIF('Trade Log'!$B$4:$B$503,$A68,'Trade Log'!$I$4:$I$503)</f>
        <v/>
      </c>
      <c r="G68" s="21">
        <f>SUMIF('Trade Log'!$B$4:$B$503,$A68,'Trade Log'!$L$4:$L$503)</f>
        <v/>
      </c>
      <c r="H68" s="21">
        <f>IFERROR($G68/$B68,"")</f>
        <v/>
      </c>
      <c r="I68" s="21">
        <f>IFERROR(_xlfn.MAXIFS('Trade Log'!$L$4:$L$503,'Trade Log'!$B$4:$B$503,$A68),"")</f>
        <v/>
      </c>
      <c r="J68" s="21">
        <f>IFERROR(_xlfn.MINIFS('Trade Log'!$L$4:$L$503,'Trade Log'!$B$4:$B$503,$A68),"")</f>
        <v/>
      </c>
    </row>
    <row r="69">
      <c r="A69" s="27" t="inlineStr">
        <is>
          <t>OMAXE</t>
        </is>
      </c>
      <c r="B69" s="20">
        <f>COUNTIF('Trade Log'!$B$4:$B$503,$A69)</f>
        <v/>
      </c>
      <c r="C69" s="20">
        <f>COUNTIFS('Trade Log'!$B$4:$B$503,$A69,'Trade Log'!$L$4:$L$503,"&gt;0")</f>
        <v/>
      </c>
      <c r="D69" s="20">
        <f>COUNTIFS('Trade Log'!$B$4:$B$503,$A69,'Trade Log'!$L$4:$L$503,"&lt;0")</f>
        <v/>
      </c>
      <c r="E69" s="22">
        <f>IFERROR($C69/$B69,"")</f>
        <v/>
      </c>
      <c r="F69" s="21">
        <f>SUMIF('Trade Log'!$B$4:$B$503,$A69,'Trade Log'!$I$4:$I$503)</f>
        <v/>
      </c>
      <c r="G69" s="21">
        <f>SUMIF('Trade Log'!$B$4:$B$503,$A69,'Trade Log'!$L$4:$L$503)</f>
        <v/>
      </c>
      <c r="H69" s="21">
        <f>IFERROR($G69/$B69,"")</f>
        <v/>
      </c>
      <c r="I69" s="21">
        <f>IFERROR(_xlfn.MAXIFS('Trade Log'!$L$4:$L$503,'Trade Log'!$B$4:$B$503,$A69),"")</f>
        <v/>
      </c>
      <c r="J69" s="21">
        <f>IFERROR(_xlfn.MINIFS('Trade Log'!$L$4:$L$503,'Trade Log'!$B$4:$B$503,$A69),"")</f>
        <v/>
      </c>
    </row>
    <row r="70">
      <c r="A70" s="27" t="inlineStr">
        <is>
          <t>ONEPOINT</t>
        </is>
      </c>
      <c r="B70" s="20">
        <f>COUNTIF('Trade Log'!$B$4:$B$503,$A70)</f>
        <v/>
      </c>
      <c r="C70" s="20">
        <f>COUNTIFS('Trade Log'!$B$4:$B$503,$A70,'Trade Log'!$L$4:$L$503,"&gt;0")</f>
        <v/>
      </c>
      <c r="D70" s="20">
        <f>COUNTIFS('Trade Log'!$B$4:$B$503,$A70,'Trade Log'!$L$4:$L$503,"&lt;0")</f>
        <v/>
      </c>
      <c r="E70" s="22">
        <f>IFERROR($C70/$B70,"")</f>
        <v/>
      </c>
      <c r="F70" s="21">
        <f>SUMIF('Trade Log'!$B$4:$B$503,$A70,'Trade Log'!$I$4:$I$503)</f>
        <v/>
      </c>
      <c r="G70" s="21">
        <f>SUMIF('Trade Log'!$B$4:$B$503,$A70,'Trade Log'!$L$4:$L$503)</f>
        <v/>
      </c>
      <c r="H70" s="21">
        <f>IFERROR($G70/$B70,"")</f>
        <v/>
      </c>
      <c r="I70" s="21">
        <f>IFERROR(_xlfn.MAXIFS('Trade Log'!$L$4:$L$503,'Trade Log'!$B$4:$B$503,$A70),"")</f>
        <v/>
      </c>
      <c r="J70" s="21">
        <f>IFERROR(_xlfn.MINIFS('Trade Log'!$L$4:$L$503,'Trade Log'!$B$4:$B$503,$A70),"")</f>
        <v/>
      </c>
    </row>
    <row r="71">
      <c r="A71" s="27" t="inlineStr">
        <is>
          <t>OPTIEMUS</t>
        </is>
      </c>
      <c r="B71" s="20">
        <f>COUNTIF('Trade Log'!$B$4:$B$503,$A71)</f>
        <v/>
      </c>
      <c r="C71" s="20">
        <f>COUNTIFS('Trade Log'!$B$4:$B$503,$A71,'Trade Log'!$L$4:$L$503,"&gt;0")</f>
        <v/>
      </c>
      <c r="D71" s="20">
        <f>COUNTIFS('Trade Log'!$B$4:$B$503,$A71,'Trade Log'!$L$4:$L$503,"&lt;0")</f>
        <v/>
      </c>
      <c r="E71" s="22">
        <f>IFERROR($C71/$B71,"")</f>
        <v/>
      </c>
      <c r="F71" s="21">
        <f>SUMIF('Trade Log'!$B$4:$B$503,$A71,'Trade Log'!$I$4:$I$503)</f>
        <v/>
      </c>
      <c r="G71" s="21">
        <f>SUMIF('Trade Log'!$B$4:$B$503,$A71,'Trade Log'!$L$4:$L$503)</f>
        <v/>
      </c>
      <c r="H71" s="21">
        <f>IFERROR($G71/$B71,"")</f>
        <v/>
      </c>
      <c r="I71" s="21">
        <f>IFERROR(_xlfn.MAXIFS('Trade Log'!$L$4:$L$503,'Trade Log'!$B$4:$B$503,$A71),"")</f>
        <v/>
      </c>
      <c r="J71" s="21">
        <f>IFERROR(_xlfn.MINIFS('Trade Log'!$L$4:$L$503,'Trade Log'!$B$4:$B$503,$A71),"")</f>
        <v/>
      </c>
    </row>
    <row r="72">
      <c r="A72" s="27" t="inlineStr">
        <is>
          <t>ORIENTHOT</t>
        </is>
      </c>
      <c r="B72" s="20">
        <f>COUNTIF('Trade Log'!$B$4:$B$503,$A72)</f>
        <v/>
      </c>
      <c r="C72" s="20">
        <f>COUNTIFS('Trade Log'!$B$4:$B$503,$A72,'Trade Log'!$L$4:$L$503,"&gt;0")</f>
        <v/>
      </c>
      <c r="D72" s="20">
        <f>COUNTIFS('Trade Log'!$B$4:$B$503,$A72,'Trade Log'!$L$4:$L$503,"&lt;0")</f>
        <v/>
      </c>
      <c r="E72" s="22">
        <f>IFERROR($C72/$B72,"")</f>
        <v/>
      </c>
      <c r="F72" s="21">
        <f>SUMIF('Trade Log'!$B$4:$B$503,$A72,'Trade Log'!$I$4:$I$503)</f>
        <v/>
      </c>
      <c r="G72" s="21">
        <f>SUMIF('Trade Log'!$B$4:$B$503,$A72,'Trade Log'!$L$4:$L$503)</f>
        <v/>
      </c>
      <c r="H72" s="21">
        <f>IFERROR($G72/$B72,"")</f>
        <v/>
      </c>
      <c r="I72" s="21">
        <f>IFERROR(_xlfn.MAXIFS('Trade Log'!$L$4:$L$503,'Trade Log'!$B$4:$B$503,$A72),"")</f>
        <v/>
      </c>
      <c r="J72" s="21">
        <f>IFERROR(_xlfn.MINIFS('Trade Log'!$L$4:$L$503,'Trade Log'!$B$4:$B$503,$A72),"")</f>
        <v/>
      </c>
    </row>
    <row r="73">
      <c r="A73" s="27" t="inlineStr">
        <is>
          <t>PACEDIGITK</t>
        </is>
      </c>
      <c r="B73" s="20">
        <f>COUNTIF('Trade Log'!$B$4:$B$503,$A73)</f>
        <v/>
      </c>
      <c r="C73" s="20">
        <f>COUNTIFS('Trade Log'!$B$4:$B$503,$A73,'Trade Log'!$L$4:$L$503,"&gt;0")</f>
        <v/>
      </c>
      <c r="D73" s="20">
        <f>COUNTIFS('Trade Log'!$B$4:$B$503,$A73,'Trade Log'!$L$4:$L$503,"&lt;0")</f>
        <v/>
      </c>
      <c r="E73" s="22">
        <f>IFERROR($C73/$B73,"")</f>
        <v/>
      </c>
      <c r="F73" s="21">
        <f>SUMIF('Trade Log'!$B$4:$B$503,$A73,'Trade Log'!$I$4:$I$503)</f>
        <v/>
      </c>
      <c r="G73" s="21">
        <f>SUMIF('Trade Log'!$B$4:$B$503,$A73,'Trade Log'!$L$4:$L$503)</f>
        <v/>
      </c>
      <c r="H73" s="21">
        <f>IFERROR($G73/$B73,"")</f>
        <v/>
      </c>
      <c r="I73" s="21">
        <f>IFERROR(_xlfn.MAXIFS('Trade Log'!$L$4:$L$503,'Trade Log'!$B$4:$B$503,$A73),"")</f>
        <v/>
      </c>
      <c r="J73" s="21">
        <f>IFERROR(_xlfn.MINIFS('Trade Log'!$L$4:$L$503,'Trade Log'!$B$4:$B$503,$A73),"")</f>
        <v/>
      </c>
    </row>
    <row r="74">
      <c r="A74" s="27" t="inlineStr">
        <is>
          <t>PITTIENG</t>
        </is>
      </c>
      <c r="B74" s="20">
        <f>COUNTIF('Trade Log'!$B$4:$B$503,$A74)</f>
        <v/>
      </c>
      <c r="C74" s="20">
        <f>COUNTIFS('Trade Log'!$B$4:$B$503,$A74,'Trade Log'!$L$4:$L$503,"&gt;0")</f>
        <v/>
      </c>
      <c r="D74" s="20">
        <f>COUNTIFS('Trade Log'!$B$4:$B$503,$A74,'Trade Log'!$L$4:$L$503,"&lt;0")</f>
        <v/>
      </c>
      <c r="E74" s="22">
        <f>IFERROR($C74/$B74,"")</f>
        <v/>
      </c>
      <c r="F74" s="21">
        <f>SUMIF('Trade Log'!$B$4:$B$503,$A74,'Trade Log'!$I$4:$I$503)</f>
        <v/>
      </c>
      <c r="G74" s="21">
        <f>SUMIF('Trade Log'!$B$4:$B$503,$A74,'Trade Log'!$L$4:$L$503)</f>
        <v/>
      </c>
      <c r="H74" s="21">
        <f>IFERROR($G74/$B74,"")</f>
        <v/>
      </c>
      <c r="I74" s="21">
        <f>IFERROR(_xlfn.MAXIFS('Trade Log'!$L$4:$L$503,'Trade Log'!$B$4:$B$503,$A74),"")</f>
        <v/>
      </c>
      <c r="J74" s="21">
        <f>IFERROR(_xlfn.MINIFS('Trade Log'!$L$4:$L$503,'Trade Log'!$B$4:$B$503,$A74),"")</f>
        <v/>
      </c>
    </row>
    <row r="75">
      <c r="A75" s="27" t="inlineStr">
        <is>
          <t>PROTEAN</t>
        </is>
      </c>
      <c r="B75" s="20">
        <f>COUNTIF('Trade Log'!$B$4:$B$503,$A75)</f>
        <v/>
      </c>
      <c r="C75" s="20">
        <f>COUNTIFS('Trade Log'!$B$4:$B$503,$A75,'Trade Log'!$L$4:$L$503,"&gt;0")</f>
        <v/>
      </c>
      <c r="D75" s="20">
        <f>COUNTIFS('Trade Log'!$B$4:$B$503,$A75,'Trade Log'!$L$4:$L$503,"&lt;0")</f>
        <v/>
      </c>
      <c r="E75" s="22">
        <f>IFERROR($C75/$B75,"")</f>
        <v/>
      </c>
      <c r="F75" s="21">
        <f>SUMIF('Trade Log'!$B$4:$B$503,$A75,'Trade Log'!$I$4:$I$503)</f>
        <v/>
      </c>
      <c r="G75" s="21">
        <f>SUMIF('Trade Log'!$B$4:$B$503,$A75,'Trade Log'!$L$4:$L$503)</f>
        <v/>
      </c>
      <c r="H75" s="21">
        <f>IFERROR($G75/$B75,"")</f>
        <v/>
      </c>
      <c r="I75" s="21">
        <f>IFERROR(_xlfn.MAXIFS('Trade Log'!$L$4:$L$503,'Trade Log'!$B$4:$B$503,$A75),"")</f>
        <v/>
      </c>
      <c r="J75" s="21">
        <f>IFERROR(_xlfn.MINIFS('Trade Log'!$L$4:$L$503,'Trade Log'!$B$4:$B$503,$A75),"")</f>
        <v/>
      </c>
    </row>
    <row r="76">
      <c r="A76" s="27" t="inlineStr">
        <is>
          <t>QUADFUTURE</t>
        </is>
      </c>
      <c r="B76" s="20">
        <f>COUNTIF('Trade Log'!$B$4:$B$503,$A76)</f>
        <v/>
      </c>
      <c r="C76" s="20">
        <f>COUNTIFS('Trade Log'!$B$4:$B$503,$A76,'Trade Log'!$L$4:$L$503,"&gt;0")</f>
        <v/>
      </c>
      <c r="D76" s="20">
        <f>COUNTIFS('Trade Log'!$B$4:$B$503,$A76,'Trade Log'!$L$4:$L$503,"&lt;0")</f>
        <v/>
      </c>
      <c r="E76" s="22">
        <f>IFERROR($C76/$B76,"")</f>
        <v/>
      </c>
      <c r="F76" s="21">
        <f>SUMIF('Trade Log'!$B$4:$B$503,$A76,'Trade Log'!$I$4:$I$503)</f>
        <v/>
      </c>
      <c r="G76" s="21">
        <f>SUMIF('Trade Log'!$B$4:$B$503,$A76,'Trade Log'!$L$4:$L$503)</f>
        <v/>
      </c>
      <c r="H76" s="21">
        <f>IFERROR($G76/$B76,"")</f>
        <v/>
      </c>
      <c r="I76" s="21">
        <f>IFERROR(_xlfn.MAXIFS('Trade Log'!$L$4:$L$503,'Trade Log'!$B$4:$B$503,$A76),"")</f>
        <v/>
      </c>
      <c r="J76" s="21">
        <f>IFERROR(_xlfn.MINIFS('Trade Log'!$L$4:$L$503,'Trade Log'!$B$4:$B$503,$A76),"")</f>
        <v/>
      </c>
    </row>
    <row r="77">
      <c r="A77" s="27" t="inlineStr">
        <is>
          <t>RACLGEAR</t>
        </is>
      </c>
      <c r="B77" s="20">
        <f>COUNTIF('Trade Log'!$B$4:$B$503,$A77)</f>
        <v/>
      </c>
      <c r="C77" s="20">
        <f>COUNTIFS('Trade Log'!$B$4:$B$503,$A77,'Trade Log'!$L$4:$L$503,"&gt;0")</f>
        <v/>
      </c>
      <c r="D77" s="20">
        <f>COUNTIFS('Trade Log'!$B$4:$B$503,$A77,'Trade Log'!$L$4:$L$503,"&lt;0")</f>
        <v/>
      </c>
      <c r="E77" s="22">
        <f>IFERROR($C77/$B77,"")</f>
        <v/>
      </c>
      <c r="F77" s="21">
        <f>SUMIF('Trade Log'!$B$4:$B$503,$A77,'Trade Log'!$I$4:$I$503)</f>
        <v/>
      </c>
      <c r="G77" s="21">
        <f>SUMIF('Trade Log'!$B$4:$B$503,$A77,'Trade Log'!$L$4:$L$503)</f>
        <v/>
      </c>
      <c r="H77" s="21">
        <f>IFERROR($G77/$B77,"")</f>
        <v/>
      </c>
      <c r="I77" s="21">
        <f>IFERROR(_xlfn.MAXIFS('Trade Log'!$L$4:$L$503,'Trade Log'!$B$4:$B$503,$A77),"")</f>
        <v/>
      </c>
      <c r="J77" s="21">
        <f>IFERROR(_xlfn.MINIFS('Trade Log'!$L$4:$L$503,'Trade Log'!$B$4:$B$503,$A77),"")</f>
        <v/>
      </c>
    </row>
    <row r="78">
      <c r="A78" s="27" t="inlineStr">
        <is>
          <t>RAMRAT</t>
        </is>
      </c>
      <c r="B78" s="20">
        <f>COUNTIF('Trade Log'!$B$4:$B$503,$A78)</f>
        <v/>
      </c>
      <c r="C78" s="20">
        <f>COUNTIFS('Trade Log'!$B$4:$B$503,$A78,'Trade Log'!$L$4:$L$503,"&gt;0")</f>
        <v/>
      </c>
      <c r="D78" s="20">
        <f>COUNTIFS('Trade Log'!$B$4:$B$503,$A78,'Trade Log'!$L$4:$L$503,"&lt;0")</f>
        <v/>
      </c>
      <c r="E78" s="22">
        <f>IFERROR($C78/$B78,"")</f>
        <v/>
      </c>
      <c r="F78" s="21">
        <f>SUMIF('Trade Log'!$B$4:$B$503,$A78,'Trade Log'!$I$4:$I$503)</f>
        <v/>
      </c>
      <c r="G78" s="21">
        <f>SUMIF('Trade Log'!$B$4:$B$503,$A78,'Trade Log'!$L$4:$L$503)</f>
        <v/>
      </c>
      <c r="H78" s="21">
        <f>IFERROR($G78/$B78,"")</f>
        <v/>
      </c>
      <c r="I78" s="21">
        <f>IFERROR(_xlfn.MAXIFS('Trade Log'!$L$4:$L$503,'Trade Log'!$B$4:$B$503,$A78),"")</f>
        <v/>
      </c>
      <c r="J78" s="21">
        <f>IFERROR(_xlfn.MINIFS('Trade Log'!$L$4:$L$503,'Trade Log'!$B$4:$B$503,$A78),"")</f>
        <v/>
      </c>
    </row>
    <row r="79">
      <c r="A79" s="27" t="inlineStr">
        <is>
          <t>RAYMOND</t>
        </is>
      </c>
      <c r="B79" s="20">
        <f>COUNTIF('Trade Log'!$B$4:$B$503,$A79)</f>
        <v/>
      </c>
      <c r="C79" s="20">
        <f>COUNTIFS('Trade Log'!$B$4:$B$503,$A79,'Trade Log'!$L$4:$L$503,"&gt;0")</f>
        <v/>
      </c>
      <c r="D79" s="20">
        <f>COUNTIFS('Trade Log'!$B$4:$B$503,$A79,'Trade Log'!$L$4:$L$503,"&lt;0")</f>
        <v/>
      </c>
      <c r="E79" s="22">
        <f>IFERROR($C79/$B79,"")</f>
        <v/>
      </c>
      <c r="F79" s="21">
        <f>SUMIF('Trade Log'!$B$4:$B$503,$A79,'Trade Log'!$I$4:$I$503)</f>
        <v/>
      </c>
      <c r="G79" s="21">
        <f>SUMIF('Trade Log'!$B$4:$B$503,$A79,'Trade Log'!$L$4:$L$503)</f>
        <v/>
      </c>
      <c r="H79" s="21">
        <f>IFERROR($G79/$B79,"")</f>
        <v/>
      </c>
      <c r="I79" s="21">
        <f>IFERROR(_xlfn.MAXIFS('Trade Log'!$L$4:$L$503,'Trade Log'!$B$4:$B$503,$A79),"")</f>
        <v/>
      </c>
      <c r="J79" s="21">
        <f>IFERROR(_xlfn.MINIFS('Trade Log'!$L$4:$L$503,'Trade Log'!$B$4:$B$503,$A79),"")</f>
        <v/>
      </c>
    </row>
    <row r="80">
      <c r="A80" s="27" t="inlineStr">
        <is>
          <t>RAYMONDREL</t>
        </is>
      </c>
      <c r="B80" s="20">
        <f>COUNTIF('Trade Log'!$B$4:$B$503,$A80)</f>
        <v/>
      </c>
      <c r="C80" s="20">
        <f>COUNTIFS('Trade Log'!$B$4:$B$503,$A80,'Trade Log'!$L$4:$L$503,"&gt;0")</f>
        <v/>
      </c>
      <c r="D80" s="20">
        <f>COUNTIFS('Trade Log'!$B$4:$B$503,$A80,'Trade Log'!$L$4:$L$503,"&lt;0")</f>
        <v/>
      </c>
      <c r="E80" s="22">
        <f>IFERROR($C80/$B80,"")</f>
        <v/>
      </c>
      <c r="F80" s="21">
        <f>SUMIF('Trade Log'!$B$4:$B$503,$A80,'Trade Log'!$I$4:$I$503)</f>
        <v/>
      </c>
      <c r="G80" s="21">
        <f>SUMIF('Trade Log'!$B$4:$B$503,$A80,'Trade Log'!$L$4:$L$503)</f>
        <v/>
      </c>
      <c r="H80" s="21">
        <f>IFERROR($G80/$B80,"")</f>
        <v/>
      </c>
      <c r="I80" s="21">
        <f>IFERROR(_xlfn.MAXIFS('Trade Log'!$L$4:$L$503,'Trade Log'!$B$4:$B$503,$A80),"")</f>
        <v/>
      </c>
      <c r="J80" s="21">
        <f>IFERROR(_xlfn.MINIFS('Trade Log'!$L$4:$L$503,'Trade Log'!$B$4:$B$503,$A80),"")</f>
        <v/>
      </c>
    </row>
    <row r="81">
      <c r="A81" s="27" t="inlineStr">
        <is>
          <t>REFEX</t>
        </is>
      </c>
      <c r="B81" s="20">
        <f>COUNTIF('Trade Log'!$B$4:$B$503,$A81)</f>
        <v/>
      </c>
      <c r="C81" s="20">
        <f>COUNTIFS('Trade Log'!$B$4:$B$503,$A81,'Trade Log'!$L$4:$L$503,"&gt;0")</f>
        <v/>
      </c>
      <c r="D81" s="20">
        <f>COUNTIFS('Trade Log'!$B$4:$B$503,$A81,'Trade Log'!$L$4:$L$503,"&lt;0")</f>
        <v/>
      </c>
      <c r="E81" s="22">
        <f>IFERROR($C81/$B81,"")</f>
        <v/>
      </c>
      <c r="F81" s="21">
        <f>SUMIF('Trade Log'!$B$4:$B$503,$A81,'Trade Log'!$I$4:$I$503)</f>
        <v/>
      </c>
      <c r="G81" s="21">
        <f>SUMIF('Trade Log'!$B$4:$B$503,$A81,'Trade Log'!$L$4:$L$503)</f>
        <v/>
      </c>
      <c r="H81" s="21">
        <f>IFERROR($G81/$B81,"")</f>
        <v/>
      </c>
      <c r="I81" s="21">
        <f>IFERROR(_xlfn.MAXIFS('Trade Log'!$L$4:$L$503,'Trade Log'!$B$4:$B$503,$A81),"")</f>
        <v/>
      </c>
      <c r="J81" s="21">
        <f>IFERROR(_xlfn.MINIFS('Trade Log'!$L$4:$L$503,'Trade Log'!$B$4:$B$503,$A81),"")</f>
        <v/>
      </c>
    </row>
    <row r="82">
      <c r="A82" s="27" t="inlineStr">
        <is>
          <t>RESPONIND</t>
        </is>
      </c>
      <c r="B82" s="20">
        <f>COUNTIF('Trade Log'!$B$4:$B$503,$A82)</f>
        <v/>
      </c>
      <c r="C82" s="20">
        <f>COUNTIFS('Trade Log'!$B$4:$B$503,$A82,'Trade Log'!$L$4:$L$503,"&gt;0")</f>
        <v/>
      </c>
      <c r="D82" s="20">
        <f>COUNTIFS('Trade Log'!$B$4:$B$503,$A82,'Trade Log'!$L$4:$L$503,"&lt;0")</f>
        <v/>
      </c>
      <c r="E82" s="22">
        <f>IFERROR($C82/$B82,"")</f>
        <v/>
      </c>
      <c r="F82" s="21">
        <f>SUMIF('Trade Log'!$B$4:$B$503,$A82,'Trade Log'!$I$4:$I$503)</f>
        <v/>
      </c>
      <c r="G82" s="21">
        <f>SUMIF('Trade Log'!$B$4:$B$503,$A82,'Trade Log'!$L$4:$L$503)</f>
        <v/>
      </c>
      <c r="H82" s="21">
        <f>IFERROR($G82/$B82,"")</f>
        <v/>
      </c>
      <c r="I82" s="21">
        <f>IFERROR(_xlfn.MAXIFS('Trade Log'!$L$4:$L$503,'Trade Log'!$B$4:$B$503,$A82),"")</f>
        <v/>
      </c>
      <c r="J82" s="21">
        <f>IFERROR(_xlfn.MINIFS('Trade Log'!$L$4:$L$503,'Trade Log'!$B$4:$B$503,$A82),"")</f>
        <v/>
      </c>
    </row>
    <row r="83">
      <c r="A83" s="27" t="inlineStr">
        <is>
          <t>RML</t>
        </is>
      </c>
      <c r="B83" s="20">
        <f>COUNTIF('Trade Log'!$B$4:$B$503,$A83)</f>
        <v/>
      </c>
      <c r="C83" s="20">
        <f>COUNTIFS('Trade Log'!$B$4:$B$503,$A83,'Trade Log'!$L$4:$L$503,"&gt;0")</f>
        <v/>
      </c>
      <c r="D83" s="20">
        <f>COUNTIFS('Trade Log'!$B$4:$B$503,$A83,'Trade Log'!$L$4:$L$503,"&lt;0")</f>
        <v/>
      </c>
      <c r="E83" s="22">
        <f>IFERROR($C83/$B83,"")</f>
        <v/>
      </c>
      <c r="F83" s="21">
        <f>SUMIF('Trade Log'!$B$4:$B$503,$A83,'Trade Log'!$I$4:$I$503)</f>
        <v/>
      </c>
      <c r="G83" s="21">
        <f>SUMIF('Trade Log'!$B$4:$B$503,$A83,'Trade Log'!$L$4:$L$503)</f>
        <v/>
      </c>
      <c r="H83" s="21">
        <f>IFERROR($G83/$B83,"")</f>
        <v/>
      </c>
      <c r="I83" s="21">
        <f>IFERROR(_xlfn.MAXIFS('Trade Log'!$L$4:$L$503,'Trade Log'!$B$4:$B$503,$A83),"")</f>
        <v/>
      </c>
      <c r="J83" s="21">
        <f>IFERROR(_xlfn.MINIFS('Trade Log'!$L$4:$L$503,'Trade Log'!$B$4:$B$503,$A83),"")</f>
        <v/>
      </c>
    </row>
    <row r="84">
      <c r="A84" s="27" t="inlineStr">
        <is>
          <t>ROSSTECH</t>
        </is>
      </c>
      <c r="B84" s="20">
        <f>COUNTIF('Trade Log'!$B$4:$B$503,$A84)</f>
        <v/>
      </c>
      <c r="C84" s="20">
        <f>COUNTIFS('Trade Log'!$B$4:$B$503,$A84,'Trade Log'!$L$4:$L$503,"&gt;0")</f>
        <v/>
      </c>
      <c r="D84" s="20">
        <f>COUNTIFS('Trade Log'!$B$4:$B$503,$A84,'Trade Log'!$L$4:$L$503,"&lt;0")</f>
        <v/>
      </c>
      <c r="E84" s="22">
        <f>IFERROR($C84/$B84,"")</f>
        <v/>
      </c>
      <c r="F84" s="21">
        <f>SUMIF('Trade Log'!$B$4:$B$503,$A84,'Trade Log'!$I$4:$I$503)</f>
        <v/>
      </c>
      <c r="G84" s="21">
        <f>SUMIF('Trade Log'!$B$4:$B$503,$A84,'Trade Log'!$L$4:$L$503)</f>
        <v/>
      </c>
      <c r="H84" s="21">
        <f>IFERROR($G84/$B84,"")</f>
        <v/>
      </c>
      <c r="I84" s="21">
        <f>IFERROR(_xlfn.MAXIFS('Trade Log'!$L$4:$L$503,'Trade Log'!$B$4:$B$503,$A84),"")</f>
        <v/>
      </c>
      <c r="J84" s="21">
        <f>IFERROR(_xlfn.MINIFS('Trade Log'!$L$4:$L$503,'Trade Log'!$B$4:$B$503,$A84),"")</f>
        <v/>
      </c>
    </row>
    <row r="85">
      <c r="A85" s="27" t="inlineStr">
        <is>
          <t>RPGLIFE</t>
        </is>
      </c>
      <c r="B85" s="20">
        <f>COUNTIF('Trade Log'!$B$4:$B$503,$A85)</f>
        <v/>
      </c>
      <c r="C85" s="20">
        <f>COUNTIFS('Trade Log'!$B$4:$B$503,$A85,'Trade Log'!$L$4:$L$503,"&gt;0")</f>
        <v/>
      </c>
      <c r="D85" s="20">
        <f>COUNTIFS('Trade Log'!$B$4:$B$503,$A85,'Trade Log'!$L$4:$L$503,"&lt;0")</f>
        <v/>
      </c>
      <c r="E85" s="22">
        <f>IFERROR($C85/$B85,"")</f>
        <v/>
      </c>
      <c r="F85" s="21">
        <f>SUMIF('Trade Log'!$B$4:$B$503,$A85,'Trade Log'!$I$4:$I$503)</f>
        <v/>
      </c>
      <c r="G85" s="21">
        <f>SUMIF('Trade Log'!$B$4:$B$503,$A85,'Trade Log'!$L$4:$L$503)</f>
        <v/>
      </c>
      <c r="H85" s="21">
        <f>IFERROR($G85/$B85,"")</f>
        <v/>
      </c>
      <c r="I85" s="21">
        <f>IFERROR(_xlfn.MAXIFS('Trade Log'!$L$4:$L$503,'Trade Log'!$B$4:$B$503,$A85),"")</f>
        <v/>
      </c>
      <c r="J85" s="21">
        <f>IFERROR(_xlfn.MINIFS('Trade Log'!$L$4:$L$503,'Trade Log'!$B$4:$B$503,$A85),"")</f>
        <v/>
      </c>
    </row>
    <row r="86">
      <c r="A86" s="27" t="inlineStr">
        <is>
          <t>RSYSTEMS</t>
        </is>
      </c>
      <c r="B86" s="20">
        <f>COUNTIF('Trade Log'!$B$4:$B$503,$A86)</f>
        <v/>
      </c>
      <c r="C86" s="20">
        <f>COUNTIFS('Trade Log'!$B$4:$B$503,$A86,'Trade Log'!$L$4:$L$503,"&gt;0")</f>
        <v/>
      </c>
      <c r="D86" s="20">
        <f>COUNTIFS('Trade Log'!$B$4:$B$503,$A86,'Trade Log'!$L$4:$L$503,"&lt;0")</f>
        <v/>
      </c>
      <c r="E86" s="22">
        <f>IFERROR($C86/$B86,"")</f>
        <v/>
      </c>
      <c r="F86" s="21">
        <f>SUMIF('Trade Log'!$B$4:$B$503,$A86,'Trade Log'!$I$4:$I$503)</f>
        <v/>
      </c>
      <c r="G86" s="21">
        <f>SUMIF('Trade Log'!$B$4:$B$503,$A86,'Trade Log'!$L$4:$L$503)</f>
        <v/>
      </c>
      <c r="H86" s="21">
        <f>IFERROR($G86/$B86,"")</f>
        <v/>
      </c>
      <c r="I86" s="21">
        <f>IFERROR(_xlfn.MAXIFS('Trade Log'!$L$4:$L$503,'Trade Log'!$B$4:$B$503,$A86),"")</f>
        <v/>
      </c>
      <c r="J86" s="21">
        <f>IFERROR(_xlfn.MINIFS('Trade Log'!$L$4:$L$503,'Trade Log'!$B$4:$B$503,$A86),"")</f>
        <v/>
      </c>
    </row>
    <row r="87">
      <c r="A87" s="27" t="inlineStr">
        <is>
          <t>SAATVIKGL</t>
        </is>
      </c>
      <c r="B87" s="20">
        <f>COUNTIF('Trade Log'!$B$4:$B$503,$A87)</f>
        <v/>
      </c>
      <c r="C87" s="20">
        <f>COUNTIFS('Trade Log'!$B$4:$B$503,$A87,'Trade Log'!$L$4:$L$503,"&gt;0")</f>
        <v/>
      </c>
      <c r="D87" s="20">
        <f>COUNTIFS('Trade Log'!$B$4:$B$503,$A87,'Trade Log'!$L$4:$L$503,"&lt;0")</f>
        <v/>
      </c>
      <c r="E87" s="22">
        <f>IFERROR($C87/$B87,"")</f>
        <v/>
      </c>
      <c r="F87" s="21">
        <f>SUMIF('Trade Log'!$B$4:$B$503,$A87,'Trade Log'!$I$4:$I$503)</f>
        <v/>
      </c>
      <c r="G87" s="21">
        <f>SUMIF('Trade Log'!$B$4:$B$503,$A87,'Trade Log'!$L$4:$L$503)</f>
        <v/>
      </c>
      <c r="H87" s="21">
        <f>IFERROR($G87/$B87,"")</f>
        <v/>
      </c>
      <c r="I87" s="21">
        <f>IFERROR(_xlfn.MAXIFS('Trade Log'!$L$4:$L$503,'Trade Log'!$B$4:$B$503,$A87),"")</f>
        <v/>
      </c>
      <c r="J87" s="21">
        <f>IFERROR(_xlfn.MINIFS('Trade Log'!$L$4:$L$503,'Trade Log'!$B$4:$B$503,$A87),"")</f>
        <v/>
      </c>
    </row>
    <row r="88">
      <c r="A88" s="27" t="inlineStr">
        <is>
          <t>SAKAR</t>
        </is>
      </c>
      <c r="B88" s="20">
        <f>COUNTIF('Trade Log'!$B$4:$B$503,$A88)</f>
        <v/>
      </c>
      <c r="C88" s="20">
        <f>COUNTIFS('Trade Log'!$B$4:$B$503,$A88,'Trade Log'!$L$4:$L$503,"&gt;0")</f>
        <v/>
      </c>
      <c r="D88" s="20">
        <f>COUNTIFS('Trade Log'!$B$4:$B$503,$A88,'Trade Log'!$L$4:$L$503,"&lt;0")</f>
        <v/>
      </c>
      <c r="E88" s="22">
        <f>IFERROR($C88/$B88,"")</f>
        <v/>
      </c>
      <c r="F88" s="21">
        <f>SUMIF('Trade Log'!$B$4:$B$503,$A88,'Trade Log'!$I$4:$I$503)</f>
        <v/>
      </c>
      <c r="G88" s="21">
        <f>SUMIF('Trade Log'!$B$4:$B$503,$A88,'Trade Log'!$L$4:$L$503)</f>
        <v/>
      </c>
      <c r="H88" s="21">
        <f>IFERROR($G88/$B88,"")</f>
        <v/>
      </c>
      <c r="I88" s="21">
        <f>IFERROR(_xlfn.MAXIFS('Trade Log'!$L$4:$L$503,'Trade Log'!$B$4:$B$503,$A88),"")</f>
        <v/>
      </c>
      <c r="J88" s="21">
        <f>IFERROR(_xlfn.MINIFS('Trade Log'!$L$4:$L$503,'Trade Log'!$B$4:$B$503,$A88),"")</f>
        <v/>
      </c>
    </row>
    <row r="89">
      <c r="A89" s="27" t="inlineStr">
        <is>
          <t>SAMBHV</t>
        </is>
      </c>
      <c r="B89" s="20">
        <f>COUNTIF('Trade Log'!$B$4:$B$503,$A89)</f>
        <v/>
      </c>
      <c r="C89" s="20">
        <f>COUNTIFS('Trade Log'!$B$4:$B$503,$A89,'Trade Log'!$L$4:$L$503,"&gt;0")</f>
        <v/>
      </c>
      <c r="D89" s="20">
        <f>COUNTIFS('Trade Log'!$B$4:$B$503,$A89,'Trade Log'!$L$4:$L$503,"&lt;0")</f>
        <v/>
      </c>
      <c r="E89" s="22">
        <f>IFERROR($C89/$B89,"")</f>
        <v/>
      </c>
      <c r="F89" s="21">
        <f>SUMIF('Trade Log'!$B$4:$B$503,$A89,'Trade Log'!$I$4:$I$503)</f>
        <v/>
      </c>
      <c r="G89" s="21">
        <f>SUMIF('Trade Log'!$B$4:$B$503,$A89,'Trade Log'!$L$4:$L$503)</f>
        <v/>
      </c>
      <c r="H89" s="21">
        <f>IFERROR($G89/$B89,"")</f>
        <v/>
      </c>
      <c r="I89" s="21">
        <f>IFERROR(_xlfn.MAXIFS('Trade Log'!$L$4:$L$503,'Trade Log'!$B$4:$B$503,$A89),"")</f>
        <v/>
      </c>
      <c r="J89" s="21">
        <f>IFERROR(_xlfn.MINIFS('Trade Log'!$L$4:$L$503,'Trade Log'!$B$4:$B$503,$A89),"")</f>
        <v/>
      </c>
    </row>
    <row r="90">
      <c r="A90" s="27" t="inlineStr">
        <is>
          <t>SAMHI</t>
        </is>
      </c>
      <c r="B90" s="20">
        <f>COUNTIF('Trade Log'!$B$4:$B$503,$A90)</f>
        <v/>
      </c>
      <c r="C90" s="20">
        <f>COUNTIFS('Trade Log'!$B$4:$B$503,$A90,'Trade Log'!$L$4:$L$503,"&gt;0")</f>
        <v/>
      </c>
      <c r="D90" s="20">
        <f>COUNTIFS('Trade Log'!$B$4:$B$503,$A90,'Trade Log'!$L$4:$L$503,"&lt;0")</f>
        <v/>
      </c>
      <c r="E90" s="22">
        <f>IFERROR($C90/$B90,"")</f>
        <v/>
      </c>
      <c r="F90" s="21">
        <f>SUMIF('Trade Log'!$B$4:$B$503,$A90,'Trade Log'!$I$4:$I$503)</f>
        <v/>
      </c>
      <c r="G90" s="21">
        <f>SUMIF('Trade Log'!$B$4:$B$503,$A90,'Trade Log'!$L$4:$L$503)</f>
        <v/>
      </c>
      <c r="H90" s="21">
        <f>IFERROR($G90/$B90,"")</f>
        <v/>
      </c>
      <c r="I90" s="21">
        <f>IFERROR(_xlfn.MAXIFS('Trade Log'!$L$4:$L$503,'Trade Log'!$B$4:$B$503,$A90),"")</f>
        <v/>
      </c>
      <c r="J90" s="21">
        <f>IFERROR(_xlfn.MINIFS('Trade Log'!$L$4:$L$503,'Trade Log'!$B$4:$B$503,$A90),"")</f>
        <v/>
      </c>
    </row>
    <row r="91">
      <c r="A91" s="27" t="inlineStr">
        <is>
          <t>SANGAMIND</t>
        </is>
      </c>
      <c r="B91" s="20">
        <f>COUNTIF('Trade Log'!$B$4:$B$503,$A91)</f>
        <v/>
      </c>
      <c r="C91" s="20">
        <f>COUNTIFS('Trade Log'!$B$4:$B$503,$A91,'Trade Log'!$L$4:$L$503,"&gt;0")</f>
        <v/>
      </c>
      <c r="D91" s="20">
        <f>COUNTIFS('Trade Log'!$B$4:$B$503,$A91,'Trade Log'!$L$4:$L$503,"&lt;0")</f>
        <v/>
      </c>
      <c r="E91" s="22">
        <f>IFERROR($C91/$B91,"")</f>
        <v/>
      </c>
      <c r="F91" s="21">
        <f>SUMIF('Trade Log'!$B$4:$B$503,$A91,'Trade Log'!$I$4:$I$503)</f>
        <v/>
      </c>
      <c r="G91" s="21">
        <f>SUMIF('Trade Log'!$B$4:$B$503,$A91,'Trade Log'!$L$4:$L$503)</f>
        <v/>
      </c>
      <c r="H91" s="21">
        <f>IFERROR($G91/$B91,"")</f>
        <v/>
      </c>
      <c r="I91" s="21">
        <f>IFERROR(_xlfn.MAXIFS('Trade Log'!$L$4:$L$503,'Trade Log'!$B$4:$B$503,$A91),"")</f>
        <v/>
      </c>
      <c r="J91" s="21">
        <f>IFERROR(_xlfn.MINIFS('Trade Log'!$L$4:$L$503,'Trade Log'!$B$4:$B$503,$A91),"")</f>
        <v/>
      </c>
    </row>
    <row r="92">
      <c r="A92" s="27" t="inlineStr">
        <is>
          <t>SDBL</t>
        </is>
      </c>
      <c r="B92" s="20">
        <f>COUNTIF('Trade Log'!$B$4:$B$503,$A92)</f>
        <v/>
      </c>
      <c r="C92" s="20">
        <f>COUNTIFS('Trade Log'!$B$4:$B$503,$A92,'Trade Log'!$L$4:$L$503,"&gt;0")</f>
        <v/>
      </c>
      <c r="D92" s="20">
        <f>COUNTIFS('Trade Log'!$B$4:$B$503,$A92,'Trade Log'!$L$4:$L$503,"&lt;0")</f>
        <v/>
      </c>
      <c r="E92" s="22">
        <f>IFERROR($C92/$B92,"")</f>
        <v/>
      </c>
      <c r="F92" s="21">
        <f>SUMIF('Trade Log'!$B$4:$B$503,$A92,'Trade Log'!$I$4:$I$503)</f>
        <v/>
      </c>
      <c r="G92" s="21">
        <f>SUMIF('Trade Log'!$B$4:$B$503,$A92,'Trade Log'!$L$4:$L$503)</f>
        <v/>
      </c>
      <c r="H92" s="21">
        <f>IFERROR($G92/$B92,"")</f>
        <v/>
      </c>
      <c r="I92" s="21">
        <f>IFERROR(_xlfn.MAXIFS('Trade Log'!$L$4:$L$503,'Trade Log'!$B$4:$B$503,$A92),"")</f>
        <v/>
      </c>
      <c r="J92" s="21">
        <f>IFERROR(_xlfn.MINIFS('Trade Log'!$L$4:$L$503,'Trade Log'!$B$4:$B$503,$A92),"")</f>
        <v/>
      </c>
    </row>
    <row r="93">
      <c r="A93" s="27" t="inlineStr">
        <is>
          <t>SHANTIGOLD</t>
        </is>
      </c>
      <c r="B93" s="20">
        <f>COUNTIF('Trade Log'!$B$4:$B$503,$A93)</f>
        <v/>
      </c>
      <c r="C93" s="20">
        <f>COUNTIFS('Trade Log'!$B$4:$B$503,$A93,'Trade Log'!$L$4:$L$503,"&gt;0")</f>
        <v/>
      </c>
      <c r="D93" s="20">
        <f>COUNTIFS('Trade Log'!$B$4:$B$503,$A93,'Trade Log'!$L$4:$L$503,"&lt;0")</f>
        <v/>
      </c>
      <c r="E93" s="22">
        <f>IFERROR($C93/$B93,"")</f>
        <v/>
      </c>
      <c r="F93" s="21">
        <f>SUMIF('Trade Log'!$B$4:$B$503,$A93,'Trade Log'!$I$4:$I$503)</f>
        <v/>
      </c>
      <c r="G93" s="21">
        <f>SUMIF('Trade Log'!$B$4:$B$503,$A93,'Trade Log'!$L$4:$L$503)</f>
        <v/>
      </c>
      <c r="H93" s="21">
        <f>IFERROR($G93/$B93,"")</f>
        <v/>
      </c>
      <c r="I93" s="21">
        <f>IFERROR(_xlfn.MAXIFS('Trade Log'!$L$4:$L$503,'Trade Log'!$B$4:$B$503,$A93),"")</f>
        <v/>
      </c>
      <c r="J93" s="21">
        <f>IFERROR(_xlfn.MINIFS('Trade Log'!$L$4:$L$503,'Trade Log'!$B$4:$B$503,$A93),"")</f>
        <v/>
      </c>
    </row>
    <row r="94">
      <c r="A94" s="27" t="inlineStr">
        <is>
          <t>SHAREINDIA</t>
        </is>
      </c>
      <c r="B94" s="20">
        <f>COUNTIF('Trade Log'!$B$4:$B$503,$A94)</f>
        <v/>
      </c>
      <c r="C94" s="20">
        <f>COUNTIFS('Trade Log'!$B$4:$B$503,$A94,'Trade Log'!$L$4:$L$503,"&gt;0")</f>
        <v/>
      </c>
      <c r="D94" s="20">
        <f>COUNTIFS('Trade Log'!$B$4:$B$503,$A94,'Trade Log'!$L$4:$L$503,"&lt;0")</f>
        <v/>
      </c>
      <c r="E94" s="22">
        <f>IFERROR($C94/$B94,"")</f>
        <v/>
      </c>
      <c r="F94" s="21">
        <f>SUMIF('Trade Log'!$B$4:$B$503,$A94,'Trade Log'!$I$4:$I$503)</f>
        <v/>
      </c>
      <c r="G94" s="21">
        <f>SUMIF('Trade Log'!$B$4:$B$503,$A94,'Trade Log'!$L$4:$L$503)</f>
        <v/>
      </c>
      <c r="H94" s="21">
        <f>IFERROR($G94/$B94,"")</f>
        <v/>
      </c>
      <c r="I94" s="21">
        <f>IFERROR(_xlfn.MAXIFS('Trade Log'!$L$4:$L$503,'Trade Log'!$B$4:$B$503,$A94),"")</f>
        <v/>
      </c>
      <c r="J94" s="21">
        <f>IFERROR(_xlfn.MINIFS('Trade Log'!$L$4:$L$503,'Trade Log'!$B$4:$B$503,$A94),"")</f>
        <v/>
      </c>
    </row>
    <row r="95">
      <c r="A95" s="27" t="inlineStr">
        <is>
          <t>SHOPERSTOP</t>
        </is>
      </c>
      <c r="B95" s="20">
        <f>COUNTIF('Trade Log'!$B$4:$B$503,$A95)</f>
        <v/>
      </c>
      <c r="C95" s="20">
        <f>COUNTIFS('Trade Log'!$B$4:$B$503,$A95,'Trade Log'!$L$4:$L$503,"&gt;0")</f>
        <v/>
      </c>
      <c r="D95" s="20">
        <f>COUNTIFS('Trade Log'!$B$4:$B$503,$A95,'Trade Log'!$L$4:$L$503,"&lt;0")</f>
        <v/>
      </c>
      <c r="E95" s="22">
        <f>IFERROR($C95/$B95,"")</f>
        <v/>
      </c>
      <c r="F95" s="21">
        <f>SUMIF('Trade Log'!$B$4:$B$503,$A95,'Trade Log'!$I$4:$I$503)</f>
        <v/>
      </c>
      <c r="G95" s="21">
        <f>SUMIF('Trade Log'!$B$4:$B$503,$A95,'Trade Log'!$L$4:$L$503)</f>
        <v/>
      </c>
      <c r="H95" s="21">
        <f>IFERROR($G95/$B95,"")</f>
        <v/>
      </c>
      <c r="I95" s="21">
        <f>IFERROR(_xlfn.MAXIFS('Trade Log'!$L$4:$L$503,'Trade Log'!$B$4:$B$503,$A95),"")</f>
        <v/>
      </c>
      <c r="J95" s="21">
        <f>IFERROR(_xlfn.MINIFS('Trade Log'!$L$4:$L$503,'Trade Log'!$B$4:$B$503,$A95),"")</f>
        <v/>
      </c>
    </row>
    <row r="96">
      <c r="A96" s="27" t="inlineStr">
        <is>
          <t>SIKA</t>
        </is>
      </c>
      <c r="B96" s="20">
        <f>COUNTIF('Trade Log'!$B$4:$B$503,$A96)</f>
        <v/>
      </c>
      <c r="C96" s="20">
        <f>COUNTIFS('Trade Log'!$B$4:$B$503,$A96,'Trade Log'!$L$4:$L$503,"&gt;0")</f>
        <v/>
      </c>
      <c r="D96" s="20">
        <f>COUNTIFS('Trade Log'!$B$4:$B$503,$A96,'Trade Log'!$L$4:$L$503,"&lt;0")</f>
        <v/>
      </c>
      <c r="E96" s="22">
        <f>IFERROR($C96/$B96,"")</f>
        <v/>
      </c>
      <c r="F96" s="21">
        <f>SUMIF('Trade Log'!$B$4:$B$503,$A96,'Trade Log'!$I$4:$I$503)</f>
        <v/>
      </c>
      <c r="G96" s="21">
        <f>SUMIF('Trade Log'!$B$4:$B$503,$A96,'Trade Log'!$L$4:$L$503)</f>
        <v/>
      </c>
      <c r="H96" s="21">
        <f>IFERROR($G96/$B96,"")</f>
        <v/>
      </c>
      <c r="I96" s="21">
        <f>IFERROR(_xlfn.MAXIFS('Trade Log'!$L$4:$L$503,'Trade Log'!$B$4:$B$503,$A96),"")</f>
        <v/>
      </c>
      <c r="J96" s="21">
        <f>IFERROR(_xlfn.MINIFS('Trade Log'!$L$4:$L$503,'Trade Log'!$B$4:$B$503,$A96),"")</f>
        <v/>
      </c>
    </row>
    <row r="97">
      <c r="A97" s="27" t="inlineStr">
        <is>
          <t>SINDHUTRAD</t>
        </is>
      </c>
      <c r="B97" s="20">
        <f>COUNTIF('Trade Log'!$B$4:$B$503,$A97)</f>
        <v/>
      </c>
      <c r="C97" s="20">
        <f>COUNTIFS('Trade Log'!$B$4:$B$503,$A97,'Trade Log'!$L$4:$L$503,"&gt;0")</f>
        <v/>
      </c>
      <c r="D97" s="20">
        <f>COUNTIFS('Trade Log'!$B$4:$B$503,$A97,'Trade Log'!$L$4:$L$503,"&lt;0")</f>
        <v/>
      </c>
      <c r="E97" s="22">
        <f>IFERROR($C97/$B97,"")</f>
        <v/>
      </c>
      <c r="F97" s="21">
        <f>SUMIF('Trade Log'!$B$4:$B$503,$A97,'Trade Log'!$I$4:$I$503)</f>
        <v/>
      </c>
      <c r="G97" s="21">
        <f>SUMIF('Trade Log'!$B$4:$B$503,$A97,'Trade Log'!$L$4:$L$503)</f>
        <v/>
      </c>
      <c r="H97" s="21">
        <f>IFERROR($G97/$B97,"")</f>
        <v/>
      </c>
      <c r="I97" s="21">
        <f>IFERROR(_xlfn.MAXIFS('Trade Log'!$L$4:$L$503,'Trade Log'!$B$4:$B$503,$A97),"")</f>
        <v/>
      </c>
      <c r="J97" s="21">
        <f>IFERROR(_xlfn.MINIFS('Trade Log'!$L$4:$L$503,'Trade Log'!$B$4:$B$503,$A97),"")</f>
        <v/>
      </c>
    </row>
    <row r="98">
      <c r="A98" s="27" t="inlineStr">
        <is>
          <t>SMCGLOBAL</t>
        </is>
      </c>
      <c r="B98" s="20">
        <f>COUNTIF('Trade Log'!$B$4:$B$503,$A98)</f>
        <v/>
      </c>
      <c r="C98" s="20">
        <f>COUNTIFS('Trade Log'!$B$4:$B$503,$A98,'Trade Log'!$L$4:$L$503,"&gt;0")</f>
        <v/>
      </c>
      <c r="D98" s="20">
        <f>COUNTIFS('Trade Log'!$B$4:$B$503,$A98,'Trade Log'!$L$4:$L$503,"&lt;0")</f>
        <v/>
      </c>
      <c r="E98" s="22">
        <f>IFERROR($C98/$B98,"")</f>
        <v/>
      </c>
      <c r="F98" s="21">
        <f>SUMIF('Trade Log'!$B$4:$B$503,$A98,'Trade Log'!$I$4:$I$503)</f>
        <v/>
      </c>
      <c r="G98" s="21">
        <f>SUMIF('Trade Log'!$B$4:$B$503,$A98,'Trade Log'!$L$4:$L$503)</f>
        <v/>
      </c>
      <c r="H98" s="21">
        <f>IFERROR($G98/$B98,"")</f>
        <v/>
      </c>
      <c r="I98" s="21">
        <f>IFERROR(_xlfn.MAXIFS('Trade Log'!$L$4:$L$503,'Trade Log'!$B$4:$B$503,$A98),"")</f>
        <v/>
      </c>
      <c r="J98" s="21">
        <f>IFERROR(_xlfn.MINIFS('Trade Log'!$L$4:$L$503,'Trade Log'!$B$4:$B$503,$A98),"")</f>
        <v/>
      </c>
    </row>
    <row r="99">
      <c r="A99" s="27" t="inlineStr">
        <is>
          <t>SMSPHARMA</t>
        </is>
      </c>
      <c r="B99" s="20">
        <f>COUNTIF('Trade Log'!$B$4:$B$503,$A99)</f>
        <v/>
      </c>
      <c r="C99" s="20">
        <f>COUNTIFS('Trade Log'!$B$4:$B$503,$A99,'Trade Log'!$L$4:$L$503,"&gt;0")</f>
        <v/>
      </c>
      <c r="D99" s="20">
        <f>COUNTIFS('Trade Log'!$B$4:$B$503,$A99,'Trade Log'!$L$4:$L$503,"&lt;0")</f>
        <v/>
      </c>
      <c r="E99" s="22">
        <f>IFERROR($C99/$B99,"")</f>
        <v/>
      </c>
      <c r="F99" s="21">
        <f>SUMIF('Trade Log'!$B$4:$B$503,$A99,'Trade Log'!$I$4:$I$503)</f>
        <v/>
      </c>
      <c r="G99" s="21">
        <f>SUMIF('Trade Log'!$B$4:$B$503,$A99,'Trade Log'!$L$4:$L$503)</f>
        <v/>
      </c>
      <c r="H99" s="21">
        <f>IFERROR($G99/$B99,"")</f>
        <v/>
      </c>
      <c r="I99" s="21">
        <f>IFERROR(_xlfn.MAXIFS('Trade Log'!$L$4:$L$503,'Trade Log'!$B$4:$B$503,$A99),"")</f>
        <v/>
      </c>
      <c r="J99" s="21">
        <f>IFERROR(_xlfn.MINIFS('Trade Log'!$L$4:$L$503,'Trade Log'!$B$4:$B$503,$A99),"")</f>
        <v/>
      </c>
    </row>
    <row r="100">
      <c r="A100" s="27" t="inlineStr">
        <is>
          <t>SOLARA</t>
        </is>
      </c>
      <c r="B100" s="20">
        <f>COUNTIF('Trade Log'!$B$4:$B$503,$A100)</f>
        <v/>
      </c>
      <c r="C100" s="20">
        <f>COUNTIFS('Trade Log'!$B$4:$B$503,$A100,'Trade Log'!$L$4:$L$503,"&gt;0")</f>
        <v/>
      </c>
      <c r="D100" s="20">
        <f>COUNTIFS('Trade Log'!$B$4:$B$503,$A100,'Trade Log'!$L$4:$L$503,"&lt;0")</f>
        <v/>
      </c>
      <c r="E100" s="22">
        <f>IFERROR($C100/$B100,"")</f>
        <v/>
      </c>
      <c r="F100" s="21">
        <f>SUMIF('Trade Log'!$B$4:$B$503,$A100,'Trade Log'!$I$4:$I$503)</f>
        <v/>
      </c>
      <c r="G100" s="21">
        <f>SUMIF('Trade Log'!$B$4:$B$503,$A100,'Trade Log'!$L$4:$L$503)</f>
        <v/>
      </c>
      <c r="H100" s="21">
        <f>IFERROR($G100/$B100,"")</f>
        <v/>
      </c>
      <c r="I100" s="21">
        <f>IFERROR(_xlfn.MAXIFS('Trade Log'!$L$4:$L$503,'Trade Log'!$B$4:$B$503,$A100),"")</f>
        <v/>
      </c>
      <c r="J100" s="21">
        <f>IFERROR(_xlfn.MINIFS('Trade Log'!$L$4:$L$503,'Trade Log'!$B$4:$B$503,$A100),"")</f>
        <v/>
      </c>
    </row>
    <row r="101">
      <c r="A101" s="27" t="inlineStr">
        <is>
          <t>SOTL</t>
        </is>
      </c>
      <c r="B101" s="20">
        <f>COUNTIF('Trade Log'!$B$4:$B$503,$A101)</f>
        <v/>
      </c>
      <c r="C101" s="20">
        <f>COUNTIFS('Trade Log'!$B$4:$B$503,$A101,'Trade Log'!$L$4:$L$503,"&gt;0")</f>
        <v/>
      </c>
      <c r="D101" s="20">
        <f>COUNTIFS('Trade Log'!$B$4:$B$503,$A101,'Trade Log'!$L$4:$L$503,"&lt;0")</f>
        <v/>
      </c>
      <c r="E101" s="22">
        <f>IFERROR($C101/$B101,"")</f>
        <v/>
      </c>
      <c r="F101" s="21">
        <f>SUMIF('Trade Log'!$B$4:$B$503,$A101,'Trade Log'!$I$4:$I$503)</f>
        <v/>
      </c>
      <c r="G101" s="21">
        <f>SUMIF('Trade Log'!$B$4:$B$503,$A101,'Trade Log'!$L$4:$L$503)</f>
        <v/>
      </c>
      <c r="H101" s="21">
        <f>IFERROR($G101/$B101,"")</f>
        <v/>
      </c>
      <c r="I101" s="21">
        <f>IFERROR(_xlfn.MAXIFS('Trade Log'!$L$4:$L$503,'Trade Log'!$B$4:$B$503,$A101),"")</f>
        <v/>
      </c>
      <c r="J101" s="21">
        <f>IFERROR(_xlfn.MINIFS('Trade Log'!$L$4:$L$503,'Trade Log'!$B$4:$B$503,$A101),"")</f>
        <v/>
      </c>
    </row>
    <row r="102">
      <c r="A102" s="27" t="inlineStr">
        <is>
          <t>SSWL</t>
        </is>
      </c>
      <c r="B102" s="20">
        <f>COUNTIF('Trade Log'!$B$4:$B$503,$A102)</f>
        <v/>
      </c>
      <c r="C102" s="20">
        <f>COUNTIFS('Trade Log'!$B$4:$B$503,$A102,'Trade Log'!$L$4:$L$503,"&gt;0")</f>
        <v/>
      </c>
      <c r="D102" s="20">
        <f>COUNTIFS('Trade Log'!$B$4:$B$503,$A102,'Trade Log'!$L$4:$L$503,"&lt;0")</f>
        <v/>
      </c>
      <c r="E102" s="22">
        <f>IFERROR($C102/$B102,"")</f>
        <v/>
      </c>
      <c r="F102" s="21">
        <f>SUMIF('Trade Log'!$B$4:$B$503,$A102,'Trade Log'!$I$4:$I$503)</f>
        <v/>
      </c>
      <c r="G102" s="21">
        <f>SUMIF('Trade Log'!$B$4:$B$503,$A102,'Trade Log'!$L$4:$L$503)</f>
        <v/>
      </c>
      <c r="H102" s="21">
        <f>IFERROR($G102/$B102,"")</f>
        <v/>
      </c>
      <c r="I102" s="21">
        <f>IFERROR(_xlfn.MAXIFS('Trade Log'!$L$4:$L$503,'Trade Log'!$B$4:$B$503,$A102),"")</f>
        <v/>
      </c>
      <c r="J102" s="21">
        <f>IFERROR(_xlfn.MINIFS('Trade Log'!$L$4:$L$503,'Trade Log'!$B$4:$B$503,$A102),"")</f>
        <v/>
      </c>
    </row>
    <row r="103">
      <c r="A103" s="27" t="inlineStr">
        <is>
          <t>STEELCAS</t>
        </is>
      </c>
      <c r="B103" s="20">
        <f>COUNTIF('Trade Log'!$B$4:$B$503,$A103)</f>
        <v/>
      </c>
      <c r="C103" s="20">
        <f>COUNTIFS('Trade Log'!$B$4:$B$503,$A103,'Trade Log'!$L$4:$L$503,"&gt;0")</f>
        <v/>
      </c>
      <c r="D103" s="20">
        <f>COUNTIFS('Trade Log'!$B$4:$B$503,$A103,'Trade Log'!$L$4:$L$503,"&lt;0")</f>
        <v/>
      </c>
      <c r="E103" s="22">
        <f>IFERROR($C103/$B103,"")</f>
        <v/>
      </c>
      <c r="F103" s="21">
        <f>SUMIF('Trade Log'!$B$4:$B$503,$A103,'Trade Log'!$I$4:$I$503)</f>
        <v/>
      </c>
      <c r="G103" s="21">
        <f>SUMIF('Trade Log'!$B$4:$B$503,$A103,'Trade Log'!$L$4:$L$503)</f>
        <v/>
      </c>
      <c r="H103" s="21">
        <f>IFERROR($G103/$B103,"")</f>
        <v/>
      </c>
      <c r="I103" s="21">
        <f>IFERROR(_xlfn.MAXIFS('Trade Log'!$L$4:$L$503,'Trade Log'!$B$4:$B$503,$A103),"")</f>
        <v/>
      </c>
      <c r="J103" s="21">
        <f>IFERROR(_xlfn.MINIFS('Trade Log'!$L$4:$L$503,'Trade Log'!$B$4:$B$503,$A103),"")</f>
        <v/>
      </c>
    </row>
    <row r="104">
      <c r="A104" s="27" t="inlineStr">
        <is>
          <t>SYMPHONY</t>
        </is>
      </c>
      <c r="B104" s="20">
        <f>COUNTIF('Trade Log'!$B$4:$B$503,$A104)</f>
        <v/>
      </c>
      <c r="C104" s="20">
        <f>COUNTIFS('Trade Log'!$B$4:$B$503,$A104,'Trade Log'!$L$4:$L$503,"&gt;0")</f>
        <v/>
      </c>
      <c r="D104" s="20">
        <f>COUNTIFS('Trade Log'!$B$4:$B$503,$A104,'Trade Log'!$L$4:$L$503,"&lt;0")</f>
        <v/>
      </c>
      <c r="E104" s="22">
        <f>IFERROR($C104/$B104,"")</f>
        <v/>
      </c>
      <c r="F104" s="21">
        <f>SUMIF('Trade Log'!$B$4:$B$503,$A104,'Trade Log'!$I$4:$I$503)</f>
        <v/>
      </c>
      <c r="G104" s="21">
        <f>SUMIF('Trade Log'!$B$4:$B$503,$A104,'Trade Log'!$L$4:$L$503)</f>
        <v/>
      </c>
      <c r="H104" s="21">
        <f>IFERROR($G104/$B104,"")</f>
        <v/>
      </c>
      <c r="I104" s="21">
        <f>IFERROR(_xlfn.MAXIFS('Trade Log'!$L$4:$L$503,'Trade Log'!$B$4:$B$503,$A104),"")</f>
        <v/>
      </c>
      <c r="J104" s="21">
        <f>IFERROR(_xlfn.MINIFS('Trade Log'!$L$4:$L$503,'Trade Log'!$B$4:$B$503,$A104),"")</f>
        <v/>
      </c>
    </row>
    <row r="105">
      <c r="A105" s="27" t="inlineStr">
        <is>
          <t>SYNCOMF</t>
        </is>
      </c>
      <c r="B105" s="20">
        <f>COUNTIF('Trade Log'!$B$4:$B$503,$A105)</f>
        <v/>
      </c>
      <c r="C105" s="20">
        <f>COUNTIFS('Trade Log'!$B$4:$B$503,$A105,'Trade Log'!$L$4:$L$503,"&gt;0")</f>
        <v/>
      </c>
      <c r="D105" s="20">
        <f>COUNTIFS('Trade Log'!$B$4:$B$503,$A105,'Trade Log'!$L$4:$L$503,"&lt;0")</f>
        <v/>
      </c>
      <c r="E105" s="22">
        <f>IFERROR($C105/$B105,"")</f>
        <v/>
      </c>
      <c r="F105" s="21">
        <f>SUMIF('Trade Log'!$B$4:$B$503,$A105,'Trade Log'!$I$4:$I$503)</f>
        <v/>
      </c>
      <c r="G105" s="21">
        <f>SUMIF('Trade Log'!$B$4:$B$503,$A105,'Trade Log'!$L$4:$L$503)</f>
        <v/>
      </c>
      <c r="H105" s="21">
        <f>IFERROR($G105/$B105,"")</f>
        <v/>
      </c>
      <c r="I105" s="21">
        <f>IFERROR(_xlfn.MAXIFS('Trade Log'!$L$4:$L$503,'Trade Log'!$B$4:$B$503,$A105),"")</f>
        <v/>
      </c>
      <c r="J105" s="21">
        <f>IFERROR(_xlfn.MINIFS('Trade Log'!$L$4:$L$503,'Trade Log'!$B$4:$B$503,$A105),"")</f>
        <v/>
      </c>
    </row>
    <row r="106">
      <c r="A106" s="27" t="inlineStr">
        <is>
          <t>TALBROAUTO</t>
        </is>
      </c>
      <c r="B106" s="20">
        <f>COUNTIF('Trade Log'!$B$4:$B$503,$A106)</f>
        <v/>
      </c>
      <c r="C106" s="20">
        <f>COUNTIFS('Trade Log'!$B$4:$B$503,$A106,'Trade Log'!$L$4:$L$503,"&gt;0")</f>
        <v/>
      </c>
      <c r="D106" s="20">
        <f>COUNTIFS('Trade Log'!$B$4:$B$503,$A106,'Trade Log'!$L$4:$L$503,"&lt;0")</f>
        <v/>
      </c>
      <c r="E106" s="22">
        <f>IFERROR($C106/$B106,"")</f>
        <v/>
      </c>
      <c r="F106" s="21">
        <f>SUMIF('Trade Log'!$B$4:$B$503,$A106,'Trade Log'!$I$4:$I$503)</f>
        <v/>
      </c>
      <c r="G106" s="21">
        <f>SUMIF('Trade Log'!$B$4:$B$503,$A106,'Trade Log'!$L$4:$L$503)</f>
        <v/>
      </c>
      <c r="H106" s="21">
        <f>IFERROR($G106/$B106,"")</f>
        <v/>
      </c>
      <c r="I106" s="21">
        <f>IFERROR(_xlfn.MAXIFS('Trade Log'!$L$4:$L$503,'Trade Log'!$B$4:$B$503,$A106),"")</f>
        <v/>
      </c>
      <c r="J106" s="21">
        <f>IFERROR(_xlfn.MINIFS('Trade Log'!$L$4:$L$503,'Trade Log'!$B$4:$B$503,$A106),"")</f>
        <v/>
      </c>
    </row>
    <row r="107">
      <c r="A107" s="27" t="inlineStr">
        <is>
          <t>TBZ</t>
        </is>
      </c>
      <c r="B107" s="20">
        <f>COUNTIF('Trade Log'!$B$4:$B$503,$A107)</f>
        <v/>
      </c>
      <c r="C107" s="20">
        <f>COUNTIFS('Trade Log'!$B$4:$B$503,$A107,'Trade Log'!$L$4:$L$503,"&gt;0")</f>
        <v/>
      </c>
      <c r="D107" s="20">
        <f>COUNTIFS('Trade Log'!$B$4:$B$503,$A107,'Trade Log'!$L$4:$L$503,"&lt;0")</f>
        <v/>
      </c>
      <c r="E107" s="22">
        <f>IFERROR($C107/$B107,"")</f>
        <v/>
      </c>
      <c r="F107" s="21">
        <f>SUMIF('Trade Log'!$B$4:$B$503,$A107,'Trade Log'!$I$4:$I$503)</f>
        <v/>
      </c>
      <c r="G107" s="21">
        <f>SUMIF('Trade Log'!$B$4:$B$503,$A107,'Trade Log'!$L$4:$L$503)</f>
        <v/>
      </c>
      <c r="H107" s="21">
        <f>IFERROR($G107/$B107,"")</f>
        <v/>
      </c>
      <c r="I107" s="21">
        <f>IFERROR(_xlfn.MAXIFS('Trade Log'!$L$4:$L$503,'Trade Log'!$B$4:$B$503,$A107),"")</f>
        <v/>
      </c>
      <c r="J107" s="21">
        <f>IFERROR(_xlfn.MINIFS('Trade Log'!$L$4:$L$503,'Trade Log'!$B$4:$B$503,$A107),"")</f>
        <v/>
      </c>
    </row>
    <row r="108">
      <c r="A108" s="27" t="inlineStr">
        <is>
          <t>TCIEXP</t>
        </is>
      </c>
      <c r="B108" s="20">
        <f>COUNTIF('Trade Log'!$B$4:$B$503,$A108)</f>
        <v/>
      </c>
      <c r="C108" s="20">
        <f>COUNTIFS('Trade Log'!$B$4:$B$503,$A108,'Trade Log'!$L$4:$L$503,"&gt;0")</f>
        <v/>
      </c>
      <c r="D108" s="20">
        <f>COUNTIFS('Trade Log'!$B$4:$B$503,$A108,'Trade Log'!$L$4:$L$503,"&lt;0")</f>
        <v/>
      </c>
      <c r="E108" s="22">
        <f>IFERROR($C108/$B108,"")</f>
        <v/>
      </c>
      <c r="F108" s="21">
        <f>SUMIF('Trade Log'!$B$4:$B$503,$A108,'Trade Log'!$I$4:$I$503)</f>
        <v/>
      </c>
      <c r="G108" s="21">
        <f>SUMIF('Trade Log'!$B$4:$B$503,$A108,'Trade Log'!$L$4:$L$503)</f>
        <v/>
      </c>
      <c r="H108" s="21">
        <f>IFERROR($G108/$B108,"")</f>
        <v/>
      </c>
      <c r="I108" s="21">
        <f>IFERROR(_xlfn.MAXIFS('Trade Log'!$L$4:$L$503,'Trade Log'!$B$4:$B$503,$A108),"")</f>
        <v/>
      </c>
      <c r="J108" s="21">
        <f>IFERROR(_xlfn.MINIFS('Trade Log'!$L$4:$L$503,'Trade Log'!$B$4:$B$503,$A108),"")</f>
        <v/>
      </c>
    </row>
    <row r="109">
      <c r="A109" s="27" t="inlineStr">
        <is>
          <t>THOMASCOOK</t>
        </is>
      </c>
      <c r="B109" s="20">
        <f>COUNTIF('Trade Log'!$B$4:$B$503,$A109)</f>
        <v/>
      </c>
      <c r="C109" s="20">
        <f>COUNTIFS('Trade Log'!$B$4:$B$503,$A109,'Trade Log'!$L$4:$L$503,"&gt;0")</f>
        <v/>
      </c>
      <c r="D109" s="20">
        <f>COUNTIFS('Trade Log'!$B$4:$B$503,$A109,'Trade Log'!$L$4:$L$503,"&lt;0")</f>
        <v/>
      </c>
      <c r="E109" s="22">
        <f>IFERROR($C109/$B109,"")</f>
        <v/>
      </c>
      <c r="F109" s="21">
        <f>SUMIF('Trade Log'!$B$4:$B$503,$A109,'Trade Log'!$I$4:$I$503)</f>
        <v/>
      </c>
      <c r="G109" s="21">
        <f>SUMIF('Trade Log'!$B$4:$B$503,$A109,'Trade Log'!$L$4:$L$503)</f>
        <v/>
      </c>
      <c r="H109" s="21">
        <f>IFERROR($G109/$B109,"")</f>
        <v/>
      </c>
      <c r="I109" s="21">
        <f>IFERROR(_xlfn.MAXIFS('Trade Log'!$L$4:$L$503,'Trade Log'!$B$4:$B$503,$A109),"")</f>
        <v/>
      </c>
      <c r="J109" s="21">
        <f>IFERROR(_xlfn.MINIFS('Trade Log'!$L$4:$L$503,'Trade Log'!$B$4:$B$503,$A109),"")</f>
        <v/>
      </c>
    </row>
    <row r="110">
      <c r="A110" s="27" t="inlineStr">
        <is>
          <t>UNICHEMLAB</t>
        </is>
      </c>
      <c r="B110" s="20">
        <f>COUNTIF('Trade Log'!$B$4:$B$503,$A110)</f>
        <v/>
      </c>
      <c r="C110" s="20">
        <f>COUNTIFS('Trade Log'!$B$4:$B$503,$A110,'Trade Log'!$L$4:$L$503,"&gt;0")</f>
        <v/>
      </c>
      <c r="D110" s="20">
        <f>COUNTIFS('Trade Log'!$B$4:$B$503,$A110,'Trade Log'!$L$4:$L$503,"&lt;0")</f>
        <v/>
      </c>
      <c r="E110" s="22">
        <f>IFERROR($C110/$B110,"")</f>
        <v/>
      </c>
      <c r="F110" s="21">
        <f>SUMIF('Trade Log'!$B$4:$B$503,$A110,'Trade Log'!$I$4:$I$503)</f>
        <v/>
      </c>
      <c r="G110" s="21">
        <f>SUMIF('Trade Log'!$B$4:$B$503,$A110,'Trade Log'!$L$4:$L$503)</f>
        <v/>
      </c>
      <c r="H110" s="21">
        <f>IFERROR($G110/$B110,"")</f>
        <v/>
      </c>
      <c r="I110" s="21">
        <f>IFERROR(_xlfn.MAXIFS('Trade Log'!$L$4:$L$503,'Trade Log'!$B$4:$B$503,$A110),"")</f>
        <v/>
      </c>
      <c r="J110" s="21">
        <f>IFERROR(_xlfn.MINIFS('Trade Log'!$L$4:$L$503,'Trade Log'!$B$4:$B$503,$A110),"")</f>
        <v/>
      </c>
    </row>
    <row r="111">
      <c r="A111" s="27" t="inlineStr">
        <is>
          <t>VENKEYS</t>
        </is>
      </c>
      <c r="B111" s="20">
        <f>COUNTIF('Trade Log'!$B$4:$B$503,$A111)</f>
        <v/>
      </c>
      <c r="C111" s="20">
        <f>COUNTIFS('Trade Log'!$B$4:$B$503,$A111,'Trade Log'!$L$4:$L$503,"&gt;0")</f>
        <v/>
      </c>
      <c r="D111" s="20">
        <f>COUNTIFS('Trade Log'!$B$4:$B$503,$A111,'Trade Log'!$L$4:$L$503,"&lt;0")</f>
        <v/>
      </c>
      <c r="E111" s="22">
        <f>IFERROR($C111/$B111,"")</f>
        <v/>
      </c>
      <c r="F111" s="21">
        <f>SUMIF('Trade Log'!$B$4:$B$503,$A111,'Trade Log'!$I$4:$I$503)</f>
        <v/>
      </c>
      <c r="G111" s="21">
        <f>SUMIF('Trade Log'!$B$4:$B$503,$A111,'Trade Log'!$L$4:$L$503)</f>
        <v/>
      </c>
      <c r="H111" s="21">
        <f>IFERROR($G111/$B111,"")</f>
        <v/>
      </c>
      <c r="I111" s="21">
        <f>IFERROR(_xlfn.MAXIFS('Trade Log'!$L$4:$L$503,'Trade Log'!$B$4:$B$503,$A111),"")</f>
        <v/>
      </c>
      <c r="J111" s="21">
        <f>IFERROR(_xlfn.MINIFS('Trade Log'!$L$4:$L$503,'Trade Log'!$B$4:$B$503,$A111),"")</f>
        <v/>
      </c>
    </row>
    <row r="112">
      <c r="A112" s="27" t="inlineStr">
        <is>
          <t>VENUSPIPES</t>
        </is>
      </c>
      <c r="B112" s="20">
        <f>COUNTIF('Trade Log'!$B$4:$B$503,$A112)</f>
        <v/>
      </c>
      <c r="C112" s="20">
        <f>COUNTIFS('Trade Log'!$B$4:$B$503,$A112,'Trade Log'!$L$4:$L$503,"&gt;0")</f>
        <v/>
      </c>
      <c r="D112" s="20">
        <f>COUNTIFS('Trade Log'!$B$4:$B$503,$A112,'Trade Log'!$L$4:$L$503,"&lt;0")</f>
        <v/>
      </c>
      <c r="E112" s="22">
        <f>IFERROR($C112/$B112,"")</f>
        <v/>
      </c>
      <c r="F112" s="21">
        <f>SUMIF('Trade Log'!$B$4:$B$503,$A112,'Trade Log'!$I$4:$I$503)</f>
        <v/>
      </c>
      <c r="G112" s="21">
        <f>SUMIF('Trade Log'!$B$4:$B$503,$A112,'Trade Log'!$L$4:$L$503)</f>
        <v/>
      </c>
      <c r="H112" s="21">
        <f>IFERROR($G112/$B112,"")</f>
        <v/>
      </c>
      <c r="I112" s="21">
        <f>IFERROR(_xlfn.MAXIFS('Trade Log'!$L$4:$L$503,'Trade Log'!$B$4:$B$503,$A112),"")</f>
        <v/>
      </c>
      <c r="J112" s="21">
        <f>IFERROR(_xlfn.MINIFS('Trade Log'!$L$4:$L$503,'Trade Log'!$B$4:$B$503,$A112),"")</f>
        <v/>
      </c>
    </row>
    <row r="113">
      <c r="A113" s="27" t="inlineStr">
        <is>
          <t>VERANDA</t>
        </is>
      </c>
      <c r="B113" s="20">
        <f>COUNTIF('Trade Log'!$B$4:$B$503,$A113)</f>
        <v/>
      </c>
      <c r="C113" s="20">
        <f>COUNTIFS('Trade Log'!$B$4:$B$503,$A113,'Trade Log'!$L$4:$L$503,"&gt;0")</f>
        <v/>
      </c>
      <c r="D113" s="20">
        <f>COUNTIFS('Trade Log'!$B$4:$B$503,$A113,'Trade Log'!$L$4:$L$503,"&lt;0")</f>
        <v/>
      </c>
      <c r="E113" s="22">
        <f>IFERROR($C113/$B113,"")</f>
        <v/>
      </c>
      <c r="F113" s="21">
        <f>SUMIF('Trade Log'!$B$4:$B$503,$A113,'Trade Log'!$I$4:$I$503)</f>
        <v/>
      </c>
      <c r="G113" s="21">
        <f>SUMIF('Trade Log'!$B$4:$B$503,$A113,'Trade Log'!$L$4:$L$503)</f>
        <v/>
      </c>
      <c r="H113" s="21">
        <f>IFERROR($G113/$B113,"")</f>
        <v/>
      </c>
      <c r="I113" s="21">
        <f>IFERROR(_xlfn.MAXIFS('Trade Log'!$L$4:$L$503,'Trade Log'!$B$4:$B$503,$A113),"")</f>
        <v/>
      </c>
      <c r="J113" s="21">
        <f>IFERROR(_xlfn.MINIFS('Trade Log'!$L$4:$L$503,'Trade Log'!$B$4:$B$503,$A113),"")</f>
        <v/>
      </c>
    </row>
    <row r="114">
      <c r="A114" s="27" t="inlineStr">
        <is>
          <t>VSSL</t>
        </is>
      </c>
      <c r="B114" s="20">
        <f>COUNTIF('Trade Log'!$B$4:$B$503,$A114)</f>
        <v/>
      </c>
      <c r="C114" s="20">
        <f>COUNTIFS('Trade Log'!$B$4:$B$503,$A114,'Trade Log'!$L$4:$L$503,"&gt;0")</f>
        <v/>
      </c>
      <c r="D114" s="20">
        <f>COUNTIFS('Trade Log'!$B$4:$B$503,$A114,'Trade Log'!$L$4:$L$503,"&lt;0")</f>
        <v/>
      </c>
      <c r="E114" s="22">
        <f>IFERROR($C114/$B114,"")</f>
        <v/>
      </c>
      <c r="F114" s="21">
        <f>SUMIF('Trade Log'!$B$4:$B$503,$A114,'Trade Log'!$I$4:$I$503)</f>
        <v/>
      </c>
      <c r="G114" s="21">
        <f>SUMIF('Trade Log'!$B$4:$B$503,$A114,'Trade Log'!$L$4:$L$503)</f>
        <v/>
      </c>
      <c r="H114" s="21">
        <f>IFERROR($G114/$B114,"")</f>
        <v/>
      </c>
      <c r="I114" s="21">
        <f>IFERROR(_xlfn.MAXIFS('Trade Log'!$L$4:$L$503,'Trade Log'!$B$4:$B$503,$A114),"")</f>
        <v/>
      </c>
      <c r="J114" s="21">
        <f>IFERROR(_xlfn.MINIFS('Trade Log'!$L$4:$L$503,'Trade Log'!$B$4:$B$503,$A114),"")</f>
        <v/>
      </c>
    </row>
    <row r="115">
      <c r="A115" s="27" t="inlineStr">
        <is>
          <t>WELSPLSOL</t>
        </is>
      </c>
      <c r="B115" s="20">
        <f>COUNTIF('Trade Log'!$B$4:$B$503,$A115)</f>
        <v/>
      </c>
      <c r="C115" s="20">
        <f>COUNTIFS('Trade Log'!$B$4:$B$503,$A115,'Trade Log'!$L$4:$L$503,"&gt;0")</f>
        <v/>
      </c>
      <c r="D115" s="20">
        <f>COUNTIFS('Trade Log'!$B$4:$B$503,$A115,'Trade Log'!$L$4:$L$503,"&lt;0")</f>
        <v/>
      </c>
      <c r="E115" s="22">
        <f>IFERROR($C115/$B115,"")</f>
        <v/>
      </c>
      <c r="F115" s="21">
        <f>SUMIF('Trade Log'!$B$4:$B$503,$A115,'Trade Log'!$I$4:$I$503)</f>
        <v/>
      </c>
      <c r="G115" s="21">
        <f>SUMIF('Trade Log'!$B$4:$B$503,$A115,'Trade Log'!$L$4:$L$503)</f>
        <v/>
      </c>
      <c r="H115" s="21">
        <f>IFERROR($G115/$B115,"")</f>
        <v/>
      </c>
      <c r="I115" s="21">
        <f>IFERROR(_xlfn.MAXIFS('Trade Log'!$L$4:$L$503,'Trade Log'!$B$4:$B$503,$A115),"")</f>
        <v/>
      </c>
      <c r="J115" s="21">
        <f>IFERROR(_xlfn.MINIFS('Trade Log'!$L$4:$L$503,'Trade Log'!$B$4:$B$503,$A115),"")</f>
        <v/>
      </c>
    </row>
    <row r="116">
      <c r="A116" s="27" t="inlineStr">
        <is>
          <t>WENDT</t>
        </is>
      </c>
      <c r="B116" s="20">
        <f>COUNTIF('Trade Log'!$B$4:$B$503,$A116)</f>
        <v/>
      </c>
      <c r="C116" s="20">
        <f>COUNTIFS('Trade Log'!$B$4:$B$503,$A116,'Trade Log'!$L$4:$L$503,"&gt;0")</f>
        <v/>
      </c>
      <c r="D116" s="20">
        <f>COUNTIFS('Trade Log'!$B$4:$B$503,$A116,'Trade Log'!$L$4:$L$503,"&lt;0")</f>
        <v/>
      </c>
      <c r="E116" s="22">
        <f>IFERROR($C116/$B116,"")</f>
        <v/>
      </c>
      <c r="F116" s="21">
        <f>SUMIF('Trade Log'!$B$4:$B$503,$A116,'Trade Log'!$I$4:$I$503)</f>
        <v/>
      </c>
      <c r="G116" s="21">
        <f>SUMIF('Trade Log'!$B$4:$B$503,$A116,'Trade Log'!$L$4:$L$503)</f>
        <v/>
      </c>
      <c r="H116" s="21">
        <f>IFERROR($G116/$B116,"")</f>
        <v/>
      </c>
      <c r="I116" s="21">
        <f>IFERROR(_xlfn.MAXIFS('Trade Log'!$L$4:$L$503,'Trade Log'!$B$4:$B$503,$A116),"")</f>
        <v/>
      </c>
      <c r="J116" s="21">
        <f>IFERROR(_xlfn.MINIFS('Trade Log'!$L$4:$L$503,'Trade Log'!$B$4:$B$503,$A116),"")</f>
        <v/>
      </c>
    </row>
    <row r="117">
      <c r="A117" s="27" t="inlineStr">
        <is>
          <t>WINDLAS</t>
        </is>
      </c>
      <c r="B117" s="20">
        <f>COUNTIF('Trade Log'!$B$4:$B$503,$A117)</f>
        <v/>
      </c>
      <c r="C117" s="20">
        <f>COUNTIFS('Trade Log'!$B$4:$B$503,$A117,'Trade Log'!$L$4:$L$503,"&gt;0")</f>
        <v/>
      </c>
      <c r="D117" s="20">
        <f>COUNTIFS('Trade Log'!$B$4:$B$503,$A117,'Trade Log'!$L$4:$L$503,"&lt;0")</f>
        <v/>
      </c>
      <c r="E117" s="22">
        <f>IFERROR($C117/$B117,"")</f>
        <v/>
      </c>
      <c r="F117" s="21">
        <f>SUMIF('Trade Log'!$B$4:$B$503,$A117,'Trade Log'!$I$4:$I$503)</f>
        <v/>
      </c>
      <c r="G117" s="21">
        <f>SUMIF('Trade Log'!$B$4:$B$503,$A117,'Trade Log'!$L$4:$L$503)</f>
        <v/>
      </c>
      <c r="H117" s="21">
        <f>IFERROR($G117/$B117,"")</f>
        <v/>
      </c>
      <c r="I117" s="21">
        <f>IFERROR(_xlfn.MAXIFS('Trade Log'!$L$4:$L$503,'Trade Log'!$B$4:$B$503,$A117),"")</f>
        <v/>
      </c>
      <c r="J117" s="21">
        <f>IFERROR(_xlfn.MINIFS('Trade Log'!$L$4:$L$503,'Trade Log'!$B$4:$B$503,$A117),"")</f>
        <v/>
      </c>
    </row>
    <row r="118">
      <c r="A118" s="27" t="inlineStr">
        <is>
          <t>XPROINDIA</t>
        </is>
      </c>
      <c r="B118" s="20">
        <f>COUNTIF('Trade Log'!$B$4:$B$503,$A118)</f>
        <v/>
      </c>
      <c r="C118" s="20">
        <f>COUNTIFS('Trade Log'!$B$4:$B$503,$A118,'Trade Log'!$L$4:$L$503,"&gt;0")</f>
        <v/>
      </c>
      <c r="D118" s="20">
        <f>COUNTIFS('Trade Log'!$B$4:$B$503,$A118,'Trade Log'!$L$4:$L$503,"&lt;0")</f>
        <v/>
      </c>
      <c r="E118" s="22">
        <f>IFERROR($C118/$B118,"")</f>
        <v/>
      </c>
      <c r="F118" s="21">
        <f>SUMIF('Trade Log'!$B$4:$B$503,$A118,'Trade Log'!$I$4:$I$503)</f>
        <v/>
      </c>
      <c r="G118" s="21">
        <f>SUMIF('Trade Log'!$B$4:$B$503,$A118,'Trade Log'!$L$4:$L$503)</f>
        <v/>
      </c>
      <c r="H118" s="21">
        <f>IFERROR($G118/$B118,"")</f>
        <v/>
      </c>
      <c r="I118" s="21">
        <f>IFERROR(_xlfn.MAXIFS('Trade Log'!$L$4:$L$503,'Trade Log'!$B$4:$B$503,$A118),"")</f>
        <v/>
      </c>
      <c r="J118" s="21">
        <f>IFERROR(_xlfn.MINIFS('Trade Log'!$L$4:$L$503,'Trade Log'!$B$4:$B$503,$A118),"")</f>
        <v/>
      </c>
    </row>
    <row r="119">
      <c r="A119" s="27" t="inlineStr">
        <is>
          <t>ZAGGLE</t>
        </is>
      </c>
      <c r="B119" s="20">
        <f>COUNTIF('Trade Log'!$B$4:$B$503,$A119)</f>
        <v/>
      </c>
      <c r="C119" s="20">
        <f>COUNTIFS('Trade Log'!$B$4:$B$503,$A119,'Trade Log'!$L$4:$L$503,"&gt;0")</f>
        <v/>
      </c>
      <c r="D119" s="20">
        <f>COUNTIFS('Trade Log'!$B$4:$B$503,$A119,'Trade Log'!$L$4:$L$503,"&lt;0")</f>
        <v/>
      </c>
      <c r="E119" s="22">
        <f>IFERROR($C119/$B119,"")</f>
        <v/>
      </c>
      <c r="F119" s="21">
        <f>SUMIF('Trade Log'!$B$4:$B$503,$A119,'Trade Log'!$I$4:$I$503)</f>
        <v/>
      </c>
      <c r="G119" s="21">
        <f>SUMIF('Trade Log'!$B$4:$B$503,$A119,'Trade Log'!$L$4:$L$503)</f>
        <v/>
      </c>
      <c r="H119" s="21">
        <f>IFERROR($G119/$B119,"")</f>
        <v/>
      </c>
      <c r="I119" s="21">
        <f>IFERROR(_xlfn.MAXIFS('Trade Log'!$L$4:$L$503,'Trade Log'!$B$4:$B$503,$A119),"")</f>
        <v/>
      </c>
      <c r="J119" s="21">
        <f>IFERROR(_xlfn.MINIFS('Trade Log'!$L$4:$L$503,'Trade Log'!$B$4:$B$503,$A119),"")</f>
        <v/>
      </c>
    </row>
    <row r="120">
      <c r="A120" s="27" t="inlineStr">
        <is>
          <t>ZOTA</t>
        </is>
      </c>
      <c r="B120" s="20">
        <f>COUNTIF('Trade Log'!$B$4:$B$503,$A120)</f>
        <v/>
      </c>
      <c r="C120" s="20">
        <f>COUNTIFS('Trade Log'!$B$4:$B$503,$A120,'Trade Log'!$L$4:$L$503,"&gt;0")</f>
        <v/>
      </c>
      <c r="D120" s="20">
        <f>COUNTIFS('Trade Log'!$B$4:$B$503,$A120,'Trade Log'!$L$4:$L$503,"&lt;0")</f>
        <v/>
      </c>
      <c r="E120" s="22">
        <f>IFERROR($C120/$B120,"")</f>
        <v/>
      </c>
      <c r="F120" s="21">
        <f>SUMIF('Trade Log'!$B$4:$B$503,$A120,'Trade Log'!$I$4:$I$503)</f>
        <v/>
      </c>
      <c r="G120" s="21">
        <f>SUMIF('Trade Log'!$B$4:$B$503,$A120,'Trade Log'!$L$4:$L$503)</f>
        <v/>
      </c>
      <c r="H120" s="21">
        <f>IFERROR($G120/$B120,"")</f>
        <v/>
      </c>
      <c r="I120" s="21">
        <f>IFERROR(_xlfn.MAXIFS('Trade Log'!$L$4:$L$503,'Trade Log'!$B$4:$B$503,$A120),"")</f>
        <v/>
      </c>
      <c r="J120" s="21">
        <f>IFERROR(_xlfn.MINIFS('Trade Log'!$L$4:$L$503,'Trade Log'!$B$4:$B$503,$A120),"")</f>
        <v/>
      </c>
    </row>
    <row r="121">
      <c r="A121" s="3" t="inlineStr">
        <is>
          <t>TOTAL</t>
        </is>
      </c>
      <c r="B121" s="30">
        <f>SUM(B4:B120)</f>
        <v/>
      </c>
      <c r="C121" s="30">
        <f>SUM(C4:C120)</f>
        <v/>
      </c>
      <c r="D121" s="30">
        <f>SUM(D4:D120)</f>
        <v/>
      </c>
      <c r="E121" s="31">
        <f>IFERROR(C121/B121,"")</f>
        <v/>
      </c>
      <c r="F121" s="32">
        <f>SUM(F4:F120)</f>
        <v/>
      </c>
      <c r="G121" s="32">
        <f>SUM(G4:G120)</f>
        <v/>
      </c>
      <c r="H121" s="32">
        <f>IFERROR(G121/B121,"")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5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46254</v>
      </c>
      <c r="E4" s="4" t="n">
        <v>40</v>
      </c>
      <c r="F4" s="4" t="n">
        <v>299.12</v>
      </c>
      <c r="G4" s="4" t="n">
        <v>18.67</v>
      </c>
      <c r="H4" s="4" t="n">
        <v>0.61</v>
      </c>
      <c r="I4" s="4" t="n">
        <v>44.87</v>
      </c>
      <c r="J4" s="4" t="n">
        <v>10.67</v>
      </c>
      <c r="K4" s="4" t="n">
        <v>14.75</v>
      </c>
      <c r="L4" s="4" t="n">
        <v>35.4</v>
      </c>
      <c r="M4" s="4" t="n">
        <v>51.16</v>
      </c>
      <c r="N4" s="21">
        <f>SUM(E4:M4)</f>
        <v/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4" t="n">
        <v>20</v>
      </c>
      <c r="F5" s="4" t="n">
        <v>394.33</v>
      </c>
      <c r="G5" s="4" t="n">
        <v>19.55</v>
      </c>
      <c r="H5" s="4" t="n">
        <v>0.64</v>
      </c>
      <c r="I5" s="4" t="n">
        <v>9.84</v>
      </c>
      <c r="J5" s="4" t="n">
        <v>7.24</v>
      </c>
      <c r="K5" s="4" t="n">
        <v>0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46254</v>
      </c>
      <c r="E6" s="4" t="n">
        <v>40</v>
      </c>
      <c r="F6" s="4" t="n">
        <v>373.36</v>
      </c>
      <c r="G6" s="4" t="n">
        <v>18.18</v>
      </c>
      <c r="H6" s="4" t="n">
        <v>0.59</v>
      </c>
      <c r="I6" s="4" t="n">
        <v>45.53</v>
      </c>
      <c r="J6" s="4" t="n">
        <v>10.58</v>
      </c>
      <c r="K6" s="4" t="n">
        <v>14.75</v>
      </c>
      <c r="L6" s="4" t="n">
        <v>35.4</v>
      </c>
      <c r="M6" s="4" t="n">
        <v>71.84</v>
      </c>
      <c r="N6" s="21">
        <f>SUM(E6:M6)</f>
        <v/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4" t="n">
        <v>20</v>
      </c>
      <c r="F7" s="4" t="n">
        <v>292.45</v>
      </c>
      <c r="G7" s="4" t="n">
        <v>17.97</v>
      </c>
      <c r="H7" s="4" t="n">
        <v>0.59</v>
      </c>
      <c r="I7" s="4" t="n">
        <v>8.81</v>
      </c>
      <c r="J7" s="4" t="n">
        <v>6.94</v>
      </c>
      <c r="K7" s="4" t="n">
        <v>0</v>
      </c>
      <c r="L7" s="4" t="n">
        <v>0</v>
      </c>
      <c r="M7" s="4" t="n">
        <v>0</v>
      </c>
      <c r="N7" s="21">
        <f>SUM(E7:M7)</f>
        <v/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46254</v>
      </c>
      <c r="E8" s="4" t="n">
        <v>40</v>
      </c>
      <c r="F8" s="4" t="n">
        <v>298.68</v>
      </c>
      <c r="G8" s="4" t="n">
        <v>18.29</v>
      </c>
      <c r="H8" s="4" t="n">
        <v>0.6</v>
      </c>
      <c r="I8" s="4" t="n">
        <v>44.8</v>
      </c>
      <c r="J8" s="4" t="n">
        <v>10.6</v>
      </c>
      <c r="K8" s="4" t="n">
        <v>14.75</v>
      </c>
      <c r="L8" s="4" t="n">
        <v>35.4</v>
      </c>
      <c r="M8" s="4" t="n">
        <v>51.07</v>
      </c>
      <c r="N8" s="21">
        <f>SUM(E8:M8)</f>
        <v/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4" t="n">
        <v>20</v>
      </c>
      <c r="F9" s="4" t="n">
        <v>372.29</v>
      </c>
      <c r="G9" s="4" t="n">
        <v>18.31</v>
      </c>
      <c r="H9" s="4" t="n">
        <v>0.6</v>
      </c>
      <c r="I9" s="4" t="n">
        <v>8.99</v>
      </c>
      <c r="J9" s="4" t="n">
        <v>7</v>
      </c>
      <c r="K9" s="4" t="n">
        <v>0</v>
      </c>
      <c r="L9" s="4" t="n">
        <v>0</v>
      </c>
      <c r="M9" s="4" t="n">
        <v>0</v>
      </c>
      <c r="N9" s="21">
        <f>SUM(E9:M9)</f>
        <v/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46254</v>
      </c>
      <c r="E10" s="4" t="n">
        <v>40</v>
      </c>
      <c r="F10" s="4" t="n">
        <v>370.17</v>
      </c>
      <c r="G10" s="4" t="n">
        <v>17.96</v>
      </c>
      <c r="H10" s="4" t="n">
        <v>0.59</v>
      </c>
      <c r="I10" s="4" t="n">
        <v>44.75</v>
      </c>
      <c r="J10" s="4" t="n">
        <v>10.54</v>
      </c>
      <c r="K10" s="4" t="n">
        <v>14.75</v>
      </c>
      <c r="L10" s="4" t="n">
        <v>35.4</v>
      </c>
      <c r="M10" s="4" t="n">
        <v>61.22</v>
      </c>
      <c r="N10" s="21">
        <f>SUM(E10:M10)</f>
        <v/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4" t="n">
        <v>20</v>
      </c>
      <c r="F11" s="4" t="n">
        <v>287.28</v>
      </c>
      <c r="G11" s="4" t="n">
        <v>17.65</v>
      </c>
      <c r="H11" s="4" t="n">
        <v>0.57</v>
      </c>
      <c r="I11" s="4" t="n">
        <v>8.65</v>
      </c>
      <c r="J11" s="4" t="n">
        <v>6.88</v>
      </c>
      <c r="K11" s="4" t="n">
        <v>0</v>
      </c>
      <c r="L11" s="4" t="n">
        <v>0</v>
      </c>
      <c r="M11" s="4" t="n">
        <v>0</v>
      </c>
      <c r="N11" s="21">
        <f>SUM(E11:M11)</f>
        <v/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46254</v>
      </c>
      <c r="E12" s="4" t="n">
        <v>40</v>
      </c>
      <c r="F12" s="4" t="n">
        <v>300.35</v>
      </c>
      <c r="G12" s="4" t="n">
        <v>18.64</v>
      </c>
      <c r="H12" s="4" t="n">
        <v>0.61</v>
      </c>
      <c r="I12" s="4" t="n">
        <v>45.05</v>
      </c>
      <c r="J12" s="4" t="n">
        <v>10.66</v>
      </c>
      <c r="K12" s="4" t="n">
        <v>14.75</v>
      </c>
      <c r="L12" s="4" t="n">
        <v>35.4</v>
      </c>
      <c r="M12" s="4" t="n">
        <v>60.5</v>
      </c>
      <c r="N12" s="21">
        <f>SUM(E12:M12)</f>
        <v/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4" t="n">
        <v>20</v>
      </c>
      <c r="F13" s="4" t="n">
        <v>388.27</v>
      </c>
      <c r="G13" s="4" t="n">
        <v>19.19</v>
      </c>
      <c r="H13" s="4" t="n">
        <v>0.62</v>
      </c>
      <c r="I13" s="4" t="n">
        <v>9.539999999999999</v>
      </c>
      <c r="J13" s="4" t="n">
        <v>7.17</v>
      </c>
      <c r="K13" s="4" t="n">
        <v>0</v>
      </c>
      <c r="L13" s="4" t="n">
        <v>0</v>
      </c>
      <c r="M13" s="4" t="n">
        <v>0</v>
      </c>
      <c r="N13" s="21">
        <f>SUM(E13:M13)</f>
        <v/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46255</v>
      </c>
      <c r="E14" s="4" t="n">
        <v>40</v>
      </c>
      <c r="F14" s="4" t="n">
        <v>204.8</v>
      </c>
      <c r="G14" s="4" t="n">
        <v>9.91</v>
      </c>
      <c r="H14" s="4" t="n">
        <v>0.32</v>
      </c>
      <c r="I14" s="4" t="n">
        <v>24.82</v>
      </c>
      <c r="J14" s="4" t="n">
        <v>9.039999999999999</v>
      </c>
      <c r="K14" s="4" t="n">
        <v>14.75</v>
      </c>
      <c r="L14" s="4" t="n">
        <v>35.4</v>
      </c>
      <c r="M14" s="4" t="n">
        <v>28.3</v>
      </c>
      <c r="N14" s="21">
        <f>SUM(E14:M14)</f>
        <v/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4" t="n">
        <v>20</v>
      </c>
      <c r="F15" s="4" t="n">
        <v>157.18</v>
      </c>
      <c r="G15" s="4" t="n">
        <v>9.65</v>
      </c>
      <c r="H15" s="4" t="n">
        <v>0.31</v>
      </c>
      <c r="I15" s="4" t="n">
        <v>4.71</v>
      </c>
      <c r="J15" s="4" t="n">
        <v>5.39</v>
      </c>
      <c r="K15" s="4" t="n">
        <v>0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46255</v>
      </c>
      <c r="E16" s="4" t="n">
        <v>40</v>
      </c>
      <c r="F16" s="4" t="n">
        <v>207.46</v>
      </c>
      <c r="G16" s="4" t="n">
        <v>10.14</v>
      </c>
      <c r="H16" s="4" t="n">
        <v>0.33</v>
      </c>
      <c r="I16" s="4" t="n">
        <v>25</v>
      </c>
      <c r="J16" s="4" t="n">
        <v>9.08</v>
      </c>
      <c r="K16" s="4" t="n">
        <v>14.75</v>
      </c>
      <c r="L16" s="4" t="n">
        <v>35.4</v>
      </c>
      <c r="M16" s="4" t="n">
        <v>34.2</v>
      </c>
      <c r="N16" s="21">
        <f>SUM(E16:M16)</f>
        <v/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4" t="n">
        <v>20</v>
      </c>
      <c r="F17" s="4" t="n">
        <v>163.16</v>
      </c>
      <c r="G17" s="4" t="n">
        <v>10</v>
      </c>
      <c r="H17" s="4" t="n">
        <v>0.33</v>
      </c>
      <c r="I17" s="4" t="n">
        <v>4.88</v>
      </c>
      <c r="J17" s="4" t="n">
        <v>5.46</v>
      </c>
      <c r="K17" s="4" t="n">
        <v>0</v>
      </c>
      <c r="L17" s="4" t="n">
        <v>0</v>
      </c>
      <c r="M17" s="4" t="n">
        <v>0</v>
      </c>
      <c r="N17" s="21">
        <f>SUM(E17:M17)</f>
        <v/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46255</v>
      </c>
      <c r="E18" s="4" t="n">
        <v>40</v>
      </c>
      <c r="F18" s="4" t="n">
        <v>166.92</v>
      </c>
      <c r="G18" s="4" t="n">
        <v>10.26</v>
      </c>
      <c r="H18" s="4" t="n">
        <v>0.33</v>
      </c>
      <c r="I18" s="4" t="n">
        <v>25.04</v>
      </c>
      <c r="J18" s="4" t="n">
        <v>9.109999999999999</v>
      </c>
      <c r="K18" s="4" t="n">
        <v>14.75</v>
      </c>
      <c r="L18" s="4" t="n">
        <v>35.4</v>
      </c>
      <c r="M18" s="4" t="n">
        <v>35.74</v>
      </c>
      <c r="N18" s="21">
        <f>SUM(E18:M18)</f>
        <v/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4" t="n">
        <v>20</v>
      </c>
      <c r="F19" s="4" t="n">
        <v>210.6</v>
      </c>
      <c r="G19" s="4" t="n">
        <v>10.38</v>
      </c>
      <c r="H19" s="4" t="n">
        <v>0.34</v>
      </c>
      <c r="I19" s="4" t="n">
        <v>5.13</v>
      </c>
      <c r="J19" s="4" t="n">
        <v>5.53</v>
      </c>
      <c r="K19" s="4" t="n">
        <v>0</v>
      </c>
      <c r="L19" s="4" t="n">
        <v>0</v>
      </c>
      <c r="M19" s="4" t="n">
        <v>0</v>
      </c>
      <c r="N19" s="21">
        <f>SUM(E19:M19)</f>
        <v/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46255</v>
      </c>
      <c r="E20" s="4" t="n">
        <v>40</v>
      </c>
      <c r="F20" s="4" t="n">
        <v>208.02</v>
      </c>
      <c r="G20" s="4" t="n">
        <v>10.2</v>
      </c>
      <c r="H20" s="4" t="n">
        <v>0.33</v>
      </c>
      <c r="I20" s="4" t="n">
        <v>24.92</v>
      </c>
      <c r="J20" s="4" t="n">
        <v>9.1</v>
      </c>
      <c r="K20" s="4" t="n">
        <v>14.75</v>
      </c>
      <c r="L20" s="4" t="n">
        <v>35.4</v>
      </c>
      <c r="M20" s="4" t="n">
        <v>34.09</v>
      </c>
      <c r="N20" s="21">
        <f>SUM(E20:M20)</f>
        <v/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4" t="n">
        <v>20</v>
      </c>
      <c r="F21" s="4" t="n">
        <v>167.52</v>
      </c>
      <c r="G21" s="4" t="n">
        <v>10.33</v>
      </c>
      <c r="H21" s="4" t="n">
        <v>0.34</v>
      </c>
      <c r="I21" s="4" t="n">
        <v>5.11</v>
      </c>
      <c r="J21" s="4" t="n">
        <v>5.52</v>
      </c>
      <c r="K21" s="4" t="n">
        <v>0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46255</v>
      </c>
      <c r="E22" s="4" t="n">
        <v>40</v>
      </c>
      <c r="F22" s="4" t="n">
        <v>166.77</v>
      </c>
      <c r="G22" s="4" t="n">
        <v>10.24</v>
      </c>
      <c r="H22" s="4" t="n">
        <v>0.33</v>
      </c>
      <c r="I22" s="4" t="n">
        <v>25.02</v>
      </c>
      <c r="J22" s="4" t="n">
        <v>9.1</v>
      </c>
      <c r="K22" s="4" t="n">
        <v>14.75</v>
      </c>
      <c r="L22" s="4" t="n">
        <v>35.4</v>
      </c>
      <c r="M22" s="4" t="n">
        <v>37.57</v>
      </c>
      <c r="N22" s="21">
        <f>SUM(E22:M22)</f>
        <v/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4" t="n">
        <v>20</v>
      </c>
      <c r="F23" s="4" t="n">
        <v>207.17</v>
      </c>
      <c r="G23" s="4" t="n">
        <v>10.14</v>
      </c>
      <c r="H23" s="4" t="n">
        <v>0.33</v>
      </c>
      <c r="I23" s="4" t="n">
        <v>4.91</v>
      </c>
      <c r="J23" s="4" t="n">
        <v>5.48</v>
      </c>
      <c r="K23" s="4" t="n">
        <v>0</v>
      </c>
      <c r="L23" s="4" t="n">
        <v>0</v>
      </c>
      <c r="M23" s="4" t="n">
        <v>0</v>
      </c>
      <c r="N23" s="21">
        <f>SUM(E23:M23)</f>
        <v/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46255</v>
      </c>
      <c r="E24" s="4" t="n">
        <v>40</v>
      </c>
      <c r="F24" s="4" t="n">
        <v>207.12</v>
      </c>
      <c r="G24" s="4" t="n">
        <v>10.06</v>
      </c>
      <c r="H24" s="4" t="n">
        <v>0.33</v>
      </c>
      <c r="I24" s="4" t="n">
        <v>25.05</v>
      </c>
      <c r="J24" s="4" t="n">
        <v>9.07</v>
      </c>
      <c r="K24" s="4" t="n">
        <v>14.75</v>
      </c>
      <c r="L24" s="4" t="n">
        <v>35.4</v>
      </c>
      <c r="M24" s="4" t="n">
        <v>34.27</v>
      </c>
      <c r="N24" s="21">
        <f>SUM(E24:M24)</f>
        <v/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4" t="n">
        <v>20</v>
      </c>
      <c r="F25" s="4" t="n">
        <v>160.46</v>
      </c>
      <c r="G25" s="4" t="n">
        <v>9.85</v>
      </c>
      <c r="H25" s="4" t="n">
        <v>0.32</v>
      </c>
      <c r="I25" s="4" t="n">
        <v>4.81</v>
      </c>
      <c r="J25" s="4" t="n">
        <v>5.43</v>
      </c>
      <c r="K25" s="4" t="n">
        <v>0</v>
      </c>
      <c r="L25" s="4" t="n">
        <v>0</v>
      </c>
      <c r="M25" s="4" t="n">
        <v>0</v>
      </c>
      <c r="N25" s="21">
        <f>SUM(E25:M25)</f>
        <v/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46255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21">
        <f>SUM(E26:M26)</f>
        <v/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4" t="n">
        <v>20</v>
      </c>
      <c r="F27" s="4" t="n">
        <v>169.15</v>
      </c>
      <c r="G27" s="4" t="n">
        <v>10.4</v>
      </c>
      <c r="H27" s="4" t="n">
        <v>0.34</v>
      </c>
      <c r="I27" s="4" t="n">
        <v>5.1</v>
      </c>
      <c r="J27" s="4" t="n">
        <v>5.53</v>
      </c>
      <c r="K27" s="4" t="n">
        <v>0</v>
      </c>
      <c r="L27" s="4" t="n">
        <v>0</v>
      </c>
      <c r="M27" s="4" t="n">
        <v>0</v>
      </c>
      <c r="N27" s="21">
        <f>SUM(E27:M27)</f>
        <v/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46258</v>
      </c>
      <c r="E28" s="4" t="n">
        <v>40</v>
      </c>
      <c r="F28" s="4" t="n">
        <v>385.7</v>
      </c>
      <c r="G28" s="4" t="n">
        <v>23.19</v>
      </c>
      <c r="H28" s="4" t="n">
        <v>0.76</v>
      </c>
      <c r="I28" s="4" t="n">
        <v>58.34</v>
      </c>
      <c r="J28" s="4" t="n">
        <v>11.51</v>
      </c>
      <c r="K28" s="4" t="n">
        <v>14.75</v>
      </c>
      <c r="L28" s="4" t="n">
        <v>0</v>
      </c>
      <c r="M28" s="4" t="n">
        <v>0</v>
      </c>
      <c r="N28" s="21">
        <f>SUM(E28:M28)</f>
        <v/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4" t="n">
        <v>20</v>
      </c>
      <c r="F29" s="4" t="n">
        <v>463.59</v>
      </c>
      <c r="G29" s="4" t="n">
        <v>22.81</v>
      </c>
      <c r="H29" s="4" t="n">
        <v>0.74</v>
      </c>
      <c r="I29" s="4" t="n">
        <v>11.2</v>
      </c>
      <c r="J29" s="4" t="n">
        <v>7.84</v>
      </c>
      <c r="K29" s="4" t="n">
        <v>0</v>
      </c>
      <c r="L29" s="4" t="n">
        <v>0</v>
      </c>
      <c r="M29" s="4" t="n">
        <v>0</v>
      </c>
      <c r="N29" s="21">
        <f>SUM(E29:M29)</f>
        <v/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46258</v>
      </c>
      <c r="E30" s="4" t="n">
        <v>40</v>
      </c>
      <c r="F30" s="4" t="n">
        <v>374.56</v>
      </c>
      <c r="G30" s="4" t="n">
        <v>23.16</v>
      </c>
      <c r="H30" s="4" t="n">
        <v>0.75</v>
      </c>
      <c r="I30" s="4" t="n">
        <v>56.19</v>
      </c>
      <c r="J30" s="4" t="n">
        <v>11.51</v>
      </c>
      <c r="K30" s="4" t="n">
        <v>14.75</v>
      </c>
      <c r="L30" s="4" t="n">
        <v>35.4</v>
      </c>
      <c r="M30" s="4" t="n">
        <v>246.84</v>
      </c>
      <c r="N30" s="21">
        <f>SUM(E30:M30)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4" t="n">
        <v>20</v>
      </c>
      <c r="F31" s="4" t="n">
        <v>473.02</v>
      </c>
      <c r="G31" s="4" t="n">
        <v>23.18</v>
      </c>
      <c r="H31" s="4" t="n">
        <v>0.76</v>
      </c>
      <c r="I31" s="4" t="n">
        <v>11.24</v>
      </c>
      <c r="J31" s="4" t="n">
        <v>7.91</v>
      </c>
      <c r="K31" s="4" t="n">
        <v>0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46258</v>
      </c>
      <c r="E32" s="4" t="n">
        <v>40</v>
      </c>
      <c r="F32" s="4" t="n">
        <v>372.13</v>
      </c>
      <c r="G32" s="4" t="n">
        <v>22.97</v>
      </c>
      <c r="H32" s="4" t="n">
        <v>0.75</v>
      </c>
      <c r="I32" s="4" t="n">
        <v>55.82</v>
      </c>
      <c r="J32" s="4" t="n">
        <v>11.47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4" t="n">
        <v>20</v>
      </c>
      <c r="F33" s="4" t="n">
        <v>467.24</v>
      </c>
      <c r="G33" s="4" t="n">
        <v>22.88</v>
      </c>
      <c r="H33" s="4" t="n">
        <v>0.75</v>
      </c>
      <c r="I33" s="4" t="n">
        <v>11.12</v>
      </c>
      <c r="J33" s="4" t="n">
        <v>7.85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46259</v>
      </c>
      <c r="E34" s="4" t="n">
        <v>40</v>
      </c>
      <c r="F34" s="4" t="n">
        <v>208.67</v>
      </c>
      <c r="G34" s="4" t="n">
        <v>10.26</v>
      </c>
      <c r="H34" s="4" t="n">
        <v>0.33</v>
      </c>
      <c r="I34" s="4" t="n">
        <v>25.07</v>
      </c>
      <c r="J34" s="4" t="n">
        <v>9.109999999999999</v>
      </c>
      <c r="K34" s="4" t="n">
        <v>14.75</v>
      </c>
      <c r="L34" s="4" t="n">
        <v>35.4</v>
      </c>
      <c r="M34" s="4" t="n">
        <v>34.3</v>
      </c>
      <c r="N34" s="21">
        <f>SUM(E34:M34)</f>
        <v/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4" t="n">
        <v>20</v>
      </c>
      <c r="F35" s="4" t="n">
        <v>166.39</v>
      </c>
      <c r="G35" s="4" t="n">
        <v>10.17</v>
      </c>
      <c r="H35" s="4" t="n">
        <v>0.33</v>
      </c>
      <c r="I35" s="4" t="n">
        <v>4.92</v>
      </c>
      <c r="J35" s="4" t="n">
        <v>5.49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46259</v>
      </c>
      <c r="E36" s="4" t="n">
        <v>40</v>
      </c>
      <c r="F36" s="4" t="n">
        <v>167.09</v>
      </c>
      <c r="G36" s="4" t="n">
        <v>10.13</v>
      </c>
      <c r="H36" s="4" t="n">
        <v>0.33</v>
      </c>
      <c r="I36" s="4" t="n">
        <v>25.44</v>
      </c>
      <c r="J36" s="4" t="n">
        <v>9.08</v>
      </c>
      <c r="K36" s="4" t="n">
        <v>14.75</v>
      </c>
      <c r="L36" s="4" t="n">
        <v>35.4</v>
      </c>
      <c r="M36" s="4" t="n">
        <v>34.29</v>
      </c>
      <c r="N36" s="21">
        <f>SUM(E36:M36)</f>
        <v/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4" t="n">
        <v>20</v>
      </c>
      <c r="F37" s="4" t="n">
        <v>205.45</v>
      </c>
      <c r="G37" s="4" t="n">
        <v>10.13</v>
      </c>
      <c r="H37" s="4" t="n">
        <v>0.33</v>
      </c>
      <c r="I37" s="4" t="n">
        <v>5.01</v>
      </c>
      <c r="J37" s="4" t="n">
        <v>5.48</v>
      </c>
      <c r="K37" s="4" t="n">
        <v>0</v>
      </c>
      <c r="L37" s="4" t="n">
        <v>0</v>
      </c>
      <c r="M37" s="4" t="n">
        <v>0</v>
      </c>
      <c r="N37" s="21">
        <f>SUM(E37:M37)</f>
        <v/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46259</v>
      </c>
      <c r="E38" s="4" t="n">
        <v>40</v>
      </c>
      <c r="F38" s="4" t="n">
        <v>166.42</v>
      </c>
      <c r="G38" s="4" t="n">
        <v>10.23</v>
      </c>
      <c r="H38" s="4" t="n">
        <v>0.33</v>
      </c>
      <c r="I38" s="4" t="n">
        <v>24.96</v>
      </c>
      <c r="J38" s="4" t="n">
        <v>9.1</v>
      </c>
      <c r="K38" s="4" t="n">
        <v>14.75</v>
      </c>
      <c r="L38" s="4" t="n">
        <v>35.4</v>
      </c>
      <c r="M38" s="4" t="n">
        <v>0</v>
      </c>
      <c r="N38" s="21">
        <f>SUM(E38:M38)</f>
        <v/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4" t="n">
        <v>20</v>
      </c>
      <c r="F39" s="4" t="n">
        <v>209.55</v>
      </c>
      <c r="G39" s="4" t="n">
        <v>10.31</v>
      </c>
      <c r="H39" s="4" t="n">
        <v>0.34</v>
      </c>
      <c r="I39" s="4" t="n">
        <v>5.35</v>
      </c>
      <c r="J39" s="4" t="n">
        <v>5.52</v>
      </c>
      <c r="K39" s="4" t="n">
        <v>0</v>
      </c>
      <c r="L39" s="4" t="n">
        <v>0</v>
      </c>
      <c r="M39" s="4" t="n">
        <v>0</v>
      </c>
      <c r="N39" s="21">
        <f>SUM(E39:M39)</f>
        <v/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46259</v>
      </c>
      <c r="E40" s="4" t="n">
        <v>40</v>
      </c>
      <c r="F40" s="4" t="n">
        <v>206.1</v>
      </c>
      <c r="G40" s="4" t="n">
        <v>10</v>
      </c>
      <c r="H40" s="4" t="n">
        <v>0.33</v>
      </c>
      <c r="I40" s="4" t="n">
        <v>24.97</v>
      </c>
      <c r="J40" s="4" t="n">
        <v>9.06</v>
      </c>
      <c r="K40" s="4" t="n">
        <v>14.75</v>
      </c>
      <c r="L40" s="4" t="n">
        <v>35.4</v>
      </c>
      <c r="M40" s="4" t="n">
        <v>32.86</v>
      </c>
      <c r="N40" s="21">
        <f>SUM(E40:M40)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4" t="n">
        <v>20</v>
      </c>
      <c r="F41" s="4" t="n">
        <v>158.48</v>
      </c>
      <c r="G41" s="4" t="n">
        <v>9.710000000000001</v>
      </c>
      <c r="H41" s="4" t="n">
        <v>0.32</v>
      </c>
      <c r="I41" s="4" t="n">
        <v>4.72</v>
      </c>
      <c r="J41" s="4" t="n">
        <v>5.41</v>
      </c>
      <c r="K41" s="4" t="n">
        <v>0</v>
      </c>
      <c r="L41" s="4" t="n">
        <v>0</v>
      </c>
      <c r="M41" s="4" t="n">
        <v>0</v>
      </c>
      <c r="N41" s="21">
        <f>SUM(E41:M41)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46262</v>
      </c>
      <c r="E42" s="4" t="n">
        <v>40</v>
      </c>
      <c r="F42" s="4" t="n">
        <v>702.35</v>
      </c>
      <c r="G42" s="4" t="n">
        <v>21.55</v>
      </c>
      <c r="H42" s="4" t="n">
        <v>0.7</v>
      </c>
      <c r="I42" s="4" t="n">
        <v>52.75</v>
      </c>
      <c r="J42" s="4" t="n">
        <v>11.2</v>
      </c>
      <c r="K42" s="4" t="n">
        <v>14.75</v>
      </c>
      <c r="L42" s="4" t="n">
        <v>35.4</v>
      </c>
      <c r="M42" s="4" t="n">
        <v>71.81</v>
      </c>
      <c r="N42" s="21">
        <f>SUM(E42:M42)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46262</v>
      </c>
      <c r="E43" s="4" t="n">
        <v>40</v>
      </c>
      <c r="F43" s="4" t="n">
        <v>698.6</v>
      </c>
      <c r="G43" s="4" t="n">
        <v>21.45</v>
      </c>
      <c r="H43" s="4" t="n">
        <v>0.7</v>
      </c>
      <c r="I43" s="4" t="n">
        <v>52.54</v>
      </c>
      <c r="J43" s="4" t="n">
        <v>11.19</v>
      </c>
      <c r="K43" s="4" t="n">
        <v>14.75</v>
      </c>
      <c r="L43" s="4" t="n">
        <v>35.4</v>
      </c>
      <c r="M43" s="4" t="n">
        <v>59.89</v>
      </c>
      <c r="N43" s="21">
        <f>SUM(E43:M43)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46262</v>
      </c>
      <c r="E44" s="4" t="n">
        <v>40</v>
      </c>
      <c r="F44" s="4" t="n">
        <v>715.45</v>
      </c>
      <c r="G44" s="4" t="n">
        <v>21.97</v>
      </c>
      <c r="H44" s="4" t="n">
        <v>0.72</v>
      </c>
      <c r="I44" s="4" t="n">
        <v>52.71</v>
      </c>
      <c r="J44" s="4" t="n">
        <v>11.28</v>
      </c>
      <c r="K44" s="4" t="n">
        <v>14.75</v>
      </c>
      <c r="L44" s="4" t="n">
        <v>35.4</v>
      </c>
      <c r="M44" s="4" t="n">
        <v>72.11</v>
      </c>
      <c r="N44" s="21">
        <f>SUM(E44:M44)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46265</v>
      </c>
      <c r="E45" s="4" t="n">
        <v>40</v>
      </c>
      <c r="F45" s="4" t="n">
        <v>279.81</v>
      </c>
      <c r="G45" s="4" t="n">
        <v>17.5</v>
      </c>
      <c r="H45" s="4" t="n">
        <v>0.57</v>
      </c>
      <c r="I45" s="4" t="n">
        <v>41.97</v>
      </c>
      <c r="J45" s="4" t="n">
        <v>10.45</v>
      </c>
      <c r="K45" s="4" t="n">
        <v>14.75</v>
      </c>
      <c r="L45" s="4" t="n">
        <v>35.4</v>
      </c>
      <c r="M45" s="4" t="n">
        <v>172.25</v>
      </c>
      <c r="N45" s="21">
        <f>SUM(E45:M45)</f>
        <v/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4" t="n">
        <v>20</v>
      </c>
      <c r="F46" s="4" t="n">
        <v>361.66</v>
      </c>
      <c r="G46" s="4" t="n">
        <v>17.74</v>
      </c>
      <c r="H46" s="4" t="n">
        <v>0.58</v>
      </c>
      <c r="I46" s="4" t="n">
        <v>8.630000000000001</v>
      </c>
      <c r="J46" s="4" t="n">
        <v>6.9</v>
      </c>
      <c r="K46" s="4" t="n">
        <v>0</v>
      </c>
      <c r="L46" s="4" t="n">
        <v>0</v>
      </c>
      <c r="M46" s="4" t="n">
        <v>0</v>
      </c>
      <c r="N46" s="21">
        <f>SUM(E46:M46)</f>
        <v/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46265</v>
      </c>
      <c r="E47" s="4" t="n">
        <v>40</v>
      </c>
      <c r="F47" s="4" t="n">
        <v>280.6</v>
      </c>
      <c r="G47" s="4" t="n">
        <v>17.16</v>
      </c>
      <c r="H47" s="4" t="n">
        <v>0.5600000000000001</v>
      </c>
      <c r="I47" s="4" t="n">
        <v>42.25</v>
      </c>
      <c r="J47" s="4" t="n">
        <v>10.39</v>
      </c>
      <c r="K47" s="4" t="n">
        <v>14.75</v>
      </c>
      <c r="L47" s="4" t="n">
        <v>35.4</v>
      </c>
      <c r="M47" s="4" t="n">
        <v>172.74</v>
      </c>
      <c r="N47" s="21">
        <f>SUM(E47:M47)</f>
        <v/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4" t="n">
        <v>20</v>
      </c>
      <c r="F48" s="4" t="n">
        <v>345.44</v>
      </c>
      <c r="G48" s="4" t="n">
        <v>16.91</v>
      </c>
      <c r="H48" s="4" t="n">
        <v>0.55</v>
      </c>
      <c r="I48" s="4" t="n">
        <v>8.199999999999999</v>
      </c>
      <c r="J48" s="4" t="n">
        <v>6.74</v>
      </c>
      <c r="K48" s="4" t="n">
        <v>0</v>
      </c>
      <c r="L48" s="4" t="n">
        <v>0</v>
      </c>
      <c r="M48" s="4" t="n">
        <v>0</v>
      </c>
      <c r="N48" s="21">
        <f>SUM(E48:M48)</f>
        <v/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46265</v>
      </c>
      <c r="E49" s="4" t="n">
        <v>40</v>
      </c>
      <c r="F49" s="4" t="n">
        <v>345.95</v>
      </c>
      <c r="G49" s="4" t="n">
        <v>16.64</v>
      </c>
      <c r="H49" s="4" t="n">
        <v>0.54</v>
      </c>
      <c r="I49" s="4" t="n">
        <v>42.09</v>
      </c>
      <c r="J49" s="4" t="n">
        <v>10.29</v>
      </c>
      <c r="K49" s="4" t="n">
        <v>14.75</v>
      </c>
      <c r="L49" s="4" t="n">
        <v>35.4</v>
      </c>
      <c r="M49" s="4" t="n">
        <v>188.53</v>
      </c>
      <c r="N49" s="21">
        <f>SUM(E49:M49)</f>
        <v/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4" t="n">
        <v>20</v>
      </c>
      <c r="F50" s="4" t="n">
        <v>261.32</v>
      </c>
      <c r="G50" s="4" t="n">
        <v>16.05</v>
      </c>
      <c r="H50" s="4" t="n">
        <v>0.52</v>
      </c>
      <c r="I50" s="4" t="n">
        <v>7.84</v>
      </c>
      <c r="J50" s="4" t="n">
        <v>6.58</v>
      </c>
      <c r="K50" s="4" t="n">
        <v>0</v>
      </c>
      <c r="L50" s="4" t="n">
        <v>0</v>
      </c>
      <c r="M50" s="4" t="n">
        <v>0</v>
      </c>
      <c r="N50" s="21">
        <f>SUM(E50:M50)</f>
        <v/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46265</v>
      </c>
      <c r="E51" s="4" t="n">
        <v>40</v>
      </c>
      <c r="F51" s="4" t="n">
        <v>352.73</v>
      </c>
      <c r="G51" s="4" t="n">
        <v>17.37</v>
      </c>
      <c r="H51" s="4" t="n">
        <v>0.57</v>
      </c>
      <c r="I51" s="4" t="n">
        <v>42.43</v>
      </c>
      <c r="J51" s="4" t="n">
        <v>10.43</v>
      </c>
      <c r="K51" s="4" t="n">
        <v>14.75</v>
      </c>
      <c r="L51" s="4" t="n">
        <v>35.4</v>
      </c>
      <c r="M51" s="4" t="n">
        <v>148</v>
      </c>
      <c r="N51" s="21">
        <f>SUM(E51:M51)</f>
        <v/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4" t="n">
        <v>20</v>
      </c>
      <c r="F52" s="4" t="n">
        <v>279.5</v>
      </c>
      <c r="G52" s="4" t="n">
        <v>17.06</v>
      </c>
      <c r="H52" s="4" t="n">
        <v>0.5600000000000001</v>
      </c>
      <c r="I52" s="4" t="n">
        <v>8.19</v>
      </c>
      <c r="J52" s="4" t="n">
        <v>6.77</v>
      </c>
      <c r="K52" s="4" t="n">
        <v>0</v>
      </c>
      <c r="L52" s="4" t="n">
        <v>0</v>
      </c>
      <c r="M52" s="4" t="n">
        <v>0</v>
      </c>
      <c r="N52" s="21">
        <f>SUM(E52:M52)</f>
        <v/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46265</v>
      </c>
      <c r="E53" s="4" t="n">
        <v>40</v>
      </c>
      <c r="F53" s="4" t="n">
        <v>281.72</v>
      </c>
      <c r="G53" s="4" t="n">
        <v>17.35</v>
      </c>
      <c r="H53" s="4" t="n">
        <v>0.57</v>
      </c>
      <c r="I53" s="4" t="n">
        <v>42.26</v>
      </c>
      <c r="J53" s="4" t="n">
        <v>10.43</v>
      </c>
      <c r="K53" s="4" t="n">
        <v>14.75</v>
      </c>
      <c r="L53" s="4" t="n">
        <v>35.4</v>
      </c>
      <c r="M53" s="4" t="n">
        <v>144.52</v>
      </c>
      <c r="N53" s="21">
        <f>SUM(E53:M53)</f>
        <v/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4" t="n">
        <v>20</v>
      </c>
      <c r="F54" s="4" t="n">
        <v>354.14</v>
      </c>
      <c r="G54" s="4" t="n">
        <v>17.38</v>
      </c>
      <c r="H54" s="4" t="n">
        <v>0.57</v>
      </c>
      <c r="I54" s="4" t="n">
        <v>8.470000000000001</v>
      </c>
      <c r="J54" s="4" t="n">
        <v>6.83</v>
      </c>
      <c r="K54" s="4" t="n">
        <v>0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46266</v>
      </c>
      <c r="E55" s="4" t="n">
        <v>40</v>
      </c>
      <c r="F55" s="4" t="n">
        <v>352.75</v>
      </c>
      <c r="G55" s="4" t="n">
        <v>21.8</v>
      </c>
      <c r="H55" s="4" t="n">
        <v>0.71</v>
      </c>
      <c r="I55" s="4" t="n">
        <v>52.91</v>
      </c>
      <c r="J55" s="4" t="n">
        <v>11.25</v>
      </c>
      <c r="K55" s="4" t="n">
        <v>14.75</v>
      </c>
      <c r="L55" s="4" t="n">
        <v>35.4</v>
      </c>
      <c r="M55" s="4" t="n">
        <v>80.81999999999999</v>
      </c>
      <c r="N55" s="21">
        <f>SUM(E55:M55)</f>
        <v/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4" t="n">
        <v>20</v>
      </c>
      <c r="F56" s="4" t="n">
        <v>447.53</v>
      </c>
      <c r="G56" s="4" t="n">
        <v>21.97</v>
      </c>
      <c r="H56" s="4" t="n">
        <v>0.71</v>
      </c>
      <c r="I56" s="4" t="n">
        <v>10.76</v>
      </c>
      <c r="J56" s="4" t="n">
        <v>7.68</v>
      </c>
      <c r="K56" s="4" t="n">
        <v>0</v>
      </c>
      <c r="L56" s="4" t="n">
        <v>0</v>
      </c>
      <c r="M56" s="4" t="n">
        <v>0</v>
      </c>
      <c r="N56" s="21">
        <f>SUM(E56:M56)</f>
        <v/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46266</v>
      </c>
      <c r="E57" s="4" t="n">
        <v>40</v>
      </c>
      <c r="F57" s="4" t="n">
        <v>346.92</v>
      </c>
      <c r="G57" s="4" t="n">
        <v>21.04</v>
      </c>
      <c r="H57" s="4" t="n">
        <v>0.6899999999999999</v>
      </c>
      <c r="I57" s="4" t="n">
        <v>52.4</v>
      </c>
      <c r="J57" s="4" t="n">
        <v>11.11</v>
      </c>
      <c r="K57" s="4" t="n">
        <v>14.75</v>
      </c>
      <c r="L57" s="4" t="n">
        <v>35.4</v>
      </c>
      <c r="M57" s="4" t="n">
        <v>79.23999999999999</v>
      </c>
      <c r="N57" s="21">
        <f>SUM(E57:M57)</f>
        <v/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4" t="n">
        <v>20</v>
      </c>
      <c r="F58" s="4" t="n">
        <v>421.34</v>
      </c>
      <c r="G58" s="4" t="n">
        <v>20.65</v>
      </c>
      <c r="H58" s="4" t="n">
        <v>0.67</v>
      </c>
      <c r="I58" s="4" t="n">
        <v>10.02</v>
      </c>
      <c r="J58" s="4" t="n">
        <v>7.44</v>
      </c>
      <c r="K58" s="4" t="n">
        <v>0</v>
      </c>
      <c r="L58" s="4" t="n">
        <v>0</v>
      </c>
      <c r="M58" s="4" t="n">
        <v>0</v>
      </c>
      <c r="N58" s="21">
        <f>SUM(E58:M58)</f>
        <v/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46266</v>
      </c>
      <c r="E59" s="4" t="n">
        <v>40</v>
      </c>
      <c r="F59" s="4" t="n">
        <v>349.06</v>
      </c>
      <c r="G59" s="4" t="n">
        <v>21.2</v>
      </c>
      <c r="H59" s="4" t="n">
        <v>0.6899999999999999</v>
      </c>
      <c r="I59" s="4" t="n">
        <v>52.36</v>
      </c>
      <c r="J59" s="4" t="n">
        <v>11.14</v>
      </c>
      <c r="K59" s="4" t="n">
        <v>14.75</v>
      </c>
      <c r="L59" s="4" t="n">
        <v>35.4</v>
      </c>
      <c r="M59" s="4" t="n">
        <v>71.63</v>
      </c>
      <c r="N59" s="21">
        <f>SUM(E59:M59)</f>
        <v/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4" t="n">
        <v>20</v>
      </c>
      <c r="F60" s="4" t="n">
        <v>425.18</v>
      </c>
      <c r="G60" s="4" t="n">
        <v>20.84</v>
      </c>
      <c r="H60" s="4" t="n">
        <v>0.68</v>
      </c>
      <c r="I60" s="4" t="n">
        <v>10.13</v>
      </c>
      <c r="J60" s="4" t="n">
        <v>7.47</v>
      </c>
      <c r="K60" s="4" t="n">
        <v>0</v>
      </c>
      <c r="L60" s="4" t="n">
        <v>0</v>
      </c>
      <c r="M60" s="4" t="n">
        <v>0</v>
      </c>
      <c r="N60" s="21">
        <f>SUM(E60:M60)</f>
        <v/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46267</v>
      </c>
      <c r="E61" s="4" t="n">
        <v>20</v>
      </c>
      <c r="F61" s="4" t="n">
        <v>218.68</v>
      </c>
      <c r="G61" s="4" t="n">
        <v>10.83</v>
      </c>
      <c r="H61" s="4" t="n">
        <v>0.35</v>
      </c>
      <c r="I61" s="4" t="n">
        <v>26.11</v>
      </c>
      <c r="J61" s="4" t="n">
        <v>5.61</v>
      </c>
      <c r="K61" s="4" t="n">
        <v>14.75</v>
      </c>
      <c r="L61" s="4" t="n">
        <v>0</v>
      </c>
      <c r="M61" s="4" t="n">
        <v>0</v>
      </c>
      <c r="N61" s="21">
        <f>SUM(E61:M61)</f>
        <v/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4" t="n">
        <v>20</v>
      </c>
      <c r="F62" s="4" t="n">
        <v>178.54</v>
      </c>
      <c r="G62" s="4" t="n">
        <v>10.96</v>
      </c>
      <c r="H62" s="4" t="n">
        <v>0.36</v>
      </c>
      <c r="I62" s="4" t="n">
        <v>5.35</v>
      </c>
      <c r="J62" s="4" t="n">
        <v>5.64</v>
      </c>
      <c r="K62" s="4" t="n">
        <v>0</v>
      </c>
      <c r="L62" s="4" t="n">
        <v>0</v>
      </c>
      <c r="M62" s="4" t="n">
        <v>0</v>
      </c>
      <c r="N62" s="21">
        <f>SUM(E62:M62)</f>
        <v/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46267</v>
      </c>
      <c r="E63" s="4" t="n">
        <v>40</v>
      </c>
      <c r="F63" s="4" t="n">
        <v>439.17</v>
      </c>
      <c r="G63" s="4" t="n">
        <v>21.68</v>
      </c>
      <c r="H63" s="4" t="n">
        <v>0.71</v>
      </c>
      <c r="I63" s="4" t="n">
        <v>52.69</v>
      </c>
      <c r="J63" s="4" t="n">
        <v>11.23</v>
      </c>
      <c r="K63" s="4" t="n">
        <v>14.75</v>
      </c>
      <c r="L63" s="4" t="n">
        <v>35.4</v>
      </c>
      <c r="M63" s="4" t="n">
        <v>72.09</v>
      </c>
      <c r="N63" s="21">
        <f>SUM(E63:M63)</f>
        <v/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4" t="n">
        <v>20</v>
      </c>
      <c r="F64" s="4" t="n">
        <v>351.29</v>
      </c>
      <c r="G64" s="4" t="n">
        <v>21.48</v>
      </c>
      <c r="H64" s="4" t="n">
        <v>0.7</v>
      </c>
      <c r="I64" s="4" t="n">
        <v>10.35</v>
      </c>
      <c r="J64" s="4" t="n">
        <v>7.59</v>
      </c>
      <c r="K64" s="4" t="n">
        <v>0</v>
      </c>
      <c r="L64" s="4" t="n">
        <v>0</v>
      </c>
      <c r="M64" s="4" t="n">
        <v>0</v>
      </c>
      <c r="N64" s="21">
        <f>SUM(E64:M64)</f>
        <v/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46267</v>
      </c>
      <c r="E65" s="4" t="n">
        <v>40</v>
      </c>
      <c r="F65" s="4" t="n">
        <v>354.61</v>
      </c>
      <c r="G65" s="4" t="n">
        <v>21.14</v>
      </c>
      <c r="H65" s="4" t="n">
        <v>0.6899999999999999</v>
      </c>
      <c r="I65" s="4" t="n">
        <v>53.29</v>
      </c>
      <c r="J65" s="4" t="n">
        <v>11.13</v>
      </c>
      <c r="K65" s="4" t="n">
        <v>14.75</v>
      </c>
      <c r="L65" s="4" t="n">
        <v>35.4</v>
      </c>
      <c r="M65" s="4" t="n">
        <v>79.23</v>
      </c>
      <c r="N65" s="21">
        <f>SUM(E65:M65)</f>
        <v/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4" t="n">
        <v>20</v>
      </c>
      <c r="F66" s="4" t="n">
        <v>419.36</v>
      </c>
      <c r="G66" s="4" t="n">
        <v>20.65</v>
      </c>
      <c r="H66" s="4" t="n">
        <v>0.67</v>
      </c>
      <c r="I66" s="4" t="n">
        <v>10.16</v>
      </c>
      <c r="J66" s="4" t="n">
        <v>7.44</v>
      </c>
      <c r="K66" s="4" t="n">
        <v>0</v>
      </c>
      <c r="L66" s="4" t="n">
        <v>0</v>
      </c>
      <c r="M66" s="4" t="n">
        <v>0</v>
      </c>
      <c r="N66" s="21">
        <f>SUM(E66:M66)</f>
        <v/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46268</v>
      </c>
      <c r="E67" s="4" t="n">
        <v>40</v>
      </c>
      <c r="F67" s="4" t="n">
        <v>249.19</v>
      </c>
      <c r="G67" s="4" t="n">
        <v>12.19</v>
      </c>
      <c r="H67" s="4" t="n">
        <v>0.4</v>
      </c>
      <c r="I67" s="4" t="n">
        <v>29.99</v>
      </c>
      <c r="J67" s="4" t="n">
        <v>9.470000000000001</v>
      </c>
      <c r="K67" s="4" t="n">
        <v>14.75</v>
      </c>
      <c r="L67" s="4" t="n">
        <v>35.4</v>
      </c>
      <c r="M67" s="4" t="n">
        <v>46.33</v>
      </c>
      <c r="N67" s="21">
        <f>SUM(E67:M67)</f>
        <v/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4" t="n">
        <v>20</v>
      </c>
      <c r="F68" s="4" t="n">
        <v>196.92</v>
      </c>
      <c r="G68" s="4" t="n">
        <v>12.09</v>
      </c>
      <c r="H68" s="4" t="n">
        <v>0.39</v>
      </c>
      <c r="I68" s="4" t="n">
        <v>5.9</v>
      </c>
      <c r="J68" s="4" t="n">
        <v>5.85</v>
      </c>
      <c r="K68" s="4" t="n">
        <v>0</v>
      </c>
      <c r="L68" s="4" t="n">
        <v>0</v>
      </c>
      <c r="M68" s="4" t="n">
        <v>0</v>
      </c>
      <c r="N68" s="21">
        <f>SUM(E68:M68)</f>
        <v/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46268</v>
      </c>
      <c r="E69" s="4" t="n">
        <v>40</v>
      </c>
      <c r="F69" s="4" t="n">
        <v>200.32</v>
      </c>
      <c r="G69" s="4" t="n">
        <v>12.32</v>
      </c>
      <c r="H69" s="4" t="n">
        <v>0.4</v>
      </c>
      <c r="I69" s="4" t="n">
        <v>30.3</v>
      </c>
      <c r="J69" s="4" t="n">
        <v>9.49</v>
      </c>
      <c r="K69" s="4" t="n">
        <v>14.75</v>
      </c>
      <c r="L69" s="4" t="n">
        <v>35.4</v>
      </c>
      <c r="M69" s="4" t="n">
        <v>41.11</v>
      </c>
      <c r="N69" s="21">
        <f>SUM(E69:M69)</f>
        <v/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4" t="n">
        <v>20</v>
      </c>
      <c r="F70" s="4" t="n">
        <v>251.89</v>
      </c>
      <c r="G70" s="4" t="n">
        <v>12.39</v>
      </c>
      <c r="H70" s="4" t="n">
        <v>0.4</v>
      </c>
      <c r="I70" s="4" t="n">
        <v>6.1</v>
      </c>
      <c r="J70" s="4" t="n">
        <v>5.9</v>
      </c>
      <c r="K70" s="4" t="n">
        <v>0</v>
      </c>
      <c r="L70" s="4" t="n">
        <v>0</v>
      </c>
      <c r="M70" s="4" t="n">
        <v>0</v>
      </c>
      <c r="N70" s="21">
        <f>SUM(E70:M70)</f>
        <v/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46268</v>
      </c>
      <c r="E71" s="4" t="n">
        <v>20</v>
      </c>
      <c r="F71" s="4" t="n">
        <v>100.76</v>
      </c>
      <c r="G71" s="4" t="n">
        <v>6.24</v>
      </c>
      <c r="H71" s="4" t="n">
        <v>0.2</v>
      </c>
      <c r="I71" s="4" t="n">
        <v>15.11</v>
      </c>
      <c r="J71" s="4" t="n">
        <v>4.76</v>
      </c>
      <c r="K71" s="4" t="n">
        <v>14.75</v>
      </c>
      <c r="L71" s="4" t="n">
        <v>0</v>
      </c>
      <c r="M71" s="4" t="n">
        <v>0</v>
      </c>
      <c r="N71" s="21">
        <f>SUM(E71:M71)</f>
        <v/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4" t="n">
        <v>20</v>
      </c>
      <c r="F72" s="4" t="n">
        <v>128.06</v>
      </c>
      <c r="G72" s="4" t="n">
        <v>6.29</v>
      </c>
      <c r="H72" s="4" t="n">
        <v>0.2</v>
      </c>
      <c r="I72" s="4" t="n">
        <v>3.08</v>
      </c>
      <c r="J72" s="4" t="n">
        <v>4.77</v>
      </c>
      <c r="K72" s="4" t="n">
        <v>0</v>
      </c>
      <c r="L72" s="4" t="n">
        <v>0</v>
      </c>
      <c r="M72" s="4" t="n">
        <v>0</v>
      </c>
      <c r="N72" s="21">
        <f>SUM(E72:M72)</f>
        <v/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46268</v>
      </c>
      <c r="E73" s="4" t="n">
        <v>40</v>
      </c>
      <c r="F73" s="4" t="n">
        <v>199.37</v>
      </c>
      <c r="G73" s="4" t="n">
        <v>12.45</v>
      </c>
      <c r="H73" s="4" t="n">
        <v>0.41</v>
      </c>
      <c r="I73" s="4" t="n">
        <v>29.91</v>
      </c>
      <c r="J73" s="4" t="n">
        <v>9.51</v>
      </c>
      <c r="K73" s="4" t="n">
        <v>14.75</v>
      </c>
      <c r="L73" s="4" t="n">
        <v>35.4</v>
      </c>
      <c r="M73" s="4" t="n">
        <v>40.91</v>
      </c>
      <c r="N73" s="21">
        <f>SUM(E73:M73)</f>
        <v/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4" t="n">
        <v>20</v>
      </c>
      <c r="F74" s="4" t="n">
        <v>257.11</v>
      </c>
      <c r="G74" s="4" t="n">
        <v>12.59</v>
      </c>
      <c r="H74" s="4" t="n">
        <v>0.41</v>
      </c>
      <c r="I74" s="4" t="n">
        <v>6.12</v>
      </c>
      <c r="J74" s="4" t="n">
        <v>5.94</v>
      </c>
      <c r="K74" s="4" t="n">
        <v>0</v>
      </c>
      <c r="L74" s="4" t="n">
        <v>0</v>
      </c>
      <c r="M74" s="4" t="n">
        <v>0</v>
      </c>
      <c r="N74" s="21">
        <f>SUM(E74:M74)</f>
        <v/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46268</v>
      </c>
      <c r="E75" s="4" t="n">
        <v>40</v>
      </c>
      <c r="F75" s="4" t="n">
        <v>248.86</v>
      </c>
      <c r="G75" s="4" t="n">
        <v>12.25</v>
      </c>
      <c r="H75" s="4" t="n">
        <v>0.4</v>
      </c>
      <c r="I75" s="4" t="n">
        <v>29.83</v>
      </c>
      <c r="J75" s="4" t="n">
        <v>9.48</v>
      </c>
      <c r="K75" s="4" t="n">
        <v>14.75</v>
      </c>
      <c r="L75" s="4" t="n">
        <v>35.4</v>
      </c>
      <c r="M75" s="4" t="n">
        <v>40.81</v>
      </c>
      <c r="N75" s="21">
        <f>SUM(E75:M75)</f>
        <v/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4" t="n">
        <v>20</v>
      </c>
      <c r="F76" s="4" t="n">
        <v>199.89</v>
      </c>
      <c r="G76" s="4" t="n">
        <v>12.26</v>
      </c>
      <c r="H76" s="4" t="n">
        <v>0.4</v>
      </c>
      <c r="I76" s="4" t="n">
        <v>5.96</v>
      </c>
      <c r="J76" s="4" t="n">
        <v>5.88</v>
      </c>
      <c r="K76" s="4" t="n">
        <v>0</v>
      </c>
      <c r="L76" s="4" t="n">
        <v>0</v>
      </c>
      <c r="M76" s="4" t="n">
        <v>0</v>
      </c>
      <c r="N76" s="21">
        <f>SUM(E76:M76)</f>
        <v/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46269</v>
      </c>
      <c r="E77" s="4" t="n">
        <v>40</v>
      </c>
      <c r="F77" s="4" t="n">
        <v>220.74</v>
      </c>
      <c r="G77" s="4" t="n">
        <v>10.98</v>
      </c>
      <c r="H77" s="4" t="n">
        <v>0.36</v>
      </c>
      <c r="I77" s="4" t="n">
        <v>26.32</v>
      </c>
      <c r="J77" s="4" t="n">
        <v>9.24</v>
      </c>
      <c r="K77" s="4" t="n">
        <v>14.75</v>
      </c>
      <c r="L77" s="4" t="n">
        <v>35.4</v>
      </c>
      <c r="M77" s="4" t="n">
        <v>36.01</v>
      </c>
      <c r="N77" s="21">
        <f>SUM(E77:M77)</f>
        <v/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4" t="n">
        <v>20</v>
      </c>
      <c r="F78" s="4" t="n">
        <v>181.02</v>
      </c>
      <c r="G78" s="4" t="n">
        <v>11.08</v>
      </c>
      <c r="H78" s="4" t="n">
        <v>0.36</v>
      </c>
      <c r="I78" s="4" t="n">
        <v>5.36</v>
      </c>
      <c r="J78" s="4" t="n">
        <v>5.66</v>
      </c>
      <c r="K78" s="4" t="n">
        <v>0</v>
      </c>
      <c r="L78" s="4" t="n">
        <v>0</v>
      </c>
      <c r="M78" s="4" t="n">
        <v>0</v>
      </c>
      <c r="N78" s="21">
        <f>SUM(E78:M78)</f>
        <v/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46269</v>
      </c>
      <c r="E79" s="4" t="n">
        <v>20</v>
      </c>
      <c r="F79" s="4" t="n">
        <v>108.51</v>
      </c>
      <c r="G79" s="4" t="n">
        <v>5.32</v>
      </c>
      <c r="H79" s="4" t="n">
        <v>0.17</v>
      </c>
      <c r="I79" s="4" t="n">
        <v>13.06</v>
      </c>
      <c r="J79" s="4" t="n">
        <v>4.59</v>
      </c>
      <c r="K79" s="4" t="n">
        <v>14.75</v>
      </c>
      <c r="L79" s="4" t="n">
        <v>0</v>
      </c>
      <c r="M79" s="4" t="n">
        <v>0</v>
      </c>
      <c r="N79" s="21">
        <f>SUM(E79:M79)</f>
        <v/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4" t="n">
        <v>20</v>
      </c>
      <c r="F80" s="4" t="n">
        <v>85.86</v>
      </c>
      <c r="G80" s="4" t="n">
        <v>5.26</v>
      </c>
      <c r="H80" s="4" t="n">
        <v>0.17</v>
      </c>
      <c r="I80" s="4" t="n">
        <v>2.55</v>
      </c>
      <c r="J80" s="4" t="n">
        <v>4.58</v>
      </c>
      <c r="K80" s="4" t="n">
        <v>0</v>
      </c>
      <c r="L80" s="4" t="n">
        <v>0</v>
      </c>
      <c r="M80" s="4" t="n">
        <v>0</v>
      </c>
      <c r="N80" s="21">
        <f>SUM(E80:M80)</f>
        <v/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46269</v>
      </c>
      <c r="E81" s="4" t="n">
        <v>40</v>
      </c>
      <c r="F81" s="4" t="n">
        <v>174.67</v>
      </c>
      <c r="G81" s="4" t="n">
        <v>10.87</v>
      </c>
      <c r="H81" s="4" t="n">
        <v>0.35</v>
      </c>
      <c r="I81" s="4" t="n">
        <v>26.2</v>
      </c>
      <c r="J81" s="4" t="n">
        <v>9.220000000000001</v>
      </c>
      <c r="K81" s="4" t="n">
        <v>14.75</v>
      </c>
      <c r="L81" s="4" t="n">
        <v>35.4</v>
      </c>
      <c r="M81" s="4" t="n">
        <v>29.87</v>
      </c>
      <c r="N81" s="21">
        <f>SUM(E81:M81)</f>
        <v/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4" t="n">
        <v>20</v>
      </c>
      <c r="F82" s="4" t="n">
        <v>222.39</v>
      </c>
      <c r="G82" s="4" t="n">
        <v>10.88</v>
      </c>
      <c r="H82" s="4" t="n">
        <v>0.35</v>
      </c>
      <c r="I82" s="4" t="n">
        <v>5.26</v>
      </c>
      <c r="J82" s="4" t="n">
        <v>5.62</v>
      </c>
      <c r="K82" s="4" t="n">
        <v>0</v>
      </c>
      <c r="L82" s="4" t="n">
        <v>0</v>
      </c>
      <c r="M82" s="4" t="n">
        <v>0</v>
      </c>
      <c r="N82" s="21">
        <f>SUM(E82:M82)</f>
        <v/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46269</v>
      </c>
      <c r="E83" s="4" t="n">
        <v>40</v>
      </c>
      <c r="F83" s="4" t="n">
        <v>174.54</v>
      </c>
      <c r="G83" s="4" t="n">
        <v>10.75</v>
      </c>
      <c r="H83" s="4" t="n">
        <v>0.35</v>
      </c>
      <c r="I83" s="4" t="n">
        <v>26.18</v>
      </c>
      <c r="J83" s="4" t="n">
        <v>9.199999999999999</v>
      </c>
      <c r="K83" s="4" t="n">
        <v>14.75</v>
      </c>
      <c r="L83" s="4" t="n">
        <v>35.4</v>
      </c>
      <c r="M83" s="4" t="n">
        <v>35.81</v>
      </c>
      <c r="N83" s="21">
        <f>SUM(E83:M83)</f>
        <v/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4" t="n">
        <v>20</v>
      </c>
      <c r="F84" s="4" t="n">
        <v>220.35</v>
      </c>
      <c r="G84" s="4" t="n">
        <v>10.85</v>
      </c>
      <c r="H84" s="4" t="n">
        <v>0.35</v>
      </c>
      <c r="I84" s="4" t="n">
        <v>5.33</v>
      </c>
      <c r="J84" s="4" t="n">
        <v>5.62</v>
      </c>
      <c r="K84" s="4" t="n">
        <v>0</v>
      </c>
      <c r="L84" s="4" t="n">
        <v>0</v>
      </c>
      <c r="M84" s="4" t="n">
        <v>0</v>
      </c>
      <c r="N84" s="21">
        <f>SUM(E84:M84)</f>
        <v/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46269</v>
      </c>
      <c r="E85" s="4" t="n">
        <v>40</v>
      </c>
      <c r="F85" s="4" t="n">
        <v>218.23</v>
      </c>
      <c r="G85" s="4" t="n">
        <v>10.68</v>
      </c>
      <c r="H85" s="4" t="n">
        <v>0.35</v>
      </c>
      <c r="I85" s="4" t="n">
        <v>26.25</v>
      </c>
      <c r="J85" s="4" t="n">
        <v>9.19</v>
      </c>
      <c r="K85" s="4" t="n">
        <v>14.75</v>
      </c>
      <c r="L85" s="4" t="n">
        <v>35.4</v>
      </c>
      <c r="M85" s="4" t="n">
        <v>38.49</v>
      </c>
      <c r="N85" s="21">
        <f>SUM(E85:M85)</f>
        <v/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4" t="n">
        <v>20</v>
      </c>
      <c r="F86" s="4" t="n">
        <v>173.01</v>
      </c>
      <c r="G86" s="4" t="n">
        <v>10.62</v>
      </c>
      <c r="H86" s="4" t="n">
        <v>0.35</v>
      </c>
      <c r="I86" s="4" t="n">
        <v>5.19</v>
      </c>
      <c r="J86" s="4" t="n">
        <v>5.57</v>
      </c>
      <c r="K86" s="4" t="n">
        <v>0</v>
      </c>
      <c r="L86" s="4" t="n">
        <v>0</v>
      </c>
      <c r="M86" s="4" t="n">
        <v>0</v>
      </c>
      <c r="N86" s="21">
        <f>SUM(E86:M86)</f>
        <v/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46269</v>
      </c>
      <c r="E87" s="4" t="n">
        <v>40</v>
      </c>
      <c r="F87" s="4" t="n">
        <v>174.96</v>
      </c>
      <c r="G87" s="4" t="n">
        <v>10.85</v>
      </c>
      <c r="H87" s="4" t="n">
        <v>0.35</v>
      </c>
      <c r="I87" s="4" t="n">
        <v>26.39</v>
      </c>
      <c r="J87" s="4" t="n">
        <v>9.220000000000001</v>
      </c>
      <c r="K87" s="4" t="n">
        <v>14.75</v>
      </c>
      <c r="L87" s="4" t="n">
        <v>35.4</v>
      </c>
      <c r="M87" s="4" t="n">
        <v>37.46</v>
      </c>
      <c r="N87" s="21">
        <f>SUM(E87:M87)</f>
        <v/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4" t="n">
        <v>20</v>
      </c>
      <c r="F88" s="4" t="n">
        <v>219.58</v>
      </c>
      <c r="G88" s="4" t="n">
        <v>10.7</v>
      </c>
      <c r="H88" s="4" t="n">
        <v>0.35</v>
      </c>
      <c r="I88" s="4" t="n">
        <v>5.09</v>
      </c>
      <c r="J88" s="4" t="n">
        <v>5.59</v>
      </c>
      <c r="K88" s="4" t="n">
        <v>0</v>
      </c>
      <c r="L88" s="4" t="n">
        <v>0</v>
      </c>
      <c r="M88" s="4" t="n">
        <v>0</v>
      </c>
      <c r="N88" s="21">
        <f>SUM(E88:M88)</f>
        <v/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46269</v>
      </c>
      <c r="E89" s="4" t="n">
        <v>40</v>
      </c>
      <c r="F89" s="4" t="n">
        <v>176.25</v>
      </c>
      <c r="G89" s="4" t="n">
        <v>10.74</v>
      </c>
      <c r="H89" s="4" t="n">
        <v>0.35</v>
      </c>
      <c r="I89" s="4" t="n">
        <v>26.44</v>
      </c>
      <c r="J89" s="4" t="n">
        <v>9.199999999999999</v>
      </c>
      <c r="K89" s="4" t="n">
        <v>14.75</v>
      </c>
      <c r="L89" s="4" t="n">
        <v>35.4</v>
      </c>
      <c r="M89" s="4" t="n">
        <v>0</v>
      </c>
      <c r="N89" s="21">
        <f>SUM(E89:M89)</f>
        <v/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4" t="n">
        <v>20</v>
      </c>
      <c r="F90" s="4" t="n">
        <v>216.05</v>
      </c>
      <c r="G90" s="4" t="n">
        <v>10.59</v>
      </c>
      <c r="H90" s="4" t="n">
        <v>0.34</v>
      </c>
      <c r="I90" s="4" t="n">
        <v>5.13</v>
      </c>
      <c r="J90" s="4" t="n">
        <v>5.57</v>
      </c>
      <c r="K90" s="4" t="n">
        <v>0</v>
      </c>
      <c r="L90" s="4" t="n">
        <v>0</v>
      </c>
      <c r="M90" s="4" t="n">
        <v>0</v>
      </c>
      <c r="N90" s="21">
        <f>SUM(E90:M90)</f>
        <v/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46272</v>
      </c>
      <c r="E91" s="4" t="n">
        <v>40</v>
      </c>
      <c r="F91" s="4" t="n">
        <v>442.41</v>
      </c>
      <c r="G91" s="4" t="n">
        <v>22.38</v>
      </c>
      <c r="H91" s="4" t="n">
        <v>0.73</v>
      </c>
      <c r="I91" s="4" t="n">
        <v>52.1</v>
      </c>
      <c r="J91" s="4" t="n">
        <v>11.36</v>
      </c>
      <c r="K91" s="4" t="n">
        <v>14.75</v>
      </c>
      <c r="L91" s="4" t="n">
        <v>35.4</v>
      </c>
      <c r="M91" s="4" t="n">
        <v>214.69</v>
      </c>
      <c r="N91" s="21">
        <f>SUM(E91:M91)</f>
        <v/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4" t="n">
        <v>20</v>
      </c>
      <c r="F92" s="4" t="n">
        <v>374.81</v>
      </c>
      <c r="G92" s="4" t="n">
        <v>22.79</v>
      </c>
      <c r="H92" s="4" t="n">
        <v>0.75</v>
      </c>
      <c r="I92" s="4" t="n">
        <v>10.88</v>
      </c>
      <c r="J92" s="4" t="n">
        <v>7.84</v>
      </c>
      <c r="K92" s="4" t="n">
        <v>0</v>
      </c>
      <c r="L92" s="4" t="n">
        <v>0</v>
      </c>
      <c r="M92" s="4" t="n">
        <v>0</v>
      </c>
      <c r="N92" s="21">
        <f>SUM(E92:M92)</f>
        <v/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46272</v>
      </c>
      <c r="E93" s="4" t="n">
        <v>40</v>
      </c>
      <c r="F93" s="4" t="n">
        <v>348.84</v>
      </c>
      <c r="G93" s="4" t="n">
        <v>21.79</v>
      </c>
      <c r="H93" s="4" t="n">
        <v>0.71</v>
      </c>
      <c r="I93" s="4" t="n">
        <v>52.33</v>
      </c>
      <c r="J93" s="4" t="n">
        <v>11.25</v>
      </c>
      <c r="K93" s="4" t="n">
        <v>14.75</v>
      </c>
      <c r="L93" s="4" t="n">
        <v>35.4</v>
      </c>
      <c r="M93" s="4" t="n">
        <v>214.74</v>
      </c>
      <c r="N93" s="21">
        <f>SUM(E93:M93)</f>
        <v/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4" t="n">
        <v>40</v>
      </c>
      <c r="F94" s="4" t="n">
        <v>288.06</v>
      </c>
      <c r="G94" s="4" t="n">
        <v>22.45</v>
      </c>
      <c r="H94" s="4" t="n">
        <v>0.73</v>
      </c>
      <c r="I94" s="4" t="n">
        <v>18.04</v>
      </c>
      <c r="J94" s="4" t="n">
        <v>11.37</v>
      </c>
      <c r="K94" s="4" t="n">
        <v>0</v>
      </c>
      <c r="L94" s="4" t="n">
        <v>0</v>
      </c>
      <c r="M94" s="4" t="n">
        <v>0</v>
      </c>
      <c r="N94" s="21">
        <f>SUM(E94:M94)</f>
        <v/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46272</v>
      </c>
      <c r="E95" s="4" t="n">
        <v>60</v>
      </c>
      <c r="F95" s="4" t="n">
        <v>351.1</v>
      </c>
      <c r="G95" s="4" t="n">
        <v>21.31</v>
      </c>
      <c r="H95" s="4" t="n">
        <v>0.6899999999999999</v>
      </c>
      <c r="I95" s="4" t="n">
        <v>52.66</v>
      </c>
      <c r="J95" s="4" t="n">
        <v>14.76</v>
      </c>
      <c r="K95" s="4" t="n">
        <v>14.75</v>
      </c>
      <c r="L95" s="4" t="n">
        <v>35.4</v>
      </c>
      <c r="M95" s="4" t="n">
        <v>216.11</v>
      </c>
      <c r="N95" s="21">
        <f>SUM(E95:M95)</f>
        <v/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4" t="n">
        <v>40</v>
      </c>
      <c r="F96" s="4" t="n">
        <v>432.61</v>
      </c>
      <c r="G96" s="4" t="n">
        <v>21.34</v>
      </c>
      <c r="H96" s="4" t="n">
        <v>0.7</v>
      </c>
      <c r="I96" s="4" t="n">
        <v>10.56</v>
      </c>
      <c r="J96" s="4" t="n">
        <v>11.17</v>
      </c>
      <c r="K96" s="4" t="n">
        <v>0</v>
      </c>
      <c r="L96" s="4" t="n">
        <v>0</v>
      </c>
      <c r="M96" s="4" t="n">
        <v>0</v>
      </c>
      <c r="N96" s="21">
        <f>SUM(E96:M96)</f>
        <v/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46273</v>
      </c>
      <c r="E97" s="4" t="n">
        <v>40</v>
      </c>
      <c r="F97" s="4" t="n">
        <v>233.01</v>
      </c>
      <c r="G97" s="4" t="n">
        <v>14.32</v>
      </c>
      <c r="H97" s="4" t="n">
        <v>0.47</v>
      </c>
      <c r="I97" s="4" t="n">
        <v>34.95</v>
      </c>
      <c r="J97" s="4" t="n">
        <v>9.859999999999999</v>
      </c>
      <c r="K97" s="4" t="n">
        <v>14.75</v>
      </c>
      <c r="L97" s="4" t="n">
        <v>35.4</v>
      </c>
      <c r="M97" s="4" t="n">
        <v>49.94</v>
      </c>
      <c r="N97" s="21">
        <f>SUM(E97:M97)</f>
        <v/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4" t="n">
        <v>20</v>
      </c>
      <c r="F98" s="4" t="n">
        <v>289.45</v>
      </c>
      <c r="G98" s="4" t="n">
        <v>14.16</v>
      </c>
      <c r="H98" s="4" t="n">
        <v>0.46</v>
      </c>
      <c r="I98" s="4" t="n">
        <v>6.84</v>
      </c>
      <c r="J98" s="4" t="n">
        <v>6.23</v>
      </c>
      <c r="K98" s="4" t="n">
        <v>0</v>
      </c>
      <c r="L98" s="4" t="n">
        <v>0</v>
      </c>
      <c r="M98" s="4" t="n">
        <v>0</v>
      </c>
      <c r="N98" s="21">
        <f>SUM(E98:M98)</f>
        <v/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46273</v>
      </c>
      <c r="E99" s="4" t="n">
        <v>20</v>
      </c>
      <c r="F99" s="4" t="n">
        <v>117.07</v>
      </c>
      <c r="G99" s="4" t="n">
        <v>6.96</v>
      </c>
      <c r="H99" s="4" t="n">
        <v>0.23</v>
      </c>
      <c r="I99" s="4" t="n">
        <v>17.56</v>
      </c>
      <c r="J99" s="4" t="n">
        <v>4.89</v>
      </c>
      <c r="K99" s="4" t="n">
        <v>14.75</v>
      </c>
      <c r="L99" s="4" t="n">
        <v>0</v>
      </c>
      <c r="M99" s="4" t="n">
        <v>0</v>
      </c>
      <c r="N99" s="21">
        <f>SUM(E99:M99)</f>
        <v/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4" t="n">
        <v>20</v>
      </c>
      <c r="F100" s="4" t="n">
        <v>136.93</v>
      </c>
      <c r="G100" s="4" t="n">
        <v>6.72</v>
      </c>
      <c r="H100" s="4" t="n">
        <v>0.22</v>
      </c>
      <c r="I100" s="4" t="n">
        <v>3.29</v>
      </c>
      <c r="J100" s="4" t="n">
        <v>4.85</v>
      </c>
      <c r="K100" s="4" t="n">
        <v>0</v>
      </c>
      <c r="L100" s="4" t="n">
        <v>0</v>
      </c>
      <c r="M100" s="4" t="n">
        <v>0</v>
      </c>
      <c r="N100" s="21">
        <f>SUM(E100:M100)</f>
        <v/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46273</v>
      </c>
      <c r="E101" s="4" t="n">
        <v>40</v>
      </c>
      <c r="F101" s="4" t="n">
        <v>232.98</v>
      </c>
      <c r="G101" s="4" t="n">
        <v>14.5</v>
      </c>
      <c r="H101" s="4" t="n">
        <v>0.47</v>
      </c>
      <c r="I101" s="4" t="n">
        <v>34.95</v>
      </c>
      <c r="J101" s="4" t="n">
        <v>9.9</v>
      </c>
      <c r="K101" s="4" t="n">
        <v>14.75</v>
      </c>
      <c r="L101" s="4" t="n">
        <v>35.4</v>
      </c>
      <c r="M101" s="4" t="n">
        <v>47.81</v>
      </c>
      <c r="N101" s="21">
        <f>SUM(E101:M101)</f>
        <v/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4" t="n">
        <v>20</v>
      </c>
      <c r="F102" s="4" t="n">
        <v>295.4</v>
      </c>
      <c r="G102" s="4" t="n">
        <v>14.4</v>
      </c>
      <c r="H102" s="4" t="n">
        <v>0.47</v>
      </c>
      <c r="I102" s="4" t="n">
        <v>6.86</v>
      </c>
      <c r="J102" s="4" t="n">
        <v>6.28</v>
      </c>
      <c r="K102" s="4" t="n">
        <v>0</v>
      </c>
      <c r="L102" s="4" t="n">
        <v>0</v>
      </c>
      <c r="M102" s="4" t="n">
        <v>0</v>
      </c>
      <c r="N102" s="21">
        <f>SUM(E102:M102)</f>
        <v/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46273</v>
      </c>
      <c r="E103" s="4" t="n">
        <v>40</v>
      </c>
      <c r="F103" s="4" t="n">
        <v>290.18</v>
      </c>
      <c r="G103" s="4" t="n">
        <v>14.17</v>
      </c>
      <c r="H103" s="4" t="n">
        <v>0.46</v>
      </c>
      <c r="I103" s="4" t="n">
        <v>35.07</v>
      </c>
      <c r="J103" s="4" t="n">
        <v>9.83</v>
      </c>
      <c r="K103" s="4" t="n">
        <v>14.75</v>
      </c>
      <c r="L103" s="4" t="n">
        <v>35.4</v>
      </c>
      <c r="M103" s="4" t="n">
        <v>47.74</v>
      </c>
      <c r="N103" s="21">
        <f>SUM(E103:M103)</f>
        <v/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4" t="n">
        <v>20</v>
      </c>
      <c r="F104" s="4" t="n">
        <v>230.2</v>
      </c>
      <c r="G104" s="4" t="n">
        <v>14.18</v>
      </c>
      <c r="H104" s="4" t="n">
        <v>0.46</v>
      </c>
      <c r="I104" s="4" t="n">
        <v>6.99</v>
      </c>
      <c r="J104" s="4" t="n">
        <v>6.23</v>
      </c>
      <c r="K104" s="4" t="n">
        <v>0</v>
      </c>
      <c r="L104" s="4" t="n">
        <v>0</v>
      </c>
      <c r="M104" s="4" t="n">
        <v>0</v>
      </c>
      <c r="N104" s="21">
        <f>SUM(E104:M104)</f>
        <v/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46273</v>
      </c>
      <c r="E105" s="4" t="n">
        <v>40</v>
      </c>
      <c r="F105" s="4" t="n">
        <v>232.17</v>
      </c>
      <c r="G105" s="4" t="n">
        <v>14.29</v>
      </c>
      <c r="H105" s="4" t="n">
        <v>0.47</v>
      </c>
      <c r="I105" s="4" t="n">
        <v>0</v>
      </c>
      <c r="J105" s="4" t="n">
        <v>9.859999999999999</v>
      </c>
      <c r="K105" s="4" t="n">
        <v>14.75</v>
      </c>
      <c r="L105" s="4" t="n">
        <v>0</v>
      </c>
      <c r="M105" s="4" t="n">
        <v>0</v>
      </c>
      <c r="N105" s="21">
        <f>SUM(E105:M105)</f>
        <v/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46273</v>
      </c>
      <c r="E106" s="4" t="n">
        <v>40</v>
      </c>
      <c r="F106" s="4" t="n">
        <v>290.23</v>
      </c>
      <c r="G106" s="4" t="n">
        <v>14.16</v>
      </c>
      <c r="H106" s="4" t="n">
        <v>0.46</v>
      </c>
      <c r="I106" s="4" t="n">
        <v>34.99</v>
      </c>
      <c r="J106" s="4" t="n">
        <v>9.83</v>
      </c>
      <c r="K106" s="4" t="n">
        <v>14.75</v>
      </c>
      <c r="L106" s="4" t="n">
        <v>35.4</v>
      </c>
      <c r="M106" s="4" t="n">
        <v>47.86</v>
      </c>
      <c r="N106" s="21">
        <f>SUM(E106:M106)</f>
        <v/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4" t="n">
        <v>20</v>
      </c>
      <c r="F107" s="4" t="n">
        <v>227.91</v>
      </c>
      <c r="G107" s="4" t="n">
        <v>13.99</v>
      </c>
      <c r="H107" s="4" t="n">
        <v>0.46</v>
      </c>
      <c r="I107" s="4" t="n">
        <v>6.84</v>
      </c>
      <c r="J107" s="4" t="n">
        <v>6.2</v>
      </c>
      <c r="K107" s="4" t="n">
        <v>0</v>
      </c>
      <c r="L107" s="4" t="n">
        <v>0</v>
      </c>
      <c r="M107" s="4" t="n">
        <v>0</v>
      </c>
      <c r="N107" s="21">
        <f>SUM(E107:M107)</f>
        <v/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46274</v>
      </c>
      <c r="E108" s="4" t="n">
        <v>20</v>
      </c>
      <c r="F108" s="4" t="n">
        <v>100.33</v>
      </c>
      <c r="G108" s="4" t="n">
        <v>6.26</v>
      </c>
      <c r="H108" s="4" t="n">
        <v>0.2</v>
      </c>
      <c r="I108" s="4" t="n">
        <v>15.05</v>
      </c>
      <c r="J108" s="4" t="n">
        <v>4.76</v>
      </c>
      <c r="K108" s="4" t="n">
        <v>14.75</v>
      </c>
      <c r="L108" s="4" t="n">
        <v>0</v>
      </c>
      <c r="M108" s="4" t="n">
        <v>0</v>
      </c>
      <c r="N108" s="21">
        <f>SUM(E108:M108)</f>
        <v/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4" t="n">
        <v>40</v>
      </c>
      <c r="F109" s="4" t="n">
        <v>66.16</v>
      </c>
      <c r="G109" s="4" t="n">
        <v>6.44</v>
      </c>
      <c r="H109" s="4" t="n">
        <v>0.21</v>
      </c>
      <c r="I109" s="4" t="n">
        <v>5.79</v>
      </c>
      <c r="J109" s="4" t="n">
        <v>8.4</v>
      </c>
      <c r="K109" s="4" t="n">
        <v>0</v>
      </c>
      <c r="L109" s="4" t="n">
        <v>0</v>
      </c>
      <c r="M109" s="4" t="n">
        <v>0</v>
      </c>
      <c r="N109" s="21">
        <f>SUM(E109:M109)</f>
        <v/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46274</v>
      </c>
      <c r="E110" s="4" t="n">
        <v>20</v>
      </c>
      <c r="F110" s="4" t="n">
        <v>124.8</v>
      </c>
      <c r="G110" s="4" t="n">
        <v>6.18</v>
      </c>
      <c r="H110" s="4" t="n">
        <v>0.2</v>
      </c>
      <c r="I110" s="4" t="n">
        <v>14.98</v>
      </c>
      <c r="J110" s="4" t="n">
        <v>4.75</v>
      </c>
      <c r="K110" s="4" t="n">
        <v>14.75</v>
      </c>
      <c r="L110" s="4" t="n">
        <v>0</v>
      </c>
      <c r="M110" s="4" t="n">
        <v>0</v>
      </c>
      <c r="N110" s="21">
        <f>SUM(E110:M110)</f>
        <v/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4" t="n">
        <v>20</v>
      </c>
      <c r="F111" s="4" t="n">
        <v>99.61</v>
      </c>
      <c r="G111" s="4" t="n">
        <v>6.06</v>
      </c>
      <c r="H111" s="4" t="n">
        <v>0.2</v>
      </c>
      <c r="I111" s="4" t="n">
        <v>2.89</v>
      </c>
      <c r="J111" s="4" t="n">
        <v>4.73</v>
      </c>
      <c r="K111" s="4" t="n">
        <v>0</v>
      </c>
      <c r="L111" s="4" t="n">
        <v>0</v>
      </c>
      <c r="M111" s="4" t="n">
        <v>0</v>
      </c>
      <c r="N111" s="21">
        <f>SUM(E111:M111)</f>
        <v/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46274</v>
      </c>
      <c r="E112" s="4" t="n">
        <v>20</v>
      </c>
      <c r="F112" s="4" t="n">
        <v>126.44</v>
      </c>
      <c r="G112" s="4" t="n">
        <v>6.33</v>
      </c>
      <c r="H112" s="4" t="n">
        <v>0.21</v>
      </c>
      <c r="I112" s="4" t="n">
        <v>14.83</v>
      </c>
      <c r="J112" s="4" t="n">
        <v>4.78</v>
      </c>
      <c r="K112" s="4" t="n">
        <v>14.75</v>
      </c>
      <c r="L112" s="4" t="n">
        <v>0</v>
      </c>
      <c r="M112" s="4" t="n">
        <v>0</v>
      </c>
      <c r="N112" s="21">
        <f>SUM(E112:M112)</f>
        <v/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4" t="n">
        <v>20</v>
      </c>
      <c r="F113" s="4" t="n">
        <v>110.38</v>
      </c>
      <c r="G113" s="4" t="n">
        <v>6.87</v>
      </c>
      <c r="H113" s="4" t="n">
        <v>0.22</v>
      </c>
      <c r="I113" s="4" t="n">
        <v>3.5</v>
      </c>
      <c r="J113" s="4" t="n">
        <v>4.88</v>
      </c>
      <c r="K113" s="4" t="n">
        <v>0</v>
      </c>
      <c r="L113" s="4" t="n">
        <v>0</v>
      </c>
      <c r="M113" s="4" t="n">
        <v>0</v>
      </c>
      <c r="N113" s="21">
        <f>SUM(E113:M113)</f>
        <v/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46274</v>
      </c>
      <c r="E114" s="4" t="n">
        <v>40</v>
      </c>
      <c r="F114" s="4" t="n">
        <v>248.76</v>
      </c>
      <c r="G114" s="4" t="n">
        <v>12.22</v>
      </c>
      <c r="H114" s="4" t="n">
        <v>0.4</v>
      </c>
      <c r="I114" s="4" t="n">
        <v>29.41</v>
      </c>
      <c r="J114" s="4" t="n">
        <v>9.470000000000001</v>
      </c>
      <c r="K114" s="4" t="n">
        <v>14.75</v>
      </c>
      <c r="L114" s="4" t="n">
        <v>35.4</v>
      </c>
      <c r="M114" s="4" t="n">
        <v>47.29</v>
      </c>
      <c r="N114" s="21">
        <f>SUM(E114:M114)</f>
        <v/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4" t="n">
        <v>20</v>
      </c>
      <c r="F115" s="4" t="n">
        <v>199.27</v>
      </c>
      <c r="G115" s="4" t="n">
        <v>12.24</v>
      </c>
      <c r="H115" s="4" t="n">
        <v>0.4</v>
      </c>
      <c r="I115" s="4" t="n">
        <v>5.99</v>
      </c>
      <c r="J115" s="4" t="n">
        <v>5.87</v>
      </c>
      <c r="K115" s="4" t="n">
        <v>0</v>
      </c>
      <c r="L115" s="4" t="n">
        <v>0</v>
      </c>
      <c r="M115" s="4" t="n">
        <v>0</v>
      </c>
      <c r="N115" s="21">
        <f>SUM(E115:M115)</f>
        <v/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46274</v>
      </c>
      <c r="E116" s="4" t="n">
        <v>40</v>
      </c>
      <c r="F116" s="4" t="n">
        <v>199.4</v>
      </c>
      <c r="G116" s="4" t="n">
        <v>12.35</v>
      </c>
      <c r="H116" s="4" t="n">
        <v>0.4</v>
      </c>
      <c r="I116" s="4" t="n">
        <v>29.91</v>
      </c>
      <c r="J116" s="4" t="n">
        <v>9.5</v>
      </c>
      <c r="K116" s="4" t="n">
        <v>14.75</v>
      </c>
      <c r="L116" s="4" t="n">
        <v>35.4</v>
      </c>
      <c r="M116" s="4" t="n">
        <v>40.92</v>
      </c>
      <c r="N116" s="21">
        <f>SUM(E116:M116)</f>
        <v/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4" t="n">
        <v>20</v>
      </c>
      <c r="F117" s="4" t="n">
        <v>251.64</v>
      </c>
      <c r="G117" s="4" t="n">
        <v>12.31</v>
      </c>
      <c r="H117" s="4" t="n">
        <v>0.4</v>
      </c>
      <c r="I117" s="4" t="n">
        <v>5.95</v>
      </c>
      <c r="J117" s="4" t="n">
        <v>5.89</v>
      </c>
      <c r="K117" s="4" t="n">
        <v>0</v>
      </c>
      <c r="L117" s="4" t="n">
        <v>0</v>
      </c>
      <c r="M117" s="4" t="n">
        <v>0</v>
      </c>
      <c r="N117" s="21">
        <f>SUM(E117:M117)</f>
        <v/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46275</v>
      </c>
      <c r="E118" s="4" t="n">
        <v>40</v>
      </c>
      <c r="F118" s="4" t="n">
        <v>0</v>
      </c>
      <c r="G118" s="4" t="n">
        <v>5.3</v>
      </c>
      <c r="H118" s="4" t="n">
        <v>0.17</v>
      </c>
      <c r="I118" s="4" t="n">
        <v>0</v>
      </c>
      <c r="J118" s="4" t="n">
        <v>8.18</v>
      </c>
      <c r="K118" s="4" t="n">
        <v>14.75</v>
      </c>
      <c r="L118" s="4" t="n">
        <v>0</v>
      </c>
      <c r="M118" s="4" t="n">
        <v>0</v>
      </c>
      <c r="N118" s="21">
        <f>SUM(E118:M118)</f>
        <v/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4" t="n">
        <v>20</v>
      </c>
      <c r="F119" s="4" t="n">
        <v>106.55</v>
      </c>
      <c r="G119" s="4" t="n">
        <v>5.23</v>
      </c>
      <c r="H119" s="4" t="n">
        <v>0.17</v>
      </c>
      <c r="I119" s="4" t="n">
        <v>2.55</v>
      </c>
      <c r="J119" s="4" t="n">
        <v>4.57</v>
      </c>
      <c r="K119" s="4" t="n">
        <v>0</v>
      </c>
      <c r="L119" s="4" t="n">
        <v>0</v>
      </c>
      <c r="M119" s="4" t="n">
        <v>0</v>
      </c>
      <c r="N119" s="21">
        <f>SUM(E119:M119)</f>
        <v/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46275</v>
      </c>
      <c r="E120" s="4" t="n">
        <v>40</v>
      </c>
      <c r="F120" s="4" t="n">
        <v>219.78</v>
      </c>
      <c r="G120" s="4" t="n">
        <v>10.92</v>
      </c>
      <c r="H120" s="4" t="n">
        <v>0.36</v>
      </c>
      <c r="I120" s="4" t="n">
        <v>26.18</v>
      </c>
      <c r="J120" s="4" t="n">
        <v>9.23</v>
      </c>
      <c r="K120" s="4" t="n">
        <v>14.75</v>
      </c>
      <c r="L120" s="4" t="n">
        <v>35.4</v>
      </c>
      <c r="M120" s="4" t="n">
        <v>37.83</v>
      </c>
      <c r="N120" s="21">
        <f>SUM(E120:M120)</f>
        <v/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4" t="n">
        <v>20</v>
      </c>
      <c r="F121" s="4" t="n">
        <v>180.86</v>
      </c>
      <c r="G121" s="4" t="n">
        <v>11.1</v>
      </c>
      <c r="H121" s="4" t="n">
        <v>0.36</v>
      </c>
      <c r="I121" s="4" t="n">
        <v>5.42</v>
      </c>
      <c r="J121" s="4" t="n">
        <v>5.66</v>
      </c>
      <c r="K121" s="4" t="n">
        <v>0</v>
      </c>
      <c r="L121" s="4" t="n">
        <v>0</v>
      </c>
      <c r="M121" s="4" t="n">
        <v>0</v>
      </c>
      <c r="N121" s="21">
        <f>SUM(E121:M121)</f>
        <v/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46275</v>
      </c>
      <c r="E122" s="4" t="n">
        <v>40</v>
      </c>
      <c r="F122" s="4" t="n">
        <v>277.05</v>
      </c>
      <c r="G122" s="4" t="n">
        <v>17.8</v>
      </c>
      <c r="H122" s="4" t="n">
        <v>0.58</v>
      </c>
      <c r="I122" s="4" t="n">
        <v>41.15</v>
      </c>
      <c r="J122" s="4" t="n">
        <v>10.51</v>
      </c>
      <c r="K122" s="4" t="n">
        <v>14.75</v>
      </c>
      <c r="L122" s="4" t="n">
        <v>35.4</v>
      </c>
      <c r="M122" s="4" t="n">
        <v>56.92</v>
      </c>
      <c r="N122" s="21">
        <f>SUM(E122:M122)</f>
        <v/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4" t="n">
        <v>20</v>
      </c>
      <c r="F123" s="4" t="n">
        <v>385.55</v>
      </c>
      <c r="G123" s="4" t="n">
        <v>19.13</v>
      </c>
      <c r="H123" s="4" t="n">
        <v>0.62</v>
      </c>
      <c r="I123" s="4" t="n">
        <v>9.640000000000001</v>
      </c>
      <c r="J123" s="4" t="n">
        <v>7.15</v>
      </c>
      <c r="K123" s="4" t="n">
        <v>0</v>
      </c>
      <c r="L123" s="4" t="n">
        <v>0</v>
      </c>
      <c r="M123" s="4" t="n">
        <v>0</v>
      </c>
      <c r="N123" s="21">
        <f>SUM(E123:M123)</f>
        <v/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46275</v>
      </c>
      <c r="E124" s="4" t="n">
        <v>20</v>
      </c>
      <c r="F124" s="4" t="n">
        <v>87.34999999999999</v>
      </c>
      <c r="G124" s="4" t="n">
        <v>5.42</v>
      </c>
      <c r="H124" s="4" t="n">
        <v>0.18</v>
      </c>
      <c r="I124" s="4" t="n">
        <v>13.1</v>
      </c>
      <c r="J124" s="4" t="n">
        <v>4.61</v>
      </c>
      <c r="K124" s="4" t="n">
        <v>14.75</v>
      </c>
      <c r="L124" s="4" t="n">
        <v>0</v>
      </c>
      <c r="M124" s="4" t="n">
        <v>0</v>
      </c>
      <c r="N124" s="21">
        <f>SUM(E124:M124)</f>
        <v/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4" t="n">
        <v>20</v>
      </c>
      <c r="F125" s="4" t="n">
        <v>110.4</v>
      </c>
      <c r="G125" s="4" t="n">
        <v>5.39</v>
      </c>
      <c r="H125" s="4" t="n">
        <v>0.18</v>
      </c>
      <c r="I125" s="4" t="n">
        <v>2.6</v>
      </c>
      <c r="J125" s="4" t="n">
        <v>4.6</v>
      </c>
      <c r="K125" s="4" t="n">
        <v>0</v>
      </c>
      <c r="L125" s="4" t="n">
        <v>0</v>
      </c>
      <c r="M125" s="4" t="n">
        <v>0</v>
      </c>
      <c r="N125" s="21">
        <f>SUM(E125:M125)</f>
        <v/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46275</v>
      </c>
      <c r="E126" s="4" t="n">
        <v>40</v>
      </c>
      <c r="F126" s="4" t="n">
        <v>218.08</v>
      </c>
      <c r="G126" s="4" t="n">
        <v>10.76</v>
      </c>
      <c r="H126" s="4" t="n">
        <v>0.35</v>
      </c>
      <c r="I126" s="4" t="n">
        <v>26.1</v>
      </c>
      <c r="J126" s="4" t="n">
        <v>9.199999999999999</v>
      </c>
      <c r="K126" s="4" t="n">
        <v>14.75</v>
      </c>
      <c r="L126" s="4" t="n">
        <v>35.4</v>
      </c>
      <c r="M126" s="4" t="n">
        <v>36.84</v>
      </c>
      <c r="N126" s="21">
        <f>SUM(E126:M126)</f>
        <v/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4" t="n">
        <v>20</v>
      </c>
      <c r="F127" s="4" t="n">
        <v>176.33</v>
      </c>
      <c r="G127" s="4" t="n">
        <v>10.82</v>
      </c>
      <c r="H127" s="4" t="n">
        <v>0.35</v>
      </c>
      <c r="I127" s="4" t="n">
        <v>5.27</v>
      </c>
      <c r="J127" s="4" t="n">
        <v>5.61</v>
      </c>
      <c r="K127" s="4" t="n">
        <v>0</v>
      </c>
      <c r="L127" s="4" t="n">
        <v>0</v>
      </c>
      <c r="M127" s="4" t="n">
        <v>0</v>
      </c>
      <c r="N127" s="21">
        <f>SUM(E127:M127)</f>
        <v/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46275</v>
      </c>
      <c r="E128" s="4" t="n">
        <v>40</v>
      </c>
      <c r="F128" s="4" t="n">
        <v>175.65</v>
      </c>
      <c r="G128" s="4" t="n">
        <v>11.09</v>
      </c>
      <c r="H128" s="4" t="n">
        <v>0.36</v>
      </c>
      <c r="I128" s="4" t="n">
        <v>26.35</v>
      </c>
      <c r="J128" s="4" t="n">
        <v>9.26</v>
      </c>
      <c r="K128" s="4" t="n">
        <v>14.75</v>
      </c>
      <c r="L128" s="4" t="n">
        <v>35.4</v>
      </c>
      <c r="M128" s="4" t="n">
        <v>30.64</v>
      </c>
      <c r="N128" s="21">
        <f>SUM(E128:M128)</f>
        <v/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4" t="n">
        <v>20</v>
      </c>
      <c r="F129" s="4" t="n">
        <v>233.66</v>
      </c>
      <c r="G129" s="4" t="n">
        <v>11.52</v>
      </c>
      <c r="H129" s="4" t="n">
        <v>0.38</v>
      </c>
      <c r="I129" s="4" t="n">
        <v>5.68</v>
      </c>
      <c r="J129" s="4" t="n">
        <v>5.74</v>
      </c>
      <c r="K129" s="4" t="n">
        <v>0</v>
      </c>
      <c r="L129" s="4" t="n">
        <v>0</v>
      </c>
      <c r="M129" s="4" t="n">
        <v>0</v>
      </c>
      <c r="N129" s="21">
        <f>SUM(E129:M129)</f>
        <v/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46276</v>
      </c>
      <c r="E130" s="4" t="n">
        <v>40</v>
      </c>
      <c r="F130" s="4" t="n">
        <v>365.42</v>
      </c>
      <c r="G130" s="4" t="n">
        <v>18.16</v>
      </c>
      <c r="H130" s="4" t="n">
        <v>0.59</v>
      </c>
      <c r="I130" s="4" t="n">
        <v>43.53</v>
      </c>
      <c r="J130" s="4" t="n">
        <v>10.58</v>
      </c>
      <c r="K130" s="4" t="n">
        <v>14.75</v>
      </c>
      <c r="L130" s="4" t="n">
        <v>35.4</v>
      </c>
      <c r="M130" s="4" t="n">
        <v>59.51</v>
      </c>
      <c r="N130" s="21">
        <f>SUM(E130:M130)</f>
        <v/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4" t="n">
        <v>20</v>
      </c>
      <c r="F131" s="4" t="n">
        <v>301.97</v>
      </c>
      <c r="G131" s="4" t="n">
        <v>18.51</v>
      </c>
      <c r="H131" s="4" t="n">
        <v>0.6</v>
      </c>
      <c r="I131" s="4" t="n">
        <v>9.039999999999999</v>
      </c>
      <c r="J131" s="4" t="n">
        <v>7.04</v>
      </c>
      <c r="K131" s="4" t="n">
        <v>0</v>
      </c>
      <c r="L131" s="4" t="n">
        <v>0</v>
      </c>
      <c r="M131" s="4" t="n">
        <v>0</v>
      </c>
      <c r="N131" s="21">
        <f>SUM(E131:M131)</f>
        <v/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46276</v>
      </c>
      <c r="E132" s="4" t="n">
        <v>40</v>
      </c>
      <c r="F132" s="4" t="n">
        <v>361.93</v>
      </c>
      <c r="G132" s="4" t="n">
        <v>17.8</v>
      </c>
      <c r="H132" s="4" t="n">
        <v>0.58</v>
      </c>
      <c r="I132" s="4" t="n">
        <v>43.45</v>
      </c>
      <c r="J132" s="4" t="n">
        <v>10.51</v>
      </c>
      <c r="K132" s="4" t="n">
        <v>14.75</v>
      </c>
      <c r="L132" s="4" t="n">
        <v>35.4</v>
      </c>
      <c r="M132" s="4" t="n">
        <v>59.44</v>
      </c>
      <c r="N132" s="21">
        <f>SUM(E132:M132)</f>
        <v/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4" t="n">
        <v>20</v>
      </c>
      <c r="F133" s="4" t="n">
        <v>289.12</v>
      </c>
      <c r="G133" s="4" t="n">
        <v>17.72</v>
      </c>
      <c r="H133" s="4" t="n">
        <v>0.58</v>
      </c>
      <c r="I133" s="4" t="n">
        <v>8.609999999999999</v>
      </c>
      <c r="J133" s="4" t="n">
        <v>6.89</v>
      </c>
      <c r="K133" s="4" t="n">
        <v>0</v>
      </c>
      <c r="L133" s="4" t="n">
        <v>0</v>
      </c>
      <c r="M133" s="4" t="n">
        <v>0</v>
      </c>
      <c r="N133" s="21">
        <f>SUM(E133:M133)</f>
        <v/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46276</v>
      </c>
      <c r="E134" s="4" t="n">
        <v>40</v>
      </c>
      <c r="F134" s="4" t="n">
        <v>363.02</v>
      </c>
      <c r="G134" s="4" t="n">
        <v>17.74</v>
      </c>
      <c r="H134" s="4" t="n">
        <v>0.58</v>
      </c>
      <c r="I134" s="4" t="n">
        <v>43.74</v>
      </c>
      <c r="J134" s="4" t="n">
        <v>10.5</v>
      </c>
      <c r="K134" s="4" t="n">
        <v>14.75</v>
      </c>
      <c r="L134" s="4" t="n">
        <v>35.4</v>
      </c>
      <c r="M134" s="4" t="n">
        <v>67.06</v>
      </c>
      <c r="N134" s="21">
        <f>SUM(E134:M134)</f>
        <v/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4" t="n">
        <v>20</v>
      </c>
      <c r="F135" s="4" t="n">
        <v>285.77</v>
      </c>
      <c r="G135" s="4" t="n">
        <v>17.54</v>
      </c>
      <c r="H135" s="4" t="n">
        <v>0.57</v>
      </c>
      <c r="I135" s="4" t="n">
        <v>8.56</v>
      </c>
      <c r="J135" s="4" t="n">
        <v>6.86</v>
      </c>
      <c r="K135" s="4" t="n">
        <v>0</v>
      </c>
      <c r="L135" s="4" t="n">
        <v>0</v>
      </c>
      <c r="M135" s="4" t="n">
        <v>0</v>
      </c>
      <c r="N135" s="21">
        <f>SUM(E135:M135)</f>
        <v/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46276</v>
      </c>
      <c r="E136" s="4" t="n">
        <v>40</v>
      </c>
      <c r="F136" s="4" t="n">
        <v>288.41</v>
      </c>
      <c r="G136" s="4" t="n">
        <v>17.82</v>
      </c>
      <c r="H136" s="4" t="n">
        <v>0.58</v>
      </c>
      <c r="I136" s="4" t="n">
        <v>43.26</v>
      </c>
      <c r="J136" s="4" t="n">
        <v>10.51</v>
      </c>
      <c r="K136" s="4" t="n">
        <v>14.75</v>
      </c>
      <c r="L136" s="4" t="n">
        <v>35.4</v>
      </c>
      <c r="M136" s="4" t="n">
        <v>59.18</v>
      </c>
      <c r="N136" s="21">
        <f>SUM(E136:M136)</f>
        <v/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4" t="n">
        <v>20</v>
      </c>
      <c r="F137" s="4" t="n">
        <v>366.65</v>
      </c>
      <c r="G137" s="4" t="n">
        <v>18.05</v>
      </c>
      <c r="H137" s="4" t="n">
        <v>0.59</v>
      </c>
      <c r="I137" s="4" t="n">
        <v>8.9</v>
      </c>
      <c r="J137" s="4" t="n">
        <v>6.95</v>
      </c>
      <c r="K137" s="4" t="n">
        <v>0</v>
      </c>
      <c r="L137" s="4" t="n">
        <v>0</v>
      </c>
      <c r="M137" s="4" t="n">
        <v>0</v>
      </c>
      <c r="N137" s="21">
        <f>SUM(E137:M137)</f>
        <v/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46276</v>
      </c>
      <c r="E138" s="4" t="n">
        <v>40</v>
      </c>
      <c r="F138" s="4" t="n">
        <v>358.09</v>
      </c>
      <c r="G138" s="4" t="n">
        <v>17.61</v>
      </c>
      <c r="H138" s="4" t="n">
        <v>0.57</v>
      </c>
      <c r="I138" s="4" t="n">
        <v>42.86</v>
      </c>
      <c r="J138" s="4" t="n">
        <v>10.47</v>
      </c>
      <c r="K138" s="4" t="n">
        <v>14.75</v>
      </c>
      <c r="L138" s="4" t="n">
        <v>35.4</v>
      </c>
      <c r="M138" s="4" t="n">
        <v>58.63</v>
      </c>
      <c r="N138" s="21">
        <f>SUM(E138:M138)</f>
        <v/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4" t="n">
        <v>20</v>
      </c>
      <c r="F139" s="4" t="n">
        <v>289.55</v>
      </c>
      <c r="G139" s="4" t="n">
        <v>17.82</v>
      </c>
      <c r="H139" s="4" t="n">
        <v>0.58</v>
      </c>
      <c r="I139" s="4" t="n">
        <v>8.779999999999999</v>
      </c>
      <c r="J139" s="4" t="n">
        <v>6.91</v>
      </c>
      <c r="K139" s="4" t="n">
        <v>0</v>
      </c>
      <c r="L139" s="4" t="n">
        <v>0</v>
      </c>
      <c r="M139" s="4" t="n">
        <v>0</v>
      </c>
      <c r="N139" s="21">
        <f>SUM(E139:M139)</f>
        <v/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46280</v>
      </c>
      <c r="E140" s="4" t="n">
        <v>40</v>
      </c>
      <c r="F140" s="4" t="n">
        <v>181.52</v>
      </c>
      <c r="G140" s="4" t="n">
        <v>10.9</v>
      </c>
      <c r="H140" s="4" t="n">
        <v>0.36</v>
      </c>
      <c r="I140" s="4" t="n">
        <v>27.23</v>
      </c>
      <c r="J140" s="4" t="n">
        <v>9.23</v>
      </c>
      <c r="K140" s="4" t="n">
        <v>14.75</v>
      </c>
      <c r="L140" s="4" t="n">
        <v>35.4</v>
      </c>
      <c r="M140" s="4" t="n">
        <v>148.99</v>
      </c>
      <c r="N140" s="21">
        <f>SUM(E140:M140)</f>
        <v/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4" t="n">
        <v>20</v>
      </c>
      <c r="F141" s="4" t="n">
        <v>215.49</v>
      </c>
      <c r="G141" s="4" t="n">
        <v>10.54</v>
      </c>
      <c r="H141" s="4" t="n">
        <v>0.34</v>
      </c>
      <c r="I141" s="4" t="n">
        <v>5.09</v>
      </c>
      <c r="J141" s="4" t="n">
        <v>5.56</v>
      </c>
      <c r="K141" s="4" t="n">
        <v>0</v>
      </c>
      <c r="L141" s="4" t="n">
        <v>0</v>
      </c>
      <c r="M141" s="4" t="n">
        <v>0</v>
      </c>
      <c r="N141" s="21">
        <f>SUM(E141:M141)</f>
        <v/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46280</v>
      </c>
      <c r="E142" s="4" t="n">
        <v>20</v>
      </c>
      <c r="F142" s="4" t="n">
        <v>90.98999999999999</v>
      </c>
      <c r="G142" s="4" t="n">
        <v>5.61</v>
      </c>
      <c r="H142" s="4" t="n">
        <v>0.18</v>
      </c>
      <c r="I142" s="4" t="n">
        <v>13.65</v>
      </c>
      <c r="J142" s="4" t="n">
        <v>4.64</v>
      </c>
      <c r="K142" s="4" t="n">
        <v>14.75</v>
      </c>
      <c r="L142" s="4" t="n">
        <v>0</v>
      </c>
      <c r="M142" s="4" t="n">
        <v>0</v>
      </c>
      <c r="N142" s="21">
        <f>SUM(E142:M142)</f>
        <v/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4" t="n">
        <v>20</v>
      </c>
      <c r="F143" s="4" t="n">
        <v>112.51</v>
      </c>
      <c r="G143" s="4" t="n">
        <v>5.48</v>
      </c>
      <c r="H143" s="4" t="n">
        <v>0.18</v>
      </c>
      <c r="I143" s="4" t="n">
        <v>2.61</v>
      </c>
      <c r="J143" s="4" t="n">
        <v>4.62</v>
      </c>
      <c r="K143" s="4" t="n">
        <v>0</v>
      </c>
      <c r="L143" s="4" t="n">
        <v>0</v>
      </c>
      <c r="M143" s="4" t="n">
        <v>0</v>
      </c>
      <c r="N143" s="21">
        <f>SUM(E143:M143)</f>
        <v/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46280</v>
      </c>
      <c r="E144" s="4" t="n">
        <v>40</v>
      </c>
      <c r="F144" s="4" t="n">
        <v>179.85</v>
      </c>
      <c r="G144" s="4" t="n">
        <v>11.16</v>
      </c>
      <c r="H144" s="4" t="n">
        <v>0.36</v>
      </c>
      <c r="I144" s="4" t="n">
        <v>26.98</v>
      </c>
      <c r="J144" s="4" t="n">
        <v>9.27</v>
      </c>
      <c r="K144" s="4" t="n">
        <v>14.75</v>
      </c>
      <c r="L144" s="4" t="n">
        <v>35.4</v>
      </c>
      <c r="M144" s="4" t="n">
        <v>147.62</v>
      </c>
      <c r="N144" s="21">
        <f>SUM(E144:M144)</f>
        <v/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4" t="n">
        <v>20</v>
      </c>
      <c r="F145" s="4" t="n">
        <v>227.71</v>
      </c>
      <c r="G145" s="4" t="n">
        <v>11.14</v>
      </c>
      <c r="H145" s="4" t="n">
        <v>0.36</v>
      </c>
      <c r="I145" s="4" t="n">
        <v>5.39</v>
      </c>
      <c r="J145" s="4" t="n">
        <v>5.67</v>
      </c>
      <c r="K145" s="4" t="n">
        <v>0</v>
      </c>
      <c r="L145" s="4" t="n">
        <v>0</v>
      </c>
      <c r="M145" s="4" t="n">
        <v>0</v>
      </c>
      <c r="N145" s="21">
        <f>SUM(E145:M145)</f>
        <v/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46280</v>
      </c>
      <c r="E146" s="4" t="n">
        <v>40</v>
      </c>
      <c r="F146" s="4" t="n">
        <v>180.57</v>
      </c>
      <c r="G146" s="4" t="n">
        <v>10.93</v>
      </c>
      <c r="H146" s="4" t="n">
        <v>0.36</v>
      </c>
      <c r="I146" s="4" t="n">
        <v>27.09</v>
      </c>
      <c r="J146" s="4" t="n">
        <v>9.23</v>
      </c>
      <c r="K146" s="4" t="n">
        <v>14.75</v>
      </c>
      <c r="L146" s="4" t="n">
        <v>35.4</v>
      </c>
      <c r="M146" s="4" t="n">
        <v>88.93000000000001</v>
      </c>
      <c r="N146" s="21">
        <f>SUM(E146:M146)</f>
        <v/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4" t="n">
        <v>20</v>
      </c>
      <c r="F147" s="4" t="n">
        <v>220.17</v>
      </c>
      <c r="G147" s="4" t="n">
        <v>10.83</v>
      </c>
      <c r="H147" s="4" t="n">
        <v>0.35</v>
      </c>
      <c r="I147" s="4" t="n">
        <v>5.31</v>
      </c>
      <c r="J147" s="4" t="n">
        <v>5.61</v>
      </c>
      <c r="K147" s="4" t="n">
        <v>0</v>
      </c>
      <c r="L147" s="4" t="n">
        <v>0</v>
      </c>
      <c r="M147" s="4" t="n">
        <v>0</v>
      </c>
      <c r="N147" s="21">
        <f>SUM(E147:M147)</f>
        <v/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46280</v>
      </c>
      <c r="E148" s="4" t="n">
        <v>40</v>
      </c>
      <c r="F148" s="4" t="n">
        <v>181.51</v>
      </c>
      <c r="G148" s="4" t="n">
        <v>11.33</v>
      </c>
      <c r="H148" s="4" t="n">
        <v>0.37</v>
      </c>
      <c r="I148" s="4" t="n">
        <v>27.36</v>
      </c>
      <c r="J148" s="4" t="n">
        <v>9.31</v>
      </c>
      <c r="K148" s="4" t="n">
        <v>14.75</v>
      </c>
      <c r="L148" s="4" t="n">
        <v>35.4</v>
      </c>
      <c r="M148" s="4" t="n">
        <v>143.29</v>
      </c>
      <c r="N148" s="21">
        <f>SUM(E148:M148)</f>
        <v/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4" t="n">
        <v>20</v>
      </c>
      <c r="F149" s="4" t="n">
        <v>232.7</v>
      </c>
      <c r="G149" s="4" t="n">
        <v>11.42</v>
      </c>
      <c r="H149" s="4" t="n">
        <v>0.37</v>
      </c>
      <c r="I149" s="4" t="n">
        <v>6</v>
      </c>
      <c r="J149" s="4" t="n">
        <v>5.72</v>
      </c>
      <c r="K149" s="4" t="n">
        <v>0</v>
      </c>
      <c r="L149" s="4" t="n">
        <v>0</v>
      </c>
      <c r="M149" s="4" t="n">
        <v>0</v>
      </c>
      <c r="N149" s="21">
        <f>SUM(E149:M149)</f>
        <v/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46280</v>
      </c>
      <c r="E150" s="4" t="n">
        <v>40</v>
      </c>
      <c r="F150" s="4" t="n">
        <v>180.93</v>
      </c>
      <c r="G150" s="4" t="n">
        <v>11.17</v>
      </c>
      <c r="H150" s="4" t="n">
        <v>0.36</v>
      </c>
      <c r="I150" s="4" t="n">
        <v>27.14</v>
      </c>
      <c r="J150" s="4" t="n">
        <v>9.279999999999999</v>
      </c>
      <c r="K150" s="4" t="n">
        <v>14.75</v>
      </c>
      <c r="L150" s="4" t="n">
        <v>35.4</v>
      </c>
      <c r="M150" s="4" t="n">
        <v>123.76</v>
      </c>
      <c r="N150" s="21">
        <f>SUM(E150:M150)</f>
        <v/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4" t="n">
        <v>20</v>
      </c>
      <c r="F151" s="4" t="n">
        <v>224.77</v>
      </c>
      <c r="G151" s="4" t="n">
        <v>10.95</v>
      </c>
      <c r="H151" s="4" t="n">
        <v>0.36</v>
      </c>
      <c r="I151" s="4" t="n">
        <v>5.22</v>
      </c>
      <c r="J151" s="4" t="n">
        <v>5.63</v>
      </c>
      <c r="K151" s="4" t="n">
        <v>0</v>
      </c>
      <c r="L151" s="4" t="n">
        <v>0</v>
      </c>
      <c r="M151" s="4" t="n">
        <v>0</v>
      </c>
      <c r="N151" s="21">
        <f>SUM(E151:M151)</f>
        <v/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46280</v>
      </c>
      <c r="E152" s="4" t="n">
        <v>20</v>
      </c>
      <c r="F152" s="4" t="n">
        <v>90.23</v>
      </c>
      <c r="G152" s="4" t="n">
        <v>5.41</v>
      </c>
      <c r="H152" s="4" t="n">
        <v>0.18</v>
      </c>
      <c r="I152" s="4" t="n">
        <v>13.54</v>
      </c>
      <c r="J152" s="4" t="n">
        <v>4.61</v>
      </c>
      <c r="K152" s="4" t="n">
        <v>14.75</v>
      </c>
      <c r="L152" s="4" t="n">
        <v>0</v>
      </c>
      <c r="M152" s="4" t="n">
        <v>0</v>
      </c>
      <c r="N152" s="21">
        <f>SUM(E152:M152)</f>
        <v/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4" t="n">
        <v>20</v>
      </c>
      <c r="F153" s="4" t="n">
        <v>107.7</v>
      </c>
      <c r="G153" s="4" t="n">
        <v>5.3</v>
      </c>
      <c r="H153" s="4" t="n">
        <v>0.17</v>
      </c>
      <c r="I153" s="4" t="n">
        <v>2.6</v>
      </c>
      <c r="J153" s="4" t="n">
        <v>4.58</v>
      </c>
      <c r="K153" s="4" t="n">
        <v>0</v>
      </c>
      <c r="L153" s="4" t="n">
        <v>0</v>
      </c>
      <c r="M153" s="4" t="n">
        <v>0</v>
      </c>
      <c r="N153" s="21">
        <f>SUM(E153:M153)</f>
        <v/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46280</v>
      </c>
      <c r="E154" s="4" t="n">
        <v>40</v>
      </c>
      <c r="F154" s="4" t="n">
        <v>220.82</v>
      </c>
      <c r="G154" s="4" t="n">
        <v>10.47</v>
      </c>
      <c r="H154" s="4" t="n">
        <v>0.34</v>
      </c>
      <c r="I154" s="4" t="n">
        <v>27.12</v>
      </c>
      <c r="J154" s="4" t="n">
        <v>9.15</v>
      </c>
      <c r="K154" s="4" t="n">
        <v>14.75</v>
      </c>
      <c r="L154" s="4" t="n">
        <v>35.4</v>
      </c>
      <c r="M154" s="4" t="n">
        <v>154.31</v>
      </c>
      <c r="N154" s="21">
        <f>SUM(E154:M154)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4" t="n">
        <v>20</v>
      </c>
      <c r="F155" s="4" t="n">
        <v>159.96</v>
      </c>
      <c r="G155" s="4" t="n">
        <v>9.81</v>
      </c>
      <c r="H155" s="4" t="n">
        <v>0.32</v>
      </c>
      <c r="I155" s="4" t="n">
        <v>4.78</v>
      </c>
      <c r="J155" s="4" t="n">
        <v>5.42</v>
      </c>
      <c r="K155" s="4" t="n">
        <v>0</v>
      </c>
      <c r="L155" s="4" t="n">
        <v>0</v>
      </c>
      <c r="M155" s="4" t="n">
        <v>0</v>
      </c>
      <c r="N155" s="21">
        <f>SUM(E155:M155)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46282</v>
      </c>
      <c r="E156" s="4" t="n">
        <v>40</v>
      </c>
      <c r="F156" s="4" t="n">
        <v>250.7</v>
      </c>
      <c r="G156" s="4" t="n">
        <v>15.4</v>
      </c>
      <c r="H156" s="4" t="n">
        <v>0.5</v>
      </c>
      <c r="I156" s="4" t="n">
        <v>37.46</v>
      </c>
      <c r="J156" s="4" t="n">
        <v>10.06</v>
      </c>
      <c r="K156" s="4" t="n">
        <v>14.75</v>
      </c>
      <c r="L156" s="4" t="n">
        <v>35.4</v>
      </c>
      <c r="M156" s="4" t="n">
        <v>55.44</v>
      </c>
      <c r="N156" s="21">
        <f>SUM(E156:M156)</f>
        <v/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4" t="n">
        <v>20</v>
      </c>
      <c r="F157" s="4" t="n">
        <v>315.33</v>
      </c>
      <c r="G157" s="4" t="n">
        <v>15.54</v>
      </c>
      <c r="H157" s="4" t="n">
        <v>0.51</v>
      </c>
      <c r="I157" s="4" t="n">
        <v>7.68</v>
      </c>
      <c r="J157" s="4" t="n">
        <v>6.49</v>
      </c>
      <c r="K157" s="4" t="n">
        <v>0</v>
      </c>
      <c r="L157" s="4" t="n">
        <v>0</v>
      </c>
      <c r="M157" s="4" t="n">
        <v>0</v>
      </c>
      <c r="N157" s="21">
        <f>SUM(E157:M157)</f>
        <v/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46282</v>
      </c>
      <c r="E158" s="4" t="n">
        <v>40</v>
      </c>
      <c r="F158" s="4" t="n">
        <v>314.93</v>
      </c>
      <c r="G158" s="4" t="n">
        <v>15.64</v>
      </c>
      <c r="H158" s="4" t="n">
        <v>0.51</v>
      </c>
      <c r="I158" s="4" t="n">
        <v>37.62</v>
      </c>
      <c r="J158" s="4" t="n">
        <v>10.11</v>
      </c>
      <c r="K158" s="4" t="n">
        <v>14.75</v>
      </c>
      <c r="L158" s="4" t="n">
        <v>35.4</v>
      </c>
      <c r="M158" s="4" t="n">
        <v>55.76</v>
      </c>
      <c r="N158" s="21">
        <f>SUM(E158:M158)</f>
        <v/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4" t="n">
        <v>20</v>
      </c>
      <c r="F159" s="4" t="n">
        <v>256.73</v>
      </c>
      <c r="G159" s="4" t="n">
        <v>15.67</v>
      </c>
      <c r="H159" s="4" t="n">
        <v>0.51</v>
      </c>
      <c r="I159" s="4" t="n">
        <v>7.56</v>
      </c>
      <c r="J159" s="4" t="n">
        <v>6.51</v>
      </c>
      <c r="K159" s="4" t="n">
        <v>0</v>
      </c>
      <c r="L159" s="4" t="n">
        <v>0</v>
      </c>
      <c r="M159" s="4" t="n">
        <v>0</v>
      </c>
      <c r="N159" s="21">
        <f>SUM(E159:M159)</f>
        <v/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46282</v>
      </c>
      <c r="E160" s="4" t="n">
        <v>40</v>
      </c>
      <c r="F160" s="4" t="n">
        <v>313.86</v>
      </c>
      <c r="G160" s="4" t="n">
        <v>15.42</v>
      </c>
      <c r="H160" s="4" t="n">
        <v>0.5</v>
      </c>
      <c r="I160" s="4" t="n">
        <v>37.61</v>
      </c>
      <c r="J160" s="4" t="n">
        <v>10.07</v>
      </c>
      <c r="K160" s="4" t="n">
        <v>14.75</v>
      </c>
      <c r="L160" s="4" t="n">
        <v>35.4</v>
      </c>
      <c r="M160" s="4" t="n">
        <v>51.45</v>
      </c>
      <c r="N160" s="21">
        <f>SUM(E160:M160)</f>
        <v/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4" t="n">
        <v>20</v>
      </c>
      <c r="F161" s="4" t="n">
        <v>252.54</v>
      </c>
      <c r="G161" s="4" t="n">
        <v>15.53</v>
      </c>
      <c r="H161" s="4" t="n">
        <v>0.51</v>
      </c>
      <c r="I161" s="4" t="n">
        <v>7.63</v>
      </c>
      <c r="J161" s="4" t="n">
        <v>6.49</v>
      </c>
      <c r="K161" s="4" t="n">
        <v>0</v>
      </c>
      <c r="L161" s="4" t="n">
        <v>0</v>
      </c>
      <c r="M161" s="4" t="n">
        <v>0</v>
      </c>
      <c r="N161" s="21">
        <f>SUM(E161:M161)</f>
        <v/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46282</v>
      </c>
      <c r="E162" s="4" t="n">
        <v>40</v>
      </c>
      <c r="F162" s="4" t="n">
        <v>312.65</v>
      </c>
      <c r="G162" s="4" t="n">
        <v>15.44</v>
      </c>
      <c r="H162" s="4" t="n">
        <v>0.5</v>
      </c>
      <c r="I162" s="4" t="n">
        <v>37.43</v>
      </c>
      <c r="J162" s="4" t="n">
        <v>10.07</v>
      </c>
      <c r="K162" s="4" t="n">
        <v>14.75</v>
      </c>
      <c r="L162" s="4" t="n">
        <v>35.4</v>
      </c>
      <c r="M162" s="4" t="n">
        <v>51.2</v>
      </c>
      <c r="N162" s="21">
        <f>SUM(E162:M162)</f>
        <v/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4" t="n">
        <v>20</v>
      </c>
      <c r="F163" s="4" t="n">
        <v>252.58</v>
      </c>
      <c r="G163" s="4" t="n">
        <v>15.48</v>
      </c>
      <c r="H163" s="4" t="n">
        <v>0.5</v>
      </c>
      <c r="I163" s="4" t="n">
        <v>7.52</v>
      </c>
      <c r="J163" s="4" t="n">
        <v>6.48</v>
      </c>
      <c r="K163" s="4" t="n">
        <v>0</v>
      </c>
      <c r="L163" s="4" t="n">
        <v>0</v>
      </c>
      <c r="M163" s="4" t="n">
        <v>0</v>
      </c>
      <c r="N163" s="21">
        <f>SUM(E163:M163)</f>
        <v/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46282</v>
      </c>
      <c r="E164" s="4" t="n">
        <v>40</v>
      </c>
      <c r="F164" s="4" t="n">
        <v>249.41</v>
      </c>
      <c r="G164" s="4" t="n">
        <v>15.45</v>
      </c>
      <c r="H164" s="4" t="n">
        <v>0.5</v>
      </c>
      <c r="I164" s="4" t="n">
        <v>37.41</v>
      </c>
      <c r="J164" s="4" t="n">
        <v>10.07</v>
      </c>
      <c r="K164" s="4" t="n">
        <v>14.75</v>
      </c>
      <c r="L164" s="4" t="n">
        <v>35.4</v>
      </c>
      <c r="M164" s="4" t="n">
        <v>42.65</v>
      </c>
      <c r="N164" s="21">
        <f>SUM(E164:M164)</f>
        <v/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4" t="n">
        <v>20</v>
      </c>
      <c r="F165" s="4" t="n">
        <v>317.35</v>
      </c>
      <c r="G165" s="4" t="n">
        <v>15.59</v>
      </c>
      <c r="H165" s="4" t="n">
        <v>0.51</v>
      </c>
      <c r="I165" s="4" t="n">
        <v>7.61</v>
      </c>
      <c r="J165" s="4" t="n">
        <v>6.5</v>
      </c>
      <c r="K165" s="4" t="n">
        <v>0</v>
      </c>
      <c r="L165" s="4" t="n">
        <v>0</v>
      </c>
      <c r="M165" s="4" t="n">
        <v>0</v>
      </c>
      <c r="N165" s="21">
        <f>SUM(E165:M165)</f>
        <v/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46282</v>
      </c>
      <c r="E166" s="4" t="n">
        <v>40</v>
      </c>
      <c r="F166" s="4" t="n">
        <v>249.83</v>
      </c>
      <c r="G166" s="4" t="n">
        <v>15.22</v>
      </c>
      <c r="H166" s="4" t="n">
        <v>0.5</v>
      </c>
      <c r="I166" s="4" t="n">
        <v>37.47</v>
      </c>
      <c r="J166" s="4" t="n">
        <v>10.03</v>
      </c>
      <c r="K166" s="4" t="n">
        <v>14.75</v>
      </c>
      <c r="L166" s="4" t="n">
        <v>35.4</v>
      </c>
      <c r="M166" s="4" t="n">
        <v>58.67</v>
      </c>
      <c r="N166" s="21">
        <f>SUM(E166:M166)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4" t="n">
        <v>20</v>
      </c>
      <c r="F167" s="4" t="n">
        <v>306.41</v>
      </c>
      <c r="G167" s="4" t="n">
        <v>15.03</v>
      </c>
      <c r="H167" s="4" t="n">
        <v>0.49</v>
      </c>
      <c r="I167" s="4" t="n">
        <v>7.32</v>
      </c>
      <c r="J167" s="4" t="n">
        <v>6.39</v>
      </c>
      <c r="K167" s="4" t="n">
        <v>0</v>
      </c>
      <c r="L167" s="4" t="n">
        <v>0</v>
      </c>
      <c r="M167" s="4" t="n">
        <v>0</v>
      </c>
      <c r="N167" s="21">
        <f>SUM(E167:M167)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46283</v>
      </c>
      <c r="E168" s="4" t="n">
        <v>40</v>
      </c>
      <c r="F168" s="4" t="n">
        <v>377.98</v>
      </c>
      <c r="G168" s="4" t="n">
        <v>23.37</v>
      </c>
      <c r="H168" s="4" t="n">
        <v>0.76</v>
      </c>
      <c r="I168" s="4" t="n">
        <v>56.7</v>
      </c>
      <c r="J168" s="4" t="n">
        <v>11.54</v>
      </c>
      <c r="K168" s="4" t="n">
        <v>14.75</v>
      </c>
      <c r="L168" s="4" t="n">
        <v>35.4</v>
      </c>
      <c r="M168" s="4" t="n">
        <v>65.93000000000001</v>
      </c>
      <c r="N168" s="21">
        <f>SUM(E168:M168)</f>
        <v/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4" t="n">
        <v>20</v>
      </c>
      <c r="F169" s="4" t="n">
        <v>483.95</v>
      </c>
      <c r="G169" s="4" t="n">
        <v>23.86</v>
      </c>
      <c r="H169" s="4" t="n">
        <v>0.77</v>
      </c>
      <c r="I169" s="4" t="n">
        <v>11.77</v>
      </c>
      <c r="J169" s="4" t="n">
        <v>8.029999999999999</v>
      </c>
      <c r="K169" s="4" t="n">
        <v>0</v>
      </c>
      <c r="L169" s="4" t="n">
        <v>0</v>
      </c>
      <c r="M169" s="4" t="n">
        <v>0</v>
      </c>
      <c r="N169" s="21">
        <f>SUM(E169:M169)</f>
        <v/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46283</v>
      </c>
      <c r="E170" s="4" t="n">
        <v>40</v>
      </c>
      <c r="F170" s="4" t="n">
        <v>375.7</v>
      </c>
      <c r="G170" s="4" t="n">
        <v>23.23</v>
      </c>
      <c r="H170" s="4" t="n">
        <v>0.76</v>
      </c>
      <c r="I170" s="4" t="n">
        <v>55.98</v>
      </c>
      <c r="J170" s="4" t="n">
        <v>11.52</v>
      </c>
      <c r="K170" s="4" t="n">
        <v>14.75</v>
      </c>
      <c r="L170" s="4" t="n">
        <v>35.4</v>
      </c>
      <c r="M170" s="4" t="n">
        <v>77.09</v>
      </c>
      <c r="N170" s="21">
        <f>SUM(E170:M170)</f>
        <v/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4" t="n">
        <v>20</v>
      </c>
      <c r="F171" s="4" t="n">
        <v>485.78</v>
      </c>
      <c r="G171" s="4" t="n">
        <v>24.1</v>
      </c>
      <c r="H171" s="4" t="n">
        <v>0.78</v>
      </c>
      <c r="I171" s="4" t="n">
        <v>12.1</v>
      </c>
      <c r="J171" s="4" t="n">
        <v>8.08</v>
      </c>
      <c r="K171" s="4" t="n">
        <v>0</v>
      </c>
      <c r="L171" s="4" t="n">
        <v>0</v>
      </c>
      <c r="M171" s="4" t="n">
        <v>0</v>
      </c>
      <c r="N171" s="21">
        <f>SUM(E171:M171)</f>
        <v/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46286</v>
      </c>
      <c r="E172" s="4" t="n">
        <v>20</v>
      </c>
      <c r="F172" s="4" t="n">
        <v>186.61</v>
      </c>
      <c r="G172" s="4" t="n">
        <v>9.119999999999999</v>
      </c>
      <c r="H172" s="4" t="n">
        <v>0.3</v>
      </c>
      <c r="I172" s="4" t="n">
        <v>22.49</v>
      </c>
      <c r="J172" s="4" t="n">
        <v>5.29</v>
      </c>
      <c r="K172" s="4" t="n">
        <v>14.75</v>
      </c>
      <c r="L172" s="4" t="n">
        <v>0</v>
      </c>
      <c r="M172" s="4" t="n">
        <v>0</v>
      </c>
      <c r="N172" s="21">
        <f>SUM(E172:M172)</f>
        <v/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4" t="n">
        <v>20</v>
      </c>
      <c r="F173" s="4" t="n">
        <v>146.69</v>
      </c>
      <c r="G173" s="4" t="n">
        <v>9</v>
      </c>
      <c r="H173" s="4" t="n">
        <v>0.29</v>
      </c>
      <c r="I173" s="4" t="n">
        <v>4.39</v>
      </c>
      <c r="J173" s="4" t="n">
        <v>5.27</v>
      </c>
      <c r="K173" s="4" t="n">
        <v>0</v>
      </c>
      <c r="L173" s="4" t="n">
        <v>0</v>
      </c>
      <c r="M173" s="4" t="n">
        <v>0</v>
      </c>
      <c r="N173" s="21">
        <f>SUM(E173:M173)</f>
        <v/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46286</v>
      </c>
      <c r="E174" s="4" t="n">
        <v>40</v>
      </c>
      <c r="F174" s="4" t="n">
        <v>299.77</v>
      </c>
      <c r="G174" s="4" t="n">
        <v>18.41</v>
      </c>
      <c r="H174" s="4" t="n">
        <v>0.6</v>
      </c>
      <c r="I174" s="4" t="n">
        <v>44.97</v>
      </c>
      <c r="J174" s="4" t="n">
        <v>10.62</v>
      </c>
      <c r="K174" s="4" t="n">
        <v>14.75</v>
      </c>
      <c r="L174" s="4" t="n">
        <v>35.4</v>
      </c>
      <c r="M174" s="4" t="n">
        <v>196.93</v>
      </c>
      <c r="N174" s="21">
        <f>SUM(E174:M174)</f>
        <v/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4" t="n">
        <v>20</v>
      </c>
      <c r="F175" s="4" t="n">
        <v>380.7</v>
      </c>
      <c r="G175" s="4" t="n">
        <v>18.85</v>
      </c>
      <c r="H175" s="4" t="n">
        <v>0.61</v>
      </c>
      <c r="I175" s="4" t="n">
        <v>9.449999999999999</v>
      </c>
      <c r="J175" s="4" t="n">
        <v>7.1</v>
      </c>
      <c r="K175" s="4" t="n">
        <v>0</v>
      </c>
      <c r="L175" s="4" t="n">
        <v>0</v>
      </c>
      <c r="M175" s="4" t="n">
        <v>0</v>
      </c>
      <c r="N175" s="21">
        <f>SUM(E175:M175)</f>
        <v/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46286</v>
      </c>
      <c r="E176" s="4" t="n">
        <v>40</v>
      </c>
      <c r="F176" s="4" t="n">
        <v>298.79</v>
      </c>
      <c r="G176" s="4" t="n">
        <v>18.48</v>
      </c>
      <c r="H176" s="4" t="n">
        <v>0.6</v>
      </c>
      <c r="I176" s="4" t="n">
        <v>44.7</v>
      </c>
      <c r="J176" s="4" t="n">
        <v>10.63</v>
      </c>
      <c r="K176" s="4" t="n">
        <v>14.75</v>
      </c>
      <c r="L176" s="4" t="n">
        <v>35.4</v>
      </c>
      <c r="M176" s="4" t="n">
        <v>183.94</v>
      </c>
      <c r="N176" s="21">
        <f>SUM(E176:M176)</f>
        <v/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4" t="n">
        <v>20</v>
      </c>
      <c r="F177" s="4" t="n">
        <v>378.86</v>
      </c>
      <c r="G177" s="4" t="n">
        <v>18.61</v>
      </c>
      <c r="H177" s="4" t="n">
        <v>0.61</v>
      </c>
      <c r="I177" s="4" t="n">
        <v>9.06</v>
      </c>
      <c r="J177" s="4" t="n">
        <v>7.06</v>
      </c>
      <c r="K177" s="4" t="n">
        <v>0</v>
      </c>
      <c r="L177" s="4" t="n">
        <v>0</v>
      </c>
      <c r="M177" s="4" t="n">
        <v>0</v>
      </c>
      <c r="N177" s="21">
        <f>SUM(E177:M177)</f>
        <v/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46286</v>
      </c>
      <c r="E178" s="4" t="n">
        <v>40</v>
      </c>
      <c r="F178" s="4" t="n">
        <v>299.8</v>
      </c>
      <c r="G178" s="4" t="n">
        <v>18.86</v>
      </c>
      <c r="H178" s="4" t="n">
        <v>0.61</v>
      </c>
      <c r="I178" s="4" t="n">
        <v>44.97</v>
      </c>
      <c r="J178" s="4" t="n">
        <v>10.7</v>
      </c>
      <c r="K178" s="4" t="n">
        <v>14.75</v>
      </c>
      <c r="L178" s="4" t="n">
        <v>35.4</v>
      </c>
      <c r="M178" s="4" t="n">
        <v>199.94</v>
      </c>
      <c r="N178" s="21">
        <f>SUM(E178:M178)</f>
        <v/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4" t="n">
        <v>20</v>
      </c>
      <c r="F179" s="4" t="n">
        <v>390.9</v>
      </c>
      <c r="G179" s="4" t="n">
        <v>19.16</v>
      </c>
      <c r="H179" s="4" t="n">
        <v>0.63</v>
      </c>
      <c r="I179" s="4" t="n">
        <v>9.300000000000001</v>
      </c>
      <c r="J179" s="4" t="n">
        <v>7.16</v>
      </c>
      <c r="K179" s="4" t="n">
        <v>0</v>
      </c>
      <c r="L179" s="4" t="n">
        <v>0</v>
      </c>
      <c r="M179" s="4" t="n">
        <v>0</v>
      </c>
      <c r="N179" s="21">
        <f>SUM(E179:M179)</f>
        <v/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46286</v>
      </c>
      <c r="E180" s="4" t="n">
        <v>40</v>
      </c>
      <c r="F180" s="4" t="n">
        <v>299.97</v>
      </c>
      <c r="G180" s="4" t="n">
        <v>18.48</v>
      </c>
      <c r="H180" s="4" t="n">
        <v>0.6</v>
      </c>
      <c r="I180" s="4" t="n">
        <v>45</v>
      </c>
      <c r="J180" s="4" t="n">
        <v>10.63</v>
      </c>
      <c r="K180" s="4" t="n">
        <v>14.75</v>
      </c>
      <c r="L180" s="4" t="n">
        <v>35.4</v>
      </c>
      <c r="M180" s="4" t="n">
        <v>184.66</v>
      </c>
      <c r="N180" s="21">
        <f>SUM(E180:M180)</f>
        <v/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4" t="n">
        <v>20</v>
      </c>
      <c r="F181" s="4" t="n">
        <v>374.37</v>
      </c>
      <c r="G181" s="4" t="n">
        <v>18.31</v>
      </c>
      <c r="H181" s="4" t="n">
        <v>0.6</v>
      </c>
      <c r="I181" s="4" t="n">
        <v>8.83</v>
      </c>
      <c r="J181" s="4" t="n">
        <v>7</v>
      </c>
      <c r="K181" s="4" t="n">
        <v>0</v>
      </c>
      <c r="L181" s="4" t="n">
        <v>0</v>
      </c>
      <c r="M181" s="4" t="n">
        <v>0</v>
      </c>
      <c r="N181" s="21">
        <f>SUM(E181:M181)</f>
        <v/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46287</v>
      </c>
      <c r="E182" s="4" t="n">
        <v>40</v>
      </c>
      <c r="F182" s="4" t="n">
        <v>138.24</v>
      </c>
      <c r="G182" s="4" t="n">
        <v>8.34</v>
      </c>
      <c r="H182" s="4" t="n">
        <v>0.27</v>
      </c>
      <c r="I182" s="4" t="n">
        <v>20.74</v>
      </c>
      <c r="J182" s="4" t="n">
        <v>8.75</v>
      </c>
      <c r="K182" s="4" t="n">
        <v>14.75</v>
      </c>
      <c r="L182" s="4" t="n">
        <v>35.4</v>
      </c>
      <c r="M182" s="4" t="n">
        <v>28.37</v>
      </c>
      <c r="N182" s="21">
        <f>SUM(E182:M182)</f>
        <v/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4" t="n">
        <v>20</v>
      </c>
      <c r="F183" s="4" t="n">
        <v>165.78</v>
      </c>
      <c r="G183" s="4" t="n">
        <v>8.119999999999999</v>
      </c>
      <c r="H183" s="4" t="n">
        <v>0.26</v>
      </c>
      <c r="I183" s="4" t="n">
        <v>3.94</v>
      </c>
      <c r="J183" s="4" t="n">
        <v>5.11</v>
      </c>
      <c r="K183" s="4" t="n">
        <v>0</v>
      </c>
      <c r="L183" s="4" t="n">
        <v>0</v>
      </c>
      <c r="M183" s="4" t="n">
        <v>0</v>
      </c>
      <c r="N183" s="21">
        <f>SUM(E183:M183)</f>
        <v/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46287</v>
      </c>
      <c r="E184" s="4" t="n">
        <v>40</v>
      </c>
      <c r="F184" s="4" t="n">
        <v>172</v>
      </c>
      <c r="G184" s="4" t="n">
        <v>8.5</v>
      </c>
      <c r="H184" s="4" t="n">
        <v>0.28</v>
      </c>
      <c r="I184" s="4" t="n">
        <v>20.61</v>
      </c>
      <c r="J184" s="4" t="n">
        <v>8.779999999999999</v>
      </c>
      <c r="K184" s="4" t="n">
        <v>14.75</v>
      </c>
      <c r="L184" s="4" t="n">
        <v>35.4</v>
      </c>
      <c r="M184" s="4" t="n">
        <v>0</v>
      </c>
      <c r="N184" s="21">
        <f>SUM(E184:M184)</f>
        <v/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4" t="n">
        <v>20</v>
      </c>
      <c r="F185" s="4" t="n">
        <v>138.53</v>
      </c>
      <c r="G185" s="4" t="n">
        <v>8.48</v>
      </c>
      <c r="H185" s="4" t="n">
        <v>0.28</v>
      </c>
      <c r="I185" s="4" t="n">
        <v>4.11</v>
      </c>
      <c r="J185" s="4" t="n">
        <v>5.18</v>
      </c>
      <c r="K185" s="4" t="n">
        <v>0</v>
      </c>
      <c r="L185" s="4" t="n">
        <v>0</v>
      </c>
      <c r="M185" s="4" t="n">
        <v>0</v>
      </c>
      <c r="N185" s="21">
        <f>SUM(E185:M185)</f>
        <v/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46287</v>
      </c>
      <c r="E186" s="4" t="n">
        <v>40</v>
      </c>
      <c r="F186" s="4" t="n">
        <v>177.8</v>
      </c>
      <c r="G186" s="4" t="n">
        <v>8.800000000000001</v>
      </c>
      <c r="H186" s="4" t="n">
        <v>0.29</v>
      </c>
      <c r="I186" s="4" t="n">
        <v>21.7</v>
      </c>
      <c r="J186" s="4" t="n">
        <v>8.84</v>
      </c>
      <c r="K186" s="4" t="n">
        <v>14.75</v>
      </c>
      <c r="L186" s="4" t="n">
        <v>35.4</v>
      </c>
      <c r="M186" s="4" t="n">
        <v>29.08</v>
      </c>
      <c r="N186" s="21">
        <f>SUM(E186:M186)</f>
        <v/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4" t="n">
        <v>20</v>
      </c>
      <c r="F187" s="4" t="n">
        <v>144.33</v>
      </c>
      <c r="G187" s="4" t="n">
        <v>8.85</v>
      </c>
      <c r="H187" s="4" t="n">
        <v>0.29</v>
      </c>
      <c r="I187" s="4" t="n">
        <v>4.28</v>
      </c>
      <c r="J187" s="4" t="n">
        <v>5.24</v>
      </c>
      <c r="K187" s="4" t="n">
        <v>0</v>
      </c>
      <c r="L187" s="4" t="n">
        <v>0</v>
      </c>
      <c r="M187" s="4" t="n">
        <v>0</v>
      </c>
      <c r="N187" s="21">
        <f>SUM(E187:M187)</f>
        <v/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46287</v>
      </c>
      <c r="E188" s="4" t="n">
        <v>40</v>
      </c>
      <c r="F188" s="4" t="n">
        <v>141.68</v>
      </c>
      <c r="G188" s="4" t="n">
        <v>8.75</v>
      </c>
      <c r="H188" s="4" t="n">
        <v>0.29</v>
      </c>
      <c r="I188" s="4" t="n">
        <v>21.25</v>
      </c>
      <c r="J188" s="4" t="n">
        <v>8.83</v>
      </c>
      <c r="K188" s="4" t="n">
        <v>14.75</v>
      </c>
      <c r="L188" s="4" t="n">
        <v>35.4</v>
      </c>
      <c r="M188" s="4" t="n">
        <v>17.44</v>
      </c>
      <c r="N188" s="21">
        <f>SUM(E188:M188)</f>
        <v/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4" t="n">
        <v>20</v>
      </c>
      <c r="F189" s="4" t="n">
        <v>178.17</v>
      </c>
      <c r="G189" s="4" t="n">
        <v>8.720000000000001</v>
      </c>
      <c r="H189" s="4" t="n">
        <v>0.28</v>
      </c>
      <c r="I189" s="4" t="n">
        <v>4.24</v>
      </c>
      <c r="J189" s="4" t="n">
        <v>5.22</v>
      </c>
      <c r="K189" s="4" t="n">
        <v>0</v>
      </c>
      <c r="L189" s="4" t="n">
        <v>0</v>
      </c>
      <c r="M189" s="4" t="n">
        <v>0</v>
      </c>
      <c r="N189" s="21">
        <f>SUM(E189:M189)</f>
        <v/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46287</v>
      </c>
      <c r="E190" s="4" t="n">
        <v>36.16</v>
      </c>
      <c r="F190" s="4" t="n">
        <v>75.06</v>
      </c>
      <c r="G190" s="4" t="n">
        <v>3.7</v>
      </c>
      <c r="H190" s="4" t="n">
        <v>0.12</v>
      </c>
      <c r="I190" s="4" t="n">
        <v>9</v>
      </c>
      <c r="J190" s="4" t="n">
        <v>7.2</v>
      </c>
      <c r="K190" s="4" t="n">
        <v>14.75</v>
      </c>
      <c r="L190" s="4" t="n">
        <v>35.4</v>
      </c>
      <c r="M190" s="4" t="n">
        <v>10.26</v>
      </c>
      <c r="N190" s="21">
        <f>SUM(E190:M190)</f>
        <v/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4" t="n">
        <v>17.94</v>
      </c>
      <c r="F191" s="4" t="n">
        <v>60.25</v>
      </c>
      <c r="G191" s="4" t="n">
        <v>3.69</v>
      </c>
      <c r="H191" s="4" t="n">
        <v>0.12</v>
      </c>
      <c r="I191" s="4" t="n">
        <v>1.79</v>
      </c>
      <c r="J191" s="4" t="n">
        <v>3.91</v>
      </c>
      <c r="K191" s="4" t="n">
        <v>0</v>
      </c>
      <c r="L191" s="4" t="n">
        <v>0</v>
      </c>
      <c r="M191" s="4" t="n">
        <v>0</v>
      </c>
      <c r="N191" s="21">
        <f>SUM(E191:M191)</f>
        <v/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46287</v>
      </c>
      <c r="E192" s="4" t="n">
        <v>40</v>
      </c>
      <c r="F192" s="4" t="n">
        <v>137.8</v>
      </c>
      <c r="G192" s="4" t="n">
        <v>8.449999999999999</v>
      </c>
      <c r="H192" s="4" t="n">
        <v>0.28</v>
      </c>
      <c r="I192" s="4" t="n">
        <v>20.67</v>
      </c>
      <c r="J192" s="4" t="n">
        <v>8.77</v>
      </c>
      <c r="K192" s="4" t="n">
        <v>14.75</v>
      </c>
      <c r="L192" s="4" t="n">
        <v>35.4</v>
      </c>
      <c r="M192" s="4" t="n">
        <v>24.04</v>
      </c>
      <c r="N192" s="21">
        <f>SUM(E192:M192)</f>
        <v/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4" t="n">
        <v>20</v>
      </c>
      <c r="F193" s="4" t="n">
        <v>171.71</v>
      </c>
      <c r="G193" s="4" t="n">
        <v>8.43</v>
      </c>
      <c r="H193" s="4" t="n">
        <v>0.27</v>
      </c>
      <c r="I193" s="4" t="n">
        <v>4.12</v>
      </c>
      <c r="J193" s="4" t="n">
        <v>5.17</v>
      </c>
      <c r="K193" s="4" t="n">
        <v>0</v>
      </c>
      <c r="L193" s="4" t="n">
        <v>0</v>
      </c>
      <c r="M193" s="4" t="n">
        <v>0</v>
      </c>
      <c r="N193" s="21">
        <f>SUM(E193:M193)</f>
        <v/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46288</v>
      </c>
      <c r="E194" s="4" t="n">
        <v>95.05</v>
      </c>
      <c r="F194" s="4" t="n">
        <v>250.29</v>
      </c>
      <c r="G194" s="4" t="n">
        <v>15.19</v>
      </c>
      <c r="H194" s="4" t="n">
        <v>0.49</v>
      </c>
      <c r="I194" s="4" t="n">
        <v>37.54</v>
      </c>
      <c r="J194" s="4" t="n">
        <v>19.93</v>
      </c>
      <c r="K194" s="4" t="n">
        <v>14.75</v>
      </c>
      <c r="L194" s="4" t="n">
        <v>35.4</v>
      </c>
      <c r="M194" s="4" t="n">
        <v>30.82</v>
      </c>
      <c r="N194" s="21">
        <f>SUM(E194:M194)</f>
        <v/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4" t="n">
        <v>20</v>
      </c>
      <c r="F195" s="4" t="n">
        <v>303.94</v>
      </c>
      <c r="G195" s="4" t="n">
        <v>14.89</v>
      </c>
      <c r="H195" s="4" t="n">
        <v>0.49</v>
      </c>
      <c r="I195" s="4" t="n">
        <v>7.22</v>
      </c>
      <c r="J195" s="4" t="n">
        <v>6.37</v>
      </c>
      <c r="K195" s="4" t="n">
        <v>0</v>
      </c>
      <c r="L195" s="4" t="n">
        <v>0</v>
      </c>
      <c r="M195" s="4" t="n">
        <v>0</v>
      </c>
      <c r="N195" s="21">
        <f>SUM(E195:M195)</f>
        <v/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46288</v>
      </c>
      <c r="E196" s="4" t="n">
        <v>40</v>
      </c>
      <c r="F196" s="4" t="n">
        <v>251.5</v>
      </c>
      <c r="G196" s="4" t="n">
        <v>15.3</v>
      </c>
      <c r="H196" s="4" t="n">
        <v>0.5</v>
      </c>
      <c r="I196" s="4" t="n">
        <v>37.72</v>
      </c>
      <c r="J196" s="4" t="n">
        <v>10.04</v>
      </c>
      <c r="K196" s="4" t="n">
        <v>14.75</v>
      </c>
      <c r="L196" s="4" t="n">
        <v>35.4</v>
      </c>
      <c r="M196" s="4" t="n">
        <v>53.9</v>
      </c>
      <c r="N196" s="21">
        <f>SUM(E196:M196)</f>
        <v/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4" t="n">
        <v>20</v>
      </c>
      <c r="F197" s="4" t="n">
        <v>309.78</v>
      </c>
      <c r="G197" s="4" t="n">
        <v>15.25</v>
      </c>
      <c r="H197" s="4" t="n">
        <v>0.5</v>
      </c>
      <c r="I197" s="4" t="n">
        <v>7.5</v>
      </c>
      <c r="J197" s="4" t="n">
        <v>6.43</v>
      </c>
      <c r="K197" s="4" t="n">
        <v>0</v>
      </c>
      <c r="L197" s="4" t="n">
        <v>0</v>
      </c>
      <c r="M197" s="4" t="n">
        <v>0</v>
      </c>
      <c r="N197" s="21">
        <f>SUM(E197:M197)</f>
        <v/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46288</v>
      </c>
      <c r="E198" s="4" t="n">
        <v>40</v>
      </c>
      <c r="F198" s="4" t="n">
        <v>250.38</v>
      </c>
      <c r="G198" s="4" t="n">
        <v>15.43</v>
      </c>
      <c r="H198" s="4" t="n">
        <v>0.5</v>
      </c>
      <c r="I198" s="4" t="n">
        <v>37.86</v>
      </c>
      <c r="J198" s="4" t="n">
        <v>10.07</v>
      </c>
      <c r="K198" s="4" t="n">
        <v>14.75</v>
      </c>
      <c r="L198" s="4" t="n">
        <v>35.4</v>
      </c>
      <c r="M198" s="4" t="n">
        <v>58.19</v>
      </c>
      <c r="N198" s="21">
        <f>SUM(E198:M198)</f>
        <v/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4" t="n">
        <v>20</v>
      </c>
      <c r="F199" s="4" t="n">
        <v>315.31</v>
      </c>
      <c r="G199" s="4" t="n">
        <v>15.48</v>
      </c>
      <c r="H199" s="4" t="n">
        <v>0.5</v>
      </c>
      <c r="I199" s="4" t="n">
        <v>7.54</v>
      </c>
      <c r="J199" s="4" t="n">
        <v>6.48</v>
      </c>
      <c r="K199" s="4" t="n">
        <v>0</v>
      </c>
      <c r="L199" s="4" t="n">
        <v>0</v>
      </c>
      <c r="M199" s="4" t="n">
        <v>0</v>
      </c>
      <c r="N199" s="21">
        <f>SUM(E199:M199)</f>
        <v/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46288</v>
      </c>
      <c r="E200" s="4" t="n">
        <v>40</v>
      </c>
      <c r="F200" s="4" t="n">
        <v>312.34</v>
      </c>
      <c r="G200" s="4" t="n">
        <v>15.2</v>
      </c>
      <c r="H200" s="4" t="n">
        <v>0.49</v>
      </c>
      <c r="I200" s="4" t="n">
        <v>37.54</v>
      </c>
      <c r="J200" s="4" t="n">
        <v>10.03</v>
      </c>
      <c r="K200" s="4" t="n">
        <v>14.75</v>
      </c>
      <c r="L200" s="4" t="n">
        <v>35.4</v>
      </c>
      <c r="M200" s="4" t="n">
        <v>51.35</v>
      </c>
      <c r="N200" s="21">
        <f>SUM(E200:M200)</f>
        <v/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4" t="n">
        <v>20</v>
      </c>
      <c r="F201" s="4" t="n">
        <v>248.32</v>
      </c>
      <c r="G201" s="4" t="n">
        <v>15.35</v>
      </c>
      <c r="H201" s="4" t="n">
        <v>0.5</v>
      </c>
      <c r="I201" s="4" t="n">
        <v>7.66</v>
      </c>
      <c r="J201" s="4" t="n">
        <v>6.45</v>
      </c>
      <c r="K201" s="4" t="n">
        <v>0</v>
      </c>
      <c r="L201" s="4" t="n">
        <v>0</v>
      </c>
      <c r="M201" s="4" t="n">
        <v>0</v>
      </c>
      <c r="N201" s="21">
        <f>SUM(E201:M201)</f>
        <v/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46288</v>
      </c>
      <c r="E202" s="4" t="n">
        <v>40</v>
      </c>
      <c r="F202" s="4" t="n">
        <v>314.02</v>
      </c>
      <c r="G202" s="4" t="n">
        <v>15.53</v>
      </c>
      <c r="H202" s="4" t="n">
        <v>0.51</v>
      </c>
      <c r="I202" s="4" t="n">
        <v>37.53</v>
      </c>
      <c r="J202" s="4" t="n">
        <v>10.09</v>
      </c>
      <c r="K202" s="4" t="n">
        <v>14.75</v>
      </c>
      <c r="L202" s="4" t="n">
        <v>35.4</v>
      </c>
      <c r="M202" s="4" t="n">
        <v>51.34</v>
      </c>
      <c r="N202" s="21">
        <f>SUM(E202:M202)</f>
        <v/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4" t="n">
        <v>20</v>
      </c>
      <c r="F203" s="4" t="n">
        <v>255.41</v>
      </c>
      <c r="G203" s="4" t="n">
        <v>15.67</v>
      </c>
      <c r="H203" s="4" t="n">
        <v>0.51</v>
      </c>
      <c r="I203" s="4" t="n">
        <v>7.66</v>
      </c>
      <c r="J203" s="4" t="n">
        <v>6.51</v>
      </c>
      <c r="K203" s="4" t="n">
        <v>0</v>
      </c>
      <c r="L203" s="4" t="n">
        <v>0</v>
      </c>
      <c r="M203" s="4" t="n">
        <v>0</v>
      </c>
      <c r="N203" s="21">
        <f>SUM(E203:M203)</f>
        <v/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46288</v>
      </c>
      <c r="E204" s="4" t="n">
        <v>40</v>
      </c>
      <c r="F204" s="4" t="n">
        <v>248.85</v>
      </c>
      <c r="G204" s="4" t="n">
        <v>15.35</v>
      </c>
      <c r="H204" s="4" t="n">
        <v>0.5</v>
      </c>
      <c r="I204" s="4" t="n">
        <v>37.33</v>
      </c>
      <c r="J204" s="4" t="n">
        <v>10.05</v>
      </c>
      <c r="K204" s="4" t="n">
        <v>14.75</v>
      </c>
      <c r="L204" s="4" t="n">
        <v>35.4</v>
      </c>
      <c r="M204" s="4" t="n">
        <v>54.55</v>
      </c>
      <c r="N204" s="21">
        <f>SUM(E204:M204)</f>
        <v/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4" t="n">
        <v>20</v>
      </c>
      <c r="F205" s="4" t="n">
        <v>315.44</v>
      </c>
      <c r="G205" s="4" t="n">
        <v>15.53</v>
      </c>
      <c r="H205" s="4" t="n">
        <v>0.51</v>
      </c>
      <c r="I205" s="4" t="n">
        <v>7.64</v>
      </c>
      <c r="J205" s="4" t="n">
        <v>6.49</v>
      </c>
      <c r="K205" s="4" t="n">
        <v>0</v>
      </c>
      <c r="L205" s="4" t="n">
        <v>0</v>
      </c>
      <c r="M205" s="4" t="n">
        <v>0</v>
      </c>
      <c r="N205" s="21">
        <f>SUM(E205:M205)</f>
        <v/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46289</v>
      </c>
      <c r="E206" s="4" t="n">
        <v>69.98</v>
      </c>
      <c r="F206" s="4" t="n">
        <v>207.6</v>
      </c>
      <c r="G206" s="4" t="n">
        <v>10.16</v>
      </c>
      <c r="H206" s="4" t="n">
        <v>0.33</v>
      </c>
      <c r="I206" s="4" t="n">
        <v>24.98</v>
      </c>
      <c r="J206" s="4" t="n">
        <v>14.49</v>
      </c>
      <c r="K206" s="4" t="n">
        <v>14.75</v>
      </c>
      <c r="L206" s="4" t="n">
        <v>35.4</v>
      </c>
      <c r="M206" s="4" t="n">
        <v>34.18</v>
      </c>
      <c r="N206" s="21">
        <f>SUM(E206:M206)</f>
        <v/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4" t="n">
        <v>20</v>
      </c>
      <c r="F207" s="4" t="n">
        <v>164.2</v>
      </c>
      <c r="G207" s="4" t="n">
        <v>10.07</v>
      </c>
      <c r="H207" s="4" t="n">
        <v>0.33</v>
      </c>
      <c r="I207" s="4" t="n">
        <v>4.91</v>
      </c>
      <c r="J207" s="4" t="n">
        <v>5.47</v>
      </c>
      <c r="K207" s="4" t="n">
        <v>0</v>
      </c>
      <c r="L207" s="4" t="n">
        <v>0</v>
      </c>
      <c r="M207" s="4" t="n">
        <v>0</v>
      </c>
      <c r="N207" s="21">
        <f>SUM(E207:M207)</f>
        <v/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46289</v>
      </c>
      <c r="E208" s="4" t="n">
        <v>70.02</v>
      </c>
      <c r="F208" s="4" t="n">
        <v>166.76</v>
      </c>
      <c r="G208" s="4" t="n">
        <v>10.41</v>
      </c>
      <c r="H208" s="4" t="n">
        <v>0.34</v>
      </c>
      <c r="I208" s="4" t="n">
        <v>25.02</v>
      </c>
      <c r="J208" s="4" t="n">
        <v>14.54</v>
      </c>
      <c r="K208" s="4" t="n">
        <v>14.75</v>
      </c>
      <c r="L208" s="4" t="n">
        <v>35.4</v>
      </c>
      <c r="M208" s="4" t="n">
        <v>20.53</v>
      </c>
      <c r="N208" s="21">
        <f>SUM(E208:M208)</f>
        <v/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4" t="n">
        <v>20</v>
      </c>
      <c r="F209" s="4" t="n">
        <v>216.95</v>
      </c>
      <c r="G209" s="4" t="n">
        <v>10.7</v>
      </c>
      <c r="H209" s="4" t="n">
        <v>0.35</v>
      </c>
      <c r="I209" s="4" t="n">
        <v>5.28</v>
      </c>
      <c r="J209" s="4" t="n">
        <v>5.59</v>
      </c>
      <c r="K209" s="4" t="n">
        <v>0</v>
      </c>
      <c r="L209" s="4" t="n">
        <v>0</v>
      </c>
      <c r="M209" s="4" t="n">
        <v>0</v>
      </c>
      <c r="N209" s="21">
        <f>SUM(E209:M209)</f>
        <v/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46289</v>
      </c>
      <c r="E210" s="4" t="n">
        <v>20</v>
      </c>
      <c r="F210" s="4" t="n">
        <v>104.79</v>
      </c>
      <c r="G210" s="4" t="n">
        <v>5.25</v>
      </c>
      <c r="H210" s="4" t="n">
        <v>0.17</v>
      </c>
      <c r="I210" s="4" t="n">
        <v>12.43</v>
      </c>
      <c r="J210" s="4" t="n">
        <v>4.58</v>
      </c>
      <c r="K210" s="4" t="n">
        <v>14.75</v>
      </c>
      <c r="L210" s="4" t="n">
        <v>0</v>
      </c>
      <c r="M210" s="4" t="n">
        <v>0</v>
      </c>
      <c r="N210" s="21">
        <f>SUM(E210:M210)</f>
        <v/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4" t="n">
        <v>20</v>
      </c>
      <c r="F211" s="4" t="n">
        <v>87.64</v>
      </c>
      <c r="G211" s="4" t="n">
        <v>5.37</v>
      </c>
      <c r="H211" s="4" t="n">
        <v>0.17</v>
      </c>
      <c r="I211" s="4" t="n">
        <v>2.6</v>
      </c>
      <c r="J211" s="4" t="n">
        <v>4.6</v>
      </c>
      <c r="K211" s="4" t="n">
        <v>0</v>
      </c>
      <c r="L211" s="4" t="n">
        <v>0</v>
      </c>
      <c r="M211" s="4" t="n">
        <v>0</v>
      </c>
      <c r="N211" s="21">
        <f>SUM(E211:M211)</f>
        <v/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46289</v>
      </c>
      <c r="E212" s="4" t="n">
        <v>69.73999999999999</v>
      </c>
      <c r="F212" s="4" t="n">
        <v>205.68</v>
      </c>
      <c r="G212" s="4" t="n">
        <v>10.01</v>
      </c>
      <c r="H212" s="4" t="n">
        <v>0.33</v>
      </c>
      <c r="I212" s="4" t="n">
        <v>24.86</v>
      </c>
      <c r="J212" s="4" t="n">
        <v>14.41</v>
      </c>
      <c r="K212" s="4" t="n">
        <v>14.75</v>
      </c>
      <c r="L212" s="4" t="n">
        <v>35.4</v>
      </c>
      <c r="M212" s="4" t="n">
        <v>20.4</v>
      </c>
      <c r="N212" s="21">
        <f>SUM(E212:M212)</f>
        <v/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4" t="n">
        <v>20</v>
      </c>
      <c r="F213" s="4" t="n">
        <v>159.8</v>
      </c>
      <c r="G213" s="4" t="n">
        <v>9.789999999999999</v>
      </c>
      <c r="H213" s="4" t="n">
        <v>0.32</v>
      </c>
      <c r="I213" s="4" t="n">
        <v>4.76</v>
      </c>
      <c r="J213" s="4" t="n">
        <v>5.42</v>
      </c>
      <c r="K213" s="4" t="n">
        <v>0</v>
      </c>
      <c r="L213" s="4" t="n">
        <v>0</v>
      </c>
      <c r="M213" s="4" t="n">
        <v>0</v>
      </c>
      <c r="N213" s="21">
        <f>SUM(E213:M213)</f>
        <v/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46289</v>
      </c>
      <c r="E214" s="4" t="n">
        <v>40</v>
      </c>
      <c r="F214" s="4" t="n">
        <v>166.32</v>
      </c>
      <c r="G214" s="4" t="n">
        <v>10.11</v>
      </c>
      <c r="H214" s="4" t="n">
        <v>0.33</v>
      </c>
      <c r="I214" s="4" t="n">
        <v>24.95</v>
      </c>
      <c r="J214" s="4" t="n">
        <v>9.08</v>
      </c>
      <c r="K214" s="4" t="n">
        <v>14.75</v>
      </c>
      <c r="L214" s="4" t="n">
        <v>35.4</v>
      </c>
      <c r="M214" s="4" t="n">
        <v>28.44</v>
      </c>
      <c r="N214" s="21">
        <f>SUM(E214:M214)</f>
        <v/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4" t="n">
        <v>20</v>
      </c>
      <c r="F215" s="4" t="n">
        <v>203.07</v>
      </c>
      <c r="G215" s="4" t="n">
        <v>9.949999999999999</v>
      </c>
      <c r="H215" s="4" t="n">
        <v>0.32</v>
      </c>
      <c r="I215" s="4" t="n">
        <v>4.84</v>
      </c>
      <c r="J215" s="4" t="n">
        <v>5.45</v>
      </c>
      <c r="K215" s="4" t="n">
        <v>0</v>
      </c>
      <c r="L215" s="4" t="n">
        <v>0</v>
      </c>
      <c r="M215" s="4" t="n">
        <v>0</v>
      </c>
      <c r="N215" s="21">
        <f>SUM(E215:M215)</f>
        <v/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46289</v>
      </c>
      <c r="E216" s="4" t="n">
        <v>40</v>
      </c>
      <c r="F216" s="4" t="n">
        <v>166.19</v>
      </c>
      <c r="G216" s="4" t="n">
        <v>10.2</v>
      </c>
      <c r="H216" s="4" t="n">
        <v>0.33</v>
      </c>
      <c r="I216" s="4" t="n">
        <v>24.78</v>
      </c>
      <c r="J216" s="4" t="n">
        <v>9.1</v>
      </c>
      <c r="K216" s="4" t="n">
        <v>14.75</v>
      </c>
      <c r="L216" s="4" t="n">
        <v>35.4</v>
      </c>
      <c r="M216" s="4" t="n">
        <v>34.1</v>
      </c>
      <c r="N216" s="21">
        <f>SUM(E216:M216)</f>
        <v/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4" t="n">
        <v>20</v>
      </c>
      <c r="F217" s="4" t="n">
        <v>207.13</v>
      </c>
      <c r="G217" s="4" t="n">
        <v>10.17</v>
      </c>
      <c r="H217" s="4" t="n">
        <v>0.33</v>
      </c>
      <c r="I217" s="4" t="n">
        <v>4.95</v>
      </c>
      <c r="J217" s="4" t="n">
        <v>5.49</v>
      </c>
      <c r="K217" s="4" t="n">
        <v>0</v>
      </c>
      <c r="L217" s="4" t="n">
        <v>0</v>
      </c>
      <c r="M217" s="4" t="n">
        <v>0</v>
      </c>
      <c r="N217" s="21">
        <f>SUM(E217:M217)</f>
        <v/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46289</v>
      </c>
      <c r="E218" s="4" t="n">
        <v>40</v>
      </c>
      <c r="F218" s="4" t="n">
        <v>209.84</v>
      </c>
      <c r="G218" s="4" t="n">
        <v>10.46</v>
      </c>
      <c r="H218" s="4" t="n">
        <v>0.34</v>
      </c>
      <c r="I218" s="4" t="n">
        <v>25.01</v>
      </c>
      <c r="J218" s="4" t="n">
        <v>9.140000000000001</v>
      </c>
      <c r="K218" s="4" t="n">
        <v>14.75</v>
      </c>
      <c r="L218" s="4" t="n">
        <v>35.4</v>
      </c>
      <c r="M218" s="4" t="n">
        <v>28.51</v>
      </c>
      <c r="N218" s="21">
        <f>SUM(E218:M218)</f>
        <v/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4" t="n">
        <v>20</v>
      </c>
      <c r="F219" s="4" t="n">
        <v>172.36</v>
      </c>
      <c r="G219" s="4" t="n">
        <v>10.53</v>
      </c>
      <c r="H219" s="4" t="n">
        <v>0.34</v>
      </c>
      <c r="I219" s="4" t="n">
        <v>5.05</v>
      </c>
      <c r="J219" s="4" t="n">
        <v>5.56</v>
      </c>
      <c r="K219" s="4" t="n">
        <v>0</v>
      </c>
      <c r="L219" s="4" t="n">
        <v>0</v>
      </c>
      <c r="M219" s="4" t="n">
        <v>0</v>
      </c>
      <c r="N219" s="21">
        <f>SUM(E219:M219)</f>
        <v/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46289</v>
      </c>
      <c r="E220" s="4" t="n">
        <v>40</v>
      </c>
      <c r="F220" s="4" t="n">
        <v>164.81</v>
      </c>
      <c r="G220" s="4" t="n">
        <v>10.18</v>
      </c>
      <c r="H220" s="4" t="n">
        <v>0.33</v>
      </c>
      <c r="I220" s="4" t="n">
        <v>24.72</v>
      </c>
      <c r="J220" s="4" t="n">
        <v>9.09</v>
      </c>
      <c r="K220" s="4" t="n">
        <v>14.75</v>
      </c>
      <c r="L220" s="4" t="n">
        <v>35.4</v>
      </c>
      <c r="M220" s="4" t="n">
        <v>33.82</v>
      </c>
      <c r="N220" s="21">
        <f>SUM(E220:M220)</f>
        <v/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4" t="n">
        <v>40</v>
      </c>
      <c r="F221" s="4" t="n">
        <v>121.18</v>
      </c>
      <c r="G221" s="4" t="n">
        <v>10.43</v>
      </c>
      <c r="H221" s="4" t="n">
        <v>0.34</v>
      </c>
      <c r="I221" s="4" t="n">
        <v>8.94</v>
      </c>
      <c r="J221" s="4" t="n">
        <v>9.140000000000001</v>
      </c>
      <c r="K221" s="4" t="n">
        <v>0</v>
      </c>
      <c r="L221" s="4" t="n">
        <v>0</v>
      </c>
      <c r="M221" s="4" t="n">
        <v>0</v>
      </c>
      <c r="N221" s="21">
        <f>SUM(E221:M221)</f>
        <v/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46289</v>
      </c>
      <c r="E222" s="4" t="n">
        <v>40</v>
      </c>
      <c r="F222" s="4" t="n">
        <v>207.2</v>
      </c>
      <c r="G222" s="4" t="n">
        <v>10.09</v>
      </c>
      <c r="H222" s="4" t="n">
        <v>0.33</v>
      </c>
      <c r="I222" s="4" t="n">
        <v>25.03</v>
      </c>
      <c r="J222" s="4" t="n">
        <v>9.08</v>
      </c>
      <c r="K222" s="4" t="n">
        <v>14.75</v>
      </c>
      <c r="L222" s="4" t="n">
        <v>35.4</v>
      </c>
      <c r="M222" s="4" t="n">
        <v>37.28</v>
      </c>
      <c r="N222" s="21">
        <f>SUM(E222:M222)</f>
        <v/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4" t="n">
        <v>20</v>
      </c>
      <c r="F223" s="4" t="n">
        <v>161.23</v>
      </c>
      <c r="G223" s="4" t="n">
        <v>9.880000000000001</v>
      </c>
      <c r="H223" s="4" t="n">
        <v>0.32</v>
      </c>
      <c r="I223" s="4" t="n">
        <v>4.81</v>
      </c>
      <c r="J223" s="4" t="n">
        <v>5.44</v>
      </c>
      <c r="K223" s="4" t="n">
        <v>0</v>
      </c>
      <c r="L223" s="4" t="n">
        <v>0</v>
      </c>
      <c r="M223" s="4" t="n">
        <v>0</v>
      </c>
      <c r="N223" s="21">
        <f>SUM(E223:M223)</f>
        <v/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46290</v>
      </c>
      <c r="E224" s="4" t="n">
        <v>40</v>
      </c>
      <c r="F224" s="4" t="n">
        <v>250.38</v>
      </c>
      <c r="G224" s="4" t="n">
        <v>15.49</v>
      </c>
      <c r="H224" s="4" t="n">
        <v>0.5</v>
      </c>
      <c r="I224" s="4" t="n">
        <v>37.54</v>
      </c>
      <c r="J224" s="4" t="n">
        <v>10.08</v>
      </c>
      <c r="K224" s="4" t="n">
        <v>14.75</v>
      </c>
      <c r="L224" s="4" t="n">
        <v>35.4</v>
      </c>
      <c r="M224" s="4" t="n">
        <v>55.08</v>
      </c>
      <c r="N224" s="21">
        <f>SUM(E224:M224)</f>
        <v/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4" t="n">
        <v>20</v>
      </c>
      <c r="F225" s="4" t="n">
        <v>316.45</v>
      </c>
      <c r="G225" s="4" t="n">
        <v>15.53</v>
      </c>
      <c r="H225" s="4" t="n">
        <v>0.51</v>
      </c>
      <c r="I225" s="4" t="n">
        <v>7.57</v>
      </c>
      <c r="J225" s="4" t="n">
        <v>6.49</v>
      </c>
      <c r="K225" s="4" t="n">
        <v>0</v>
      </c>
      <c r="L225" s="4" t="n">
        <v>0</v>
      </c>
      <c r="M225" s="4" t="n">
        <v>0</v>
      </c>
      <c r="N225" s="21">
        <f>SUM(E225:M225)</f>
        <v/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46290</v>
      </c>
      <c r="E226" s="4" t="n">
        <v>20</v>
      </c>
      <c r="F226" s="4" t="n">
        <v>154.7</v>
      </c>
      <c r="G226" s="4" t="n">
        <v>7.68</v>
      </c>
      <c r="H226" s="4" t="n">
        <v>0.25</v>
      </c>
      <c r="I226" s="4" t="n">
        <v>18.64</v>
      </c>
      <c r="J226" s="4" t="n">
        <v>5.03</v>
      </c>
      <c r="K226" s="4" t="n">
        <v>14.75</v>
      </c>
      <c r="L226" s="4" t="n">
        <v>0</v>
      </c>
      <c r="M226" s="4" t="n">
        <v>0</v>
      </c>
      <c r="N226" s="21">
        <f>SUM(E226:M226)</f>
        <v/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46290</v>
      </c>
      <c r="E227" s="4" t="n">
        <v>40</v>
      </c>
      <c r="F227" s="4" t="n">
        <v>313.96</v>
      </c>
      <c r="G227" s="4" t="n">
        <v>15.41</v>
      </c>
      <c r="H227" s="4" t="n">
        <v>0.5</v>
      </c>
      <c r="I227" s="4" t="n">
        <v>37.51</v>
      </c>
      <c r="J227" s="4" t="n">
        <v>10.06</v>
      </c>
      <c r="K227" s="4" t="n">
        <v>14.75</v>
      </c>
      <c r="L227" s="4" t="n">
        <v>35.4</v>
      </c>
      <c r="M227" s="4" t="n">
        <v>54.05</v>
      </c>
      <c r="N227" s="21">
        <f>SUM(E227:M227)</f>
        <v/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4" t="n">
        <v>20</v>
      </c>
      <c r="F228" s="4" t="n">
        <v>255.66</v>
      </c>
      <c r="G228" s="4" t="n">
        <v>15.81</v>
      </c>
      <c r="H228" s="4" t="n">
        <v>0.52</v>
      </c>
      <c r="I228" s="4" t="n">
        <v>7.92</v>
      </c>
      <c r="J228" s="4" t="n">
        <v>6.54</v>
      </c>
      <c r="K228" s="4" t="n">
        <v>0</v>
      </c>
      <c r="L228" s="4" t="n">
        <v>0</v>
      </c>
      <c r="M228" s="4" t="n">
        <v>0</v>
      </c>
      <c r="N228" s="21">
        <f>SUM(E228:M228)</f>
        <v/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46290</v>
      </c>
      <c r="E229" s="4" t="n">
        <v>20</v>
      </c>
      <c r="F229" s="4" t="n">
        <v>124.48</v>
      </c>
      <c r="G229" s="4" t="n">
        <v>7.69</v>
      </c>
      <c r="H229" s="4" t="n">
        <v>0.25</v>
      </c>
      <c r="I229" s="4" t="n">
        <v>18.67</v>
      </c>
      <c r="J229" s="4" t="n">
        <v>5.03</v>
      </c>
      <c r="K229" s="4" t="n">
        <v>14.75</v>
      </c>
      <c r="L229" s="4" t="n">
        <v>0</v>
      </c>
      <c r="M229" s="4" t="n">
        <v>0</v>
      </c>
      <c r="N229" s="21">
        <f>SUM(E229:M229)</f>
        <v/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4" t="n">
        <v>20</v>
      </c>
      <c r="F230" s="4" t="n">
        <v>157.6</v>
      </c>
      <c r="G230" s="4" t="n">
        <v>7.74</v>
      </c>
      <c r="H230" s="4" t="n">
        <v>0.25</v>
      </c>
      <c r="I230" s="4" t="n">
        <v>3.79</v>
      </c>
      <c r="J230" s="4" t="n">
        <v>5.04</v>
      </c>
      <c r="K230" s="4" t="n">
        <v>0</v>
      </c>
      <c r="L230" s="4" t="n">
        <v>0</v>
      </c>
      <c r="M230" s="4" t="n">
        <v>0</v>
      </c>
      <c r="N230" s="21">
        <f>SUM(E230:M230)</f>
        <v/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46290</v>
      </c>
      <c r="E231" s="4" t="n">
        <v>40</v>
      </c>
      <c r="F231" s="4" t="n">
        <v>249.97</v>
      </c>
      <c r="G231" s="4" t="n">
        <v>15.74</v>
      </c>
      <c r="H231" s="4" t="n">
        <v>0.51</v>
      </c>
      <c r="I231" s="4" t="n">
        <v>37.5</v>
      </c>
      <c r="J231" s="4" t="n">
        <v>10.13</v>
      </c>
      <c r="K231" s="4" t="n">
        <v>14.75</v>
      </c>
      <c r="L231" s="4" t="n">
        <v>35.4</v>
      </c>
      <c r="M231" s="4" t="n">
        <v>57.2</v>
      </c>
      <c r="N231" s="21">
        <f>SUM(E231:M231)</f>
        <v/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4" t="n">
        <v>20</v>
      </c>
      <c r="F232" s="4" t="n">
        <v>324.08</v>
      </c>
      <c r="G232" s="4" t="n">
        <v>15.78</v>
      </c>
      <c r="H232" s="4" t="n">
        <v>0.52</v>
      </c>
      <c r="I232" s="4" t="n">
        <v>7.51</v>
      </c>
      <c r="J232" s="4" t="n">
        <v>6.53</v>
      </c>
      <c r="K232" s="4" t="n">
        <v>0</v>
      </c>
      <c r="L232" s="4" t="n">
        <v>0</v>
      </c>
      <c r="M232" s="4" t="n">
        <v>0</v>
      </c>
      <c r="N232" s="21">
        <f>SUM(E232:M232)</f>
        <v/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46290</v>
      </c>
      <c r="E233" s="4" t="n">
        <v>20</v>
      </c>
      <c r="F233" s="4" t="n">
        <v>0</v>
      </c>
      <c r="G233" s="4" t="n">
        <v>3.83</v>
      </c>
      <c r="H233" s="4" t="n">
        <v>0.12</v>
      </c>
      <c r="I233" s="4" t="n">
        <v>0</v>
      </c>
      <c r="J233" s="4" t="n">
        <v>4.31</v>
      </c>
      <c r="K233" s="4" t="n">
        <v>14.75</v>
      </c>
      <c r="L233" s="4" t="n">
        <v>0</v>
      </c>
      <c r="M233" s="4" t="n">
        <v>0</v>
      </c>
      <c r="N233" s="21">
        <f>SUM(E233:M233)</f>
        <v/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46293</v>
      </c>
      <c r="E234" s="4" t="n">
        <v>0</v>
      </c>
      <c r="F234" s="4" t="n">
        <v>246.31</v>
      </c>
      <c r="G234" s="4" t="n">
        <v>7.56</v>
      </c>
      <c r="H234" s="4" t="n">
        <v>0.25</v>
      </c>
      <c r="I234" s="4" t="n">
        <v>18.7</v>
      </c>
      <c r="J234" s="4" t="n">
        <v>1.41</v>
      </c>
      <c r="K234" s="4" t="n">
        <v>14.75</v>
      </c>
      <c r="L234" s="4" t="n">
        <v>0</v>
      </c>
      <c r="M234" s="4" t="n">
        <v>0</v>
      </c>
      <c r="N234" s="21">
        <f>SUM(E234:M234)</f>
        <v/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46293</v>
      </c>
      <c r="E235" s="4" t="n">
        <v>40</v>
      </c>
      <c r="F235" s="4" t="n">
        <v>507.4</v>
      </c>
      <c r="G235" s="4" t="n">
        <v>15.58</v>
      </c>
      <c r="H235" s="4" t="n">
        <v>0.51</v>
      </c>
      <c r="I235" s="4" t="n">
        <v>37.55</v>
      </c>
      <c r="J235" s="4" t="n">
        <v>10.1</v>
      </c>
      <c r="K235" s="4" t="n">
        <v>14.75</v>
      </c>
      <c r="L235" s="4" t="n">
        <v>35.4</v>
      </c>
      <c r="M235" s="4" t="n">
        <v>92.47</v>
      </c>
      <c r="N235" s="21">
        <f>SUM(E235:M235)</f>
        <v/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46293</v>
      </c>
      <c r="E236" s="4" t="n">
        <v>94.84999999999999</v>
      </c>
      <c r="F236" s="4" t="n">
        <v>498.73</v>
      </c>
      <c r="G236" s="4" t="n">
        <v>15.31</v>
      </c>
      <c r="H236" s="4" t="n">
        <v>0.5</v>
      </c>
      <c r="I236" s="4" t="n">
        <v>37.42</v>
      </c>
      <c r="J236" s="4" t="n">
        <v>19.92</v>
      </c>
      <c r="K236" s="4" t="n">
        <v>14.75</v>
      </c>
      <c r="L236" s="4" t="n">
        <v>35.4</v>
      </c>
      <c r="M236" s="4" t="n">
        <v>127.99</v>
      </c>
      <c r="N236" s="21">
        <f>SUM(E236:M236)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46293</v>
      </c>
      <c r="E237" s="4" t="n">
        <v>40</v>
      </c>
      <c r="F237" s="4" t="n">
        <v>490.83</v>
      </c>
      <c r="G237" s="4" t="n">
        <v>15.07</v>
      </c>
      <c r="H237" s="4" t="n">
        <v>0.49</v>
      </c>
      <c r="I237" s="4" t="n">
        <v>37.7</v>
      </c>
      <c r="J237" s="4" t="n">
        <v>10</v>
      </c>
      <c r="K237" s="4" t="n">
        <v>14.75</v>
      </c>
      <c r="L237" s="4" t="n">
        <v>35.4</v>
      </c>
      <c r="M237" s="4" t="n">
        <v>154.73</v>
      </c>
      <c r="N237" s="21">
        <f>SUM(E237:M237)</f>
        <v/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46293</v>
      </c>
      <c r="E238" s="4" t="n">
        <v>94.97</v>
      </c>
      <c r="F238" s="4" t="n">
        <v>498.88</v>
      </c>
      <c r="G238" s="4" t="n">
        <v>15.32</v>
      </c>
      <c r="H238" s="4" t="n">
        <v>0.5</v>
      </c>
      <c r="I238" s="4" t="n">
        <v>37.48</v>
      </c>
      <c r="J238" s="4" t="n">
        <v>19.94</v>
      </c>
      <c r="K238" s="4" t="n">
        <v>14.75</v>
      </c>
      <c r="L238" s="4" t="n">
        <v>35.4</v>
      </c>
      <c r="M238" s="4" t="n">
        <v>153.82</v>
      </c>
      <c r="N238" s="21">
        <f>SUM(E238:M238)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46293</v>
      </c>
      <c r="E239" s="4" t="n">
        <v>40</v>
      </c>
      <c r="F239" s="4" t="n">
        <v>500.26</v>
      </c>
      <c r="G239" s="4" t="n">
        <v>15.36</v>
      </c>
      <c r="H239" s="4" t="n">
        <v>0.5</v>
      </c>
      <c r="I239" s="4" t="n">
        <v>37.76</v>
      </c>
      <c r="J239" s="4" t="n">
        <v>10.05</v>
      </c>
      <c r="K239" s="4" t="n">
        <v>14.75</v>
      </c>
      <c r="L239" s="4" t="n">
        <v>35.4</v>
      </c>
      <c r="M239" s="4" t="n">
        <v>153.77</v>
      </c>
      <c r="N239" s="21">
        <f>SUM(E239:M239)</f>
        <v/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46294</v>
      </c>
      <c r="E240" s="4" t="n">
        <v>40</v>
      </c>
      <c r="F240" s="4" t="n">
        <v>588.48</v>
      </c>
      <c r="G240" s="4" t="n">
        <v>18.07</v>
      </c>
      <c r="H240" s="4" t="n">
        <v>0.59</v>
      </c>
      <c r="I240" s="4" t="n">
        <v>44.97</v>
      </c>
      <c r="J240" s="4" t="n">
        <v>10.56</v>
      </c>
      <c r="K240" s="4" t="n">
        <v>14.75</v>
      </c>
      <c r="L240" s="4" t="n">
        <v>35.4</v>
      </c>
      <c r="M240" s="4" t="n">
        <v>63.19</v>
      </c>
      <c r="N240" s="21">
        <f>SUM(E240:M240)</f>
        <v/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46294</v>
      </c>
      <c r="E241" s="4" t="n">
        <v>20</v>
      </c>
      <c r="F241" s="4" t="n">
        <v>0</v>
      </c>
      <c r="G241" s="4" t="n">
        <v>9.67</v>
      </c>
      <c r="H241" s="4" t="n">
        <v>0.32</v>
      </c>
      <c r="I241" s="4" t="n">
        <v>0</v>
      </c>
      <c r="J241" s="4" t="n">
        <v>5.4</v>
      </c>
      <c r="K241" s="4" t="n">
        <v>14.75</v>
      </c>
      <c r="L241" s="4" t="n">
        <v>35.4</v>
      </c>
      <c r="M241" s="4" t="n">
        <v>63.8</v>
      </c>
      <c r="N241" s="21">
        <f>SUM(E241:M241)</f>
        <v/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4" t="n">
        <v>40</v>
      </c>
      <c r="F242" s="4" t="n">
        <v>314.71</v>
      </c>
      <c r="G242" s="4" t="n">
        <v>19.41</v>
      </c>
      <c r="H242" s="4" t="n">
        <v>0.63</v>
      </c>
      <c r="I242" s="4" t="n">
        <v>12.73</v>
      </c>
      <c r="J242" s="4" t="n">
        <v>10.81</v>
      </c>
      <c r="K242" s="4" t="n">
        <v>0</v>
      </c>
      <c r="L242" s="4" t="n">
        <v>0</v>
      </c>
      <c r="M242" s="4" t="n">
        <v>0</v>
      </c>
      <c r="N242" s="21">
        <f>SUM(E242:M242)</f>
        <v/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46294</v>
      </c>
      <c r="E243" s="4" t="n">
        <v>109.91</v>
      </c>
      <c r="F243" s="4" t="n">
        <v>594.33</v>
      </c>
      <c r="G243" s="4" t="n">
        <v>18.23</v>
      </c>
      <c r="H243" s="4" t="n">
        <v>0.59</v>
      </c>
      <c r="I243" s="4" t="n">
        <v>44.93</v>
      </c>
      <c r="J243" s="4" t="n">
        <v>23.17</v>
      </c>
      <c r="K243" s="4" t="n">
        <v>14.75</v>
      </c>
      <c r="L243" s="4" t="n">
        <v>35.4</v>
      </c>
      <c r="M243" s="4" t="n">
        <v>62.64</v>
      </c>
      <c r="N243" s="21">
        <f>SUM(E243:M243)</f>
        <v/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46294</v>
      </c>
      <c r="E244" s="4" t="n">
        <v>40</v>
      </c>
      <c r="F244" s="4" t="n">
        <v>585.21</v>
      </c>
      <c r="G244" s="4" t="n">
        <v>17.96</v>
      </c>
      <c r="H244" s="4" t="n">
        <v>0.59</v>
      </c>
      <c r="I244" s="4" t="n">
        <v>45.01</v>
      </c>
      <c r="J244" s="4" t="n">
        <v>10.54</v>
      </c>
      <c r="K244" s="4" t="n">
        <v>14.75</v>
      </c>
      <c r="L244" s="4" t="n">
        <v>35.4</v>
      </c>
      <c r="M244" s="4" t="n">
        <v>36.94</v>
      </c>
      <c r="N244" s="21">
        <f>SUM(E244:M244)</f>
        <v/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46294</v>
      </c>
      <c r="E245" s="4" t="n">
        <v>60</v>
      </c>
      <c r="F245" s="4" t="n">
        <v>522.23</v>
      </c>
      <c r="G245" s="4" t="n">
        <v>18.6</v>
      </c>
      <c r="H245" s="4" t="n">
        <v>0.61</v>
      </c>
      <c r="I245" s="4" t="n">
        <v>44.98</v>
      </c>
      <c r="J245" s="4" t="n">
        <v>14.26</v>
      </c>
      <c r="K245" s="4" t="n">
        <v>14.75</v>
      </c>
      <c r="L245" s="4" t="n">
        <v>35.4</v>
      </c>
      <c r="M245" s="4" t="n">
        <v>51.27</v>
      </c>
      <c r="N245" s="21">
        <f>SUM(E245:M245)</f>
        <v/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46295</v>
      </c>
      <c r="E246" s="4" t="n">
        <v>40</v>
      </c>
      <c r="F246" s="4" t="n">
        <v>430.21</v>
      </c>
      <c r="G246" s="4" t="n">
        <v>13.21</v>
      </c>
      <c r="H246" s="4" t="n">
        <v>0.43</v>
      </c>
      <c r="I246" s="4" t="n">
        <v>32.11</v>
      </c>
      <c r="J246" s="4" t="n">
        <v>9.65</v>
      </c>
      <c r="K246" s="4" t="n">
        <v>14.75</v>
      </c>
      <c r="L246" s="4" t="n">
        <v>35.4</v>
      </c>
      <c r="M246" s="4" t="n">
        <v>46.47</v>
      </c>
      <c r="N246" s="21">
        <f>SUM(E246:M246)</f>
        <v/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46295</v>
      </c>
      <c r="E247" s="4" t="n">
        <v>40</v>
      </c>
      <c r="F247" s="4" t="n">
        <v>423.83</v>
      </c>
      <c r="G247" s="4" t="n">
        <v>13.01</v>
      </c>
      <c r="H247" s="4" t="n">
        <v>0.42</v>
      </c>
      <c r="I247" s="4" t="n">
        <v>32.65</v>
      </c>
      <c r="J247" s="4" t="n">
        <v>9.619999999999999</v>
      </c>
      <c r="K247" s="4" t="n">
        <v>14.75</v>
      </c>
      <c r="L247" s="4" t="n">
        <v>35.4</v>
      </c>
      <c r="M247" s="4" t="n">
        <v>44.06</v>
      </c>
      <c r="N247" s="21">
        <f>SUM(E247:M247)</f>
        <v/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46295</v>
      </c>
      <c r="E248" s="4" t="n">
        <v>40</v>
      </c>
      <c r="F248" s="4" t="n">
        <v>104.99</v>
      </c>
      <c r="G248" s="4" t="n">
        <v>6.51</v>
      </c>
      <c r="H248" s="4" t="n">
        <v>0.21</v>
      </c>
      <c r="I248" s="4" t="n">
        <v>0</v>
      </c>
      <c r="J248" s="4" t="n">
        <v>8.41</v>
      </c>
      <c r="K248" s="4" t="n">
        <v>14.75</v>
      </c>
      <c r="L248" s="4" t="n">
        <v>0</v>
      </c>
      <c r="M248" s="4" t="n">
        <v>0</v>
      </c>
      <c r="N248" s="21">
        <f>SUM(E248:M248)</f>
        <v/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46295</v>
      </c>
      <c r="E249" s="4" t="n">
        <v>40</v>
      </c>
      <c r="F249" s="4" t="n">
        <v>125.07</v>
      </c>
      <c r="G249" s="4" t="n">
        <v>6.4</v>
      </c>
      <c r="H249" s="4" t="n">
        <v>0.21</v>
      </c>
      <c r="I249" s="4" t="n">
        <v>3.22</v>
      </c>
      <c r="J249" s="4" t="n">
        <v>8.390000000000001</v>
      </c>
      <c r="K249" s="4" t="n">
        <v>14.75</v>
      </c>
      <c r="L249" s="4" t="n">
        <v>0</v>
      </c>
      <c r="M249" s="4" t="n">
        <v>0</v>
      </c>
      <c r="N249" s="21">
        <f>SUM(E249:M249)</f>
        <v/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46295</v>
      </c>
      <c r="E250" s="4" t="n">
        <v>84.29000000000001</v>
      </c>
      <c r="F250" s="4" t="n">
        <v>214.31</v>
      </c>
      <c r="G250" s="4" t="n">
        <v>13.4</v>
      </c>
      <c r="H250" s="4" t="n">
        <v>0.44</v>
      </c>
      <c r="I250" s="4" t="n">
        <v>32.15</v>
      </c>
      <c r="J250" s="4" t="n">
        <v>17.66</v>
      </c>
      <c r="K250" s="4" t="n">
        <v>14.75</v>
      </c>
      <c r="L250" s="4" t="n">
        <v>35.4</v>
      </c>
      <c r="M250" s="4" t="n">
        <v>43.98</v>
      </c>
      <c r="N250" s="21">
        <f>SUM(E250:M250)</f>
        <v/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4" t="n">
        <v>20</v>
      </c>
      <c r="F251" s="4" t="n">
        <v>275.31</v>
      </c>
      <c r="G251" s="4" t="n">
        <v>13.48</v>
      </c>
      <c r="H251" s="4" t="n">
        <v>0.44</v>
      </c>
      <c r="I251" s="4" t="n">
        <v>6.48</v>
      </c>
      <c r="J251" s="4" t="n">
        <v>6.1</v>
      </c>
      <c r="K251" s="4" t="n">
        <v>0</v>
      </c>
      <c r="L251" s="4" t="n">
        <v>0</v>
      </c>
      <c r="M251" s="4" t="n">
        <v>0</v>
      </c>
      <c r="N251" s="21">
        <f>SUM(E251:M251)</f>
        <v/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46295</v>
      </c>
      <c r="E252" s="4" t="n">
        <v>84.28</v>
      </c>
      <c r="F252" s="4" t="n">
        <v>426.54</v>
      </c>
      <c r="G252" s="4" t="n">
        <v>13.09</v>
      </c>
      <c r="H252" s="4" t="n">
        <v>0.43</v>
      </c>
      <c r="I252" s="4" t="n">
        <v>32.14</v>
      </c>
      <c r="J252" s="4" t="n">
        <v>17.6</v>
      </c>
      <c r="K252" s="4" t="n">
        <v>14.75</v>
      </c>
      <c r="L252" s="4" t="n">
        <v>35.4</v>
      </c>
      <c r="M252" s="4" t="n">
        <v>43.97</v>
      </c>
      <c r="N252" s="21">
        <f>SUM(E252:M252)</f>
        <v/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46296</v>
      </c>
      <c r="E253" s="4" t="n">
        <v>82.01000000000001</v>
      </c>
      <c r="F253" s="4" t="n">
        <v>375.99</v>
      </c>
      <c r="G253" s="4" t="n">
        <v>11.54</v>
      </c>
      <c r="H253" s="4" t="n">
        <v>0.38</v>
      </c>
      <c r="I253" s="4" t="n">
        <v>56.4</v>
      </c>
      <c r="J253" s="4" t="n">
        <v>16.91</v>
      </c>
      <c r="K253" s="4" t="n">
        <v>14.75</v>
      </c>
      <c r="L253" s="4" t="n">
        <v>35.4</v>
      </c>
      <c r="M253" s="4" t="n">
        <v>77.15000000000001</v>
      </c>
      <c r="N253" s="21">
        <f>SUM(E253:M253)</f>
        <v/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46296</v>
      </c>
      <c r="E254" s="4" t="n">
        <v>0</v>
      </c>
      <c r="F254" s="4" t="n">
        <v>186.06</v>
      </c>
      <c r="G254" s="4" t="n">
        <v>5.71</v>
      </c>
      <c r="H254" s="4" t="n">
        <v>0.19</v>
      </c>
      <c r="I254" s="4" t="n">
        <v>28.12</v>
      </c>
      <c r="J254" s="4" t="n">
        <v>1.06</v>
      </c>
      <c r="K254" s="4" t="n">
        <v>14.75</v>
      </c>
      <c r="L254" s="4" t="n">
        <v>0</v>
      </c>
      <c r="M254" s="4" t="n">
        <v>0</v>
      </c>
      <c r="N254" s="21">
        <f>SUM(E254:M254)</f>
        <v/>
      </c>
    </row>
    <row r="255">
      <c r="A255" s="3" t="inlineStr">
        <is>
          <t>TOTAL</t>
        </is>
      </c>
      <c r="E255" s="32">
        <f>SUM(E4:E254)</f>
        <v/>
      </c>
      <c r="F255" s="32">
        <f>SUM(F4:F254)</f>
        <v/>
      </c>
      <c r="G255" s="32">
        <f>SUM(G4:G254)</f>
        <v/>
      </c>
      <c r="H255" s="32">
        <f>SUM(H4:H254)</f>
        <v/>
      </c>
      <c r="I255" s="32">
        <f>SUM(I4:I254)</f>
        <v/>
      </c>
      <c r="J255" s="32">
        <f>SUM(J4:J254)</f>
        <v/>
      </c>
      <c r="K255" s="32">
        <f>SUM(K4:K254)</f>
        <v/>
      </c>
      <c r="L255" s="32">
        <f>SUM(L4:L254)</f>
        <v/>
      </c>
      <c r="M255" s="32">
        <f>SUM(M4:M254)</f>
        <v/>
      </c>
      <c r="N255" s="32">
        <f>SUM(N4:N254)</f>
        <v/>
      </c>
    </row>
  </sheetData>
  <autoFilter ref="A3:N254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2026-08</t>
        </is>
      </c>
      <c r="B5" s="20">
        <f>COUNTIFS('Trade Log'!$G$4:$G$503,"&gt;="&amp;DATE(2026,8,1),'Trade Log'!$G$4:$G$503,"&lt;"&amp;DATE(2026,9,1))</f>
        <v/>
      </c>
      <c r="C5" s="20">
        <f>COUNTIFS('Trade Log'!$G$4:$G$503,"&gt;="&amp;DATE(2026,8,1),'Trade Log'!$G$4:$G$503,"&lt;"&amp;DATE(2026,9,1),'Trade Log'!$L$4:$L$503,"&gt;0")</f>
        <v/>
      </c>
      <c r="D5" s="20">
        <f>COUNTIFS('Trade Log'!$G$4:$G$503,"&gt;="&amp;DATE(2026,8,1),'Trade Log'!$G$4:$G$503,"&lt;"&amp;DATE(2026,9,1),'Trade Log'!$L$4:$L$503,"&lt;0")</f>
        <v/>
      </c>
      <c r="E5" s="22">
        <f>IFERROR($C5/$B5,"")</f>
        <v/>
      </c>
      <c r="F5" s="21">
        <f>SUMIFS('Trade Log'!$I$4:$I$503,'Trade Log'!$G$4:$G$503,"&gt;="&amp;DATE(2026,8,1),'Trade Log'!$G$4:$G$503,"&lt;"&amp;DATE(2026,9,1))</f>
        <v/>
      </c>
      <c r="G5" s="21">
        <f>SUMIFS('Trade Log'!$L$4:$L$503,'Trade Log'!$G$4:$G$503,"&gt;="&amp;DATE(2026,8,1),'Trade Log'!$G$4:$G$503,"&lt;"&amp;DATE(2026,9,1))</f>
        <v/>
      </c>
      <c r="H5" s="21">
        <f>IFERROR($G5/$B5,"")</f>
        <v/>
      </c>
      <c r="I5" s="21">
        <f>IFERROR(_xlfn.MAXIFS('Trade Log'!$L$4:$L$503,'Trade Log'!$G$4:$G$503,"&gt;="&amp;DATE(2026,8,1),'Trade Log'!$G$4:$G$503,"&lt;"&amp;DATE(2026,9,1)),"")</f>
        <v/>
      </c>
      <c r="J5" s="21">
        <f>IFERROR(_xlfn.MINIFS('Trade Log'!$L$4:$L$503,'Trade Log'!$G$4:$G$503,"&gt;="&amp;DATE(2026,8,1),'Trade Log'!$G$4:$G$503,"&lt;"&amp;DATE(2026,9,1)),"")</f>
        <v/>
      </c>
      <c r="K5" s="29">
        <f>IFERROR(SUMIFS('Trade Log'!$L$4:$L$503,'Trade Log'!$G$4:$G$503,"&gt;="&amp;DATE(2026,8,1),'Trade Log'!$G$4:$G$503,"&lt;"&amp;DATE(2026,9,1),'Trade Log'!$L$4:$L$503,"&gt;0")/ABS(SUMIFS('Trade Log'!$L$4:$L$503,'Trade Log'!$G$4:$G$503,"&gt;="&amp;DATE(2026,8,1),'Trade Log'!$G$4:$G$503,"&lt;"&amp;DATE(2026,9,1),'Trade Log'!$L$4:$L$503,"&lt;0")),"")</f>
        <v/>
      </c>
    </row>
    <row r="6">
      <c r="A6" s="27" t="inlineStr">
        <is>
          <t>2026-09</t>
        </is>
      </c>
      <c r="B6" s="20">
        <f>COUNTIFS('Trade Log'!$G$4:$G$503,"&gt;="&amp;DATE(2026,9,1),'Trade Log'!$G$4:$G$503,"&lt;"&amp;DATE(2026,10,1))</f>
        <v/>
      </c>
      <c r="C6" s="20">
        <f>COUNTIFS('Trade Log'!$G$4:$G$503,"&gt;="&amp;DATE(2026,9,1),'Trade Log'!$G$4:$G$503,"&lt;"&amp;DATE(2026,10,1),'Trade Log'!$L$4:$L$503,"&gt;0")</f>
        <v/>
      </c>
      <c r="D6" s="20">
        <f>COUNTIFS('Trade Log'!$G$4:$G$503,"&gt;="&amp;DATE(2026,9,1),'Trade Log'!$G$4:$G$503,"&lt;"&amp;DATE(2026,10,1),'Trade Log'!$L$4:$L$503,"&lt;0")</f>
        <v/>
      </c>
      <c r="E6" s="22">
        <f>IFERROR($C6/$B6,"")</f>
        <v/>
      </c>
      <c r="F6" s="21">
        <f>SUMIFS('Trade Log'!$I$4:$I$503,'Trade Log'!$G$4:$G$503,"&gt;="&amp;DATE(2026,9,1),'Trade Log'!$G$4:$G$503,"&lt;"&amp;DATE(2026,10,1))</f>
        <v/>
      </c>
      <c r="G6" s="21">
        <f>SUMIFS('Trade Log'!$L$4:$L$503,'Trade Log'!$G$4:$G$503,"&gt;="&amp;DATE(2026,9,1),'Trade Log'!$G$4:$G$503,"&lt;"&amp;DATE(2026,10,1))</f>
        <v/>
      </c>
      <c r="H6" s="21">
        <f>IFERROR($G6/$B6,"")</f>
        <v/>
      </c>
      <c r="I6" s="21">
        <f>IFERROR(_xlfn.MAXIFS('Trade Log'!$L$4:$L$503,'Trade Log'!$G$4:$G$503,"&gt;="&amp;DATE(2026,9,1),'Trade Log'!$G$4:$G$503,"&lt;"&amp;DATE(2026,10,1)),"")</f>
        <v/>
      </c>
      <c r="J6" s="21">
        <f>IFERROR(_xlfn.MINIFS('Trade Log'!$L$4:$L$503,'Trade Log'!$G$4:$G$503,"&gt;="&amp;DATE(2026,9,1),'Trade Log'!$G$4:$G$503,"&lt;"&amp;DATE(2026,10,1)),"")</f>
        <v/>
      </c>
      <c r="K6" s="29">
        <f>IFERROR(SUMIFS('Trade Log'!$L$4:$L$503,'Trade Log'!$G$4:$G$503,"&gt;="&amp;DATE(2026,9,1),'Trade Log'!$G$4:$G$503,"&lt;"&amp;DATE(2026,10,1),'Trade Log'!$L$4:$L$503,"&gt;0")/ABS(SUMIFS('Trade Log'!$L$4:$L$503,'Trade Log'!$G$4:$G$503,"&gt;="&amp;DATE(2026,9,1),'Trade Log'!$G$4:$G$503,"&lt;"&amp;DATE(2026,10,1),'Trade Log'!$L$4:$L$503,"&lt;0")),"")</f>
        <v/>
      </c>
    </row>
    <row r="7">
      <c r="A7" s="27" t="inlineStr">
        <is>
          <t>2026-10</t>
        </is>
      </c>
      <c r="B7" s="20">
        <f>COUNTIFS('Trade Log'!$G$4:$G$503,"&gt;="&amp;DATE(2026,10,1),'Trade Log'!$G$4:$G$503,"&lt;"&amp;DATE(2026,11,1))</f>
        <v/>
      </c>
      <c r="C7" s="20">
        <f>COUNTIFS('Trade Log'!$G$4:$G$503,"&gt;="&amp;DATE(2026,10,1),'Trade Log'!$G$4:$G$503,"&lt;"&amp;DATE(2026,11,1),'Trade Log'!$L$4:$L$503,"&gt;0")</f>
        <v/>
      </c>
      <c r="D7" s="20">
        <f>COUNTIFS('Trade Log'!$G$4:$G$503,"&gt;="&amp;DATE(2026,10,1),'Trade Log'!$G$4:$G$503,"&lt;"&amp;DATE(2026,11,1),'Trade Log'!$L$4:$L$503,"&lt;0")</f>
        <v/>
      </c>
      <c r="E7" s="22">
        <f>IFERROR($C7/$B7,"")</f>
        <v/>
      </c>
      <c r="F7" s="21">
        <f>SUMIFS('Trade Log'!$I$4:$I$503,'Trade Log'!$G$4:$G$503,"&gt;="&amp;DATE(2026,10,1),'Trade Log'!$G$4:$G$503,"&lt;"&amp;DATE(2026,11,1))</f>
        <v/>
      </c>
      <c r="G7" s="21">
        <f>SUMIFS('Trade Log'!$L$4:$L$503,'Trade Log'!$G$4:$G$503,"&gt;="&amp;DATE(2026,10,1),'Trade Log'!$G$4:$G$503,"&lt;"&amp;DATE(2026,11,1))</f>
        <v/>
      </c>
      <c r="H7" s="21">
        <f>IFERROR($G7/$B7,"")</f>
        <v/>
      </c>
      <c r="I7" s="21">
        <f>IFERROR(_xlfn.MAXIFS('Trade Log'!$L$4:$L$503,'Trade Log'!$G$4:$G$503,"&gt;="&amp;DATE(2026,10,1),'Trade Log'!$G$4:$G$503,"&lt;"&amp;DATE(2026,11,1)),"")</f>
        <v/>
      </c>
      <c r="J7" s="21">
        <f>IFERROR(_xlfn.MINIFS('Trade Log'!$L$4:$L$503,'Trade Log'!$G$4:$G$503,"&gt;="&amp;DATE(2026,10,1),'Trade Log'!$G$4:$G$503,"&lt;"&amp;DATE(2026,11,1)),"")</f>
        <v/>
      </c>
      <c r="K7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8">
      <c r="A8" s="3" t="inlineStr">
        <is>
          <t>TOTAL</t>
        </is>
      </c>
      <c r="B8" s="30">
        <f>SUM(B5:B7)</f>
        <v/>
      </c>
      <c r="C8" s="30">
        <f>SUM(C5:C7)</f>
        <v/>
      </c>
      <c r="D8" s="30">
        <f>SUM(D5:D7)</f>
        <v/>
      </c>
      <c r="E8" s="31">
        <f>IFERROR(C8/B8,"")</f>
        <v/>
      </c>
      <c r="F8" s="32">
        <f>SUM(F5:F7)</f>
        <v/>
      </c>
      <c r="G8" s="32">
        <f>SUM(G5:G7)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  <row r="10">
      <c r="A10" s="3" t="inlineStr">
        <is>
          <t>WEEKLY PnL</t>
        </is>
      </c>
    </row>
    <row r="11">
      <c r="A11" s="19" t="inlineStr">
        <is>
          <t>Period</t>
        </is>
      </c>
      <c r="B11" s="19" t="inlineStr">
        <is>
          <t>Trades</t>
        </is>
      </c>
      <c r="C11" s="19" t="inlineStr">
        <is>
          <t>Wins</t>
        </is>
      </c>
      <c r="D11" s="19" t="inlineStr">
        <is>
          <t>Losses</t>
        </is>
      </c>
      <c r="E11" s="19" t="inlineStr">
        <is>
          <t>Win Rate</t>
        </is>
      </c>
      <c r="F11" s="19" t="inlineStr">
        <is>
          <t>Gross P&amp;L</t>
        </is>
      </c>
      <c r="G11" s="19" t="inlineStr">
        <is>
          <t>Net P&amp;L</t>
        </is>
      </c>
      <c r="H11" s="19" t="inlineStr">
        <is>
          <t>Avg Net P&amp;L / Trade</t>
        </is>
      </c>
      <c r="I11" s="19" t="inlineStr">
        <is>
          <t>Best Trade</t>
        </is>
      </c>
      <c r="J11" s="19" t="inlineStr">
        <is>
          <t>Worst Trade</t>
        </is>
      </c>
      <c r="K11" s="19" t="inlineStr">
        <is>
          <t>Profit Factor</t>
        </is>
      </c>
    </row>
    <row r="12">
      <c r="A12" s="28" t="n">
        <v>46251</v>
      </c>
      <c r="B12" s="20">
        <f>COUNTIFS('Trade Log'!$G$4:$G$503,"&gt;="&amp;DATE(2026,8,17),'Trade Log'!$G$4:$G$503,"&lt;"&amp;DATE(2026,8,24))</f>
        <v/>
      </c>
      <c r="C12" s="20">
        <f>COUNTIFS('Trade Log'!$G$4:$G$503,"&gt;="&amp;DATE(2026,8,17),'Trade Log'!$G$4:$G$503,"&lt;"&amp;DATE(2026,8,24),'Trade Log'!$L$4:$L$503,"&gt;0")</f>
        <v/>
      </c>
      <c r="D12" s="20">
        <f>COUNTIFS('Trade Log'!$G$4:$G$503,"&gt;="&amp;DATE(2026,8,17),'Trade Log'!$G$4:$G$503,"&lt;"&amp;DATE(2026,8,24),'Trade Log'!$L$4:$L$503,"&lt;0")</f>
        <v/>
      </c>
      <c r="E12" s="22">
        <f>IFERROR($C12/$B12,"")</f>
        <v/>
      </c>
      <c r="F12" s="21">
        <f>SUMIFS('Trade Log'!$I$4:$I$503,'Trade Log'!$G$4:$G$503,"&gt;="&amp;DATE(2026,8,17),'Trade Log'!$G$4:$G$503,"&lt;"&amp;DATE(2026,8,24))</f>
        <v/>
      </c>
      <c r="G12" s="21">
        <f>SUMIFS('Trade Log'!$L$4:$L$503,'Trade Log'!$G$4:$G$503,"&gt;="&amp;DATE(2026,8,17),'Trade Log'!$G$4:$G$503,"&lt;"&amp;DATE(2026,8,24))</f>
        <v/>
      </c>
      <c r="H12" s="21">
        <f>IFERROR($G12/$B12,"")</f>
        <v/>
      </c>
      <c r="I12" s="21">
        <f>IFERROR(_xlfn.MAXIFS('Trade Log'!$L$4:$L$503,'Trade Log'!$G$4:$G$503,"&gt;="&amp;DATE(2026,8,17),'Trade Log'!$G$4:$G$503,"&lt;"&amp;DATE(2026,8,24)),"")</f>
        <v/>
      </c>
      <c r="J12" s="21">
        <f>IFERROR(_xlfn.MINIFS('Trade Log'!$L$4:$L$503,'Trade Log'!$G$4:$G$503,"&gt;="&amp;DATE(2026,8,17),'Trade Log'!$G$4:$G$503,"&lt;"&amp;DATE(2026,8,24)),"")</f>
        <v/>
      </c>
      <c r="K12" s="29">
        <f>IFERROR(SUMIFS('Trade Log'!$L$4:$L$503,'Trade Log'!$G$4:$G$503,"&gt;="&amp;DATE(2026,8,17),'Trade Log'!$G$4:$G$503,"&lt;"&amp;DATE(2026,8,24),'Trade Log'!$L$4:$L$503,"&gt;0")/ABS(SUMIFS('Trade Log'!$L$4:$L$503,'Trade Log'!$G$4:$G$503,"&gt;="&amp;DATE(2026,8,17),'Trade Log'!$G$4:$G$503,"&lt;"&amp;DATE(2026,8,24),'Trade Log'!$L$4:$L$503,"&lt;0")),"")</f>
        <v/>
      </c>
    </row>
    <row r="13">
      <c r="A13" s="28" t="n">
        <v>46258</v>
      </c>
      <c r="B13" s="20">
        <f>COUNTIFS('Trade Log'!$G$4:$G$503,"&gt;="&amp;DATE(2026,8,24),'Trade Log'!$G$4:$G$503,"&lt;"&amp;DATE(2026,8,31))</f>
        <v/>
      </c>
      <c r="C13" s="20">
        <f>COUNTIFS('Trade Log'!$G$4:$G$503,"&gt;="&amp;DATE(2026,8,24),'Trade Log'!$G$4:$G$503,"&lt;"&amp;DATE(2026,8,31),'Trade Log'!$L$4:$L$503,"&gt;0")</f>
        <v/>
      </c>
      <c r="D13" s="20">
        <f>COUNTIFS('Trade Log'!$G$4:$G$503,"&gt;="&amp;DATE(2026,8,24),'Trade Log'!$G$4:$G$503,"&lt;"&amp;DATE(2026,8,31),'Trade Log'!$L$4:$L$503,"&lt;0")</f>
        <v/>
      </c>
      <c r="E13" s="22">
        <f>IFERROR($C13/$B13,"")</f>
        <v/>
      </c>
      <c r="F13" s="21">
        <f>SUMIFS('Trade Log'!$I$4:$I$503,'Trade Log'!$G$4:$G$503,"&gt;="&amp;DATE(2026,8,24),'Trade Log'!$G$4:$G$503,"&lt;"&amp;DATE(2026,8,31))</f>
        <v/>
      </c>
      <c r="G13" s="21">
        <f>SUMIFS('Trade Log'!$L$4:$L$503,'Trade Log'!$G$4:$G$503,"&gt;="&amp;DATE(2026,8,24),'Trade Log'!$G$4:$G$503,"&lt;"&amp;DATE(2026,8,31))</f>
        <v/>
      </c>
      <c r="H13" s="21">
        <f>IFERROR($G13/$B13,"")</f>
        <v/>
      </c>
      <c r="I13" s="21">
        <f>IFERROR(_xlfn.MAXIFS('Trade Log'!$L$4:$L$503,'Trade Log'!$G$4:$G$503,"&gt;="&amp;DATE(2026,8,24),'Trade Log'!$G$4:$G$503,"&lt;"&amp;DATE(2026,8,31)),"")</f>
        <v/>
      </c>
      <c r="J13" s="21">
        <f>IFERROR(_xlfn.MINIFS('Trade Log'!$L$4:$L$503,'Trade Log'!$G$4:$G$503,"&gt;="&amp;DATE(2026,8,24),'Trade Log'!$G$4:$G$503,"&lt;"&amp;DATE(2026,8,31)),"")</f>
        <v/>
      </c>
      <c r="K13" s="29">
        <f>IFERROR(SUMIFS('Trade Log'!$L$4:$L$503,'Trade Log'!$G$4:$G$503,"&gt;="&amp;DATE(2026,8,24),'Trade Log'!$G$4:$G$503,"&lt;"&amp;DATE(2026,8,31),'Trade Log'!$L$4:$L$503,"&gt;0")/ABS(SUMIFS('Trade Log'!$L$4:$L$503,'Trade Log'!$G$4:$G$503,"&gt;="&amp;DATE(2026,8,24),'Trade Log'!$G$4:$G$503,"&lt;"&amp;DATE(2026,8,31),'Trade Log'!$L$4:$L$503,"&lt;0")),"")</f>
        <v/>
      </c>
    </row>
    <row r="14">
      <c r="A14" s="28" t="n">
        <v>46265</v>
      </c>
      <c r="B14" s="20">
        <f>COUNTIFS('Trade Log'!$G$4:$G$503,"&gt;="&amp;DATE(2026,8,31),'Trade Log'!$G$4:$G$503,"&lt;"&amp;DATE(2026,9,7))</f>
        <v/>
      </c>
      <c r="C14" s="20">
        <f>COUNTIFS('Trade Log'!$G$4:$G$503,"&gt;="&amp;DATE(2026,8,31),'Trade Log'!$G$4:$G$503,"&lt;"&amp;DATE(2026,9,7),'Trade Log'!$L$4:$L$503,"&gt;0")</f>
        <v/>
      </c>
      <c r="D14" s="20">
        <f>COUNTIFS('Trade Log'!$G$4:$G$503,"&gt;="&amp;DATE(2026,8,31),'Trade Log'!$G$4:$G$503,"&lt;"&amp;DATE(2026,9,7),'Trade Log'!$L$4:$L$503,"&lt;0")</f>
        <v/>
      </c>
      <c r="E14" s="22">
        <f>IFERROR($C14/$B14,"")</f>
        <v/>
      </c>
      <c r="F14" s="21">
        <f>SUMIFS('Trade Log'!$I$4:$I$503,'Trade Log'!$G$4:$G$503,"&gt;="&amp;DATE(2026,8,31),'Trade Log'!$G$4:$G$503,"&lt;"&amp;DATE(2026,9,7))</f>
        <v/>
      </c>
      <c r="G14" s="21">
        <f>SUMIFS('Trade Log'!$L$4:$L$503,'Trade Log'!$G$4:$G$503,"&gt;="&amp;DATE(2026,8,31),'Trade Log'!$G$4:$G$503,"&lt;"&amp;DATE(2026,9,7))</f>
        <v/>
      </c>
      <c r="H14" s="21">
        <f>IFERROR($G14/$B14,"")</f>
        <v/>
      </c>
      <c r="I14" s="21">
        <f>IFERROR(_xlfn.MAXIFS('Trade Log'!$L$4:$L$503,'Trade Log'!$G$4:$G$503,"&gt;="&amp;DATE(2026,8,31),'Trade Log'!$G$4:$G$503,"&lt;"&amp;DATE(2026,9,7)),"")</f>
        <v/>
      </c>
      <c r="J14" s="21">
        <f>IFERROR(_xlfn.MINIFS('Trade Log'!$L$4:$L$503,'Trade Log'!$G$4:$G$503,"&gt;="&amp;DATE(2026,8,31),'Trade Log'!$G$4:$G$503,"&lt;"&amp;DATE(2026,9,7)),"")</f>
        <v/>
      </c>
      <c r="K14" s="29">
        <f>IFERROR(SUMIFS('Trade Log'!$L$4:$L$503,'Trade Log'!$G$4:$G$503,"&gt;="&amp;DATE(2026,8,31),'Trade Log'!$G$4:$G$503,"&lt;"&amp;DATE(2026,9,7),'Trade Log'!$L$4:$L$503,"&gt;0")/ABS(SUMIFS('Trade Log'!$L$4:$L$503,'Trade Log'!$G$4:$G$503,"&gt;="&amp;DATE(2026,8,31),'Trade Log'!$G$4:$G$503,"&lt;"&amp;DATE(2026,9,7),'Trade Log'!$L$4:$L$503,"&lt;0")),"")</f>
        <v/>
      </c>
    </row>
    <row r="15">
      <c r="A15" s="28" t="n">
        <v>46272</v>
      </c>
      <c r="B15" s="20">
        <f>COUNTIFS('Trade Log'!$G$4:$G$503,"&gt;="&amp;DATE(2026,9,7),'Trade Log'!$G$4:$G$503,"&lt;"&amp;DATE(2026,9,14))</f>
        <v/>
      </c>
      <c r="C15" s="20">
        <f>COUNTIFS('Trade Log'!$G$4:$G$503,"&gt;="&amp;DATE(2026,9,7),'Trade Log'!$G$4:$G$503,"&lt;"&amp;DATE(2026,9,14),'Trade Log'!$L$4:$L$503,"&gt;0")</f>
        <v/>
      </c>
      <c r="D15" s="20">
        <f>COUNTIFS('Trade Log'!$G$4:$G$503,"&gt;="&amp;DATE(2026,9,7),'Trade Log'!$G$4:$G$503,"&lt;"&amp;DATE(2026,9,14),'Trade Log'!$L$4:$L$503,"&lt;0")</f>
        <v/>
      </c>
      <c r="E15" s="22">
        <f>IFERROR($C15/$B15,"")</f>
        <v/>
      </c>
      <c r="F15" s="21">
        <f>SUMIFS('Trade Log'!$I$4:$I$503,'Trade Log'!$G$4:$G$503,"&gt;="&amp;DATE(2026,9,7),'Trade Log'!$G$4:$G$503,"&lt;"&amp;DATE(2026,9,14))</f>
        <v/>
      </c>
      <c r="G15" s="21">
        <f>SUMIFS('Trade Log'!$L$4:$L$503,'Trade Log'!$G$4:$G$503,"&gt;="&amp;DATE(2026,9,7),'Trade Log'!$G$4:$G$503,"&lt;"&amp;DATE(2026,9,14))</f>
        <v/>
      </c>
      <c r="H15" s="21">
        <f>IFERROR($G15/$B15,"")</f>
        <v/>
      </c>
      <c r="I15" s="21">
        <f>IFERROR(_xlfn.MAXIFS('Trade Log'!$L$4:$L$503,'Trade Log'!$G$4:$G$503,"&gt;="&amp;DATE(2026,9,7),'Trade Log'!$G$4:$G$503,"&lt;"&amp;DATE(2026,9,14)),"")</f>
        <v/>
      </c>
      <c r="J15" s="21">
        <f>IFERROR(_xlfn.MINIFS('Trade Log'!$L$4:$L$503,'Trade Log'!$G$4:$G$503,"&gt;="&amp;DATE(2026,9,7),'Trade Log'!$G$4:$G$503,"&lt;"&amp;DATE(2026,9,14)),"")</f>
        <v/>
      </c>
      <c r="K15" s="29">
        <f>IFERROR(SUMIFS('Trade Log'!$L$4:$L$503,'Trade Log'!$G$4:$G$503,"&gt;="&amp;DATE(2026,9,7),'Trade Log'!$G$4:$G$503,"&lt;"&amp;DATE(2026,9,14),'Trade Log'!$L$4:$L$503,"&gt;0")/ABS(SUMIFS('Trade Log'!$L$4:$L$503,'Trade Log'!$G$4:$G$503,"&gt;="&amp;DATE(2026,9,7),'Trade Log'!$G$4:$G$503,"&lt;"&amp;DATE(2026,9,14),'Trade Log'!$L$4:$L$503,"&lt;0")),"")</f>
        <v/>
      </c>
    </row>
    <row r="16">
      <c r="A16" s="28" t="n">
        <v>46279</v>
      </c>
      <c r="B16" s="20">
        <f>COUNTIFS('Trade Log'!$G$4:$G$503,"&gt;="&amp;DATE(2026,9,14),'Trade Log'!$G$4:$G$503,"&lt;"&amp;DATE(2026,9,21))</f>
        <v/>
      </c>
      <c r="C16" s="20">
        <f>COUNTIFS('Trade Log'!$G$4:$G$503,"&gt;="&amp;DATE(2026,9,14),'Trade Log'!$G$4:$G$503,"&lt;"&amp;DATE(2026,9,21),'Trade Log'!$L$4:$L$503,"&gt;0")</f>
        <v/>
      </c>
      <c r="D16" s="20">
        <f>COUNTIFS('Trade Log'!$G$4:$G$503,"&gt;="&amp;DATE(2026,9,14),'Trade Log'!$G$4:$G$503,"&lt;"&amp;DATE(2026,9,21),'Trade Log'!$L$4:$L$503,"&lt;0")</f>
        <v/>
      </c>
      <c r="E16" s="22">
        <f>IFERROR($C16/$B16,"")</f>
        <v/>
      </c>
      <c r="F16" s="21">
        <f>SUMIFS('Trade Log'!$I$4:$I$503,'Trade Log'!$G$4:$G$503,"&gt;="&amp;DATE(2026,9,14),'Trade Log'!$G$4:$G$503,"&lt;"&amp;DATE(2026,9,21))</f>
        <v/>
      </c>
      <c r="G16" s="21">
        <f>SUMIFS('Trade Log'!$L$4:$L$503,'Trade Log'!$G$4:$G$503,"&gt;="&amp;DATE(2026,9,14),'Trade Log'!$G$4:$G$503,"&lt;"&amp;DATE(2026,9,21))</f>
        <v/>
      </c>
      <c r="H16" s="21">
        <f>IFERROR($G16/$B16,"")</f>
        <v/>
      </c>
      <c r="I16" s="21">
        <f>IFERROR(_xlfn.MAXIFS('Trade Log'!$L$4:$L$503,'Trade Log'!$G$4:$G$503,"&gt;="&amp;DATE(2026,9,14),'Trade Log'!$G$4:$G$503,"&lt;"&amp;DATE(2026,9,21)),"")</f>
        <v/>
      </c>
      <c r="J16" s="21">
        <f>IFERROR(_xlfn.MINIFS('Trade Log'!$L$4:$L$503,'Trade Log'!$G$4:$G$503,"&gt;="&amp;DATE(2026,9,14),'Trade Log'!$G$4:$G$503,"&lt;"&amp;DATE(2026,9,21)),"")</f>
        <v/>
      </c>
      <c r="K16" s="29">
        <f>IFERROR(SUMIFS('Trade Log'!$L$4:$L$503,'Trade Log'!$G$4:$G$503,"&gt;="&amp;DATE(2026,9,14),'Trade Log'!$G$4:$G$503,"&lt;"&amp;DATE(2026,9,21),'Trade Log'!$L$4:$L$503,"&gt;0")/ABS(SUMIFS('Trade Log'!$L$4:$L$503,'Trade Log'!$G$4:$G$503,"&gt;="&amp;DATE(2026,9,14),'Trade Log'!$G$4:$G$503,"&lt;"&amp;DATE(2026,9,21),'Trade Log'!$L$4:$L$503,"&lt;0")),"")</f>
        <v/>
      </c>
    </row>
    <row r="17">
      <c r="A17" s="28" t="n">
        <v>46286</v>
      </c>
      <c r="B17" s="20">
        <f>COUNTIFS('Trade Log'!$G$4:$G$503,"&gt;="&amp;DATE(2026,9,21),'Trade Log'!$G$4:$G$503,"&lt;"&amp;DATE(2026,9,28))</f>
        <v/>
      </c>
      <c r="C17" s="20">
        <f>COUNTIFS('Trade Log'!$G$4:$G$503,"&gt;="&amp;DATE(2026,9,21),'Trade Log'!$G$4:$G$503,"&lt;"&amp;DATE(2026,9,28),'Trade Log'!$L$4:$L$503,"&gt;0")</f>
        <v/>
      </c>
      <c r="D17" s="20">
        <f>COUNTIFS('Trade Log'!$G$4:$G$503,"&gt;="&amp;DATE(2026,9,21),'Trade Log'!$G$4:$G$503,"&lt;"&amp;DATE(2026,9,28),'Trade Log'!$L$4:$L$503,"&lt;0")</f>
        <v/>
      </c>
      <c r="E17" s="22">
        <f>IFERROR($C17/$B17,"")</f>
        <v/>
      </c>
      <c r="F17" s="21">
        <f>SUMIFS('Trade Log'!$I$4:$I$503,'Trade Log'!$G$4:$G$503,"&gt;="&amp;DATE(2026,9,21),'Trade Log'!$G$4:$G$503,"&lt;"&amp;DATE(2026,9,28))</f>
        <v/>
      </c>
      <c r="G17" s="21">
        <f>SUMIFS('Trade Log'!$L$4:$L$503,'Trade Log'!$G$4:$G$503,"&gt;="&amp;DATE(2026,9,21),'Trade Log'!$G$4:$G$503,"&lt;"&amp;DATE(2026,9,28))</f>
        <v/>
      </c>
      <c r="H17" s="21">
        <f>IFERROR($G17/$B17,"")</f>
        <v/>
      </c>
      <c r="I17" s="21">
        <f>IFERROR(_xlfn.MAXIFS('Trade Log'!$L$4:$L$503,'Trade Log'!$G$4:$G$503,"&gt;="&amp;DATE(2026,9,21),'Trade Log'!$G$4:$G$503,"&lt;"&amp;DATE(2026,9,28)),"")</f>
        <v/>
      </c>
      <c r="J17" s="21">
        <f>IFERROR(_xlfn.MINIFS('Trade Log'!$L$4:$L$503,'Trade Log'!$G$4:$G$503,"&gt;="&amp;DATE(2026,9,21),'Trade Log'!$G$4:$G$503,"&lt;"&amp;DATE(2026,9,28)),"")</f>
        <v/>
      </c>
      <c r="K17" s="29">
        <f>IFERROR(SUMIFS('Trade Log'!$L$4:$L$503,'Trade Log'!$G$4:$G$503,"&gt;="&amp;DATE(2026,9,21),'Trade Log'!$G$4:$G$503,"&lt;"&amp;DATE(2026,9,28),'Trade Log'!$L$4:$L$503,"&gt;0")/ABS(SUMIFS('Trade Log'!$L$4:$L$503,'Trade Log'!$G$4:$G$503,"&gt;="&amp;DATE(2026,9,21),'Trade Log'!$G$4:$G$503,"&lt;"&amp;DATE(2026,9,28),'Trade Log'!$L$4:$L$503,"&lt;0")),"")</f>
        <v/>
      </c>
    </row>
    <row r="18">
      <c r="A18" s="28" t="n">
        <v>46293</v>
      </c>
      <c r="B18" s="20">
        <f>COUNTIFS('Trade Log'!$G$4:$G$503,"&gt;="&amp;DATE(2026,9,28),'Trade Log'!$G$4:$G$503,"&lt;"&amp;DATE(2026,10,5))</f>
        <v/>
      </c>
      <c r="C18" s="20">
        <f>COUNTIFS('Trade Log'!$G$4:$G$503,"&gt;="&amp;DATE(2026,9,28),'Trade Log'!$G$4:$G$503,"&lt;"&amp;DATE(2026,10,5),'Trade Log'!$L$4:$L$503,"&gt;0")</f>
        <v/>
      </c>
      <c r="D18" s="20">
        <f>COUNTIFS('Trade Log'!$G$4:$G$503,"&gt;="&amp;DATE(2026,9,28),'Trade Log'!$G$4:$G$503,"&lt;"&amp;DATE(2026,10,5),'Trade Log'!$L$4:$L$503,"&lt;0")</f>
        <v/>
      </c>
      <c r="E18" s="22">
        <f>IFERROR($C18/$B18,"")</f>
        <v/>
      </c>
      <c r="F18" s="21">
        <f>SUMIFS('Trade Log'!$I$4:$I$503,'Trade Log'!$G$4:$G$503,"&gt;="&amp;DATE(2026,9,28),'Trade Log'!$G$4:$G$503,"&lt;"&amp;DATE(2026,10,5))</f>
        <v/>
      </c>
      <c r="G18" s="21">
        <f>SUMIFS('Trade Log'!$L$4:$L$503,'Trade Log'!$G$4:$G$503,"&gt;="&amp;DATE(2026,9,28),'Trade Log'!$G$4:$G$503,"&lt;"&amp;DATE(2026,10,5))</f>
        <v/>
      </c>
      <c r="H18" s="21">
        <f>IFERROR($G18/$B18,"")</f>
        <v/>
      </c>
      <c r="I18" s="21">
        <f>IFERROR(_xlfn.MAXIFS('Trade Log'!$L$4:$L$503,'Trade Log'!$G$4:$G$503,"&gt;="&amp;DATE(2026,9,28),'Trade Log'!$G$4:$G$503,"&lt;"&amp;DATE(2026,10,5)),"")</f>
        <v/>
      </c>
      <c r="J18" s="21">
        <f>IFERROR(_xlfn.MINIFS('Trade Log'!$L$4:$L$503,'Trade Log'!$G$4:$G$503,"&gt;="&amp;DATE(2026,9,28),'Trade Log'!$G$4:$G$503,"&lt;"&amp;DATE(2026,10,5)),"")</f>
        <v/>
      </c>
      <c r="K18" s="29">
        <f>IFERROR(SUMIFS('Trade Log'!$L$4:$L$503,'Trade Log'!$G$4:$G$503,"&gt;="&amp;DATE(2026,9,28),'Trade Log'!$G$4:$G$503,"&lt;"&amp;DATE(2026,10,5),'Trade Log'!$L$4:$L$503,"&gt;0")/ABS(SUMIFS('Trade Log'!$L$4:$L$503,'Trade Log'!$G$4:$G$503,"&gt;="&amp;DATE(2026,9,28),'Trade Log'!$G$4:$G$503,"&lt;"&amp;DATE(2026,10,5),'Trade Log'!$L$4:$L$503,"&lt;0")),"")</f>
        <v/>
      </c>
    </row>
    <row r="19">
      <c r="A19" s="3" t="inlineStr">
        <is>
          <t>TOTAL</t>
        </is>
      </c>
      <c r="B19" s="30">
        <f>SUM(B12:B18)</f>
        <v/>
      </c>
      <c r="C19" s="30">
        <f>SUM(C12:C18)</f>
        <v/>
      </c>
      <c r="D19" s="30">
        <f>SUM(D12:D18)</f>
        <v/>
      </c>
      <c r="E19" s="31">
        <f>IFERROR(C19/B19,"")</f>
        <v/>
      </c>
      <c r="F19" s="32">
        <f>SUM(F12:F18)</f>
        <v/>
      </c>
      <c r="G19" s="32">
        <f>SUM(G12:G18)</f>
        <v/>
      </c>
      <c r="H19" s="32">
        <f>IFERROR(G19/B19,"")</f>
        <v/>
      </c>
      <c r="K19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2026-10-12T17:32:22Z</dcterms:created>
  <dcterms:modified xmlns:dcterms="http://purl.org/dc/terms/" xmlns:xsi="http://www.w3.org/2001/XMLSchema-instance" xsi:type="dcterms:W3CDTF">2026-10-12T17:32:23Z</dcterms:modified>
</cp:coreProperties>
</file>