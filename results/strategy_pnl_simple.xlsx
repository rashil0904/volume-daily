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571.63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688.97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570.48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662.86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591.59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398.53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414.06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345.01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414.39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380.54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413.82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406.37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870.55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390.57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349.19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329.26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385.4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977.05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956.65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991.03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597.72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598.83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677.24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670.4299999999999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574.4299999999999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628.42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619.39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612.4299999999999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693.6799999999999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617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441.48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387.49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386.09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435.16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411.8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356.27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364.89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412.31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344.24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313.13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893.51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799.53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826.87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479.58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474.6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531.37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531.58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480.9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420.15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428.89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546.35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425.04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371.59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642.52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638.36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654.42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564.1900000000001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632.15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497.9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149.82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494.64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504.47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490.94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467.31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148.71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542.35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257.03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145.39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270.28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262.28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276.22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266.93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140.35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200.3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4" t="n">
        <v>463.89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n">
        <v>46282</v>
      </c>
      <c r="H157" s="25" t="n">
        <v>6992.324</v>
      </c>
      <c r="I157" s="21">
        <f>IF(OR($B157="",$H157=""),"",IF($C157="LONG",($H157-$E157)*$F157,($E157-$H157)*$F157))</f>
        <v/>
      </c>
      <c r="J157" s="4" t="n">
        <v>528.75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n">
        <v>46282</v>
      </c>
      <c r="H158" s="25" t="n">
        <v>136.6183</v>
      </c>
      <c r="I158" s="21">
        <f>IF(OR($B158="",$H158=""),"",IF($C158="LONG",($H158-$E158)*$F158,($E158-$H158)*$F158))</f>
        <v/>
      </c>
      <c r="J158" s="4" t="n">
        <v>522.78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n">
        <v>46282</v>
      </c>
      <c r="H159" s="25" t="n">
        <v>1877.0074</v>
      </c>
      <c r="I159" s="21">
        <f>IF(OR($B159="",$H159=""),"",IF($C159="LONG",($H159-$E159)*$F159,($E159-$H159)*$F159))</f>
        <v/>
      </c>
      <c r="J159" s="4" t="n">
        <v>521.15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n">
        <v>46282</v>
      </c>
      <c r="H160" s="25" t="n">
        <v>1364.2269</v>
      </c>
      <c r="I160" s="21">
        <f>IF(OR($B160="",$H160=""),"",IF($C160="LONG",($H160-$E160)*$F160,($E160-$H160)*$F160))</f>
        <v/>
      </c>
      <c r="J160" s="4" t="n">
        <v>448.73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n">
        <v>46282</v>
      </c>
      <c r="H161" s="25" t="n">
        <v>407.7921</v>
      </c>
      <c r="I161" s="21">
        <f>IF(OR($B161="",$H161=""),"",IF($C161="LONG",($H161-$E161)*$F161,($E161-$H161)*$F161))</f>
        <v/>
      </c>
      <c r="J161" s="4" t="n">
        <v>465.91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inlineStr">
        <is>
          <t>DHAN-23126091746909</t>
        </is>
      </c>
      <c r="B162" s="23" t="inlineStr">
        <is>
          <t>EMUDHRA</t>
        </is>
      </c>
      <c r="C162" s="23" t="inlineStr">
        <is>
          <t>SHORT</t>
        </is>
      </c>
      <c r="D162" s="24" t="n">
        <v>46282</v>
      </c>
      <c r="E162" s="25" t="n">
        <v>633.678</v>
      </c>
      <c r="F162" s="26" t="n">
        <v>395</v>
      </c>
      <c r="G162" s="24" t="n">
        <v>46282</v>
      </c>
      <c r="H162" s="25" t="n">
        <v>648.2501999999999</v>
      </c>
      <c r="I162" s="21">
        <f>IF(OR($B162="",$H162=""),"",IF($C162="LONG",($H162-$E162)*$F162,($E162-$H162)*$F162))</f>
        <v/>
      </c>
      <c r="J162" s="4" t="n">
        <v>365.55</v>
      </c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inlineStr">
        <is>
          <t>DHAN-23126091718009</t>
        </is>
      </c>
      <c r="B163" s="23" t="inlineStr">
        <is>
          <t>FOSECOIND</t>
        </is>
      </c>
      <c r="C163" s="23" t="inlineStr">
        <is>
          <t>SHORT</t>
        </is>
      </c>
      <c r="D163" s="24" t="n">
        <v>46282</v>
      </c>
      <c r="E163" s="25" t="n">
        <v>6984.243</v>
      </c>
      <c r="F163" s="26" t="n">
        <v>37</v>
      </c>
      <c r="G163" s="24" t="n">
        <v>46282</v>
      </c>
      <c r="H163" s="25" t="n">
        <v>6814.2974</v>
      </c>
      <c r="I163" s="21">
        <f>IF(OR($B163="",$H163=""),"",IF($C163="LONG",($H163-$E163)*$F163,($E163-$H163)*$F163))</f>
        <v/>
      </c>
      <c r="J163" s="4" t="n">
        <v>306.98</v>
      </c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inlineStr">
        <is>
          <t>DHAN-34126091721009</t>
        </is>
      </c>
      <c r="B164" s="23" t="inlineStr">
        <is>
          <t>IPL</t>
        </is>
      </c>
      <c r="C164" s="23" t="inlineStr">
        <is>
          <t>SHORT</t>
        </is>
      </c>
      <c r="D164" s="24" t="n">
        <v>46282</v>
      </c>
      <c r="E164" s="25" t="n">
        <v>136.5789</v>
      </c>
      <c r="F164" s="26" t="n">
        <v>1842</v>
      </c>
      <c r="G164" s="24" t="n">
        <v>46282</v>
      </c>
      <c r="H164" s="25" t="n">
        <v>138.1175</v>
      </c>
      <c r="I164" s="21">
        <f>IF(OR($B164="",$H164=""),"",IF($C164="LONG",($H164-$E164)*$F164,($E164-$H164)*$F164))</f>
        <v/>
      </c>
      <c r="J164" s="4" t="n">
        <v>302.7</v>
      </c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inlineStr">
        <is>
          <t>DHAN-22126091785509</t>
        </is>
      </c>
      <c r="B165" s="23" t="inlineStr">
        <is>
          <t>NPST</t>
        </is>
      </c>
      <c r="C165" s="23" t="inlineStr">
        <is>
          <t>SHORT</t>
        </is>
      </c>
      <c r="D165" s="24" t="n">
        <v>46282</v>
      </c>
      <c r="E165" s="25" t="n">
        <v>1880.0497</v>
      </c>
      <c r="F165" s="26" t="n">
        <v>135</v>
      </c>
      <c r="G165" s="24" t="n">
        <v>46282</v>
      </c>
      <c r="H165" s="25" t="n">
        <v>1855.7349</v>
      </c>
      <c r="I165" s="21">
        <f>IF(OR($B165="",$H165=""),"",IF($C165="LONG",($H165-$E165)*$F165,($E165-$H165)*$F165))</f>
        <v/>
      </c>
      <c r="J165" s="4" t="n">
        <v>302.56</v>
      </c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inlineStr">
        <is>
          <t>DHAN-22126091785609</t>
        </is>
      </c>
      <c r="B166" s="23" t="inlineStr">
        <is>
          <t>ROSSTECH</t>
        </is>
      </c>
      <c r="C166" s="23" t="inlineStr">
        <is>
          <t>SHORT</t>
        </is>
      </c>
      <c r="D166" s="24" t="n">
        <v>46282</v>
      </c>
      <c r="E166" s="25" t="n">
        <v>1366.5123</v>
      </c>
      <c r="F166" s="26" t="n">
        <v>186</v>
      </c>
      <c r="G166" s="24" t="n">
        <v>46282</v>
      </c>
      <c r="H166" s="25" t="n">
        <v>1364.1118</v>
      </c>
      <c r="I166" s="21">
        <f>IF(OR($B166="",$H166=""),"",IF($C166="LONG",($H166-$E166)*$F166,($E166-$H166)*$F166))</f>
        <v/>
      </c>
      <c r="J166" s="4" t="n">
        <v>367.56</v>
      </c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4" t="n">
        <v>355.64</v>
      </c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4" t="n">
        <v>631.21</v>
      </c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inlineStr">
        <is>
          <t>DHAN-321260917609709</t>
        </is>
      </c>
      <c r="B169" s="23" t="inlineStr">
        <is>
          <t>VENUSPIPES</t>
        </is>
      </c>
      <c r="C169" s="23" t="inlineStr">
        <is>
          <t>LONG</t>
        </is>
      </c>
      <c r="D169" s="24" t="n">
        <v>46282</v>
      </c>
      <c r="E169" s="25" t="n">
        <v>2134.6694</v>
      </c>
      <c r="F169" s="26" t="n">
        <v>176</v>
      </c>
      <c r="G169" s="24" t="n">
        <v>46283</v>
      </c>
      <c r="H169" s="25" t="n">
        <v>2164.58</v>
      </c>
      <c r="I169" s="21">
        <f>IF(OR($B169="",$H169=""),"",IF($C169="LONG",($H169-$E169)*$F169,($E169-$H169)*$F169))</f>
        <v/>
      </c>
      <c r="J169" s="4" t="n">
        <v>640.01</v>
      </c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inlineStr">
        <is>
          <t>DHAN-34126091878509</t>
        </is>
      </c>
      <c r="B170" s="23" t="inlineStr">
        <is>
          <t>GRAUWEIL</t>
        </is>
      </c>
      <c r="C170" s="23" t="inlineStr">
        <is>
          <t>LONG</t>
        </is>
      </c>
      <c r="D170" s="24" t="n">
        <v>46283</v>
      </c>
      <c r="E170" s="25" t="n">
        <v>86.8737</v>
      </c>
      <c r="F170" s="26" t="n">
        <v>1726</v>
      </c>
      <c r="G170" s="24" t="n">
        <v>46286</v>
      </c>
      <c r="H170" s="25" t="n">
        <v>85.17</v>
      </c>
      <c r="I170" s="21">
        <f>IF(OR($B170="",$H170=""),"",IF($C170="LONG",($H170-$E170)*$F170,($E170-$H170)*$F170))</f>
        <v/>
      </c>
      <c r="J170" s="4" t="n">
        <v>258.56</v>
      </c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inlineStr">
        <is>
          <t>DHAN-221260918730609</t>
        </is>
      </c>
      <c r="B171" s="23" t="inlineStr">
        <is>
          <t>LUXIND</t>
        </is>
      </c>
      <c r="C171" s="23" t="inlineStr">
        <is>
          <t>LONG</t>
        </is>
      </c>
      <c r="D171" s="24" t="n">
        <v>46283</v>
      </c>
      <c r="E171" s="25" t="n">
        <v>1139.811</v>
      </c>
      <c r="F171" s="26" t="n">
        <v>263</v>
      </c>
      <c r="G171" s="24" t="n">
        <v>46286</v>
      </c>
      <c r="H171" s="25" t="n">
        <v>1139.97</v>
      </c>
      <c r="I171" s="21">
        <f>IF(OR($B171="",$H171=""),"",IF($C171="LONG",($H171-$E171)*$F171,($E171-$H171)*$F171))</f>
        <v/>
      </c>
      <c r="J171" s="4" t="n">
        <v>605.97</v>
      </c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inlineStr">
        <is>
          <t>DHAN-23126091873309</t>
        </is>
      </c>
      <c r="B172" s="23" t="inlineStr">
        <is>
          <t>NRBBEARING</t>
        </is>
      </c>
      <c r="C172" s="23" t="inlineStr">
        <is>
          <t>LONG</t>
        </is>
      </c>
      <c r="D172" s="24" t="n">
        <v>46283</v>
      </c>
      <c r="E172" s="25" t="n">
        <v>526.0403</v>
      </c>
      <c r="F172" s="26" t="n">
        <v>568</v>
      </c>
      <c r="G172" s="24" t="n">
        <v>46286</v>
      </c>
      <c r="H172" s="25" t="n">
        <v>533.65</v>
      </c>
      <c r="I172" s="21">
        <f>IF(OR($B172="",$H172=""),"",IF($C172="LONG",($H172-$E172)*$F172,($E172-$H172)*$F172))</f>
        <v/>
      </c>
      <c r="J172" s="4" t="n">
        <v>594.85</v>
      </c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inlineStr">
        <is>
          <t>DHAN-23126091873409</t>
        </is>
      </c>
      <c r="B173" s="23" t="inlineStr">
        <is>
          <t>SAMBHV</t>
        </is>
      </c>
      <c r="C173" s="23" t="inlineStr">
        <is>
          <t>LONG</t>
        </is>
      </c>
      <c r="D173" s="24" t="n">
        <v>46283</v>
      </c>
      <c r="E173" s="25" t="n">
        <v>148.3417</v>
      </c>
      <c r="F173" s="26" t="n">
        <v>2021</v>
      </c>
      <c r="G173" s="24" t="n">
        <v>46286</v>
      </c>
      <c r="H173" s="25" t="n">
        <v>155.57</v>
      </c>
      <c r="I173" s="21">
        <f>IF(OR($B173="",$H173=""),"",IF($C173="LONG",($H173-$E173)*$F173,($E173-$H173)*$F173))</f>
        <v/>
      </c>
      <c r="J173" s="4" t="n">
        <v>608.03</v>
      </c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inlineStr">
        <is>
          <t>DHAN-34126091813609</t>
        </is>
      </c>
      <c r="B174" s="23" t="inlineStr">
        <is>
          <t>SHAREINDIA</t>
        </is>
      </c>
      <c r="C174" s="23" t="inlineStr">
        <is>
          <t>SHORT</t>
        </is>
      </c>
      <c r="D174" s="24" t="n">
        <v>46283</v>
      </c>
      <c r="E174" s="25" t="n">
        <v>223.51</v>
      </c>
      <c r="F174" s="26" t="n">
        <v>1722</v>
      </c>
      <c r="G174" s="24" t="n">
        <v>46283</v>
      </c>
      <c r="H174" s="25" t="n">
        <v>227.78</v>
      </c>
      <c r="I174" s="21">
        <f>IF(OR($B174="",$H174=""),"",IF($C174="LONG",($H174-$E174)*$F174,($E174-$H174)*$F174))</f>
        <v/>
      </c>
      <c r="J174" s="4" t="n">
        <v>548.39</v>
      </c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inlineStr">
        <is>
          <t>DHAN-34126091878409</t>
        </is>
      </c>
      <c r="B175" s="23" t="inlineStr">
        <is>
          <t>TALBROAUTO</t>
        </is>
      </c>
      <c r="C175" s="23" t="inlineStr">
        <is>
          <t>LONG</t>
        </is>
      </c>
      <c r="D175" s="24" t="n">
        <v>46283</v>
      </c>
      <c r="E175" s="25" t="n">
        <v>474.6399</v>
      </c>
      <c r="F175" s="26" t="n">
        <v>632</v>
      </c>
      <c r="G175" s="24" t="n">
        <v>46286</v>
      </c>
      <c r="H175" s="25" t="n">
        <v>477.78</v>
      </c>
      <c r="I175" s="21">
        <f>IF(OR($B175="",$H175=""),"",IF($C175="LONG",($H175-$E175)*$F175,($E175-$H175)*$F175))</f>
        <v/>
      </c>
      <c r="J175" s="4" t="n">
        <v>596.85</v>
      </c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inlineStr">
        <is>
          <t>DHAN-22126091853309</t>
        </is>
      </c>
      <c r="B176" s="23" t="inlineStr">
        <is>
          <t>VENUSPIPES</t>
        </is>
      </c>
      <c r="C176" s="23" t="inlineStr">
        <is>
          <t>SHORT</t>
        </is>
      </c>
      <c r="D176" s="24" t="n">
        <v>46283</v>
      </c>
      <c r="E176" s="25" t="n">
        <v>2168.7</v>
      </c>
      <c r="F176" s="26" t="n">
        <v>176</v>
      </c>
      <c r="G176" s="24" t="n">
        <v>46283</v>
      </c>
      <c r="H176" s="25" t="n">
        <v>2291</v>
      </c>
      <c r="I176" s="21">
        <f>IF(OR($B176="",$H176=""),"",IF($C176="LONG",($H176-$E176)*$F176,($E176-$H176)*$F176))</f>
        <v/>
      </c>
      <c r="J176" s="4" t="n">
        <v>550.84</v>
      </c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inlineStr">
        <is>
          <t>DHAN-241260921697209</t>
        </is>
      </c>
      <c r="B177" s="23" t="inlineStr">
        <is>
          <t>ASHIANA</t>
        </is>
      </c>
      <c r="C177" s="23" t="inlineStr">
        <is>
          <t>LONG</t>
        </is>
      </c>
      <c r="D177" s="24" t="n">
        <v>46286</v>
      </c>
      <c r="E177" s="25" t="n">
        <v>406.58957</v>
      </c>
      <c r="F177" s="26" t="n">
        <v>340</v>
      </c>
      <c r="G177" s="24" t="n">
        <v>46287</v>
      </c>
      <c r="H177" s="25" t="n">
        <v>392.12</v>
      </c>
      <c r="I177" s="21">
        <f>IF(OR($B177="",$H177=""),"",IF($C177="LONG",($H177-$E177)*$F177,($E177-$H177)*$F177))</f>
        <v/>
      </c>
      <c r="J177" s="4" t="n">
        <v>296.91</v>
      </c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inlineStr">
        <is>
          <t>DHAN-321260921417509</t>
        </is>
      </c>
      <c r="B178" s="23" t="inlineStr">
        <is>
          <t>GRAUWEIL</t>
        </is>
      </c>
      <c r="C178" s="23" t="inlineStr">
        <is>
          <t>SHORT</t>
        </is>
      </c>
      <c r="D178" s="24" t="n">
        <v>46286</v>
      </c>
      <c r="E178" s="25" t="n">
        <v>85.12</v>
      </c>
      <c r="F178" s="26" t="n">
        <v>1726</v>
      </c>
      <c r="G178" s="24" t="n">
        <v>46286</v>
      </c>
      <c r="H178" s="25" t="n">
        <v>84.69</v>
      </c>
      <c r="I178" s="21">
        <f>IF(OR($B178="",$H178=""),"",IF($C178="LONG",($H178-$E178)*$F178,($E178-$H178)*$F178))</f>
        <v/>
      </c>
      <c r="J178" s="4" t="n">
        <v>185.64</v>
      </c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inlineStr">
        <is>
          <t>DHAN-241260921699009</t>
        </is>
      </c>
      <c r="B179" s="23" t="inlineStr">
        <is>
          <t>INDORAMA</t>
        </is>
      </c>
      <c r="C179" s="23" t="inlineStr">
        <is>
          <t>LONG</t>
        </is>
      </c>
      <c r="D179" s="24" t="n">
        <v>46286</v>
      </c>
      <c r="E179" s="25" t="n">
        <v>105.67</v>
      </c>
      <c r="F179" s="26" t="n">
        <v>1300</v>
      </c>
      <c r="G179" s="24" t="n">
        <v>46287</v>
      </c>
      <c r="H179" s="25" t="n">
        <v>107.2</v>
      </c>
      <c r="I179" s="21">
        <f>IF(OR($B179="",$H179=""),"",IF($C179="LONG",($H179-$E179)*$F179,($E179-$H179)*$F179))</f>
        <v/>
      </c>
      <c r="J179" s="4" t="n">
        <v>300.31</v>
      </c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inlineStr">
        <is>
          <t>DHAN-351260921486209</t>
        </is>
      </c>
      <c r="B180" s="23" t="inlineStr">
        <is>
          <t>JASH</t>
        </is>
      </c>
      <c r="C180" s="23" t="inlineStr">
        <is>
          <t>LONG</t>
        </is>
      </c>
      <c r="D180" s="24" t="n">
        <v>46286</v>
      </c>
      <c r="E180" s="25" t="n">
        <v>580.8</v>
      </c>
      <c r="F180" s="26" t="n">
        <v>244</v>
      </c>
      <c r="G180" s="24" t="n">
        <v>46287</v>
      </c>
      <c r="H180" s="25" t="n">
        <v>593.59</v>
      </c>
      <c r="I180" s="21">
        <f>IF(OR($B180="",$H180=""),"",IF($C180="LONG",($H180-$E180)*$F180,($E180-$H180)*$F180))</f>
        <v/>
      </c>
      <c r="J180" s="4" t="n">
        <v>338.75</v>
      </c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inlineStr">
        <is>
          <t>DHAN-211260921155609</t>
        </is>
      </c>
      <c r="B181" s="23" t="inlineStr">
        <is>
          <t>JAYKAY</t>
        </is>
      </c>
      <c r="C181" s="23" t="inlineStr">
        <is>
          <t>LONG</t>
        </is>
      </c>
      <c r="D181" s="24" t="n">
        <v>46286</v>
      </c>
      <c r="E181" s="25" t="n">
        <v>188.91</v>
      </c>
      <c r="F181" s="26" t="n">
        <v>750</v>
      </c>
      <c r="G181" s="24" t="n">
        <v>46287</v>
      </c>
      <c r="H181" s="25" t="n">
        <v>191.21</v>
      </c>
      <c r="I181" s="21">
        <f>IF(OR($B181="",$H181=""),"",IF($C181="LONG",($H181-$E181)*$F181,($E181-$H181)*$F181))</f>
        <v/>
      </c>
      <c r="J181" s="4" t="n">
        <v>289.65</v>
      </c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inlineStr">
        <is>
          <t>DHAN-241260921702409</t>
        </is>
      </c>
      <c r="B182" s="23" t="inlineStr">
        <is>
          <t>KROSS</t>
        </is>
      </c>
      <c r="C182" s="23" t="inlineStr">
        <is>
          <t>LONG</t>
        </is>
      </c>
      <c r="D182" s="24" t="n">
        <v>46286</v>
      </c>
      <c r="E182" s="25" t="n">
        <v>257.49</v>
      </c>
      <c r="F182" s="26" t="n">
        <v>233</v>
      </c>
      <c r="G182" s="24" t="n">
        <v>46287</v>
      </c>
      <c r="H182" s="25" t="n">
        <v>260.01</v>
      </c>
      <c r="I182" s="21">
        <f>IF(OR($B182="",$H182=""),"",IF($C182="LONG",($H182-$E182)*$F182,($E182-$H182)*$F182))</f>
        <v/>
      </c>
      <c r="J182" s="4" t="n">
        <v>192.39</v>
      </c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inlineStr">
        <is>
          <t>DHAN-23126092113309</t>
        </is>
      </c>
      <c r="B183" s="23" t="inlineStr">
        <is>
          <t>LUXIND</t>
        </is>
      </c>
      <c r="C183" s="23" t="inlineStr">
        <is>
          <t>SHORT</t>
        </is>
      </c>
      <c r="D183" s="24" t="n">
        <v>46286</v>
      </c>
      <c r="E183" s="25" t="n">
        <v>1142.1</v>
      </c>
      <c r="F183" s="26" t="n">
        <v>263</v>
      </c>
      <c r="G183" s="24" t="n">
        <v>46286</v>
      </c>
      <c r="H183" s="25" t="n">
        <v>1197.67</v>
      </c>
      <c r="I183" s="21">
        <f>IF(OR($B183="",$H183=""),"",IF($C183="LONG",($H183-$E183)*$F183,($E183-$H183)*$F183))</f>
        <v/>
      </c>
      <c r="J183" s="4" t="n">
        <v>436.71</v>
      </c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inlineStr">
        <is>
          <t>DHAN-22126092158309</t>
        </is>
      </c>
      <c r="B184" s="23" t="inlineStr">
        <is>
          <t>NRBBEARING</t>
        </is>
      </c>
      <c r="C184" s="23" t="inlineStr">
        <is>
          <t>SHORT</t>
        </is>
      </c>
      <c r="D184" s="24" t="n">
        <v>46286</v>
      </c>
      <c r="E184" s="25" t="n">
        <v>535.51</v>
      </c>
      <c r="F184" s="26" t="n">
        <v>568</v>
      </c>
      <c r="G184" s="24" t="n">
        <v>46286</v>
      </c>
      <c r="H184" s="25" t="n">
        <v>531.6799999999999</v>
      </c>
      <c r="I184" s="21">
        <f>IF(OR($B184="",$H184=""),"",IF($C184="LONG",($H184-$E184)*$F184,($E184-$H184)*$F184))</f>
        <v/>
      </c>
      <c r="J184" s="4" t="n">
        <v>434.19</v>
      </c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inlineStr">
        <is>
          <t>DHAN-221260921659609</t>
        </is>
      </c>
      <c r="B185" s="23" t="inlineStr">
        <is>
          <t>REFEX</t>
        </is>
      </c>
      <c r="C185" s="23" t="inlineStr">
        <is>
          <t>LONG</t>
        </is>
      </c>
      <c r="D185" s="24" t="n">
        <v>46286</v>
      </c>
      <c r="E185" s="25" t="n">
        <v>293.2</v>
      </c>
      <c r="F185" s="26" t="n">
        <v>470</v>
      </c>
      <c r="G185" s="24" t="n">
        <v>46287</v>
      </c>
      <c r="H185" s="25" t="n">
        <v>292.43</v>
      </c>
      <c r="I185" s="21">
        <f>IF(OR($B185="",$H185=""),"",IF($C185="LONG",($H185-$E185)*$F185,($E185-$H185)*$F185))</f>
        <v/>
      </c>
      <c r="J185" s="4" t="n">
        <v>297.41</v>
      </c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inlineStr">
        <is>
          <t>DHAN-32126092161209</t>
        </is>
      </c>
      <c r="B186" s="23" t="inlineStr">
        <is>
          <t>SAMBHV</t>
        </is>
      </c>
      <c r="C186" s="23" t="inlineStr">
        <is>
          <t>SHORT</t>
        </is>
      </c>
      <c r="D186" s="24" t="n">
        <v>46286</v>
      </c>
      <c r="E186" s="25" t="n">
        <v>156.2</v>
      </c>
      <c r="F186" s="26" t="n">
        <v>2021</v>
      </c>
      <c r="G186" s="24" t="n">
        <v>46286</v>
      </c>
      <c r="H186" s="25" t="n">
        <v>153.42</v>
      </c>
      <c r="I186" s="21">
        <f>IF(OR($B186="",$H186=""),"",IF($C186="LONG",($H186-$E186)*$F186,($E186-$H186)*$F186))</f>
        <v/>
      </c>
      <c r="J186" s="4" t="n">
        <v>447.15</v>
      </c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inlineStr">
        <is>
          <t>DHAN-23126092113209</t>
        </is>
      </c>
      <c r="B187" s="23" t="inlineStr">
        <is>
          <t>TALBROAUTO</t>
        </is>
      </c>
      <c r="C187" s="23" t="inlineStr">
        <is>
          <t>SHORT</t>
        </is>
      </c>
      <c r="D187" s="24" t="n">
        <v>46286</v>
      </c>
      <c r="E187" s="25" t="n">
        <v>478.39</v>
      </c>
      <c r="F187" s="26" t="n">
        <v>632</v>
      </c>
      <c r="G187" s="24" t="n">
        <v>46286</v>
      </c>
      <c r="H187" s="25" t="n">
        <v>465.51</v>
      </c>
      <c r="I187" s="21">
        <f>IF(OR($B187="",$H187=""),"",IF($C187="LONG",($H187-$E187)*$F187,($E187-$H187)*$F187))</f>
        <v/>
      </c>
      <c r="J187" s="4" t="n">
        <v>429.11</v>
      </c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inlineStr">
        <is>
          <t>DHAN-34126092243009</t>
        </is>
      </c>
      <c r="B188" s="23" t="inlineStr">
        <is>
          <t>ASHIANA</t>
        </is>
      </c>
      <c r="C188" s="23" t="inlineStr">
        <is>
          <t>SHORT</t>
        </is>
      </c>
      <c r="D188" s="24" t="n">
        <v>46287</v>
      </c>
      <c r="E188" s="25" t="n">
        <v>391.52</v>
      </c>
      <c r="F188" s="26" t="n">
        <v>340</v>
      </c>
      <c r="G188" s="24" t="n">
        <v>46287</v>
      </c>
      <c r="H188" s="25" t="n">
        <v>386.54</v>
      </c>
      <c r="I188" s="21">
        <f>IF(OR($B188="",$H188=""),"",IF($C188="LONG",($H188-$E188)*$F188,($E188-$H188)*$F188))</f>
        <v/>
      </c>
      <c r="J188" s="4" t="n">
        <v>203.22</v>
      </c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inlineStr">
        <is>
          <t>DHAN-limit_entry_multi</t>
        </is>
      </c>
      <c r="B189" s="23" t="inlineStr">
        <is>
          <t>ASTEC</t>
        </is>
      </c>
      <c r="C189" s="23" t="inlineStr">
        <is>
          <t>LONG</t>
        </is>
      </c>
      <c r="D189" s="24" t="n">
        <v>46287</v>
      </c>
      <c r="E189" s="25" t="n">
        <v>794.5626999999999</v>
      </c>
      <c r="F189" s="26" t="n">
        <v>315</v>
      </c>
      <c r="G189" s="24" t="n">
        <v>46288</v>
      </c>
      <c r="H189" s="25" t="n">
        <v>775.9299999999999</v>
      </c>
      <c r="I189" s="21">
        <f>IF(OR($B189="",$H189=""),"",IF($C189="LONG",($H189-$E189)*$F189,($E189-$H189)*$F189))</f>
        <v/>
      </c>
      <c r="J189" s="4" t="n">
        <v>93.83</v>
      </c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inlineStr">
        <is>
          <t>DHAN-23126092274109</t>
        </is>
      </c>
      <c r="B190" s="23" t="inlineStr">
        <is>
          <t>CHEMPLASTS</t>
        </is>
      </c>
      <c r="C190" s="23" t="inlineStr">
        <is>
          <t>LONG</t>
        </is>
      </c>
      <c r="D190" s="24" t="n">
        <v>46287</v>
      </c>
      <c r="E190" s="25" t="n">
        <v>200.3954</v>
      </c>
      <c r="F190" s="26" t="n">
        <v>1255</v>
      </c>
      <c r="G190" s="24" t="n">
        <v>46288</v>
      </c>
      <c r="H190" s="25" t="n">
        <v>196.71</v>
      </c>
      <c r="I190" s="21">
        <f>IF(OR($B190="",$H190=""),"",IF($C190="LONG",($H190-$E190)*$F190,($E190-$H190)*$F190))</f>
        <v/>
      </c>
      <c r="J190" s="4" t="n">
        <v>463.67</v>
      </c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inlineStr">
        <is>
          <t>DHAN-23126092251309</t>
        </is>
      </c>
      <c r="B191" s="23" t="inlineStr">
        <is>
          <t>INDORAMA</t>
        </is>
      </c>
      <c r="C191" s="23" t="inlineStr">
        <is>
          <t>SHORT</t>
        </is>
      </c>
      <c r="D191" s="24" t="n">
        <v>46287</v>
      </c>
      <c r="E191" s="25" t="n">
        <v>107.16</v>
      </c>
      <c r="F191" s="26" t="n">
        <v>1300</v>
      </c>
      <c r="G191" s="24" t="n">
        <v>46287</v>
      </c>
      <c r="H191" s="25" t="n">
        <v>105.33</v>
      </c>
      <c r="I191" s="21">
        <f>IF(OR($B191="",$H191=""),"",IF($C191="LONG",($H191-$E191)*$F191,($E191-$H191)*$F191))</f>
        <v/>
      </c>
      <c r="J191" s="4" t="n">
        <v>176.57</v>
      </c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inlineStr">
        <is>
          <t>DHAN-34126092213209</t>
        </is>
      </c>
      <c r="B192" s="23" t="inlineStr">
        <is>
          <t>JASH</t>
        </is>
      </c>
      <c r="C192" s="23" t="inlineStr">
        <is>
          <t>SHORT</t>
        </is>
      </c>
      <c r="D192" s="24" t="n">
        <v>46287</v>
      </c>
      <c r="E192" s="25" t="n">
        <v>595.99</v>
      </c>
      <c r="F192" s="26" t="n">
        <v>244</v>
      </c>
      <c r="G192" s="24" t="n">
        <v>46287</v>
      </c>
      <c r="H192" s="25" t="n">
        <v>584.99</v>
      </c>
      <c r="I192" s="21">
        <f>IF(OR($B192="",$H192=""),"",IF($C192="LONG",($H192-$E192)*$F192,($E192-$H192)*$F192))</f>
        <v/>
      </c>
      <c r="J192" s="4" t="n">
        <v>182.99</v>
      </c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inlineStr">
        <is>
          <t>DHAN-32126092252109</t>
        </is>
      </c>
      <c r="B193" s="23" t="inlineStr">
        <is>
          <t>JAYKAY</t>
        </is>
      </c>
      <c r="C193" s="23" t="inlineStr">
        <is>
          <t>SHORT</t>
        </is>
      </c>
      <c r="D193" s="24" t="n">
        <v>46287</v>
      </c>
      <c r="E193" s="25" t="n">
        <v>190.59</v>
      </c>
      <c r="F193" s="26" t="n">
        <v>750</v>
      </c>
      <c r="G193" s="24" t="n">
        <v>46287</v>
      </c>
      <c r="H193" s="25" t="n">
        <v>188.34</v>
      </c>
      <c r="I193" s="21">
        <f>IF(OR($B193="",$H193=""),"",IF($C193="LONG",($H193-$E193)*$F193,($E193-$H193)*$F193))</f>
        <v/>
      </c>
      <c r="J193" s="4" t="n">
        <v>216.64</v>
      </c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inlineStr">
        <is>
          <t>DHAN-22126092254109</t>
        </is>
      </c>
      <c r="B194" s="23" t="inlineStr">
        <is>
          <t>KROSS</t>
        </is>
      </c>
      <c r="C194" s="23" t="inlineStr">
        <is>
          <t>SHORT</t>
        </is>
      </c>
      <c r="D194" s="24" t="n">
        <v>46287</v>
      </c>
      <c r="E194" s="25" t="n">
        <v>259</v>
      </c>
      <c r="F194" s="26" t="n">
        <v>233</v>
      </c>
      <c r="G194" s="24" t="n">
        <v>46287</v>
      </c>
      <c r="H194" s="25" t="n">
        <v>256.71</v>
      </c>
      <c r="I194" s="21">
        <f>IF(OR($B194="",$H194=""),"",IF($C194="LONG",($H194-$E194)*$F194,($E194-$H194)*$F194))</f>
        <v/>
      </c>
      <c r="J194" s="4" t="n">
        <v>87.7</v>
      </c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inlineStr">
        <is>
          <t>DHAN-221260922659909</t>
        </is>
      </c>
      <c r="B195" s="23" t="inlineStr">
        <is>
          <t>PACEDIGITK</t>
        </is>
      </c>
      <c r="C195" s="23" t="inlineStr">
        <is>
          <t>LONG</t>
        </is>
      </c>
      <c r="D195" s="24" t="n">
        <v>46287</v>
      </c>
      <c r="E195" s="25" t="n">
        <v>168.7</v>
      </c>
      <c r="F195" s="26" t="n">
        <v>1482</v>
      </c>
      <c r="G195" s="24" t="n">
        <v>46288</v>
      </c>
      <c r="H195" s="25" t="n">
        <v>170.47</v>
      </c>
      <c r="I195" s="21">
        <f>IF(OR($B195="",$H195=""),"",IF($C195="LONG",($H195-$E195)*$F195,($E195-$H195)*$F195))</f>
        <v/>
      </c>
      <c r="J195" s="4" t="n">
        <v>466.8</v>
      </c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inlineStr">
        <is>
          <t>DHAN-23126092274009</t>
        </is>
      </c>
      <c r="B196" s="23" t="inlineStr">
        <is>
          <t>PROTEAN</t>
        </is>
      </c>
      <c r="C196" s="23" t="inlineStr">
        <is>
          <t>LONG</t>
        </is>
      </c>
      <c r="D196" s="24" t="n">
        <v>46287</v>
      </c>
      <c r="E196" s="25" t="n">
        <v>620.9959</v>
      </c>
      <c r="F196" s="26" t="n">
        <v>403</v>
      </c>
      <c r="G196" s="24" t="n">
        <v>46288</v>
      </c>
      <c r="H196" s="25" t="n">
        <v>607.61</v>
      </c>
      <c r="I196" s="21">
        <f>IF(OR($B196="",$H196=""),"",IF($C196="LONG",($H196-$E196)*$F196,($E196-$H196)*$F196))</f>
        <v/>
      </c>
      <c r="J196" s="4" t="n">
        <v>498.79</v>
      </c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inlineStr">
        <is>
          <t>DHAN-23126092251409</t>
        </is>
      </c>
      <c r="B197" s="23" t="inlineStr">
        <is>
          <t>REFEX</t>
        </is>
      </c>
      <c r="C197" s="23" t="inlineStr">
        <is>
          <t>SHORT</t>
        </is>
      </c>
      <c r="D197" s="24" t="n">
        <v>46287</v>
      </c>
      <c r="E197" s="25" t="n">
        <v>292.4</v>
      </c>
      <c r="F197" s="26" t="n">
        <v>470</v>
      </c>
      <c r="G197" s="24" t="n">
        <v>46287</v>
      </c>
      <c r="H197" s="25" t="n">
        <v>292</v>
      </c>
      <c r="I197" s="21">
        <f>IF(OR($B197="",$H197=""),"",IF($C197="LONG",($H197-$E197)*$F197,($E197-$H197)*$F197))</f>
        <v/>
      </c>
      <c r="J197" s="4" t="n">
        <v>209.7</v>
      </c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inlineStr">
        <is>
          <t>DHAN-321260922627909</t>
        </is>
      </c>
      <c r="B198" s="23" t="inlineStr">
        <is>
          <t>STEELCAS</t>
        </is>
      </c>
      <c r="C198" s="23" t="inlineStr">
        <is>
          <t>LONG</t>
        </is>
      </c>
      <c r="D198" s="24" t="n">
        <v>46287</v>
      </c>
      <c r="E198" s="25" t="n">
        <v>349.9038</v>
      </c>
      <c r="F198" s="26" t="n">
        <v>715</v>
      </c>
      <c r="G198" s="24" t="n">
        <v>46288</v>
      </c>
      <c r="H198" s="25" t="n">
        <v>357.47</v>
      </c>
      <c r="I198" s="21">
        <f>IF(OR($B198="",$H198=""),"",IF($C198="LONG",($H198-$E198)*$F198,($E198-$H198)*$F198))</f>
        <v/>
      </c>
      <c r="J198" s="4" t="n">
        <v>522.87</v>
      </c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inlineStr">
        <is>
          <t>DHAN-34126092267009</t>
        </is>
      </c>
      <c r="B199" s="23" t="inlineStr">
        <is>
          <t>ZOTA</t>
        </is>
      </c>
      <c r="C199" s="23" t="inlineStr">
        <is>
          <t>LONG</t>
        </is>
      </c>
      <c r="D199" s="24" t="n">
        <v>46287</v>
      </c>
      <c r="E199" s="25" t="n">
        <v>1359.8431</v>
      </c>
      <c r="F199" s="26" t="n">
        <v>183</v>
      </c>
      <c r="G199" s="24" t="n">
        <v>46288</v>
      </c>
      <c r="H199" s="25" t="n">
        <v>1372.32</v>
      </c>
      <c r="I199" s="21">
        <f>IF(OR($B199="",$H199=""),"",IF($C199="LONG",($H199-$E199)*$F199,($E199-$H199)*$F199))</f>
        <v/>
      </c>
      <c r="J199" s="4" t="n">
        <v>460.55</v>
      </c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inlineStr">
        <is>
          <t>DHAN-limit_entry_multi</t>
        </is>
      </c>
      <c r="B200" s="23" t="inlineStr">
        <is>
          <t>ARVSMART</t>
        </is>
      </c>
      <c r="C200" s="23" t="inlineStr">
        <is>
          <t>LONG</t>
        </is>
      </c>
      <c r="D200" s="24" t="n">
        <v>46288</v>
      </c>
      <c r="E200" s="25" t="n">
        <v>635.6889</v>
      </c>
      <c r="F200" s="26" t="n">
        <v>262</v>
      </c>
      <c r="G200" s="24" t="n">
        <v>46289</v>
      </c>
      <c r="H200" s="25" t="n">
        <v>627.8200000000001</v>
      </c>
      <c r="I200" s="21">
        <f>IF(OR($B200="",$H200=""),"",IF($C200="LONG",($H200-$E200)*$F200,($E200-$H200)*$F200))</f>
        <v/>
      </c>
      <c r="J200" s="4" t="n">
        <v>131.89</v>
      </c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inlineStr">
        <is>
          <t>DHAN-221260923445309</t>
        </is>
      </c>
      <c r="B201" s="23" t="inlineStr">
        <is>
          <t>ASTEC</t>
        </is>
      </c>
      <c r="C201" s="23" t="inlineStr">
        <is>
          <t>SHORT</t>
        </is>
      </c>
      <c r="D201" s="24" t="n">
        <v>46288</v>
      </c>
      <c r="E201" s="25" t="n">
        <v>775.25</v>
      </c>
      <c r="F201" s="26" t="n">
        <v>315</v>
      </c>
      <c r="G201" s="24" t="n">
        <v>46288</v>
      </c>
      <c r="H201" s="25" t="n">
        <v>764.5</v>
      </c>
      <c r="I201" s="21">
        <f>IF(OR($B201="",$H201=""),"",IF($C201="LONG",($H201-$E201)*$F201,($E201-$H201)*$F201))</f>
        <v/>
      </c>
      <c r="J201" s="4" t="n">
        <v>352.9</v>
      </c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inlineStr">
        <is>
          <t>DHAN-34126092354709</t>
        </is>
      </c>
      <c r="B202" s="23" t="inlineStr">
        <is>
          <t>CHEMPLASTS</t>
        </is>
      </c>
      <c r="C202" s="23" t="inlineStr">
        <is>
          <t>SHORT</t>
        </is>
      </c>
      <c r="D202" s="24" t="n">
        <v>46288</v>
      </c>
      <c r="E202" s="25" t="n">
        <v>196.53</v>
      </c>
      <c r="F202" s="26" t="n">
        <v>1255</v>
      </c>
      <c r="G202" s="24" t="n">
        <v>46288</v>
      </c>
      <c r="H202" s="25" t="n">
        <v>199.17</v>
      </c>
      <c r="I202" s="21">
        <f>IF(OR($B202="",$H202=""),"",IF($C202="LONG",($H202-$E202)*$F202,($E202-$H202)*$F202))</f>
        <v/>
      </c>
      <c r="J202" s="4" t="n">
        <v>359.46</v>
      </c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inlineStr">
        <is>
          <t>DHAN-limit_entry_multi</t>
        </is>
      </c>
      <c r="B203" s="23" t="inlineStr">
        <is>
          <t>DELTACORP</t>
        </is>
      </c>
      <c r="C203" s="23" t="inlineStr">
        <is>
          <t>LONG</t>
        </is>
      </c>
      <c r="D203" s="24" t="n">
        <v>46288</v>
      </c>
      <c r="E203" s="25" t="n">
        <v>68.7423</v>
      </c>
      <c r="F203" s="26" t="n">
        <v>2426</v>
      </c>
      <c r="G203" s="24" t="n">
        <v>46289</v>
      </c>
      <c r="H203" s="25" t="n">
        <v>71</v>
      </c>
      <c r="I203" s="21">
        <f>IF(OR($B203="",$H203=""),"",IF($C203="LONG",($H203-$E203)*$F203,($E203-$H203)*$F203))</f>
        <v/>
      </c>
      <c r="J203" s="4" t="n">
        <v>91.13</v>
      </c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inlineStr">
        <is>
          <t>DHAN-limit_entry_multi</t>
        </is>
      </c>
      <c r="B204" s="23" t="inlineStr">
        <is>
          <t>GNA</t>
        </is>
      </c>
      <c r="C204" s="23" t="inlineStr">
        <is>
          <t>LONG</t>
        </is>
      </c>
      <c r="D204" s="24" t="n">
        <v>46288</v>
      </c>
      <c r="E204" s="25" t="n">
        <v>596.2712</v>
      </c>
      <c r="F204" s="26" t="n">
        <v>139</v>
      </c>
      <c r="G204" s="24" t="n">
        <v>46289</v>
      </c>
      <c r="H204" s="25" t="n">
        <v>634.15</v>
      </c>
      <c r="I204" s="21">
        <f>IF(OR($B204="",$H204=""),"",IF($C204="LONG",($H204-$E204)*$F204,($E204-$H204)*$F204))</f>
        <v/>
      </c>
      <c r="J204" s="4" t="n">
        <v>63.56</v>
      </c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inlineStr">
        <is>
          <t>DHAN-limit_entry_multi</t>
        </is>
      </c>
      <c r="B205" s="23" t="inlineStr">
        <is>
          <t>JAYKAY</t>
        </is>
      </c>
      <c r="C205" s="23" t="inlineStr">
        <is>
          <t>LONG</t>
        </is>
      </c>
      <c r="D205" s="24" t="n">
        <v>46288</v>
      </c>
      <c r="E205" s="25" t="n">
        <v>212.4728</v>
      </c>
      <c r="F205" s="26" t="n">
        <v>780</v>
      </c>
      <c r="G205" s="24" t="n">
        <v>46289</v>
      </c>
      <c r="H205" s="25" t="n">
        <v>205.69</v>
      </c>
      <c r="I205" s="21">
        <f>IF(OR($B205="",$H205=""),"",IF($C205="LONG",($H205-$E205)*$F205,($E205-$H205)*$F205))</f>
        <v/>
      </c>
      <c r="J205" s="4" t="n">
        <v>130.64</v>
      </c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inlineStr">
        <is>
          <t>DHAN-23126092396409</t>
        </is>
      </c>
      <c r="B206" s="23" t="inlineStr">
        <is>
          <t>KROSS</t>
        </is>
      </c>
      <c r="C206" s="23" t="inlineStr">
        <is>
          <t>LONG</t>
        </is>
      </c>
      <c r="D206" s="24" t="n">
        <v>46288</v>
      </c>
      <c r="E206" s="25" t="n">
        <v>278.5987</v>
      </c>
      <c r="F206" s="26" t="n">
        <v>597</v>
      </c>
      <c r="G206" s="24" t="n">
        <v>46289</v>
      </c>
      <c r="H206" s="25" t="n">
        <v>273.19</v>
      </c>
      <c r="I206" s="21">
        <f>IF(OR($B206="",$H206=""),"",IF($C206="LONG",($H206-$E206)*$F206,($E206-$H206)*$F206))</f>
        <v/>
      </c>
      <c r="J206" s="4" t="n">
        <v>316.19</v>
      </c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inlineStr">
        <is>
          <t>DHAN-221260923710209</t>
        </is>
      </c>
      <c r="B207" s="23" t="inlineStr">
        <is>
          <t>MUKANDLTD</t>
        </is>
      </c>
      <c r="C207" s="23" t="inlineStr">
        <is>
          <t>LONG</t>
        </is>
      </c>
      <c r="D207" s="24" t="n">
        <v>46288</v>
      </c>
      <c r="E207" s="25" t="n">
        <v>156.9292</v>
      </c>
      <c r="F207" s="26" t="n">
        <v>1059</v>
      </c>
      <c r="G207" s="24" t="n">
        <v>46289</v>
      </c>
      <c r="H207" s="25" t="n">
        <v>156.75</v>
      </c>
      <c r="I207" s="21">
        <f>IF(OR($B207="",$H207=""),"",IF($C207="LONG",($H207-$E207)*$F207,($E207-$H207)*$F207))</f>
        <v/>
      </c>
      <c r="J207" s="4" t="n">
        <v>319.03</v>
      </c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inlineStr">
        <is>
          <t>DHAN-34126092398809</t>
        </is>
      </c>
      <c r="B208" s="23" t="inlineStr">
        <is>
          <t>ONEPOINT</t>
        </is>
      </c>
      <c r="C208" s="23" t="inlineStr">
        <is>
          <t>LONG</t>
        </is>
      </c>
      <c r="D208" s="24" t="n">
        <v>46288</v>
      </c>
      <c r="E208" s="25" t="n">
        <v>68.3674</v>
      </c>
      <c r="F208" s="26" t="n">
        <v>2439</v>
      </c>
      <c r="G208" s="24" t="n">
        <v>46289</v>
      </c>
      <c r="H208" s="25" t="n">
        <v>71.39</v>
      </c>
      <c r="I208" s="21">
        <f>IF(OR($B208="",$H208=""),"",IF($C208="LONG",($H208-$E208)*$F208,($E208-$H208)*$F208))</f>
        <v/>
      </c>
      <c r="J208" s="4" t="n">
        <v>360.24</v>
      </c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inlineStr">
        <is>
          <t>DHAN-22126092353109</t>
        </is>
      </c>
      <c r="B209" s="23" t="inlineStr">
        <is>
          <t>PACEDIGITK</t>
        </is>
      </c>
      <c r="C209" s="23" t="inlineStr">
        <is>
          <t>SHORT</t>
        </is>
      </c>
      <c r="D209" s="24" t="n">
        <v>46288</v>
      </c>
      <c r="E209" s="25" t="n">
        <v>170.48</v>
      </c>
      <c r="F209" s="26" t="n">
        <v>1482</v>
      </c>
      <c r="G209" s="24" t="n">
        <v>46288</v>
      </c>
      <c r="H209" s="25" t="n">
        <v>169.7</v>
      </c>
      <c r="I209" s="21">
        <f>IF(OR($B209="",$H209=""),"",IF($C209="LONG",($H209-$E209)*$F209,($E209-$H209)*$F209))</f>
        <v/>
      </c>
      <c r="J209" s="4" t="n">
        <v>365.31</v>
      </c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inlineStr">
        <is>
          <t>DHAN-321260923455309</t>
        </is>
      </c>
      <c r="B210" s="23" t="inlineStr">
        <is>
          <t>PROTEAN</t>
        </is>
      </c>
      <c r="C210" s="23" t="inlineStr">
        <is>
          <t>SHORT</t>
        </is>
      </c>
      <c r="D210" s="24" t="n">
        <v>46288</v>
      </c>
      <c r="E210" s="25" t="n">
        <v>607.0599999999999</v>
      </c>
      <c r="F210" s="26" t="n">
        <v>403</v>
      </c>
      <c r="G210" s="24" t="n">
        <v>46288</v>
      </c>
      <c r="H210" s="25" t="n">
        <v>633.91</v>
      </c>
      <c r="I210" s="21">
        <f>IF(OR($B210="",$H210=""),"",IF($C210="LONG",($H210-$E210)*$F210,($E210-$H210)*$F210))</f>
        <v/>
      </c>
      <c r="J210" s="4" t="n">
        <v>298.29</v>
      </c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inlineStr">
        <is>
          <t>DHAN-221260923710309</t>
        </is>
      </c>
      <c r="B211" s="23" t="inlineStr">
        <is>
          <t>RAYMONDREL</t>
        </is>
      </c>
      <c r="C211" s="23" t="inlineStr">
        <is>
          <t>LONG</t>
        </is>
      </c>
      <c r="D211" s="24" t="n">
        <v>46288</v>
      </c>
      <c r="E211" s="25" t="n">
        <v>669.9376</v>
      </c>
      <c r="F211" s="26" t="n">
        <v>246</v>
      </c>
      <c r="G211" s="24" t="n">
        <v>46289</v>
      </c>
      <c r="H211" s="25" t="n">
        <v>677.5</v>
      </c>
      <c r="I211" s="21">
        <f>IF(OR($B211="",$H211=""),"",IF($C211="LONG",($H211-$E211)*$F211,($E211-$H211)*$F211))</f>
        <v/>
      </c>
      <c r="J211" s="4" t="n">
        <v>317.41</v>
      </c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inlineStr">
        <is>
          <t>DHAN-34126092398909</t>
        </is>
      </c>
      <c r="B212" s="23" t="inlineStr">
        <is>
          <t>RPGLIFE</t>
        </is>
      </c>
      <c r="C212" s="23" t="inlineStr">
        <is>
          <t>LONG</t>
        </is>
      </c>
      <c r="D212" s="24" t="n">
        <v>46288</v>
      </c>
      <c r="E212" s="25" t="n">
        <v>3034.4072</v>
      </c>
      <c r="F212" s="26" t="n">
        <v>55</v>
      </c>
      <c r="G212" s="24" t="n">
        <v>46289</v>
      </c>
      <c r="H212" s="25" t="n">
        <v>2940.33</v>
      </c>
      <c r="I212" s="21">
        <f>IF(OR($B212="",$H212=""),"",IF($C212="LONG",($H212-$E212)*$F212,($E212-$H212)*$F212))</f>
        <v/>
      </c>
      <c r="J212" s="4" t="n">
        <v>361.87</v>
      </c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inlineStr">
        <is>
          <t>DHAN-23126092351809</t>
        </is>
      </c>
      <c r="B213" s="23" t="inlineStr">
        <is>
          <t>STEELCAS</t>
        </is>
      </c>
      <c r="C213" s="23" t="inlineStr">
        <is>
          <t>SHORT</t>
        </is>
      </c>
      <c r="D213" s="24" t="n">
        <v>46288</v>
      </c>
      <c r="E213" s="25" t="n">
        <v>356.89</v>
      </c>
      <c r="F213" s="26" t="n">
        <v>715</v>
      </c>
      <c r="G213" s="24" t="n">
        <v>46288</v>
      </c>
      <c r="H213" s="25" t="n">
        <v>356.99</v>
      </c>
      <c r="I213" s="21">
        <f>IF(OR($B213="",$H213=""),"",IF($C213="LONG",($H213-$E213)*$F213,($E213-$H213)*$F213))</f>
        <v/>
      </c>
      <c r="J213" s="4" t="n">
        <v>305.76</v>
      </c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inlineStr">
        <is>
          <t>DHAN-23126092351709</t>
        </is>
      </c>
      <c r="B214" s="23" t="inlineStr">
        <is>
          <t>ZOTA</t>
        </is>
      </c>
      <c r="C214" s="23" t="inlineStr">
        <is>
          <t>SHORT</t>
        </is>
      </c>
      <c r="D214" s="24" t="n">
        <v>46288</v>
      </c>
      <c r="E214" s="25" t="n">
        <v>1372.09</v>
      </c>
      <c r="F214" s="26" t="n">
        <v>183</v>
      </c>
      <c r="G214" s="24" t="n">
        <v>46288</v>
      </c>
      <c r="H214" s="25" t="n">
        <v>1392.4</v>
      </c>
      <c r="I214" s="21">
        <f>IF(OR($B214="",$H214=""),"",IF($C214="LONG",($H214-$E214)*$F214,($E214-$H214)*$F214))</f>
        <v/>
      </c>
      <c r="J214" s="4" t="n">
        <v>365.6</v>
      </c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inlineStr">
        <is>
          <t>DHAN-221260924489209</t>
        </is>
      </c>
      <c r="B215" s="23" t="inlineStr">
        <is>
          <t>ARVSMART</t>
        </is>
      </c>
      <c r="C215" s="23" t="inlineStr">
        <is>
          <t>SHORT</t>
        </is>
      </c>
      <c r="D215" s="24" t="n">
        <v>46289</v>
      </c>
      <c r="E215" s="25" t="n">
        <v>627.33</v>
      </c>
      <c r="F215" s="26" t="n">
        <v>262</v>
      </c>
      <c r="G215" s="24" t="n">
        <v>46289</v>
      </c>
      <c r="H215" s="25" t="n">
        <v>624.98</v>
      </c>
      <c r="I215" s="21">
        <f>IF(OR($B215="",$H215=""),"",IF($C215="LONG",($H215-$E215)*$F215,($E215-$H215)*$F215))</f>
        <v/>
      </c>
      <c r="J215" s="4" t="n">
        <v>204.98</v>
      </c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inlineStr">
        <is>
          <t>DHAN-34126092474909</t>
        </is>
      </c>
      <c r="B216" s="23" t="inlineStr">
        <is>
          <t>AVANTEL</t>
        </is>
      </c>
      <c r="C216" s="23" t="inlineStr">
        <is>
          <t>LONG</t>
        </is>
      </c>
      <c r="D216" s="24" t="n">
        <v>46289</v>
      </c>
      <c r="E216" s="25" t="n">
        <v>155.3422</v>
      </c>
      <c r="F216" s="26" t="n">
        <v>1614</v>
      </c>
      <c r="G216" s="24" t="n">
        <v>46290</v>
      </c>
      <c r="H216" s="25" t="n">
        <v>157.11</v>
      </c>
      <c r="I216" s="21">
        <f>IF(OR($B216="",$H216=""),"",IF($C216="LONG",($H216-$E216)*$F216,($E216-$H216)*$F216))</f>
        <v/>
      </c>
      <c r="J216" s="4" t="n">
        <v>459.2</v>
      </c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inlineStr">
        <is>
          <t>DHAN-23126092413009</t>
        </is>
      </c>
      <c r="B217" s="23" t="inlineStr">
        <is>
          <t>DELTACORP</t>
        </is>
      </c>
      <c r="C217" s="23" t="inlineStr">
        <is>
          <t>SHORT</t>
        </is>
      </c>
      <c r="D217" s="24" t="n">
        <v>46289</v>
      </c>
      <c r="E217" s="25" t="n">
        <v>71.06999999999999</v>
      </c>
      <c r="F217" s="26" t="n">
        <v>2426</v>
      </c>
      <c r="G217" s="24" t="n">
        <v>46289</v>
      </c>
      <c r="H217" s="25" t="n">
        <v>72.55</v>
      </c>
      <c r="I217" s="21">
        <f>IF(OR($B217="",$H217=""),"",IF($C217="LONG",($H217-$E217)*$F217,($E217-$H217)*$F217))</f>
        <v/>
      </c>
      <c r="J217" s="4" t="n">
        <v>258.86</v>
      </c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inlineStr">
        <is>
          <t>DHAN-limit_entry_multi</t>
        </is>
      </c>
      <c r="B218" s="23" t="inlineStr">
        <is>
          <t>FRONTSP</t>
        </is>
      </c>
      <c r="C218" s="23" t="inlineStr">
        <is>
          <t>LONG</t>
        </is>
      </c>
      <c r="D218" s="24" t="n">
        <v>46289</v>
      </c>
      <c r="E218" s="25" t="n">
        <v>1515.4085</v>
      </c>
      <c r="F218" s="26" t="n">
        <v>82</v>
      </c>
      <c r="G218" s="24" t="n">
        <v>46290</v>
      </c>
      <c r="H218" s="25" t="n">
        <v>1533.8</v>
      </c>
      <c r="I218" s="21">
        <f>IF(OR($B218="",$H218=""),"",IF($C218="LONG",($H218-$E218)*$F218,($E218-$H218)*$F218))</f>
        <v/>
      </c>
      <c r="J218" s="4" t="n">
        <v>73.48999999999999</v>
      </c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inlineStr">
        <is>
          <t>DHAN-321260924470909</t>
        </is>
      </c>
      <c r="B219" s="23" t="inlineStr">
        <is>
          <t>GNA</t>
        </is>
      </c>
      <c r="C219" s="23" t="inlineStr">
        <is>
          <t>SHORT</t>
        </is>
      </c>
      <c r="D219" s="24" t="n">
        <v>46289</v>
      </c>
      <c r="E219" s="25" t="n">
        <v>634.42</v>
      </c>
      <c r="F219" s="26" t="n">
        <v>139</v>
      </c>
      <c r="G219" s="24" t="n">
        <v>46289</v>
      </c>
      <c r="H219" s="25" t="n">
        <v>622.92</v>
      </c>
      <c r="I219" s="21">
        <f>IF(OR($B219="",$H219=""),"",IF($C219="LONG",($H219-$E219)*$F219,($E219-$H219)*$F219))</f>
        <v/>
      </c>
      <c r="J219" s="4" t="n">
        <v>120.38</v>
      </c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inlineStr">
        <is>
          <t>DHAN-321260924764809</t>
        </is>
      </c>
      <c r="B220" s="23" t="inlineStr">
        <is>
          <t>GREAVESCOT</t>
        </is>
      </c>
      <c r="C220" s="23" t="inlineStr">
        <is>
          <t>LONG</t>
        </is>
      </c>
      <c r="D220" s="24" t="n">
        <v>46289</v>
      </c>
      <c r="E220" s="25" t="n">
        <v>221.6698</v>
      </c>
      <c r="F220" s="26" t="n">
        <v>1128</v>
      </c>
      <c r="G220" s="24" t="n">
        <v>46290</v>
      </c>
      <c r="H220" s="25" t="n">
        <v>223.36</v>
      </c>
      <c r="I220" s="21">
        <f>IF(OR($B220="",$H220=""),"",IF($C220="LONG",($H220-$E220)*$F220,($E220-$H220)*$F220))</f>
        <v/>
      </c>
      <c r="J220" s="4" t="n">
        <v>521.5</v>
      </c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inlineStr">
        <is>
          <t>DHAN-221260924781709</t>
        </is>
      </c>
      <c r="B221" s="23" t="inlineStr">
        <is>
          <t>INDIAGLYCO</t>
        </is>
      </c>
      <c r="C221" s="23" t="inlineStr">
        <is>
          <t>LONG</t>
        </is>
      </c>
      <c r="D221" s="24" t="n">
        <v>46289</v>
      </c>
      <c r="E221" s="25" t="n">
        <v>304.3391</v>
      </c>
      <c r="F221" s="26" t="n">
        <v>409</v>
      </c>
      <c r="G221" s="24" t="n">
        <v>46290</v>
      </c>
      <c r="H221" s="25" t="n">
        <v>308.29</v>
      </c>
      <c r="I221" s="21">
        <f>IF(OR($B221="",$H221=""),"",IF($C221="LONG",($H221-$E221)*$F221,($E221-$H221)*$F221))</f>
        <v/>
      </c>
      <c r="J221" s="4" t="n">
        <v>190.87</v>
      </c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inlineStr">
        <is>
          <t>DHAN-34126092446309</t>
        </is>
      </c>
      <c r="B222" s="23" t="inlineStr">
        <is>
          <t>JAYKAY</t>
        </is>
      </c>
      <c r="C222" s="23" t="inlineStr">
        <is>
          <t>SHORT</t>
        </is>
      </c>
      <c r="D222" s="24" t="n">
        <v>46289</v>
      </c>
      <c r="E222" s="25" t="n">
        <v>205.66</v>
      </c>
      <c r="F222" s="26" t="n">
        <v>780</v>
      </c>
      <c r="G222" s="24" t="n">
        <v>46289</v>
      </c>
      <c r="H222" s="25" t="n">
        <v>203.27</v>
      </c>
      <c r="I222" s="21">
        <f>IF(OR($B222="",$H222=""),"",IF($C222="LONG",($H222-$E222)*$F222,($E222-$H222)*$F222))</f>
        <v/>
      </c>
      <c r="J222" s="4" t="n">
        <v>200.09</v>
      </c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inlineStr">
        <is>
          <t>DHAN-34126092446409</t>
        </is>
      </c>
      <c r="B223" s="23" t="inlineStr">
        <is>
          <t>KROSS</t>
        </is>
      </c>
      <c r="C223" s="23" t="inlineStr">
        <is>
          <t>SHORT</t>
        </is>
      </c>
      <c r="D223" s="24" t="n">
        <v>46289</v>
      </c>
      <c r="E223" s="25" t="n">
        <v>273.1</v>
      </c>
      <c r="F223" s="26" t="n">
        <v>597</v>
      </c>
      <c r="G223" s="24" t="n">
        <v>46289</v>
      </c>
      <c r="H223" s="25" t="n">
        <v>270.06</v>
      </c>
      <c r="I223" s="21">
        <f>IF(OR($B223="",$H223=""),"",IF($C223="LONG",($H223-$E223)*$F223,($E223-$H223)*$F223))</f>
        <v/>
      </c>
      <c r="J223" s="4" t="n">
        <v>243.64</v>
      </c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inlineStr">
        <is>
          <t>DHAN-321260924764909</t>
        </is>
      </c>
      <c r="B224" s="23" t="inlineStr">
        <is>
          <t>KSCL</t>
        </is>
      </c>
      <c r="C224" s="23" t="inlineStr">
        <is>
          <t>LONG</t>
        </is>
      </c>
      <c r="D224" s="24" t="n">
        <v>46289</v>
      </c>
      <c r="E224" s="25" t="n">
        <v>783.6132</v>
      </c>
      <c r="F224" s="26" t="n">
        <v>319</v>
      </c>
      <c r="G224" s="24" t="n">
        <v>46290</v>
      </c>
      <c r="H224" s="25" t="n">
        <v>824.01</v>
      </c>
      <c r="I224" s="21">
        <f>IF(OR($B224="",$H224=""),"",IF($C224="LONG",($H224-$E224)*$F224,($E224-$H224)*$F224))</f>
        <v/>
      </c>
      <c r="J224" s="4" t="n">
        <v>461.32</v>
      </c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inlineStr">
        <is>
          <t>DHAN-32126092463309</t>
        </is>
      </c>
      <c r="B225" s="23" t="inlineStr">
        <is>
          <t>MUKANDLTD</t>
        </is>
      </c>
      <c r="C225" s="23" t="inlineStr">
        <is>
          <t>SHORT</t>
        </is>
      </c>
      <c r="D225" s="24" t="n">
        <v>46289</v>
      </c>
      <c r="E225" s="25" t="n">
        <v>157.54</v>
      </c>
      <c r="F225" s="26" t="n">
        <v>1059</v>
      </c>
      <c r="G225" s="24" t="n">
        <v>46289</v>
      </c>
      <c r="H225" s="25" t="n">
        <v>155.92</v>
      </c>
      <c r="I225" s="21">
        <f>IF(OR($B225="",$H225=""),"",IF($C225="LONG",($H225-$E225)*$F225,($E225-$H225)*$F225))</f>
        <v/>
      </c>
      <c r="J225" s="4" t="n">
        <v>248.07</v>
      </c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inlineStr">
        <is>
          <t>DHAN-34126092413109</t>
        </is>
      </c>
      <c r="B226" s="23" t="inlineStr">
        <is>
          <t>ONEPOINT</t>
        </is>
      </c>
      <c r="C226" s="23" t="inlineStr">
        <is>
          <t>SHORT</t>
        </is>
      </c>
      <c r="D226" s="24" t="n">
        <v>46289</v>
      </c>
      <c r="E226" s="25" t="n">
        <v>71.53</v>
      </c>
      <c r="F226" s="26" t="n">
        <v>2439</v>
      </c>
      <c r="G226" s="24" t="n">
        <v>46289</v>
      </c>
      <c r="H226" s="25" t="n">
        <v>69.06999999999999</v>
      </c>
      <c r="I226" s="21">
        <f>IF(OR($B226="",$H226=""),"",IF($C226="LONG",($H226-$E226)*$F226,($E226-$H226)*$F226))</f>
        <v/>
      </c>
      <c r="J226" s="4" t="n">
        <v>213.84</v>
      </c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inlineStr">
        <is>
          <t>DHAN-34126092475009</t>
        </is>
      </c>
      <c r="B227" s="23" t="inlineStr">
        <is>
          <t>RAYMONDREL</t>
        </is>
      </c>
      <c r="C227" s="23" t="inlineStr">
        <is>
          <t>LONG</t>
        </is>
      </c>
      <c r="D227" s="24" t="n">
        <v>46289</v>
      </c>
      <c r="E227" s="25" t="n">
        <v>708.4741</v>
      </c>
      <c r="F227" s="26" t="n">
        <v>176</v>
      </c>
      <c r="G227" s="24" t="n">
        <v>46290</v>
      </c>
      <c r="H227" s="25" t="n">
        <v>713.5029</v>
      </c>
      <c r="I227" s="21">
        <f>IF(OR($B227="",$H227=""),"",IF($C227="LONG",($H227-$E227)*$F227,($E227-$H227)*$F227))</f>
        <v/>
      </c>
      <c r="J227" s="4" t="n">
        <v>43.01</v>
      </c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inlineStr">
        <is>
          <t>DHAN-23126092413109</t>
        </is>
      </c>
      <c r="B228" s="23" t="inlineStr">
        <is>
          <t>RAYMONDREL</t>
        </is>
      </c>
      <c r="C228" s="23" t="inlineStr">
        <is>
          <t>SHORT</t>
        </is>
      </c>
      <c r="D228" s="24" t="n">
        <v>46289</v>
      </c>
      <c r="E228" s="25" t="n">
        <v>677.0599999999999</v>
      </c>
      <c r="F228" s="26" t="n">
        <v>246</v>
      </c>
      <c r="G228" s="24" t="n">
        <v>46289</v>
      </c>
      <c r="H228" s="25" t="n">
        <v>704</v>
      </c>
      <c r="I228" s="21">
        <f>IF(OR($B228="",$H228=""),"",IF($C228="LONG",($H228-$E228)*$F228,($E228-$H228)*$F228))</f>
        <v/>
      </c>
      <c r="J228" s="4" t="n">
        <v>190.03</v>
      </c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inlineStr">
        <is>
          <t>DHAN-221260924489309</t>
        </is>
      </c>
      <c r="B229" s="23" t="inlineStr">
        <is>
          <t>RPGLIFE</t>
        </is>
      </c>
      <c r="C229" s="23" t="inlineStr">
        <is>
          <t>SHORT</t>
        </is>
      </c>
      <c r="D229" s="24" t="n">
        <v>46289</v>
      </c>
      <c r="E229" s="25" t="n">
        <v>2938.97</v>
      </c>
      <c r="F229" s="26" t="n">
        <v>55</v>
      </c>
      <c r="G229" s="24" t="n">
        <v>46289</v>
      </c>
      <c r="H229" s="25" t="n">
        <v>2914.96</v>
      </c>
      <c r="I229" s="21">
        <f>IF(OR($B229="",$H229=""),"",IF($C229="LONG",($H229-$E229)*$F229,($E229-$H229)*$F229))</f>
        <v/>
      </c>
      <c r="J229" s="4" t="n">
        <v>201.68</v>
      </c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inlineStr">
        <is>
          <t>DHAN-34126092552909</t>
        </is>
      </c>
      <c r="B230" s="23" t="inlineStr">
        <is>
          <t>AVANTEL</t>
        </is>
      </c>
      <c r="C230" s="23" t="inlineStr">
        <is>
          <t>SHORT</t>
        </is>
      </c>
      <c r="D230" s="24" t="n">
        <v>46290</v>
      </c>
      <c r="E230" s="25" t="n">
        <v>157.03</v>
      </c>
      <c r="F230" s="26" t="n">
        <v>1614</v>
      </c>
      <c r="G230" s="24" t="n">
        <v>46290</v>
      </c>
      <c r="H230" s="25" t="n">
        <v>156.4</v>
      </c>
      <c r="I230" s="21">
        <f>IF(OR($B230="",$H230=""),"",IF($C230="LONG",($H230-$E230)*$F230,($E230-$H230)*$F230))</f>
        <v/>
      </c>
      <c r="J230" s="4" t="n">
        <v>366.54</v>
      </c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inlineStr">
        <is>
          <t>DHAN-limit_entry_multi</t>
        </is>
      </c>
      <c r="B231" s="23" t="inlineStr">
        <is>
          <t>BHAGERIA</t>
        </is>
      </c>
      <c r="C231" s="23" t="inlineStr">
        <is>
          <t>LONG</t>
        </is>
      </c>
      <c r="D231" s="24" t="n">
        <v>46290</v>
      </c>
      <c r="E231" s="25" t="n">
        <v>394.528</v>
      </c>
      <c r="F231" s="26" t="n">
        <v>316</v>
      </c>
      <c r="G231" s="24" t="inlineStr"/>
      <c r="H231" s="25" t="inlineStr"/>
      <c r="I231" s="21">
        <f>IF(OR($B231="",$H231=""),"",IF($C231="LONG",($H231-$E231)*$F231,($E231-$H231)*$F231))</f>
        <v/>
      </c>
      <c r="J231" s="4" t="n">
        <v>14.75</v>
      </c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inlineStr">
        <is>
          <t>DHAN-321260925638609</t>
        </is>
      </c>
      <c r="B232" s="23" t="inlineStr">
        <is>
          <t>DELTACORP</t>
        </is>
      </c>
      <c r="C232" s="23" t="inlineStr">
        <is>
          <t>LONG</t>
        </is>
      </c>
      <c r="D232" s="24" t="n">
        <v>46290</v>
      </c>
      <c r="E232" s="25" t="n">
        <v>76.9342</v>
      </c>
      <c r="F232" s="26" t="n">
        <v>3254</v>
      </c>
      <c r="G232" s="24" t="inlineStr"/>
      <c r="H232" s="25" t="inlineStr"/>
      <c r="I232" s="21">
        <f>IF(OR($B232="",$H232=""),"",IF($C232="LONG",($H232-$E232)*$F232,($E232-$H232)*$F232))</f>
        <v/>
      </c>
      <c r="J232" s="4" t="n">
        <v>478.29</v>
      </c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inlineStr">
        <is>
          <t>DHAN-22126092551109</t>
        </is>
      </c>
      <c r="B233" s="23" t="inlineStr">
        <is>
          <t>GREAVESCOT</t>
        </is>
      </c>
      <c r="C233" s="23" t="inlineStr">
        <is>
          <t>SHORT</t>
        </is>
      </c>
      <c r="D233" s="24" t="n">
        <v>46290</v>
      </c>
      <c r="E233" s="25" t="n">
        <v>222.61</v>
      </c>
      <c r="F233" s="26" t="n">
        <v>1128</v>
      </c>
      <c r="G233" s="24" t="n">
        <v>46290</v>
      </c>
      <c r="H233" s="25" t="n">
        <v>233.98</v>
      </c>
      <c r="I233" s="21">
        <f>IF(OR($B233="",$H233=""),"",IF($C233="LONG",($H233-$E233)*$F233,($E233-$H233)*$F233))</f>
        <v/>
      </c>
      <c r="J233" s="4" t="n">
        <v>306.44</v>
      </c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inlineStr">
        <is>
          <t>DHAN-32126092550109</t>
        </is>
      </c>
      <c r="B234" s="23" t="inlineStr">
        <is>
          <t>INDIAGLYCO</t>
        </is>
      </c>
      <c r="C234" s="23" t="inlineStr">
        <is>
          <t>SHORT</t>
        </is>
      </c>
      <c r="D234" s="24" t="n">
        <v>46290</v>
      </c>
      <c r="E234" s="25" t="n">
        <v>308</v>
      </c>
      <c r="F234" s="26" t="n">
        <v>409</v>
      </c>
      <c r="G234" s="24" t="n">
        <v>46290</v>
      </c>
      <c r="H234" s="25" t="n">
        <v>308.52</v>
      </c>
      <c r="I234" s="21">
        <f>IF(OR($B234="",$H234=""),"",IF($C234="LONG",($H234-$E234)*$F234,($E234-$H234)*$F234))</f>
        <v/>
      </c>
      <c r="J234" s="4" t="n">
        <v>194.42</v>
      </c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inlineStr">
        <is>
          <t>DHAN-32126092550209</t>
        </is>
      </c>
      <c r="B235" s="23" t="inlineStr">
        <is>
          <t>KSCL</t>
        </is>
      </c>
      <c r="C235" s="23" t="inlineStr">
        <is>
          <t>SHORT</t>
        </is>
      </c>
      <c r="D235" s="24" t="n">
        <v>46290</v>
      </c>
      <c r="E235" s="25" t="n">
        <v>826.46</v>
      </c>
      <c r="F235" s="26" t="n">
        <v>319</v>
      </c>
      <c r="G235" s="24" t="n">
        <v>46290</v>
      </c>
      <c r="H235" s="25" t="n">
        <v>785.15</v>
      </c>
      <c r="I235" s="21">
        <f>IF(OR($B235="",$H235=""),"",IF($C235="LONG",($H235-$E235)*$F235,($E235-$H235)*$F235))</f>
        <v/>
      </c>
      <c r="J235" s="4" t="n">
        <v>374.42</v>
      </c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inlineStr">
        <is>
          <t>DHAN-limit_entry_multi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inlineStr"/>
      <c r="H236" s="25" t="inlineStr"/>
      <c r="I236" s="21">
        <f>IF(OR($B236="",$H236=""),"",IF($C236="LONG",($H236-$E236)*$F236,($E236-$H236)*$F236))</f>
        <v/>
      </c>
      <c r="J236" s="4" t="n">
        <v>61.09</v>
      </c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inlineStr"/>
      <c r="H237" s="25" t="inlineStr"/>
      <c r="I237" s="21">
        <f>IF(OR($B237="",$H237=""),"",IF($C237="LONG",($H237-$E237)*$F237,($E237-$H237)*$F237))</f>
        <v/>
      </c>
      <c r="J237" s="4" t="n">
        <v>475.34</v>
      </c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inlineStr">
        <is>
          <t>DHAN-limit_entry_multi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inlineStr"/>
      <c r="H238" s="25" t="inlineStr"/>
      <c r="I238" s="21">
        <f>IF(OR($B238="",$H238=""),"",IF($C238="LONG",($H238-$E238)*$F238,($E238-$H238)*$F238))</f>
        <v/>
      </c>
      <c r="J238" s="4" t="n">
        <v>61.09</v>
      </c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inlineStr"/>
      <c r="H239" s="25" t="inlineStr"/>
      <c r="I239" s="21">
        <f>IF(OR($B239="",$H239=""),"",IF($C239="LONG",($H239-$E239)*$F239,($E239-$H239)*$F239))</f>
        <v/>
      </c>
      <c r="J239" s="4" t="n">
        <v>473.16</v>
      </c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EIEL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EMUDHRA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FILATEX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FMGOETZE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FOSECOIND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FRONTSP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GKENERGY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GNA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GNRL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GOCLCORP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GOPAL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GRAUWEIL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GREAVESCOT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GUJTHEM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HERITGFOOD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HIKAL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HINDOILEXP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HUBTOWN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INDIAGLYCO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INDNIPPON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INDOCO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INDORAMA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IPL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JASH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JAYKAY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JGCHEM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KCP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KIRIINDUS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KIRLOSIND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KLBRENG-B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KROSS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KSCL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KSL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LUXIND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MAITHANALL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MANGLMCEM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MASTEK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MOBIKWIK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MUKANDLTD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NETWORK18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NILKAMAL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NORTHARC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NOVARTIND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NPST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NRBBEARING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OMAXE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ONEPOINT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OPTIEMUS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ORIENTHOT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PACEDIGITK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PITTIENG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PROTEAN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QUADFUTURE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RACLGEAR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RAMRAT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RAYMOND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RAYMONDREL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REFEX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RESPONIND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RML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ROSSTECH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RPGLIFE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27" t="inlineStr">
        <is>
          <t>SAATVIKGL</t>
        </is>
      </c>
      <c r="B82" s="20">
        <f>COUNTIF('Trade Log'!$B$4:$B$503,$A82)</f>
        <v/>
      </c>
      <c r="C82" s="20">
        <f>COUNTIFS('Trade Log'!$B$4:$B$503,$A82,'Trade Log'!$K$4:$K$503,"&gt;0")</f>
        <v/>
      </c>
      <c r="D82" s="20">
        <f>COUNTIFS('Trade Log'!$B$4:$B$503,$A82,'Trade Log'!$K$4:$K$503,"&lt;0")</f>
        <v/>
      </c>
      <c r="E82" s="29">
        <f>IFERROR($C82/$B82,"")</f>
        <v/>
      </c>
      <c r="F82" s="21">
        <f>SUMIF('Trade Log'!$B$4:$B$503,$A82,'Trade Log'!$I$4:$I$503)</f>
        <v/>
      </c>
      <c r="G82" s="21">
        <f>SUMIF('Trade Log'!$B$4:$B$503,$A82,'Trade Log'!$K$4:$K$503)</f>
        <v/>
      </c>
      <c r="H82" s="21">
        <f>IFERROR($G82/$B82,"")</f>
        <v/>
      </c>
      <c r="I82" s="21">
        <f>IFERROR(_xlfn.MAXIFS('Trade Log'!$K$4:$K$503,'Trade Log'!$B$4:$B$503,$A82),"")</f>
        <v/>
      </c>
      <c r="J82" s="21">
        <f>IFERROR(_xlfn.MINIFS('Trade Log'!$K$4:$K$503,'Trade Log'!$B$4:$B$503,$A82),"")</f>
        <v/>
      </c>
    </row>
    <row r="83">
      <c r="A83" s="27" t="inlineStr">
        <is>
          <t>SAKAR</t>
        </is>
      </c>
      <c r="B83" s="20">
        <f>COUNTIF('Trade Log'!$B$4:$B$503,$A83)</f>
        <v/>
      </c>
      <c r="C83" s="20">
        <f>COUNTIFS('Trade Log'!$B$4:$B$503,$A83,'Trade Log'!$K$4:$K$503,"&gt;0")</f>
        <v/>
      </c>
      <c r="D83" s="20">
        <f>COUNTIFS('Trade Log'!$B$4:$B$503,$A83,'Trade Log'!$K$4:$K$503,"&lt;0")</f>
        <v/>
      </c>
      <c r="E83" s="29">
        <f>IFERROR($C83/$B83,"")</f>
        <v/>
      </c>
      <c r="F83" s="21">
        <f>SUMIF('Trade Log'!$B$4:$B$503,$A83,'Trade Log'!$I$4:$I$503)</f>
        <v/>
      </c>
      <c r="G83" s="21">
        <f>SUMIF('Trade Log'!$B$4:$B$503,$A83,'Trade Log'!$K$4:$K$503)</f>
        <v/>
      </c>
      <c r="H83" s="21">
        <f>IFERROR($G83/$B83,"")</f>
        <v/>
      </c>
      <c r="I83" s="21">
        <f>IFERROR(_xlfn.MAXIFS('Trade Log'!$K$4:$K$503,'Trade Log'!$B$4:$B$503,$A83),"")</f>
        <v/>
      </c>
      <c r="J83" s="21">
        <f>IFERROR(_xlfn.MINIFS('Trade Log'!$K$4:$K$503,'Trade Log'!$B$4:$B$503,$A83),"")</f>
        <v/>
      </c>
    </row>
    <row r="84">
      <c r="A84" s="27" t="inlineStr">
        <is>
          <t>SAMBHV</t>
        </is>
      </c>
      <c r="B84" s="20">
        <f>COUNTIF('Trade Log'!$B$4:$B$503,$A84)</f>
        <v/>
      </c>
      <c r="C84" s="20">
        <f>COUNTIFS('Trade Log'!$B$4:$B$503,$A84,'Trade Log'!$K$4:$K$503,"&gt;0")</f>
        <v/>
      </c>
      <c r="D84" s="20">
        <f>COUNTIFS('Trade Log'!$B$4:$B$503,$A84,'Trade Log'!$K$4:$K$503,"&lt;0")</f>
        <v/>
      </c>
      <c r="E84" s="29">
        <f>IFERROR($C84/$B84,"")</f>
        <v/>
      </c>
      <c r="F84" s="21">
        <f>SUMIF('Trade Log'!$B$4:$B$503,$A84,'Trade Log'!$I$4:$I$503)</f>
        <v/>
      </c>
      <c r="G84" s="21">
        <f>SUMIF('Trade Log'!$B$4:$B$503,$A84,'Trade Log'!$K$4:$K$503)</f>
        <v/>
      </c>
      <c r="H84" s="21">
        <f>IFERROR($G84/$B84,"")</f>
        <v/>
      </c>
      <c r="I84" s="21">
        <f>IFERROR(_xlfn.MAXIFS('Trade Log'!$K$4:$K$503,'Trade Log'!$B$4:$B$503,$A84),"")</f>
        <v/>
      </c>
      <c r="J84" s="21">
        <f>IFERROR(_xlfn.MINIFS('Trade Log'!$K$4:$K$503,'Trade Log'!$B$4:$B$503,$A84),"")</f>
        <v/>
      </c>
    </row>
    <row r="85">
      <c r="A85" s="27" t="inlineStr">
        <is>
          <t>SAMHI</t>
        </is>
      </c>
      <c r="B85" s="20">
        <f>COUNTIF('Trade Log'!$B$4:$B$503,$A85)</f>
        <v/>
      </c>
      <c r="C85" s="20">
        <f>COUNTIFS('Trade Log'!$B$4:$B$503,$A85,'Trade Log'!$K$4:$K$503,"&gt;0")</f>
        <v/>
      </c>
      <c r="D85" s="20">
        <f>COUNTIFS('Trade Log'!$B$4:$B$503,$A85,'Trade Log'!$K$4:$K$503,"&lt;0")</f>
        <v/>
      </c>
      <c r="E85" s="29">
        <f>IFERROR($C85/$B85,"")</f>
        <v/>
      </c>
      <c r="F85" s="21">
        <f>SUMIF('Trade Log'!$B$4:$B$503,$A85,'Trade Log'!$I$4:$I$503)</f>
        <v/>
      </c>
      <c r="G85" s="21">
        <f>SUMIF('Trade Log'!$B$4:$B$503,$A85,'Trade Log'!$K$4:$K$503)</f>
        <v/>
      </c>
      <c r="H85" s="21">
        <f>IFERROR($G85/$B85,"")</f>
        <v/>
      </c>
      <c r="I85" s="21">
        <f>IFERROR(_xlfn.MAXIFS('Trade Log'!$K$4:$K$503,'Trade Log'!$B$4:$B$503,$A85),"")</f>
        <v/>
      </c>
      <c r="J85" s="21">
        <f>IFERROR(_xlfn.MINIFS('Trade Log'!$K$4:$K$503,'Trade Log'!$B$4:$B$503,$A85),"")</f>
        <v/>
      </c>
    </row>
    <row r="86">
      <c r="A86" s="27" t="inlineStr">
        <is>
          <t>SANGAMIND</t>
        </is>
      </c>
      <c r="B86" s="20">
        <f>COUNTIF('Trade Log'!$B$4:$B$503,$A86)</f>
        <v/>
      </c>
      <c r="C86" s="20">
        <f>COUNTIFS('Trade Log'!$B$4:$B$503,$A86,'Trade Log'!$K$4:$K$503,"&gt;0")</f>
        <v/>
      </c>
      <c r="D86" s="20">
        <f>COUNTIFS('Trade Log'!$B$4:$B$503,$A86,'Trade Log'!$K$4:$K$503,"&lt;0")</f>
        <v/>
      </c>
      <c r="E86" s="29">
        <f>IFERROR($C86/$B86,"")</f>
        <v/>
      </c>
      <c r="F86" s="21">
        <f>SUMIF('Trade Log'!$B$4:$B$503,$A86,'Trade Log'!$I$4:$I$503)</f>
        <v/>
      </c>
      <c r="G86" s="21">
        <f>SUMIF('Trade Log'!$B$4:$B$503,$A86,'Trade Log'!$K$4:$K$503)</f>
        <v/>
      </c>
      <c r="H86" s="21">
        <f>IFERROR($G86/$B86,"")</f>
        <v/>
      </c>
      <c r="I86" s="21">
        <f>IFERROR(_xlfn.MAXIFS('Trade Log'!$K$4:$K$503,'Trade Log'!$B$4:$B$503,$A86),"")</f>
        <v/>
      </c>
      <c r="J86" s="21">
        <f>IFERROR(_xlfn.MINIFS('Trade Log'!$K$4:$K$503,'Trade Log'!$B$4:$B$503,$A86),"")</f>
        <v/>
      </c>
    </row>
    <row r="87">
      <c r="A87" s="27" t="inlineStr">
        <is>
          <t>SHANTIGOLD</t>
        </is>
      </c>
      <c r="B87" s="20">
        <f>COUNTIF('Trade Log'!$B$4:$B$503,$A87)</f>
        <v/>
      </c>
      <c r="C87" s="20">
        <f>COUNTIFS('Trade Log'!$B$4:$B$503,$A87,'Trade Log'!$K$4:$K$503,"&gt;0")</f>
        <v/>
      </c>
      <c r="D87" s="20">
        <f>COUNTIFS('Trade Log'!$B$4:$B$503,$A87,'Trade Log'!$K$4:$K$503,"&lt;0")</f>
        <v/>
      </c>
      <c r="E87" s="29">
        <f>IFERROR($C87/$B87,"")</f>
        <v/>
      </c>
      <c r="F87" s="21">
        <f>SUMIF('Trade Log'!$B$4:$B$503,$A87,'Trade Log'!$I$4:$I$503)</f>
        <v/>
      </c>
      <c r="G87" s="21">
        <f>SUMIF('Trade Log'!$B$4:$B$503,$A87,'Trade Log'!$K$4:$K$503)</f>
        <v/>
      </c>
      <c r="H87" s="21">
        <f>IFERROR($G87/$B87,"")</f>
        <v/>
      </c>
      <c r="I87" s="21">
        <f>IFERROR(_xlfn.MAXIFS('Trade Log'!$K$4:$K$503,'Trade Log'!$B$4:$B$503,$A87),"")</f>
        <v/>
      </c>
      <c r="J87" s="21">
        <f>IFERROR(_xlfn.MINIFS('Trade Log'!$K$4:$K$503,'Trade Log'!$B$4:$B$503,$A87),"")</f>
        <v/>
      </c>
    </row>
    <row r="88">
      <c r="A88" s="27" t="inlineStr">
        <is>
          <t>SHAREINDIA</t>
        </is>
      </c>
      <c r="B88" s="20">
        <f>COUNTIF('Trade Log'!$B$4:$B$503,$A88)</f>
        <v/>
      </c>
      <c r="C88" s="20">
        <f>COUNTIFS('Trade Log'!$B$4:$B$503,$A88,'Trade Log'!$K$4:$K$503,"&gt;0")</f>
        <v/>
      </c>
      <c r="D88" s="20">
        <f>COUNTIFS('Trade Log'!$B$4:$B$503,$A88,'Trade Log'!$K$4:$K$503,"&lt;0")</f>
        <v/>
      </c>
      <c r="E88" s="29">
        <f>IFERROR($C88/$B88,"")</f>
        <v/>
      </c>
      <c r="F88" s="21">
        <f>SUMIF('Trade Log'!$B$4:$B$503,$A88,'Trade Log'!$I$4:$I$503)</f>
        <v/>
      </c>
      <c r="G88" s="21">
        <f>SUMIF('Trade Log'!$B$4:$B$503,$A88,'Trade Log'!$K$4:$K$503)</f>
        <v/>
      </c>
      <c r="H88" s="21">
        <f>IFERROR($G88/$B88,"")</f>
        <v/>
      </c>
      <c r="I88" s="21">
        <f>IFERROR(_xlfn.MAXIFS('Trade Log'!$K$4:$K$503,'Trade Log'!$B$4:$B$503,$A88),"")</f>
        <v/>
      </c>
      <c r="J88" s="21">
        <f>IFERROR(_xlfn.MINIFS('Trade Log'!$K$4:$K$503,'Trade Log'!$B$4:$B$503,$A88),"")</f>
        <v/>
      </c>
    </row>
    <row r="89">
      <c r="A89" s="27" t="inlineStr">
        <is>
          <t>SHOPERSTOP</t>
        </is>
      </c>
      <c r="B89" s="20">
        <f>COUNTIF('Trade Log'!$B$4:$B$503,$A89)</f>
        <v/>
      </c>
      <c r="C89" s="20">
        <f>COUNTIFS('Trade Log'!$B$4:$B$503,$A89,'Trade Log'!$K$4:$K$503,"&gt;0")</f>
        <v/>
      </c>
      <c r="D89" s="20">
        <f>COUNTIFS('Trade Log'!$B$4:$B$503,$A89,'Trade Log'!$K$4:$K$503,"&lt;0")</f>
        <v/>
      </c>
      <c r="E89" s="29">
        <f>IFERROR($C89/$B89,"")</f>
        <v/>
      </c>
      <c r="F89" s="21">
        <f>SUMIF('Trade Log'!$B$4:$B$503,$A89,'Trade Log'!$I$4:$I$503)</f>
        <v/>
      </c>
      <c r="G89" s="21">
        <f>SUMIF('Trade Log'!$B$4:$B$503,$A89,'Trade Log'!$K$4:$K$503)</f>
        <v/>
      </c>
      <c r="H89" s="21">
        <f>IFERROR($G89/$B89,"")</f>
        <v/>
      </c>
      <c r="I89" s="21">
        <f>IFERROR(_xlfn.MAXIFS('Trade Log'!$K$4:$K$503,'Trade Log'!$B$4:$B$503,$A89),"")</f>
        <v/>
      </c>
      <c r="J89" s="21">
        <f>IFERROR(_xlfn.MINIFS('Trade Log'!$K$4:$K$503,'Trade Log'!$B$4:$B$503,$A89),"")</f>
        <v/>
      </c>
    </row>
    <row r="90">
      <c r="A90" s="27" t="inlineStr">
        <is>
          <t>SIKA</t>
        </is>
      </c>
      <c r="B90" s="20">
        <f>COUNTIF('Trade Log'!$B$4:$B$503,$A90)</f>
        <v/>
      </c>
      <c r="C90" s="20">
        <f>COUNTIFS('Trade Log'!$B$4:$B$503,$A90,'Trade Log'!$K$4:$K$503,"&gt;0")</f>
        <v/>
      </c>
      <c r="D90" s="20">
        <f>COUNTIFS('Trade Log'!$B$4:$B$503,$A90,'Trade Log'!$K$4:$K$503,"&lt;0")</f>
        <v/>
      </c>
      <c r="E90" s="29">
        <f>IFERROR($C90/$B90,"")</f>
        <v/>
      </c>
      <c r="F90" s="21">
        <f>SUMIF('Trade Log'!$B$4:$B$503,$A90,'Trade Log'!$I$4:$I$503)</f>
        <v/>
      </c>
      <c r="G90" s="21">
        <f>SUMIF('Trade Log'!$B$4:$B$503,$A90,'Trade Log'!$K$4:$K$503)</f>
        <v/>
      </c>
      <c r="H90" s="21">
        <f>IFERROR($G90/$B90,"")</f>
        <v/>
      </c>
      <c r="I90" s="21">
        <f>IFERROR(_xlfn.MAXIFS('Trade Log'!$K$4:$K$503,'Trade Log'!$B$4:$B$503,$A90),"")</f>
        <v/>
      </c>
      <c r="J90" s="21">
        <f>IFERROR(_xlfn.MINIFS('Trade Log'!$K$4:$K$503,'Trade Log'!$B$4:$B$503,$A90),"")</f>
        <v/>
      </c>
    </row>
    <row r="91">
      <c r="A91" s="27" t="inlineStr">
        <is>
          <t>SINDHUTRAD</t>
        </is>
      </c>
      <c r="B91" s="20">
        <f>COUNTIF('Trade Log'!$B$4:$B$503,$A91)</f>
        <v/>
      </c>
      <c r="C91" s="20">
        <f>COUNTIFS('Trade Log'!$B$4:$B$503,$A91,'Trade Log'!$K$4:$K$503,"&gt;0")</f>
        <v/>
      </c>
      <c r="D91" s="20">
        <f>COUNTIFS('Trade Log'!$B$4:$B$503,$A91,'Trade Log'!$K$4:$K$503,"&lt;0")</f>
        <v/>
      </c>
      <c r="E91" s="29">
        <f>IFERROR($C91/$B91,"")</f>
        <v/>
      </c>
      <c r="F91" s="21">
        <f>SUMIF('Trade Log'!$B$4:$B$503,$A91,'Trade Log'!$I$4:$I$503)</f>
        <v/>
      </c>
      <c r="G91" s="21">
        <f>SUMIF('Trade Log'!$B$4:$B$503,$A91,'Trade Log'!$K$4:$K$503)</f>
        <v/>
      </c>
      <c r="H91" s="21">
        <f>IFERROR($G91/$B91,"")</f>
        <v/>
      </c>
      <c r="I91" s="21">
        <f>IFERROR(_xlfn.MAXIFS('Trade Log'!$K$4:$K$503,'Trade Log'!$B$4:$B$503,$A91),"")</f>
        <v/>
      </c>
      <c r="J91" s="21">
        <f>IFERROR(_xlfn.MINIFS('Trade Log'!$K$4:$K$503,'Trade Log'!$B$4:$B$503,$A91),"")</f>
        <v/>
      </c>
    </row>
    <row r="92">
      <c r="A92" s="27" t="inlineStr">
        <is>
          <t>SMSPHARMA</t>
        </is>
      </c>
      <c r="B92" s="20">
        <f>COUNTIF('Trade Log'!$B$4:$B$503,$A92)</f>
        <v/>
      </c>
      <c r="C92" s="20">
        <f>COUNTIFS('Trade Log'!$B$4:$B$503,$A92,'Trade Log'!$K$4:$K$503,"&gt;0")</f>
        <v/>
      </c>
      <c r="D92" s="20">
        <f>COUNTIFS('Trade Log'!$B$4:$B$503,$A92,'Trade Log'!$K$4:$K$503,"&lt;0")</f>
        <v/>
      </c>
      <c r="E92" s="29">
        <f>IFERROR($C92/$B92,"")</f>
        <v/>
      </c>
      <c r="F92" s="21">
        <f>SUMIF('Trade Log'!$B$4:$B$503,$A92,'Trade Log'!$I$4:$I$503)</f>
        <v/>
      </c>
      <c r="G92" s="21">
        <f>SUMIF('Trade Log'!$B$4:$B$503,$A92,'Trade Log'!$K$4:$K$503)</f>
        <v/>
      </c>
      <c r="H92" s="21">
        <f>IFERROR($G92/$B92,"")</f>
        <v/>
      </c>
      <c r="I92" s="21">
        <f>IFERROR(_xlfn.MAXIFS('Trade Log'!$K$4:$K$503,'Trade Log'!$B$4:$B$503,$A92),"")</f>
        <v/>
      </c>
      <c r="J92" s="21">
        <f>IFERROR(_xlfn.MINIFS('Trade Log'!$K$4:$K$503,'Trade Log'!$B$4:$B$503,$A92),"")</f>
        <v/>
      </c>
    </row>
    <row r="93">
      <c r="A93" s="27" t="inlineStr">
        <is>
          <t>SOLARA</t>
        </is>
      </c>
      <c r="B93" s="20">
        <f>COUNTIF('Trade Log'!$B$4:$B$503,$A93)</f>
        <v/>
      </c>
      <c r="C93" s="20">
        <f>COUNTIFS('Trade Log'!$B$4:$B$503,$A93,'Trade Log'!$K$4:$K$503,"&gt;0")</f>
        <v/>
      </c>
      <c r="D93" s="20">
        <f>COUNTIFS('Trade Log'!$B$4:$B$503,$A93,'Trade Log'!$K$4:$K$503,"&lt;0")</f>
        <v/>
      </c>
      <c r="E93" s="29">
        <f>IFERROR($C93/$B93,"")</f>
        <v/>
      </c>
      <c r="F93" s="21">
        <f>SUMIF('Trade Log'!$B$4:$B$503,$A93,'Trade Log'!$I$4:$I$503)</f>
        <v/>
      </c>
      <c r="G93" s="21">
        <f>SUMIF('Trade Log'!$B$4:$B$503,$A93,'Trade Log'!$K$4:$K$503)</f>
        <v/>
      </c>
      <c r="H93" s="21">
        <f>IFERROR($G93/$B93,"")</f>
        <v/>
      </c>
      <c r="I93" s="21">
        <f>IFERROR(_xlfn.MAXIFS('Trade Log'!$K$4:$K$503,'Trade Log'!$B$4:$B$503,$A93),"")</f>
        <v/>
      </c>
      <c r="J93" s="21">
        <f>IFERROR(_xlfn.MINIFS('Trade Log'!$K$4:$K$503,'Trade Log'!$B$4:$B$503,$A93),"")</f>
        <v/>
      </c>
    </row>
    <row r="94">
      <c r="A94" s="27" t="inlineStr">
        <is>
          <t>SOTL</t>
        </is>
      </c>
      <c r="B94" s="20">
        <f>COUNTIF('Trade Log'!$B$4:$B$503,$A94)</f>
        <v/>
      </c>
      <c r="C94" s="20">
        <f>COUNTIFS('Trade Log'!$B$4:$B$503,$A94,'Trade Log'!$K$4:$K$503,"&gt;0")</f>
        <v/>
      </c>
      <c r="D94" s="20">
        <f>COUNTIFS('Trade Log'!$B$4:$B$503,$A94,'Trade Log'!$K$4:$K$503,"&lt;0")</f>
        <v/>
      </c>
      <c r="E94" s="29">
        <f>IFERROR($C94/$B94,"")</f>
        <v/>
      </c>
      <c r="F94" s="21">
        <f>SUMIF('Trade Log'!$B$4:$B$503,$A94,'Trade Log'!$I$4:$I$503)</f>
        <v/>
      </c>
      <c r="G94" s="21">
        <f>SUMIF('Trade Log'!$B$4:$B$503,$A94,'Trade Log'!$K$4:$K$503)</f>
        <v/>
      </c>
      <c r="H94" s="21">
        <f>IFERROR($G94/$B94,"")</f>
        <v/>
      </c>
      <c r="I94" s="21">
        <f>IFERROR(_xlfn.MAXIFS('Trade Log'!$K$4:$K$503,'Trade Log'!$B$4:$B$503,$A94),"")</f>
        <v/>
      </c>
      <c r="J94" s="21">
        <f>IFERROR(_xlfn.MINIFS('Trade Log'!$K$4:$K$503,'Trade Log'!$B$4:$B$503,$A94),"")</f>
        <v/>
      </c>
    </row>
    <row r="95">
      <c r="A95" s="27" t="inlineStr">
        <is>
          <t>SSWL</t>
        </is>
      </c>
      <c r="B95" s="20">
        <f>COUNTIF('Trade Log'!$B$4:$B$503,$A95)</f>
        <v/>
      </c>
      <c r="C95" s="20">
        <f>COUNTIFS('Trade Log'!$B$4:$B$503,$A95,'Trade Log'!$K$4:$K$503,"&gt;0")</f>
        <v/>
      </c>
      <c r="D95" s="20">
        <f>COUNTIFS('Trade Log'!$B$4:$B$503,$A95,'Trade Log'!$K$4:$K$503,"&lt;0")</f>
        <v/>
      </c>
      <c r="E95" s="29">
        <f>IFERROR($C95/$B95,"")</f>
        <v/>
      </c>
      <c r="F95" s="21">
        <f>SUMIF('Trade Log'!$B$4:$B$503,$A95,'Trade Log'!$I$4:$I$503)</f>
        <v/>
      </c>
      <c r="G95" s="21">
        <f>SUMIF('Trade Log'!$B$4:$B$503,$A95,'Trade Log'!$K$4:$K$503)</f>
        <v/>
      </c>
      <c r="H95" s="21">
        <f>IFERROR($G95/$B95,"")</f>
        <v/>
      </c>
      <c r="I95" s="21">
        <f>IFERROR(_xlfn.MAXIFS('Trade Log'!$K$4:$K$503,'Trade Log'!$B$4:$B$503,$A95),"")</f>
        <v/>
      </c>
      <c r="J95" s="21">
        <f>IFERROR(_xlfn.MINIFS('Trade Log'!$K$4:$K$503,'Trade Log'!$B$4:$B$503,$A95),"")</f>
        <v/>
      </c>
    </row>
    <row r="96">
      <c r="A96" s="27" t="inlineStr">
        <is>
          <t>STEELCAS</t>
        </is>
      </c>
      <c r="B96" s="20">
        <f>COUNTIF('Trade Log'!$B$4:$B$503,$A96)</f>
        <v/>
      </c>
      <c r="C96" s="20">
        <f>COUNTIFS('Trade Log'!$B$4:$B$503,$A96,'Trade Log'!$K$4:$K$503,"&gt;0")</f>
        <v/>
      </c>
      <c r="D96" s="20">
        <f>COUNTIFS('Trade Log'!$B$4:$B$503,$A96,'Trade Log'!$K$4:$K$503,"&lt;0")</f>
        <v/>
      </c>
      <c r="E96" s="29">
        <f>IFERROR($C96/$B96,"")</f>
        <v/>
      </c>
      <c r="F96" s="21">
        <f>SUMIF('Trade Log'!$B$4:$B$503,$A96,'Trade Log'!$I$4:$I$503)</f>
        <v/>
      </c>
      <c r="G96" s="21">
        <f>SUMIF('Trade Log'!$B$4:$B$503,$A96,'Trade Log'!$K$4:$K$503)</f>
        <v/>
      </c>
      <c r="H96" s="21">
        <f>IFERROR($G96/$B96,"")</f>
        <v/>
      </c>
      <c r="I96" s="21">
        <f>IFERROR(_xlfn.MAXIFS('Trade Log'!$K$4:$K$503,'Trade Log'!$B$4:$B$503,$A96),"")</f>
        <v/>
      </c>
      <c r="J96" s="21">
        <f>IFERROR(_xlfn.MINIFS('Trade Log'!$K$4:$K$503,'Trade Log'!$B$4:$B$503,$A96),"")</f>
        <v/>
      </c>
    </row>
    <row r="97">
      <c r="A97" s="27" t="inlineStr">
        <is>
          <t>SYMPHONY</t>
        </is>
      </c>
      <c r="B97" s="20">
        <f>COUNTIF('Trade Log'!$B$4:$B$503,$A97)</f>
        <v/>
      </c>
      <c r="C97" s="20">
        <f>COUNTIFS('Trade Log'!$B$4:$B$503,$A97,'Trade Log'!$K$4:$K$503,"&gt;0")</f>
        <v/>
      </c>
      <c r="D97" s="20">
        <f>COUNTIFS('Trade Log'!$B$4:$B$503,$A97,'Trade Log'!$K$4:$K$503,"&lt;0")</f>
        <v/>
      </c>
      <c r="E97" s="29">
        <f>IFERROR($C97/$B97,"")</f>
        <v/>
      </c>
      <c r="F97" s="21">
        <f>SUMIF('Trade Log'!$B$4:$B$503,$A97,'Trade Log'!$I$4:$I$503)</f>
        <v/>
      </c>
      <c r="G97" s="21">
        <f>SUMIF('Trade Log'!$B$4:$B$503,$A97,'Trade Log'!$K$4:$K$503)</f>
        <v/>
      </c>
      <c r="H97" s="21">
        <f>IFERROR($G97/$B97,"")</f>
        <v/>
      </c>
      <c r="I97" s="21">
        <f>IFERROR(_xlfn.MAXIFS('Trade Log'!$K$4:$K$503,'Trade Log'!$B$4:$B$503,$A97),"")</f>
        <v/>
      </c>
      <c r="J97" s="21">
        <f>IFERROR(_xlfn.MINIFS('Trade Log'!$K$4:$K$503,'Trade Log'!$B$4:$B$503,$A97),"")</f>
        <v/>
      </c>
    </row>
    <row r="98">
      <c r="A98" s="27" t="inlineStr">
        <is>
          <t>SYNCOMF</t>
        </is>
      </c>
      <c r="B98" s="20">
        <f>COUNTIF('Trade Log'!$B$4:$B$503,$A98)</f>
        <v/>
      </c>
      <c r="C98" s="20">
        <f>COUNTIFS('Trade Log'!$B$4:$B$503,$A98,'Trade Log'!$K$4:$K$503,"&gt;0")</f>
        <v/>
      </c>
      <c r="D98" s="20">
        <f>COUNTIFS('Trade Log'!$B$4:$B$503,$A98,'Trade Log'!$K$4:$K$503,"&lt;0")</f>
        <v/>
      </c>
      <c r="E98" s="29">
        <f>IFERROR($C98/$B98,"")</f>
        <v/>
      </c>
      <c r="F98" s="21">
        <f>SUMIF('Trade Log'!$B$4:$B$503,$A98,'Trade Log'!$I$4:$I$503)</f>
        <v/>
      </c>
      <c r="G98" s="21">
        <f>SUMIF('Trade Log'!$B$4:$B$503,$A98,'Trade Log'!$K$4:$K$503)</f>
        <v/>
      </c>
      <c r="H98" s="21">
        <f>IFERROR($G98/$B98,"")</f>
        <v/>
      </c>
      <c r="I98" s="21">
        <f>IFERROR(_xlfn.MAXIFS('Trade Log'!$K$4:$K$503,'Trade Log'!$B$4:$B$503,$A98),"")</f>
        <v/>
      </c>
      <c r="J98" s="21">
        <f>IFERROR(_xlfn.MINIFS('Trade Log'!$K$4:$K$503,'Trade Log'!$B$4:$B$503,$A98),"")</f>
        <v/>
      </c>
    </row>
    <row r="99">
      <c r="A99" s="27" t="inlineStr">
        <is>
          <t>TALBROAUTO</t>
        </is>
      </c>
      <c r="B99" s="20">
        <f>COUNTIF('Trade Log'!$B$4:$B$503,$A99)</f>
        <v/>
      </c>
      <c r="C99" s="20">
        <f>COUNTIFS('Trade Log'!$B$4:$B$503,$A99,'Trade Log'!$K$4:$K$503,"&gt;0")</f>
        <v/>
      </c>
      <c r="D99" s="20">
        <f>COUNTIFS('Trade Log'!$B$4:$B$503,$A99,'Trade Log'!$K$4:$K$503,"&lt;0")</f>
        <v/>
      </c>
      <c r="E99" s="29">
        <f>IFERROR($C99/$B99,"")</f>
        <v/>
      </c>
      <c r="F99" s="21">
        <f>SUMIF('Trade Log'!$B$4:$B$503,$A99,'Trade Log'!$I$4:$I$503)</f>
        <v/>
      </c>
      <c r="G99" s="21">
        <f>SUMIF('Trade Log'!$B$4:$B$503,$A99,'Trade Log'!$K$4:$K$503)</f>
        <v/>
      </c>
      <c r="H99" s="21">
        <f>IFERROR($G99/$B99,"")</f>
        <v/>
      </c>
      <c r="I99" s="21">
        <f>IFERROR(_xlfn.MAXIFS('Trade Log'!$K$4:$K$503,'Trade Log'!$B$4:$B$503,$A99),"")</f>
        <v/>
      </c>
      <c r="J99" s="21">
        <f>IFERROR(_xlfn.MINIFS('Trade Log'!$K$4:$K$503,'Trade Log'!$B$4:$B$503,$A99),"")</f>
        <v/>
      </c>
    </row>
    <row r="100">
      <c r="A100" s="27" t="inlineStr">
        <is>
          <t>TBZ</t>
        </is>
      </c>
      <c r="B100" s="20">
        <f>COUNTIF('Trade Log'!$B$4:$B$503,$A100)</f>
        <v/>
      </c>
      <c r="C100" s="20">
        <f>COUNTIFS('Trade Log'!$B$4:$B$503,$A100,'Trade Log'!$K$4:$K$503,"&gt;0")</f>
        <v/>
      </c>
      <c r="D100" s="20">
        <f>COUNTIFS('Trade Log'!$B$4:$B$503,$A100,'Trade Log'!$K$4:$K$503,"&lt;0")</f>
        <v/>
      </c>
      <c r="E100" s="29">
        <f>IFERROR($C100/$B100,"")</f>
        <v/>
      </c>
      <c r="F100" s="21">
        <f>SUMIF('Trade Log'!$B$4:$B$503,$A100,'Trade Log'!$I$4:$I$503)</f>
        <v/>
      </c>
      <c r="G100" s="21">
        <f>SUMIF('Trade Log'!$B$4:$B$503,$A100,'Trade Log'!$K$4:$K$503)</f>
        <v/>
      </c>
      <c r="H100" s="21">
        <f>IFERROR($G100/$B100,"")</f>
        <v/>
      </c>
      <c r="I100" s="21">
        <f>IFERROR(_xlfn.MAXIFS('Trade Log'!$K$4:$K$503,'Trade Log'!$B$4:$B$503,$A100),"")</f>
        <v/>
      </c>
      <c r="J100" s="21">
        <f>IFERROR(_xlfn.MINIFS('Trade Log'!$K$4:$K$503,'Trade Log'!$B$4:$B$503,$A100),"")</f>
        <v/>
      </c>
    </row>
    <row r="101">
      <c r="A101" s="27" t="inlineStr">
        <is>
          <t>THOMASCOOK</t>
        </is>
      </c>
      <c r="B101" s="20">
        <f>COUNTIF('Trade Log'!$B$4:$B$503,$A101)</f>
        <v/>
      </c>
      <c r="C101" s="20">
        <f>COUNTIFS('Trade Log'!$B$4:$B$503,$A101,'Trade Log'!$K$4:$K$503,"&gt;0")</f>
        <v/>
      </c>
      <c r="D101" s="20">
        <f>COUNTIFS('Trade Log'!$B$4:$B$503,$A101,'Trade Log'!$K$4:$K$503,"&lt;0")</f>
        <v/>
      </c>
      <c r="E101" s="29">
        <f>IFERROR($C101/$B101,"")</f>
        <v/>
      </c>
      <c r="F101" s="21">
        <f>SUMIF('Trade Log'!$B$4:$B$503,$A101,'Trade Log'!$I$4:$I$503)</f>
        <v/>
      </c>
      <c r="G101" s="21">
        <f>SUMIF('Trade Log'!$B$4:$B$503,$A101,'Trade Log'!$K$4:$K$503)</f>
        <v/>
      </c>
      <c r="H101" s="21">
        <f>IFERROR($G101/$B101,"")</f>
        <v/>
      </c>
      <c r="I101" s="21">
        <f>IFERROR(_xlfn.MAXIFS('Trade Log'!$K$4:$K$503,'Trade Log'!$B$4:$B$503,$A101),"")</f>
        <v/>
      </c>
      <c r="J101" s="21">
        <f>IFERROR(_xlfn.MINIFS('Trade Log'!$K$4:$K$503,'Trade Log'!$B$4:$B$503,$A101),"")</f>
        <v/>
      </c>
    </row>
    <row r="102">
      <c r="A102" s="27" t="inlineStr">
        <is>
          <t>VENKEYS</t>
        </is>
      </c>
      <c r="B102" s="20">
        <f>COUNTIF('Trade Log'!$B$4:$B$503,$A102)</f>
        <v/>
      </c>
      <c r="C102" s="20">
        <f>COUNTIFS('Trade Log'!$B$4:$B$503,$A102,'Trade Log'!$K$4:$K$503,"&gt;0")</f>
        <v/>
      </c>
      <c r="D102" s="20">
        <f>COUNTIFS('Trade Log'!$B$4:$B$503,$A102,'Trade Log'!$K$4:$K$503,"&lt;0")</f>
        <v/>
      </c>
      <c r="E102" s="29">
        <f>IFERROR($C102/$B102,"")</f>
        <v/>
      </c>
      <c r="F102" s="21">
        <f>SUMIF('Trade Log'!$B$4:$B$503,$A102,'Trade Log'!$I$4:$I$503)</f>
        <v/>
      </c>
      <c r="G102" s="21">
        <f>SUMIF('Trade Log'!$B$4:$B$503,$A102,'Trade Log'!$K$4:$K$503)</f>
        <v/>
      </c>
      <c r="H102" s="21">
        <f>IFERROR($G102/$B102,"")</f>
        <v/>
      </c>
      <c r="I102" s="21">
        <f>IFERROR(_xlfn.MAXIFS('Trade Log'!$K$4:$K$503,'Trade Log'!$B$4:$B$503,$A102),"")</f>
        <v/>
      </c>
      <c r="J102" s="21">
        <f>IFERROR(_xlfn.MINIFS('Trade Log'!$K$4:$K$503,'Trade Log'!$B$4:$B$503,$A102),"")</f>
        <v/>
      </c>
    </row>
    <row r="103">
      <c r="A103" s="27" t="inlineStr">
        <is>
          <t>VENUSPIPES</t>
        </is>
      </c>
      <c r="B103" s="20">
        <f>COUNTIF('Trade Log'!$B$4:$B$503,$A103)</f>
        <v/>
      </c>
      <c r="C103" s="20">
        <f>COUNTIFS('Trade Log'!$B$4:$B$503,$A103,'Trade Log'!$K$4:$K$503,"&gt;0")</f>
        <v/>
      </c>
      <c r="D103" s="20">
        <f>COUNTIFS('Trade Log'!$B$4:$B$503,$A103,'Trade Log'!$K$4:$K$503,"&lt;0")</f>
        <v/>
      </c>
      <c r="E103" s="29">
        <f>IFERROR($C103/$B103,"")</f>
        <v/>
      </c>
      <c r="F103" s="21">
        <f>SUMIF('Trade Log'!$B$4:$B$503,$A103,'Trade Log'!$I$4:$I$503)</f>
        <v/>
      </c>
      <c r="G103" s="21">
        <f>SUMIF('Trade Log'!$B$4:$B$503,$A103,'Trade Log'!$K$4:$K$503)</f>
        <v/>
      </c>
      <c r="H103" s="21">
        <f>IFERROR($G103/$B103,"")</f>
        <v/>
      </c>
      <c r="I103" s="21">
        <f>IFERROR(_xlfn.MAXIFS('Trade Log'!$K$4:$K$503,'Trade Log'!$B$4:$B$503,$A103),"")</f>
        <v/>
      </c>
      <c r="J103" s="21">
        <f>IFERROR(_xlfn.MINIFS('Trade Log'!$K$4:$K$503,'Trade Log'!$B$4:$B$503,$A103),"")</f>
        <v/>
      </c>
    </row>
    <row r="104">
      <c r="A104" s="27" t="inlineStr">
        <is>
          <t>VERANDA</t>
        </is>
      </c>
      <c r="B104" s="20">
        <f>COUNTIF('Trade Log'!$B$4:$B$503,$A104)</f>
        <v/>
      </c>
      <c r="C104" s="20">
        <f>COUNTIFS('Trade Log'!$B$4:$B$503,$A104,'Trade Log'!$K$4:$K$503,"&gt;0")</f>
        <v/>
      </c>
      <c r="D104" s="20">
        <f>COUNTIFS('Trade Log'!$B$4:$B$503,$A104,'Trade Log'!$K$4:$K$503,"&lt;0")</f>
        <v/>
      </c>
      <c r="E104" s="29">
        <f>IFERROR($C104/$B104,"")</f>
        <v/>
      </c>
      <c r="F104" s="21">
        <f>SUMIF('Trade Log'!$B$4:$B$503,$A104,'Trade Log'!$I$4:$I$503)</f>
        <v/>
      </c>
      <c r="G104" s="21">
        <f>SUMIF('Trade Log'!$B$4:$B$503,$A104,'Trade Log'!$K$4:$K$503)</f>
        <v/>
      </c>
      <c r="H104" s="21">
        <f>IFERROR($G104/$B104,"")</f>
        <v/>
      </c>
      <c r="I104" s="21">
        <f>IFERROR(_xlfn.MAXIFS('Trade Log'!$K$4:$K$503,'Trade Log'!$B$4:$B$503,$A104),"")</f>
        <v/>
      </c>
      <c r="J104" s="21">
        <f>IFERROR(_xlfn.MINIFS('Trade Log'!$K$4:$K$503,'Trade Log'!$B$4:$B$503,$A104),"")</f>
        <v/>
      </c>
    </row>
    <row r="105">
      <c r="A105" s="27" t="inlineStr">
        <is>
          <t>VSSL</t>
        </is>
      </c>
      <c r="B105" s="20">
        <f>COUNTIF('Trade Log'!$B$4:$B$503,$A105)</f>
        <v/>
      </c>
      <c r="C105" s="20">
        <f>COUNTIFS('Trade Log'!$B$4:$B$503,$A105,'Trade Log'!$K$4:$K$503,"&gt;0")</f>
        <v/>
      </c>
      <c r="D105" s="20">
        <f>COUNTIFS('Trade Log'!$B$4:$B$503,$A105,'Trade Log'!$K$4:$K$503,"&lt;0")</f>
        <v/>
      </c>
      <c r="E105" s="29">
        <f>IFERROR($C105/$B105,"")</f>
        <v/>
      </c>
      <c r="F105" s="21">
        <f>SUMIF('Trade Log'!$B$4:$B$503,$A105,'Trade Log'!$I$4:$I$503)</f>
        <v/>
      </c>
      <c r="G105" s="21">
        <f>SUMIF('Trade Log'!$B$4:$B$503,$A105,'Trade Log'!$K$4:$K$503)</f>
        <v/>
      </c>
      <c r="H105" s="21">
        <f>IFERROR($G105/$B105,"")</f>
        <v/>
      </c>
      <c r="I105" s="21">
        <f>IFERROR(_xlfn.MAXIFS('Trade Log'!$K$4:$K$503,'Trade Log'!$B$4:$B$503,$A105),"")</f>
        <v/>
      </c>
      <c r="J105" s="21">
        <f>IFERROR(_xlfn.MINIFS('Trade Log'!$K$4:$K$503,'Trade Log'!$B$4:$B$503,$A105),"")</f>
        <v/>
      </c>
    </row>
    <row r="106">
      <c r="A106" s="27" t="inlineStr">
        <is>
          <t>WELSPLSOL</t>
        </is>
      </c>
      <c r="B106" s="20">
        <f>COUNTIF('Trade Log'!$B$4:$B$503,$A106)</f>
        <v/>
      </c>
      <c r="C106" s="20">
        <f>COUNTIFS('Trade Log'!$B$4:$B$503,$A106,'Trade Log'!$K$4:$K$503,"&gt;0")</f>
        <v/>
      </c>
      <c r="D106" s="20">
        <f>COUNTIFS('Trade Log'!$B$4:$B$503,$A106,'Trade Log'!$K$4:$K$503,"&lt;0")</f>
        <v/>
      </c>
      <c r="E106" s="29">
        <f>IFERROR($C106/$B106,"")</f>
        <v/>
      </c>
      <c r="F106" s="21">
        <f>SUMIF('Trade Log'!$B$4:$B$503,$A106,'Trade Log'!$I$4:$I$503)</f>
        <v/>
      </c>
      <c r="G106" s="21">
        <f>SUMIF('Trade Log'!$B$4:$B$503,$A106,'Trade Log'!$K$4:$K$503)</f>
        <v/>
      </c>
      <c r="H106" s="21">
        <f>IFERROR($G106/$B106,"")</f>
        <v/>
      </c>
      <c r="I106" s="21">
        <f>IFERROR(_xlfn.MAXIFS('Trade Log'!$K$4:$K$503,'Trade Log'!$B$4:$B$503,$A106),"")</f>
        <v/>
      </c>
      <c r="J106" s="21">
        <f>IFERROR(_xlfn.MINIFS('Trade Log'!$K$4:$K$503,'Trade Log'!$B$4:$B$503,$A106),"")</f>
        <v/>
      </c>
    </row>
    <row r="107">
      <c r="A107" s="27" t="inlineStr">
        <is>
          <t>WENDT</t>
        </is>
      </c>
      <c r="B107" s="20">
        <f>COUNTIF('Trade Log'!$B$4:$B$503,$A107)</f>
        <v/>
      </c>
      <c r="C107" s="20">
        <f>COUNTIFS('Trade Log'!$B$4:$B$503,$A107,'Trade Log'!$K$4:$K$503,"&gt;0")</f>
        <v/>
      </c>
      <c r="D107" s="20">
        <f>COUNTIFS('Trade Log'!$B$4:$B$503,$A107,'Trade Log'!$K$4:$K$503,"&lt;0")</f>
        <v/>
      </c>
      <c r="E107" s="29">
        <f>IFERROR($C107/$B107,"")</f>
        <v/>
      </c>
      <c r="F107" s="21">
        <f>SUMIF('Trade Log'!$B$4:$B$503,$A107,'Trade Log'!$I$4:$I$503)</f>
        <v/>
      </c>
      <c r="G107" s="21">
        <f>SUMIF('Trade Log'!$B$4:$B$503,$A107,'Trade Log'!$K$4:$K$503)</f>
        <v/>
      </c>
      <c r="H107" s="21">
        <f>IFERROR($G107/$B107,"")</f>
        <v/>
      </c>
      <c r="I107" s="21">
        <f>IFERROR(_xlfn.MAXIFS('Trade Log'!$K$4:$K$503,'Trade Log'!$B$4:$B$503,$A107),"")</f>
        <v/>
      </c>
      <c r="J107" s="21">
        <f>IFERROR(_xlfn.MINIFS('Trade Log'!$K$4:$K$503,'Trade Log'!$B$4:$B$503,$A107),"")</f>
        <v/>
      </c>
    </row>
    <row r="108">
      <c r="A108" s="27" t="inlineStr">
        <is>
          <t>WINDLAS</t>
        </is>
      </c>
      <c r="B108" s="20">
        <f>COUNTIF('Trade Log'!$B$4:$B$503,$A108)</f>
        <v/>
      </c>
      <c r="C108" s="20">
        <f>COUNTIFS('Trade Log'!$B$4:$B$503,$A108,'Trade Log'!$K$4:$K$503,"&gt;0")</f>
        <v/>
      </c>
      <c r="D108" s="20">
        <f>COUNTIFS('Trade Log'!$B$4:$B$503,$A108,'Trade Log'!$K$4:$K$503,"&lt;0")</f>
        <v/>
      </c>
      <c r="E108" s="29">
        <f>IFERROR($C108/$B108,"")</f>
        <v/>
      </c>
      <c r="F108" s="21">
        <f>SUMIF('Trade Log'!$B$4:$B$503,$A108,'Trade Log'!$I$4:$I$503)</f>
        <v/>
      </c>
      <c r="G108" s="21">
        <f>SUMIF('Trade Log'!$B$4:$B$503,$A108,'Trade Log'!$K$4:$K$503)</f>
        <v/>
      </c>
      <c r="H108" s="21">
        <f>IFERROR($G108/$B108,"")</f>
        <v/>
      </c>
      <c r="I108" s="21">
        <f>IFERROR(_xlfn.MAXIFS('Trade Log'!$K$4:$K$503,'Trade Log'!$B$4:$B$503,$A108),"")</f>
        <v/>
      </c>
      <c r="J108" s="21">
        <f>IFERROR(_xlfn.MINIFS('Trade Log'!$K$4:$K$503,'Trade Log'!$B$4:$B$503,$A108),"")</f>
        <v/>
      </c>
    </row>
    <row r="109">
      <c r="A109" s="27" t="inlineStr">
        <is>
          <t>XPROINDIA</t>
        </is>
      </c>
      <c r="B109" s="20">
        <f>COUNTIF('Trade Log'!$B$4:$B$503,$A109)</f>
        <v/>
      </c>
      <c r="C109" s="20">
        <f>COUNTIFS('Trade Log'!$B$4:$B$503,$A109,'Trade Log'!$K$4:$K$503,"&gt;0")</f>
        <v/>
      </c>
      <c r="D109" s="20">
        <f>COUNTIFS('Trade Log'!$B$4:$B$503,$A109,'Trade Log'!$K$4:$K$503,"&lt;0")</f>
        <v/>
      </c>
      <c r="E109" s="29">
        <f>IFERROR($C109/$B109,"")</f>
        <v/>
      </c>
      <c r="F109" s="21">
        <f>SUMIF('Trade Log'!$B$4:$B$503,$A109,'Trade Log'!$I$4:$I$503)</f>
        <v/>
      </c>
      <c r="G109" s="21">
        <f>SUMIF('Trade Log'!$B$4:$B$503,$A109,'Trade Log'!$K$4:$K$503)</f>
        <v/>
      </c>
      <c r="H109" s="21">
        <f>IFERROR($G109/$B109,"")</f>
        <v/>
      </c>
      <c r="I109" s="21">
        <f>IFERROR(_xlfn.MAXIFS('Trade Log'!$K$4:$K$503,'Trade Log'!$B$4:$B$503,$A109),"")</f>
        <v/>
      </c>
      <c r="J109" s="21">
        <f>IFERROR(_xlfn.MINIFS('Trade Log'!$K$4:$K$503,'Trade Log'!$B$4:$B$503,$A109),"")</f>
        <v/>
      </c>
    </row>
    <row r="110">
      <c r="A110" s="27" t="inlineStr">
        <is>
          <t>ZAGGLE</t>
        </is>
      </c>
      <c r="B110" s="20">
        <f>COUNTIF('Trade Log'!$B$4:$B$503,$A110)</f>
        <v/>
      </c>
      <c r="C110" s="20">
        <f>COUNTIFS('Trade Log'!$B$4:$B$503,$A110,'Trade Log'!$K$4:$K$503,"&gt;0")</f>
        <v/>
      </c>
      <c r="D110" s="20">
        <f>COUNTIFS('Trade Log'!$B$4:$B$503,$A110,'Trade Log'!$K$4:$K$503,"&lt;0")</f>
        <v/>
      </c>
      <c r="E110" s="29">
        <f>IFERROR($C110/$B110,"")</f>
        <v/>
      </c>
      <c r="F110" s="21">
        <f>SUMIF('Trade Log'!$B$4:$B$503,$A110,'Trade Log'!$I$4:$I$503)</f>
        <v/>
      </c>
      <c r="G110" s="21">
        <f>SUMIF('Trade Log'!$B$4:$B$503,$A110,'Trade Log'!$K$4:$K$503)</f>
        <v/>
      </c>
      <c r="H110" s="21">
        <f>IFERROR($G110/$B110,"")</f>
        <v/>
      </c>
      <c r="I110" s="21">
        <f>IFERROR(_xlfn.MAXIFS('Trade Log'!$K$4:$K$503,'Trade Log'!$B$4:$B$503,$A110),"")</f>
        <v/>
      </c>
      <c r="J110" s="21">
        <f>IFERROR(_xlfn.MINIFS('Trade Log'!$K$4:$K$503,'Trade Log'!$B$4:$B$503,$A110),"")</f>
        <v/>
      </c>
    </row>
    <row r="111">
      <c r="A111" s="27" t="inlineStr">
        <is>
          <t>ZOTA</t>
        </is>
      </c>
      <c r="B111" s="20">
        <f>COUNTIF('Trade Log'!$B$4:$B$503,$A111)</f>
        <v/>
      </c>
      <c r="C111" s="20">
        <f>COUNTIFS('Trade Log'!$B$4:$B$503,$A111,'Trade Log'!$K$4:$K$503,"&gt;0")</f>
        <v/>
      </c>
      <c r="D111" s="20">
        <f>COUNTIFS('Trade Log'!$B$4:$B$503,$A111,'Trade Log'!$K$4:$K$503,"&lt;0")</f>
        <v/>
      </c>
      <c r="E111" s="29">
        <f>IFERROR($C111/$B111,"")</f>
        <v/>
      </c>
      <c r="F111" s="21">
        <f>SUMIF('Trade Log'!$B$4:$B$503,$A111,'Trade Log'!$I$4:$I$503)</f>
        <v/>
      </c>
      <c r="G111" s="21">
        <f>SUMIF('Trade Log'!$B$4:$B$503,$A111,'Trade Log'!$K$4:$K$503)</f>
        <v/>
      </c>
      <c r="H111" s="21">
        <f>IFERROR($G111/$B111,"")</f>
        <v/>
      </c>
      <c r="I111" s="21">
        <f>IFERROR(_xlfn.MAXIFS('Trade Log'!$K$4:$K$503,'Trade Log'!$B$4:$B$503,$A111),"")</f>
        <v/>
      </c>
      <c r="J111" s="21">
        <f>IFERROR(_xlfn.MINIFS('Trade Log'!$K$4:$K$503,'Trade Log'!$B$4:$B$503,$A111),"")</f>
        <v/>
      </c>
    </row>
    <row r="112">
      <c r="A112" s="3" t="inlineStr">
        <is>
          <t>TOTAL</t>
        </is>
      </c>
      <c r="B112" s="30">
        <f>SUM(B4:B111)</f>
        <v/>
      </c>
      <c r="C112" s="30">
        <f>SUM(C4:C111)</f>
        <v/>
      </c>
      <c r="D112" s="30">
        <f>SUM(D4:D111)</f>
        <v/>
      </c>
      <c r="E112" s="31">
        <f>IFERROR(C112/B112,"")</f>
        <v/>
      </c>
      <c r="F112" s="32">
        <f>SUM(F4:F111)</f>
        <v/>
      </c>
      <c r="G112" s="32">
        <f>SUM(G4:G111)</f>
        <v/>
      </c>
      <c r="H112" s="32">
        <f>IFERROR(G112/B112,"")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2026-09-26T21:38:23Z</dcterms:created>
  <dcterms:modified xmlns:dcterms="http://purl.org/dc/terms/" xmlns:xsi="http://www.w3.org/2001/XMLSchema-instance" xsi:type="dcterms:W3CDTF">2026-09-26T21:38:23Z</dcterms:modified>
</cp:coreProperties>
</file>