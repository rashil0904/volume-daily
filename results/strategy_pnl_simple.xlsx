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571.84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688.87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570.6900000000001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663.11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590.6900000000001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451.6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398.65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346.76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414.2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345.09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414.53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380.23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427.19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341.04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413.96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406.49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444.79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197.25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203.83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251.98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534.25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208.81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248.04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200.87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870.14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210.52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517.89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391.17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349.79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526.1799999999999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349.9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386.35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536.1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529.84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207.3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246.41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251.07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198.63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4" t="n">
        <v>978.3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4" t="n">
        <v>957.7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4" t="n">
        <v>992.3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4" t="n">
        <v>599.74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n">
        <v>46265</v>
      </c>
      <c r="H46" s="25" t="n">
        <v>650.2959</v>
      </c>
      <c r="I46" s="21">
        <f>IF(OR($B46="",$H46=""),"",IF($C46="LONG",($H46-$E46)*$F46,($E46-$H46)*$F46))</f>
        <v/>
      </c>
      <c r="J46" s="4" t="n">
        <v>600.85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n">
        <v>46265</v>
      </c>
      <c r="H47" s="25" t="n">
        <v>1777.534</v>
      </c>
      <c r="I47" s="21">
        <f>IF(OR($B47="",$H47=""),"",IF($C47="LONG",($H47-$E47)*$F47,($E47-$H47)*$F47))</f>
        <v/>
      </c>
      <c r="J47" s="4" t="n">
        <v>678.48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n">
        <v>46265</v>
      </c>
      <c r="H48" s="25" t="n">
        <v>130.9149</v>
      </c>
      <c r="I48" s="21">
        <f>IF(OR($B48="",$H48=""),"",IF($C48="LONG",($H48-$E48)*$F48,($E48-$H48)*$F48))</f>
        <v/>
      </c>
      <c r="J48" s="4" t="n">
        <v>672.35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n">
        <v>46265</v>
      </c>
      <c r="H49" s="25" t="n">
        <v>19.6094</v>
      </c>
      <c r="I49" s="21">
        <f>IF(OR($B49="",$H49=""),"",IF($C49="LONG",($H49-$E49)*$F49,($E49-$H49)*$F49))</f>
        <v/>
      </c>
      <c r="J49" s="4" t="n">
        <v>538.7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inlineStr">
        <is>
          <t>DHAN-231260831122409</t>
        </is>
      </c>
      <c r="B50" s="23" t="inlineStr">
        <is>
          <t>ASHOKA</t>
        </is>
      </c>
      <c r="C50" s="23" t="inlineStr">
        <is>
          <t>LONG</t>
        </is>
      </c>
      <c r="D50" s="24" t="n">
        <v>46265</v>
      </c>
      <c r="E50" s="25" t="n">
        <v>120.2727</v>
      </c>
      <c r="F50" s="26" t="n">
        <v>2933</v>
      </c>
      <c r="G50" s="24" t="n">
        <v>46266</v>
      </c>
      <c r="H50" s="25" t="n">
        <v>121.8089</v>
      </c>
      <c r="I50" s="21">
        <f>IF(OR($B50="",$H50=""),"",IF($C50="LONG",($H50-$E50)*$F50,($E50-$H50)*$F50))</f>
        <v/>
      </c>
      <c r="J50" s="4" t="n">
        <v>627.15</v>
      </c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inlineStr">
        <is>
          <t>DHAN-221260831109609</t>
        </is>
      </c>
      <c r="B51" s="23" t="inlineStr">
        <is>
          <t>FMGOETZE</t>
        </is>
      </c>
      <c r="C51" s="23" t="inlineStr">
        <is>
          <t>SHORT</t>
        </is>
      </c>
      <c r="D51" s="24" t="n">
        <v>46265</v>
      </c>
      <c r="E51" s="25" t="n">
        <v>625.4782</v>
      </c>
      <c r="F51" s="26" t="n">
        <v>464</v>
      </c>
      <c r="G51" s="24" t="n">
        <v>46265</v>
      </c>
      <c r="H51" s="25" t="n">
        <v>620</v>
      </c>
      <c r="I51" s="21">
        <f>IF(OR($B51="",$H51=""),"",IF($C51="LONG",($H51-$E51)*$F51,($E51-$H51)*$F51))</f>
        <v/>
      </c>
      <c r="J51" s="4" t="n">
        <v>415.51</v>
      </c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inlineStr">
        <is>
          <t>DHAN-321260831423609</t>
        </is>
      </c>
      <c r="B52" s="23" t="inlineStr">
        <is>
          <t>JGCHEM</t>
        </is>
      </c>
      <c r="C52" s="23" t="inlineStr">
        <is>
          <t>SHORT</t>
        </is>
      </c>
      <c r="D52" s="24" t="n">
        <v>46265</v>
      </c>
      <c r="E52" s="25" t="n">
        <v>648.4623</v>
      </c>
      <c r="F52" s="26" t="n">
        <v>428</v>
      </c>
      <c r="G52" s="24" t="n">
        <v>46265</v>
      </c>
      <c r="H52" s="25" t="n">
        <v>638.2939</v>
      </c>
      <c r="I52" s="21">
        <f>IF(OR($B52="",$H52=""),"",IF($C52="LONG",($H52-$E52)*$F52,($E52-$H52)*$F52))</f>
        <v/>
      </c>
      <c r="J52" s="4" t="n">
        <v>397.84</v>
      </c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inlineStr">
        <is>
          <t>DHAN-23126083156509</t>
        </is>
      </c>
      <c r="B53" s="23" t="inlineStr">
        <is>
          <t>MASTEK</t>
        </is>
      </c>
      <c r="C53" s="23" t="inlineStr">
        <is>
          <t>SHORT</t>
        </is>
      </c>
      <c r="D53" s="24" t="n">
        <v>46265</v>
      </c>
      <c r="E53" s="25" t="n">
        <v>1777.6041</v>
      </c>
      <c r="F53" s="26" t="n">
        <v>147</v>
      </c>
      <c r="G53" s="24" t="n">
        <v>46265</v>
      </c>
      <c r="H53" s="25" t="n">
        <v>1777.866</v>
      </c>
      <c r="I53" s="21">
        <f>IF(OR($B53="",$H53=""),"",IF($C53="LONG",($H53-$E53)*$F53,($E53-$H53)*$F53))</f>
        <v/>
      </c>
      <c r="J53" s="4" t="n">
        <v>312.31</v>
      </c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inlineStr">
        <is>
          <t>DHAN-231260831122309</t>
        </is>
      </c>
      <c r="B54" s="23" t="inlineStr">
        <is>
          <t>NORTHARC</t>
        </is>
      </c>
      <c r="C54" s="23" t="inlineStr">
        <is>
          <t>LONG</t>
        </is>
      </c>
      <c r="D54" s="24" t="n">
        <v>46265</v>
      </c>
      <c r="E54" s="25" t="n">
        <v>310.5</v>
      </c>
      <c r="F54" s="26" t="n">
        <v>1117</v>
      </c>
      <c r="G54" s="24" t="n">
        <v>46266</v>
      </c>
      <c r="H54" s="25" t="n">
        <v>303.0902</v>
      </c>
      <c r="I54" s="21">
        <f>IF(OR($B54="",$H54=""),"",IF($C54="LONG",($H54-$E54)*$F54,($E54-$H54)*$F54))</f>
        <v/>
      </c>
      <c r="J54" s="4" t="n">
        <v>618.4299999999999</v>
      </c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inlineStr">
        <is>
          <t>DHAN-23126083118409</t>
        </is>
      </c>
      <c r="B55" s="23" t="inlineStr">
        <is>
          <t>OMAXE</t>
        </is>
      </c>
      <c r="C55" s="23" t="inlineStr">
        <is>
          <t>SHORT</t>
        </is>
      </c>
      <c r="D55" s="24" t="n">
        <v>46265</v>
      </c>
      <c r="E55" s="25" t="n">
        <v>130.7703</v>
      </c>
      <c r="F55" s="26" t="n">
        <v>2161</v>
      </c>
      <c r="G55" s="24" t="n">
        <v>46265</v>
      </c>
      <c r="H55" s="25" t="n">
        <v>126.3456</v>
      </c>
      <c r="I55" s="21">
        <f>IF(OR($B55="",$H55=""),"",IF($C55="LONG",($H55-$E55)*$F55,($E55-$H55)*$F55))</f>
        <v/>
      </c>
      <c r="J55" s="4" t="n">
        <v>332.07</v>
      </c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inlineStr">
        <is>
          <t>DHAN-321260831104409</t>
        </is>
      </c>
      <c r="B56" s="23" t="inlineStr">
        <is>
          <t>SYNCOMF</t>
        </is>
      </c>
      <c r="C56" s="23" t="inlineStr">
        <is>
          <t>SHORT</t>
        </is>
      </c>
      <c r="D56" s="24" t="n">
        <v>46265</v>
      </c>
      <c r="E56" s="25" t="n">
        <v>19.6247</v>
      </c>
      <c r="F56" s="26" t="n">
        <v>14462</v>
      </c>
      <c r="G56" s="24" t="n">
        <v>46265</v>
      </c>
      <c r="H56" s="25" t="n">
        <v>19.5263</v>
      </c>
      <c r="I56" s="21">
        <f>IF(OR($B56="",$H56=""),"",IF($C56="LONG",($H56-$E56)*$F56,($E56-$H56)*$F56))</f>
        <v/>
      </c>
      <c r="J56" s="4" t="n">
        <v>407.39</v>
      </c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inlineStr">
        <is>
          <t>DHAN-321260831702509</t>
        </is>
      </c>
      <c r="B57" s="23" t="inlineStr">
        <is>
          <t>VENKEYS</t>
        </is>
      </c>
      <c r="C57" s="23" t="inlineStr">
        <is>
          <t>LONG</t>
        </is>
      </c>
      <c r="D57" s="24" t="n">
        <v>46265</v>
      </c>
      <c r="E57" s="25" t="n">
        <v>1702.7395</v>
      </c>
      <c r="F57" s="26" t="n">
        <v>205</v>
      </c>
      <c r="G57" s="24" t="n">
        <v>46266</v>
      </c>
      <c r="H57" s="25" t="n">
        <v>1666.1965</v>
      </c>
      <c r="I57" s="21">
        <f>IF(OR($B57="",$H57=""),"",IF($C57="LONG",($H57-$E57)*$F57,($E57-$H57)*$F57))</f>
        <v/>
      </c>
      <c r="J57" s="4" t="n">
        <v>611.66</v>
      </c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inlineStr">
        <is>
          <t>DHAN-22126090197109</t>
        </is>
      </c>
      <c r="B58" s="23" t="inlineStr">
        <is>
          <t>ASHOKA</t>
        </is>
      </c>
      <c r="C58" s="23" t="inlineStr">
        <is>
          <t>SHORT</t>
        </is>
      </c>
      <c r="D58" s="24" t="n">
        <v>46266</v>
      </c>
      <c r="E58" s="25" t="n">
        <v>121.775</v>
      </c>
      <c r="F58" s="26" t="n">
        <v>2933</v>
      </c>
      <c r="G58" s="24" t="n">
        <v>46266</v>
      </c>
      <c r="H58" s="25" t="n">
        <v>122.25</v>
      </c>
      <c r="I58" s="21">
        <f>IF(OR($B58="",$H58=""),"",IF($C58="LONG",($H58-$E58)*$F58,($E58-$H58)*$F58))</f>
        <v/>
      </c>
      <c r="J58" s="4" t="n">
        <v>508.65</v>
      </c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inlineStr">
        <is>
          <t>DHAN-221260901437609</t>
        </is>
      </c>
      <c r="B59" s="23" t="inlineStr">
        <is>
          <t>NORTHARC</t>
        </is>
      </c>
      <c r="C59" s="23" t="inlineStr">
        <is>
          <t>SHORT</t>
        </is>
      </c>
      <c r="D59" s="24" t="n">
        <v>46266</v>
      </c>
      <c r="E59" s="25" t="n">
        <v>303.0625</v>
      </c>
      <c r="F59" s="26" t="n">
        <v>1117</v>
      </c>
      <c r="G59" s="24" t="n">
        <v>46266</v>
      </c>
      <c r="H59" s="25" t="n">
        <v>299.1408</v>
      </c>
      <c r="I59" s="21">
        <f>IF(OR($B59="",$H59=""),"",IF($C59="LONG",($H59-$E59)*$F59,($E59-$H59)*$F59))</f>
        <v/>
      </c>
      <c r="J59" s="4" t="n">
        <v>480.12</v>
      </c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inlineStr">
        <is>
          <t>DHAN-221260901669709</t>
        </is>
      </c>
      <c r="B60" s="23" t="inlineStr">
        <is>
          <t>SAKAR</t>
        </is>
      </c>
      <c r="C60" s="23" t="inlineStr">
        <is>
          <t>LONG</t>
        </is>
      </c>
      <c r="D60" s="24" t="n">
        <v>46266</v>
      </c>
      <c r="E60" s="25" t="n">
        <v>961.5373</v>
      </c>
      <c r="F60" s="26" t="n">
        <v>181</v>
      </c>
      <c r="G60" s="24" t="n">
        <v>46267</v>
      </c>
      <c r="H60" s="25" t="n">
        <v>987.1939</v>
      </c>
      <c r="I60" s="21">
        <f>IF(OR($B60="",$H60=""),"",IF($C60="LONG",($H60-$E60)*$F60,($E60-$H60)*$F60))</f>
        <v/>
      </c>
      <c r="J60" s="4" t="n">
        <v>296.33</v>
      </c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inlineStr">
        <is>
          <t>DHAN-321260901678509</t>
        </is>
      </c>
      <c r="B61" s="23" t="inlineStr">
        <is>
          <t>SOTL</t>
        </is>
      </c>
      <c r="C61" s="23" t="inlineStr">
        <is>
          <t>LONG</t>
        </is>
      </c>
      <c r="D61" s="24" t="n">
        <v>46266</v>
      </c>
      <c r="E61" s="25" t="n">
        <v>773.7782999999999</v>
      </c>
      <c r="F61" s="26" t="n">
        <v>454</v>
      </c>
      <c r="G61" s="24" t="n">
        <v>46267</v>
      </c>
      <c r="H61" s="25" t="n">
        <v>781.4043</v>
      </c>
      <c r="I61" s="21">
        <f>IF(OR($B61="",$H61=""),"",IF($C61="LONG",($H61-$E61)*$F61,($E61-$H61)*$F61))</f>
        <v/>
      </c>
      <c r="J61" s="4" t="n">
        <v>690.86</v>
      </c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inlineStr">
        <is>
          <t>DHAN-34126090172909</t>
        </is>
      </c>
      <c r="B62" s="23" t="inlineStr">
        <is>
          <t>SSWL</t>
        </is>
      </c>
      <c r="C62" s="23" t="inlineStr">
        <is>
          <t>LONG</t>
        </is>
      </c>
      <c r="D62" s="24" t="n">
        <v>46266</v>
      </c>
      <c r="E62" s="25" t="n">
        <v>361.4802</v>
      </c>
      <c r="F62" s="26" t="n">
        <v>981</v>
      </c>
      <c r="G62" s="24" t="n">
        <v>46267</v>
      </c>
      <c r="H62" s="25" t="n">
        <v>340.3868</v>
      </c>
      <c r="I62" s="21">
        <f>IF(OR($B62="",$H62=""),"",IF($C62="LONG",($H62-$E62)*$F62,($E62-$H62)*$F62))</f>
        <v/>
      </c>
      <c r="J62" s="4" t="n">
        <v>614.5599999999999</v>
      </c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inlineStr">
        <is>
          <t>DHAN-23126090154109</t>
        </is>
      </c>
      <c r="B63" s="23" t="inlineStr">
        <is>
          <t>VENKEYS</t>
        </is>
      </c>
      <c r="C63" s="23" t="inlineStr">
        <is>
          <t>SHORT</t>
        </is>
      </c>
      <c r="D63" s="24" t="n">
        <v>46266</v>
      </c>
      <c r="E63" s="25" t="n">
        <v>1664.2166</v>
      </c>
      <c r="F63" s="26" t="n">
        <v>205</v>
      </c>
      <c r="G63" s="24" t="n">
        <v>46266</v>
      </c>
      <c r="H63" s="25" t="n">
        <v>1647.3204</v>
      </c>
      <c r="I63" s="21">
        <f>IF(OR($B63="",$H63=""),"",IF($C63="LONG",($H63-$E63)*$F63,($E63-$H63)*$F63))</f>
        <v/>
      </c>
      <c r="J63" s="4" t="n">
        <v>484.3</v>
      </c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inlineStr">
        <is>
          <t>DHAN-231260902149109</t>
        </is>
      </c>
      <c r="B64" s="23" t="inlineStr">
        <is>
          <t>HERITGFOOD</t>
        </is>
      </c>
      <c r="C64" s="23" t="inlineStr">
        <is>
          <t>LONG</t>
        </is>
      </c>
      <c r="D64" s="24" t="n">
        <v>46267</v>
      </c>
      <c r="E64" s="25" t="n">
        <v>378</v>
      </c>
      <c r="F64" s="26" t="n">
        <v>529</v>
      </c>
      <c r="G64" s="24" t="n">
        <v>46268</v>
      </c>
      <c r="H64" s="25" t="n">
        <v>372.563</v>
      </c>
      <c r="I64" s="21">
        <f>IF(OR($B64="",$H64=""),"",IF($C64="LONG",($H64-$E64)*$F64,($E64-$H64)*$F64))</f>
        <v/>
      </c>
      <c r="J64" s="4" t="n">
        <v>439.99</v>
      </c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inlineStr">
        <is>
          <t>DHAN-321260902743009</t>
        </is>
      </c>
      <c r="B65" s="23" t="inlineStr">
        <is>
          <t>INDOCO</t>
        </is>
      </c>
      <c r="C65" s="23" t="inlineStr">
        <is>
          <t>LONG</t>
        </is>
      </c>
      <c r="D65" s="24" t="n">
        <v>46267</v>
      </c>
      <c r="E65" s="25" t="n">
        <v>274.0386</v>
      </c>
      <c r="F65" s="26" t="n">
        <v>731</v>
      </c>
      <c r="G65" s="24" t="n">
        <v>46268</v>
      </c>
      <c r="H65" s="25" t="n">
        <v>274.9479</v>
      </c>
      <c r="I65" s="21">
        <f>IF(OR($B65="",$H65=""),"",IF($C65="LONG",($H65-$E65)*$F65,($E65-$H65)*$F65))</f>
        <v/>
      </c>
      <c r="J65" s="4" t="n">
        <v>385.88</v>
      </c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inlineStr">
        <is>
          <t>DHAN-221260902120009</t>
        </is>
      </c>
      <c r="B66" s="23" t="inlineStr">
        <is>
          <t>SAKAR</t>
        </is>
      </c>
      <c r="C66" s="23" t="inlineStr">
        <is>
          <t>SHORT</t>
        </is>
      </c>
      <c r="D66" s="24" t="n">
        <v>46267</v>
      </c>
      <c r="E66" s="25" t="n">
        <v>987.1041</v>
      </c>
      <c r="F66" s="26" t="n">
        <v>181</v>
      </c>
      <c r="G66" s="24" t="n">
        <v>46267</v>
      </c>
      <c r="H66" s="25" t="n">
        <v>984.9721</v>
      </c>
      <c r="I66" s="21">
        <f>IF(OR($B66="",$H66=""),"",IF($C66="LONG",($H66-$E66)*$F66,($E66-$H66)*$F66))</f>
        <v/>
      </c>
      <c r="J66" s="4" t="n">
        <v>220.84</v>
      </c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inlineStr">
        <is>
          <t>DHAN-23126090223909</t>
        </is>
      </c>
      <c r="B67" s="23" t="inlineStr">
        <is>
          <t>SOTL</t>
        </is>
      </c>
      <c r="C67" s="23" t="inlineStr">
        <is>
          <t>SHORT</t>
        </is>
      </c>
      <c r="D67" s="24" t="n">
        <v>46267</v>
      </c>
      <c r="E67" s="25" t="n">
        <v>781.15</v>
      </c>
      <c r="F67" s="26" t="n">
        <v>454</v>
      </c>
      <c r="G67" s="24" t="n">
        <v>46267</v>
      </c>
      <c r="H67" s="25" t="n">
        <v>759.8953</v>
      </c>
      <c r="I67" s="21">
        <f>IF(OR($B67="",$H67=""),"",IF($C67="LONG",($H67-$E67)*$F67,($E67-$H67)*$F67))</f>
        <v/>
      </c>
      <c r="J67" s="4" t="n">
        <v>411.42</v>
      </c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inlineStr">
        <is>
          <t>DHAN-231260902110309</t>
        </is>
      </c>
      <c r="B68" s="23" t="inlineStr">
        <is>
          <t>SSWL</t>
        </is>
      </c>
      <c r="C68" s="23" t="inlineStr">
        <is>
          <t>SHORT</t>
        </is>
      </c>
      <c r="D68" s="24" t="n">
        <v>46267</v>
      </c>
      <c r="E68" s="25" t="n">
        <v>340.3105</v>
      </c>
      <c r="F68" s="26" t="n">
        <v>981</v>
      </c>
      <c r="G68" s="24" t="n">
        <v>46267</v>
      </c>
      <c r="H68" s="25" t="n">
        <v>345.273</v>
      </c>
      <c r="I68" s="21">
        <f>IF(OR($B68="",$H68=""),"",IF($C68="LONG",($H68-$E68)*$F68,($E68-$H68)*$F68))</f>
        <v/>
      </c>
      <c r="J68" s="4" t="n">
        <v>478.28</v>
      </c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inlineStr">
        <is>
          <t>DHAN-221260902724009</t>
        </is>
      </c>
      <c r="B69" s="23" t="inlineStr">
        <is>
          <t>TBZ</t>
        </is>
      </c>
      <c r="C69" s="23" t="inlineStr">
        <is>
          <t>LONG</t>
        </is>
      </c>
      <c r="D69" s="24" t="n">
        <v>46267</v>
      </c>
      <c r="E69" s="25" t="n">
        <v>416.35</v>
      </c>
      <c r="F69" s="26" t="n">
        <v>242</v>
      </c>
      <c r="G69" s="24" t="n">
        <v>46268</v>
      </c>
      <c r="H69" s="25" t="n">
        <v>422.9651</v>
      </c>
      <c r="I69" s="21">
        <f>IF(OR($B69="",$H69=""),"",IF($C69="LONG",($H69-$E69)*$F69,($E69-$H69)*$F69))</f>
        <v/>
      </c>
      <c r="J69" s="4" t="n">
        <v>161.82</v>
      </c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inlineStr">
        <is>
          <t>DHAN-321260902743109</t>
        </is>
      </c>
      <c r="B70" s="23" t="inlineStr">
        <is>
          <t>WINDLAS</t>
        </is>
      </c>
      <c r="C70" s="23" t="inlineStr">
        <is>
          <t>LONG</t>
        </is>
      </c>
      <c r="D70" s="24" t="n">
        <v>46267</v>
      </c>
      <c r="E70" s="25" t="n">
        <v>1101.477</v>
      </c>
      <c r="F70" s="26" t="n">
        <v>181</v>
      </c>
      <c r="G70" s="24" t="n">
        <v>46268</v>
      </c>
      <c r="H70" s="25" t="n">
        <v>1138.2559</v>
      </c>
      <c r="I70" s="21">
        <f>IF(OR($B70="",$H70=""),"",IF($C70="LONG",($H70-$E70)*$F70,($E70-$H70)*$F70))</f>
        <v/>
      </c>
      <c r="J70" s="4" t="n">
        <v>384.49</v>
      </c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inlineStr">
        <is>
          <t>DHAN-321260902743209</t>
        </is>
      </c>
      <c r="B71" s="23" t="inlineStr">
        <is>
          <t>XPROINDIA</t>
        </is>
      </c>
      <c r="C71" s="23" t="inlineStr">
        <is>
          <t>LONG</t>
        </is>
      </c>
      <c r="D71" s="24" t="n">
        <v>46267</v>
      </c>
      <c r="E71" s="25" t="n">
        <v>1291.5</v>
      </c>
      <c r="F71" s="26" t="n">
        <v>154</v>
      </c>
      <c r="G71" s="24" t="n">
        <v>46268</v>
      </c>
      <c r="H71" s="25" t="n">
        <v>1300.3182</v>
      </c>
      <c r="I71" s="21">
        <f>IF(OR($B71="",$H71=""),"",IF($C71="LONG",($H71-$E71)*$F71,($E71-$H71)*$F71))</f>
        <v/>
      </c>
      <c r="J71" s="4" t="n">
        <v>433.57</v>
      </c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inlineStr">
        <is>
          <t>DHAN-34126090364809</t>
        </is>
      </c>
      <c r="B72" s="23" t="inlineStr">
        <is>
          <t>ALEMBICLTD</t>
        </is>
      </c>
      <c r="C72" s="23" t="inlineStr">
        <is>
          <t>LONG</t>
        </is>
      </c>
      <c r="D72" s="24" t="n">
        <v>46268</v>
      </c>
      <c r="E72" s="25" t="n">
        <v>109.8863</v>
      </c>
      <c r="F72" s="26" t="n">
        <v>1597</v>
      </c>
      <c r="G72" s="24" t="n">
        <v>46269</v>
      </c>
      <c r="H72" s="25" t="n">
        <v>114.1086</v>
      </c>
      <c r="I72" s="21">
        <f>IF(OR($B72="",$H72=""),"",IF($C72="LONG",($H72-$E72)*$F72,($E72-$H72)*$F72))</f>
        <v/>
      </c>
      <c r="J72" s="4" t="n">
        <v>376.58</v>
      </c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inlineStr">
        <is>
          <t>DHAN-321260903596709</t>
        </is>
      </c>
      <c r="B73" s="23" t="inlineStr">
        <is>
          <t>ANTELOPUS</t>
        </is>
      </c>
      <c r="C73" s="23" t="inlineStr">
        <is>
          <t>LONG</t>
        </is>
      </c>
      <c r="D73" s="24" t="n">
        <v>46268</v>
      </c>
      <c r="E73" s="25" t="n">
        <v>1012.0773</v>
      </c>
      <c r="F73" s="26" t="n">
        <v>86</v>
      </c>
      <c r="G73" s="24" t="n">
        <v>46269</v>
      </c>
      <c r="H73" s="25" t="n">
        <v>1004.061</v>
      </c>
      <c r="I73" s="21">
        <f>IF(OR($B73="",$H73=""),"",IF($C73="LONG",($H73-$E73)*$F73,($E73-$H73)*$F73))</f>
        <v/>
      </c>
      <c r="J73" s="4" t="n">
        <v>166.41</v>
      </c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inlineStr">
        <is>
          <t>DHAN-34126090364909</t>
        </is>
      </c>
      <c r="B74" s="23" t="inlineStr">
        <is>
          <t>BFUTILITIE</t>
        </is>
      </c>
      <c r="C74" s="23" t="inlineStr">
        <is>
          <t>LONG</t>
        </is>
      </c>
      <c r="D74" s="24" t="n">
        <v>46268</v>
      </c>
      <c r="E74" s="25" t="n">
        <v>544.1489</v>
      </c>
      <c r="F74" s="26" t="n">
        <v>321</v>
      </c>
      <c r="G74" s="24" t="n">
        <v>46269</v>
      </c>
      <c r="H74" s="25" t="n">
        <v>559.1366</v>
      </c>
      <c r="I74" s="21">
        <f>IF(OR($B74="",$H74=""),"",IF($C74="LONG",($H74-$E74)*$F74,($E74-$H74)*$F74))</f>
        <v/>
      </c>
      <c r="J74" s="4" t="n">
        <v>327.05</v>
      </c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inlineStr">
        <is>
          <t>DHAN-221260903780209</t>
        </is>
      </c>
      <c r="B75" s="23" t="inlineStr">
        <is>
          <t>GOCLCORP</t>
        </is>
      </c>
      <c r="C75" s="23" t="inlineStr">
        <is>
          <t>LONG</t>
        </is>
      </c>
      <c r="D75" s="24" t="n">
        <v>46268</v>
      </c>
      <c r="E75" s="25" t="n">
        <v>421.586</v>
      </c>
      <c r="F75" s="26" t="n">
        <v>414</v>
      </c>
      <c r="G75" s="24" t="n">
        <v>46269</v>
      </c>
      <c r="H75" s="25" t="n">
        <v>424.026</v>
      </c>
      <c r="I75" s="21">
        <f>IF(OR($B75="",$H75=""),"",IF($C75="LONG",($H75-$E75)*$F75,($E75-$H75)*$F75))</f>
        <v/>
      </c>
      <c r="J75" s="4" t="n">
        <v>329.86</v>
      </c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inlineStr">
        <is>
          <t>DHAN-23126090343709</t>
        </is>
      </c>
      <c r="B76" s="23" t="inlineStr">
        <is>
          <t>HERITGFOOD</t>
        </is>
      </c>
      <c r="C76" s="23" t="inlineStr">
        <is>
          <t>SHORT</t>
        </is>
      </c>
      <c r="D76" s="24" t="n">
        <v>46268</v>
      </c>
      <c r="E76" s="25" t="n">
        <v>372.1501</v>
      </c>
      <c r="F76" s="26" t="n">
        <v>529</v>
      </c>
      <c r="G76" s="24" t="n">
        <v>46268</v>
      </c>
      <c r="H76" s="25" t="n">
        <v>372.0471</v>
      </c>
      <c r="I76" s="21">
        <f>IF(OR($B76="",$H76=""),"",IF($C76="LONG",($H76-$E76)*$F76,($E76-$H76)*$F76))</f>
        <v/>
      </c>
      <c r="J76" s="4" t="n">
        <v>241.15</v>
      </c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inlineStr">
        <is>
          <t>DHAN-23126090365609</t>
        </is>
      </c>
      <c r="B77" s="23" t="inlineStr">
        <is>
          <t>HINDOILEXP</t>
        </is>
      </c>
      <c r="C77" s="23" t="inlineStr">
        <is>
          <t>LONG</t>
        </is>
      </c>
      <c r="D77" s="24" t="n">
        <v>46268</v>
      </c>
      <c r="E77" s="25" t="n">
        <v>183.9966</v>
      </c>
      <c r="F77" s="26" t="n">
        <v>951</v>
      </c>
      <c r="G77" s="24" t="n">
        <v>46269</v>
      </c>
      <c r="H77" s="25" t="n">
        <v>181.9446</v>
      </c>
      <c r="I77" s="21">
        <f>IF(OR($B77="",$H77=""),"",IF($C77="LONG",($H77-$E77)*$F77,($E77-$H77)*$F77))</f>
        <v/>
      </c>
      <c r="J77" s="4" t="n">
        <v>374.78</v>
      </c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inlineStr">
        <is>
          <t>DHAN-22126090392509</t>
        </is>
      </c>
      <c r="B78" s="23" t="inlineStr">
        <is>
          <t>INDOCO</t>
        </is>
      </c>
      <c r="C78" s="23" t="inlineStr">
        <is>
          <t>SHORT</t>
        </is>
      </c>
      <c r="D78" s="24" t="n">
        <v>46268</v>
      </c>
      <c r="E78" s="25" t="n">
        <v>274.0624</v>
      </c>
      <c r="F78" s="26" t="n">
        <v>731</v>
      </c>
      <c r="G78" s="24" t="n">
        <v>46268</v>
      </c>
      <c r="H78" s="25" t="n">
        <v>278.0089</v>
      </c>
      <c r="I78" s="21">
        <f>IF(OR($B78="",$H78=""),"",IF($C78="LONG",($H78-$E78)*$F78,($E78-$H78)*$F78))</f>
        <v/>
      </c>
      <c r="J78" s="4" t="n">
        <v>296.69</v>
      </c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inlineStr">
        <is>
          <t>DHAN-23126090365509</t>
        </is>
      </c>
      <c r="B79" s="23" t="inlineStr">
        <is>
          <t>KIRIINDUS</t>
        </is>
      </c>
      <c r="C79" s="23" t="inlineStr">
        <is>
          <t>LONG</t>
        </is>
      </c>
      <c r="D79" s="24" t="n">
        <v>46268</v>
      </c>
      <c r="E79" s="25" t="n">
        <v>579.35</v>
      </c>
      <c r="F79" s="26" t="n">
        <v>302</v>
      </c>
      <c r="G79" s="24" t="n">
        <v>46269</v>
      </c>
      <c r="H79" s="25" t="n">
        <v>591.2967</v>
      </c>
      <c r="I79" s="21">
        <f>IF(OR($B79="",$H79=""),"",IF($C79="LONG",($H79-$E79)*$F79,($E79-$H79)*$F79))</f>
        <v/>
      </c>
      <c r="J79" s="4" t="n">
        <v>323.17</v>
      </c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inlineStr">
        <is>
          <t>DHAN-34126090365009</t>
        </is>
      </c>
      <c r="B80" s="23" t="inlineStr">
        <is>
          <t>RAYMOND</t>
        </is>
      </c>
      <c r="C80" s="23" t="inlineStr">
        <is>
          <t>LONG</t>
        </is>
      </c>
      <c r="D80" s="24" t="n">
        <v>46268</v>
      </c>
      <c r="E80" s="25" t="n">
        <v>763</v>
      </c>
      <c r="F80" s="26" t="n">
        <v>231</v>
      </c>
      <c r="G80" s="24" t="n">
        <v>46269</v>
      </c>
      <c r="H80" s="25" t="n">
        <v>751.7106</v>
      </c>
      <c r="I80" s="21">
        <f>IF(OR($B80="",$H80=""),"",IF($C80="LONG",($H80-$E80)*$F80,($E80-$H80)*$F80))</f>
        <v/>
      </c>
      <c r="J80" s="4" t="n">
        <v>332.64</v>
      </c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inlineStr">
        <is>
          <t>DHAN-32126090398709</t>
        </is>
      </c>
      <c r="B81" s="23" t="inlineStr">
        <is>
          <t>TBZ</t>
        </is>
      </c>
      <c r="C81" s="23" t="inlineStr">
        <is>
          <t>SHORT</t>
        </is>
      </c>
      <c r="D81" s="24" t="n">
        <v>46268</v>
      </c>
      <c r="E81" s="25" t="n">
        <v>423.45</v>
      </c>
      <c r="F81" s="26" t="n">
        <v>242</v>
      </c>
      <c r="G81" s="24" t="n">
        <v>46268</v>
      </c>
      <c r="H81" s="25" t="n">
        <v>423.6072</v>
      </c>
      <c r="I81" s="21">
        <f>IF(OR($B81="",$H81=""),"",IF($C81="LONG",($H81-$E81)*$F81,($E81-$H81)*$F81))</f>
        <v/>
      </c>
      <c r="J81" s="4" t="n">
        <v>162.41</v>
      </c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inlineStr">
        <is>
          <t>DHAN-321260903384009</t>
        </is>
      </c>
      <c r="B82" s="23" t="inlineStr">
        <is>
          <t>WINDLAS</t>
        </is>
      </c>
      <c r="C82" s="23" t="inlineStr">
        <is>
          <t>SHORT</t>
        </is>
      </c>
      <c r="D82" s="24" t="n">
        <v>46268</v>
      </c>
      <c r="E82" s="25" t="n">
        <v>1139.3014</v>
      </c>
      <c r="F82" s="26" t="n">
        <v>181</v>
      </c>
      <c r="G82" s="24" t="n">
        <v>46268</v>
      </c>
      <c r="H82" s="25" t="n">
        <v>1127.3989</v>
      </c>
      <c r="I82" s="21">
        <f>IF(OR($B82="",$H82=""),"",IF($C82="LONG",($H82-$E82)*$F82,($E82-$H82)*$F82))</f>
        <v/>
      </c>
      <c r="J82" s="4" t="n">
        <v>302.18</v>
      </c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inlineStr">
        <is>
          <t>DHAN-34126090316409</t>
        </is>
      </c>
      <c r="B83" s="23" t="inlineStr">
        <is>
          <t>XPROINDIA</t>
        </is>
      </c>
      <c r="C83" s="23" t="inlineStr">
        <is>
          <t>SHORT</t>
        </is>
      </c>
      <c r="D83" s="24" t="n">
        <v>46268</v>
      </c>
      <c r="E83" s="25" t="n">
        <v>1302.759</v>
      </c>
      <c r="F83" s="26" t="n">
        <v>154</v>
      </c>
      <c r="G83" s="24" t="n">
        <v>46268</v>
      </c>
      <c r="H83" s="25" t="n">
        <v>1290.8416</v>
      </c>
      <c r="I83" s="21">
        <f>IF(OR($B83="",$H83=""),"",IF($C83="LONG",($H83-$E83)*$F83,($E83-$H83)*$F83))</f>
        <v/>
      </c>
      <c r="J83" s="4" t="n">
        <v>244.39</v>
      </c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inlineStr">
        <is>
          <t>DHAN-32126090489209</t>
        </is>
      </c>
      <c r="B84" s="23" t="inlineStr">
        <is>
          <t>ALEMBICLTD</t>
        </is>
      </c>
      <c r="C84" s="23" t="inlineStr">
        <is>
          <t>SHORT</t>
        </is>
      </c>
      <c r="D84" s="24" t="n">
        <v>46269</v>
      </c>
      <c r="E84" s="25" t="n">
        <v>114.098</v>
      </c>
      <c r="F84" s="26" t="n">
        <v>1597</v>
      </c>
      <c r="G84" s="24" t="n">
        <v>46269</v>
      </c>
      <c r="H84" s="25" t="n">
        <v>111.8446</v>
      </c>
      <c r="I84" s="21">
        <f>IF(OR($B84="",$H84=""),"",IF($C84="LONG",($H84-$E84)*$F84,($E84-$H84)*$F84))</f>
        <v/>
      </c>
      <c r="J84" s="4" t="n">
        <v>223.48</v>
      </c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inlineStr">
        <is>
          <t>DHAN-34126090463509</t>
        </is>
      </c>
      <c r="B85" s="23" t="inlineStr">
        <is>
          <t>ANTELOPUS</t>
        </is>
      </c>
      <c r="C85" s="23" t="inlineStr">
        <is>
          <t>SHORT</t>
        </is>
      </c>
      <c r="D85" s="24" t="n">
        <v>46269</v>
      </c>
      <c r="E85" s="25" t="n">
        <v>1003.9</v>
      </c>
      <c r="F85" s="26" t="n">
        <v>86</v>
      </c>
      <c r="G85" s="24" t="n">
        <v>46269</v>
      </c>
      <c r="H85" s="25" t="n">
        <v>987.1866</v>
      </c>
      <c r="I85" s="21">
        <f>IF(OR($B85="",$H85=""),"",IF($C85="LONG",($H85-$E85)*$F85,($E85-$H85)*$F85))</f>
        <v/>
      </c>
      <c r="J85" s="4" t="n">
        <v>118.41</v>
      </c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inlineStr">
        <is>
          <t>DHAN-34126090416009</t>
        </is>
      </c>
      <c r="B86" s="23" t="inlineStr">
        <is>
          <t>BFUTILITIE</t>
        </is>
      </c>
      <c r="C86" s="23" t="inlineStr">
        <is>
          <t>SHORT</t>
        </is>
      </c>
      <c r="D86" s="24" t="n">
        <v>46269</v>
      </c>
      <c r="E86" s="25" t="n">
        <v>557.8248</v>
      </c>
      <c r="F86" s="26" t="n">
        <v>321</v>
      </c>
      <c r="G86" s="24" t="n">
        <v>46269</v>
      </c>
      <c r="H86" s="25" t="n">
        <v>545.7992</v>
      </c>
      <c r="I86" s="21">
        <f>IF(OR($B86="",$H86=""),"",IF($C86="LONG",($H86-$E86)*$F86,($E86-$H86)*$F86))</f>
        <v/>
      </c>
      <c r="J86" s="4" t="n">
        <v>264.5</v>
      </c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inlineStr">
        <is>
          <t>DHAN-22126090492309</t>
        </is>
      </c>
      <c r="B87" s="23" t="inlineStr">
        <is>
          <t>GOCLCORP</t>
        </is>
      </c>
      <c r="C87" s="23" t="inlineStr">
        <is>
          <t>SHORT</t>
        </is>
      </c>
      <c r="D87" s="24" t="n">
        <v>46269</v>
      </c>
      <c r="E87" s="25" t="n">
        <v>423.9067</v>
      </c>
      <c r="F87" s="26" t="n">
        <v>414</v>
      </c>
      <c r="G87" s="24" t="n">
        <v>46269</v>
      </c>
      <c r="H87" s="25" t="n">
        <v>429.4497</v>
      </c>
      <c r="I87" s="21">
        <f>IF(OR($B87="",$H87=""),"",IF($C87="LONG",($H87-$E87)*$F87,($E87-$H87)*$F87))</f>
        <v/>
      </c>
      <c r="J87" s="4" t="n">
        <v>262.49</v>
      </c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inlineStr">
        <is>
          <t>DHAN-34126090463609</t>
        </is>
      </c>
      <c r="B88" s="23" t="inlineStr">
        <is>
          <t>HINDOILEXP</t>
        </is>
      </c>
      <c r="C88" s="23" t="inlineStr">
        <is>
          <t>SHORT</t>
        </is>
      </c>
      <c r="D88" s="24" t="n">
        <v>46269</v>
      </c>
      <c r="E88" s="25" t="n">
        <v>181.8259</v>
      </c>
      <c r="F88" s="26" t="n">
        <v>951</v>
      </c>
      <c r="G88" s="24" t="n">
        <v>46269</v>
      </c>
      <c r="H88" s="25" t="n">
        <v>182</v>
      </c>
      <c r="I88" s="21">
        <f>IF(OR($B88="",$H88=""),"",IF($C88="LONG",($H88-$E88)*$F88,($E88-$H88)*$F88))</f>
        <v/>
      </c>
      <c r="J88" s="4" t="n">
        <v>214.74</v>
      </c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inlineStr">
        <is>
          <t>DHAN-23126090415409</t>
        </is>
      </c>
      <c r="B89" s="23" t="inlineStr">
        <is>
          <t>KIRIINDUS</t>
        </is>
      </c>
      <c r="C89" s="23" t="inlineStr">
        <is>
          <t>SHORT</t>
        </is>
      </c>
      <c r="D89" s="24" t="n">
        <v>46269</v>
      </c>
      <c r="E89" s="25" t="n">
        <v>591.654</v>
      </c>
      <c r="F89" s="26" t="n">
        <v>302</v>
      </c>
      <c r="G89" s="24" t="n">
        <v>46269</v>
      </c>
      <c r="H89" s="25" t="n">
        <v>562.05</v>
      </c>
      <c r="I89" s="21">
        <f>IF(OR($B89="",$H89=""),"",IF($C89="LONG",($H89-$E89)*$F89,($E89-$H89)*$F89))</f>
        <v/>
      </c>
      <c r="J89" s="4" t="n">
        <v>261.3</v>
      </c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inlineStr">
        <is>
          <t>DHAN-34126090488609</t>
        </is>
      </c>
      <c r="B90" s="23" t="inlineStr">
        <is>
          <t>MAITHANALL</t>
        </is>
      </c>
      <c r="C90" s="23" t="inlineStr">
        <is>
          <t>LONG</t>
        </is>
      </c>
      <c r="D90" s="24" t="n">
        <v>46269</v>
      </c>
      <c r="E90" s="25" t="n">
        <v>1086.426</v>
      </c>
      <c r="F90" s="26" t="n">
        <v>321</v>
      </c>
      <c r="G90" s="24" t="n">
        <v>46272</v>
      </c>
      <c r="H90" s="25" t="n">
        <v>1185</v>
      </c>
      <c r="I90" s="21">
        <f>IF(OR($B90="",$H90=""),"",IF($C90="LONG",($H90-$E90)*$F90,($E90-$H90)*$F90))</f>
        <v/>
      </c>
      <c r="J90" s="4" t="n">
        <v>833.8200000000001</v>
      </c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inlineStr">
        <is>
          <t>DHAN-321260904383309</t>
        </is>
      </c>
      <c r="B91" s="23" t="inlineStr">
        <is>
          <t>RAYMOND</t>
        </is>
      </c>
      <c r="C91" s="23" t="inlineStr">
        <is>
          <t>SHORT</t>
        </is>
      </c>
      <c r="D91" s="24" t="n">
        <v>46269</v>
      </c>
      <c r="E91" s="25" t="n">
        <v>752.5812</v>
      </c>
      <c r="F91" s="26" t="n">
        <v>231</v>
      </c>
      <c r="G91" s="24" t="n">
        <v>46269</v>
      </c>
      <c r="H91" s="25" t="n">
        <v>740.4414</v>
      </c>
      <c r="I91" s="21">
        <f>IF(OR($B91="",$H91=""),"",IF($C91="LONG",($H91-$E91)*$F91,($E91-$H91)*$F91))</f>
        <v/>
      </c>
      <c r="J91" s="4" t="n">
        <v>257.68</v>
      </c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inlineStr">
        <is>
          <t>DHAN-221260904639609</t>
        </is>
      </c>
      <c r="B92" s="23" t="inlineStr">
        <is>
          <t>RML</t>
        </is>
      </c>
      <c r="C92" s="23" t="inlineStr">
        <is>
          <t>LONG</t>
        </is>
      </c>
      <c r="D92" s="24" t="n">
        <v>46269</v>
      </c>
      <c r="E92" s="25" t="n">
        <v>1291.9929</v>
      </c>
      <c r="F92" s="26" t="n">
        <v>270</v>
      </c>
      <c r="G92" s="24" t="n">
        <v>46272</v>
      </c>
      <c r="H92" s="25" t="n">
        <v>1337.4363</v>
      </c>
      <c r="I92" s="21">
        <f>IF(OR($B92="",$H92=""),"",IF($C92="LONG",($H92-$E92)*$F92,($E92-$H92)*$F92))</f>
        <v/>
      </c>
      <c r="J92" s="4" t="n">
        <v>739.8200000000001</v>
      </c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inlineStr">
        <is>
          <t>DHAN-23126090486609</t>
        </is>
      </c>
      <c r="B93" s="23" t="inlineStr">
        <is>
          <t>SINDHUTRAD</t>
        </is>
      </c>
      <c r="C93" s="23" t="inlineStr">
        <is>
          <t>LONG</t>
        </is>
      </c>
      <c r="D93" s="24" t="n">
        <v>46269</v>
      </c>
      <c r="E93" s="25" t="n">
        <v>25.2263</v>
      </c>
      <c r="F93" s="26" t="n">
        <v>13916</v>
      </c>
      <c r="G93" s="24" t="n">
        <v>46272</v>
      </c>
      <c r="H93" s="25" t="n">
        <v>24.6576</v>
      </c>
      <c r="I93" s="21">
        <f>IF(OR($B93="",$H93=""),"",IF($C93="LONG",($H93-$E93)*$F93,($E93-$H93)*$F93))</f>
        <v/>
      </c>
      <c r="J93" s="4" t="n">
        <v>766.78</v>
      </c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inlineStr">
        <is>
          <t>DHAN-221260907740209</t>
        </is>
      </c>
      <c r="B94" s="23" t="inlineStr">
        <is>
          <t>CHEMPLASTS</t>
        </is>
      </c>
      <c r="C94" s="23" t="inlineStr">
        <is>
          <t>LONG</t>
        </is>
      </c>
      <c r="D94" s="24" t="n">
        <v>46272</v>
      </c>
      <c r="E94" s="25" t="n">
        <v>184.7831</v>
      </c>
      <c r="F94" s="26" t="n">
        <v>1261</v>
      </c>
      <c r="G94" s="24" t="n">
        <v>46273</v>
      </c>
      <c r="H94" s="25" t="n">
        <v>185.135</v>
      </c>
      <c r="I94" s="21">
        <f>IF(OR($B94="",$H94=""),"",IF($C94="LONG",($H94-$E94)*$F94,($E94-$H94)*$F94))</f>
        <v/>
      </c>
      <c r="J94" s="4" t="n">
        <v>433.62</v>
      </c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inlineStr">
        <is>
          <t>DHAN-23126090769809</t>
        </is>
      </c>
      <c r="B95" s="23" t="inlineStr">
        <is>
          <t>GNRL</t>
        </is>
      </c>
      <c r="C95" s="23" t="inlineStr">
        <is>
          <t>LONG</t>
        </is>
      </c>
      <c r="D95" s="24" t="n">
        <v>46272</v>
      </c>
      <c r="E95" s="25" t="n">
        <v>114.89</v>
      </c>
      <c r="F95" s="26" t="n">
        <v>1019</v>
      </c>
      <c r="G95" s="24" t="n">
        <v>46273</v>
      </c>
      <c r="H95" s="25" t="n">
        <v>107.5603</v>
      </c>
      <c r="I95" s="21">
        <f>IF(OR($B95="",$H95=""),"",IF($C95="LONG",($H95-$E95)*$F95,($E95-$H95)*$F95))</f>
        <v/>
      </c>
      <c r="J95" s="4" t="n">
        <v>181.46</v>
      </c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inlineStr">
        <is>
          <t>DHAN-23126090769609</t>
        </is>
      </c>
      <c r="B96" s="23" t="inlineStr">
        <is>
          <t>HIKAL</t>
        </is>
      </c>
      <c r="C96" s="23" t="inlineStr">
        <is>
          <t>LONG</t>
        </is>
      </c>
      <c r="D96" s="24" t="n">
        <v>46272</v>
      </c>
      <c r="E96" s="25" t="n">
        <v>242.9411</v>
      </c>
      <c r="F96" s="26" t="n">
        <v>959</v>
      </c>
      <c r="G96" s="24" t="n">
        <v>46273</v>
      </c>
      <c r="H96" s="25" t="n">
        <v>249.6418</v>
      </c>
      <c r="I96" s="21">
        <f>IF(OR($B96="",$H96=""),"",IF($C96="LONG",($H96-$E96)*$F96,($E96-$H96)*$F96))</f>
        <v/>
      </c>
      <c r="J96" s="4" t="n">
        <v>430.76</v>
      </c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inlineStr">
        <is>
          <t>DHAN-23126090714709</t>
        </is>
      </c>
      <c r="B97" s="23" t="inlineStr">
        <is>
          <t>MAITHANALL</t>
        </is>
      </c>
      <c r="C97" s="23" t="inlineStr">
        <is>
          <t>SHORT</t>
        </is>
      </c>
      <c r="D97" s="24" t="n">
        <v>46272</v>
      </c>
      <c r="E97" s="25" t="n">
        <v>1183.4504</v>
      </c>
      <c r="F97" s="26" t="n">
        <v>321</v>
      </c>
      <c r="G97" s="24" t="n">
        <v>46272</v>
      </c>
      <c r="H97" s="25" t="n">
        <v>1129.9305</v>
      </c>
      <c r="I97" s="21">
        <f>IF(OR($B97="",$H97=""),"",IF($C97="LONG",($H97-$E97)*$F97,($E97-$H97)*$F97))</f>
        <v/>
      </c>
      <c r="J97" s="4" t="n">
        <v>437.06</v>
      </c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inlineStr">
        <is>
          <t>DHAN-23126090769709</t>
        </is>
      </c>
      <c r="B98" s="23" t="inlineStr">
        <is>
          <t>PITTIENG</t>
        </is>
      </c>
      <c r="C98" s="23" t="inlineStr">
        <is>
          <t>LONG</t>
        </is>
      </c>
      <c r="D98" s="24" t="n">
        <v>46272</v>
      </c>
      <c r="E98" s="25" t="n">
        <v>1174.901</v>
      </c>
      <c r="F98" s="26" t="n">
        <v>198</v>
      </c>
      <c r="G98" s="24" t="n">
        <v>46273</v>
      </c>
      <c r="H98" s="25" t="n">
        <v>1155.7843</v>
      </c>
      <c r="I98" s="21">
        <f>IF(OR($B98="",$H98=""),"",IF($C98="LONG",($H98-$E98)*$F98,($E98-$H98)*$F98))</f>
        <v/>
      </c>
      <c r="J98" s="4" t="n">
        <v>487.6</v>
      </c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inlineStr">
        <is>
          <t>DHAN-211260907540809</t>
        </is>
      </c>
      <c r="B99" s="23" t="inlineStr">
        <is>
          <t>RML</t>
        </is>
      </c>
      <c r="C99" s="23" t="inlineStr">
        <is>
          <t>LONG</t>
        </is>
      </c>
      <c r="D99" s="24" t="n">
        <v>46272</v>
      </c>
      <c r="E99" s="25" t="n">
        <v>1397.9</v>
      </c>
      <c r="F99" s="26" t="n">
        <v>167</v>
      </c>
      <c r="G99" s="24" t="n">
        <v>46273</v>
      </c>
      <c r="H99" s="25" t="n">
        <v>1390.2426</v>
      </c>
      <c r="I99" s="21">
        <f>IF(OR($B99="",$H99=""),"",IF($C99="LONG",($H99-$E99)*$F99,($E99-$H99)*$F99))</f>
        <v/>
      </c>
      <c r="J99" s="4" t="n">
        <v>311.54</v>
      </c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inlineStr">
        <is>
          <t>DHAN-321260907112709</t>
        </is>
      </c>
      <c r="B100" s="23" t="inlineStr">
        <is>
          <t>RML</t>
        </is>
      </c>
      <c r="C100" s="23" t="inlineStr">
        <is>
          <t>SHORT</t>
        </is>
      </c>
      <c r="D100" s="24" t="n">
        <v>46272</v>
      </c>
      <c r="E100" s="25" t="n">
        <v>1345.7526</v>
      </c>
      <c r="F100" s="26" t="n">
        <v>270</v>
      </c>
      <c r="G100" s="24" t="n">
        <v>46272</v>
      </c>
      <c r="H100" s="25" t="n">
        <v>1363.1344</v>
      </c>
      <c r="I100" s="21">
        <f>IF(OR($B100="",$H100=""),"",IF($C100="LONG",($H100-$E100)*$F100,($E100-$H100)*$F100))</f>
        <v/>
      </c>
      <c r="J100" s="4" t="n">
        <v>380.66</v>
      </c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inlineStr">
        <is>
          <t>DHAN-34126090734409</t>
        </is>
      </c>
      <c r="B101" s="23" t="inlineStr">
        <is>
          <t>SINDHUTRAD</t>
        </is>
      </c>
      <c r="C101" s="23" t="inlineStr">
        <is>
          <t>SHORT</t>
        </is>
      </c>
      <c r="D101" s="24" t="n">
        <v>46272</v>
      </c>
      <c r="E101" s="25" t="n">
        <v>24.65</v>
      </c>
      <c r="F101" s="26" t="n">
        <v>13916</v>
      </c>
      <c r="G101" s="24" t="n">
        <v>46272</v>
      </c>
      <c r="H101" s="25" t="n">
        <v>25.2993</v>
      </c>
      <c r="I101" s="21">
        <f>IF(OR($B101="",$H101=""),"",IF($C101="LONG",($H101-$E101)*$F101,($E101-$H101)*$F101))</f>
        <v/>
      </c>
      <c r="J101" s="4" t="n">
        <v>516.37</v>
      </c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inlineStr">
        <is>
          <t>DHAN-321260907804109</t>
        </is>
      </c>
      <c r="B102" s="23" t="inlineStr">
        <is>
          <t>TALBROAUTO</t>
        </is>
      </c>
      <c r="C102" s="23" t="inlineStr">
        <is>
          <t>LONG</t>
        </is>
      </c>
      <c r="D102" s="24" t="n">
        <v>46272</v>
      </c>
      <c r="E102" s="25" t="n">
        <v>433.5513</v>
      </c>
      <c r="F102" s="26" t="n">
        <v>538</v>
      </c>
      <c r="G102" s="24" t="n">
        <v>46273</v>
      </c>
      <c r="H102" s="25" t="n">
        <v>424.0808</v>
      </c>
      <c r="I102" s="21">
        <f>IF(OR($B102="",$H102=""),"",IF($C102="LONG",($H102-$E102)*$F102,($E102-$H102)*$F102))</f>
        <v/>
      </c>
      <c r="J102" s="4" t="n">
        <v>487.69</v>
      </c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inlineStr">
        <is>
          <t>DHAN-34126090862909</t>
        </is>
      </c>
      <c r="B103" s="23" t="inlineStr">
        <is>
          <t>ANTELOPUS</t>
        </is>
      </c>
      <c r="C103" s="23" t="inlineStr">
        <is>
          <t>LONG</t>
        </is>
      </c>
      <c r="D103" s="24" t="n">
        <v>46273</v>
      </c>
      <c r="E103" s="25" t="n">
        <v>1102.5764</v>
      </c>
      <c r="F103" s="26" t="n">
        <v>91</v>
      </c>
      <c r="G103" s="24" t="n">
        <v>46274</v>
      </c>
      <c r="H103" s="25" t="n">
        <v>1138.4203</v>
      </c>
      <c r="I103" s="21">
        <f>IF(OR($B103="",$H103=""),"",IF($C103="LONG",($H103-$E103)*$F103,($E103-$H103)*$F103))</f>
        <v/>
      </c>
      <c r="J103" s="4" t="n">
        <v>161.36</v>
      </c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inlineStr">
        <is>
          <t>DHAN-221260908659309</t>
        </is>
      </c>
      <c r="B104" s="23" t="inlineStr">
        <is>
          <t>BCG</t>
        </is>
      </c>
      <c r="C104" s="23" t="inlineStr">
        <is>
          <t>LONG</t>
        </is>
      </c>
      <c r="D104" s="24" t="n">
        <v>46273</v>
      </c>
      <c r="E104" s="25" t="n">
        <v>10.548</v>
      </c>
      <c r="F104" s="26" t="n">
        <v>9469</v>
      </c>
      <c r="G104" s="24" t="n">
        <v>46274</v>
      </c>
      <c r="H104" s="25" t="n">
        <v>10.7</v>
      </c>
      <c r="I104" s="21">
        <f>IF(OR($B104="",$H104=""),"",IF($C104="LONG",($H104-$E104)*$F104,($E104-$H104)*$F104))</f>
        <v/>
      </c>
      <c r="J104" s="4" t="n">
        <v>185.66</v>
      </c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inlineStr">
        <is>
          <t>DHAN-23126090817409</t>
        </is>
      </c>
      <c r="B105" s="23" t="inlineStr">
        <is>
          <t>CHEMPLASTS</t>
        </is>
      </c>
      <c r="C105" s="23" t="inlineStr">
        <is>
          <t>SHORT</t>
        </is>
      </c>
      <c r="D105" s="24" t="n">
        <v>46273</v>
      </c>
      <c r="E105" s="25" t="n">
        <v>184.8514</v>
      </c>
      <c r="F105" s="26" t="n">
        <v>1261</v>
      </c>
      <c r="G105" s="24" t="n">
        <v>46273</v>
      </c>
      <c r="H105" s="25" t="n">
        <v>180.8919</v>
      </c>
      <c r="I105" s="21">
        <f>IF(OR($B105="",$H105=""),"",IF($C105="LONG",($H105-$E105)*$F105,($E105-$H105)*$F105))</f>
        <v/>
      </c>
      <c r="J105" s="4" t="n">
        <v>337.14</v>
      </c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inlineStr">
        <is>
          <t>DHAN-221260908413109</t>
        </is>
      </c>
      <c r="B106" s="23" t="inlineStr">
        <is>
          <t>GNRL</t>
        </is>
      </c>
      <c r="C106" s="23" t="inlineStr">
        <is>
          <t>SHORT</t>
        </is>
      </c>
      <c r="D106" s="24" t="n">
        <v>46273</v>
      </c>
      <c r="E106" s="25" t="n">
        <v>107.3351</v>
      </c>
      <c r="F106" s="26" t="n">
        <v>1019</v>
      </c>
      <c r="G106" s="24" t="n">
        <v>46273</v>
      </c>
      <c r="H106" s="25" t="n">
        <v>107.6045</v>
      </c>
      <c r="I106" s="21">
        <f>IF(OR($B106="",$H106=""),"",IF($C106="LONG",($H106-$E106)*$F106,($E106-$H106)*$F106))</f>
        <v/>
      </c>
      <c r="J106" s="4" t="n">
        <v>172.01</v>
      </c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inlineStr">
        <is>
          <t>DHAN-23126090817509</t>
        </is>
      </c>
      <c r="B107" s="23" t="inlineStr">
        <is>
          <t>HIKAL</t>
        </is>
      </c>
      <c r="C107" s="23" t="inlineStr">
        <is>
          <t>SHORT</t>
        </is>
      </c>
      <c r="D107" s="24" t="n">
        <v>46273</v>
      </c>
      <c r="E107" s="25" t="n">
        <v>250.9033</v>
      </c>
      <c r="F107" s="26" t="n">
        <v>959</v>
      </c>
      <c r="G107" s="24" t="n">
        <v>46273</v>
      </c>
      <c r="H107" s="25" t="n">
        <v>238.36</v>
      </c>
      <c r="I107" s="21">
        <f>IF(OR($B107="",$H107=""),"",IF($C107="LONG",($H107-$E107)*$F107,($E107-$H107)*$F107))</f>
        <v/>
      </c>
      <c r="J107" s="4" t="n">
        <v>343.41</v>
      </c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inlineStr">
        <is>
          <t>DHAN-34126090863109</t>
        </is>
      </c>
      <c r="B108" s="23" t="inlineStr">
        <is>
          <t>NOVARTIND</t>
        </is>
      </c>
      <c r="C108" s="23" t="inlineStr">
        <is>
          <t>LONG</t>
        </is>
      </c>
      <c r="D108" s="24" t="n">
        <v>46273</v>
      </c>
      <c r="E108" s="25" t="n">
        <v>1830.287</v>
      </c>
      <c r="F108" s="26" t="n">
        <v>54</v>
      </c>
      <c r="G108" s="24" t="n">
        <v>46274</v>
      </c>
      <c r="H108" s="25" t="n">
        <v>1990.874</v>
      </c>
      <c r="I108" s="21">
        <f>IF(OR($B108="",$H108=""),"",IF($C108="LONG",($H108-$E108)*$F108,($E108-$H108)*$F108))</f>
        <v/>
      </c>
      <c r="J108" s="4" t="n">
        <v>187.34</v>
      </c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inlineStr">
        <is>
          <t>DHAN-34126090837009</t>
        </is>
      </c>
      <c r="B109" s="23" t="inlineStr">
        <is>
          <t>PITTIENG</t>
        </is>
      </c>
      <c r="C109" s="23" t="inlineStr">
        <is>
          <t>SHORT</t>
        </is>
      </c>
      <c r="D109" s="24" t="n">
        <v>46273</v>
      </c>
      <c r="E109" s="25" t="n">
        <v>1156.1207</v>
      </c>
      <c r="F109" s="26" t="n">
        <v>198</v>
      </c>
      <c r="G109" s="24" t="n">
        <v>46273</v>
      </c>
      <c r="H109" s="25" t="n">
        <v>1175.9915</v>
      </c>
      <c r="I109" s="21">
        <f>IF(OR($B109="",$H109=""),"",IF($C109="LONG",($H109-$E109)*$F109,($E109-$H109)*$F109))</f>
        <v/>
      </c>
      <c r="J109" s="4" t="n">
        <v>278.06</v>
      </c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inlineStr">
        <is>
          <t>DHAN-23126090859209</t>
        </is>
      </c>
      <c r="B110" s="23" t="inlineStr">
        <is>
          <t>SYMPHONY</t>
        </is>
      </c>
      <c r="C110" s="23" t="inlineStr">
        <is>
          <t>LONG</t>
        </is>
      </c>
      <c r="D110" s="24" t="n">
        <v>46273</v>
      </c>
      <c r="E110" s="25" t="n">
        <v>614</v>
      </c>
      <c r="F110" s="26" t="n">
        <v>324</v>
      </c>
      <c r="G110" s="24" t="n">
        <v>46274</v>
      </c>
      <c r="H110" s="25" t="n">
        <v>614.6335</v>
      </c>
      <c r="I110" s="21">
        <f>IF(OR($B110="",$H110=""),"",IF($C110="LONG",($H110-$E110)*$F110,($E110-$H110)*$F110))</f>
        <v/>
      </c>
      <c r="J110" s="4" t="n">
        <v>437.61</v>
      </c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inlineStr">
        <is>
          <t>DHAN-34126090836909</t>
        </is>
      </c>
      <c r="B111" s="23" t="inlineStr">
        <is>
          <t>TALBROAUTO</t>
        </is>
      </c>
      <c r="C111" s="23" t="inlineStr">
        <is>
          <t>SHORT</t>
        </is>
      </c>
      <c r="D111" s="24" t="n">
        <v>46273</v>
      </c>
      <c r="E111" s="25" t="n">
        <v>423.2118</v>
      </c>
      <c r="F111" s="26" t="n">
        <v>538</v>
      </c>
      <c r="G111" s="24" t="n">
        <v>46273</v>
      </c>
      <c r="H111" s="25" t="n">
        <v>423.5558</v>
      </c>
      <c r="I111" s="21">
        <f>IF(OR($B111="",$H111=""),"",IF($C111="LONG",($H111-$E111)*$F111,($E111-$H111)*$F111))</f>
        <v/>
      </c>
      <c r="J111" s="4" t="n">
        <v>275.39</v>
      </c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inlineStr">
        <is>
          <t>DHAN-23126090859309</t>
        </is>
      </c>
      <c r="B112" s="23" t="inlineStr">
        <is>
          <t>VENUSPIPES</t>
        </is>
      </c>
      <c r="C112" s="23" t="inlineStr">
        <is>
          <t>LONG</t>
        </is>
      </c>
      <c r="D112" s="24" t="n">
        <v>46273</v>
      </c>
      <c r="E112" s="25" t="n">
        <v>1954.9</v>
      </c>
      <c r="F112" s="26" t="n">
        <v>102</v>
      </c>
      <c r="G112" s="24" t="n">
        <v>46274</v>
      </c>
      <c r="H112" s="25" t="n">
        <v>1990.0922</v>
      </c>
      <c r="I112" s="21">
        <f>IF(OR($B112="",$H112=""),"",IF($C112="LONG",($H112-$E112)*$F112,($E112-$H112)*$F112))</f>
        <v/>
      </c>
      <c r="J112" s="4" t="n">
        <v>382.63</v>
      </c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inlineStr">
        <is>
          <t>DHAN-321260909716709</t>
        </is>
      </c>
      <c r="B113" s="23" t="inlineStr">
        <is>
          <t>ANTELOPUS</t>
        </is>
      </c>
      <c r="C113" s="23" t="inlineStr">
        <is>
          <t>LONG</t>
        </is>
      </c>
      <c r="D113" s="24" t="n">
        <v>46274</v>
      </c>
      <c r="E113" s="25" t="n">
        <v>1162.9767</v>
      </c>
      <c r="F113" s="26" t="n">
        <v>75</v>
      </c>
      <c r="G113" s="24" t="n">
        <v>46275</v>
      </c>
      <c r="H113" s="25" t="n">
        <v>1137.85</v>
      </c>
      <c r="I113" s="21">
        <f>IF(OR($B113="",$H113=""),"",IF($C113="LONG",($H113-$E113)*$F113,($E113-$H113)*$F113))</f>
        <v/>
      </c>
      <c r="J113" s="4" t="n">
        <v>130.14</v>
      </c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inlineStr">
        <is>
          <t>DHAN-321260909102909</t>
        </is>
      </c>
      <c r="B114" s="23" t="inlineStr">
        <is>
          <t>ANTELOPUS</t>
        </is>
      </c>
      <c r="C114" s="23" t="inlineStr">
        <is>
          <t>SHORT</t>
        </is>
      </c>
      <c r="D114" s="24" t="n">
        <v>46274</v>
      </c>
      <c r="E114" s="25" t="n">
        <v>1140.9686</v>
      </c>
      <c r="F114" s="26" t="n">
        <v>91</v>
      </c>
      <c r="G114" s="24" t="n">
        <v>46274</v>
      </c>
      <c r="H114" s="25" t="n">
        <v>1162.65</v>
      </c>
      <c r="I114" s="21">
        <f>IF(OR($B114="",$H114=""),"",IF($C114="LONG",($H114-$E114)*$F114,($E114-$H114)*$F114))</f>
        <v/>
      </c>
      <c r="J114" s="4" t="n">
        <v>126.99</v>
      </c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inlineStr">
        <is>
          <t>DHAN-321260909102809</t>
        </is>
      </c>
      <c r="B115" s="23" t="inlineStr">
        <is>
          <t>BCG</t>
        </is>
      </c>
      <c r="C115" s="23" t="inlineStr">
        <is>
          <t>SHORT</t>
        </is>
      </c>
      <c r="D115" s="24" t="n">
        <v>46274</v>
      </c>
      <c r="E115" s="25" t="n">
        <v>10.7</v>
      </c>
      <c r="F115" s="26" t="n">
        <v>9469</v>
      </c>
      <c r="G115" s="24" t="n">
        <v>46274</v>
      </c>
      <c r="H115" s="25" t="n">
        <v>10.16</v>
      </c>
      <c r="I115" s="21">
        <f>IF(OR($B115="",$H115=""),"",IF($C115="LONG",($H115-$E115)*$F115,($E115-$H115)*$F115))</f>
        <v/>
      </c>
      <c r="J115" s="4" t="n">
        <v>133.49</v>
      </c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inlineStr">
        <is>
          <t>DHAN-34126090981309</t>
        </is>
      </c>
      <c r="B116" s="23" t="inlineStr">
        <is>
          <t>EIEL</t>
        </is>
      </c>
      <c r="C116" s="23" t="inlineStr">
        <is>
          <t>LONG</t>
        </is>
      </c>
      <c r="D116" s="24" t="n">
        <v>46274</v>
      </c>
      <c r="E116" s="25" t="n">
        <v>206.0991</v>
      </c>
      <c r="F116" s="26" t="n">
        <v>847</v>
      </c>
      <c r="G116" s="24" t="n">
        <v>46275</v>
      </c>
      <c r="H116" s="25" t="n">
        <v>213.8</v>
      </c>
      <c r="I116" s="21">
        <f>IF(OR($B116="",$H116=""),"",IF($C116="LONG",($H116-$E116)*$F116,($E116-$H116)*$F116))</f>
        <v/>
      </c>
      <c r="J116" s="4" t="n">
        <v>530.04</v>
      </c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inlineStr">
        <is>
          <t>DHAN-34126090980209</t>
        </is>
      </c>
      <c r="B117" s="23" t="inlineStr">
        <is>
          <t>INDNIPPON</t>
        </is>
      </c>
      <c r="C117" s="23" t="inlineStr">
        <is>
          <t>LONG</t>
        </is>
      </c>
      <c r="D117" s="24" t="n">
        <v>46274</v>
      </c>
      <c r="E117" s="25" t="n">
        <v>1340</v>
      </c>
      <c r="F117" s="26" t="n">
        <v>207</v>
      </c>
      <c r="G117" s="24" t="n">
        <v>46275</v>
      </c>
      <c r="H117" s="25" t="n">
        <v>1460.09</v>
      </c>
      <c r="I117" s="21">
        <f>IF(OR($B117="",$H117=""),"",IF($C117="LONG",($H117-$E117)*$F117,($E117-$H117)*$F117))</f>
        <v/>
      </c>
      <c r="J117" s="4" t="n">
        <v>796.39</v>
      </c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inlineStr">
        <is>
          <t>DHAN-34126090981209</t>
        </is>
      </c>
      <c r="B118" s="23" t="inlineStr">
        <is>
          <t>INDORAMA</t>
        </is>
      </c>
      <c r="C118" s="23" t="inlineStr">
        <is>
          <t>LONG</t>
        </is>
      </c>
      <c r="D118" s="24" t="n">
        <v>46274</v>
      </c>
      <c r="E118" s="25" t="n">
        <v>85.4701</v>
      </c>
      <c r="F118" s="26" t="n">
        <v>1022</v>
      </c>
      <c r="G118" s="24" t="n">
        <v>46275</v>
      </c>
      <c r="H118" s="25" t="n">
        <v>87.33</v>
      </c>
      <c r="I118" s="21">
        <f>IF(OR($B118="",$H118=""),"",IF($C118="LONG",($H118-$E118)*$F118,($E118-$H118)*$F118))</f>
        <v/>
      </c>
      <c r="J118" s="4" t="n">
        <v>211.06</v>
      </c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inlineStr">
        <is>
          <t>DHAN-221260909100409</t>
        </is>
      </c>
      <c r="B119" s="23" t="inlineStr">
        <is>
          <t>NOVARTIND</t>
        </is>
      </c>
      <c r="C119" s="23" t="inlineStr">
        <is>
          <t>SHORT</t>
        </is>
      </c>
      <c r="D119" s="24" t="n">
        <v>46274</v>
      </c>
      <c r="E119" s="25" t="n">
        <v>1982.2908</v>
      </c>
      <c r="F119" s="26" t="n">
        <v>54</v>
      </c>
      <c r="G119" s="24" t="n">
        <v>46274</v>
      </c>
      <c r="H119" s="25" t="n">
        <v>2159.2258</v>
      </c>
      <c r="I119" s="21">
        <f>IF(OR($B119="",$H119=""),"",IF($C119="LONG",($H119-$E119)*$F119,($E119-$H119)*$F119))</f>
        <v/>
      </c>
      <c r="J119" s="4" t="n">
        <v>145.85</v>
      </c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inlineStr">
        <is>
          <t>DHAN-221260909672309</t>
        </is>
      </c>
      <c r="B120" s="23" t="inlineStr">
        <is>
          <t>RESPONIND</t>
        </is>
      </c>
      <c r="C120" s="23" t="inlineStr">
        <is>
          <t>LONG</t>
        </is>
      </c>
      <c r="D120" s="24" t="n">
        <v>46274</v>
      </c>
      <c r="E120" s="25" t="n">
        <v>169.585</v>
      </c>
      <c r="F120" s="26" t="n">
        <v>1026</v>
      </c>
      <c r="G120" s="24" t="n">
        <v>46275</v>
      </c>
      <c r="H120" s="25" t="n">
        <v>172.17</v>
      </c>
      <c r="I120" s="21">
        <f>IF(OR($B120="",$H120=""),"",IF($C120="LONG",($H120-$E120)*$F120,($E120-$H120)*$F120))</f>
        <v/>
      </c>
      <c r="J120" s="4" t="n">
        <v>523.87</v>
      </c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inlineStr">
        <is>
          <t>DHAN-23126090989309</t>
        </is>
      </c>
      <c r="B121" s="23" t="inlineStr">
        <is>
          <t>SHAREINDIA</t>
        </is>
      </c>
      <c r="C121" s="23" t="inlineStr">
        <is>
          <t>LONG</t>
        </is>
      </c>
      <c r="D121" s="24" t="n">
        <v>46274</v>
      </c>
      <c r="E121" s="25" t="n">
        <v>190.2983</v>
      </c>
      <c r="F121" s="26" t="n">
        <v>923</v>
      </c>
      <c r="G121" s="24" t="n">
        <v>46275</v>
      </c>
      <c r="H121" s="25" t="n">
        <v>201.1</v>
      </c>
      <c r="I121" s="21">
        <f>IF(OR($B121="",$H121=""),"",IF($C121="LONG",($H121-$E121)*$F121,($E121-$H121)*$F121))</f>
        <v/>
      </c>
      <c r="J121" s="4" t="n">
        <v>529.11</v>
      </c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inlineStr">
        <is>
          <t>DHAN-34126090953709</t>
        </is>
      </c>
      <c r="B122" s="23" t="inlineStr">
        <is>
          <t>SYMPHONY</t>
        </is>
      </c>
      <c r="C122" s="23" t="inlineStr">
        <is>
          <t>SHORT</t>
        </is>
      </c>
      <c r="D122" s="24" t="n">
        <v>46274</v>
      </c>
      <c r="E122" s="25" t="n">
        <v>613.9752</v>
      </c>
      <c r="F122" s="26" t="n">
        <v>324</v>
      </c>
      <c r="G122" s="24" t="n">
        <v>46274</v>
      </c>
      <c r="H122" s="25" t="n">
        <v>616.5076</v>
      </c>
      <c r="I122" s="21">
        <f>IF(OR($B122="",$H122=""),"",IF($C122="LONG",($H122-$E122)*$F122,($E122-$H122)*$F122))</f>
        <v/>
      </c>
      <c r="J122" s="4" t="n">
        <v>243.77</v>
      </c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inlineStr">
        <is>
          <t>DHAN-221260909100309</t>
        </is>
      </c>
      <c r="B123" s="23" t="inlineStr">
        <is>
          <t>VENUSPIPES</t>
        </is>
      </c>
      <c r="C123" s="23" t="inlineStr">
        <is>
          <t>SHORT</t>
        </is>
      </c>
      <c r="D123" s="24" t="n">
        <v>46274</v>
      </c>
      <c r="E123" s="25" t="n">
        <v>1987.3264</v>
      </c>
      <c r="F123" s="26" t="n">
        <v>102</v>
      </c>
      <c r="G123" s="24" t="n">
        <v>46274</v>
      </c>
      <c r="H123" s="25" t="n">
        <v>1943.597</v>
      </c>
      <c r="I123" s="21">
        <f>IF(OR($B123="",$H123=""),"",IF($C123="LONG",($H123-$E123)*$F123,($E123-$H123)*$F123))</f>
        <v/>
      </c>
      <c r="J123" s="4" t="n">
        <v>296.19</v>
      </c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inlineStr">
        <is>
          <t>DHAN-23126091046509</t>
        </is>
      </c>
      <c r="B124" s="23" t="inlineStr">
        <is>
          <t>ANTELOPUS</t>
        </is>
      </c>
      <c r="C124" s="23" t="inlineStr">
        <is>
          <t>SHORT</t>
        </is>
      </c>
      <c r="D124" s="24" t="n">
        <v>46275</v>
      </c>
      <c r="E124" s="25" t="n">
        <v>1137.38</v>
      </c>
      <c r="F124" s="26" t="n">
        <v>75</v>
      </c>
      <c r="G124" s="24" t="n">
        <v>46275</v>
      </c>
      <c r="H124" s="25" t="n">
        <v>1134.24</v>
      </c>
      <c r="I124" s="21">
        <f>IF(OR($B124="",$H124=""),"",IF($C124="LONG",($H124-$E124)*$F124,($E124-$H124)*$F124))</f>
        <v/>
      </c>
      <c r="J124" s="4" t="n">
        <v>77.45</v>
      </c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inlineStr">
        <is>
          <t>DHAN-34126091019209</t>
        </is>
      </c>
      <c r="B125" s="23" t="inlineStr">
        <is>
          <t>EIEL</t>
        </is>
      </c>
      <c r="C125" s="23" t="inlineStr">
        <is>
          <t>SHORT</t>
        </is>
      </c>
      <c r="D125" s="24" t="n">
        <v>46275</v>
      </c>
      <c r="E125" s="25" t="n">
        <v>213.59</v>
      </c>
      <c r="F125" s="26" t="n">
        <v>847</v>
      </c>
      <c r="G125" s="24" t="n">
        <v>46275</v>
      </c>
      <c r="H125" s="25" t="n">
        <v>213.18</v>
      </c>
      <c r="I125" s="21">
        <f>IF(OR($B125="",$H125=""),"",IF($C125="LONG",($H125-$E125)*$F125,($E125-$H125)*$F125))</f>
        <v/>
      </c>
      <c r="J125" s="4" t="n">
        <v>111.37</v>
      </c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inlineStr">
        <is>
          <t>DHAN-32126091099109</t>
        </is>
      </c>
      <c r="B126" s="23" t="inlineStr">
        <is>
          <t>INDNIPPON</t>
        </is>
      </c>
      <c r="C126" s="23" t="inlineStr">
        <is>
          <t>SHORT</t>
        </is>
      </c>
      <c r="D126" s="24" t="n">
        <v>46275</v>
      </c>
      <c r="E126" s="25" t="n">
        <v>1456.15</v>
      </c>
      <c r="F126" s="26" t="n">
        <v>207</v>
      </c>
      <c r="G126" s="24" t="n">
        <v>46275</v>
      </c>
      <c r="H126" s="25" t="n">
        <v>1552.9169</v>
      </c>
      <c r="I126" s="21">
        <f>IF(OR($B126="",$H126=""),"",IF($C126="LONG",($H126-$E126)*$F126,($E126-$H126)*$F126))</f>
        <v/>
      </c>
      <c r="J126" s="4" t="n">
        <v>155.5</v>
      </c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inlineStr">
        <is>
          <t>DHAN-321260910622509</t>
        </is>
      </c>
      <c r="B127" s="23" t="inlineStr">
        <is>
          <t>INDOCO</t>
        </is>
      </c>
      <c r="C127" s="23" t="inlineStr">
        <is>
          <t>LONG</t>
        </is>
      </c>
      <c r="D127" s="24" t="n">
        <v>46275</v>
      </c>
      <c r="E127" s="25" t="n">
        <v>253.0721</v>
      </c>
      <c r="F127" s="26" t="n">
        <v>1146</v>
      </c>
      <c r="G127" s="24" t="inlineStr"/>
      <c r="H127" s="25" t="inlineStr"/>
      <c r="I127" s="21">
        <f>IF(OR($B127="",$H127=""),"",IF($C127="LONG",($H127-$E127)*$F127,($E127-$H127)*$F127))</f>
        <v/>
      </c>
      <c r="J127" s="4" t="n">
        <v>418.12</v>
      </c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inlineStr">
        <is>
          <t>DHAN-221260910389009</t>
        </is>
      </c>
      <c r="B128" s="23" t="inlineStr">
        <is>
          <t>INDORAMA</t>
        </is>
      </c>
      <c r="C128" s="23" t="inlineStr">
        <is>
          <t>SHORT</t>
        </is>
      </c>
      <c r="D128" s="24" t="n">
        <v>46275</v>
      </c>
      <c r="E128" s="25" t="n">
        <v>87.26000000000001</v>
      </c>
      <c r="F128" s="26" t="n">
        <v>1022</v>
      </c>
      <c r="G128" s="24" t="n">
        <v>46275</v>
      </c>
      <c r="H128" s="25" t="n">
        <v>84.66</v>
      </c>
      <c r="I128" s="21">
        <f>IF(OR($B128="",$H128=""),"",IF($C128="LONG",($H128-$E128)*$F128,($E128-$H128)*$F128))</f>
        <v/>
      </c>
      <c r="J128" s="4" t="n">
        <v>78.66</v>
      </c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inlineStr">
        <is>
          <t>DHAN-23126091079309</t>
        </is>
      </c>
      <c r="B129" s="23" t="inlineStr">
        <is>
          <t>KSL</t>
        </is>
      </c>
      <c r="C129" s="23" t="inlineStr">
        <is>
          <t>LONG</t>
        </is>
      </c>
      <c r="D129" s="24" t="n">
        <v>46275</v>
      </c>
      <c r="E129" s="25" t="n">
        <v>968.7272</v>
      </c>
      <c r="F129" s="26" t="n">
        <v>299</v>
      </c>
      <c r="G129" s="24" t="inlineStr"/>
      <c r="H129" s="25" t="inlineStr"/>
      <c r="I129" s="21">
        <f>IF(OR($B129="",$H129=""),"",IF($C129="LONG",($H129-$E129)*$F129,($E129-$H129)*$F129))</f>
        <v/>
      </c>
      <c r="J129" s="4" t="n">
        <v>417.68</v>
      </c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inlineStr">
        <is>
          <t>DHAN-23126091046609</t>
        </is>
      </c>
      <c r="B130" s="23" t="inlineStr">
        <is>
          <t>RESPONIND</t>
        </is>
      </c>
      <c r="C130" s="23" t="inlineStr">
        <is>
          <t>SHORT</t>
        </is>
      </c>
      <c r="D130" s="24" t="n">
        <v>46275</v>
      </c>
      <c r="E130" s="25" t="n">
        <v>172.11</v>
      </c>
      <c r="F130" s="26" t="n">
        <v>1026</v>
      </c>
      <c r="G130" s="24" t="n">
        <v>46275</v>
      </c>
      <c r="H130" s="25" t="n">
        <v>171.29</v>
      </c>
      <c r="I130" s="21">
        <f>IF(OR($B130="",$H130=""),"",IF($C130="LONG",($H130-$E130)*$F130,($E130-$H130)*$F130))</f>
        <v/>
      </c>
      <c r="J130" s="4" t="n">
        <v>109.8</v>
      </c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inlineStr">
        <is>
          <t>DHAN-321260910622409</t>
        </is>
      </c>
      <c r="B131" s="23" t="inlineStr">
        <is>
          <t>SAMHI</t>
        </is>
      </c>
      <c r="C131" s="23" t="inlineStr">
        <is>
          <t>LONG</t>
        </is>
      </c>
      <c r="D131" s="24" t="n">
        <v>46275</v>
      </c>
      <c r="E131" s="25" t="n">
        <v>160.6529</v>
      </c>
      <c r="F131" s="26" t="n">
        <v>1815</v>
      </c>
      <c r="G131" s="24" t="inlineStr"/>
      <c r="H131" s="25" t="inlineStr"/>
      <c r="I131" s="21">
        <f>IF(OR($B131="",$H131=""),"",IF($C131="LONG",($H131-$E131)*$F131,($E131-$H131)*$F131))</f>
        <v/>
      </c>
      <c r="J131" s="4" t="n">
        <v>419.98</v>
      </c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inlineStr">
        <is>
          <t>DHAN-221260910101209</t>
        </is>
      </c>
      <c r="B132" s="23" t="inlineStr">
        <is>
          <t>SHAREINDIA</t>
        </is>
      </c>
      <c r="C132" s="23" t="inlineStr">
        <is>
          <t>SHORT</t>
        </is>
      </c>
      <c r="D132" s="24" t="n">
        <v>46275</v>
      </c>
      <c r="E132" s="25" t="n">
        <v>201.46</v>
      </c>
      <c r="F132" s="26" t="n">
        <v>923</v>
      </c>
      <c r="G132" s="24" t="n">
        <v>46275</v>
      </c>
      <c r="H132" s="25" t="n">
        <v>205</v>
      </c>
      <c r="I132" s="21">
        <f>IF(OR($B132="",$H132=""),"",IF($C132="LONG",($H132-$E132)*$F132,($E132-$H132)*$F132))</f>
        <v/>
      </c>
      <c r="J132" s="4" t="n">
        <v>113.4</v>
      </c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inlineStr">
        <is>
          <t>DHAN-34126091072709</t>
        </is>
      </c>
      <c r="B133" s="23" t="inlineStr">
        <is>
          <t>VSSL</t>
        </is>
      </c>
      <c r="C133" s="23" t="inlineStr">
        <is>
          <t>LONG</t>
        </is>
      </c>
      <c r="D133" s="24" t="n">
        <v>46275</v>
      </c>
      <c r="E133" s="25" t="n">
        <v>390.2742</v>
      </c>
      <c r="F133" s="26" t="n">
        <v>739</v>
      </c>
      <c r="G133" s="24" t="inlineStr"/>
      <c r="H133" s="25" t="inlineStr"/>
      <c r="I133" s="21">
        <f>IF(OR($B133="",$H133=""),"",IF($C133="LONG",($H133-$E133)*$F133,($E133-$H133)*$F133))</f>
        <v/>
      </c>
      <c r="J133" s="4" t="n">
        <v>416.21</v>
      </c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inlineStr">
        <is>
          <t>DHAN-321260910622609</t>
        </is>
      </c>
      <c r="B134" s="23" t="inlineStr">
        <is>
          <t>WENDT</t>
        </is>
      </c>
      <c r="C134" s="23" t="inlineStr">
        <is>
          <t>LONG</t>
        </is>
      </c>
      <c r="D134" s="24" t="n">
        <v>46275</v>
      </c>
      <c r="E134" s="25" t="n">
        <v>8657.606</v>
      </c>
      <c r="F134" s="26" t="n">
        <v>33</v>
      </c>
      <c r="G134" s="24" t="inlineStr"/>
      <c r="H134" s="25" t="inlineStr"/>
      <c r="I134" s="21">
        <f>IF(OR($B134="",$H134=""),"",IF($C134="LONG",($H134-$E134)*$F134,($E134-$H134)*$F134))</f>
        <v/>
      </c>
      <c r="J134" s="4" t="n">
        <v>412.99</v>
      </c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ASHOKA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BAJAJHIND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BANARISUG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BCG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BFUTILITIE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BOMDYEING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CHEMPLASTS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EIEL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FMGOETZE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GKENERGY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GNRL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GOCLCORP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GOPAL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GUJTHEM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HERITGFOOD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HIKAL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HINDOILEXP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HUBTOWN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INDNIPPON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INDOCO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INDORAMA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JGCHEM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KCP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KIRIINDUS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KLBRENG-B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27" t="inlineStr">
        <is>
          <t>KSL</t>
        </is>
      </c>
      <c r="B31" s="20">
        <f>COUNTIF('Trade Log'!$B$4:$B$503,$A31)</f>
        <v/>
      </c>
      <c r="C31" s="20">
        <f>COUNTIFS('Trade Log'!$B$4:$B$503,$A31,'Trade Log'!$K$4:$K$503,"&gt;0")</f>
        <v/>
      </c>
      <c r="D31" s="20">
        <f>COUNTIFS('Trade Log'!$B$4:$B$503,$A31,'Trade Log'!$K$4:$K$503,"&lt;0")</f>
        <v/>
      </c>
      <c r="E31" s="29">
        <f>IFERROR($C31/$B31,"")</f>
        <v/>
      </c>
      <c r="F31" s="21">
        <f>SUMIF('Trade Log'!$B$4:$B$503,$A31,'Trade Log'!$I$4:$I$503)</f>
        <v/>
      </c>
      <c r="G31" s="21">
        <f>SUMIF('Trade Log'!$B$4:$B$503,$A31,'Trade Log'!$K$4:$K$503)</f>
        <v/>
      </c>
      <c r="H31" s="21">
        <f>IFERROR($G31/$B31,"")</f>
        <v/>
      </c>
      <c r="I31" s="21">
        <f>IFERROR(_xlfn.MAXIFS('Trade Log'!$K$4:$K$503,'Trade Log'!$B$4:$B$503,$A31),"")</f>
        <v/>
      </c>
      <c r="J31" s="21">
        <f>IFERROR(_xlfn.MINIFS('Trade Log'!$K$4:$K$503,'Trade Log'!$B$4:$B$503,$A31),"")</f>
        <v/>
      </c>
    </row>
    <row r="32">
      <c r="A32" s="27" t="inlineStr">
        <is>
          <t>MAITHANALL</t>
        </is>
      </c>
      <c r="B32" s="20">
        <f>COUNTIF('Trade Log'!$B$4:$B$503,$A32)</f>
        <v/>
      </c>
      <c r="C32" s="20">
        <f>COUNTIFS('Trade Log'!$B$4:$B$503,$A32,'Trade Log'!$K$4:$K$503,"&gt;0")</f>
        <v/>
      </c>
      <c r="D32" s="20">
        <f>COUNTIFS('Trade Log'!$B$4:$B$503,$A32,'Trade Log'!$K$4:$K$503,"&lt;0")</f>
        <v/>
      </c>
      <c r="E32" s="29">
        <f>IFERROR($C32/$B32,"")</f>
        <v/>
      </c>
      <c r="F32" s="21">
        <f>SUMIF('Trade Log'!$B$4:$B$503,$A32,'Trade Log'!$I$4:$I$503)</f>
        <v/>
      </c>
      <c r="G32" s="21">
        <f>SUMIF('Trade Log'!$B$4:$B$503,$A32,'Trade Log'!$K$4:$K$503)</f>
        <v/>
      </c>
      <c r="H32" s="21">
        <f>IFERROR($G32/$B32,"")</f>
        <v/>
      </c>
      <c r="I32" s="21">
        <f>IFERROR(_xlfn.MAXIFS('Trade Log'!$K$4:$K$503,'Trade Log'!$B$4:$B$503,$A32),"")</f>
        <v/>
      </c>
      <c r="J32" s="21">
        <f>IFERROR(_xlfn.MINIFS('Trade Log'!$K$4:$K$503,'Trade Log'!$B$4:$B$503,$A32),"")</f>
        <v/>
      </c>
    </row>
    <row r="33">
      <c r="A33" s="27" t="inlineStr">
        <is>
          <t>MANGLMCEM</t>
        </is>
      </c>
      <c r="B33" s="20">
        <f>COUNTIF('Trade Log'!$B$4:$B$503,$A33)</f>
        <v/>
      </c>
      <c r="C33" s="20">
        <f>COUNTIFS('Trade Log'!$B$4:$B$503,$A33,'Trade Log'!$K$4:$K$503,"&gt;0")</f>
        <v/>
      </c>
      <c r="D33" s="20">
        <f>COUNTIFS('Trade Log'!$B$4:$B$503,$A33,'Trade Log'!$K$4:$K$503,"&lt;0")</f>
        <v/>
      </c>
      <c r="E33" s="29">
        <f>IFERROR($C33/$B33,"")</f>
        <v/>
      </c>
      <c r="F33" s="21">
        <f>SUMIF('Trade Log'!$B$4:$B$503,$A33,'Trade Log'!$I$4:$I$503)</f>
        <v/>
      </c>
      <c r="G33" s="21">
        <f>SUMIF('Trade Log'!$B$4:$B$503,$A33,'Trade Log'!$K$4:$K$503)</f>
        <v/>
      </c>
      <c r="H33" s="21">
        <f>IFERROR($G33/$B33,"")</f>
        <v/>
      </c>
      <c r="I33" s="21">
        <f>IFERROR(_xlfn.MAXIFS('Trade Log'!$K$4:$K$503,'Trade Log'!$B$4:$B$503,$A33),"")</f>
        <v/>
      </c>
      <c r="J33" s="21">
        <f>IFERROR(_xlfn.MINIFS('Trade Log'!$K$4:$K$503,'Trade Log'!$B$4:$B$503,$A33),"")</f>
        <v/>
      </c>
    </row>
    <row r="34">
      <c r="A34" s="27" t="inlineStr">
        <is>
          <t>MASTEK</t>
        </is>
      </c>
      <c r="B34" s="20">
        <f>COUNTIF('Trade Log'!$B$4:$B$503,$A34)</f>
        <v/>
      </c>
      <c r="C34" s="20">
        <f>COUNTIFS('Trade Log'!$B$4:$B$503,$A34,'Trade Log'!$K$4:$K$503,"&gt;0")</f>
        <v/>
      </c>
      <c r="D34" s="20">
        <f>COUNTIFS('Trade Log'!$B$4:$B$503,$A34,'Trade Log'!$K$4:$K$503,"&lt;0")</f>
        <v/>
      </c>
      <c r="E34" s="29">
        <f>IFERROR($C34/$B34,"")</f>
        <v/>
      </c>
      <c r="F34" s="21">
        <f>SUMIF('Trade Log'!$B$4:$B$503,$A34,'Trade Log'!$I$4:$I$503)</f>
        <v/>
      </c>
      <c r="G34" s="21">
        <f>SUMIF('Trade Log'!$B$4:$B$503,$A34,'Trade Log'!$K$4:$K$503)</f>
        <v/>
      </c>
      <c r="H34" s="21">
        <f>IFERROR($G34/$B34,"")</f>
        <v/>
      </c>
      <c r="I34" s="21">
        <f>IFERROR(_xlfn.MAXIFS('Trade Log'!$K$4:$K$503,'Trade Log'!$B$4:$B$503,$A34),"")</f>
        <v/>
      </c>
      <c r="J34" s="21">
        <f>IFERROR(_xlfn.MINIFS('Trade Log'!$K$4:$K$503,'Trade Log'!$B$4:$B$503,$A34),"")</f>
        <v/>
      </c>
    </row>
    <row r="35">
      <c r="A35" s="27" t="inlineStr">
        <is>
          <t>NETWORK18</t>
        </is>
      </c>
      <c r="B35" s="20">
        <f>COUNTIF('Trade Log'!$B$4:$B$503,$A35)</f>
        <v/>
      </c>
      <c r="C35" s="20">
        <f>COUNTIFS('Trade Log'!$B$4:$B$503,$A35,'Trade Log'!$K$4:$K$503,"&gt;0")</f>
        <v/>
      </c>
      <c r="D35" s="20">
        <f>COUNTIFS('Trade Log'!$B$4:$B$503,$A35,'Trade Log'!$K$4:$K$503,"&lt;0")</f>
        <v/>
      </c>
      <c r="E35" s="29">
        <f>IFERROR($C35/$B35,"")</f>
        <v/>
      </c>
      <c r="F35" s="21">
        <f>SUMIF('Trade Log'!$B$4:$B$503,$A35,'Trade Log'!$I$4:$I$503)</f>
        <v/>
      </c>
      <c r="G35" s="21">
        <f>SUMIF('Trade Log'!$B$4:$B$503,$A35,'Trade Log'!$K$4:$K$503)</f>
        <v/>
      </c>
      <c r="H35" s="21">
        <f>IFERROR($G35/$B35,"")</f>
        <v/>
      </c>
      <c r="I35" s="21">
        <f>IFERROR(_xlfn.MAXIFS('Trade Log'!$K$4:$K$503,'Trade Log'!$B$4:$B$503,$A35),"")</f>
        <v/>
      </c>
      <c r="J35" s="21">
        <f>IFERROR(_xlfn.MINIFS('Trade Log'!$K$4:$K$503,'Trade Log'!$B$4:$B$503,$A35),"")</f>
        <v/>
      </c>
    </row>
    <row r="36">
      <c r="A36" s="27" t="inlineStr">
        <is>
          <t>NILKAMAL</t>
        </is>
      </c>
      <c r="B36" s="20">
        <f>COUNTIF('Trade Log'!$B$4:$B$503,$A36)</f>
        <v/>
      </c>
      <c r="C36" s="20">
        <f>COUNTIFS('Trade Log'!$B$4:$B$503,$A36,'Trade Log'!$K$4:$K$503,"&gt;0")</f>
        <v/>
      </c>
      <c r="D36" s="20">
        <f>COUNTIFS('Trade Log'!$B$4:$B$503,$A36,'Trade Log'!$K$4:$K$503,"&lt;0")</f>
        <v/>
      </c>
      <c r="E36" s="29">
        <f>IFERROR($C36/$B36,"")</f>
        <v/>
      </c>
      <c r="F36" s="21">
        <f>SUMIF('Trade Log'!$B$4:$B$503,$A36,'Trade Log'!$I$4:$I$503)</f>
        <v/>
      </c>
      <c r="G36" s="21">
        <f>SUMIF('Trade Log'!$B$4:$B$503,$A36,'Trade Log'!$K$4:$K$503)</f>
        <v/>
      </c>
      <c r="H36" s="21">
        <f>IFERROR($G36/$B36,"")</f>
        <v/>
      </c>
      <c r="I36" s="21">
        <f>IFERROR(_xlfn.MAXIFS('Trade Log'!$K$4:$K$503,'Trade Log'!$B$4:$B$503,$A36),"")</f>
        <v/>
      </c>
      <c r="J36" s="21">
        <f>IFERROR(_xlfn.MINIFS('Trade Log'!$K$4:$K$503,'Trade Log'!$B$4:$B$503,$A36),"")</f>
        <v/>
      </c>
    </row>
    <row r="37">
      <c r="A37" s="27" t="inlineStr">
        <is>
          <t>NORTHARC</t>
        </is>
      </c>
      <c r="B37" s="20">
        <f>COUNTIF('Trade Log'!$B$4:$B$503,$A37)</f>
        <v/>
      </c>
      <c r="C37" s="20">
        <f>COUNTIFS('Trade Log'!$B$4:$B$503,$A37,'Trade Log'!$K$4:$K$503,"&gt;0")</f>
        <v/>
      </c>
      <c r="D37" s="20">
        <f>COUNTIFS('Trade Log'!$B$4:$B$503,$A37,'Trade Log'!$K$4:$K$503,"&lt;0")</f>
        <v/>
      </c>
      <c r="E37" s="29">
        <f>IFERROR($C37/$B37,"")</f>
        <v/>
      </c>
      <c r="F37" s="21">
        <f>SUMIF('Trade Log'!$B$4:$B$503,$A37,'Trade Log'!$I$4:$I$503)</f>
        <v/>
      </c>
      <c r="G37" s="21">
        <f>SUMIF('Trade Log'!$B$4:$B$503,$A37,'Trade Log'!$K$4:$K$503)</f>
        <v/>
      </c>
      <c r="H37" s="21">
        <f>IFERROR($G37/$B37,"")</f>
        <v/>
      </c>
      <c r="I37" s="21">
        <f>IFERROR(_xlfn.MAXIFS('Trade Log'!$K$4:$K$503,'Trade Log'!$B$4:$B$503,$A37),"")</f>
        <v/>
      </c>
      <c r="J37" s="21">
        <f>IFERROR(_xlfn.MINIFS('Trade Log'!$K$4:$K$503,'Trade Log'!$B$4:$B$503,$A37),"")</f>
        <v/>
      </c>
    </row>
    <row r="38">
      <c r="A38" s="27" t="inlineStr">
        <is>
          <t>NOVARTIND</t>
        </is>
      </c>
      <c r="B38" s="20">
        <f>COUNTIF('Trade Log'!$B$4:$B$503,$A38)</f>
        <v/>
      </c>
      <c r="C38" s="20">
        <f>COUNTIFS('Trade Log'!$B$4:$B$503,$A38,'Trade Log'!$K$4:$K$503,"&gt;0")</f>
        <v/>
      </c>
      <c r="D38" s="20">
        <f>COUNTIFS('Trade Log'!$B$4:$B$503,$A38,'Trade Log'!$K$4:$K$503,"&lt;0")</f>
        <v/>
      </c>
      <c r="E38" s="29">
        <f>IFERROR($C38/$B38,"")</f>
        <v/>
      </c>
      <c r="F38" s="21">
        <f>SUMIF('Trade Log'!$B$4:$B$503,$A38,'Trade Log'!$I$4:$I$503)</f>
        <v/>
      </c>
      <c r="G38" s="21">
        <f>SUMIF('Trade Log'!$B$4:$B$503,$A38,'Trade Log'!$K$4:$K$503)</f>
        <v/>
      </c>
      <c r="H38" s="21">
        <f>IFERROR($G38/$B38,"")</f>
        <v/>
      </c>
      <c r="I38" s="21">
        <f>IFERROR(_xlfn.MAXIFS('Trade Log'!$K$4:$K$503,'Trade Log'!$B$4:$B$503,$A38),"")</f>
        <v/>
      </c>
      <c r="J38" s="21">
        <f>IFERROR(_xlfn.MINIFS('Trade Log'!$K$4:$K$503,'Trade Log'!$B$4:$B$503,$A38),"")</f>
        <v/>
      </c>
    </row>
    <row r="39">
      <c r="A39" s="27" t="inlineStr">
        <is>
          <t>OMAXE</t>
        </is>
      </c>
      <c r="B39" s="20">
        <f>COUNTIF('Trade Log'!$B$4:$B$503,$A39)</f>
        <v/>
      </c>
      <c r="C39" s="20">
        <f>COUNTIFS('Trade Log'!$B$4:$B$503,$A39,'Trade Log'!$K$4:$K$503,"&gt;0")</f>
        <v/>
      </c>
      <c r="D39" s="20">
        <f>COUNTIFS('Trade Log'!$B$4:$B$503,$A39,'Trade Log'!$K$4:$K$503,"&lt;0")</f>
        <v/>
      </c>
      <c r="E39" s="29">
        <f>IFERROR($C39/$B39,"")</f>
        <v/>
      </c>
      <c r="F39" s="21">
        <f>SUMIF('Trade Log'!$B$4:$B$503,$A39,'Trade Log'!$I$4:$I$503)</f>
        <v/>
      </c>
      <c r="G39" s="21">
        <f>SUMIF('Trade Log'!$B$4:$B$503,$A39,'Trade Log'!$K$4:$K$503)</f>
        <v/>
      </c>
      <c r="H39" s="21">
        <f>IFERROR($G39/$B39,"")</f>
        <v/>
      </c>
      <c r="I39" s="21">
        <f>IFERROR(_xlfn.MAXIFS('Trade Log'!$K$4:$K$503,'Trade Log'!$B$4:$B$503,$A39),"")</f>
        <v/>
      </c>
      <c r="J39" s="21">
        <f>IFERROR(_xlfn.MINIFS('Trade Log'!$K$4:$K$503,'Trade Log'!$B$4:$B$503,$A39),"")</f>
        <v/>
      </c>
    </row>
    <row r="40">
      <c r="A40" s="27" t="inlineStr">
        <is>
          <t>OPTIEMUS</t>
        </is>
      </c>
      <c r="B40" s="20">
        <f>COUNTIF('Trade Log'!$B$4:$B$503,$A40)</f>
        <v/>
      </c>
      <c r="C40" s="20">
        <f>COUNTIFS('Trade Log'!$B$4:$B$503,$A40,'Trade Log'!$K$4:$K$503,"&gt;0")</f>
        <v/>
      </c>
      <c r="D40" s="20">
        <f>COUNTIFS('Trade Log'!$B$4:$B$503,$A40,'Trade Log'!$K$4:$K$503,"&lt;0")</f>
        <v/>
      </c>
      <c r="E40" s="29">
        <f>IFERROR($C40/$B40,"")</f>
        <v/>
      </c>
      <c r="F40" s="21">
        <f>SUMIF('Trade Log'!$B$4:$B$503,$A40,'Trade Log'!$I$4:$I$503)</f>
        <v/>
      </c>
      <c r="G40" s="21">
        <f>SUMIF('Trade Log'!$B$4:$B$503,$A40,'Trade Log'!$K$4:$K$503)</f>
        <v/>
      </c>
      <c r="H40" s="21">
        <f>IFERROR($G40/$B40,"")</f>
        <v/>
      </c>
      <c r="I40" s="21">
        <f>IFERROR(_xlfn.MAXIFS('Trade Log'!$K$4:$K$503,'Trade Log'!$B$4:$B$503,$A40),"")</f>
        <v/>
      </c>
      <c r="J40" s="21">
        <f>IFERROR(_xlfn.MINIFS('Trade Log'!$K$4:$K$503,'Trade Log'!$B$4:$B$503,$A40),"")</f>
        <v/>
      </c>
    </row>
    <row r="41">
      <c r="A41" s="27" t="inlineStr">
        <is>
          <t>ORIENTHOT</t>
        </is>
      </c>
      <c r="B41" s="20">
        <f>COUNTIF('Trade Log'!$B$4:$B$503,$A41)</f>
        <v/>
      </c>
      <c r="C41" s="20">
        <f>COUNTIFS('Trade Log'!$B$4:$B$503,$A41,'Trade Log'!$K$4:$K$503,"&gt;0")</f>
        <v/>
      </c>
      <c r="D41" s="20">
        <f>COUNTIFS('Trade Log'!$B$4:$B$503,$A41,'Trade Log'!$K$4:$K$503,"&lt;0")</f>
        <v/>
      </c>
      <c r="E41" s="29">
        <f>IFERROR($C41/$B41,"")</f>
        <v/>
      </c>
      <c r="F41" s="21">
        <f>SUMIF('Trade Log'!$B$4:$B$503,$A41,'Trade Log'!$I$4:$I$503)</f>
        <v/>
      </c>
      <c r="G41" s="21">
        <f>SUMIF('Trade Log'!$B$4:$B$503,$A41,'Trade Log'!$K$4:$K$503)</f>
        <v/>
      </c>
      <c r="H41" s="21">
        <f>IFERROR($G41/$B41,"")</f>
        <v/>
      </c>
      <c r="I41" s="21">
        <f>IFERROR(_xlfn.MAXIFS('Trade Log'!$K$4:$K$503,'Trade Log'!$B$4:$B$503,$A41),"")</f>
        <v/>
      </c>
      <c r="J41" s="21">
        <f>IFERROR(_xlfn.MINIFS('Trade Log'!$K$4:$K$503,'Trade Log'!$B$4:$B$503,$A41),"")</f>
        <v/>
      </c>
    </row>
    <row r="42">
      <c r="A42" s="27" t="inlineStr">
        <is>
          <t>PITTIENG</t>
        </is>
      </c>
      <c r="B42" s="20">
        <f>COUNTIF('Trade Log'!$B$4:$B$503,$A42)</f>
        <v/>
      </c>
      <c r="C42" s="20">
        <f>COUNTIFS('Trade Log'!$B$4:$B$503,$A42,'Trade Log'!$K$4:$K$503,"&gt;0")</f>
        <v/>
      </c>
      <c r="D42" s="20">
        <f>COUNTIFS('Trade Log'!$B$4:$B$503,$A42,'Trade Log'!$K$4:$K$503,"&lt;0")</f>
        <v/>
      </c>
      <c r="E42" s="29">
        <f>IFERROR($C42/$B42,"")</f>
        <v/>
      </c>
      <c r="F42" s="21">
        <f>SUMIF('Trade Log'!$B$4:$B$503,$A42,'Trade Log'!$I$4:$I$503)</f>
        <v/>
      </c>
      <c r="G42" s="21">
        <f>SUMIF('Trade Log'!$B$4:$B$503,$A42,'Trade Log'!$K$4:$K$503)</f>
        <v/>
      </c>
      <c r="H42" s="21">
        <f>IFERROR($G42/$B42,"")</f>
        <v/>
      </c>
      <c r="I42" s="21">
        <f>IFERROR(_xlfn.MAXIFS('Trade Log'!$K$4:$K$503,'Trade Log'!$B$4:$B$503,$A42),"")</f>
        <v/>
      </c>
      <c r="J42" s="21">
        <f>IFERROR(_xlfn.MINIFS('Trade Log'!$K$4:$K$503,'Trade Log'!$B$4:$B$503,$A42),"")</f>
        <v/>
      </c>
    </row>
    <row r="43">
      <c r="A43" s="27" t="inlineStr">
        <is>
          <t>QUADFUTURE</t>
        </is>
      </c>
      <c r="B43" s="20">
        <f>COUNTIF('Trade Log'!$B$4:$B$503,$A43)</f>
        <v/>
      </c>
      <c r="C43" s="20">
        <f>COUNTIFS('Trade Log'!$B$4:$B$503,$A43,'Trade Log'!$K$4:$K$503,"&gt;0")</f>
        <v/>
      </c>
      <c r="D43" s="20">
        <f>COUNTIFS('Trade Log'!$B$4:$B$503,$A43,'Trade Log'!$K$4:$K$503,"&lt;0")</f>
        <v/>
      </c>
      <c r="E43" s="29">
        <f>IFERROR($C43/$B43,"")</f>
        <v/>
      </c>
      <c r="F43" s="21">
        <f>SUMIF('Trade Log'!$B$4:$B$503,$A43,'Trade Log'!$I$4:$I$503)</f>
        <v/>
      </c>
      <c r="G43" s="21">
        <f>SUMIF('Trade Log'!$B$4:$B$503,$A43,'Trade Log'!$K$4:$K$503)</f>
        <v/>
      </c>
      <c r="H43" s="21">
        <f>IFERROR($G43/$B43,"")</f>
        <v/>
      </c>
      <c r="I43" s="21">
        <f>IFERROR(_xlfn.MAXIFS('Trade Log'!$K$4:$K$503,'Trade Log'!$B$4:$B$503,$A43),"")</f>
        <v/>
      </c>
      <c r="J43" s="21">
        <f>IFERROR(_xlfn.MINIFS('Trade Log'!$K$4:$K$503,'Trade Log'!$B$4:$B$503,$A43),"")</f>
        <v/>
      </c>
    </row>
    <row r="44">
      <c r="A44" s="27" t="inlineStr">
        <is>
          <t>RAMRAT</t>
        </is>
      </c>
      <c r="B44" s="20">
        <f>COUNTIF('Trade Log'!$B$4:$B$503,$A44)</f>
        <v/>
      </c>
      <c r="C44" s="20">
        <f>COUNTIFS('Trade Log'!$B$4:$B$503,$A44,'Trade Log'!$K$4:$K$503,"&gt;0")</f>
        <v/>
      </c>
      <c r="D44" s="20">
        <f>COUNTIFS('Trade Log'!$B$4:$B$503,$A44,'Trade Log'!$K$4:$K$503,"&lt;0")</f>
        <v/>
      </c>
      <c r="E44" s="29">
        <f>IFERROR($C44/$B44,"")</f>
        <v/>
      </c>
      <c r="F44" s="21">
        <f>SUMIF('Trade Log'!$B$4:$B$503,$A44,'Trade Log'!$I$4:$I$503)</f>
        <v/>
      </c>
      <c r="G44" s="21">
        <f>SUMIF('Trade Log'!$B$4:$B$503,$A44,'Trade Log'!$K$4:$K$503)</f>
        <v/>
      </c>
      <c r="H44" s="21">
        <f>IFERROR($G44/$B44,"")</f>
        <v/>
      </c>
      <c r="I44" s="21">
        <f>IFERROR(_xlfn.MAXIFS('Trade Log'!$K$4:$K$503,'Trade Log'!$B$4:$B$503,$A44),"")</f>
        <v/>
      </c>
      <c r="J44" s="21">
        <f>IFERROR(_xlfn.MINIFS('Trade Log'!$K$4:$K$503,'Trade Log'!$B$4:$B$503,$A44),"")</f>
        <v/>
      </c>
    </row>
    <row r="45">
      <c r="A45" s="27" t="inlineStr">
        <is>
          <t>RAYMOND</t>
        </is>
      </c>
      <c r="B45" s="20">
        <f>COUNTIF('Trade Log'!$B$4:$B$503,$A45)</f>
        <v/>
      </c>
      <c r="C45" s="20">
        <f>COUNTIFS('Trade Log'!$B$4:$B$503,$A45,'Trade Log'!$K$4:$K$503,"&gt;0")</f>
        <v/>
      </c>
      <c r="D45" s="20">
        <f>COUNTIFS('Trade Log'!$B$4:$B$503,$A45,'Trade Log'!$K$4:$K$503,"&lt;0")</f>
        <v/>
      </c>
      <c r="E45" s="29">
        <f>IFERROR($C45/$B45,"")</f>
        <v/>
      </c>
      <c r="F45" s="21">
        <f>SUMIF('Trade Log'!$B$4:$B$503,$A45,'Trade Log'!$I$4:$I$503)</f>
        <v/>
      </c>
      <c r="G45" s="21">
        <f>SUMIF('Trade Log'!$B$4:$B$503,$A45,'Trade Log'!$K$4:$K$503)</f>
        <v/>
      </c>
      <c r="H45" s="21">
        <f>IFERROR($G45/$B45,"")</f>
        <v/>
      </c>
      <c r="I45" s="21">
        <f>IFERROR(_xlfn.MAXIFS('Trade Log'!$K$4:$K$503,'Trade Log'!$B$4:$B$503,$A45),"")</f>
        <v/>
      </c>
      <c r="J45" s="21">
        <f>IFERROR(_xlfn.MINIFS('Trade Log'!$K$4:$K$503,'Trade Log'!$B$4:$B$503,$A45),"")</f>
        <v/>
      </c>
    </row>
    <row r="46">
      <c r="A46" s="27" t="inlineStr">
        <is>
          <t>RESPONIND</t>
        </is>
      </c>
      <c r="B46" s="20">
        <f>COUNTIF('Trade Log'!$B$4:$B$503,$A46)</f>
        <v/>
      </c>
      <c r="C46" s="20">
        <f>COUNTIFS('Trade Log'!$B$4:$B$503,$A46,'Trade Log'!$K$4:$K$503,"&gt;0")</f>
        <v/>
      </c>
      <c r="D46" s="20">
        <f>COUNTIFS('Trade Log'!$B$4:$B$503,$A46,'Trade Log'!$K$4:$K$503,"&lt;0")</f>
        <v/>
      </c>
      <c r="E46" s="29">
        <f>IFERROR($C46/$B46,"")</f>
        <v/>
      </c>
      <c r="F46" s="21">
        <f>SUMIF('Trade Log'!$B$4:$B$503,$A46,'Trade Log'!$I$4:$I$503)</f>
        <v/>
      </c>
      <c r="G46" s="21">
        <f>SUMIF('Trade Log'!$B$4:$B$503,$A46,'Trade Log'!$K$4:$K$503)</f>
        <v/>
      </c>
      <c r="H46" s="21">
        <f>IFERROR($G46/$B46,"")</f>
        <v/>
      </c>
      <c r="I46" s="21">
        <f>IFERROR(_xlfn.MAXIFS('Trade Log'!$K$4:$K$503,'Trade Log'!$B$4:$B$503,$A46),"")</f>
        <v/>
      </c>
      <c r="J46" s="21">
        <f>IFERROR(_xlfn.MINIFS('Trade Log'!$K$4:$K$503,'Trade Log'!$B$4:$B$503,$A46),"")</f>
        <v/>
      </c>
    </row>
    <row r="47">
      <c r="A47" s="27" t="inlineStr">
        <is>
          <t>RML</t>
        </is>
      </c>
      <c r="B47" s="20">
        <f>COUNTIF('Trade Log'!$B$4:$B$503,$A47)</f>
        <v/>
      </c>
      <c r="C47" s="20">
        <f>COUNTIFS('Trade Log'!$B$4:$B$503,$A47,'Trade Log'!$K$4:$K$503,"&gt;0")</f>
        <v/>
      </c>
      <c r="D47" s="20">
        <f>COUNTIFS('Trade Log'!$B$4:$B$503,$A47,'Trade Log'!$K$4:$K$503,"&lt;0")</f>
        <v/>
      </c>
      <c r="E47" s="29">
        <f>IFERROR($C47/$B47,"")</f>
        <v/>
      </c>
      <c r="F47" s="21">
        <f>SUMIF('Trade Log'!$B$4:$B$503,$A47,'Trade Log'!$I$4:$I$503)</f>
        <v/>
      </c>
      <c r="G47" s="21">
        <f>SUMIF('Trade Log'!$B$4:$B$503,$A47,'Trade Log'!$K$4:$K$503)</f>
        <v/>
      </c>
      <c r="H47" s="21">
        <f>IFERROR($G47/$B47,"")</f>
        <v/>
      </c>
      <c r="I47" s="21">
        <f>IFERROR(_xlfn.MAXIFS('Trade Log'!$K$4:$K$503,'Trade Log'!$B$4:$B$503,$A47),"")</f>
        <v/>
      </c>
      <c r="J47" s="21">
        <f>IFERROR(_xlfn.MINIFS('Trade Log'!$K$4:$K$503,'Trade Log'!$B$4:$B$503,$A47),"")</f>
        <v/>
      </c>
    </row>
    <row r="48">
      <c r="A48" s="27" t="inlineStr">
        <is>
          <t>SAKAR</t>
        </is>
      </c>
      <c r="B48" s="20">
        <f>COUNTIF('Trade Log'!$B$4:$B$503,$A48)</f>
        <v/>
      </c>
      <c r="C48" s="20">
        <f>COUNTIFS('Trade Log'!$B$4:$B$503,$A48,'Trade Log'!$K$4:$K$503,"&gt;0")</f>
        <v/>
      </c>
      <c r="D48" s="20">
        <f>COUNTIFS('Trade Log'!$B$4:$B$503,$A48,'Trade Log'!$K$4:$K$503,"&lt;0")</f>
        <v/>
      </c>
      <c r="E48" s="29">
        <f>IFERROR($C48/$B48,"")</f>
        <v/>
      </c>
      <c r="F48" s="21">
        <f>SUMIF('Trade Log'!$B$4:$B$503,$A48,'Trade Log'!$I$4:$I$503)</f>
        <v/>
      </c>
      <c r="G48" s="21">
        <f>SUMIF('Trade Log'!$B$4:$B$503,$A48,'Trade Log'!$K$4:$K$503)</f>
        <v/>
      </c>
      <c r="H48" s="21">
        <f>IFERROR($G48/$B48,"")</f>
        <v/>
      </c>
      <c r="I48" s="21">
        <f>IFERROR(_xlfn.MAXIFS('Trade Log'!$K$4:$K$503,'Trade Log'!$B$4:$B$503,$A48),"")</f>
        <v/>
      </c>
      <c r="J48" s="21">
        <f>IFERROR(_xlfn.MINIFS('Trade Log'!$K$4:$K$503,'Trade Log'!$B$4:$B$503,$A48),"")</f>
        <v/>
      </c>
    </row>
    <row r="49">
      <c r="A49" s="27" t="inlineStr">
        <is>
          <t>SAMHI</t>
        </is>
      </c>
      <c r="B49" s="20">
        <f>COUNTIF('Trade Log'!$B$4:$B$503,$A49)</f>
        <v/>
      </c>
      <c r="C49" s="20">
        <f>COUNTIFS('Trade Log'!$B$4:$B$503,$A49,'Trade Log'!$K$4:$K$503,"&gt;0")</f>
        <v/>
      </c>
      <c r="D49" s="20">
        <f>COUNTIFS('Trade Log'!$B$4:$B$503,$A49,'Trade Log'!$K$4:$K$503,"&lt;0")</f>
        <v/>
      </c>
      <c r="E49" s="29">
        <f>IFERROR($C49/$B49,"")</f>
        <v/>
      </c>
      <c r="F49" s="21">
        <f>SUMIF('Trade Log'!$B$4:$B$503,$A49,'Trade Log'!$I$4:$I$503)</f>
        <v/>
      </c>
      <c r="G49" s="21">
        <f>SUMIF('Trade Log'!$B$4:$B$503,$A49,'Trade Log'!$K$4:$K$503)</f>
        <v/>
      </c>
      <c r="H49" s="21">
        <f>IFERROR($G49/$B49,"")</f>
        <v/>
      </c>
      <c r="I49" s="21">
        <f>IFERROR(_xlfn.MAXIFS('Trade Log'!$K$4:$K$503,'Trade Log'!$B$4:$B$503,$A49),"")</f>
        <v/>
      </c>
      <c r="J49" s="21">
        <f>IFERROR(_xlfn.MINIFS('Trade Log'!$K$4:$K$503,'Trade Log'!$B$4:$B$503,$A49),"")</f>
        <v/>
      </c>
    </row>
    <row r="50">
      <c r="A50" s="27" t="inlineStr">
        <is>
          <t>SHAREINDIA</t>
        </is>
      </c>
      <c r="B50" s="20">
        <f>COUNTIF('Trade Log'!$B$4:$B$503,$A50)</f>
        <v/>
      </c>
      <c r="C50" s="20">
        <f>COUNTIFS('Trade Log'!$B$4:$B$503,$A50,'Trade Log'!$K$4:$K$503,"&gt;0")</f>
        <v/>
      </c>
      <c r="D50" s="20">
        <f>COUNTIFS('Trade Log'!$B$4:$B$503,$A50,'Trade Log'!$K$4:$K$503,"&lt;0")</f>
        <v/>
      </c>
      <c r="E50" s="29">
        <f>IFERROR($C50/$B50,"")</f>
        <v/>
      </c>
      <c r="F50" s="21">
        <f>SUMIF('Trade Log'!$B$4:$B$503,$A50,'Trade Log'!$I$4:$I$503)</f>
        <v/>
      </c>
      <c r="G50" s="21">
        <f>SUMIF('Trade Log'!$B$4:$B$503,$A50,'Trade Log'!$K$4:$K$503)</f>
        <v/>
      </c>
      <c r="H50" s="21">
        <f>IFERROR($G50/$B50,"")</f>
        <v/>
      </c>
      <c r="I50" s="21">
        <f>IFERROR(_xlfn.MAXIFS('Trade Log'!$K$4:$K$503,'Trade Log'!$B$4:$B$503,$A50),"")</f>
        <v/>
      </c>
      <c r="J50" s="21">
        <f>IFERROR(_xlfn.MINIFS('Trade Log'!$K$4:$K$503,'Trade Log'!$B$4:$B$503,$A50),"")</f>
        <v/>
      </c>
    </row>
    <row r="51">
      <c r="A51" s="27" t="inlineStr">
        <is>
          <t>SINDHUTRAD</t>
        </is>
      </c>
      <c r="B51" s="20">
        <f>COUNTIF('Trade Log'!$B$4:$B$503,$A51)</f>
        <v/>
      </c>
      <c r="C51" s="20">
        <f>COUNTIFS('Trade Log'!$B$4:$B$503,$A51,'Trade Log'!$K$4:$K$503,"&gt;0")</f>
        <v/>
      </c>
      <c r="D51" s="20">
        <f>COUNTIFS('Trade Log'!$B$4:$B$503,$A51,'Trade Log'!$K$4:$K$503,"&lt;0")</f>
        <v/>
      </c>
      <c r="E51" s="29">
        <f>IFERROR($C51/$B51,"")</f>
        <v/>
      </c>
      <c r="F51" s="21">
        <f>SUMIF('Trade Log'!$B$4:$B$503,$A51,'Trade Log'!$I$4:$I$503)</f>
        <v/>
      </c>
      <c r="G51" s="21">
        <f>SUMIF('Trade Log'!$B$4:$B$503,$A51,'Trade Log'!$K$4:$K$503)</f>
        <v/>
      </c>
      <c r="H51" s="21">
        <f>IFERROR($G51/$B51,"")</f>
        <v/>
      </c>
      <c r="I51" s="21">
        <f>IFERROR(_xlfn.MAXIFS('Trade Log'!$K$4:$K$503,'Trade Log'!$B$4:$B$503,$A51),"")</f>
        <v/>
      </c>
      <c r="J51" s="21">
        <f>IFERROR(_xlfn.MINIFS('Trade Log'!$K$4:$K$503,'Trade Log'!$B$4:$B$503,$A51),"")</f>
        <v/>
      </c>
    </row>
    <row r="52">
      <c r="A52" s="27" t="inlineStr">
        <is>
          <t>SOLARA</t>
        </is>
      </c>
      <c r="B52" s="20">
        <f>COUNTIF('Trade Log'!$B$4:$B$503,$A52)</f>
        <v/>
      </c>
      <c r="C52" s="20">
        <f>COUNTIFS('Trade Log'!$B$4:$B$503,$A52,'Trade Log'!$K$4:$K$503,"&gt;0")</f>
        <v/>
      </c>
      <c r="D52" s="20">
        <f>COUNTIFS('Trade Log'!$B$4:$B$503,$A52,'Trade Log'!$K$4:$K$503,"&lt;0")</f>
        <v/>
      </c>
      <c r="E52" s="29">
        <f>IFERROR($C52/$B52,"")</f>
        <v/>
      </c>
      <c r="F52" s="21">
        <f>SUMIF('Trade Log'!$B$4:$B$503,$A52,'Trade Log'!$I$4:$I$503)</f>
        <v/>
      </c>
      <c r="G52" s="21">
        <f>SUMIF('Trade Log'!$B$4:$B$503,$A52,'Trade Log'!$K$4:$K$503)</f>
        <v/>
      </c>
      <c r="H52" s="21">
        <f>IFERROR($G52/$B52,"")</f>
        <v/>
      </c>
      <c r="I52" s="21">
        <f>IFERROR(_xlfn.MAXIFS('Trade Log'!$K$4:$K$503,'Trade Log'!$B$4:$B$503,$A52),"")</f>
        <v/>
      </c>
      <c r="J52" s="21">
        <f>IFERROR(_xlfn.MINIFS('Trade Log'!$K$4:$K$503,'Trade Log'!$B$4:$B$503,$A52),"")</f>
        <v/>
      </c>
    </row>
    <row r="53">
      <c r="A53" s="27" t="inlineStr">
        <is>
          <t>SOTL</t>
        </is>
      </c>
      <c r="B53" s="20">
        <f>COUNTIF('Trade Log'!$B$4:$B$503,$A53)</f>
        <v/>
      </c>
      <c r="C53" s="20">
        <f>COUNTIFS('Trade Log'!$B$4:$B$503,$A53,'Trade Log'!$K$4:$K$503,"&gt;0")</f>
        <v/>
      </c>
      <c r="D53" s="20">
        <f>COUNTIFS('Trade Log'!$B$4:$B$503,$A53,'Trade Log'!$K$4:$K$503,"&lt;0")</f>
        <v/>
      </c>
      <c r="E53" s="29">
        <f>IFERROR($C53/$B53,"")</f>
        <v/>
      </c>
      <c r="F53" s="21">
        <f>SUMIF('Trade Log'!$B$4:$B$503,$A53,'Trade Log'!$I$4:$I$503)</f>
        <v/>
      </c>
      <c r="G53" s="21">
        <f>SUMIF('Trade Log'!$B$4:$B$503,$A53,'Trade Log'!$K$4:$K$503)</f>
        <v/>
      </c>
      <c r="H53" s="21">
        <f>IFERROR($G53/$B53,"")</f>
        <v/>
      </c>
      <c r="I53" s="21">
        <f>IFERROR(_xlfn.MAXIFS('Trade Log'!$K$4:$K$503,'Trade Log'!$B$4:$B$503,$A53),"")</f>
        <v/>
      </c>
      <c r="J53" s="21">
        <f>IFERROR(_xlfn.MINIFS('Trade Log'!$K$4:$K$503,'Trade Log'!$B$4:$B$503,$A53),"")</f>
        <v/>
      </c>
    </row>
    <row r="54">
      <c r="A54" s="27" t="inlineStr">
        <is>
          <t>SSWL</t>
        </is>
      </c>
      <c r="B54" s="20">
        <f>COUNTIF('Trade Log'!$B$4:$B$503,$A54)</f>
        <v/>
      </c>
      <c r="C54" s="20">
        <f>COUNTIFS('Trade Log'!$B$4:$B$503,$A54,'Trade Log'!$K$4:$K$503,"&gt;0")</f>
        <v/>
      </c>
      <c r="D54" s="20">
        <f>COUNTIFS('Trade Log'!$B$4:$B$503,$A54,'Trade Log'!$K$4:$K$503,"&lt;0")</f>
        <v/>
      </c>
      <c r="E54" s="29">
        <f>IFERROR($C54/$B54,"")</f>
        <v/>
      </c>
      <c r="F54" s="21">
        <f>SUMIF('Trade Log'!$B$4:$B$503,$A54,'Trade Log'!$I$4:$I$503)</f>
        <v/>
      </c>
      <c r="G54" s="21">
        <f>SUMIF('Trade Log'!$B$4:$B$503,$A54,'Trade Log'!$K$4:$K$503)</f>
        <v/>
      </c>
      <c r="H54" s="21">
        <f>IFERROR($G54/$B54,"")</f>
        <v/>
      </c>
      <c r="I54" s="21">
        <f>IFERROR(_xlfn.MAXIFS('Trade Log'!$K$4:$K$503,'Trade Log'!$B$4:$B$503,$A54),"")</f>
        <v/>
      </c>
      <c r="J54" s="21">
        <f>IFERROR(_xlfn.MINIFS('Trade Log'!$K$4:$K$503,'Trade Log'!$B$4:$B$503,$A54),"")</f>
        <v/>
      </c>
    </row>
    <row r="55">
      <c r="A55" s="27" t="inlineStr">
        <is>
          <t>SYMPHONY</t>
        </is>
      </c>
      <c r="B55" s="20">
        <f>COUNTIF('Trade Log'!$B$4:$B$503,$A55)</f>
        <v/>
      </c>
      <c r="C55" s="20">
        <f>COUNTIFS('Trade Log'!$B$4:$B$503,$A55,'Trade Log'!$K$4:$K$503,"&gt;0")</f>
        <v/>
      </c>
      <c r="D55" s="20">
        <f>COUNTIFS('Trade Log'!$B$4:$B$503,$A55,'Trade Log'!$K$4:$K$503,"&lt;0")</f>
        <v/>
      </c>
      <c r="E55" s="29">
        <f>IFERROR($C55/$B55,"")</f>
        <v/>
      </c>
      <c r="F55" s="21">
        <f>SUMIF('Trade Log'!$B$4:$B$503,$A55,'Trade Log'!$I$4:$I$503)</f>
        <v/>
      </c>
      <c r="G55" s="21">
        <f>SUMIF('Trade Log'!$B$4:$B$503,$A55,'Trade Log'!$K$4:$K$503)</f>
        <v/>
      </c>
      <c r="H55" s="21">
        <f>IFERROR($G55/$B55,"")</f>
        <v/>
      </c>
      <c r="I55" s="21">
        <f>IFERROR(_xlfn.MAXIFS('Trade Log'!$K$4:$K$503,'Trade Log'!$B$4:$B$503,$A55),"")</f>
        <v/>
      </c>
      <c r="J55" s="21">
        <f>IFERROR(_xlfn.MINIFS('Trade Log'!$K$4:$K$503,'Trade Log'!$B$4:$B$503,$A55),"")</f>
        <v/>
      </c>
    </row>
    <row r="56">
      <c r="A56" s="27" t="inlineStr">
        <is>
          <t>SYNCOMF</t>
        </is>
      </c>
      <c r="B56" s="20">
        <f>COUNTIF('Trade Log'!$B$4:$B$503,$A56)</f>
        <v/>
      </c>
      <c r="C56" s="20">
        <f>COUNTIFS('Trade Log'!$B$4:$B$503,$A56,'Trade Log'!$K$4:$K$503,"&gt;0")</f>
        <v/>
      </c>
      <c r="D56" s="20">
        <f>COUNTIFS('Trade Log'!$B$4:$B$503,$A56,'Trade Log'!$K$4:$K$503,"&lt;0")</f>
        <v/>
      </c>
      <c r="E56" s="29">
        <f>IFERROR($C56/$B56,"")</f>
        <v/>
      </c>
      <c r="F56" s="21">
        <f>SUMIF('Trade Log'!$B$4:$B$503,$A56,'Trade Log'!$I$4:$I$503)</f>
        <v/>
      </c>
      <c r="G56" s="21">
        <f>SUMIF('Trade Log'!$B$4:$B$503,$A56,'Trade Log'!$K$4:$K$503)</f>
        <v/>
      </c>
      <c r="H56" s="21">
        <f>IFERROR($G56/$B56,"")</f>
        <v/>
      </c>
      <c r="I56" s="21">
        <f>IFERROR(_xlfn.MAXIFS('Trade Log'!$K$4:$K$503,'Trade Log'!$B$4:$B$503,$A56),"")</f>
        <v/>
      </c>
      <c r="J56" s="21">
        <f>IFERROR(_xlfn.MINIFS('Trade Log'!$K$4:$K$503,'Trade Log'!$B$4:$B$503,$A56),"")</f>
        <v/>
      </c>
    </row>
    <row r="57">
      <c r="A57" s="27" t="inlineStr">
        <is>
          <t>TALBROAUTO</t>
        </is>
      </c>
      <c r="B57" s="20">
        <f>COUNTIF('Trade Log'!$B$4:$B$503,$A57)</f>
        <v/>
      </c>
      <c r="C57" s="20">
        <f>COUNTIFS('Trade Log'!$B$4:$B$503,$A57,'Trade Log'!$K$4:$K$503,"&gt;0")</f>
        <v/>
      </c>
      <c r="D57" s="20">
        <f>COUNTIFS('Trade Log'!$B$4:$B$503,$A57,'Trade Log'!$K$4:$K$503,"&lt;0")</f>
        <v/>
      </c>
      <c r="E57" s="29">
        <f>IFERROR($C57/$B57,"")</f>
        <v/>
      </c>
      <c r="F57" s="21">
        <f>SUMIF('Trade Log'!$B$4:$B$503,$A57,'Trade Log'!$I$4:$I$503)</f>
        <v/>
      </c>
      <c r="G57" s="21">
        <f>SUMIF('Trade Log'!$B$4:$B$503,$A57,'Trade Log'!$K$4:$K$503)</f>
        <v/>
      </c>
      <c r="H57" s="21">
        <f>IFERROR($G57/$B57,"")</f>
        <v/>
      </c>
      <c r="I57" s="21">
        <f>IFERROR(_xlfn.MAXIFS('Trade Log'!$K$4:$K$503,'Trade Log'!$B$4:$B$503,$A57),"")</f>
        <v/>
      </c>
      <c r="J57" s="21">
        <f>IFERROR(_xlfn.MINIFS('Trade Log'!$K$4:$K$503,'Trade Log'!$B$4:$B$503,$A57),"")</f>
        <v/>
      </c>
    </row>
    <row r="58">
      <c r="A58" s="27" t="inlineStr">
        <is>
          <t>TBZ</t>
        </is>
      </c>
      <c r="B58" s="20">
        <f>COUNTIF('Trade Log'!$B$4:$B$503,$A58)</f>
        <v/>
      </c>
      <c r="C58" s="20">
        <f>COUNTIFS('Trade Log'!$B$4:$B$503,$A58,'Trade Log'!$K$4:$K$503,"&gt;0")</f>
        <v/>
      </c>
      <c r="D58" s="20">
        <f>COUNTIFS('Trade Log'!$B$4:$B$503,$A58,'Trade Log'!$K$4:$K$503,"&lt;0")</f>
        <v/>
      </c>
      <c r="E58" s="29">
        <f>IFERROR($C58/$B58,"")</f>
        <v/>
      </c>
      <c r="F58" s="21">
        <f>SUMIF('Trade Log'!$B$4:$B$503,$A58,'Trade Log'!$I$4:$I$503)</f>
        <v/>
      </c>
      <c r="G58" s="21">
        <f>SUMIF('Trade Log'!$B$4:$B$503,$A58,'Trade Log'!$K$4:$K$503)</f>
        <v/>
      </c>
      <c r="H58" s="21">
        <f>IFERROR($G58/$B58,"")</f>
        <v/>
      </c>
      <c r="I58" s="21">
        <f>IFERROR(_xlfn.MAXIFS('Trade Log'!$K$4:$K$503,'Trade Log'!$B$4:$B$503,$A58),"")</f>
        <v/>
      </c>
      <c r="J58" s="21">
        <f>IFERROR(_xlfn.MINIFS('Trade Log'!$K$4:$K$503,'Trade Log'!$B$4:$B$503,$A58),"")</f>
        <v/>
      </c>
    </row>
    <row r="59">
      <c r="A59" s="27" t="inlineStr">
        <is>
          <t>THOMASCOOK</t>
        </is>
      </c>
      <c r="B59" s="20">
        <f>COUNTIF('Trade Log'!$B$4:$B$503,$A59)</f>
        <v/>
      </c>
      <c r="C59" s="20">
        <f>COUNTIFS('Trade Log'!$B$4:$B$503,$A59,'Trade Log'!$K$4:$K$503,"&gt;0")</f>
        <v/>
      </c>
      <c r="D59" s="20">
        <f>COUNTIFS('Trade Log'!$B$4:$B$503,$A59,'Trade Log'!$K$4:$K$503,"&lt;0")</f>
        <v/>
      </c>
      <c r="E59" s="29">
        <f>IFERROR($C59/$B59,"")</f>
        <v/>
      </c>
      <c r="F59" s="21">
        <f>SUMIF('Trade Log'!$B$4:$B$503,$A59,'Trade Log'!$I$4:$I$503)</f>
        <v/>
      </c>
      <c r="G59" s="21">
        <f>SUMIF('Trade Log'!$B$4:$B$503,$A59,'Trade Log'!$K$4:$K$503)</f>
        <v/>
      </c>
      <c r="H59" s="21">
        <f>IFERROR($G59/$B59,"")</f>
        <v/>
      </c>
      <c r="I59" s="21">
        <f>IFERROR(_xlfn.MAXIFS('Trade Log'!$K$4:$K$503,'Trade Log'!$B$4:$B$503,$A59),"")</f>
        <v/>
      </c>
      <c r="J59" s="21">
        <f>IFERROR(_xlfn.MINIFS('Trade Log'!$K$4:$K$503,'Trade Log'!$B$4:$B$503,$A59),"")</f>
        <v/>
      </c>
    </row>
    <row r="60">
      <c r="A60" s="27" t="inlineStr">
        <is>
          <t>VENKEYS</t>
        </is>
      </c>
      <c r="B60" s="20">
        <f>COUNTIF('Trade Log'!$B$4:$B$503,$A60)</f>
        <v/>
      </c>
      <c r="C60" s="20">
        <f>COUNTIFS('Trade Log'!$B$4:$B$503,$A60,'Trade Log'!$K$4:$K$503,"&gt;0")</f>
        <v/>
      </c>
      <c r="D60" s="20">
        <f>COUNTIFS('Trade Log'!$B$4:$B$503,$A60,'Trade Log'!$K$4:$K$503,"&lt;0")</f>
        <v/>
      </c>
      <c r="E60" s="29">
        <f>IFERROR($C60/$B60,"")</f>
        <v/>
      </c>
      <c r="F60" s="21">
        <f>SUMIF('Trade Log'!$B$4:$B$503,$A60,'Trade Log'!$I$4:$I$503)</f>
        <v/>
      </c>
      <c r="G60" s="21">
        <f>SUMIF('Trade Log'!$B$4:$B$503,$A60,'Trade Log'!$K$4:$K$503)</f>
        <v/>
      </c>
      <c r="H60" s="21">
        <f>IFERROR($G60/$B60,"")</f>
        <v/>
      </c>
      <c r="I60" s="21">
        <f>IFERROR(_xlfn.MAXIFS('Trade Log'!$K$4:$K$503,'Trade Log'!$B$4:$B$503,$A60),"")</f>
        <v/>
      </c>
      <c r="J60" s="21">
        <f>IFERROR(_xlfn.MINIFS('Trade Log'!$K$4:$K$503,'Trade Log'!$B$4:$B$503,$A60),"")</f>
        <v/>
      </c>
    </row>
    <row r="61">
      <c r="A61" s="27" t="inlineStr">
        <is>
          <t>VENUSPIPES</t>
        </is>
      </c>
      <c r="B61" s="20">
        <f>COUNTIF('Trade Log'!$B$4:$B$503,$A61)</f>
        <v/>
      </c>
      <c r="C61" s="20">
        <f>COUNTIFS('Trade Log'!$B$4:$B$503,$A61,'Trade Log'!$K$4:$K$503,"&gt;0")</f>
        <v/>
      </c>
      <c r="D61" s="20">
        <f>COUNTIFS('Trade Log'!$B$4:$B$503,$A61,'Trade Log'!$K$4:$K$503,"&lt;0")</f>
        <v/>
      </c>
      <c r="E61" s="29">
        <f>IFERROR($C61/$B61,"")</f>
        <v/>
      </c>
      <c r="F61" s="21">
        <f>SUMIF('Trade Log'!$B$4:$B$503,$A61,'Trade Log'!$I$4:$I$503)</f>
        <v/>
      </c>
      <c r="G61" s="21">
        <f>SUMIF('Trade Log'!$B$4:$B$503,$A61,'Trade Log'!$K$4:$K$503)</f>
        <v/>
      </c>
      <c r="H61" s="21">
        <f>IFERROR($G61/$B61,"")</f>
        <v/>
      </c>
      <c r="I61" s="21">
        <f>IFERROR(_xlfn.MAXIFS('Trade Log'!$K$4:$K$503,'Trade Log'!$B$4:$B$503,$A61),"")</f>
        <v/>
      </c>
      <c r="J61" s="21">
        <f>IFERROR(_xlfn.MINIFS('Trade Log'!$K$4:$K$503,'Trade Log'!$B$4:$B$503,$A61),"")</f>
        <v/>
      </c>
    </row>
    <row r="62">
      <c r="A62" s="27" t="inlineStr">
        <is>
          <t>VERANDA</t>
        </is>
      </c>
      <c r="B62" s="20">
        <f>COUNTIF('Trade Log'!$B$4:$B$503,$A62)</f>
        <v/>
      </c>
      <c r="C62" s="20">
        <f>COUNTIFS('Trade Log'!$B$4:$B$503,$A62,'Trade Log'!$K$4:$K$503,"&gt;0")</f>
        <v/>
      </c>
      <c r="D62" s="20">
        <f>COUNTIFS('Trade Log'!$B$4:$B$503,$A62,'Trade Log'!$K$4:$K$503,"&lt;0")</f>
        <v/>
      </c>
      <c r="E62" s="29">
        <f>IFERROR($C62/$B62,"")</f>
        <v/>
      </c>
      <c r="F62" s="21">
        <f>SUMIF('Trade Log'!$B$4:$B$503,$A62,'Trade Log'!$I$4:$I$503)</f>
        <v/>
      </c>
      <c r="G62" s="21">
        <f>SUMIF('Trade Log'!$B$4:$B$503,$A62,'Trade Log'!$K$4:$K$503)</f>
        <v/>
      </c>
      <c r="H62" s="21">
        <f>IFERROR($G62/$B62,"")</f>
        <v/>
      </c>
      <c r="I62" s="21">
        <f>IFERROR(_xlfn.MAXIFS('Trade Log'!$K$4:$K$503,'Trade Log'!$B$4:$B$503,$A62),"")</f>
        <v/>
      </c>
      <c r="J62" s="21">
        <f>IFERROR(_xlfn.MINIFS('Trade Log'!$K$4:$K$503,'Trade Log'!$B$4:$B$503,$A62),"")</f>
        <v/>
      </c>
    </row>
    <row r="63">
      <c r="A63" s="27" t="inlineStr">
        <is>
          <t>VSSL</t>
        </is>
      </c>
      <c r="B63" s="20">
        <f>COUNTIF('Trade Log'!$B$4:$B$503,$A63)</f>
        <v/>
      </c>
      <c r="C63" s="20">
        <f>COUNTIFS('Trade Log'!$B$4:$B$503,$A63,'Trade Log'!$K$4:$K$503,"&gt;0")</f>
        <v/>
      </c>
      <c r="D63" s="20">
        <f>COUNTIFS('Trade Log'!$B$4:$B$503,$A63,'Trade Log'!$K$4:$K$503,"&lt;0")</f>
        <v/>
      </c>
      <c r="E63" s="29">
        <f>IFERROR($C63/$B63,"")</f>
        <v/>
      </c>
      <c r="F63" s="21">
        <f>SUMIF('Trade Log'!$B$4:$B$503,$A63,'Trade Log'!$I$4:$I$503)</f>
        <v/>
      </c>
      <c r="G63" s="21">
        <f>SUMIF('Trade Log'!$B$4:$B$503,$A63,'Trade Log'!$K$4:$K$503)</f>
        <v/>
      </c>
      <c r="H63" s="21">
        <f>IFERROR($G63/$B63,"")</f>
        <v/>
      </c>
      <c r="I63" s="21">
        <f>IFERROR(_xlfn.MAXIFS('Trade Log'!$K$4:$K$503,'Trade Log'!$B$4:$B$503,$A63),"")</f>
        <v/>
      </c>
      <c r="J63" s="21">
        <f>IFERROR(_xlfn.MINIFS('Trade Log'!$K$4:$K$503,'Trade Log'!$B$4:$B$503,$A63),"")</f>
        <v/>
      </c>
    </row>
    <row r="64">
      <c r="A64" s="27" t="inlineStr">
        <is>
          <t>WELSPLSOL</t>
        </is>
      </c>
      <c r="B64" s="20">
        <f>COUNTIF('Trade Log'!$B$4:$B$503,$A64)</f>
        <v/>
      </c>
      <c r="C64" s="20">
        <f>COUNTIFS('Trade Log'!$B$4:$B$503,$A64,'Trade Log'!$K$4:$K$503,"&gt;0")</f>
        <v/>
      </c>
      <c r="D64" s="20">
        <f>COUNTIFS('Trade Log'!$B$4:$B$503,$A64,'Trade Log'!$K$4:$K$503,"&lt;0")</f>
        <v/>
      </c>
      <c r="E64" s="29">
        <f>IFERROR($C64/$B64,"")</f>
        <v/>
      </c>
      <c r="F64" s="21">
        <f>SUMIF('Trade Log'!$B$4:$B$503,$A64,'Trade Log'!$I$4:$I$503)</f>
        <v/>
      </c>
      <c r="G64" s="21">
        <f>SUMIF('Trade Log'!$B$4:$B$503,$A64,'Trade Log'!$K$4:$K$503)</f>
        <v/>
      </c>
      <c r="H64" s="21">
        <f>IFERROR($G64/$B64,"")</f>
        <v/>
      </c>
      <c r="I64" s="21">
        <f>IFERROR(_xlfn.MAXIFS('Trade Log'!$K$4:$K$503,'Trade Log'!$B$4:$B$503,$A64),"")</f>
        <v/>
      </c>
      <c r="J64" s="21">
        <f>IFERROR(_xlfn.MINIFS('Trade Log'!$K$4:$K$503,'Trade Log'!$B$4:$B$503,$A64),"")</f>
        <v/>
      </c>
    </row>
    <row r="65">
      <c r="A65" s="27" t="inlineStr">
        <is>
          <t>WENDT</t>
        </is>
      </c>
      <c r="B65" s="20">
        <f>COUNTIF('Trade Log'!$B$4:$B$503,$A65)</f>
        <v/>
      </c>
      <c r="C65" s="20">
        <f>COUNTIFS('Trade Log'!$B$4:$B$503,$A65,'Trade Log'!$K$4:$K$503,"&gt;0")</f>
        <v/>
      </c>
      <c r="D65" s="20">
        <f>COUNTIFS('Trade Log'!$B$4:$B$503,$A65,'Trade Log'!$K$4:$K$503,"&lt;0")</f>
        <v/>
      </c>
      <c r="E65" s="29">
        <f>IFERROR($C65/$B65,"")</f>
        <v/>
      </c>
      <c r="F65" s="21">
        <f>SUMIF('Trade Log'!$B$4:$B$503,$A65,'Trade Log'!$I$4:$I$503)</f>
        <v/>
      </c>
      <c r="G65" s="21">
        <f>SUMIF('Trade Log'!$B$4:$B$503,$A65,'Trade Log'!$K$4:$K$503)</f>
        <v/>
      </c>
      <c r="H65" s="21">
        <f>IFERROR($G65/$B65,"")</f>
        <v/>
      </c>
      <c r="I65" s="21">
        <f>IFERROR(_xlfn.MAXIFS('Trade Log'!$K$4:$K$503,'Trade Log'!$B$4:$B$503,$A65),"")</f>
        <v/>
      </c>
      <c r="J65" s="21">
        <f>IFERROR(_xlfn.MINIFS('Trade Log'!$K$4:$K$503,'Trade Log'!$B$4:$B$503,$A65),"")</f>
        <v/>
      </c>
    </row>
    <row r="66">
      <c r="A66" s="27" t="inlineStr">
        <is>
          <t>WINDLAS</t>
        </is>
      </c>
      <c r="B66" s="20">
        <f>COUNTIF('Trade Log'!$B$4:$B$503,$A66)</f>
        <v/>
      </c>
      <c r="C66" s="20">
        <f>COUNTIFS('Trade Log'!$B$4:$B$503,$A66,'Trade Log'!$K$4:$K$503,"&gt;0")</f>
        <v/>
      </c>
      <c r="D66" s="20">
        <f>COUNTIFS('Trade Log'!$B$4:$B$503,$A66,'Trade Log'!$K$4:$K$503,"&lt;0")</f>
        <v/>
      </c>
      <c r="E66" s="29">
        <f>IFERROR($C66/$B66,"")</f>
        <v/>
      </c>
      <c r="F66" s="21">
        <f>SUMIF('Trade Log'!$B$4:$B$503,$A66,'Trade Log'!$I$4:$I$503)</f>
        <v/>
      </c>
      <c r="G66" s="21">
        <f>SUMIF('Trade Log'!$B$4:$B$503,$A66,'Trade Log'!$K$4:$K$503)</f>
        <v/>
      </c>
      <c r="H66" s="21">
        <f>IFERROR($G66/$B66,"")</f>
        <v/>
      </c>
      <c r="I66" s="21">
        <f>IFERROR(_xlfn.MAXIFS('Trade Log'!$K$4:$K$503,'Trade Log'!$B$4:$B$503,$A66),"")</f>
        <v/>
      </c>
      <c r="J66" s="21">
        <f>IFERROR(_xlfn.MINIFS('Trade Log'!$K$4:$K$503,'Trade Log'!$B$4:$B$503,$A66),"")</f>
        <v/>
      </c>
    </row>
    <row r="67">
      <c r="A67" s="27" t="inlineStr">
        <is>
          <t>XPROINDIA</t>
        </is>
      </c>
      <c r="B67" s="20">
        <f>COUNTIF('Trade Log'!$B$4:$B$503,$A67)</f>
        <v/>
      </c>
      <c r="C67" s="20">
        <f>COUNTIFS('Trade Log'!$B$4:$B$503,$A67,'Trade Log'!$K$4:$K$503,"&gt;0")</f>
        <v/>
      </c>
      <c r="D67" s="20">
        <f>COUNTIFS('Trade Log'!$B$4:$B$503,$A67,'Trade Log'!$K$4:$K$503,"&lt;0")</f>
        <v/>
      </c>
      <c r="E67" s="29">
        <f>IFERROR($C67/$B67,"")</f>
        <v/>
      </c>
      <c r="F67" s="21">
        <f>SUMIF('Trade Log'!$B$4:$B$503,$A67,'Trade Log'!$I$4:$I$503)</f>
        <v/>
      </c>
      <c r="G67" s="21">
        <f>SUMIF('Trade Log'!$B$4:$B$503,$A67,'Trade Log'!$K$4:$K$503)</f>
        <v/>
      </c>
      <c r="H67" s="21">
        <f>IFERROR($G67/$B67,"")</f>
        <v/>
      </c>
      <c r="I67" s="21">
        <f>IFERROR(_xlfn.MAXIFS('Trade Log'!$K$4:$K$503,'Trade Log'!$B$4:$B$503,$A67),"")</f>
        <v/>
      </c>
      <c r="J67" s="21">
        <f>IFERROR(_xlfn.MINIFS('Trade Log'!$K$4:$K$503,'Trade Log'!$B$4:$B$503,$A67),"")</f>
        <v/>
      </c>
    </row>
    <row r="68">
      <c r="A68" s="27" t="inlineStr">
        <is>
          <t>ZAGGLE</t>
        </is>
      </c>
      <c r="B68" s="20">
        <f>COUNTIF('Trade Log'!$B$4:$B$503,$A68)</f>
        <v/>
      </c>
      <c r="C68" s="20">
        <f>COUNTIFS('Trade Log'!$B$4:$B$503,$A68,'Trade Log'!$K$4:$K$503,"&gt;0")</f>
        <v/>
      </c>
      <c r="D68" s="20">
        <f>COUNTIFS('Trade Log'!$B$4:$B$503,$A68,'Trade Log'!$K$4:$K$503,"&lt;0")</f>
        <v/>
      </c>
      <c r="E68" s="29">
        <f>IFERROR($C68/$B68,"")</f>
        <v/>
      </c>
      <c r="F68" s="21">
        <f>SUMIF('Trade Log'!$B$4:$B$503,$A68,'Trade Log'!$I$4:$I$503)</f>
        <v/>
      </c>
      <c r="G68" s="21">
        <f>SUMIF('Trade Log'!$B$4:$B$503,$A68,'Trade Log'!$K$4:$K$503)</f>
        <v/>
      </c>
      <c r="H68" s="21">
        <f>IFERROR($G68/$B68,"")</f>
        <v/>
      </c>
      <c r="I68" s="21">
        <f>IFERROR(_xlfn.MAXIFS('Trade Log'!$K$4:$K$503,'Trade Log'!$B$4:$B$503,$A68),"")</f>
        <v/>
      </c>
      <c r="J68" s="21">
        <f>IFERROR(_xlfn.MINIFS('Trade Log'!$K$4:$K$503,'Trade Log'!$B$4:$B$503,$A68),"")</f>
        <v/>
      </c>
    </row>
    <row r="69">
      <c r="A69" s="3" t="inlineStr">
        <is>
          <t>TOTAL</t>
        </is>
      </c>
      <c r="B69" s="30">
        <f>SUM(B4:B68)</f>
        <v/>
      </c>
      <c r="C69" s="30">
        <f>SUM(C4:C68)</f>
        <v/>
      </c>
      <c r="D69" s="30">
        <f>SUM(D4:D68)</f>
        <v/>
      </c>
      <c r="E69" s="31">
        <f>IFERROR(C69/B69,"")</f>
        <v/>
      </c>
      <c r="F69" s="32">
        <f>SUM(F4:F68)</f>
        <v/>
      </c>
      <c r="G69" s="32">
        <f>SUM(G4:G68)</f>
        <v/>
      </c>
      <c r="H69" s="32">
        <f>IFERROR(G69/B69,"")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2026-09-10T09:51:15Z</dcterms:created>
  <dcterms:modified xmlns:dcterms="http://purl.org/dc/terms/" xmlns:xsi="http://www.w3.org/2001/XMLSchema-instance" xsi:type="dcterms:W3CDTF">2026-09-10T09:51:16Z</dcterms:modified>
</cp:coreProperties>
</file>