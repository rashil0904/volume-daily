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'Charges'!$A$3:$N$243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571.63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688.97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570.48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662.86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591.59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398.53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414.06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345.01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414.39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380.54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413.82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406.37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870.55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390.57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349.19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329.26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385.4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977.05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956.65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991.03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597.72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598.83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677.24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670.4299999999999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574.4299999999999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628.42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619.39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612.4299999999999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693.6799999999999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617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441.48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387.49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386.09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435.16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356.27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364.89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412.31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344.24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893.51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799.53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826.87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479.58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531.37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531.58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480.9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420.15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428.89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546.35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425.04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371.59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642.52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638.36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654.42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564.1900000000001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632.15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497.9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494.64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504.47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490.94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467.31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542.35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463.89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528.75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522.78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521.15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448.73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465.91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631.21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640.01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605.97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594.85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608.03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596.85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296.91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338.75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289.65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192.39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297.41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DHAN-limit_entry_multi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93.83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463.67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466.8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498.79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522.87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460.55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DHAN-limit_entry_multi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131.89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DHAN-limit_entry_multi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91.13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DHAN-limit_entry_multi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63.56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DHAN-limit_entry_multi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130.64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316.19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319.03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360.24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317.41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361.87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DHAN-limit_entry_multi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73.48999999999999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521.5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461.32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DHAN-limit_entry_multi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14.75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531.9400000000001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61.09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526.92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61.09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524.41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inlineStr"/>
      <c r="H240" s="25" t="inlineStr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50.15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DHAN-limit_entry_multi</t>
        </is>
      </c>
      <c r="B241" s="23" t="inlineStr">
        <is>
          <t>SDBL</t>
        </is>
      </c>
      <c r="C241" s="23" t="inlineStr">
        <is>
          <t>LONG</t>
        </is>
      </c>
      <c r="D241" s="24" t="n">
        <v>46293</v>
      </c>
      <c r="E241" s="25" t="n">
        <v>80.2633</v>
      </c>
      <c r="F241" s="26" t="n">
        <v>3732</v>
      </c>
      <c r="G241" s="24" t="inlineStr"/>
      <c r="H241" s="25" t="inlineStr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61.09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5-10</t>
        </is>
      </c>
    </row>
    <row r="242">
      <c r="A242" s="23" t="inlineStr">
        <is>
          <t>DHAN-341260928159209</t>
        </is>
      </c>
      <c r="B242" s="23" t="inlineStr">
        <is>
          <t>SMCGLOBAL</t>
        </is>
      </c>
      <c r="C242" s="23" t="inlineStr">
        <is>
          <t>LONG</t>
        </is>
      </c>
      <c r="D242" s="24" t="n">
        <v>46293</v>
      </c>
      <c r="E242" s="25" t="n">
        <v>97.1964</v>
      </c>
      <c r="F242" s="26" t="n">
        <v>3087</v>
      </c>
      <c r="G242" s="24" t="inlineStr"/>
      <c r="H242" s="25" t="inlineStr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50.15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DHAN-341260928159109</t>
        </is>
      </c>
      <c r="B243" s="23" t="inlineStr">
        <is>
          <t>SYNCOMF</t>
        </is>
      </c>
      <c r="C243" s="23" t="inlineStr">
        <is>
          <t>LONG</t>
        </is>
      </c>
      <c r="D243" s="24" t="n">
        <v>46293</v>
      </c>
      <c r="E243" s="25" t="n">
        <v>22.1897</v>
      </c>
      <c r="F243" s="26" t="n">
        <v>13513</v>
      </c>
      <c r="G243" s="24" t="inlineStr"/>
      <c r="H243" s="25" t="inlineStr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50.15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10-15</t>
        </is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EMUDHRA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FILATEX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FMGOETZE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FOSECOIND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FRONTSP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GKENERGY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GNA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GNRL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GOCLCORP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GOPAL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GRAUWEIL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GREAVESCOT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GUJTHEM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HERITGFOOD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HIKAL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HINDOILEXP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HUBTOWN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INDIAGLYCO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INDNIPPON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INDOCO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INDORAMA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IPL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JASH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JAYKAY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JGCHEM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JINDRILL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KCP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KIRIINDUS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KIRLOSIND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KLBRENG-B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KROSS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KSCL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KSL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LUXIND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MAITHANALL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MANGLMCEM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MASTEK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MOBIKWIK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MUKANDLTD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NETWORK18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NILKAMAL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NORTHARC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NOVARTIND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NPST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NRBBEARING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OMAXE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ONEPOINT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OPTIEMUS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ORIENTHOT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PACEDIGITK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PITTIENG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PROTEAN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QUADFUTURE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RACLGEAR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RAMRAT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RAYMOND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RAYMONDREL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REFEX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RESPONIND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RML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ROSSTECH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RPGLIFE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SAATVIKGL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SAKAR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SAMBHV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SAMHI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SANGAMIND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SDBL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SHANTIGOLD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SHAREINDIA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SHOPERSTOP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SIKA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SINDHUTRAD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SMCGLOBAL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SMSPHARMA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SOLARA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SOTL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SSWL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STEELCAS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SYMPHONY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SYNCOMF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TALBROAUTO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TBZ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THOMASCOOK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VENKEYS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VENUSPIPES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VERANDA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VSSL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WELSPLSOL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WENDT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WINDLAS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XPROINDIA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ZAGGLE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ZOTA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3" t="inlineStr">
        <is>
          <t>TOTAL</t>
        </is>
      </c>
      <c r="B115" s="30">
        <f>SUM(B4:B114)</f>
        <v/>
      </c>
      <c r="C115" s="30">
        <f>SUM(C4:C114)</f>
        <v/>
      </c>
      <c r="D115" s="30">
        <f>SUM(D4:D114)</f>
        <v/>
      </c>
      <c r="E115" s="31">
        <f>IFERROR(C115/B115,"")</f>
        <v/>
      </c>
      <c r="F115" s="32">
        <f>SUM(F4:F114)</f>
        <v/>
      </c>
      <c r="G115" s="32">
        <f>SUM(G4:G114)</f>
        <v/>
      </c>
      <c r="H115" s="32">
        <f>IFERROR(G115/B115,"")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4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107.54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150.57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107.37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128.7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126.13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59.49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71.89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43.2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71.67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78.93000000000001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72.04000000000001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61.39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314.23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46.98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46.96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28.06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44.8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98.34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82.03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98.76000000000001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157.28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157.72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171.58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156.76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131.96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98.84999999999999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97.06999999999999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87.83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78.06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85.98999999999999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50.1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44.51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44.3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44.19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54.01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44.8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53.72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57.47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32.31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274.38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274.45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276.19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96.83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91.65000000000001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91.51000000000001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91.76000000000001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90.48999999999999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78.44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72.28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109.12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70.40000000000001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58.73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114.09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113.94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128.7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113.46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112.39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178.51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176.87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186.14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170.92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148.28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184.3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59.62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59.79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55.17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54.91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45.74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62.72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70.7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82.67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141.45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131.5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142.94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132.02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30.42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31.18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18.71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11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31.29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DHAN-limit_entry_multi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20</v>
      </c>
      <c r="F194" s="4" t="n">
        <v>0</v>
      </c>
      <c r="G194" s="4" t="n">
        <v>7.5</v>
      </c>
      <c r="H194" s="4" t="n">
        <v>0.24</v>
      </c>
      <c r="I194" s="4" t="n">
        <v>0</v>
      </c>
      <c r="J194" s="4" t="n">
        <v>4.99</v>
      </c>
      <c r="K194" s="4" t="n">
        <v>14.75</v>
      </c>
      <c r="L194" s="4" t="n">
        <v>35.4</v>
      </c>
      <c r="M194" s="4" t="n">
        <v>10.94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58.46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62.41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33.04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55.05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58.32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DHAN-limit_entry_multi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20</v>
      </c>
      <c r="F206" s="4" t="n">
        <v>41.05</v>
      </c>
      <c r="G206" s="4" t="n">
        <v>5.05</v>
      </c>
      <c r="H206" s="4" t="n">
        <v>0.16</v>
      </c>
      <c r="I206" s="4" t="n">
        <v>0</v>
      </c>
      <c r="J206" s="4" t="n">
        <v>4.54</v>
      </c>
      <c r="K206" s="4" t="n">
        <v>14.75</v>
      </c>
      <c r="L206" s="4" t="n">
        <v>35.4</v>
      </c>
      <c r="M206" s="4" t="n">
        <v>10.94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DHAN-limit_entry_multi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20</v>
      </c>
      <c r="F208" s="4" t="n">
        <v>0</v>
      </c>
      <c r="G208" s="4" t="n">
        <v>5.29</v>
      </c>
      <c r="H208" s="4" t="n">
        <v>0.17</v>
      </c>
      <c r="I208" s="4" t="n">
        <v>0</v>
      </c>
      <c r="J208" s="4" t="n">
        <v>4.58</v>
      </c>
      <c r="K208" s="4" t="n">
        <v>14.75</v>
      </c>
      <c r="L208" s="4" t="n">
        <v>35.4</v>
      </c>
      <c r="M208" s="4" t="n">
        <v>10.94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DHAN-limit_entry_multi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21.91</v>
      </c>
      <c r="G210" s="4" t="n">
        <v>2.71</v>
      </c>
      <c r="H210" s="4" t="n">
        <v>0.09</v>
      </c>
      <c r="I210" s="4" t="n">
        <v>0</v>
      </c>
      <c r="J210" s="4" t="n">
        <v>4.1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DHAN-limit_entry_multi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20</v>
      </c>
      <c r="F212" s="4" t="n">
        <v>39.95</v>
      </c>
      <c r="G212" s="4" t="n">
        <v>4.93</v>
      </c>
      <c r="H212" s="4" t="n">
        <v>0.16</v>
      </c>
      <c r="I212" s="4" t="n">
        <v>0</v>
      </c>
      <c r="J212" s="4" t="n">
        <v>4.52</v>
      </c>
      <c r="K212" s="4" t="n">
        <v>14.75</v>
      </c>
      <c r="L212" s="4" t="n">
        <v>35.4</v>
      </c>
      <c r="M212" s="4" t="n">
        <v>10.94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15.25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18.29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15.29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18.13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20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55.07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DHAN-limit_entry_multi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30.44</v>
      </c>
      <c r="G226" s="4" t="n">
        <v>3.86</v>
      </c>
      <c r="H226" s="4" t="n">
        <v>0.13</v>
      </c>
      <c r="I226" s="4" t="n">
        <v>0</v>
      </c>
      <c r="J226" s="4" t="n">
        <v>4.32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53.9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57.31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DHAN-limit_entry_multi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20</v>
      </c>
      <c r="F235" s="4" t="n">
        <v>250.33</v>
      </c>
      <c r="G235" s="4" t="n">
        <v>7.69</v>
      </c>
      <c r="H235" s="4" t="n">
        <v>0.25</v>
      </c>
      <c r="I235" s="4" t="n">
        <v>37.55</v>
      </c>
      <c r="J235" s="4" t="n">
        <v>5.03</v>
      </c>
      <c r="K235" s="4" t="n">
        <v>14.75</v>
      </c>
      <c r="L235" s="4" t="n">
        <v>35.4</v>
      </c>
      <c r="M235" s="4" t="n">
        <v>160.94</v>
      </c>
      <c r="N235" s="21">
        <f>SUM(E235:M235)</f>
        <v/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0</v>
      </c>
      <c r="F236" s="4" t="n">
        <v>0</v>
      </c>
      <c r="G236" s="4" t="n">
        <v>0</v>
      </c>
      <c r="H236" s="4" t="n">
        <v>0</v>
      </c>
      <c r="I236" s="4" t="n">
        <v>0</v>
      </c>
      <c r="J236" s="4" t="n">
        <v>0</v>
      </c>
      <c r="K236" s="4" t="n">
        <v>14.75</v>
      </c>
      <c r="L236" s="4" t="n">
        <v>35.4</v>
      </c>
      <c r="M236" s="4" t="n">
        <v>10.94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20</v>
      </c>
      <c r="F237" s="4" t="n">
        <v>251.34</v>
      </c>
      <c r="G237" s="4" t="n">
        <v>7.72</v>
      </c>
      <c r="H237" s="4" t="n">
        <v>0.25</v>
      </c>
      <c r="I237" s="4" t="n">
        <v>37.7</v>
      </c>
      <c r="J237" s="4" t="n">
        <v>5.03</v>
      </c>
      <c r="K237" s="4" t="n">
        <v>14.75</v>
      </c>
      <c r="L237" s="4" t="n">
        <v>35.4</v>
      </c>
      <c r="M237" s="4" t="n">
        <v>154.73</v>
      </c>
      <c r="N237" s="21">
        <f>SUM(E237:M237)</f>
        <v/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0</v>
      </c>
      <c r="F238" s="4" t="n">
        <v>0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14.75</v>
      </c>
      <c r="L238" s="4" t="n">
        <v>35.4</v>
      </c>
      <c r="M238" s="4" t="n">
        <v>10.94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20</v>
      </c>
      <c r="F239" s="4" t="n">
        <v>249.79</v>
      </c>
      <c r="G239" s="4" t="n">
        <v>7.67</v>
      </c>
      <c r="H239" s="4" t="n">
        <v>0.25</v>
      </c>
      <c r="I239" s="4" t="n">
        <v>37.76</v>
      </c>
      <c r="J239" s="4" t="n">
        <v>5.03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inlineStr"/>
      <c r="E240" s="4" t="n">
        <v>0</v>
      </c>
      <c r="F240" s="4" t="n">
        <v>0</v>
      </c>
      <c r="G240" s="4" t="n">
        <v>0</v>
      </c>
      <c r="H240" s="4" t="n">
        <v>0</v>
      </c>
      <c r="I240" s="4" t="n">
        <v>0</v>
      </c>
      <c r="J240" s="4" t="n">
        <v>0</v>
      </c>
      <c r="K240" s="4" t="n">
        <v>14.75</v>
      </c>
      <c r="L240" s="4" t="n">
        <v>35.4</v>
      </c>
      <c r="M240" s="4" t="n">
        <v>0</v>
      </c>
      <c r="N240" s="21">
        <f>SUM(E240:M240)</f>
        <v/>
      </c>
    </row>
    <row r="241">
      <c r="A241" s="23" t="inlineStr">
        <is>
          <t>DHAN-limit_entry_multi</t>
        </is>
      </c>
      <c r="B241" s="23" t="inlineStr">
        <is>
          <t>SDBL</t>
        </is>
      </c>
      <c r="C241" s="23" t="inlineStr">
        <is>
          <t>LONG</t>
        </is>
      </c>
      <c r="D241" s="24" t="inlineStr"/>
      <c r="E241" s="4" t="n">
        <v>0</v>
      </c>
      <c r="F241" s="4" t="n">
        <v>0</v>
      </c>
      <c r="G241" s="4" t="n">
        <v>0</v>
      </c>
      <c r="H241" s="4" t="n">
        <v>0</v>
      </c>
      <c r="I241" s="4" t="n">
        <v>0</v>
      </c>
      <c r="J241" s="4" t="n">
        <v>0</v>
      </c>
      <c r="K241" s="4" t="n">
        <v>14.75</v>
      </c>
      <c r="L241" s="4" t="n">
        <v>35.4</v>
      </c>
      <c r="M241" s="4" t="n">
        <v>10.94</v>
      </c>
      <c r="N241" s="21">
        <f>SUM(E241:M241)</f>
        <v/>
      </c>
    </row>
    <row r="242">
      <c r="A242" s="23" t="inlineStr">
        <is>
          <t>DHAN-341260928159209</t>
        </is>
      </c>
      <c r="B242" s="23" t="inlineStr">
        <is>
          <t>SMCGLOBAL</t>
        </is>
      </c>
      <c r="C242" s="23" t="inlineStr">
        <is>
          <t>LONG</t>
        </is>
      </c>
      <c r="D242" s="24" t="inlineStr"/>
      <c r="E242" s="4" t="n">
        <v>0</v>
      </c>
      <c r="F242" s="4" t="n">
        <v>0</v>
      </c>
      <c r="G242" s="4" t="n">
        <v>0</v>
      </c>
      <c r="H242" s="4" t="n">
        <v>0</v>
      </c>
      <c r="I242" s="4" t="n">
        <v>0</v>
      </c>
      <c r="J242" s="4" t="n">
        <v>0</v>
      </c>
      <c r="K242" s="4" t="n">
        <v>14.75</v>
      </c>
      <c r="L242" s="4" t="n">
        <v>35.4</v>
      </c>
      <c r="M242" s="4" t="n">
        <v>0</v>
      </c>
      <c r="N242" s="21">
        <f>SUM(E242:M242)</f>
        <v/>
      </c>
    </row>
    <row r="243">
      <c r="A243" s="23" t="inlineStr">
        <is>
          <t>DHAN-341260928159109</t>
        </is>
      </c>
      <c r="B243" s="23" t="inlineStr">
        <is>
          <t>SYNCOMF</t>
        </is>
      </c>
      <c r="C243" s="23" t="inlineStr">
        <is>
          <t>LONG</t>
        </is>
      </c>
      <c r="D243" s="24" t="inlineStr"/>
      <c r="E243" s="4" t="n">
        <v>0</v>
      </c>
      <c r="F243" s="4" t="n">
        <v>0</v>
      </c>
      <c r="G243" s="4" t="n">
        <v>0</v>
      </c>
      <c r="H243" s="4" t="n">
        <v>0</v>
      </c>
      <c r="I243" s="4" t="n">
        <v>0</v>
      </c>
      <c r="J243" s="4" t="n">
        <v>0</v>
      </c>
      <c r="K243" s="4" t="n">
        <v>14.75</v>
      </c>
      <c r="L243" s="4" t="n">
        <v>35.4</v>
      </c>
      <c r="M243" s="4" t="n">
        <v>0</v>
      </c>
      <c r="N243" s="21">
        <f>SUM(E243:M243)</f>
        <v/>
      </c>
    </row>
    <row r="244">
      <c r="A244" s="3" t="inlineStr">
        <is>
          <t>TOTAL</t>
        </is>
      </c>
      <c r="E244" s="32">
        <f>SUM(E4:E243)</f>
        <v/>
      </c>
      <c r="F244" s="32">
        <f>SUM(F4:F243)</f>
        <v/>
      </c>
      <c r="G244" s="32">
        <f>SUM(G4:G243)</f>
        <v/>
      </c>
      <c r="H244" s="32">
        <f>SUM(H4:H243)</f>
        <v/>
      </c>
      <c r="I244" s="32">
        <f>SUM(I4:I243)</f>
        <v/>
      </c>
      <c r="J244" s="32">
        <f>SUM(J4:J243)</f>
        <v/>
      </c>
      <c r="K244" s="32">
        <f>SUM(K4:K243)</f>
        <v/>
      </c>
      <c r="L244" s="32">
        <f>SUM(L4:L243)</f>
        <v/>
      </c>
      <c r="M244" s="32">
        <f>SUM(M4:M243)</f>
        <v/>
      </c>
      <c r="N244" s="32">
        <f>SUM(N4:N243)</f>
        <v/>
      </c>
    </row>
  </sheetData>
  <autoFilter ref="A3:N243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3" t="inlineStr">
        <is>
          <t>TOTAL</t>
        </is>
      </c>
      <c r="B7" s="30">
        <f>SUM(B5:B6)</f>
        <v/>
      </c>
      <c r="C7" s="30">
        <f>SUM(C5:C6)</f>
        <v/>
      </c>
      <c r="D7" s="30">
        <f>SUM(D5:D6)</f>
        <v/>
      </c>
      <c r="E7" s="31">
        <f>IFERROR(C7/B7,"")</f>
        <v/>
      </c>
      <c r="F7" s="32">
        <f>SUM(F5:F6)</f>
        <v/>
      </c>
      <c r="G7" s="32">
        <f>SUM(G5:G6)</f>
        <v/>
      </c>
      <c r="H7" s="32">
        <f>IFERROR(G7/B7,"")</f>
        <v/>
      </c>
      <c r="K7" s="33">
        <f>IFERROR(SUMIF('Trade Log'!$L$4:$L$503,"&gt;0")/ABS(SUMIF('Trade Log'!$L$4:$L$503,"&lt;0")),"")</f>
        <v/>
      </c>
    </row>
    <row r="9">
      <c r="A9" s="3" t="inlineStr">
        <is>
          <t>WEEKLY PnL</t>
        </is>
      </c>
    </row>
    <row r="10">
      <c r="A10" s="19" t="inlineStr">
        <is>
          <t>Period</t>
        </is>
      </c>
      <c r="B10" s="19" t="inlineStr">
        <is>
          <t>Trades</t>
        </is>
      </c>
      <c r="C10" s="19" t="inlineStr">
        <is>
          <t>Wins</t>
        </is>
      </c>
      <c r="D10" s="19" t="inlineStr">
        <is>
          <t>Losses</t>
        </is>
      </c>
      <c r="E10" s="19" t="inlineStr">
        <is>
          <t>Win Rate</t>
        </is>
      </c>
      <c r="F10" s="19" t="inlineStr">
        <is>
          <t>Gross P&amp;L</t>
        </is>
      </c>
      <c r="G10" s="19" t="inlineStr">
        <is>
          <t>Net P&amp;L</t>
        </is>
      </c>
      <c r="H10" s="19" t="inlineStr">
        <is>
          <t>Avg Net P&amp;L / Trade</t>
        </is>
      </c>
      <c r="I10" s="19" t="inlineStr">
        <is>
          <t>Best Trade</t>
        </is>
      </c>
      <c r="J10" s="19" t="inlineStr">
        <is>
          <t>Worst Trade</t>
        </is>
      </c>
      <c r="K10" s="19" t="inlineStr">
        <is>
          <t>Profit Factor</t>
        </is>
      </c>
    </row>
    <row r="11">
      <c r="A11" s="28" t="n">
        <v>46251</v>
      </c>
      <c r="B11" s="20">
        <f>COUNTIFS('Trade Log'!$G$4:$G$503,"&gt;="&amp;DATE(2026,8,17),'Trade Log'!$G$4:$G$503,"&lt;"&amp;DATE(2026,8,24))</f>
        <v/>
      </c>
      <c r="C11" s="20">
        <f>COUNTIFS('Trade Log'!$G$4:$G$503,"&gt;="&amp;DATE(2026,8,17),'Trade Log'!$G$4:$G$503,"&lt;"&amp;DATE(2026,8,24),'Trade Log'!$L$4:$L$503,"&gt;0")</f>
        <v/>
      </c>
      <c r="D11" s="20">
        <f>COUNTIFS('Trade Log'!$G$4:$G$503,"&gt;="&amp;DATE(2026,8,17),'Trade Log'!$G$4:$G$503,"&lt;"&amp;DATE(2026,8,24),'Trade Log'!$L$4:$L$503,"&lt;0")</f>
        <v/>
      </c>
      <c r="E11" s="22">
        <f>IFERROR($C11/$B11,"")</f>
        <v/>
      </c>
      <c r="F11" s="21">
        <f>SUMIFS('Trade Log'!$I$4:$I$503,'Trade Log'!$G$4:$G$503,"&gt;="&amp;DATE(2026,8,17),'Trade Log'!$G$4:$G$503,"&lt;"&amp;DATE(2026,8,24))</f>
        <v/>
      </c>
      <c r="G11" s="21">
        <f>SUMIFS('Trade Log'!$L$4:$L$503,'Trade Log'!$G$4:$G$503,"&gt;="&amp;DATE(2026,8,17),'Trade Log'!$G$4:$G$503,"&lt;"&amp;DATE(2026,8,24))</f>
        <v/>
      </c>
      <c r="H11" s="21">
        <f>IFERROR($G11/$B11,"")</f>
        <v/>
      </c>
      <c r="I11" s="21">
        <f>IFERROR(_xlfn.MAXIFS('Trade Log'!$L$4:$L$503,'Trade Log'!$G$4:$G$503,"&gt;="&amp;DATE(2026,8,17),'Trade Log'!$G$4:$G$503,"&lt;"&amp;DATE(2026,8,24)),"")</f>
        <v/>
      </c>
      <c r="J11" s="21">
        <f>IFERROR(_xlfn.MINIFS('Trade Log'!$L$4:$L$503,'Trade Log'!$G$4:$G$503,"&gt;="&amp;DATE(2026,8,17),'Trade Log'!$G$4:$G$503,"&lt;"&amp;DATE(2026,8,24)),"")</f>
        <v/>
      </c>
      <c r="K11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2">
      <c r="A12" s="28" t="n">
        <v>46258</v>
      </c>
      <c r="B12" s="20">
        <f>COUNTIFS('Trade Log'!$G$4:$G$503,"&gt;="&amp;DATE(2026,8,24),'Trade Log'!$G$4:$G$503,"&lt;"&amp;DATE(2026,8,31))</f>
        <v/>
      </c>
      <c r="C12" s="20">
        <f>COUNTIFS('Trade Log'!$G$4:$G$503,"&gt;="&amp;DATE(2026,8,24),'Trade Log'!$G$4:$G$503,"&lt;"&amp;DATE(2026,8,31),'Trade Log'!$L$4:$L$503,"&gt;0")</f>
        <v/>
      </c>
      <c r="D12" s="20">
        <f>COUNTIFS('Trade Log'!$G$4:$G$503,"&gt;="&amp;DATE(2026,8,24),'Trade Log'!$G$4:$G$503,"&lt;"&amp;DATE(2026,8,31),'Trade Log'!$L$4:$L$503,"&lt;0")</f>
        <v/>
      </c>
      <c r="E12" s="22">
        <f>IFERROR($C12/$B12,"")</f>
        <v/>
      </c>
      <c r="F12" s="21">
        <f>SUMIFS('Trade Log'!$I$4:$I$503,'Trade Log'!$G$4:$G$503,"&gt;="&amp;DATE(2026,8,24),'Trade Log'!$G$4:$G$503,"&lt;"&amp;DATE(2026,8,31))</f>
        <v/>
      </c>
      <c r="G12" s="21">
        <f>SUMIFS('Trade Log'!$L$4:$L$503,'Trade Log'!$G$4:$G$503,"&gt;="&amp;DATE(2026,8,24),'Trade Log'!$G$4:$G$503,"&lt;"&amp;DATE(2026,8,31))</f>
        <v/>
      </c>
      <c r="H12" s="21">
        <f>IFERROR($G12/$B12,"")</f>
        <v/>
      </c>
      <c r="I12" s="21">
        <f>IFERROR(_xlfn.MAXIFS('Trade Log'!$L$4:$L$503,'Trade Log'!$G$4:$G$503,"&gt;="&amp;DATE(2026,8,24),'Trade Log'!$G$4:$G$503,"&lt;"&amp;DATE(2026,8,31)),"")</f>
        <v/>
      </c>
      <c r="J12" s="21">
        <f>IFERROR(_xlfn.MINIFS('Trade Log'!$L$4:$L$503,'Trade Log'!$G$4:$G$503,"&gt;="&amp;DATE(2026,8,24),'Trade Log'!$G$4:$G$503,"&lt;"&amp;DATE(2026,8,31)),"")</f>
        <v/>
      </c>
      <c r="K12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3">
      <c r="A13" s="28" t="n">
        <v>46265</v>
      </c>
      <c r="B13" s="20">
        <f>COUNTIFS('Trade Log'!$G$4:$G$503,"&gt;="&amp;DATE(2026,8,31),'Trade Log'!$G$4:$G$503,"&lt;"&amp;DATE(2026,9,7))</f>
        <v/>
      </c>
      <c r="C13" s="20">
        <f>COUNTIFS('Trade Log'!$G$4:$G$503,"&gt;="&amp;DATE(2026,8,31),'Trade Log'!$G$4:$G$503,"&lt;"&amp;DATE(2026,9,7),'Trade Log'!$L$4:$L$503,"&gt;0")</f>
        <v/>
      </c>
      <c r="D13" s="20">
        <f>COUNTIFS('Trade Log'!$G$4:$G$503,"&gt;="&amp;DATE(2026,8,31),'Trade Log'!$G$4:$G$503,"&lt;"&amp;DATE(2026,9,7),'Trade Log'!$L$4:$L$503,"&lt;0")</f>
        <v/>
      </c>
      <c r="E13" s="22">
        <f>IFERROR($C13/$B13,"")</f>
        <v/>
      </c>
      <c r="F13" s="21">
        <f>SUMIFS('Trade Log'!$I$4:$I$503,'Trade Log'!$G$4:$G$503,"&gt;="&amp;DATE(2026,8,31),'Trade Log'!$G$4:$G$503,"&lt;"&amp;DATE(2026,9,7))</f>
        <v/>
      </c>
      <c r="G13" s="21">
        <f>SUMIFS('Trade Log'!$L$4:$L$503,'Trade Log'!$G$4:$G$503,"&gt;="&amp;DATE(2026,8,31),'Trade Log'!$G$4:$G$503,"&lt;"&amp;DATE(2026,9,7))</f>
        <v/>
      </c>
      <c r="H13" s="21">
        <f>IFERROR($G13/$B13,"")</f>
        <v/>
      </c>
      <c r="I13" s="21">
        <f>IFERROR(_xlfn.MAXIFS('Trade Log'!$L$4:$L$503,'Trade Log'!$G$4:$G$503,"&gt;="&amp;DATE(2026,8,31),'Trade Log'!$G$4:$G$503,"&lt;"&amp;DATE(2026,9,7)),"")</f>
        <v/>
      </c>
      <c r="J13" s="21">
        <f>IFERROR(_xlfn.MINIFS('Trade Log'!$L$4:$L$503,'Trade Log'!$G$4:$G$503,"&gt;="&amp;DATE(2026,8,31),'Trade Log'!$G$4:$G$503,"&lt;"&amp;DATE(2026,9,7)),"")</f>
        <v/>
      </c>
      <c r="K13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4">
      <c r="A14" s="28" t="n">
        <v>46272</v>
      </c>
      <c r="B14" s="20">
        <f>COUNTIFS('Trade Log'!$G$4:$G$503,"&gt;="&amp;DATE(2026,9,7),'Trade Log'!$G$4:$G$503,"&lt;"&amp;DATE(2026,9,14))</f>
        <v/>
      </c>
      <c r="C14" s="20">
        <f>COUNTIFS('Trade Log'!$G$4:$G$503,"&gt;="&amp;DATE(2026,9,7),'Trade Log'!$G$4:$G$503,"&lt;"&amp;DATE(2026,9,14),'Trade Log'!$L$4:$L$503,"&gt;0")</f>
        <v/>
      </c>
      <c r="D14" s="20">
        <f>COUNTIFS('Trade Log'!$G$4:$G$503,"&gt;="&amp;DATE(2026,9,7),'Trade Log'!$G$4:$G$503,"&lt;"&amp;DATE(2026,9,14),'Trade Log'!$L$4:$L$503,"&lt;0")</f>
        <v/>
      </c>
      <c r="E14" s="22">
        <f>IFERROR($C14/$B14,"")</f>
        <v/>
      </c>
      <c r="F14" s="21">
        <f>SUMIFS('Trade Log'!$I$4:$I$503,'Trade Log'!$G$4:$G$503,"&gt;="&amp;DATE(2026,9,7),'Trade Log'!$G$4:$G$503,"&lt;"&amp;DATE(2026,9,14))</f>
        <v/>
      </c>
      <c r="G14" s="21">
        <f>SUMIFS('Trade Log'!$L$4:$L$503,'Trade Log'!$G$4:$G$503,"&gt;="&amp;DATE(2026,9,7),'Trade Log'!$G$4:$G$503,"&lt;"&amp;DATE(2026,9,14))</f>
        <v/>
      </c>
      <c r="H14" s="21">
        <f>IFERROR($G14/$B14,"")</f>
        <v/>
      </c>
      <c r="I14" s="21">
        <f>IFERROR(_xlfn.MAXIFS('Trade Log'!$L$4:$L$503,'Trade Log'!$G$4:$G$503,"&gt;="&amp;DATE(2026,9,7),'Trade Log'!$G$4:$G$503,"&lt;"&amp;DATE(2026,9,14)),"")</f>
        <v/>
      </c>
      <c r="J14" s="21">
        <f>IFERROR(_xlfn.MINIFS('Trade Log'!$L$4:$L$503,'Trade Log'!$G$4:$G$503,"&gt;="&amp;DATE(2026,9,7),'Trade Log'!$G$4:$G$503,"&lt;"&amp;DATE(2026,9,14)),"")</f>
        <v/>
      </c>
      <c r="K14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5">
      <c r="A15" s="28" t="n">
        <v>46279</v>
      </c>
      <c r="B15" s="20">
        <f>COUNTIFS('Trade Log'!$G$4:$G$503,"&gt;="&amp;DATE(2026,9,14),'Trade Log'!$G$4:$G$503,"&lt;"&amp;DATE(2026,9,21))</f>
        <v/>
      </c>
      <c r="C15" s="20">
        <f>COUNTIFS('Trade Log'!$G$4:$G$503,"&gt;="&amp;DATE(2026,9,14),'Trade Log'!$G$4:$G$503,"&lt;"&amp;DATE(2026,9,21),'Trade Log'!$L$4:$L$503,"&gt;0")</f>
        <v/>
      </c>
      <c r="D15" s="20">
        <f>COUNTIFS('Trade Log'!$G$4:$G$503,"&gt;="&amp;DATE(2026,9,14),'Trade Log'!$G$4:$G$503,"&lt;"&amp;DATE(2026,9,21),'Trade Log'!$L$4:$L$503,"&lt;0")</f>
        <v/>
      </c>
      <c r="E15" s="22">
        <f>IFERROR($C15/$B15,"")</f>
        <v/>
      </c>
      <c r="F15" s="21">
        <f>SUMIFS('Trade Log'!$I$4:$I$503,'Trade Log'!$G$4:$G$503,"&gt;="&amp;DATE(2026,9,14),'Trade Log'!$G$4:$G$503,"&lt;"&amp;DATE(2026,9,21))</f>
        <v/>
      </c>
      <c r="G15" s="21">
        <f>SUMIFS('Trade Log'!$L$4:$L$503,'Trade Log'!$G$4:$G$503,"&gt;="&amp;DATE(2026,9,14),'Trade Log'!$G$4:$G$503,"&lt;"&amp;DATE(2026,9,21))</f>
        <v/>
      </c>
      <c r="H15" s="21">
        <f>IFERROR($G15/$B15,"")</f>
        <v/>
      </c>
      <c r="I15" s="21">
        <f>IFERROR(_xlfn.MAXIFS('Trade Log'!$L$4:$L$503,'Trade Log'!$G$4:$G$503,"&gt;="&amp;DATE(2026,9,14),'Trade Log'!$G$4:$G$503,"&lt;"&amp;DATE(2026,9,21)),"")</f>
        <v/>
      </c>
      <c r="J15" s="21">
        <f>IFERROR(_xlfn.MINIFS('Trade Log'!$L$4:$L$503,'Trade Log'!$G$4:$G$503,"&gt;="&amp;DATE(2026,9,14),'Trade Log'!$G$4:$G$503,"&lt;"&amp;DATE(2026,9,21)),"")</f>
        <v/>
      </c>
      <c r="K15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6">
      <c r="A16" s="28" t="n">
        <v>46286</v>
      </c>
      <c r="B16" s="20">
        <f>COUNTIFS('Trade Log'!$G$4:$G$503,"&gt;="&amp;DATE(2026,9,21),'Trade Log'!$G$4:$G$503,"&lt;"&amp;DATE(2026,9,28))</f>
        <v/>
      </c>
      <c r="C16" s="20">
        <f>COUNTIFS('Trade Log'!$G$4:$G$503,"&gt;="&amp;DATE(2026,9,21),'Trade Log'!$G$4:$G$503,"&lt;"&amp;DATE(2026,9,28),'Trade Log'!$L$4:$L$503,"&gt;0")</f>
        <v/>
      </c>
      <c r="D16" s="20">
        <f>COUNTIFS('Trade Log'!$G$4:$G$503,"&gt;="&amp;DATE(2026,9,21),'Trade Log'!$G$4:$G$503,"&lt;"&amp;DATE(2026,9,28),'Trade Log'!$L$4:$L$503,"&lt;0")</f>
        <v/>
      </c>
      <c r="E16" s="22">
        <f>IFERROR($C16/$B16,"")</f>
        <v/>
      </c>
      <c r="F16" s="21">
        <f>SUMIFS('Trade Log'!$I$4:$I$503,'Trade Log'!$G$4:$G$503,"&gt;="&amp;DATE(2026,9,21),'Trade Log'!$G$4:$G$503,"&lt;"&amp;DATE(2026,9,28))</f>
        <v/>
      </c>
      <c r="G16" s="21">
        <f>SUMIFS('Trade Log'!$L$4:$L$503,'Trade Log'!$G$4:$G$503,"&gt;="&amp;DATE(2026,9,21),'Trade Log'!$G$4:$G$503,"&lt;"&amp;DATE(2026,9,28))</f>
        <v/>
      </c>
      <c r="H16" s="21">
        <f>IFERROR($G16/$B16,"")</f>
        <v/>
      </c>
      <c r="I16" s="21">
        <f>IFERROR(_xlfn.MAXIFS('Trade Log'!$L$4:$L$503,'Trade Log'!$G$4:$G$503,"&gt;="&amp;DATE(2026,9,21),'Trade Log'!$G$4:$G$503,"&lt;"&amp;DATE(2026,9,28)),"")</f>
        <v/>
      </c>
      <c r="J16" s="21">
        <f>IFERROR(_xlfn.MINIFS('Trade Log'!$L$4:$L$503,'Trade Log'!$G$4:$G$503,"&gt;="&amp;DATE(2026,9,21),'Trade Log'!$G$4:$G$503,"&lt;"&amp;DATE(2026,9,28)),"")</f>
        <v/>
      </c>
      <c r="K16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7">
      <c r="A17" s="28" t="n">
        <v>46293</v>
      </c>
      <c r="B17" s="20">
        <f>COUNTIFS('Trade Log'!$G$4:$G$503,"&gt;="&amp;DATE(2026,9,28),'Trade Log'!$G$4:$G$503,"&lt;"&amp;DATE(2026,10,5))</f>
        <v/>
      </c>
      <c r="C17" s="20">
        <f>COUNTIFS('Trade Log'!$G$4:$G$503,"&gt;="&amp;DATE(2026,9,28),'Trade Log'!$G$4:$G$503,"&lt;"&amp;DATE(2026,10,5),'Trade Log'!$L$4:$L$503,"&gt;0")</f>
        <v/>
      </c>
      <c r="D17" s="20">
        <f>COUNTIFS('Trade Log'!$G$4:$G$503,"&gt;="&amp;DATE(2026,9,28),'Trade Log'!$G$4:$G$503,"&lt;"&amp;DATE(2026,10,5),'Trade Log'!$L$4:$L$503,"&lt;0")</f>
        <v/>
      </c>
      <c r="E17" s="22">
        <f>IFERROR($C17/$B17,"")</f>
        <v/>
      </c>
      <c r="F17" s="21">
        <f>SUMIFS('Trade Log'!$I$4:$I$503,'Trade Log'!$G$4:$G$503,"&gt;="&amp;DATE(2026,9,28),'Trade Log'!$G$4:$G$503,"&lt;"&amp;DATE(2026,10,5))</f>
        <v/>
      </c>
      <c r="G17" s="21">
        <f>SUMIFS('Trade Log'!$L$4:$L$503,'Trade Log'!$G$4:$G$503,"&gt;="&amp;DATE(2026,9,28),'Trade Log'!$G$4:$G$503,"&lt;"&amp;DATE(2026,10,5))</f>
        <v/>
      </c>
      <c r="H17" s="21">
        <f>IFERROR($G17/$B17,"")</f>
        <v/>
      </c>
      <c r="I17" s="21">
        <f>IFERROR(_xlfn.MAXIFS('Trade Log'!$L$4:$L$503,'Trade Log'!$G$4:$G$503,"&gt;="&amp;DATE(2026,9,28),'Trade Log'!$G$4:$G$503,"&lt;"&amp;DATE(2026,10,5)),"")</f>
        <v/>
      </c>
      <c r="J17" s="21">
        <f>IFERROR(_xlfn.MINIFS('Trade Log'!$L$4:$L$503,'Trade Log'!$G$4:$G$503,"&gt;="&amp;DATE(2026,9,28),'Trade Log'!$G$4:$G$503,"&lt;"&amp;DATE(2026,10,5)),"")</f>
        <v/>
      </c>
      <c r="K17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8">
      <c r="A18" s="3" t="inlineStr">
        <is>
          <t>TOTAL</t>
        </is>
      </c>
      <c r="B18" s="30">
        <f>SUM(B11:B17)</f>
        <v/>
      </c>
      <c r="C18" s="30">
        <f>SUM(C11:C17)</f>
        <v/>
      </c>
      <c r="D18" s="30">
        <f>SUM(D11:D17)</f>
        <v/>
      </c>
      <c r="E18" s="31">
        <f>IFERROR(C18/B18,"")</f>
        <v/>
      </c>
      <c r="F18" s="32">
        <f>SUM(F11:F17)</f>
        <v/>
      </c>
      <c r="G18" s="32">
        <f>SUM(G11:G17)</f>
        <v/>
      </c>
      <c r="H18" s="32">
        <f>IFERROR(G18/B18,"")</f>
        <v/>
      </c>
      <c r="K1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2026-09-28T10:16:07Z</dcterms:created>
  <dcterms:modified xmlns:dcterms="http://purl.org/dc/terms/" xmlns:xsi="http://www.w3.org/2001/XMLSchema-instance" xsi:type="dcterms:W3CDTF">2026-09-28T10:16:08Z</dcterms:modified>
</cp:coreProperties>
</file>