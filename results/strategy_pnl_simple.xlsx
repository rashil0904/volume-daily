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571.79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688.87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570.64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663.04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590.95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398.62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414.16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345.07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414.49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380.4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413.92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406.46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870.39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391.16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349.78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349.81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386.1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978.27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957.67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992.26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599.6900000000001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600.8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678.96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672.39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538.67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628.03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619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612.26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692.09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615.42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440.42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386.59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385.19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434.27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411.48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327.31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364.56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411.72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344.04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345.48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894.05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800.0700000000001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827.41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480.62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474.78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531.55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531.77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481.01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420.31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428.73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546.5599999999999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425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371.71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642.74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638.59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654.36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564.41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632.37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498.25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149.82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494.99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504.92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491.81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467.6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148.71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543.27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257.03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145.39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270.28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262.28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276.22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266.93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140.35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200.3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4" t="n">
        <v>460.1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n">
        <v>46282</v>
      </c>
      <c r="H157" s="25" t="n">
        <v>6992.324</v>
      </c>
      <c r="I157" s="21">
        <f>IF(OR($B157="",$H157=""),"",IF($C157="LONG",($H157-$E157)*$F157,($E157-$H157)*$F157))</f>
        <v/>
      </c>
      <c r="J157" s="4" t="n">
        <v>524.72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n">
        <v>46282</v>
      </c>
      <c r="H158" s="25" t="n">
        <v>136.6183</v>
      </c>
      <c r="I158" s="21">
        <f>IF(OR($B158="",$H158=""),"",IF($C158="LONG",($H158-$E158)*$F158,($E158-$H158)*$F158))</f>
        <v/>
      </c>
      <c r="J158" s="4" t="n">
        <v>519.0599999999999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n">
        <v>46282</v>
      </c>
      <c r="H159" s="25" t="n">
        <v>1877.0074</v>
      </c>
      <c r="I159" s="21">
        <f>IF(OR($B159="",$H159=""),"",IF($C159="LONG",($H159-$E159)*$F159,($E159-$H159)*$F159))</f>
        <v/>
      </c>
      <c r="J159" s="4" t="n">
        <v>517.4400000000001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n">
        <v>46282</v>
      </c>
      <c r="H160" s="25" t="n">
        <v>1364.2269</v>
      </c>
      <c r="I160" s="21">
        <f>IF(OR($B160="",$H160=""),"",IF($C160="LONG",($H160-$E160)*$F160,($E160-$H160)*$F160))</f>
        <v/>
      </c>
      <c r="J160" s="4" t="n">
        <v>445.64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n">
        <v>46282</v>
      </c>
      <c r="H161" s="25" t="n">
        <v>407.7921</v>
      </c>
      <c r="I161" s="21">
        <f>IF(OR($B161="",$H161=""),"",IF($C161="LONG",($H161-$E161)*$F161,($E161-$H161)*$F161))</f>
        <v/>
      </c>
      <c r="J161" s="4" t="n">
        <v>461.81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inlineStr">
        <is>
          <t>DHAN-23126091746909</t>
        </is>
      </c>
      <c r="B162" s="23" t="inlineStr">
        <is>
          <t>EMUDHRA</t>
        </is>
      </c>
      <c r="C162" s="23" t="inlineStr">
        <is>
          <t>SHORT</t>
        </is>
      </c>
      <c r="D162" s="24" t="n">
        <v>46282</v>
      </c>
      <c r="E162" s="25" t="n">
        <v>633.678</v>
      </c>
      <c r="F162" s="26" t="n">
        <v>395</v>
      </c>
      <c r="G162" s="24" t="n">
        <v>46282</v>
      </c>
      <c r="H162" s="25" t="n">
        <v>648.2501999999999</v>
      </c>
      <c r="I162" s="21">
        <f>IF(OR($B162="",$H162=""),"",IF($C162="LONG",($H162-$E162)*$F162,($E162-$H162)*$F162))</f>
        <v/>
      </c>
      <c r="J162" s="4" t="n">
        <v>365.55</v>
      </c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inlineStr">
        <is>
          <t>DHAN-23126091718009</t>
        </is>
      </c>
      <c r="B163" s="23" t="inlineStr">
        <is>
          <t>FOSECOIND</t>
        </is>
      </c>
      <c r="C163" s="23" t="inlineStr">
        <is>
          <t>SHORT</t>
        </is>
      </c>
      <c r="D163" s="24" t="n">
        <v>46282</v>
      </c>
      <c r="E163" s="25" t="n">
        <v>6984.243</v>
      </c>
      <c r="F163" s="26" t="n">
        <v>37</v>
      </c>
      <c r="G163" s="24" t="n">
        <v>46282</v>
      </c>
      <c r="H163" s="25" t="n">
        <v>6814.2974</v>
      </c>
      <c r="I163" s="21">
        <f>IF(OR($B163="",$H163=""),"",IF($C163="LONG",($H163-$E163)*$F163,($E163-$H163)*$F163))</f>
        <v/>
      </c>
      <c r="J163" s="4" t="n">
        <v>306.98</v>
      </c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inlineStr">
        <is>
          <t>DHAN-34126091721009</t>
        </is>
      </c>
      <c r="B164" s="23" t="inlineStr">
        <is>
          <t>IPL</t>
        </is>
      </c>
      <c r="C164" s="23" t="inlineStr">
        <is>
          <t>SHORT</t>
        </is>
      </c>
      <c r="D164" s="24" t="n">
        <v>46282</v>
      </c>
      <c r="E164" s="25" t="n">
        <v>136.5789</v>
      </c>
      <c r="F164" s="26" t="n">
        <v>1842</v>
      </c>
      <c r="G164" s="24" t="n">
        <v>46282</v>
      </c>
      <c r="H164" s="25" t="n">
        <v>138.1175</v>
      </c>
      <c r="I164" s="21">
        <f>IF(OR($B164="",$H164=""),"",IF($C164="LONG",($H164-$E164)*$F164,($E164-$H164)*$F164))</f>
        <v/>
      </c>
      <c r="J164" s="4" t="n">
        <v>302.7</v>
      </c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inlineStr">
        <is>
          <t>DHAN-22126091785509</t>
        </is>
      </c>
      <c r="B165" s="23" t="inlineStr">
        <is>
          <t>NPST</t>
        </is>
      </c>
      <c r="C165" s="23" t="inlineStr">
        <is>
          <t>SHORT</t>
        </is>
      </c>
      <c r="D165" s="24" t="n">
        <v>46282</v>
      </c>
      <c r="E165" s="25" t="n">
        <v>1880.0497</v>
      </c>
      <c r="F165" s="26" t="n">
        <v>135</v>
      </c>
      <c r="G165" s="24" t="n">
        <v>46282</v>
      </c>
      <c r="H165" s="25" t="n">
        <v>1855.7349</v>
      </c>
      <c r="I165" s="21">
        <f>IF(OR($B165="",$H165=""),"",IF($C165="LONG",($H165-$E165)*$F165,($E165-$H165)*$F165))</f>
        <v/>
      </c>
      <c r="J165" s="4" t="n">
        <v>302.56</v>
      </c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inlineStr">
        <is>
          <t>DHAN-22126091785609</t>
        </is>
      </c>
      <c r="B166" s="23" t="inlineStr">
        <is>
          <t>ROSSTECH</t>
        </is>
      </c>
      <c r="C166" s="23" t="inlineStr">
        <is>
          <t>SHORT</t>
        </is>
      </c>
      <c r="D166" s="24" t="n">
        <v>46282</v>
      </c>
      <c r="E166" s="25" t="n">
        <v>1366.5123</v>
      </c>
      <c r="F166" s="26" t="n">
        <v>186</v>
      </c>
      <c r="G166" s="24" t="n">
        <v>46282</v>
      </c>
      <c r="H166" s="25" t="n">
        <v>1364.1118</v>
      </c>
      <c r="I166" s="21">
        <f>IF(OR($B166="",$H166=""),"",IF($C166="LONG",($H166-$E166)*$F166,($E166-$H166)*$F166))</f>
        <v/>
      </c>
      <c r="J166" s="4" t="n">
        <v>367.56</v>
      </c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4" t="n">
        <v>355.64</v>
      </c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4" t="n">
        <v>588.5</v>
      </c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inlineStr">
        <is>
          <t>DHAN-321260917609709</t>
        </is>
      </c>
      <c r="B169" s="23" t="inlineStr">
        <is>
          <t>VENUSPIPES</t>
        </is>
      </c>
      <c r="C169" s="23" t="inlineStr">
        <is>
          <t>LONG</t>
        </is>
      </c>
      <c r="D169" s="24" t="n">
        <v>46282</v>
      </c>
      <c r="E169" s="25" t="n">
        <v>2134.6694</v>
      </c>
      <c r="F169" s="26" t="n">
        <v>176</v>
      </c>
      <c r="G169" s="24" t="n">
        <v>46283</v>
      </c>
      <c r="H169" s="25" t="n">
        <v>2164.58</v>
      </c>
      <c r="I169" s="21">
        <f>IF(OR($B169="",$H169=""),"",IF($C169="LONG",($H169-$E169)*$F169,($E169-$H169)*$F169))</f>
        <v/>
      </c>
      <c r="J169" s="4" t="n">
        <v>596.58</v>
      </c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inlineStr">
        <is>
          <t>DHAN-34126091878509</t>
        </is>
      </c>
      <c r="B170" s="23" t="inlineStr">
        <is>
          <t>GRAUWEIL</t>
        </is>
      </c>
      <c r="C170" s="23" t="inlineStr">
        <is>
          <t>LONG</t>
        </is>
      </c>
      <c r="D170" s="24" t="n">
        <v>46283</v>
      </c>
      <c r="E170" s="25" t="n">
        <v>86.8737</v>
      </c>
      <c r="F170" s="26" t="n">
        <v>1726</v>
      </c>
      <c r="G170" s="24" t="inlineStr"/>
      <c r="H170" s="25" t="inlineStr"/>
      <c r="I170" s="21">
        <f>IF(OR($B170="",$H170=""),"",IF($C170="LONG",($H170-$E170)*$F170,($E170-$H170)*$F170))</f>
        <v/>
      </c>
      <c r="J170" s="4" t="n">
        <v>14.75</v>
      </c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inlineStr">
        <is>
          <t>DHAN-221260918730609</t>
        </is>
      </c>
      <c r="B171" s="23" t="inlineStr">
        <is>
          <t>LUXIND</t>
        </is>
      </c>
      <c r="C171" s="23" t="inlineStr">
        <is>
          <t>LONG</t>
        </is>
      </c>
      <c r="D171" s="24" t="n">
        <v>46283</v>
      </c>
      <c r="E171" s="25" t="n">
        <v>1139.811</v>
      </c>
      <c r="F171" s="26" t="n">
        <v>263</v>
      </c>
      <c r="G171" s="24" t="inlineStr"/>
      <c r="H171" s="25" t="inlineStr"/>
      <c r="I171" s="21">
        <f>IF(OR($B171="",$H171=""),"",IF($C171="LONG",($H171-$E171)*$F171,($E171-$H171)*$F171))</f>
        <v/>
      </c>
      <c r="J171" s="4" t="n">
        <v>50.15</v>
      </c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inlineStr">
        <is>
          <t>DHAN-23126091873309</t>
        </is>
      </c>
      <c r="B172" s="23" t="inlineStr">
        <is>
          <t>NRBBEARING</t>
        </is>
      </c>
      <c r="C172" s="23" t="inlineStr">
        <is>
          <t>LONG</t>
        </is>
      </c>
      <c r="D172" s="24" t="n">
        <v>46283</v>
      </c>
      <c r="E172" s="25" t="n">
        <v>526.0403</v>
      </c>
      <c r="F172" s="26" t="n">
        <v>568</v>
      </c>
      <c r="G172" s="24" t="inlineStr"/>
      <c r="H172" s="25" t="inlineStr"/>
      <c r="I172" s="21">
        <f>IF(OR($B172="",$H172=""),"",IF($C172="LONG",($H172-$E172)*$F172,($E172-$H172)*$F172))</f>
        <v/>
      </c>
      <c r="J172" s="4" t="n">
        <v>50.15</v>
      </c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inlineStr">
        <is>
          <t>DHAN-23126091873409</t>
        </is>
      </c>
      <c r="B173" s="23" t="inlineStr">
        <is>
          <t>SAMBHV</t>
        </is>
      </c>
      <c r="C173" s="23" t="inlineStr">
        <is>
          <t>LONG</t>
        </is>
      </c>
      <c r="D173" s="24" t="n">
        <v>46283</v>
      </c>
      <c r="E173" s="25" t="n">
        <v>148.3417</v>
      </c>
      <c r="F173" s="26" t="n">
        <v>2021</v>
      </c>
      <c r="G173" s="24" t="inlineStr"/>
      <c r="H173" s="25" t="inlineStr"/>
      <c r="I173" s="21">
        <f>IF(OR($B173="",$H173=""),"",IF($C173="LONG",($H173-$E173)*$F173,($E173-$H173)*$F173))</f>
        <v/>
      </c>
      <c r="J173" s="4" t="n">
        <v>50.15</v>
      </c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inlineStr">
        <is>
          <t>DHAN-34126091813609</t>
        </is>
      </c>
      <c r="B174" s="23" t="inlineStr">
        <is>
          <t>SHAREINDIA</t>
        </is>
      </c>
      <c r="C174" s="23" t="inlineStr">
        <is>
          <t>SHORT</t>
        </is>
      </c>
      <c r="D174" s="24" t="n">
        <v>46283</v>
      </c>
      <c r="E174" s="25" t="n">
        <v>223.51</v>
      </c>
      <c r="F174" s="26" t="n">
        <v>1722</v>
      </c>
      <c r="G174" s="24" t="n">
        <v>46283</v>
      </c>
      <c r="H174" s="25" t="n">
        <v>227.78</v>
      </c>
      <c r="I174" s="21">
        <f>IF(OR($B174="",$H174=""),"",IF($C174="LONG",($H174-$E174)*$F174,($E174-$H174)*$F174))</f>
        <v/>
      </c>
      <c r="J174" s="4" t="n">
        <v>0</v>
      </c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inlineStr">
        <is>
          <t>DHAN-34126091878409</t>
        </is>
      </c>
      <c r="B175" s="23" t="inlineStr">
        <is>
          <t>TALBROAUTO</t>
        </is>
      </c>
      <c r="C175" s="23" t="inlineStr">
        <is>
          <t>LONG</t>
        </is>
      </c>
      <c r="D175" s="24" t="n">
        <v>46283</v>
      </c>
      <c r="E175" s="25" t="n">
        <v>474.6399</v>
      </c>
      <c r="F175" s="26" t="n">
        <v>632</v>
      </c>
      <c r="G175" s="24" t="inlineStr"/>
      <c r="H175" s="25" t="inlineStr"/>
      <c r="I175" s="21">
        <f>IF(OR($B175="",$H175=""),"",IF($C175="LONG",($H175-$E175)*$F175,($E175-$H175)*$F175))</f>
        <v/>
      </c>
      <c r="J175" s="4" t="n">
        <v>50.15</v>
      </c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inlineStr">
        <is>
          <t>DHAN-22126091853309</t>
        </is>
      </c>
      <c r="B176" s="23" t="inlineStr">
        <is>
          <t>VENUSPIPES</t>
        </is>
      </c>
      <c r="C176" s="23" t="inlineStr">
        <is>
          <t>SHORT</t>
        </is>
      </c>
      <c r="D176" s="24" t="n">
        <v>46283</v>
      </c>
      <c r="E176" s="25" t="n">
        <v>2168.7</v>
      </c>
      <c r="F176" s="26" t="n">
        <v>176</v>
      </c>
      <c r="G176" s="24" t="n">
        <v>46283</v>
      </c>
      <c r="H176" s="25" t="n">
        <v>2291</v>
      </c>
      <c r="I176" s="21">
        <f>IF(OR($B176="",$H176=""),"",IF($C176="LONG",($H176-$E176)*$F176,($E176-$H176)*$F176))</f>
        <v/>
      </c>
      <c r="J176" s="4" t="n">
        <v>0</v>
      </c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AWFIS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BAJAJHIND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BANARISUG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BCG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BFUTILITIE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BOMDYEING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CHEMPLASTS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EIEL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EMUDHRA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FILATEX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FMGOETZE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FOSECOIND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GKENERGY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GNRL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GOCLCORP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GOPAL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GRAUWEIL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GUJTHEM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HERITGFOOD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HIKAL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HINDOILEXP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HUBTOWN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INDNIPPON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INDOCO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INDORAMA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IPL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JGCHEM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KCP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KIRIINDUS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KIRLOSIND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KLBRENG-B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KSL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LUXIND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MAITHANALL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MANGLMCEM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MASTEK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MOBIKWIK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NETWORK18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NILKAMAL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NORTHARC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NOVARTIND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NPST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NRBBEARING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OMAXE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OPTIEMUS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ORIENTHOT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PITTIENG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QUADFUTURE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RACLGEAR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RAMRAT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RAYMOND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RESPONIND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RML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ROSSTECH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SAATVIKGL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SAKAR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SAMBHV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SAMHI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SHAREINDIA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SIKA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SINDHUTRAD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SMSPHARMA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SOLARA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SOTL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SSWL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SYMPHONY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SYNCOMF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TALBROAUTO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TBZ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THOMASCOOK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VENKEYS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VENUSPIPES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VERANDA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VSSL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WELSPLSOL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27" t="inlineStr">
        <is>
          <t>WENDT</t>
        </is>
      </c>
      <c r="B82" s="20">
        <f>COUNTIF('Trade Log'!$B$4:$B$503,$A82)</f>
        <v/>
      </c>
      <c r="C82" s="20">
        <f>COUNTIFS('Trade Log'!$B$4:$B$503,$A82,'Trade Log'!$K$4:$K$503,"&gt;0")</f>
        <v/>
      </c>
      <c r="D82" s="20">
        <f>COUNTIFS('Trade Log'!$B$4:$B$503,$A82,'Trade Log'!$K$4:$K$503,"&lt;0")</f>
        <v/>
      </c>
      <c r="E82" s="29">
        <f>IFERROR($C82/$B82,"")</f>
        <v/>
      </c>
      <c r="F82" s="21">
        <f>SUMIF('Trade Log'!$B$4:$B$503,$A82,'Trade Log'!$I$4:$I$503)</f>
        <v/>
      </c>
      <c r="G82" s="21">
        <f>SUMIF('Trade Log'!$B$4:$B$503,$A82,'Trade Log'!$K$4:$K$503)</f>
        <v/>
      </c>
      <c r="H82" s="21">
        <f>IFERROR($G82/$B82,"")</f>
        <v/>
      </c>
      <c r="I82" s="21">
        <f>IFERROR(_xlfn.MAXIFS('Trade Log'!$K$4:$K$503,'Trade Log'!$B$4:$B$503,$A82),"")</f>
        <v/>
      </c>
      <c r="J82" s="21">
        <f>IFERROR(_xlfn.MINIFS('Trade Log'!$K$4:$K$503,'Trade Log'!$B$4:$B$503,$A82),"")</f>
        <v/>
      </c>
    </row>
    <row r="83">
      <c r="A83" s="27" t="inlineStr">
        <is>
          <t>WINDLAS</t>
        </is>
      </c>
      <c r="B83" s="20">
        <f>COUNTIF('Trade Log'!$B$4:$B$503,$A83)</f>
        <v/>
      </c>
      <c r="C83" s="20">
        <f>COUNTIFS('Trade Log'!$B$4:$B$503,$A83,'Trade Log'!$K$4:$K$503,"&gt;0")</f>
        <v/>
      </c>
      <c r="D83" s="20">
        <f>COUNTIFS('Trade Log'!$B$4:$B$503,$A83,'Trade Log'!$K$4:$K$503,"&lt;0")</f>
        <v/>
      </c>
      <c r="E83" s="29">
        <f>IFERROR($C83/$B83,"")</f>
        <v/>
      </c>
      <c r="F83" s="21">
        <f>SUMIF('Trade Log'!$B$4:$B$503,$A83,'Trade Log'!$I$4:$I$503)</f>
        <v/>
      </c>
      <c r="G83" s="21">
        <f>SUMIF('Trade Log'!$B$4:$B$503,$A83,'Trade Log'!$K$4:$K$503)</f>
        <v/>
      </c>
      <c r="H83" s="21">
        <f>IFERROR($G83/$B83,"")</f>
        <v/>
      </c>
      <c r="I83" s="21">
        <f>IFERROR(_xlfn.MAXIFS('Trade Log'!$K$4:$K$503,'Trade Log'!$B$4:$B$503,$A83),"")</f>
        <v/>
      </c>
      <c r="J83" s="21">
        <f>IFERROR(_xlfn.MINIFS('Trade Log'!$K$4:$K$503,'Trade Log'!$B$4:$B$503,$A83),"")</f>
        <v/>
      </c>
    </row>
    <row r="84">
      <c r="A84" s="27" t="inlineStr">
        <is>
          <t>XPROINDIA</t>
        </is>
      </c>
      <c r="B84" s="20">
        <f>COUNTIF('Trade Log'!$B$4:$B$503,$A84)</f>
        <v/>
      </c>
      <c r="C84" s="20">
        <f>COUNTIFS('Trade Log'!$B$4:$B$503,$A84,'Trade Log'!$K$4:$K$503,"&gt;0")</f>
        <v/>
      </c>
      <c r="D84" s="20">
        <f>COUNTIFS('Trade Log'!$B$4:$B$503,$A84,'Trade Log'!$K$4:$K$503,"&lt;0")</f>
        <v/>
      </c>
      <c r="E84" s="29">
        <f>IFERROR($C84/$B84,"")</f>
        <v/>
      </c>
      <c r="F84" s="21">
        <f>SUMIF('Trade Log'!$B$4:$B$503,$A84,'Trade Log'!$I$4:$I$503)</f>
        <v/>
      </c>
      <c r="G84" s="21">
        <f>SUMIF('Trade Log'!$B$4:$B$503,$A84,'Trade Log'!$K$4:$K$503)</f>
        <v/>
      </c>
      <c r="H84" s="21">
        <f>IFERROR($G84/$B84,"")</f>
        <v/>
      </c>
      <c r="I84" s="21">
        <f>IFERROR(_xlfn.MAXIFS('Trade Log'!$K$4:$K$503,'Trade Log'!$B$4:$B$503,$A84),"")</f>
        <v/>
      </c>
      <c r="J84" s="21">
        <f>IFERROR(_xlfn.MINIFS('Trade Log'!$K$4:$K$503,'Trade Log'!$B$4:$B$503,$A84),"")</f>
        <v/>
      </c>
    </row>
    <row r="85">
      <c r="A85" s="27" t="inlineStr">
        <is>
          <t>ZAGGLE</t>
        </is>
      </c>
      <c r="B85" s="20">
        <f>COUNTIF('Trade Log'!$B$4:$B$503,$A85)</f>
        <v/>
      </c>
      <c r="C85" s="20">
        <f>COUNTIFS('Trade Log'!$B$4:$B$503,$A85,'Trade Log'!$K$4:$K$503,"&gt;0")</f>
        <v/>
      </c>
      <c r="D85" s="20">
        <f>COUNTIFS('Trade Log'!$B$4:$B$503,$A85,'Trade Log'!$K$4:$K$503,"&lt;0")</f>
        <v/>
      </c>
      <c r="E85" s="29">
        <f>IFERROR($C85/$B85,"")</f>
        <v/>
      </c>
      <c r="F85" s="21">
        <f>SUMIF('Trade Log'!$B$4:$B$503,$A85,'Trade Log'!$I$4:$I$503)</f>
        <v/>
      </c>
      <c r="G85" s="21">
        <f>SUMIF('Trade Log'!$B$4:$B$503,$A85,'Trade Log'!$K$4:$K$503)</f>
        <v/>
      </c>
      <c r="H85" s="21">
        <f>IFERROR($G85/$B85,"")</f>
        <v/>
      </c>
      <c r="I85" s="21">
        <f>IFERROR(_xlfn.MAXIFS('Trade Log'!$K$4:$K$503,'Trade Log'!$B$4:$B$503,$A85),"")</f>
        <v/>
      </c>
      <c r="J85" s="21">
        <f>IFERROR(_xlfn.MINIFS('Trade Log'!$K$4:$K$503,'Trade Log'!$B$4:$B$503,$A85),"")</f>
        <v/>
      </c>
    </row>
    <row r="86">
      <c r="A86" s="3" t="inlineStr">
        <is>
          <t>TOTAL</t>
        </is>
      </c>
      <c r="B86" s="30">
        <f>SUM(B4:B85)</f>
        <v/>
      </c>
      <c r="C86" s="30">
        <f>SUM(C4:C85)</f>
        <v/>
      </c>
      <c r="D86" s="30">
        <f>SUM(D4:D85)</f>
        <v/>
      </c>
      <c r="E86" s="31">
        <f>IFERROR(C86/B86,"")</f>
        <v/>
      </c>
      <c r="F86" s="32">
        <f>SUM(F4:F85)</f>
        <v/>
      </c>
      <c r="G86" s="32">
        <f>SUM(G4:G85)</f>
        <v/>
      </c>
      <c r="H86" s="32">
        <f>IFERROR(G86/B86,"")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2026-09-18T09:51:17Z</dcterms:created>
  <dcterms:modified xmlns:dcterms="http://purl.org/dc/terms/" xmlns:xsi="http://www.w3.org/2001/XMLSchema-instance" xsi:type="dcterms:W3CDTF">2026-09-18T09:51:17Z</dcterms:modified>
</cp:coreProperties>
</file>