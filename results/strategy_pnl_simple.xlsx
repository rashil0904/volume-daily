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nL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y Wise PnL" sheetId="3" state="visible" r:id="rId3"/>
    <sheet xmlns:r="http://schemas.openxmlformats.org/officeDocument/2006/relationships" name="Position Type Stats" sheetId="4" state="visible" r:id="rId4"/>
    <sheet xmlns:r="http://schemas.openxmlformats.org/officeDocument/2006/relationships" name="Bucket Stats" sheetId="5" state="visible" r:id="rId5"/>
    <sheet xmlns:r="http://schemas.openxmlformats.org/officeDocument/2006/relationships" name="Company Stats" sheetId="6" state="visible" r:id="rId6"/>
    <sheet xmlns:r="http://schemas.openxmlformats.org/officeDocument/2006/relationships" name="Charges" sheetId="7" state="visible" r:id="rId7"/>
    <sheet xmlns:r="http://schemas.openxmlformats.org/officeDocument/2006/relationships" name="Monthly &amp; Weekly PnL" sheetId="8" state="visible" r:id="rId8"/>
  </sheets>
  <definedNames>
    <definedName name="_xlnm._FilterDatabase" localSheetId="1" hidden="1">'Trade Log'!$A$3:$O$503</definedName>
    <definedName name="_xlnm._FilterDatabase" localSheetId="6" hidden="1">'Charges'!$A$3:$N$254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(#,##0);&quot;-&quot;"/>
    <numFmt numFmtId="166" formatCode="₹#,##0.00;(₹#,##0.00);&quot;-&quot;"/>
    <numFmt numFmtId="167" formatCode="0.00%;(0.00%);&quot;-&quot;"/>
    <numFmt numFmtId="168" formatCode="0.00&quot;x&quot;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808080"/>
      <sz val="10"/>
    </font>
    <font>
      <name val="Arial"/>
      <b val="1"/>
      <color rgb="FFFFFFFF"/>
    </font>
    <font>
      <name val="Arial"/>
      <color rgb="FF0000FF"/>
    </font>
    <font>
      <name val="Arial"/>
      <color rgb="FF000000"/>
    </font>
    <font>
      <name val="Arial"/>
      <b val="1"/>
      <color rgb="FF000000"/>
    </font>
    <font>
      <name val="Arial"/>
      <b val="1"/>
      <color rgb="FF1F3864"/>
      <sz val="11"/>
    </font>
    <font>
      <name val="Arial"/>
      <color rgb="FFFFFFFF"/>
      <sz val="9"/>
    </font>
    <font>
      <name val="Arial"/>
      <b val="1"/>
      <color rgb="FFFFFFFF"/>
      <sz val="26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1B7A75"/>
        <bgColor rgb="FF1B7A75"/>
      </patternFill>
    </fill>
    <fill>
      <patternFill patternType="solid">
        <fgColor rgb="FFC77D02"/>
        <bgColor rgb="FFC77D02"/>
      </patternFill>
    </fill>
    <fill>
      <patternFill patternType="solid">
        <fgColor rgb="FF5B2C83"/>
        <bgColor rgb="FF5B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166" fontId="4" fillId="3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166" fontId="9" fillId="2" borderId="0" applyAlignment="1" pivotButton="0" quotePrefix="0" xfId="0">
      <alignment horizontal="center" vertical="center"/>
    </xf>
    <xf numFmtId="167" fontId="9" fillId="5" borderId="0" applyAlignment="1" pivotButton="0" quotePrefix="0" xfId="0">
      <alignment horizontal="center" vertical="center"/>
    </xf>
    <xf numFmtId="167" fontId="9" fillId="6" borderId="0" applyAlignment="1" pivotButton="0" quotePrefix="0" xfId="0">
      <alignment horizontal="center" vertical="center"/>
    </xf>
    <xf numFmtId="168" fontId="9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4" fontId="4" fillId="3" borderId="0" pivotButton="0" quotePrefix="0" xfId="0"/>
    <xf numFmtId="165" fontId="4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8" fontId="5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ont>
        <name val="Arial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8" customWidth="1" min="5" max="5"/>
    <col width="15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  <col width="15" customWidth="1" min="12" max="12"/>
    <col width="8" customWidth="1" min="13" max="13"/>
    <col width="15" customWidth="1" min="14" max="14"/>
    <col width="15" customWidth="1" min="15" max="15"/>
    <col width="15" customWidth="1" min="16" max="16"/>
  </cols>
  <sheetData>
    <row r="1" ht="22" customHeight="1">
      <c r="A1" s="1" t="inlineStr">
        <is>
          <t>Total PnL</t>
        </is>
      </c>
    </row>
    <row r="2" ht="16" customHeight="1">
      <c r="A2" s="2" t="inlineStr">
        <is>
          <t>Overall strategy performance -- set Base Capital below; everything else calculates automatically from Trade Log.</t>
        </is>
      </c>
    </row>
    <row r="3">
      <c r="A3" s="3" t="inlineStr">
        <is>
          <t>Base Capital (₹)</t>
        </is>
      </c>
      <c r="B3" s="4" t="n">
        <v>1500000</v>
      </c>
    </row>
    <row r="4" ht="18" customHeight="1">
      <c r="A4" s="5" t="inlineStr">
        <is>
          <t>STRATEGY SNAPSHOT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7" t="inlineStr">
        <is>
          <t>NET P&amp;L (₹)</t>
        </is>
      </c>
      <c r="C5" s="8" t="n"/>
      <c r="D5" s="8" t="n"/>
      <c r="F5" s="9" t="inlineStr">
        <is>
          <t>NET P&amp;L (%)</t>
        </is>
      </c>
      <c r="G5" s="10" t="n"/>
      <c r="H5" s="10" t="n"/>
      <c r="J5" s="11" t="inlineStr">
        <is>
          <t>WIN RATE</t>
        </is>
      </c>
      <c r="K5" s="12" t="n"/>
      <c r="L5" s="12" t="n"/>
      <c r="N5" s="13" t="inlineStr">
        <is>
          <t>PROFIT FACTOR</t>
        </is>
      </c>
      <c r="O5" s="14" t="n"/>
      <c r="P5" s="14" t="n"/>
    </row>
    <row r="6">
      <c r="B6" s="15">
        <f>SUM('Trade Log'!$L$4:$L$503)</f>
        <v/>
      </c>
      <c r="C6" s="8" t="n"/>
      <c r="D6" s="8" t="n"/>
      <c r="F6" s="16">
        <f>IF($B$3=0,"",$B$6/$B$3)</f>
        <v/>
      </c>
      <c r="G6" s="10" t="n"/>
      <c r="H6" s="10" t="n"/>
      <c r="J6" s="17">
        <f>IFERROR($C$13/$C$12,"")</f>
        <v/>
      </c>
      <c r="K6" s="12" t="n"/>
      <c r="L6" s="12" t="n"/>
      <c r="N6" s="18">
        <f>IFERROR(SUMIF('Trade Log'!$L$4:$L$503,"&gt;0")/ABS(SUMIF('Trade Log'!$L$4:$L$503,"&lt;0")),"")</f>
        <v/>
      </c>
      <c r="O6" s="14" t="n"/>
      <c r="P6" s="14" t="n"/>
    </row>
    <row r="7">
      <c r="B7" s="8" t="n"/>
      <c r="C7" s="8" t="n"/>
      <c r="D7" s="8" t="n"/>
      <c r="F7" s="10" t="n"/>
      <c r="G7" s="10" t="n"/>
      <c r="H7" s="10" t="n"/>
      <c r="J7" s="12" t="n"/>
      <c r="K7" s="12" t="n"/>
      <c r="L7" s="12" t="n"/>
      <c r="N7" s="14" t="n"/>
      <c r="O7" s="14" t="n"/>
      <c r="P7" s="14" t="n"/>
    </row>
    <row r="8">
      <c r="B8" s="8" t="n"/>
      <c r="C8" s="8" t="n"/>
      <c r="D8" s="8" t="n"/>
      <c r="F8" s="10" t="n"/>
      <c r="G8" s="10" t="n"/>
      <c r="H8" s="10" t="n"/>
      <c r="J8" s="12" t="n"/>
      <c r="K8" s="12" t="n"/>
      <c r="L8" s="12" t="n"/>
      <c r="N8" s="14" t="n"/>
      <c r="O8" s="14" t="n"/>
      <c r="P8" s="14" t="n"/>
    </row>
    <row r="10" ht="18" customHeight="1">
      <c r="A10" s="5" t="inlineStr">
        <is>
          <t>DETAILED STATS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B11" s="19" t="inlineStr">
        <is>
          <t>Metric</t>
        </is>
      </c>
      <c r="C11" s="19" t="inlineStr">
        <is>
          <t>Value</t>
        </is>
      </c>
    </row>
    <row r="12">
      <c r="B12" s="3" t="inlineStr">
        <is>
          <t>Total Trades</t>
        </is>
      </c>
      <c r="C12" s="20">
        <f>COUNT('Trade Log'!$L$4:$L$503)</f>
        <v/>
      </c>
    </row>
    <row r="13">
      <c r="B13" s="3" t="inlineStr">
        <is>
          <t>Winning Trades</t>
        </is>
      </c>
      <c r="C13" s="20">
        <f>COUNTIF('Trade Log'!$L$4:$L$503,"&gt;0")</f>
        <v/>
      </c>
    </row>
    <row r="14">
      <c r="B14" s="3" t="inlineStr">
        <is>
          <t>Losing Trades</t>
        </is>
      </c>
      <c r="C14" s="20">
        <f>COUNTIF('Trade Log'!$L$4:$L$503,"&lt;0")</f>
        <v/>
      </c>
    </row>
    <row r="15">
      <c r="B15" s="3" t="inlineStr">
        <is>
          <t>Average Win (₹)</t>
        </is>
      </c>
      <c r="C15" s="21">
        <f>IFERROR(AVERAGEIF('Trade Log'!$L$4:$L$503,"&gt;0"),"")</f>
        <v/>
      </c>
    </row>
    <row r="16">
      <c r="B16" s="3" t="inlineStr">
        <is>
          <t>Average Loss (₹)</t>
        </is>
      </c>
      <c r="C16" s="21">
        <f>IFERROR(AVERAGEIF('Trade Log'!$L$4:$L$503,"&lt;0"),"")</f>
        <v/>
      </c>
    </row>
    <row r="17">
      <c r="B17" s="3" t="inlineStr">
        <is>
          <t>Best Trade (₹)</t>
        </is>
      </c>
      <c r="C17" s="21">
        <f>IFERROR(MAX('Trade Log'!$L$4:$L$503),"")</f>
        <v/>
      </c>
    </row>
    <row r="18">
      <c r="B18" s="3" t="inlineStr">
        <is>
          <t>Worst Trade (₹)</t>
        </is>
      </c>
      <c r="C18" s="21">
        <f>IFERROR(MIN('Trade Log'!$L$4:$L$503),"")</f>
        <v/>
      </c>
    </row>
    <row r="19">
      <c r="B19" s="3" t="inlineStr">
        <is>
          <t>Gross P&amp;L (₹)</t>
        </is>
      </c>
      <c r="C19" s="21">
        <f>SUM('Trade Log'!$I$4:$I$503)</f>
        <v/>
      </c>
    </row>
    <row r="20">
      <c r="B20" s="3" t="inlineStr">
        <is>
          <t>Gross P&amp;L (%)</t>
        </is>
      </c>
      <c r="C20" s="22">
        <f>IF($B$3=0,"",$C$19/$B$3)</f>
        <v/>
      </c>
    </row>
  </sheetData>
  <mergeCells count="12">
    <mergeCell ref="J5:L5"/>
    <mergeCell ref="A10:P10"/>
    <mergeCell ref="N6:P8"/>
    <mergeCell ref="B5:D5"/>
    <mergeCell ref="F5:H5"/>
    <mergeCell ref="B6:D8"/>
    <mergeCell ref="J6:L8"/>
    <mergeCell ref="A1:P1"/>
    <mergeCell ref="F6:H8"/>
    <mergeCell ref="N5:P5"/>
    <mergeCell ref="A4:P4"/>
    <mergeCell ref="A2:P2"/>
  </mergeCells>
  <conditionalFormatting sqref="B5:D5">
    <cfRule type="expression" priority="1" dxfId="0">
      <formula>$B$6&gt;=0</formula>
    </cfRule>
    <cfRule type="expression" priority="2" dxfId="1">
      <formula>$B$6&lt;0</formula>
    </cfRule>
  </conditionalFormatting>
  <conditionalFormatting sqref="B6:D8">
    <cfRule type="expression" priority="3" dxfId="0">
      <formula>$B$6&gt;=0</formula>
    </cfRule>
    <cfRule type="expression" priority="4" dxfId="1">
      <formula>$B$6&lt;0</formula>
    </cfRule>
  </conditionalFormatting>
  <conditionalFormatting sqref="F5:H5">
    <cfRule type="expression" priority="5" dxfId="0">
      <formula>$F$6&gt;=0</formula>
    </cfRule>
    <cfRule type="expression" priority="6" dxfId="1">
      <formula>$F$6&lt;0</formula>
    </cfRule>
  </conditionalFormatting>
  <conditionalFormatting sqref="F6:H8">
    <cfRule type="expression" priority="7" dxfId="0">
      <formula>$F$6&gt;=0</formula>
    </cfRule>
    <cfRule type="expression" priority="8" dxfId="1">
      <formula>$F$6&lt;0</formula>
    </cfRule>
  </conditionalFormatting>
  <conditionalFormatting sqref="C15:C18">
    <cfRule type="dataBar" priority="9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  <col width="13" customWidth="1" min="10" max="10"/>
    <col width="10" customWidth="1" min="11" max="11"/>
    <col width="12" customWidth="1" min="12" max="12"/>
    <col width="12" customWidth="1" min="13" max="13"/>
    <col width="10" customWidth="1" min="14" max="14"/>
    <col width="14" customWidth="1" min="15" max="15"/>
  </cols>
  <sheetData>
    <row r="1" ht="22" customHeight="1">
      <c r="A1" s="1" t="inlineStr">
        <is>
          <t>Trade Log</t>
        </is>
      </c>
    </row>
    <row r="2" ht="16" customHeight="1">
      <c r="A2" s="2" t="inlineStr">
        <is>
          <t>One row per position -- long and short trades are logged separately. Fill columns A-H, K and O; formulas compute I, J, L, M, N.</t>
        </is>
      </c>
    </row>
    <row r="3">
      <c r="A3" s="19" t="inlineStr">
        <is>
          <t>Trade ID</t>
        </is>
      </c>
      <c r="B3" s="19" t="inlineStr">
        <is>
          <t>Symbol</t>
        </is>
      </c>
      <c r="C3" s="19" t="inlineStr">
        <is>
          <t>Position</t>
        </is>
      </c>
      <c r="D3" s="19" t="inlineStr">
        <is>
          <t>Entry Date</t>
        </is>
      </c>
      <c r="E3" s="19" t="inlineStr">
        <is>
          <t>Entry Price</t>
        </is>
      </c>
      <c r="F3" s="19" t="inlineStr">
        <is>
          <t>Qty</t>
        </is>
      </c>
      <c r="G3" s="19" t="inlineStr">
        <is>
          <t>Exit Date</t>
        </is>
      </c>
      <c r="H3" s="19" t="inlineStr">
        <is>
          <t>Exit Price</t>
        </is>
      </c>
      <c r="I3" s="19" t="inlineStr">
        <is>
          <t>Gross P&amp;L</t>
        </is>
      </c>
      <c r="J3" s="19" t="inlineStr">
        <is>
          <t>Gross Return %</t>
        </is>
      </c>
      <c r="K3" s="19" t="inlineStr">
        <is>
          <t>Costs</t>
        </is>
      </c>
      <c r="L3" s="19" t="inlineStr">
        <is>
          <t>Net P&amp;L</t>
        </is>
      </c>
      <c r="M3" s="19" t="inlineStr">
        <is>
          <t>Net Return %</t>
        </is>
      </c>
      <c r="N3" s="19" t="inlineStr">
        <is>
          <t>Status</t>
        </is>
      </c>
      <c r="O3" s="19" t="inlineStr">
        <is>
          <t>Return Bucket</t>
        </is>
      </c>
    </row>
    <row r="4">
      <c r="A4" s="23" t="inlineStr">
        <is>
          <t>DHAN-221260819775809</t>
        </is>
      </c>
      <c r="B4" s="23" t="inlineStr">
        <is>
          <t>BAJAJHIND</t>
        </is>
      </c>
      <c r="C4" s="23" t="inlineStr">
        <is>
          <t>LONG</t>
        </is>
      </c>
      <c r="D4" s="24" t="n">
        <v>46253</v>
      </c>
      <c r="E4" s="25" t="n">
        <v>20.2933</v>
      </c>
      <c r="F4" s="26" t="n">
        <v>14742</v>
      </c>
      <c r="G4" s="24" t="n">
        <v>46254</v>
      </c>
      <c r="H4" s="25" t="n">
        <v>20.9689</v>
      </c>
      <c r="I4" s="21">
        <f>IF(OR($B4="",$H4=""),"",IF($C4="LONG",($H4-$E4)*$F4,($E4-$H4)*$F4))</f>
        <v/>
      </c>
      <c r="J4" s="22">
        <f>IF(OR($B4="",$I4="",$E4=0,$F4=0),"",$I4/($E4*$F4))</f>
        <v/>
      </c>
      <c r="K4" s="4" t="n">
        <v>515.25</v>
      </c>
      <c r="L4" s="21">
        <f>IF(OR($B4="",$I4=""),"",$I4-IF($K4="",0,$K4))</f>
        <v/>
      </c>
      <c r="M4" s="22">
        <f>IF(OR($B4="",$L4="",$E4=0,$F4=0),"",$L4/($E4*$F4))</f>
        <v/>
      </c>
      <c r="N4" s="27">
        <f>IF($B4="","",IF($H4="","Open","Closed"))</f>
        <v/>
      </c>
      <c r="O4" s="23" t="inlineStr">
        <is>
          <t>Untagged</t>
        </is>
      </c>
    </row>
    <row r="5">
      <c r="A5" s="23" t="inlineStr">
        <is>
          <t>DHAN-23126082016509</t>
        </is>
      </c>
      <c r="B5" s="23" t="inlineStr">
        <is>
          <t>BAJAJHIND</t>
        </is>
      </c>
      <c r="C5" s="23" t="inlineStr">
        <is>
          <t>SHORT</t>
        </is>
      </c>
      <c r="D5" s="24" t="n">
        <v>46254</v>
      </c>
      <c r="E5" s="25" t="n">
        <v>20.9605</v>
      </c>
      <c r="F5" s="26" t="n">
        <v>14742</v>
      </c>
      <c r="G5" s="24" t="n">
        <v>46254</v>
      </c>
      <c r="H5" s="25" t="n">
        <v>22.2519</v>
      </c>
      <c r="I5" s="21">
        <f>IF(OR($B5="",$H5=""),"",IF($C5="LONG",($H5-$E5)*$F5,($E5-$H5)*$F5))</f>
        <v/>
      </c>
      <c r="J5" s="22">
        <f>IF(OR($B5="",$I5="",$E5=0,$F5=0),"",$I5/($E5*$F5))</f>
        <v/>
      </c>
      <c r="K5" s="4" t="n">
        <v>451.6</v>
      </c>
      <c r="L5" s="21">
        <f>IF(OR($B5="",$I5=""),"",$I5-IF($K5="",0,$K5))</f>
        <v/>
      </c>
      <c r="M5" s="22">
        <f>IF(OR($B5="",$L5="",$E5=0,$F5=0),"",$L5/($E5*$F5))</f>
        <v/>
      </c>
      <c r="N5" s="27">
        <f>IF($B5="","",IF($H5="","Open","Closed"))</f>
        <v/>
      </c>
      <c r="O5" s="23" t="inlineStr">
        <is>
          <t>Untagged</t>
        </is>
      </c>
    </row>
    <row r="6">
      <c r="A6" s="23" t="inlineStr">
        <is>
          <t>DHAN-221260819775909</t>
        </is>
      </c>
      <c r="B6" s="23" t="inlineStr">
        <is>
          <t>GOPAL</t>
        </is>
      </c>
      <c r="C6" s="23" t="inlineStr">
        <is>
          <t>LONG</t>
        </is>
      </c>
      <c r="D6" s="24" t="n">
        <v>46253</v>
      </c>
      <c r="E6" s="25" t="n">
        <v>289.4016</v>
      </c>
      <c r="F6" s="26" t="n">
        <v>1038</v>
      </c>
      <c r="G6" s="24" t="n">
        <v>46254</v>
      </c>
      <c r="H6" s="25" t="n">
        <v>281.1859</v>
      </c>
      <c r="I6" s="21">
        <f>IF(OR($B6="",$H6=""),"",IF($C6="LONG",($H6-$E6)*$F6,($E6-$H6)*$F6))</f>
        <v/>
      </c>
      <c r="J6" s="22">
        <f>IF(OR($B6="",$I6="",$E6=0,$F6=0),"",$I6/($E6*$F6))</f>
        <v/>
      </c>
      <c r="K6" s="4" t="n">
        <v>610.3099999999999</v>
      </c>
      <c r="L6" s="21">
        <f>IF(OR($B6="",$I6=""),"",$I6-IF($K6="",0,$K6))</f>
        <v/>
      </c>
      <c r="M6" s="22">
        <f>IF(OR($B6="",$L6="",$E6=0,$F6=0),"",$L6/($E6*$F6))</f>
        <v/>
      </c>
      <c r="N6" s="27">
        <f>IF($B6="","",IF($H6="","Open","Closed"))</f>
        <v/>
      </c>
      <c r="O6" s="23" t="inlineStr">
        <is>
          <t>Untagged</t>
        </is>
      </c>
    </row>
    <row r="7">
      <c r="A7" s="23" t="inlineStr">
        <is>
          <t>DHAN-22126082044409</t>
        </is>
      </c>
      <c r="B7" s="23" t="inlineStr">
        <is>
          <t>GOPAL</t>
        </is>
      </c>
      <c r="C7" s="23" t="inlineStr">
        <is>
          <t>SHORT</t>
        </is>
      </c>
      <c r="D7" s="24" t="n">
        <v>46254</v>
      </c>
      <c r="E7" s="25" t="n">
        <v>281.1067</v>
      </c>
      <c r="F7" s="26" t="n">
        <v>1038</v>
      </c>
      <c r="G7" s="24" t="n">
        <v>46254</v>
      </c>
      <c r="H7" s="25" t="n">
        <v>282.9361</v>
      </c>
      <c r="I7" s="21">
        <f>IF(OR($B7="",$H7=""),"",IF($C7="LONG",($H7-$E7)*$F7,($E7-$H7)*$F7))</f>
        <v/>
      </c>
      <c r="J7" s="22">
        <f>IF(OR($B7="",$I7="",$E7=0,$F7=0),"",$I7/($E7*$F7))</f>
        <v/>
      </c>
      <c r="K7" s="4" t="n">
        <v>346.76</v>
      </c>
      <c r="L7" s="21">
        <f>IF(OR($B7="",$I7=""),"",$I7-IF($K7="",0,$K7))</f>
        <v/>
      </c>
      <c r="M7" s="22">
        <f>IF(OR($B7="",$L7="",$E7=0,$F7=0),"",$L7/($E7*$F7))</f>
        <v/>
      </c>
      <c r="N7" s="27">
        <f>IF($B7="","",IF($H7="","Open","Closed"))</f>
        <v/>
      </c>
      <c r="O7" s="23" t="inlineStr">
        <is>
          <t>Untagged</t>
        </is>
      </c>
    </row>
    <row r="8">
      <c r="A8" s="23" t="inlineStr">
        <is>
          <t>DHAN-321260819763709</t>
        </is>
      </c>
      <c r="B8" s="23" t="inlineStr">
        <is>
          <t>NILKAMAL</t>
        </is>
      </c>
      <c r="C8" s="23" t="inlineStr">
        <is>
          <t>LONG</t>
        </is>
      </c>
      <c r="D8" s="24" t="n">
        <v>46253</v>
      </c>
      <c r="E8" s="25" t="n">
        <v>2031.8572</v>
      </c>
      <c r="F8" s="26" t="n">
        <v>147</v>
      </c>
      <c r="G8" s="24" t="n">
        <v>46254</v>
      </c>
      <c r="H8" s="25" t="n">
        <v>2020.8687</v>
      </c>
      <c r="I8" s="21">
        <f>IF(OR($B8="",$H8=""),"",IF($C8="LONG",($H8-$E8)*$F8,($E8-$H8)*$F8))</f>
        <v/>
      </c>
      <c r="J8" s="22">
        <f>IF(OR($B8="",$I8="",$E8=0,$F8=0),"",$I8/($E8*$F8))</f>
        <v/>
      </c>
      <c r="K8" s="4" t="n">
        <v>514.1900000000001</v>
      </c>
      <c r="L8" s="21">
        <f>IF(OR($B8="",$I8=""),"",$I8-IF($K8="",0,$K8))</f>
        <v/>
      </c>
      <c r="M8" s="22">
        <f>IF(OR($B8="",$L8="",$E8=0,$F8=0),"",$L8/($E8*$F8))</f>
        <v/>
      </c>
      <c r="N8" s="27">
        <f>IF($B8="","",IF($H8="","Open","Closed"))</f>
        <v/>
      </c>
      <c r="O8" s="23" t="inlineStr">
        <is>
          <t>Untagged</t>
        </is>
      </c>
    </row>
    <row r="9">
      <c r="A9" s="23" t="inlineStr">
        <is>
          <t>DHAN-321260820468709</t>
        </is>
      </c>
      <c r="B9" s="23" t="inlineStr">
        <is>
          <t>NILKAMAL</t>
        </is>
      </c>
      <c r="C9" s="23" t="inlineStr">
        <is>
          <t>SHORT</t>
        </is>
      </c>
      <c r="D9" s="24" t="n">
        <v>46254</v>
      </c>
      <c r="E9" s="25" t="n">
        <v>2019.2572</v>
      </c>
      <c r="F9" s="26" t="n">
        <v>147</v>
      </c>
      <c r="G9" s="24" t="n">
        <v>46254</v>
      </c>
      <c r="H9" s="25" t="n">
        <v>2037.9993</v>
      </c>
      <c r="I9" s="21">
        <f>IF(OR($B9="",$H9=""),"",IF($C9="LONG",($H9-$E9)*$F9,($E9-$H9)*$F9))</f>
        <v/>
      </c>
      <c r="J9" s="22">
        <f>IF(OR($B9="",$I9="",$E9=0,$F9=0),"",$I9/($E9*$F9))</f>
        <v/>
      </c>
      <c r="K9" s="4" t="n">
        <v>427.19</v>
      </c>
      <c r="L9" s="21">
        <f>IF(OR($B9="",$I9=""),"",$I9-IF($K9="",0,$K9))</f>
        <v/>
      </c>
      <c r="M9" s="22">
        <f>IF(OR($B9="",$L9="",$E9=0,$F9=0),"",$L9/($E9*$F9))</f>
        <v/>
      </c>
      <c r="N9" s="27">
        <f>IF($B9="","",IF($H9="","Open","Closed"))</f>
        <v/>
      </c>
      <c r="O9" s="23" t="inlineStr">
        <is>
          <t>Untagged</t>
        </is>
      </c>
    </row>
    <row r="10">
      <c r="A10" s="23" t="inlineStr">
        <is>
          <t>DHAN-321260819763909</t>
        </is>
      </c>
      <c r="B10" s="23" t="inlineStr">
        <is>
          <t>ORIENTHOT</t>
        </is>
      </c>
      <c r="C10" s="23" t="inlineStr">
        <is>
          <t>LONG</t>
        </is>
      </c>
      <c r="D10" s="24" t="n">
        <v>46253</v>
      </c>
      <c r="E10" s="25" t="n">
        <v>139.6107</v>
      </c>
      <c r="F10" s="26" t="n">
        <v>2137</v>
      </c>
      <c r="G10" s="24" t="n">
        <v>46254</v>
      </c>
      <c r="H10" s="25" t="n">
        <v>134.2087</v>
      </c>
      <c r="I10" s="21">
        <f>IF(OR($B10="",$H10=""),"",IF($C10="LONG",($H10-$E10)*$F10,($E10-$H10)*$F10))</f>
        <v/>
      </c>
      <c r="J10" s="22">
        <f>IF(OR($B10="",$I10="",$E10=0,$F10=0),"",$I10/($E10*$F10))</f>
        <v/>
      </c>
      <c r="K10" s="4" t="n">
        <v>595.38</v>
      </c>
      <c r="L10" s="21">
        <f>IF(OR($B10="",$I10=""),"",$I10-IF($K10="",0,$K10))</f>
        <v/>
      </c>
      <c r="M10" s="22">
        <f>IF(OR($B10="",$L10="",$E10=0,$F10=0),"",$L10/($E10*$F10))</f>
        <v/>
      </c>
      <c r="N10" s="27">
        <f>IF($B10="","",IF($H10="","Open","Closed"))</f>
        <v/>
      </c>
      <c r="O10" s="23" t="inlineStr">
        <is>
          <t>Untagged</t>
        </is>
      </c>
    </row>
    <row r="11">
      <c r="A11" s="23" t="inlineStr">
        <is>
          <t>DHAN-22126082044709</t>
        </is>
      </c>
      <c r="B11" s="23" t="inlineStr">
        <is>
          <t>ORIENTHOT</t>
        </is>
      </c>
      <c r="C11" s="23" t="inlineStr">
        <is>
          <t>SHORT</t>
        </is>
      </c>
      <c r="D11" s="24" t="n">
        <v>46254</v>
      </c>
      <c r="E11" s="25" t="n">
        <v>134.1808</v>
      </c>
      <c r="F11" s="26" t="n">
        <v>2137</v>
      </c>
      <c r="G11" s="24" t="n">
        <v>46254</v>
      </c>
      <c r="H11" s="25" t="n">
        <v>134.9144</v>
      </c>
      <c r="I11" s="21">
        <f>IF(OR($B11="",$H11=""),"",IF($C11="LONG",($H11-$E11)*$F11,($E11-$H11)*$F11))</f>
        <v/>
      </c>
      <c r="J11" s="22">
        <f>IF(OR($B11="",$I11="",$E11=0,$F11=0),"",$I11/($E11*$F11))</f>
        <v/>
      </c>
      <c r="K11" s="4" t="n">
        <v>341.04</v>
      </c>
      <c r="L11" s="21">
        <f>IF(OR($B11="",$I11=""),"",$I11-IF($K11="",0,$K11))</f>
        <v/>
      </c>
      <c r="M11" s="22">
        <f>IF(OR($B11="",$L11="",$E11=0,$F11=0),"",$L11/($E11*$F11))</f>
        <v/>
      </c>
      <c r="N11" s="27">
        <f>IF($B11="","",IF($H11="","Open","Closed"))</f>
        <v/>
      </c>
      <c r="O11" s="23" t="inlineStr">
        <is>
          <t>Untagged</t>
        </is>
      </c>
    </row>
    <row r="12">
      <c r="A12" s="23" t="inlineStr">
        <is>
          <t>DHAN-321260819764209</t>
        </is>
      </c>
      <c r="B12" s="23" t="inlineStr">
        <is>
          <t>ZAGGLE</t>
        </is>
      </c>
      <c r="C12" s="23" t="inlineStr">
        <is>
          <t>LONG</t>
        </is>
      </c>
      <c r="D12" s="24" t="n">
        <v>46253</v>
      </c>
      <c r="E12" s="25" t="n">
        <v>186.67</v>
      </c>
      <c r="F12" s="26" t="n">
        <v>1609</v>
      </c>
      <c r="G12" s="24" t="n">
        <v>46254</v>
      </c>
      <c r="H12" s="25" t="n">
        <v>190.697</v>
      </c>
      <c r="I12" s="21">
        <f>IF(OR($B12="",$H12=""),"",IF($C12="LONG",($H12-$E12)*$F12,($E12-$H12)*$F12))</f>
        <v/>
      </c>
      <c r="J12" s="22">
        <f>IF(OR($B12="",$I12="",$E12=0,$F12=0),"",$I12/($E12*$F12))</f>
        <v/>
      </c>
      <c r="K12" s="4" t="n">
        <v>526.36</v>
      </c>
      <c r="L12" s="21">
        <f>IF(OR($B12="",$I12=""),"",$I12-IF($K12="",0,$K12))</f>
        <v/>
      </c>
      <c r="M12" s="22">
        <f>IF(OR($B12="",$L12="",$E12=0,$F12=0),"",$L12/($E12*$F12))</f>
        <v/>
      </c>
      <c r="N12" s="27">
        <f>IF($B12="","",IF($H12="","Open","Closed"))</f>
        <v/>
      </c>
      <c r="O12" s="23" t="inlineStr">
        <is>
          <t>Untagged</t>
        </is>
      </c>
    </row>
    <row r="13">
      <c r="A13" s="23" t="inlineStr">
        <is>
          <t>DHAN-22126082044909</t>
        </is>
      </c>
      <c r="B13" s="23" t="inlineStr">
        <is>
          <t>ZAGGLE</t>
        </is>
      </c>
      <c r="C13" s="23" t="inlineStr">
        <is>
          <t>SHORT</t>
        </is>
      </c>
      <c r="D13" s="24" t="n">
        <v>46254</v>
      </c>
      <c r="E13" s="25" t="n">
        <v>190.82</v>
      </c>
      <c r="F13" s="26" t="n">
        <v>1609</v>
      </c>
      <c r="G13" s="24" t="n">
        <v>46254</v>
      </c>
      <c r="H13" s="25" t="n">
        <v>197.6402</v>
      </c>
      <c r="I13" s="21">
        <f>IF(OR($B13="",$H13=""),"",IF($C13="LONG",($H13-$E13)*$F13,($E13-$H13)*$F13))</f>
        <v/>
      </c>
      <c r="J13" s="22">
        <f>IF(OR($B13="",$I13="",$E13=0,$F13=0),"",$I13/($E13*$F13))</f>
        <v/>
      </c>
      <c r="K13" s="4" t="n">
        <v>444.79</v>
      </c>
      <c r="L13" s="21">
        <f>IF(OR($B13="",$I13=""),"",$I13-IF($K13="",0,$K13))</f>
        <v/>
      </c>
      <c r="M13" s="22">
        <f>IF(OR($B13="",$L13="",$E13=0,$F13=0),"",$L13/($E13*$F13))</f>
        <v/>
      </c>
      <c r="N13" s="27">
        <f>IF($B13="","",IF($H13="","Open","Closed"))</f>
        <v/>
      </c>
      <c r="O13" s="23" t="inlineStr">
        <is>
          <t>Untagged</t>
        </is>
      </c>
    </row>
    <row r="14">
      <c r="A14" s="23" t="inlineStr">
        <is>
          <t>DHAN-34126082075909</t>
        </is>
      </c>
      <c r="B14" s="23" t="inlineStr">
        <is>
          <t>BANARISUG</t>
        </is>
      </c>
      <c r="C14" s="23" t="inlineStr">
        <is>
          <t>LONG</t>
        </is>
      </c>
      <c r="D14" s="24" t="n">
        <v>46254</v>
      </c>
      <c r="E14" s="25" t="n">
        <v>4243.582</v>
      </c>
      <c r="F14" s="26" t="n">
        <v>39</v>
      </c>
      <c r="G14" s="24" t="n">
        <v>46255</v>
      </c>
      <c r="H14" s="25" t="n">
        <v>4030.5</v>
      </c>
      <c r="I14" s="21">
        <f>IF(OR($B14="",$H14=""),"",IF($C14="LONG",($H14-$E14)*$F14,($E14-$H14)*$F14))</f>
        <v/>
      </c>
      <c r="J14" s="22">
        <f>IF(OR($B14="",$I14="",$E14=0,$F14=0),"",$I14/($E14*$F14))</f>
        <v/>
      </c>
      <c r="K14" s="4" t="n">
        <v>367.34</v>
      </c>
      <c r="L14" s="21">
        <f>IF(OR($B14="",$I14=""),"",$I14-IF($K14="",0,$K14))</f>
        <v/>
      </c>
      <c r="M14" s="22">
        <f>IF(OR($B14="",$L14="",$E14=0,$F14=0),"",$L14/($E14*$F14))</f>
        <v/>
      </c>
      <c r="N14" s="27">
        <f>IF($B14="","",IF($H14="","Open","Closed"))</f>
        <v/>
      </c>
      <c r="O14" s="23" t="inlineStr">
        <is>
          <t>Untagged</t>
        </is>
      </c>
    </row>
    <row r="15">
      <c r="A15" s="23" t="inlineStr">
        <is>
          <t>DHAN-23126082147609</t>
        </is>
      </c>
      <c r="B15" s="23" t="inlineStr">
        <is>
          <t>BANARISUG</t>
        </is>
      </c>
      <c r="C15" s="23" t="inlineStr">
        <is>
          <t>SHORT</t>
        </is>
      </c>
      <c r="D15" s="24" t="n">
        <v>46255</v>
      </c>
      <c r="E15" s="25" t="n">
        <v>4030.5103</v>
      </c>
      <c r="F15" s="26" t="n">
        <v>39</v>
      </c>
      <c r="G15" s="24" t="n">
        <v>46255</v>
      </c>
      <c r="H15" s="25" t="n">
        <v>4029.782</v>
      </c>
      <c r="I15" s="21">
        <f>IF(OR($B15="",$H15=""),"",IF($C15="LONG",($H15-$E15)*$F15,($E15-$H15)*$F15))</f>
        <v/>
      </c>
      <c r="J15" s="22">
        <f>IF(OR($B15="",$I15="",$E15=0,$F15=0),"",$I15/($E15*$F15))</f>
        <v/>
      </c>
      <c r="K15" s="4" t="n">
        <v>197.25</v>
      </c>
      <c r="L15" s="21">
        <f>IF(OR($B15="",$I15=""),"",$I15-IF($K15="",0,$K15))</f>
        <v/>
      </c>
      <c r="M15" s="22">
        <f>IF(OR($B15="",$L15="",$E15=0,$F15=0),"",$L15/($E15*$F15))</f>
        <v/>
      </c>
      <c r="N15" s="27">
        <f>IF($B15="","",IF($H15="","Open","Closed"))</f>
        <v/>
      </c>
      <c r="O15" s="23" t="inlineStr">
        <is>
          <t>Untagged</t>
        </is>
      </c>
    </row>
    <row r="16">
      <c r="A16" s="23" t="inlineStr">
        <is>
          <t>DHAN-22126082081809</t>
        </is>
      </c>
      <c r="B16" s="23" t="inlineStr">
        <is>
          <t>HUBTOWN</t>
        </is>
      </c>
      <c r="C16" s="23" t="inlineStr">
        <is>
          <t>LONG</t>
        </is>
      </c>
      <c r="D16" s="24" t="n">
        <v>46254</v>
      </c>
      <c r="E16" s="25" t="n">
        <v>201.5272</v>
      </c>
      <c r="F16" s="26" t="n">
        <v>827</v>
      </c>
      <c r="G16" s="24" t="n">
        <v>46255</v>
      </c>
      <c r="H16" s="25" t="n">
        <v>197.7805</v>
      </c>
      <c r="I16" s="21">
        <f>IF(OR($B16="",$H16=""),"",IF($C16="LONG",($H16-$E16)*$F16,($E16-$H16)*$F16))</f>
        <v/>
      </c>
      <c r="J16" s="22">
        <f>IF(OR($B16="",$I16="",$E16=0,$F16=0),"",$I16/($E16*$F16))</f>
        <v/>
      </c>
      <c r="K16" s="4" t="n">
        <v>376.36</v>
      </c>
      <c r="L16" s="21">
        <f>IF(OR($B16="",$I16=""),"",$I16-IF($K16="",0,$K16))</f>
        <v/>
      </c>
      <c r="M16" s="22">
        <f>IF(OR($B16="",$L16="",$E16=0,$F16=0),"",$L16/($E16*$F16))</f>
        <v/>
      </c>
      <c r="N16" s="27">
        <f>IF($B16="","",IF($H16="","Open","Closed"))</f>
        <v/>
      </c>
      <c r="O16" s="23" t="inlineStr">
        <is>
          <t>Untagged</t>
        </is>
      </c>
    </row>
    <row r="17">
      <c r="A17" s="23" t="inlineStr">
        <is>
          <t>DHAN-34126082146909</t>
        </is>
      </c>
      <c r="B17" s="23" t="inlineStr">
        <is>
          <t>HUBTOWN</t>
        </is>
      </c>
      <c r="C17" s="23" t="inlineStr">
        <is>
          <t>SHORT</t>
        </is>
      </c>
      <c r="D17" s="24" t="n">
        <v>46255</v>
      </c>
      <c r="E17" s="25" t="n">
        <v>197.3558</v>
      </c>
      <c r="F17" s="26" t="n">
        <v>827</v>
      </c>
      <c r="G17" s="24" t="n">
        <v>46255</v>
      </c>
      <c r="H17" s="25" t="n">
        <v>196.7219</v>
      </c>
      <c r="I17" s="21">
        <f>IF(OR($B17="",$H17=""),"",IF($C17="LONG",($H17-$E17)*$F17,($E17-$H17)*$F17))</f>
        <v/>
      </c>
      <c r="J17" s="22">
        <f>IF(OR($B17="",$I17="",$E17=0,$F17=0),"",$I17/($E17*$F17))</f>
        <v/>
      </c>
      <c r="K17" s="4" t="n">
        <v>203.83</v>
      </c>
      <c r="L17" s="21">
        <f>IF(OR($B17="",$I17=""),"",$I17-IF($K17="",0,$K17))</f>
        <v/>
      </c>
      <c r="M17" s="22">
        <f>IF(OR($B17="",$L17="",$E17=0,$F17=0),"",$L17/($E17*$F17))</f>
        <v/>
      </c>
      <c r="N17" s="27">
        <f>IF($B17="","",IF($H17="","Open","Closed"))</f>
        <v/>
      </c>
      <c r="O17" s="23" t="inlineStr">
        <is>
          <t>Untagged</t>
        </is>
      </c>
    </row>
    <row r="18">
      <c r="A18" s="23" t="inlineStr">
        <is>
          <t>DHAN-321260820757209</t>
        </is>
      </c>
      <c r="B18" s="23" t="inlineStr">
        <is>
          <t>KIRIINDUS</t>
        </is>
      </c>
      <c r="C18" s="23" t="inlineStr">
        <is>
          <t>LONG</t>
        </is>
      </c>
      <c r="D18" s="24" t="n">
        <v>46254</v>
      </c>
      <c r="E18" s="25" t="n">
        <v>462.385</v>
      </c>
      <c r="F18" s="26" t="n">
        <v>361</v>
      </c>
      <c r="G18" s="24" t="n">
        <v>46255</v>
      </c>
      <c r="H18" s="25" t="n">
        <v>463.0857</v>
      </c>
      <c r="I18" s="21">
        <f>IF(OR($B18="",$H18=""),"",IF($C18="LONG",($H18-$E18)*$F18,($E18-$H18)*$F18))</f>
        <v/>
      </c>
      <c r="J18" s="22">
        <f>IF(OR($B18="",$I18="",$E18=0,$F18=0),"",$I18/($E18*$F18))</f>
        <v/>
      </c>
      <c r="K18" s="4" t="n">
        <v>337.7</v>
      </c>
      <c r="L18" s="21">
        <f>IF(OR($B18="",$I18=""),"",$I18-IF($K18="",0,$K18))</f>
        <v/>
      </c>
      <c r="M18" s="22">
        <f>IF(OR($B18="",$L18="",$E18=0,$F18=0),"",$L18/($E18*$F18))</f>
        <v/>
      </c>
      <c r="N18" s="27">
        <f>IF($B18="","",IF($H18="","Open","Closed"))</f>
        <v/>
      </c>
      <c r="O18" s="23" t="inlineStr">
        <is>
          <t>Untagged</t>
        </is>
      </c>
    </row>
    <row r="19">
      <c r="A19" s="23" t="inlineStr">
        <is>
          <t>DHAN-23126082116409</t>
        </is>
      </c>
      <c r="B19" s="23" t="inlineStr">
        <is>
          <t>KIRIINDUS</t>
        </is>
      </c>
      <c r="C19" s="23" t="inlineStr">
        <is>
          <t>SHORT</t>
        </is>
      </c>
      <c r="D19" s="24" t="n">
        <v>46255</v>
      </c>
      <c r="E19" s="25" t="n">
        <v>462.9753</v>
      </c>
      <c r="F19" s="26" t="n">
        <v>361</v>
      </c>
      <c r="G19" s="24" t="n">
        <v>46255</v>
      </c>
      <c r="H19" s="25" t="n">
        <v>474</v>
      </c>
      <c r="I19" s="21">
        <f>IF(OR($B19="",$H19=""),"",IF($C19="LONG",($H19-$E19)*$F19,($E19-$H19)*$F19))</f>
        <v/>
      </c>
      <c r="J19" s="22">
        <f>IF(OR($B19="",$I19="",$E19=0,$F19=0),"",$I19/($E19*$F19))</f>
        <v/>
      </c>
      <c r="K19" s="4" t="n">
        <v>251.98</v>
      </c>
      <c r="L19" s="21">
        <f>IF(OR($B19="",$I19=""),"",$I19-IF($K19="",0,$K19))</f>
        <v/>
      </c>
      <c r="M19" s="22">
        <f>IF(OR($B19="",$L19="",$E19=0,$F19=0),"",$L19/($E19*$F19))</f>
        <v/>
      </c>
      <c r="N19" s="27">
        <f>IF($B19="","",IF($H19="","Open","Closed"))</f>
        <v/>
      </c>
      <c r="O19" s="23" t="inlineStr">
        <is>
          <t>Untagged</t>
        </is>
      </c>
    </row>
    <row r="20">
      <c r="A20" s="23" t="inlineStr">
        <is>
          <t>DHAN-321260820757609</t>
        </is>
      </c>
      <c r="B20" s="23" t="inlineStr">
        <is>
          <t>MANGLMCEM</t>
        </is>
      </c>
      <c r="C20" s="23" t="inlineStr">
        <is>
          <t>LONG</t>
        </is>
      </c>
      <c r="D20" s="24" t="n">
        <v>46254</v>
      </c>
      <c r="E20" s="25" t="n">
        <v>988.9262</v>
      </c>
      <c r="F20" s="26" t="n">
        <v>168</v>
      </c>
      <c r="G20" s="24" t="n">
        <v>46255</v>
      </c>
      <c r="H20" s="25" t="n">
        <v>989.1455</v>
      </c>
      <c r="I20" s="21">
        <f>IF(OR($B20="",$H20=""),"",IF($C20="LONG",($H20-$E20)*$F20,($E20-$H20)*$F20))</f>
        <v/>
      </c>
      <c r="J20" s="22">
        <f>IF(OR($B20="",$I20="",$E20=0,$F20=0),"",$I20/($E20*$F20))</f>
        <v/>
      </c>
      <c r="K20" s="4" t="n">
        <v>376.81</v>
      </c>
      <c r="L20" s="21">
        <f>IF(OR($B20="",$I20=""),"",$I20-IF($K20="",0,$K20))</f>
        <v/>
      </c>
      <c r="M20" s="22">
        <f>IF(OR($B20="",$L20="",$E20=0,$F20=0),"",$L20/($E20*$F20))</f>
        <v/>
      </c>
      <c r="N20" s="27">
        <f>IF($B20="","",IF($H20="","Open","Closed"))</f>
        <v/>
      </c>
      <c r="O20" s="23" t="inlineStr">
        <is>
          <t>Untagged</t>
        </is>
      </c>
    </row>
    <row r="21">
      <c r="A21" s="23" t="inlineStr">
        <is>
          <t>DHAN-321260821106109</t>
        </is>
      </c>
      <c r="B21" s="23" t="inlineStr">
        <is>
          <t>MANGLMCEM</t>
        </is>
      </c>
      <c r="C21" s="23" t="inlineStr">
        <is>
          <t>SHORT</t>
        </is>
      </c>
      <c r="D21" s="24" t="n">
        <v>46255</v>
      </c>
      <c r="E21" s="25" t="n">
        <v>988.4104</v>
      </c>
      <c r="F21" s="26" t="n">
        <v>168</v>
      </c>
      <c r="G21" s="24" t="n">
        <v>46255</v>
      </c>
      <c r="H21" s="25" t="n">
        <v>1013.811</v>
      </c>
      <c r="I21" s="21">
        <f>IF(OR($B21="",$H21=""),"",IF($C21="LONG",($H21-$E21)*$F21,($E21-$H21)*$F21))</f>
        <v/>
      </c>
      <c r="J21" s="22">
        <f>IF(OR($B21="",$I21="",$E21=0,$F21=0),"",$I21/($E21*$F21))</f>
        <v/>
      </c>
      <c r="K21" s="4" t="n">
        <v>208.81</v>
      </c>
      <c r="L21" s="21">
        <f>IF(OR($B21="",$I21=""),"",$I21-IF($K21="",0,$K21))</f>
        <v/>
      </c>
      <c r="M21" s="22">
        <f>IF(OR($B21="",$L21="",$E21=0,$F21=0),"",$L21/($E21*$F21))</f>
        <v/>
      </c>
      <c r="N21" s="27">
        <f>IF($B21="","",IF($H21="","Open","Closed"))</f>
        <v/>
      </c>
      <c r="O21" s="23" t="inlineStr">
        <is>
          <t>Untagged</t>
        </is>
      </c>
    </row>
    <row r="22">
      <c r="A22" s="23" t="inlineStr">
        <is>
          <t>DHAN-321260820757709</t>
        </is>
      </c>
      <c r="B22" s="23" t="inlineStr">
        <is>
          <t>NETWORK18</t>
        </is>
      </c>
      <c r="C22" s="23" t="inlineStr">
        <is>
          <t>LONG</t>
        </is>
      </c>
      <c r="D22" s="24" t="n">
        <v>46254</v>
      </c>
      <c r="E22" s="25" t="n">
        <v>30.4987</v>
      </c>
      <c r="F22" s="26" t="n">
        <v>5468</v>
      </c>
      <c r="G22" s="24" t="n">
        <v>46255</v>
      </c>
      <c r="H22" s="25" t="n">
        <v>30.5039</v>
      </c>
      <c r="I22" s="21">
        <f>IF(OR($B22="",$H22=""),"",IF($C22="LONG",($H22-$E22)*$F22,($E22-$H22)*$F22))</f>
        <v/>
      </c>
      <c r="J22" s="22">
        <f>IF(OR($B22="",$I22="",$E22=0,$F22=0),"",$I22/($E22*$F22))</f>
        <v/>
      </c>
      <c r="K22" s="4" t="n">
        <v>339.18</v>
      </c>
      <c r="L22" s="21">
        <f>IF(OR($B22="",$I22=""),"",$I22-IF($K22="",0,$K22))</f>
        <v/>
      </c>
      <c r="M22" s="22">
        <f>IF(OR($B22="",$L22="",$E22=0,$F22=0),"",$L22/($E22*$F22))</f>
        <v/>
      </c>
      <c r="N22" s="27">
        <f>IF($B22="","",IF($H22="","Open","Closed"))</f>
        <v/>
      </c>
      <c r="O22" s="23" t="inlineStr">
        <is>
          <t>Untagged</t>
        </is>
      </c>
    </row>
    <row r="23">
      <c r="A23" s="23" t="inlineStr">
        <is>
          <t>DHAN-321260821106709</t>
        </is>
      </c>
      <c r="B23" s="23" t="inlineStr">
        <is>
          <t>NETWORK18</t>
        </is>
      </c>
      <c r="C23" s="23" t="inlineStr">
        <is>
          <t>SHORT</t>
        </is>
      </c>
      <c r="D23" s="24" t="n">
        <v>46255</v>
      </c>
      <c r="E23" s="25" t="n">
        <v>30.5074</v>
      </c>
      <c r="F23" s="26" t="n">
        <v>5468</v>
      </c>
      <c r="G23" s="24" t="n">
        <v>46255</v>
      </c>
      <c r="H23" s="25" t="n">
        <v>29.9088</v>
      </c>
      <c r="I23" s="21">
        <f>IF(OR($B23="",$H23=""),"",IF($C23="LONG",($H23-$E23)*$F23,($E23-$H23)*$F23))</f>
        <v/>
      </c>
      <c r="J23" s="22">
        <f>IF(OR($B23="",$I23="",$E23=0,$F23=0),"",$I23/($E23*$F23))</f>
        <v/>
      </c>
      <c r="K23" s="4" t="n">
        <v>248.04</v>
      </c>
      <c r="L23" s="21">
        <f>IF(OR($B23="",$I23=""),"",$I23-IF($K23="",0,$K23))</f>
        <v/>
      </c>
      <c r="M23" s="22">
        <f>IF(OR($B23="",$L23="",$E23=0,$F23=0),"",$L23/($E23*$F23))</f>
        <v/>
      </c>
      <c r="N23" s="27">
        <f>IF($B23="","",IF($H23="","Open","Closed"))</f>
        <v/>
      </c>
      <c r="O23" s="23" t="inlineStr">
        <is>
          <t>Untagged</t>
        </is>
      </c>
    </row>
    <row r="24">
      <c r="A24" s="23" t="inlineStr">
        <is>
          <t>DHAN-321260820757909</t>
        </is>
      </c>
      <c r="B24" s="23" t="inlineStr">
        <is>
          <t>SOLARA</t>
        </is>
      </c>
      <c r="C24" s="23" t="inlineStr">
        <is>
          <t>LONG</t>
        </is>
      </c>
      <c r="D24" s="24" t="n">
        <v>46254</v>
      </c>
      <c r="E24" s="25" t="n">
        <v>639.9</v>
      </c>
      <c r="F24" s="26" t="n">
        <v>261</v>
      </c>
      <c r="G24" s="24" t="n">
        <v>46255</v>
      </c>
      <c r="H24" s="25" t="n">
        <v>615.2594</v>
      </c>
      <c r="I24" s="21">
        <f>IF(OR($B24="",$H24=""),"",IF($C24="LONG",($H24-$E24)*$F24,($E24-$H24)*$F24))</f>
        <v/>
      </c>
      <c r="J24" s="22">
        <f>IF(OR($B24="",$I24="",$E24=0,$F24=0),"",$I24/($E24*$F24))</f>
        <v/>
      </c>
      <c r="K24" s="4" t="n">
        <v>376.04</v>
      </c>
      <c r="L24" s="21">
        <f>IF(OR($B24="",$I24=""),"",$I24-IF($K24="",0,$K24))</f>
        <v/>
      </c>
      <c r="M24" s="22">
        <f>IF(OR($B24="",$L24="",$E24=0,$F24=0),"",$L24/($E24*$F24))</f>
        <v/>
      </c>
      <c r="N24" s="27">
        <f>IF($B24="","",IF($H24="","Open","Closed"))</f>
        <v/>
      </c>
      <c r="O24" s="23" t="inlineStr">
        <is>
          <t>Untagged</t>
        </is>
      </c>
    </row>
    <row r="25">
      <c r="A25" s="23" t="inlineStr">
        <is>
          <t>DHAN-23126082147809</t>
        </is>
      </c>
      <c r="B25" s="23" t="inlineStr">
        <is>
          <t>SOLARA</t>
        </is>
      </c>
      <c r="C25" s="23" t="inlineStr">
        <is>
          <t>SHORT</t>
        </is>
      </c>
      <c r="D25" s="24" t="n">
        <v>46255</v>
      </c>
      <c r="E25" s="25" t="n">
        <v>614.6021</v>
      </c>
      <c r="F25" s="26" t="n">
        <v>261</v>
      </c>
      <c r="G25" s="24" t="n">
        <v>46255</v>
      </c>
      <c r="H25" s="25" t="n">
        <v>614.4914</v>
      </c>
      <c r="I25" s="21">
        <f>IF(OR($B25="",$H25=""),"",IF($C25="LONG",($H25-$E25)*$F25,($E25-$H25)*$F25))</f>
        <v/>
      </c>
      <c r="J25" s="22">
        <f>IF(OR($B25="",$I25="",$E25=0,$F25=0),"",$I25/($E25*$F25))</f>
        <v/>
      </c>
      <c r="K25" s="4" t="n">
        <v>200.87</v>
      </c>
      <c r="L25" s="21">
        <f>IF(OR($B25="",$I25=""),"",$I25-IF($K25="",0,$K25))</f>
        <v/>
      </c>
      <c r="M25" s="22">
        <f>IF(OR($B25="",$L25="",$E25=0,$F25=0),"",$L25/($E25*$F25))</f>
        <v/>
      </c>
      <c r="N25" s="27">
        <f>IF($B25="","",IF($H25="","Open","Closed"))</f>
        <v/>
      </c>
      <c r="O25" s="23" t="inlineStr">
        <is>
          <t>Untagged</t>
        </is>
      </c>
    </row>
    <row r="26">
      <c r="A26" s="23" t="inlineStr">
        <is>
          <t>DHAN-23126082074409</t>
        </is>
      </c>
      <c r="B26" s="23" t="inlineStr">
        <is>
          <t>VERANDA</t>
        </is>
      </c>
      <c r="C26" s="23" t="inlineStr">
        <is>
          <t>LONG</t>
        </is>
      </c>
      <c r="D26" s="24" t="n">
        <v>46254</v>
      </c>
      <c r="E26" s="25" t="n">
        <v>257.6</v>
      </c>
      <c r="F26" s="26" t="n">
        <v>650</v>
      </c>
      <c r="G26" s="24" t="n">
        <v>46255</v>
      </c>
      <c r="H26" s="25" t="n">
        <v>259.5025</v>
      </c>
      <c r="I26" s="21">
        <f>IF(OR($B26="",$H26=""),"",IF($C26="LONG",($H26-$E26)*$F26,($E26-$H26)*$F26))</f>
        <v/>
      </c>
      <c r="J26" s="22">
        <f>IF(OR($B26="",$I26="",$E26=0,$F26=0),"",$I26/($E26*$F26))</f>
        <v/>
      </c>
      <c r="K26" s="4" t="n">
        <v>0</v>
      </c>
      <c r="L26" s="21">
        <f>IF(OR($B26="",$I26=""),"",$I26-IF($K26="",0,$K26))</f>
        <v/>
      </c>
      <c r="M26" s="22">
        <f>IF(OR($B26="",$L26="",$E26=0,$F26=0),"",$L26/($E26*$F26))</f>
        <v/>
      </c>
      <c r="N26" s="27">
        <f>IF($B26="","",IF($H26="","Open","Closed"))</f>
        <v/>
      </c>
      <c r="O26" s="23" t="inlineStr">
        <is>
          <t>Untagged</t>
        </is>
      </c>
    </row>
    <row r="27">
      <c r="A27" s="23" t="inlineStr">
        <is>
          <t>DHAN-34126082115309</t>
        </is>
      </c>
      <c r="B27" s="23" t="inlineStr">
        <is>
          <t>VERANDA</t>
        </is>
      </c>
      <c r="C27" s="23" t="inlineStr">
        <is>
          <t>SHORT</t>
        </is>
      </c>
      <c r="D27" s="24" t="n">
        <v>46255</v>
      </c>
      <c r="E27" s="25" t="n">
        <v>259.503</v>
      </c>
      <c r="F27" s="26" t="n">
        <v>650</v>
      </c>
      <c r="G27" s="24" t="n">
        <v>46255</v>
      </c>
      <c r="H27" s="25" t="n">
        <v>261.6704</v>
      </c>
      <c r="I27" s="21">
        <f>IF(OR($B27="",$H27=""),"",IF($C27="LONG",($H27-$E27)*$F27,($E27-$H27)*$F27))</f>
        <v/>
      </c>
      <c r="J27" s="22">
        <f>IF(OR($B27="",$I27="",$E27=0,$F27=0),"",$I27/($E27*$F27))</f>
        <v/>
      </c>
      <c r="K27" s="4" t="n">
        <v>210.52</v>
      </c>
      <c r="L27" s="21">
        <f>IF(OR($B27="",$I27=""),"",$I27-IF($K27="",0,$K27))</f>
        <v/>
      </c>
      <c r="M27" s="22">
        <f>IF(OR($B27="",$L27="",$E27=0,$F27=0),"",$L27/($E27*$F27))</f>
        <v/>
      </c>
      <c r="N27" s="27">
        <f>IF($B27="","",IF($H27="","Open","Closed"))</f>
        <v/>
      </c>
      <c r="O27" s="23" t="inlineStr">
        <is>
          <t>Untagged</t>
        </is>
      </c>
    </row>
    <row r="28">
      <c r="A28" s="23" t="inlineStr">
        <is>
          <t>DHAN-361260821483209</t>
        </is>
      </c>
      <c r="B28" s="23" t="inlineStr">
        <is>
          <t>KLBRENG-B</t>
        </is>
      </c>
      <c r="C28" s="23" t="inlineStr">
        <is>
          <t>LONG</t>
        </is>
      </c>
      <c r="D28" s="24" t="n">
        <v>46255</v>
      </c>
      <c r="E28" s="25" t="n">
        <v>406</v>
      </c>
      <c r="F28" s="26" t="n">
        <v>950</v>
      </c>
      <c r="G28" s="24" t="n">
        <v>46258</v>
      </c>
      <c r="H28" s="25" t="n">
        <v>389.171</v>
      </c>
      <c r="I28" s="21">
        <f>IF(OR($B28="",$H28=""),"",IF($C28="LONG",($H28-$E28)*$F28,($E28-$H28)*$F28))</f>
        <v/>
      </c>
      <c r="J28" s="22">
        <f>IF(OR($B28="",$I28="",$E28=0,$F28=0),"",$I28/($E28*$F28))</f>
        <v/>
      </c>
      <c r="K28" s="4" t="n">
        <v>534.25</v>
      </c>
      <c r="L28" s="21">
        <f>IF(OR($B28="",$I28=""),"",$I28-IF($K28="",0,$K28))</f>
        <v/>
      </c>
      <c r="M28" s="22">
        <f>IF(OR($B28="",$L28="",$E28=0,$F28=0),"",$L28/($E28*$F28))</f>
        <v/>
      </c>
      <c r="N28" s="27">
        <f>IF($B28="","",IF($H28="","Open","Closed"))</f>
        <v/>
      </c>
      <c r="O28" s="23" t="inlineStr">
        <is>
          <t>Untagged</t>
        </is>
      </c>
    </row>
    <row r="29">
      <c r="A29" s="23" t="inlineStr">
        <is>
          <t>DHAN-23126082451109</t>
        </is>
      </c>
      <c r="B29" s="23" t="inlineStr">
        <is>
          <t>KLBRENG-B</t>
        </is>
      </c>
      <c r="C29" s="23" t="inlineStr">
        <is>
          <t>SHORT</t>
        </is>
      </c>
      <c r="D29" s="24" t="n">
        <v>46258</v>
      </c>
      <c r="E29" s="25" t="n">
        <v>389.0013</v>
      </c>
      <c r="F29" s="26" t="n">
        <v>950</v>
      </c>
      <c r="G29" s="24" t="n">
        <v>46258</v>
      </c>
      <c r="H29" s="25" t="n">
        <v>392.9899</v>
      </c>
      <c r="I29" s="21">
        <f>IF(OR($B29="",$H29=""),"",IF($C29="LONG",($H29-$E29)*$F29,($E29-$H29)*$F29))</f>
        <v/>
      </c>
      <c r="J29" s="22">
        <f>IF(OR($B29="",$I29="",$E29=0,$F29=0),"",$I29/($E29*$F29))</f>
        <v/>
      </c>
      <c r="K29" s="4" t="n">
        <v>526.1799999999999</v>
      </c>
      <c r="L29" s="21">
        <f>IF(OR($B29="",$I29=""),"",$I29-IF($K29="",0,$K29))</f>
        <v/>
      </c>
      <c r="M29" s="22">
        <f>IF(OR($B29="",$L29="",$E29=0,$F29=0),"",$L29/($E29*$F29))</f>
        <v/>
      </c>
      <c r="N29" s="27">
        <f>IF($B29="","",IF($H29="","Open","Closed"))</f>
        <v/>
      </c>
      <c r="O29" s="23" t="inlineStr">
        <is>
          <t>Untagged</t>
        </is>
      </c>
    </row>
    <row r="30">
      <c r="A30" s="23" t="inlineStr">
        <is>
          <t>DHAN-321260821720509</t>
        </is>
      </c>
      <c r="B30" s="23" t="inlineStr">
        <is>
          <t>THOMASCOOK</t>
        </is>
      </c>
      <c r="C30" s="23" t="inlineStr">
        <is>
          <t>LONG</t>
        </is>
      </c>
      <c r="D30" s="24" t="n">
        <v>46255</v>
      </c>
      <c r="E30" s="25" t="n">
        <v>113.4719</v>
      </c>
      <c r="F30" s="26" t="n">
        <v>3301</v>
      </c>
      <c r="G30" s="24" t="n">
        <v>46258</v>
      </c>
      <c r="H30" s="25" t="n">
        <v>115.0974</v>
      </c>
      <c r="I30" s="21">
        <f>IF(OR($B30="",$H30=""),"",IF($C30="LONG",($H30-$E30)*$F30,($E30-$H30)*$F30))</f>
        <v/>
      </c>
      <c r="J30" s="22">
        <f>IF(OR($B30="",$I30="",$E30=0,$F30=0),"",$I30/($E30*$F30))</f>
        <v/>
      </c>
      <c r="K30" s="4" t="n">
        <v>803.09</v>
      </c>
      <c r="L30" s="21">
        <f>IF(OR($B30="",$I30=""),"",$I30-IF($K30="",0,$K30))</f>
        <v/>
      </c>
      <c r="M30" s="22">
        <f>IF(OR($B30="",$L30="",$E30=0,$F30=0),"",$L30/($E30*$F30))</f>
        <v/>
      </c>
      <c r="N30" s="27">
        <f>IF($B30="","",IF($H30="","Open","Closed"))</f>
        <v/>
      </c>
      <c r="O30" s="23" t="inlineStr">
        <is>
          <t>Untagged</t>
        </is>
      </c>
    </row>
    <row r="31">
      <c r="A31" s="23" t="inlineStr">
        <is>
          <t>DHAN-34126082414109</t>
        </is>
      </c>
      <c r="B31" s="23" t="inlineStr">
        <is>
          <t>THOMASCOOK</t>
        </is>
      </c>
      <c r="C31" s="23" t="inlineStr">
        <is>
          <t>SHORT</t>
        </is>
      </c>
      <c r="D31" s="24" t="n">
        <v>46258</v>
      </c>
      <c r="E31" s="25" t="n">
        <v>115.202</v>
      </c>
      <c r="F31" s="26" t="n">
        <v>3301</v>
      </c>
      <c r="G31" s="24" t="n">
        <v>46258</v>
      </c>
      <c r="H31" s="25" t="n">
        <v>113.5099</v>
      </c>
      <c r="I31" s="21">
        <f>IF(OR($B31="",$H31=""),"",IF($C31="LONG",($H31-$E31)*$F31,($E31-$H31)*$F31))</f>
        <v/>
      </c>
      <c r="J31" s="22">
        <f>IF(OR($B31="",$I31="",$E31=0,$F31=0),"",$I31/($E31*$F31))</f>
        <v/>
      </c>
      <c r="K31" s="4" t="n">
        <v>536.1</v>
      </c>
      <c r="L31" s="21">
        <f>IF(OR($B31="",$I31=""),"",$I31-IF($K31="",0,$K31))</f>
        <v/>
      </c>
      <c r="M31" s="22">
        <f>IF(OR($B31="",$L31="",$E31=0,$F31=0),"",$L31/($E31*$F31))</f>
        <v/>
      </c>
      <c r="N31" s="27">
        <f>IF($B31="","",IF($H31="","Open","Closed"))</f>
        <v/>
      </c>
      <c r="O31" s="23" t="inlineStr">
        <is>
          <t>Untagged</t>
        </is>
      </c>
    </row>
    <row r="32">
      <c r="A32" s="23" t="inlineStr">
        <is>
          <t>DHAN-241260821716609</t>
        </is>
      </c>
      <c r="B32" s="23" t="inlineStr">
        <is>
          <t>WELSPLSOL</t>
        </is>
      </c>
      <c r="C32" s="23" t="inlineStr">
        <is>
          <t>LONG</t>
        </is>
      </c>
      <c r="D32" s="24" t="n">
        <v>46255</v>
      </c>
      <c r="E32" s="25" t="n">
        <v>51.46937</v>
      </c>
      <c r="F32" s="26" t="n">
        <v>7230</v>
      </c>
      <c r="G32" s="24" t="n">
        <v>46258</v>
      </c>
      <c r="H32" s="25" t="n">
        <v>52.017</v>
      </c>
      <c r="I32" s="21">
        <f>IF(OR($B32="",$H32=""),"",IF($C32="LONG",($H32-$E32)*$F32,($E32-$H32)*$F32))</f>
        <v/>
      </c>
      <c r="J32" s="22">
        <f>IF(OR($B32="",$I32="",$E32=0,$F32=0),"",$I32/($E32*$F32))</f>
        <v/>
      </c>
      <c r="K32" s="4" t="n">
        <v>517.89</v>
      </c>
      <c r="L32" s="21">
        <f>IF(OR($B32="",$I32=""),"",$I32-IF($K32="",0,$K32))</f>
        <v/>
      </c>
      <c r="M32" s="22">
        <f>IF(OR($B32="",$L32="",$E32=0,$F32=0),"",$L32/($E32*$F32))</f>
        <v/>
      </c>
      <c r="N32" s="27">
        <f>IF($B32="","",IF($H32="","Open","Closed"))</f>
        <v/>
      </c>
      <c r="O32" s="23" t="inlineStr">
        <is>
          <t>Untagged</t>
        </is>
      </c>
    </row>
    <row r="33">
      <c r="A33" s="23" t="inlineStr">
        <is>
          <t>DHAN-34126082414209</t>
        </is>
      </c>
      <c r="B33" s="23" t="inlineStr">
        <is>
          <t>WELSPLSOL</t>
        </is>
      </c>
      <c r="C33" s="23" t="inlineStr">
        <is>
          <t>SHORT</t>
        </is>
      </c>
      <c r="D33" s="24" t="n">
        <v>46258</v>
      </c>
      <c r="E33" s="25" t="n">
        <v>51.8309</v>
      </c>
      <c r="F33" s="26" t="n">
        <v>7230</v>
      </c>
      <c r="G33" s="24" t="n">
        <v>46258</v>
      </c>
      <c r="H33" s="25" t="n">
        <v>51.2492</v>
      </c>
      <c r="I33" s="21">
        <f>IF(OR($B33="",$H33=""),"",IF($C33="LONG",($H33-$E33)*$F33,($E33-$H33)*$F33))</f>
        <v/>
      </c>
      <c r="J33" s="22">
        <f>IF(OR($B33="",$I33="",$E33=0,$F33=0),"",$I33/($E33*$F33))</f>
        <v/>
      </c>
      <c r="K33" s="4" t="n">
        <v>529.84</v>
      </c>
      <c r="L33" s="21">
        <f>IF(OR($B33="",$I33=""),"",$I33-IF($K33="",0,$K33))</f>
        <v/>
      </c>
      <c r="M33" s="22">
        <f>IF(OR($B33="",$L33="",$E33=0,$F33=0),"",$L33/($E33*$F33))</f>
        <v/>
      </c>
      <c r="N33" s="27">
        <f>IF($B33="","",IF($H33="","Open","Closed"))</f>
        <v/>
      </c>
      <c r="O33" s="23" t="inlineStr">
        <is>
          <t>Untagged</t>
        </is>
      </c>
    </row>
    <row r="34">
      <c r="A34" s="23" t="inlineStr">
        <is>
          <t>DHAN-221260824719309</t>
        </is>
      </c>
      <c r="B34" s="23" t="inlineStr">
        <is>
          <t>GUJTHEM</t>
        </is>
      </c>
      <c r="C34" s="23" t="inlineStr">
        <is>
          <t>LONG</t>
        </is>
      </c>
      <c r="D34" s="24" t="n">
        <v>46258</v>
      </c>
      <c r="E34" s="25" t="n">
        <v>412.7273</v>
      </c>
      <c r="F34" s="26" t="n">
        <v>405</v>
      </c>
      <c r="G34" s="24" t="n">
        <v>46259</v>
      </c>
      <c r="H34" s="25" t="n">
        <v>412.7043</v>
      </c>
      <c r="I34" s="21">
        <f>IF(OR($B34="",$H34=""),"",IF($C34="LONG",($H34-$E34)*$F34,($E34-$H34)*$F34))</f>
        <v/>
      </c>
      <c r="J34" s="22">
        <f>IF(OR($B34="",$I34="",$E34=0,$F34=0),"",$I34/($E34*$F34))</f>
        <v/>
      </c>
      <c r="K34" s="4" t="n">
        <v>377.89</v>
      </c>
      <c r="L34" s="21">
        <f>IF(OR($B34="",$I34=""),"",$I34-IF($K34="",0,$K34))</f>
        <v/>
      </c>
      <c r="M34" s="22">
        <f>IF(OR($B34="",$L34="",$E34=0,$F34=0),"",$L34/($E34*$F34))</f>
        <v/>
      </c>
      <c r="N34" s="27">
        <f>IF($B34="","",IF($H34="","Open","Closed"))</f>
        <v/>
      </c>
      <c r="O34" s="23" t="inlineStr">
        <is>
          <t>Untagged</t>
        </is>
      </c>
    </row>
    <row r="35">
      <c r="A35" s="23" t="inlineStr">
        <is>
          <t>DHAN-23126082553409</t>
        </is>
      </c>
      <c r="B35" s="23" t="inlineStr">
        <is>
          <t>GUJTHEM</t>
        </is>
      </c>
      <c r="C35" s="23" t="inlineStr">
        <is>
          <t>SHORT</t>
        </is>
      </c>
      <c r="D35" s="24" t="n">
        <v>46259</v>
      </c>
      <c r="E35" s="25" t="n">
        <v>412.5647</v>
      </c>
      <c r="F35" s="26" t="n">
        <v>405</v>
      </c>
      <c r="G35" s="24" t="n">
        <v>46259</v>
      </c>
      <c r="H35" s="25" t="n">
        <v>404.7939</v>
      </c>
      <c r="I35" s="21">
        <f>IF(OR($B35="",$H35=""),"",IF($C35="LONG",($H35-$E35)*$F35,($E35-$H35)*$F35))</f>
        <v/>
      </c>
      <c r="J35" s="22">
        <f>IF(OR($B35="",$I35="",$E35=0,$F35=0),"",$I35/($E35*$F35))</f>
        <v/>
      </c>
      <c r="K35" s="4" t="n">
        <v>207.3</v>
      </c>
      <c r="L35" s="21">
        <f>IF(OR($B35="",$I35=""),"",$I35-IF($K35="",0,$K35))</f>
        <v/>
      </c>
      <c r="M35" s="22">
        <f>IF(OR($B35="",$L35="",$E35=0,$F35=0),"",$L35/($E35*$F35))</f>
        <v/>
      </c>
      <c r="N35" s="27">
        <f>IF($B35="","",IF($H35="","Open","Closed"))</f>
        <v/>
      </c>
      <c r="O35" s="23" t="inlineStr">
        <is>
          <t>Untagged</t>
        </is>
      </c>
    </row>
    <row r="36">
      <c r="A36" s="23" t="inlineStr">
        <is>
          <t>DHAN-321260824740509</t>
        </is>
      </c>
      <c r="B36" s="23" t="inlineStr">
        <is>
          <t>KCP</t>
        </is>
      </c>
      <c r="C36" s="23" t="inlineStr">
        <is>
          <t>LONG</t>
        </is>
      </c>
      <c r="D36" s="24" t="n">
        <v>46258</v>
      </c>
      <c r="E36" s="25" t="n">
        <v>177.3833</v>
      </c>
      <c r="F36" s="26" t="n">
        <v>942</v>
      </c>
      <c r="G36" s="24" t="n">
        <v>46259</v>
      </c>
      <c r="H36" s="25" t="n">
        <v>173.0689</v>
      </c>
      <c r="I36" s="21">
        <f>IF(OR($B36="",$H36=""),"",IF($C36="LONG",($H36-$E36)*$F36,($E36-$H36)*$F36))</f>
        <v/>
      </c>
      <c r="J36" s="22">
        <f>IF(OR($B36="",$I36="",$E36=0,$F36=0),"",$I36/($E36*$F36))</f>
        <v/>
      </c>
      <c r="K36" s="4" t="n">
        <v>336.52</v>
      </c>
      <c r="L36" s="21">
        <f>IF(OR($B36="",$I36=""),"",$I36-IF($K36="",0,$K36))</f>
        <v/>
      </c>
      <c r="M36" s="22">
        <f>IF(OR($B36="",$L36="",$E36=0,$F36=0),"",$L36/($E36*$F36))</f>
        <v/>
      </c>
      <c r="N36" s="27">
        <f>IF($B36="","",IF($H36="","Open","Closed"))</f>
        <v/>
      </c>
      <c r="O36" s="23" t="inlineStr">
        <is>
          <t>Untagged</t>
        </is>
      </c>
    </row>
    <row r="37">
      <c r="A37" s="23" t="inlineStr">
        <is>
          <t>DHAN-221260825378209</t>
        </is>
      </c>
      <c r="B37" s="23" t="inlineStr">
        <is>
          <t>KCP</t>
        </is>
      </c>
      <c r="C37" s="23" t="inlineStr">
        <is>
          <t>SHORT</t>
        </is>
      </c>
      <c r="D37" s="24" t="n">
        <v>46259</v>
      </c>
      <c r="E37" s="25" t="n">
        <v>173.0006</v>
      </c>
      <c r="F37" s="26" t="n">
        <v>942</v>
      </c>
      <c r="G37" s="24" t="n">
        <v>46259</v>
      </c>
      <c r="H37" s="25" t="n">
        <v>177.3819</v>
      </c>
      <c r="I37" s="21">
        <f>IF(OR($B37="",$H37=""),"",IF($C37="LONG",($H37-$E37)*$F37,($E37-$H37)*$F37))</f>
        <v/>
      </c>
      <c r="J37" s="22">
        <f>IF(OR($B37="",$I37="",$E37=0,$F37=0),"",$I37/($E37*$F37))</f>
        <v/>
      </c>
      <c r="K37" s="4" t="n">
        <v>246.41</v>
      </c>
      <c r="L37" s="21">
        <f>IF(OR($B37="",$I37=""),"",$I37-IF($K37="",0,$K37))</f>
        <v/>
      </c>
      <c r="M37" s="22">
        <f>IF(OR($B37="",$L37="",$E37=0,$F37=0),"",$L37/($E37*$F37))</f>
        <v/>
      </c>
      <c r="N37" s="27">
        <f>IF($B37="","",IF($H37="","Open","Closed"))</f>
        <v/>
      </c>
      <c r="O37" s="23" t="inlineStr">
        <is>
          <t>Untagged</t>
        </is>
      </c>
    </row>
    <row r="38">
      <c r="A38" s="23" t="inlineStr">
        <is>
          <t>DHAN-23126082483409</t>
        </is>
      </c>
      <c r="B38" s="23" t="inlineStr">
        <is>
          <t>OPTIEMUS</t>
        </is>
      </c>
      <c r="C38" s="23" t="inlineStr">
        <is>
          <t>LONG</t>
        </is>
      </c>
      <c r="D38" s="24" t="n">
        <v>46258</v>
      </c>
      <c r="E38" s="25" t="n">
        <v>586</v>
      </c>
      <c r="F38" s="26" t="n">
        <v>284</v>
      </c>
      <c r="G38" s="24" t="n">
        <v>46259</v>
      </c>
      <c r="H38" s="25" t="n">
        <v>587.8211</v>
      </c>
      <c r="I38" s="21">
        <f>IF(OR($B38="",$H38=""),"",IF($C38="LONG",($H38-$E38)*$F38,($E38-$H38)*$F38))</f>
        <v/>
      </c>
      <c r="J38" s="22">
        <f>IF(OR($B38="",$I38="",$E38=0,$F38=0),"",$I38/($E38*$F38))</f>
        <v/>
      </c>
      <c r="K38" s="4" t="n">
        <v>301.2</v>
      </c>
      <c r="L38" s="21">
        <f>IF(OR($B38="",$I38=""),"",$I38-IF($K38="",0,$K38))</f>
        <v/>
      </c>
      <c r="M38" s="22">
        <f>IF(OR($B38="",$L38="",$E38=0,$F38=0),"",$L38/($E38*$F38))</f>
        <v/>
      </c>
      <c r="N38" s="27">
        <f>IF($B38="","",IF($H38="","Open","Closed"))</f>
        <v/>
      </c>
      <c r="O38" s="23" t="inlineStr">
        <is>
          <t>Untagged</t>
        </is>
      </c>
    </row>
    <row r="39">
      <c r="A39" s="23" t="inlineStr">
        <is>
          <t>DHAN-321260825110209</t>
        </is>
      </c>
      <c r="B39" s="23" t="inlineStr">
        <is>
          <t>OPTIEMUS</t>
        </is>
      </c>
      <c r="C39" s="23" t="inlineStr">
        <is>
          <t>SHORT</t>
        </is>
      </c>
      <c r="D39" s="24" t="n">
        <v>46259</v>
      </c>
      <c r="E39" s="25" t="n">
        <v>587.5364</v>
      </c>
      <c r="F39" s="26" t="n">
        <v>284</v>
      </c>
      <c r="G39" s="24" t="n">
        <v>46259</v>
      </c>
      <c r="H39" s="25" t="n">
        <v>595.4639</v>
      </c>
      <c r="I39" s="21">
        <f>IF(OR($B39="",$H39=""),"",IF($C39="LONG",($H39-$E39)*$F39,($E39-$H39)*$F39))</f>
        <v/>
      </c>
      <c r="J39" s="22">
        <f>IF(OR($B39="",$I39="",$E39=0,$F39=0),"",$I39/($E39*$F39))</f>
        <v/>
      </c>
      <c r="K39" s="4" t="n">
        <v>251.07</v>
      </c>
      <c r="L39" s="21">
        <f>IF(OR($B39="",$I39=""),"",$I39-IF($K39="",0,$K39))</f>
        <v/>
      </c>
      <c r="M39" s="22">
        <f>IF(OR($B39="",$L39="",$E39=0,$F39=0),"",$L39/($E39*$F39))</f>
        <v/>
      </c>
      <c r="N39" s="27">
        <f>IF($B39="","",IF($H39="","Open","Closed"))</f>
        <v/>
      </c>
      <c r="O39" s="23" t="inlineStr">
        <is>
          <t>Untagged</t>
        </is>
      </c>
    </row>
    <row r="40">
      <c r="A40" s="23" t="inlineStr">
        <is>
          <t>DHAN-23126082483509</t>
        </is>
      </c>
      <c r="B40" s="23" t="inlineStr">
        <is>
          <t>QUADFUTURE</t>
        </is>
      </c>
      <c r="C40" s="23" t="inlineStr">
        <is>
          <t>LONG</t>
        </is>
      </c>
      <c r="D40" s="24" t="n">
        <v>46258</v>
      </c>
      <c r="E40" s="25" t="n">
        <v>443.9459</v>
      </c>
      <c r="F40" s="26" t="n">
        <v>375</v>
      </c>
      <c r="G40" s="24" t="n">
        <v>46259</v>
      </c>
      <c r="H40" s="25" t="n">
        <v>424.3155</v>
      </c>
      <c r="I40" s="21">
        <f>IF(OR($B40="",$H40=""),"",IF($C40="LONG",($H40-$E40)*$F40,($E40-$H40)*$F40))</f>
        <v/>
      </c>
      <c r="J40" s="22">
        <f>IF(OR($B40="",$I40="",$E40=0,$F40=0),"",$I40/($E40*$F40))</f>
        <v/>
      </c>
      <c r="K40" s="4" t="n">
        <v>373.46</v>
      </c>
      <c r="L40" s="21">
        <f>IF(OR($B40="",$I40=""),"",$I40-IF($K40="",0,$K40))</f>
        <v/>
      </c>
      <c r="M40" s="22">
        <f>IF(OR($B40="",$L40="",$E40=0,$F40=0),"",$L40/($E40*$F40))</f>
        <v/>
      </c>
      <c r="N40" s="27">
        <f>IF($B40="","",IF($H40="","Open","Closed"))</f>
        <v/>
      </c>
      <c r="O40" s="23" t="inlineStr">
        <is>
          <t>Untagged</t>
        </is>
      </c>
    </row>
    <row r="41">
      <c r="A41" s="23" t="inlineStr">
        <is>
          <t>DHAN-23126082553709</t>
        </is>
      </c>
      <c r="B41" s="23" t="inlineStr">
        <is>
          <t>QUADFUTURE</t>
        </is>
      </c>
      <c r="C41" s="23" t="inlineStr">
        <is>
          <t>SHORT</t>
        </is>
      </c>
      <c r="D41" s="24" t="n">
        <v>46259</v>
      </c>
      <c r="E41" s="25" t="n">
        <v>424.2342</v>
      </c>
      <c r="F41" s="26" t="n">
        <v>375</v>
      </c>
      <c r="G41" s="24" t="n">
        <v>46259</v>
      </c>
      <c r="H41" s="25" t="n">
        <v>419.3061</v>
      </c>
      <c r="I41" s="21">
        <f>IF(OR($B41="",$H41=""),"",IF($C41="LONG",($H41-$E41)*$F41,($E41-$H41)*$F41))</f>
        <v/>
      </c>
      <c r="J41" s="22">
        <f>IF(OR($B41="",$I41="",$E41=0,$F41=0),"",$I41/($E41*$F41))</f>
        <v/>
      </c>
      <c r="K41" s="4" t="n">
        <v>198.63</v>
      </c>
      <c r="L41" s="21">
        <f>IF(OR($B41="",$I41=""),"",$I41-IF($K41="",0,$K41))</f>
        <v/>
      </c>
      <c r="M41" s="22">
        <f>IF(OR($B41="",$L41="",$E41=0,$F41=0),"",$L41/($E41*$F41))</f>
        <v/>
      </c>
      <c r="N41" s="27">
        <f>IF($B41="","",IF($H41="","Open","Closed"))</f>
        <v/>
      </c>
      <c r="O41" s="23" t="inlineStr">
        <is>
          <t>Untagged</t>
        </is>
      </c>
    </row>
    <row r="42">
      <c r="A42" s="23" t="inlineStr">
        <is>
          <t>DHAN-23126082781609</t>
        </is>
      </c>
      <c r="B42" s="23" t="inlineStr">
        <is>
          <t>BOMDYEING</t>
        </is>
      </c>
      <c r="C42" s="23" t="inlineStr">
        <is>
          <t>LONG</t>
        </is>
      </c>
      <c r="D42" s="24" t="n">
        <v>46261</v>
      </c>
      <c r="E42" s="25" t="n">
        <v>116.9946</v>
      </c>
      <c r="F42" s="26" t="n">
        <v>2991</v>
      </c>
      <c r="G42" s="24" t="n">
        <v>46262</v>
      </c>
      <c r="H42" s="25" t="n">
        <v>117.67849</v>
      </c>
      <c r="I42" s="21">
        <f>IF(OR($B42="",$H42=""),"",IF($C42="LONG",($H42-$E42)*$F42,($E42-$H42)*$F42))</f>
        <v/>
      </c>
      <c r="J42" s="22">
        <f>IF(OR($B42="",$I42="",$E42=0,$F42=0),"",$I42/($E42*$F42))</f>
        <v/>
      </c>
      <c r="K42" s="4" t="n">
        <v>950.51</v>
      </c>
      <c r="L42" s="21">
        <f>IF(OR($B42="",$I42=""),"",$I42-IF($K42="",0,$K42))</f>
        <v/>
      </c>
      <c r="M42" s="22">
        <f>IF(OR($B42="",$L42="",$E42=0,$F42=0),"",$L42/($E42*$F42))</f>
        <v/>
      </c>
      <c r="N42" s="27">
        <f>IF($B42="","",IF($H42="","Open","Closed"))</f>
        <v/>
      </c>
      <c r="O42" s="23" t="inlineStr">
        <is>
          <t>Untagged</t>
        </is>
      </c>
    </row>
    <row r="43">
      <c r="A43" s="23" t="inlineStr">
        <is>
          <t>DHAN-321260827577609</t>
        </is>
      </c>
      <c r="B43" s="23" t="inlineStr">
        <is>
          <t>GKENERGY</t>
        </is>
      </c>
      <c r="C43" s="23" t="inlineStr">
        <is>
          <t>LONG</t>
        </is>
      </c>
      <c r="D43" s="24" t="n">
        <v>46261</v>
      </c>
      <c r="E43" s="25" t="n">
        <v>139.6491</v>
      </c>
      <c r="F43" s="26" t="n">
        <v>2508</v>
      </c>
      <c r="G43" s="24" t="n">
        <v>46262</v>
      </c>
      <c r="H43" s="25" t="n">
        <v>138.89584</v>
      </c>
      <c r="I43" s="21">
        <f>IF(OR($B43="",$H43=""),"",IF($C43="LONG",($H43-$E43)*$F43,($E43-$H43)*$F43))</f>
        <v/>
      </c>
      <c r="J43" s="22">
        <f>IF(OR($B43="",$I43="",$E43=0,$F43=0),"",$I43/($E43*$F43))</f>
        <v/>
      </c>
      <c r="K43" s="4" t="n">
        <v>934.51</v>
      </c>
      <c r="L43" s="21">
        <f>IF(OR($B43="",$I43=""),"",$I43-IF($K43="",0,$K43))</f>
        <v/>
      </c>
      <c r="M43" s="22">
        <f>IF(OR($B43="",$L43="",$E43=0,$F43=0),"",$L43/($E43*$F43))</f>
        <v/>
      </c>
      <c r="N43" s="27">
        <f>IF($B43="","",IF($H43="","Open","Closed"))</f>
        <v/>
      </c>
      <c r="O43" s="23" t="inlineStr">
        <is>
          <t>Untagged</t>
        </is>
      </c>
    </row>
    <row r="44">
      <c r="A44" s="23" t="inlineStr">
        <is>
          <t>DHAN-34126082778209</t>
        </is>
      </c>
      <c r="B44" s="23" t="inlineStr">
        <is>
          <t>RAMRAT</t>
        </is>
      </c>
      <c r="C44" s="23" t="inlineStr">
        <is>
          <t>LONG</t>
        </is>
      </c>
      <c r="D44" s="24" t="n">
        <v>46261</v>
      </c>
      <c r="E44" s="25" t="n">
        <v>572.3033</v>
      </c>
      <c r="F44" s="26" t="n">
        <v>614</v>
      </c>
      <c r="G44" s="24" t="n">
        <v>46262</v>
      </c>
      <c r="H44" s="25" t="n">
        <v>592.9806</v>
      </c>
      <c r="I44" s="21">
        <f>IF(OR($B44="",$H44=""),"",IF($C44="LONG",($H44-$E44)*$F44,($E44-$H44)*$F44))</f>
        <v/>
      </c>
      <c r="J44" s="22">
        <f>IF(OR($B44="",$I44="",$E44=0,$F44=0),"",$I44/($E44*$F44))</f>
        <v/>
      </c>
      <c r="K44" s="4" t="n">
        <v>964.38</v>
      </c>
      <c r="L44" s="21">
        <f>IF(OR($B44="",$I44=""),"",$I44-IF($K44="",0,$K44))</f>
        <v/>
      </c>
      <c r="M44" s="22">
        <f>IF(OR($B44="",$L44="",$E44=0,$F44=0),"",$L44/($E44*$F44))</f>
        <v/>
      </c>
      <c r="N44" s="27">
        <f>IF($B44="","",IF($H44="","Open","Closed"))</f>
        <v/>
      </c>
      <c r="O44" s="23" t="inlineStr">
        <is>
          <t>Untagged</t>
        </is>
      </c>
    </row>
    <row r="45">
      <c r="A45" s="23" t="inlineStr">
        <is>
          <t>DHAN-2212608281405809</t>
        </is>
      </c>
      <c r="B45" s="23" t="inlineStr">
        <is>
          <t>FMGOETZE</t>
        </is>
      </c>
      <c r="C45" s="23" t="inlineStr">
        <is>
          <t>LONG</t>
        </is>
      </c>
      <c r="D45" s="24" t="n">
        <v>46262</v>
      </c>
      <c r="E45" s="25" t="n">
        <v>603.0422</v>
      </c>
      <c r="F45" s="26" t="n">
        <v>464</v>
      </c>
      <c r="G45" s="24" t="n">
        <v>46265</v>
      </c>
      <c r="H45" s="25" t="n">
        <v>625.1997</v>
      </c>
      <c r="I45" s="21">
        <f>IF(OR($B45="",$H45=""),"",IF($C45="LONG",($H45-$E45)*$F45,($E45-$H45)*$F45))</f>
        <v/>
      </c>
      <c r="J45" s="22">
        <f>IF(OR($B45="",$I45="",$E45=0,$F45=0),"",$I45/($E45*$F45))</f>
        <v/>
      </c>
      <c r="K45" s="4" t="n">
        <v>612.7</v>
      </c>
      <c r="L45" s="21">
        <f>IF(OR($B45="",$I45=""),"",$I45-IF($K45="",0,$K45))</f>
        <v/>
      </c>
      <c r="M45" s="22">
        <f>IF(OR($B45="",$L45="",$E45=0,$F45=0),"",$L45/($E45*$F45))</f>
        <v/>
      </c>
      <c r="N45" s="27">
        <f>IF($B45="","",IF($H45="","Open","Closed"))</f>
        <v/>
      </c>
      <c r="O45" s="23" t="inlineStr">
        <is>
          <t>Untagged</t>
        </is>
      </c>
    </row>
    <row r="46">
      <c r="A46" s="23" t="inlineStr">
        <is>
          <t>DHAN-221260831109609</t>
        </is>
      </c>
      <c r="B46" s="23" t="inlineStr">
        <is>
          <t>FMGOETZE</t>
        </is>
      </c>
      <c r="C46" s="23" t="inlineStr">
        <is>
          <t>SHORT</t>
        </is>
      </c>
      <c r="D46" s="24" t="n">
        <v>46265</v>
      </c>
      <c r="E46" s="25" t="n">
        <v>625.4782</v>
      </c>
      <c r="F46" s="26" t="n">
        <v>464</v>
      </c>
      <c r="G46" s="24" t="n">
        <v>46265</v>
      </c>
      <c r="H46" s="25" t="n">
        <v>620</v>
      </c>
      <c r="I46" s="21">
        <f>IF(OR($B46="",$H46=""),"",IF($C46="LONG",($H46-$E46)*$F46,($E46-$H46)*$F46))</f>
        <v/>
      </c>
      <c r="J46" s="22">
        <f>IF(OR($B46="",$I46="",$E46=0,$F46=0),"",$I46/($E46*$F46))</f>
        <v/>
      </c>
      <c r="K46" s="4" t="n">
        <v>415.51</v>
      </c>
      <c r="L46" s="21">
        <f>IF(OR($B46="",$I46=""),"",$I46-IF($K46="",0,$K46))</f>
        <v/>
      </c>
      <c r="M46" s="22">
        <f>IF(OR($B46="",$L46="",$E46=0,$F46=0),"",$L46/($E46*$F46))</f>
        <v/>
      </c>
      <c r="N46" s="27">
        <f>IF($B46="","",IF($H46="","Open","Closed"))</f>
        <v/>
      </c>
      <c r="O46" s="23" t="inlineStr">
        <is>
          <t>Untagged</t>
        </is>
      </c>
    </row>
    <row r="47">
      <c r="A47" s="23" t="inlineStr">
        <is>
          <t>DHAN-2312608281035809</t>
        </is>
      </c>
      <c r="B47" s="23" t="inlineStr">
        <is>
          <t>JGCHEM</t>
        </is>
      </c>
      <c r="C47" s="23" t="inlineStr">
        <is>
          <t>LONG</t>
        </is>
      </c>
      <c r="D47" s="24" t="n">
        <v>46262</v>
      </c>
      <c r="E47" s="25" t="n">
        <v>655.6077</v>
      </c>
      <c r="F47" s="26" t="n">
        <v>428</v>
      </c>
      <c r="G47" s="24" t="n">
        <v>46265</v>
      </c>
      <c r="H47" s="25" t="n">
        <v>650.2959</v>
      </c>
      <c r="I47" s="21">
        <f>IF(OR($B47="",$H47=""),"",IF($C47="LONG",($H47-$E47)*$F47,($E47-$H47)*$F47))</f>
        <v/>
      </c>
      <c r="J47" s="22">
        <f>IF(OR($B47="",$I47="",$E47=0,$F47=0),"",$I47/($E47*$F47))</f>
        <v/>
      </c>
      <c r="K47" s="4" t="n">
        <v>613.84</v>
      </c>
      <c r="L47" s="21">
        <f>IF(OR($B47="",$I47=""),"",$I47-IF($K47="",0,$K47))</f>
        <v/>
      </c>
      <c r="M47" s="22">
        <f>IF(OR($B47="",$L47="",$E47=0,$F47=0),"",$L47/($E47*$F47))</f>
        <v/>
      </c>
      <c r="N47" s="27">
        <f>IF($B47="","",IF($H47="","Open","Closed"))</f>
        <v/>
      </c>
      <c r="O47" s="23" t="inlineStr">
        <is>
          <t>Untagged</t>
        </is>
      </c>
    </row>
    <row r="48">
      <c r="A48" s="23" t="inlineStr">
        <is>
          <t>DHAN-321260831423609</t>
        </is>
      </c>
      <c r="B48" s="23" t="inlineStr">
        <is>
          <t>JGCHEM</t>
        </is>
      </c>
      <c r="C48" s="23" t="inlineStr">
        <is>
          <t>SHORT</t>
        </is>
      </c>
      <c r="D48" s="24" t="n">
        <v>46265</v>
      </c>
      <c r="E48" s="25" t="n">
        <v>648.4623</v>
      </c>
      <c r="F48" s="26" t="n">
        <v>428</v>
      </c>
      <c r="G48" s="24" t="n">
        <v>46265</v>
      </c>
      <c r="H48" s="25" t="n">
        <v>638.2939</v>
      </c>
      <c r="I48" s="21">
        <f>IF(OR($B48="",$H48=""),"",IF($C48="LONG",($H48-$E48)*$F48,($E48-$H48)*$F48))</f>
        <v/>
      </c>
      <c r="J48" s="22">
        <f>IF(OR($B48="",$I48="",$E48=0,$F48=0),"",$I48/($E48*$F48))</f>
        <v/>
      </c>
      <c r="K48" s="4" t="n">
        <v>397.84</v>
      </c>
      <c r="L48" s="21">
        <f>IF(OR($B48="",$I48=""),"",$I48-IF($K48="",0,$K48))</f>
        <v/>
      </c>
      <c r="M48" s="22">
        <f>IF(OR($B48="",$L48="",$E48=0,$F48=0),"",$L48/($E48*$F48))</f>
        <v/>
      </c>
      <c r="N48" s="27">
        <f>IF($B48="","",IF($H48="","Open","Closed"))</f>
        <v/>
      </c>
      <c r="O48" s="23" t="inlineStr">
        <is>
          <t>Untagged</t>
        </is>
      </c>
    </row>
    <row r="49">
      <c r="A49" s="23" t="inlineStr">
        <is>
          <t>DHAN-2312608281035709</t>
        </is>
      </c>
      <c r="B49" s="23" t="inlineStr">
        <is>
          <t>MASTEK</t>
        </is>
      </c>
      <c r="C49" s="23" t="inlineStr">
        <is>
          <t>LONG</t>
        </is>
      </c>
      <c r="D49" s="24" t="n">
        <v>46262</v>
      </c>
      <c r="E49" s="25" t="n">
        <v>1908.9741</v>
      </c>
      <c r="F49" s="26" t="n">
        <v>147</v>
      </c>
      <c r="G49" s="24" t="n">
        <v>46265</v>
      </c>
      <c r="H49" s="25" t="n">
        <v>1777.534</v>
      </c>
      <c r="I49" s="21">
        <f>IF(OR($B49="",$H49=""),"",IF($C49="LONG",($H49-$E49)*$F49,($E49-$H49)*$F49))</f>
        <v/>
      </c>
      <c r="J49" s="22">
        <f>IF(OR($B49="",$I49="",$E49=0,$F49=0),"",$I49/($E49*$F49))</f>
        <v/>
      </c>
      <c r="K49" s="4" t="n">
        <v>693.1799999999999</v>
      </c>
      <c r="L49" s="21">
        <f>IF(OR($B49="",$I49=""),"",$I49-IF($K49="",0,$K49))</f>
        <v/>
      </c>
      <c r="M49" s="22">
        <f>IF(OR($B49="",$L49="",$E49=0,$F49=0),"",$L49/($E49*$F49))</f>
        <v/>
      </c>
      <c r="N49" s="27">
        <f>IF($B49="","",IF($H49="","Open","Closed"))</f>
        <v/>
      </c>
      <c r="O49" s="23" t="inlineStr">
        <is>
          <t>Untagged</t>
        </is>
      </c>
    </row>
    <row r="50">
      <c r="A50" s="23" t="inlineStr">
        <is>
          <t>DHAN-23126083156509</t>
        </is>
      </c>
      <c r="B50" s="23" t="inlineStr">
        <is>
          <t>MASTEK</t>
        </is>
      </c>
      <c r="C50" s="23" t="inlineStr">
        <is>
          <t>SHORT</t>
        </is>
      </c>
      <c r="D50" s="24" t="n">
        <v>46265</v>
      </c>
      <c r="E50" s="25" t="n">
        <v>1777.6041</v>
      </c>
      <c r="F50" s="26" t="n">
        <v>147</v>
      </c>
      <c r="G50" s="24" t="n">
        <v>46265</v>
      </c>
      <c r="H50" s="25" t="n">
        <v>1777.866</v>
      </c>
      <c r="I50" s="21">
        <f>IF(OR($B50="",$H50=""),"",IF($C50="LONG",($H50-$E50)*$F50,($E50-$H50)*$F50))</f>
        <v/>
      </c>
      <c r="J50" s="22">
        <f>IF(OR($B50="",$I50="",$E50=0,$F50=0),"",$I50/($E50*$F50))</f>
        <v/>
      </c>
      <c r="K50" s="4" t="n">
        <v>312.31</v>
      </c>
      <c r="L50" s="21">
        <f>IF(OR($B50="",$I50=""),"",$I50-IF($K50="",0,$K50))</f>
        <v/>
      </c>
      <c r="M50" s="22">
        <f>IF(OR($B50="",$L50="",$E50=0,$F50=0),"",$L50/($E50*$F50))</f>
        <v/>
      </c>
      <c r="N50" s="27">
        <f>IF($B50="","",IF($H50="","Open","Closed"))</f>
        <v/>
      </c>
      <c r="O50" s="23" t="inlineStr">
        <is>
          <t>Untagged</t>
        </is>
      </c>
    </row>
    <row r="51">
      <c r="A51" s="23" t="inlineStr">
        <is>
          <t>DHAN-2212608281405909</t>
        </is>
      </c>
      <c r="B51" s="23" t="inlineStr">
        <is>
          <t>OMAXE</t>
        </is>
      </c>
      <c r="C51" s="23" t="inlineStr">
        <is>
          <t>LONG</t>
        </is>
      </c>
      <c r="D51" s="24" t="n">
        <v>46262</v>
      </c>
      <c r="E51" s="25" t="n">
        <v>130.8863</v>
      </c>
      <c r="F51" s="26" t="n">
        <v>2161</v>
      </c>
      <c r="G51" s="24" t="n">
        <v>46265</v>
      </c>
      <c r="H51" s="25" t="n">
        <v>130.9149</v>
      </c>
      <c r="I51" s="21">
        <f>IF(OR($B51="",$H51=""),"",IF($C51="LONG",($H51-$E51)*$F51,($E51-$H51)*$F51))</f>
        <v/>
      </c>
      <c r="J51" s="22">
        <f>IF(OR($B51="",$I51="",$E51=0,$F51=0),"",$I51/($E51*$F51))</f>
        <v/>
      </c>
      <c r="K51" s="4" t="n">
        <v>658.77</v>
      </c>
      <c r="L51" s="21">
        <f>IF(OR($B51="",$I51=""),"",$I51-IF($K51="",0,$K51))</f>
        <v/>
      </c>
      <c r="M51" s="22">
        <f>IF(OR($B51="",$L51="",$E51=0,$F51=0),"",$L51/($E51*$F51))</f>
        <v/>
      </c>
      <c r="N51" s="27">
        <f>IF($B51="","",IF($H51="","Open","Closed"))</f>
        <v/>
      </c>
      <c r="O51" s="23" t="inlineStr">
        <is>
          <t>Untagged</t>
        </is>
      </c>
    </row>
    <row r="52">
      <c r="A52" s="23" t="inlineStr">
        <is>
          <t>DHAN-23126083118409</t>
        </is>
      </c>
      <c r="B52" s="23" t="inlineStr">
        <is>
          <t>OMAXE</t>
        </is>
      </c>
      <c r="C52" s="23" t="inlineStr">
        <is>
          <t>SHORT</t>
        </is>
      </c>
      <c r="D52" s="24" t="n">
        <v>46265</v>
      </c>
      <c r="E52" s="25" t="n">
        <v>130.7703</v>
      </c>
      <c r="F52" s="26" t="n">
        <v>2161</v>
      </c>
      <c r="G52" s="24" t="n">
        <v>46265</v>
      </c>
      <c r="H52" s="25" t="n">
        <v>126.3456</v>
      </c>
      <c r="I52" s="21">
        <f>IF(OR($B52="",$H52=""),"",IF($C52="LONG",($H52-$E52)*$F52,($E52-$H52)*$F52))</f>
        <v/>
      </c>
      <c r="J52" s="22">
        <f>IF(OR($B52="",$I52="",$E52=0,$F52=0),"",$I52/($E52*$F52))</f>
        <v/>
      </c>
      <c r="K52" s="4" t="n">
        <v>332.07</v>
      </c>
      <c r="L52" s="21">
        <f>IF(OR($B52="",$I52=""),"",$I52-IF($K52="",0,$K52))</f>
        <v/>
      </c>
      <c r="M52" s="22">
        <f>IF(OR($B52="",$L52="",$E52=0,$F52=0),"",$L52/($E52*$F52))</f>
        <v/>
      </c>
      <c r="N52" s="27">
        <f>IF($B52="","",IF($H52="","Open","Closed"))</f>
        <v/>
      </c>
      <c r="O52" s="23" t="inlineStr">
        <is>
          <t>Untagged</t>
        </is>
      </c>
    </row>
    <row r="53">
      <c r="A53" s="23" t="inlineStr">
        <is>
          <t>DHAN-2312608281035909</t>
        </is>
      </c>
      <c r="B53" s="23" t="inlineStr">
        <is>
          <t>SYNCOMF</t>
        </is>
      </c>
      <c r="C53" s="23" t="inlineStr">
        <is>
          <t>LONG</t>
        </is>
      </c>
      <c r="D53" s="24" t="n">
        <v>46262</v>
      </c>
      <c r="E53" s="25" t="n">
        <v>19.4799</v>
      </c>
      <c r="F53" s="26" t="n">
        <v>14462</v>
      </c>
      <c r="G53" s="24" t="n">
        <v>46265</v>
      </c>
      <c r="H53" s="25" t="n">
        <v>19.6094</v>
      </c>
      <c r="I53" s="21">
        <f>IF(OR($B53="",$H53=""),"",IF($C53="LONG",($H53-$E53)*$F53,($E53-$H53)*$F53))</f>
        <v/>
      </c>
      <c r="J53" s="22">
        <f>IF(OR($B53="",$I53="",$E53=0,$F53=0),"",$I53/($E53*$F53))</f>
        <v/>
      </c>
      <c r="K53" s="4" t="n">
        <v>587</v>
      </c>
      <c r="L53" s="21">
        <f>IF(OR($B53="",$I53=""),"",$I53-IF($K53="",0,$K53))</f>
        <v/>
      </c>
      <c r="M53" s="22">
        <f>IF(OR($B53="",$L53="",$E53=0,$F53=0),"",$L53/($E53*$F53))</f>
        <v/>
      </c>
      <c r="N53" s="27">
        <f>IF($B53="","",IF($H53="","Open","Closed"))</f>
        <v/>
      </c>
      <c r="O53" s="23" t="inlineStr">
        <is>
          <t>Untagged</t>
        </is>
      </c>
    </row>
    <row r="54">
      <c r="A54" s="23" t="inlineStr">
        <is>
          <t>DHAN-321260831104409</t>
        </is>
      </c>
      <c r="B54" s="23" t="inlineStr">
        <is>
          <t>SYNCOMF</t>
        </is>
      </c>
      <c r="C54" s="23" t="inlineStr">
        <is>
          <t>SHORT</t>
        </is>
      </c>
      <c r="D54" s="24" t="n">
        <v>46265</v>
      </c>
      <c r="E54" s="25" t="n">
        <v>19.6247</v>
      </c>
      <c r="F54" s="26" t="n">
        <v>14462</v>
      </c>
      <c r="G54" s="24" t="n">
        <v>46265</v>
      </c>
      <c r="H54" s="25" t="n">
        <v>19.5263</v>
      </c>
      <c r="I54" s="21">
        <f>IF(OR($B54="",$H54=""),"",IF($C54="LONG",($H54-$E54)*$F54,($E54-$H54)*$F54))</f>
        <v/>
      </c>
      <c r="J54" s="22">
        <f>IF(OR($B54="",$I54="",$E54=0,$F54=0),"",$I54/($E54*$F54))</f>
        <v/>
      </c>
      <c r="K54" s="4" t="n">
        <v>407.39</v>
      </c>
      <c r="L54" s="21">
        <f>IF(OR($B54="",$I54=""),"",$I54-IF($K54="",0,$K54))</f>
        <v/>
      </c>
      <c r="M54" s="22">
        <f>IF(OR($B54="",$L54="",$E54=0,$F54=0),"",$L54/($E54*$F54))</f>
        <v/>
      </c>
      <c r="N54" s="27">
        <f>IF($B54="","",IF($H54="","Open","Closed"))</f>
        <v/>
      </c>
      <c r="O54" s="23" t="inlineStr">
        <is>
          <t>Untagged</t>
        </is>
      </c>
    </row>
    <row r="55">
      <c r="A55" s="23" t="inlineStr">
        <is>
          <t>DHAN-231260831122409</t>
        </is>
      </c>
      <c r="B55" s="23" t="inlineStr">
        <is>
          <t>ASHOKA</t>
        </is>
      </c>
      <c r="C55" s="23" t="inlineStr">
        <is>
          <t>LONG</t>
        </is>
      </c>
      <c r="D55" s="24" t="n">
        <v>46265</v>
      </c>
      <c r="E55" s="25" t="n">
        <v>120.2727</v>
      </c>
      <c r="F55" s="26" t="n">
        <v>2933</v>
      </c>
      <c r="G55" s="24" t="n">
        <v>46266</v>
      </c>
      <c r="H55" s="25" t="n">
        <v>121.8089</v>
      </c>
      <c r="I55" s="21">
        <f>IF(OR($B55="",$H55=""),"",IF($C55="LONG",($H55-$E55)*$F55,($E55-$H55)*$F55))</f>
        <v/>
      </c>
      <c r="J55" s="22">
        <f>IF(OR($B55="",$I55="",$E55=0,$F55=0),"",$I55/($E55*$F55))</f>
        <v/>
      </c>
      <c r="K55" s="4" t="n">
        <v>610.62</v>
      </c>
      <c r="L55" s="21">
        <f>IF(OR($B55="",$I55=""),"",$I55-IF($K55="",0,$K55))</f>
        <v/>
      </c>
      <c r="M55" s="22">
        <f>IF(OR($B55="",$L55="",$E55=0,$F55=0),"",$L55/($E55*$F55))</f>
        <v/>
      </c>
      <c r="N55" s="27">
        <f>IF($B55="","",IF($H55="","Open","Closed"))</f>
        <v/>
      </c>
      <c r="O55" s="23" t="inlineStr">
        <is>
          <t>Untagged</t>
        </is>
      </c>
    </row>
    <row r="56">
      <c r="A56" s="23" t="inlineStr">
        <is>
          <t>DHAN-22126090197109</t>
        </is>
      </c>
      <c r="B56" s="23" t="inlineStr">
        <is>
          <t>ASHOKA</t>
        </is>
      </c>
      <c r="C56" s="23" t="inlineStr">
        <is>
          <t>SHORT</t>
        </is>
      </c>
      <c r="D56" s="24" t="n">
        <v>46266</v>
      </c>
      <c r="E56" s="25" t="n">
        <v>121.775</v>
      </c>
      <c r="F56" s="26" t="n">
        <v>2933</v>
      </c>
      <c r="G56" s="24" t="n">
        <v>46266</v>
      </c>
      <c r="H56" s="25" t="n">
        <v>122.25</v>
      </c>
      <c r="I56" s="21">
        <f>IF(OR($B56="",$H56=""),"",IF($C56="LONG",($H56-$E56)*$F56,($E56-$H56)*$F56))</f>
        <v/>
      </c>
      <c r="J56" s="22">
        <f>IF(OR($B56="",$I56="",$E56=0,$F56=0),"",$I56/($E56*$F56))</f>
        <v/>
      </c>
      <c r="K56" s="4" t="n">
        <v>508.65</v>
      </c>
      <c r="L56" s="21">
        <f>IF(OR($B56="",$I56=""),"",$I56-IF($K56="",0,$K56))</f>
        <v/>
      </c>
      <c r="M56" s="22">
        <f>IF(OR($B56="",$L56="",$E56=0,$F56=0),"",$L56/($E56*$F56))</f>
        <v/>
      </c>
      <c r="N56" s="27">
        <f>IF($B56="","",IF($H56="","Open","Closed"))</f>
        <v/>
      </c>
      <c r="O56" s="23" t="inlineStr">
        <is>
          <t>Untagged</t>
        </is>
      </c>
    </row>
    <row r="57">
      <c r="A57" s="23" t="inlineStr">
        <is>
          <t>DHAN-231260831122309</t>
        </is>
      </c>
      <c r="B57" s="23" t="inlineStr">
        <is>
          <t>NORTHARC</t>
        </is>
      </c>
      <c r="C57" s="23" t="inlineStr">
        <is>
          <t>LONG</t>
        </is>
      </c>
      <c r="D57" s="24" t="n">
        <v>46265</v>
      </c>
      <c r="E57" s="25" t="n">
        <v>310.5</v>
      </c>
      <c r="F57" s="26" t="n">
        <v>1117</v>
      </c>
      <c r="G57" s="24" t="n">
        <v>46266</v>
      </c>
      <c r="H57" s="25" t="n">
        <v>303.0902</v>
      </c>
      <c r="I57" s="21">
        <f>IF(OR($B57="",$H57=""),"",IF($C57="LONG",($H57-$E57)*$F57,($E57-$H57)*$F57))</f>
        <v/>
      </c>
      <c r="J57" s="22">
        <f>IF(OR($B57="",$I57="",$E57=0,$F57=0),"",$I57/($E57*$F57))</f>
        <v/>
      </c>
      <c r="K57" s="4" t="n">
        <v>601.5700000000001</v>
      </c>
      <c r="L57" s="21">
        <f>IF(OR($B57="",$I57=""),"",$I57-IF($K57="",0,$K57))</f>
        <v/>
      </c>
      <c r="M57" s="22">
        <f>IF(OR($B57="",$L57="",$E57=0,$F57=0),"",$L57/($E57*$F57))</f>
        <v/>
      </c>
      <c r="N57" s="27">
        <f>IF($B57="","",IF($H57="","Open","Closed"))</f>
        <v/>
      </c>
      <c r="O57" s="23" t="inlineStr">
        <is>
          <t>Untagged</t>
        </is>
      </c>
    </row>
    <row r="58">
      <c r="A58" s="23" t="inlineStr">
        <is>
          <t>DHAN-221260901437609</t>
        </is>
      </c>
      <c r="B58" s="23" t="inlineStr">
        <is>
          <t>NORTHARC</t>
        </is>
      </c>
      <c r="C58" s="23" t="inlineStr">
        <is>
          <t>SHORT</t>
        </is>
      </c>
      <c r="D58" s="24" t="n">
        <v>46266</v>
      </c>
      <c r="E58" s="25" t="n">
        <v>303.0625</v>
      </c>
      <c r="F58" s="26" t="n">
        <v>1117</v>
      </c>
      <c r="G58" s="24" t="n">
        <v>46266</v>
      </c>
      <c r="H58" s="25" t="n">
        <v>299.1408</v>
      </c>
      <c r="I58" s="21">
        <f>IF(OR($B58="",$H58=""),"",IF($C58="LONG",($H58-$E58)*$F58,($E58-$H58)*$F58))</f>
        <v/>
      </c>
      <c r="J58" s="22">
        <f>IF(OR($B58="",$I58="",$E58=0,$F58=0),"",$I58/($E58*$F58))</f>
        <v/>
      </c>
      <c r="K58" s="4" t="n">
        <v>480.12</v>
      </c>
      <c r="L58" s="21">
        <f>IF(OR($B58="",$I58=""),"",$I58-IF($K58="",0,$K58))</f>
        <v/>
      </c>
      <c r="M58" s="22">
        <f>IF(OR($B58="",$L58="",$E58=0,$F58=0),"",$L58/($E58*$F58))</f>
        <v/>
      </c>
      <c r="N58" s="27">
        <f>IF($B58="","",IF($H58="","Open","Closed"))</f>
        <v/>
      </c>
      <c r="O58" s="23" t="inlineStr">
        <is>
          <t>Untagged</t>
        </is>
      </c>
    </row>
    <row r="59">
      <c r="A59" s="23" t="inlineStr">
        <is>
          <t>DHAN-321260831702509</t>
        </is>
      </c>
      <c r="B59" s="23" t="inlineStr">
        <is>
          <t>VENKEYS</t>
        </is>
      </c>
      <c r="C59" s="23" t="inlineStr">
        <is>
          <t>LONG</t>
        </is>
      </c>
      <c r="D59" s="24" t="n">
        <v>46265</v>
      </c>
      <c r="E59" s="25" t="n">
        <v>1702.7395</v>
      </c>
      <c r="F59" s="26" t="n">
        <v>205</v>
      </c>
      <c r="G59" s="24" t="n">
        <v>46266</v>
      </c>
      <c r="H59" s="25" t="n">
        <v>1666.1965</v>
      </c>
      <c r="I59" s="21">
        <f>IF(OR($B59="",$H59=""),"",IF($C59="LONG",($H59-$E59)*$F59,($E59-$H59)*$F59))</f>
        <v/>
      </c>
      <c r="J59" s="22">
        <f>IF(OR($B59="",$I59="",$E59=0,$F59=0),"",$I59/($E59*$F59))</f>
        <v/>
      </c>
      <c r="K59" s="4" t="n">
        <v>596.23</v>
      </c>
      <c r="L59" s="21">
        <f>IF(OR($B59="",$I59=""),"",$I59-IF($K59="",0,$K59))</f>
        <v/>
      </c>
      <c r="M59" s="22">
        <f>IF(OR($B59="",$L59="",$E59=0,$F59=0),"",$L59/($E59*$F59))</f>
        <v/>
      </c>
      <c r="N59" s="27">
        <f>IF($B59="","",IF($H59="","Open","Closed"))</f>
        <v/>
      </c>
      <c r="O59" s="23" t="inlineStr">
        <is>
          <t>Untagged</t>
        </is>
      </c>
    </row>
    <row r="60">
      <c r="A60" s="23" t="inlineStr">
        <is>
          <t>DHAN-23126090154109</t>
        </is>
      </c>
      <c r="B60" s="23" t="inlineStr">
        <is>
          <t>VENKEYS</t>
        </is>
      </c>
      <c r="C60" s="23" t="inlineStr">
        <is>
          <t>SHORT</t>
        </is>
      </c>
      <c r="D60" s="24" t="n">
        <v>46266</v>
      </c>
      <c r="E60" s="25" t="n">
        <v>1664.2166</v>
      </c>
      <c r="F60" s="26" t="n">
        <v>205</v>
      </c>
      <c r="G60" s="24" t="n">
        <v>46266</v>
      </c>
      <c r="H60" s="25" t="n">
        <v>1647.3204</v>
      </c>
      <c r="I60" s="21">
        <f>IF(OR($B60="",$H60=""),"",IF($C60="LONG",($H60-$E60)*$F60,($E60-$H60)*$F60))</f>
        <v/>
      </c>
      <c r="J60" s="22">
        <f>IF(OR($B60="",$I60="",$E60=0,$F60=0),"",$I60/($E60*$F60))</f>
        <v/>
      </c>
      <c r="K60" s="4" t="n">
        <v>484.3</v>
      </c>
      <c r="L60" s="21">
        <f>IF(OR($B60="",$I60=""),"",$I60-IF($K60="",0,$K60))</f>
        <v/>
      </c>
      <c r="M60" s="22">
        <f>IF(OR($B60="",$L60="",$E60=0,$F60=0),"",$L60/($E60*$F60))</f>
        <v/>
      </c>
      <c r="N60" s="27">
        <f>IF($B60="","",IF($H60="","Open","Closed"))</f>
        <v/>
      </c>
      <c r="O60" s="23" t="inlineStr">
        <is>
          <t>Untagged</t>
        </is>
      </c>
    </row>
    <row r="61">
      <c r="A61" s="23" t="inlineStr">
        <is>
          <t>DHAN-221260901669709</t>
        </is>
      </c>
      <c r="B61" s="23" t="inlineStr">
        <is>
          <t>SAKAR</t>
        </is>
      </c>
      <c r="C61" s="23" t="inlineStr">
        <is>
          <t>LONG</t>
        </is>
      </c>
      <c r="D61" s="24" t="n">
        <v>46266</v>
      </c>
      <c r="E61" s="25" t="n">
        <v>961.5373</v>
      </c>
      <c r="F61" s="26" t="n">
        <v>181</v>
      </c>
      <c r="G61" s="24" t="n">
        <v>46267</v>
      </c>
      <c r="H61" s="25" t="n">
        <v>987.1939</v>
      </c>
      <c r="I61" s="21">
        <f>IF(OR($B61="",$H61=""),"",IF($C61="LONG",($H61-$E61)*$F61,($E61-$H61)*$F61))</f>
        <v/>
      </c>
      <c r="J61" s="22">
        <f>IF(OR($B61="",$I61="",$E61=0,$F61=0),"",$I61/($E61*$F61))</f>
        <v/>
      </c>
      <c r="K61" s="4" t="n">
        <v>296.33</v>
      </c>
      <c r="L61" s="21">
        <f>IF(OR($B61="",$I61=""),"",$I61-IF($K61="",0,$K61))</f>
        <v/>
      </c>
      <c r="M61" s="22">
        <f>IF(OR($B61="",$L61="",$E61=0,$F61=0),"",$L61/($E61*$F61))</f>
        <v/>
      </c>
      <c r="N61" s="27">
        <f>IF($B61="","",IF($H61="","Open","Closed"))</f>
        <v/>
      </c>
      <c r="O61" s="23" t="inlineStr">
        <is>
          <t>Untagged</t>
        </is>
      </c>
    </row>
    <row r="62">
      <c r="A62" s="23" t="inlineStr">
        <is>
          <t>DHAN-221260902120009</t>
        </is>
      </c>
      <c r="B62" s="23" t="inlineStr">
        <is>
          <t>SAKAR</t>
        </is>
      </c>
      <c r="C62" s="23" t="inlineStr">
        <is>
          <t>SHORT</t>
        </is>
      </c>
      <c r="D62" s="24" t="n">
        <v>46267</v>
      </c>
      <c r="E62" s="25" t="n">
        <v>987.1041</v>
      </c>
      <c r="F62" s="26" t="n">
        <v>181</v>
      </c>
      <c r="G62" s="24" t="n">
        <v>46267</v>
      </c>
      <c r="H62" s="25" t="n">
        <v>984.9721</v>
      </c>
      <c r="I62" s="21">
        <f>IF(OR($B62="",$H62=""),"",IF($C62="LONG",($H62-$E62)*$F62,($E62-$H62)*$F62))</f>
        <v/>
      </c>
      <c r="J62" s="22">
        <f>IF(OR($B62="",$I62="",$E62=0,$F62=0),"",$I62/($E62*$F62))</f>
        <v/>
      </c>
      <c r="K62" s="4" t="n">
        <v>220.84</v>
      </c>
      <c r="L62" s="21">
        <f>IF(OR($B62="",$I62=""),"",$I62-IF($K62="",0,$K62))</f>
        <v/>
      </c>
      <c r="M62" s="22">
        <f>IF(OR($B62="",$L62="",$E62=0,$F62=0),"",$L62/($E62*$F62))</f>
        <v/>
      </c>
      <c r="N62" s="27">
        <f>IF($B62="","",IF($H62="","Open","Closed"))</f>
        <v/>
      </c>
      <c r="O62" s="23" t="inlineStr">
        <is>
          <t>Untagged</t>
        </is>
      </c>
    </row>
    <row r="63">
      <c r="A63" s="23" t="inlineStr">
        <is>
          <t>DHAN-321260901678509</t>
        </is>
      </c>
      <c r="B63" s="23" t="inlineStr">
        <is>
          <t>SOTL</t>
        </is>
      </c>
      <c r="C63" s="23" t="inlineStr">
        <is>
          <t>LONG</t>
        </is>
      </c>
      <c r="D63" s="24" t="n">
        <v>46266</v>
      </c>
      <c r="E63" s="25" t="n">
        <v>773.7782999999999</v>
      </c>
      <c r="F63" s="26" t="n">
        <v>454</v>
      </c>
      <c r="G63" s="24" t="n">
        <v>46267</v>
      </c>
      <c r="H63" s="25" t="n">
        <v>781.4043</v>
      </c>
      <c r="I63" s="21">
        <f>IF(OR($B63="",$H63=""),"",IF($C63="LONG",($H63-$E63)*$F63,($E63-$H63)*$F63))</f>
        <v/>
      </c>
      <c r="J63" s="22">
        <f>IF(OR($B63="",$I63="",$E63=0,$F63=0),"",$I63/($E63*$F63))</f>
        <v/>
      </c>
      <c r="K63" s="4" t="n">
        <v>687.71</v>
      </c>
      <c r="L63" s="21">
        <f>IF(OR($B63="",$I63=""),"",$I63-IF($K63="",0,$K63))</f>
        <v/>
      </c>
      <c r="M63" s="22">
        <f>IF(OR($B63="",$L63="",$E63=0,$F63=0),"",$L63/($E63*$F63))</f>
        <v/>
      </c>
      <c r="N63" s="27">
        <f>IF($B63="","",IF($H63="","Open","Closed"))</f>
        <v/>
      </c>
      <c r="O63" s="23" t="inlineStr">
        <is>
          <t>Untagged</t>
        </is>
      </c>
    </row>
    <row r="64">
      <c r="A64" s="23" t="inlineStr">
        <is>
          <t>DHAN-23126090223909</t>
        </is>
      </c>
      <c r="B64" s="23" t="inlineStr">
        <is>
          <t>SOTL</t>
        </is>
      </c>
      <c r="C64" s="23" t="inlineStr">
        <is>
          <t>SHORT</t>
        </is>
      </c>
      <c r="D64" s="24" t="n">
        <v>46267</v>
      </c>
      <c r="E64" s="25" t="n">
        <v>781.15</v>
      </c>
      <c r="F64" s="26" t="n">
        <v>454</v>
      </c>
      <c r="G64" s="24" t="n">
        <v>46267</v>
      </c>
      <c r="H64" s="25" t="n">
        <v>759.8953</v>
      </c>
      <c r="I64" s="21">
        <f>IF(OR($B64="",$H64=""),"",IF($C64="LONG",($H64-$E64)*$F64,($E64-$H64)*$F64))</f>
        <v/>
      </c>
      <c r="J64" s="22">
        <f>IF(OR($B64="",$I64="",$E64=0,$F64=0),"",$I64/($E64*$F64))</f>
        <v/>
      </c>
      <c r="K64" s="4" t="n">
        <v>411.42</v>
      </c>
      <c r="L64" s="21">
        <f>IF(OR($B64="",$I64=""),"",$I64-IF($K64="",0,$K64))</f>
        <v/>
      </c>
      <c r="M64" s="22">
        <f>IF(OR($B64="",$L64="",$E64=0,$F64=0),"",$L64/($E64*$F64))</f>
        <v/>
      </c>
      <c r="N64" s="27">
        <f>IF($B64="","",IF($H64="","Open","Closed"))</f>
        <v/>
      </c>
      <c r="O64" s="23" t="inlineStr">
        <is>
          <t>Untagged</t>
        </is>
      </c>
    </row>
    <row r="65">
      <c r="A65" s="23" t="inlineStr">
        <is>
          <t>DHAN-34126090172909</t>
        </is>
      </c>
      <c r="B65" s="23" t="inlineStr">
        <is>
          <t>SSWL</t>
        </is>
      </c>
      <c r="C65" s="23" t="inlineStr">
        <is>
          <t>LONG</t>
        </is>
      </c>
      <c r="D65" s="24" t="n">
        <v>46266</v>
      </c>
      <c r="E65" s="25" t="n">
        <v>361.4802</v>
      </c>
      <c r="F65" s="26" t="n">
        <v>981</v>
      </c>
      <c r="G65" s="24" t="n">
        <v>46267</v>
      </c>
      <c r="H65" s="25" t="n">
        <v>340.3868</v>
      </c>
      <c r="I65" s="21">
        <f>IF(OR($B65="",$H65=""),"",IF($C65="LONG",($H65-$E65)*$F65,($E65-$H65)*$F65))</f>
        <v/>
      </c>
      <c r="J65" s="22">
        <f>IF(OR($B65="",$I65="",$E65=0,$F65=0),"",$I65/($E65*$F65))</f>
        <v/>
      </c>
      <c r="K65" s="4" t="n">
        <v>606.65</v>
      </c>
      <c r="L65" s="21">
        <f>IF(OR($B65="",$I65=""),"",$I65-IF($K65="",0,$K65))</f>
        <v/>
      </c>
      <c r="M65" s="22">
        <f>IF(OR($B65="",$L65="",$E65=0,$F65=0),"",$L65/($E65*$F65))</f>
        <v/>
      </c>
      <c r="N65" s="27">
        <f>IF($B65="","",IF($H65="","Open","Closed"))</f>
        <v/>
      </c>
      <c r="O65" s="23" t="inlineStr">
        <is>
          <t>Untagged</t>
        </is>
      </c>
    </row>
    <row r="66">
      <c r="A66" s="23" t="inlineStr">
        <is>
          <t>DHAN-231260902110309</t>
        </is>
      </c>
      <c r="B66" s="23" t="inlineStr">
        <is>
          <t>SSWL</t>
        </is>
      </c>
      <c r="C66" s="23" t="inlineStr">
        <is>
          <t>SHORT</t>
        </is>
      </c>
      <c r="D66" s="24" t="n">
        <v>46267</v>
      </c>
      <c r="E66" s="25" t="n">
        <v>340.3105</v>
      </c>
      <c r="F66" s="26" t="n">
        <v>981</v>
      </c>
      <c r="G66" s="24" t="n">
        <v>46267</v>
      </c>
      <c r="H66" s="25" t="n">
        <v>345.273</v>
      </c>
      <c r="I66" s="21">
        <f>IF(OR($B66="",$H66=""),"",IF($C66="LONG",($H66-$E66)*$F66,($E66-$H66)*$F66))</f>
        <v/>
      </c>
      <c r="J66" s="22">
        <f>IF(OR($B66="",$I66="",$E66=0,$F66=0),"",$I66/($E66*$F66))</f>
        <v/>
      </c>
      <c r="K66" s="4" t="n">
        <v>478.28</v>
      </c>
      <c r="L66" s="21">
        <f>IF(OR($B66="",$I66=""),"",$I66-IF($K66="",0,$K66))</f>
        <v/>
      </c>
      <c r="M66" s="22">
        <f>IF(OR($B66="",$L66="",$E66=0,$F66=0),"",$L66/($E66*$F66))</f>
        <v/>
      </c>
      <c r="N66" s="27">
        <f>IF($B66="","",IF($H66="","Open","Closed"))</f>
        <v/>
      </c>
      <c r="O66" s="23" t="inlineStr">
        <is>
          <t>Untagged</t>
        </is>
      </c>
    </row>
    <row r="67">
      <c r="A67" s="23" t="inlineStr">
        <is>
          <t>DHAN-231260902149109</t>
        </is>
      </c>
      <c r="B67" s="23" t="inlineStr">
        <is>
          <t>HERITGFOOD</t>
        </is>
      </c>
      <c r="C67" s="23" t="inlineStr">
        <is>
          <t>LONG</t>
        </is>
      </c>
      <c r="D67" s="24" t="n">
        <v>46267</v>
      </c>
      <c r="E67" s="25" t="n">
        <v>378</v>
      </c>
      <c r="F67" s="26" t="n">
        <v>529</v>
      </c>
      <c r="G67" s="24" t="n">
        <v>46268</v>
      </c>
      <c r="H67" s="25" t="n">
        <v>372.563</v>
      </c>
      <c r="I67" s="21">
        <f>IF(OR($B67="",$H67=""),"",IF($C67="LONG",($H67-$E67)*$F67,($E67-$H67)*$F67))</f>
        <v/>
      </c>
      <c r="J67" s="22">
        <f>IF(OR($B67="",$I67="",$E67=0,$F67=0),"",$I67/($E67*$F67))</f>
        <v/>
      </c>
      <c r="K67" s="4" t="n">
        <v>437.38</v>
      </c>
      <c r="L67" s="21">
        <f>IF(OR($B67="",$I67=""),"",$I67-IF($K67="",0,$K67))</f>
        <v/>
      </c>
      <c r="M67" s="22">
        <f>IF(OR($B67="",$L67="",$E67=0,$F67=0),"",$L67/($E67*$F67))</f>
        <v/>
      </c>
      <c r="N67" s="27">
        <f>IF($B67="","",IF($H67="","Open","Closed"))</f>
        <v/>
      </c>
      <c r="O67" s="23" t="inlineStr">
        <is>
          <t>Untagged</t>
        </is>
      </c>
    </row>
    <row r="68">
      <c r="A68" s="23" t="inlineStr">
        <is>
          <t>DHAN-23126090343709</t>
        </is>
      </c>
      <c r="B68" s="23" t="inlineStr">
        <is>
          <t>HERITGFOOD</t>
        </is>
      </c>
      <c r="C68" s="23" t="inlineStr">
        <is>
          <t>SHORT</t>
        </is>
      </c>
      <c r="D68" s="24" t="n">
        <v>46268</v>
      </c>
      <c r="E68" s="25" t="n">
        <v>372.1501</v>
      </c>
      <c r="F68" s="26" t="n">
        <v>529</v>
      </c>
      <c r="G68" s="24" t="n">
        <v>46268</v>
      </c>
      <c r="H68" s="25" t="n">
        <v>372.0471</v>
      </c>
      <c r="I68" s="21">
        <f>IF(OR($B68="",$H68=""),"",IF($C68="LONG",($H68-$E68)*$F68,($E68-$H68)*$F68))</f>
        <v/>
      </c>
      <c r="J68" s="22">
        <f>IF(OR($B68="",$I68="",$E68=0,$F68=0),"",$I68/($E68*$F68))</f>
        <v/>
      </c>
      <c r="K68" s="4" t="n">
        <v>241.15</v>
      </c>
      <c r="L68" s="21">
        <f>IF(OR($B68="",$I68=""),"",$I68-IF($K68="",0,$K68))</f>
        <v/>
      </c>
      <c r="M68" s="22">
        <f>IF(OR($B68="",$L68="",$E68=0,$F68=0),"",$L68/($E68*$F68))</f>
        <v/>
      </c>
      <c r="N68" s="27">
        <f>IF($B68="","",IF($H68="","Open","Closed"))</f>
        <v/>
      </c>
      <c r="O68" s="23" t="inlineStr">
        <is>
          <t>Untagged</t>
        </is>
      </c>
    </row>
    <row r="69">
      <c r="A69" s="23" t="inlineStr">
        <is>
          <t>DHAN-321260902743009</t>
        </is>
      </c>
      <c r="B69" s="23" t="inlineStr">
        <is>
          <t>INDOCO</t>
        </is>
      </c>
      <c r="C69" s="23" t="inlineStr">
        <is>
          <t>LONG</t>
        </is>
      </c>
      <c r="D69" s="24" t="n">
        <v>46267</v>
      </c>
      <c r="E69" s="25" t="n">
        <v>274.0386</v>
      </c>
      <c r="F69" s="26" t="n">
        <v>731</v>
      </c>
      <c r="G69" s="24" t="n">
        <v>46268</v>
      </c>
      <c r="H69" s="25" t="n">
        <v>274.9479</v>
      </c>
      <c r="I69" s="21">
        <f>IF(OR($B69="",$H69=""),"",IF($C69="LONG",($H69-$E69)*$F69,($E69-$H69)*$F69))</f>
        <v/>
      </c>
      <c r="J69" s="22">
        <f>IF(OR($B69="",$I69="",$E69=0,$F69=0),"",$I69/($E69*$F69))</f>
        <v/>
      </c>
      <c r="K69" s="4" t="n">
        <v>384.09</v>
      </c>
      <c r="L69" s="21">
        <f>IF(OR($B69="",$I69=""),"",$I69-IF($K69="",0,$K69))</f>
        <v/>
      </c>
      <c r="M69" s="22">
        <f>IF(OR($B69="",$L69="",$E69=0,$F69=0),"",$L69/($E69*$F69))</f>
        <v/>
      </c>
      <c r="N69" s="27">
        <f>IF($B69="","",IF($H69="","Open","Closed"))</f>
        <v/>
      </c>
      <c r="O69" s="23" t="inlineStr">
        <is>
          <t>Untagged</t>
        </is>
      </c>
    </row>
    <row r="70">
      <c r="A70" s="23" t="inlineStr">
        <is>
          <t>DHAN-22126090392509</t>
        </is>
      </c>
      <c r="B70" s="23" t="inlineStr">
        <is>
          <t>INDOCO</t>
        </is>
      </c>
      <c r="C70" s="23" t="inlineStr">
        <is>
          <t>SHORT</t>
        </is>
      </c>
      <c r="D70" s="24" t="n">
        <v>46268</v>
      </c>
      <c r="E70" s="25" t="n">
        <v>274.0624</v>
      </c>
      <c r="F70" s="26" t="n">
        <v>731</v>
      </c>
      <c r="G70" s="24" t="n">
        <v>46268</v>
      </c>
      <c r="H70" s="25" t="n">
        <v>278.0089</v>
      </c>
      <c r="I70" s="21">
        <f>IF(OR($B70="",$H70=""),"",IF($C70="LONG",($H70-$E70)*$F70,($E70-$H70)*$F70))</f>
        <v/>
      </c>
      <c r="J70" s="22">
        <f>IF(OR($B70="",$I70="",$E70=0,$F70=0),"",$I70/($E70*$F70))</f>
        <v/>
      </c>
      <c r="K70" s="4" t="n">
        <v>296.69</v>
      </c>
      <c r="L70" s="21">
        <f>IF(OR($B70="",$I70=""),"",$I70-IF($K70="",0,$K70))</f>
        <v/>
      </c>
      <c r="M70" s="22">
        <f>IF(OR($B70="",$L70="",$E70=0,$F70=0),"",$L70/($E70*$F70))</f>
        <v/>
      </c>
      <c r="N70" s="27">
        <f>IF($B70="","",IF($H70="","Open","Closed"))</f>
        <v/>
      </c>
      <c r="O70" s="23" t="inlineStr">
        <is>
          <t>Untagged</t>
        </is>
      </c>
    </row>
    <row r="71">
      <c r="A71" s="23" t="inlineStr">
        <is>
          <t>DHAN-221260902724009</t>
        </is>
      </c>
      <c r="B71" s="23" t="inlineStr">
        <is>
          <t>TBZ</t>
        </is>
      </c>
      <c r="C71" s="23" t="inlineStr">
        <is>
          <t>LONG</t>
        </is>
      </c>
      <c r="D71" s="24" t="n">
        <v>46267</v>
      </c>
      <c r="E71" s="25" t="n">
        <v>416.35</v>
      </c>
      <c r="F71" s="26" t="n">
        <v>242</v>
      </c>
      <c r="G71" s="24" t="n">
        <v>46268</v>
      </c>
      <c r="H71" s="25" t="n">
        <v>422.9651</v>
      </c>
      <c r="I71" s="21">
        <f>IF(OR($B71="",$H71=""),"",IF($C71="LONG",($H71-$E71)*$F71,($E71-$H71)*$F71))</f>
        <v/>
      </c>
      <c r="J71" s="22">
        <f>IF(OR($B71="",$I71="",$E71=0,$F71=0),"",$I71/($E71*$F71))</f>
        <v/>
      </c>
      <c r="K71" s="4" t="n">
        <v>161.82</v>
      </c>
      <c r="L71" s="21">
        <f>IF(OR($B71="",$I71=""),"",$I71-IF($K71="",0,$K71))</f>
        <v/>
      </c>
      <c r="M71" s="22">
        <f>IF(OR($B71="",$L71="",$E71=0,$F71=0),"",$L71/($E71*$F71))</f>
        <v/>
      </c>
      <c r="N71" s="27">
        <f>IF($B71="","",IF($H71="","Open","Closed"))</f>
        <v/>
      </c>
      <c r="O71" s="23" t="inlineStr">
        <is>
          <t>Untagged</t>
        </is>
      </c>
    </row>
    <row r="72">
      <c r="A72" s="23" t="inlineStr">
        <is>
          <t>DHAN-32126090398709</t>
        </is>
      </c>
      <c r="B72" s="23" t="inlineStr">
        <is>
          <t>TBZ</t>
        </is>
      </c>
      <c r="C72" s="23" t="inlineStr">
        <is>
          <t>SHORT</t>
        </is>
      </c>
      <c r="D72" s="24" t="n">
        <v>46268</v>
      </c>
      <c r="E72" s="25" t="n">
        <v>423.45</v>
      </c>
      <c r="F72" s="26" t="n">
        <v>242</v>
      </c>
      <c r="G72" s="24" t="n">
        <v>46268</v>
      </c>
      <c r="H72" s="25" t="n">
        <v>423.6072</v>
      </c>
      <c r="I72" s="21">
        <f>IF(OR($B72="",$H72=""),"",IF($C72="LONG",($H72-$E72)*$F72,($E72-$H72)*$F72))</f>
        <v/>
      </c>
      <c r="J72" s="22">
        <f>IF(OR($B72="",$I72="",$E72=0,$F72=0),"",$I72/($E72*$F72))</f>
        <v/>
      </c>
      <c r="K72" s="4" t="n">
        <v>162.41</v>
      </c>
      <c r="L72" s="21">
        <f>IF(OR($B72="",$I72=""),"",$I72-IF($K72="",0,$K72))</f>
        <v/>
      </c>
      <c r="M72" s="22">
        <f>IF(OR($B72="",$L72="",$E72=0,$F72=0),"",$L72/($E72*$F72))</f>
        <v/>
      </c>
      <c r="N72" s="27">
        <f>IF($B72="","",IF($H72="","Open","Closed"))</f>
        <v/>
      </c>
      <c r="O72" s="23" t="inlineStr">
        <is>
          <t>Untagged</t>
        </is>
      </c>
    </row>
    <row r="73">
      <c r="A73" s="23" t="inlineStr">
        <is>
          <t>DHAN-321260902743109</t>
        </is>
      </c>
      <c r="B73" s="23" t="inlineStr">
        <is>
          <t>WINDLAS</t>
        </is>
      </c>
      <c r="C73" s="23" t="inlineStr">
        <is>
          <t>LONG</t>
        </is>
      </c>
      <c r="D73" s="24" t="n">
        <v>46267</v>
      </c>
      <c r="E73" s="25" t="n">
        <v>1101.477</v>
      </c>
      <c r="F73" s="26" t="n">
        <v>181</v>
      </c>
      <c r="G73" s="24" t="n">
        <v>46268</v>
      </c>
      <c r="H73" s="25" t="n">
        <v>1138.2559</v>
      </c>
      <c r="I73" s="21">
        <f>IF(OR($B73="",$H73=""),"",IF($C73="LONG",($H73-$E73)*$F73,($E73-$H73)*$F73))</f>
        <v/>
      </c>
      <c r="J73" s="22">
        <f>IF(OR($B73="",$I73="",$E73=0,$F73=0),"",$I73/($E73*$F73))</f>
        <v/>
      </c>
      <c r="K73" s="4" t="n">
        <v>382.7</v>
      </c>
      <c r="L73" s="21">
        <f>IF(OR($B73="",$I73=""),"",$I73-IF($K73="",0,$K73))</f>
        <v/>
      </c>
      <c r="M73" s="22">
        <f>IF(OR($B73="",$L73="",$E73=0,$F73=0),"",$L73/($E73*$F73))</f>
        <v/>
      </c>
      <c r="N73" s="27">
        <f>IF($B73="","",IF($H73="","Open","Closed"))</f>
        <v/>
      </c>
      <c r="O73" s="23" t="inlineStr">
        <is>
          <t>Untagged</t>
        </is>
      </c>
    </row>
    <row r="74">
      <c r="A74" s="23" t="inlineStr">
        <is>
          <t>DHAN-321260903384009</t>
        </is>
      </c>
      <c r="B74" s="23" t="inlineStr">
        <is>
          <t>WINDLAS</t>
        </is>
      </c>
      <c r="C74" s="23" t="inlineStr">
        <is>
          <t>SHORT</t>
        </is>
      </c>
      <c r="D74" s="24" t="n">
        <v>46268</v>
      </c>
      <c r="E74" s="25" t="n">
        <v>1139.3014</v>
      </c>
      <c r="F74" s="26" t="n">
        <v>181</v>
      </c>
      <c r="G74" s="24" t="n">
        <v>46268</v>
      </c>
      <c r="H74" s="25" t="n">
        <v>1127.3989</v>
      </c>
      <c r="I74" s="21">
        <f>IF(OR($B74="",$H74=""),"",IF($C74="LONG",($H74-$E74)*$F74,($E74-$H74)*$F74))</f>
        <v/>
      </c>
      <c r="J74" s="22">
        <f>IF(OR($B74="",$I74="",$E74=0,$F74=0),"",$I74/($E74*$F74))</f>
        <v/>
      </c>
      <c r="K74" s="4" t="n">
        <v>302.18</v>
      </c>
      <c r="L74" s="21">
        <f>IF(OR($B74="",$I74=""),"",$I74-IF($K74="",0,$K74))</f>
        <v/>
      </c>
      <c r="M74" s="22">
        <f>IF(OR($B74="",$L74="",$E74=0,$F74=0),"",$L74/($E74*$F74))</f>
        <v/>
      </c>
      <c r="N74" s="27">
        <f>IF($B74="","",IF($H74="","Open","Closed"))</f>
        <v/>
      </c>
      <c r="O74" s="23" t="inlineStr">
        <is>
          <t>Untagged</t>
        </is>
      </c>
    </row>
    <row r="75">
      <c r="A75" s="23" t="inlineStr">
        <is>
          <t>DHAN-321260902743209</t>
        </is>
      </c>
      <c r="B75" s="23" t="inlineStr">
        <is>
          <t>XPROINDIA</t>
        </is>
      </c>
      <c r="C75" s="23" t="inlineStr">
        <is>
          <t>LONG</t>
        </is>
      </c>
      <c r="D75" s="24" t="n">
        <v>46267</v>
      </c>
      <c r="E75" s="25" t="n">
        <v>1291.5</v>
      </c>
      <c r="F75" s="26" t="n">
        <v>154</v>
      </c>
      <c r="G75" s="24" t="n">
        <v>46268</v>
      </c>
      <c r="H75" s="25" t="n">
        <v>1300.3182</v>
      </c>
      <c r="I75" s="21">
        <f>IF(OR($B75="",$H75=""),"",IF($C75="LONG",($H75-$E75)*$F75,($E75-$H75)*$F75))</f>
        <v/>
      </c>
      <c r="J75" s="22">
        <f>IF(OR($B75="",$I75="",$E75=0,$F75=0),"",$I75/($E75*$F75))</f>
        <v/>
      </c>
      <c r="K75" s="4" t="n">
        <v>431.78</v>
      </c>
      <c r="L75" s="21">
        <f>IF(OR($B75="",$I75=""),"",$I75-IF($K75="",0,$K75))</f>
        <v/>
      </c>
      <c r="M75" s="22">
        <f>IF(OR($B75="",$L75="",$E75=0,$F75=0),"",$L75/($E75*$F75))</f>
        <v/>
      </c>
      <c r="N75" s="27">
        <f>IF($B75="","",IF($H75="","Open","Closed"))</f>
        <v/>
      </c>
      <c r="O75" s="23" t="inlineStr">
        <is>
          <t>Untagged</t>
        </is>
      </c>
    </row>
    <row r="76">
      <c r="A76" s="23" t="inlineStr">
        <is>
          <t>DHAN-34126090316409</t>
        </is>
      </c>
      <c r="B76" s="23" t="inlineStr">
        <is>
          <t>XPROINDIA</t>
        </is>
      </c>
      <c r="C76" s="23" t="inlineStr">
        <is>
          <t>SHORT</t>
        </is>
      </c>
      <c r="D76" s="24" t="n">
        <v>46268</v>
      </c>
      <c r="E76" s="25" t="n">
        <v>1302.759</v>
      </c>
      <c r="F76" s="26" t="n">
        <v>154</v>
      </c>
      <c r="G76" s="24" t="n">
        <v>46268</v>
      </c>
      <c r="H76" s="25" t="n">
        <v>1290.8416</v>
      </c>
      <c r="I76" s="21">
        <f>IF(OR($B76="",$H76=""),"",IF($C76="LONG",($H76-$E76)*$F76,($E76-$H76)*$F76))</f>
        <v/>
      </c>
      <c r="J76" s="22">
        <f>IF(OR($B76="",$I76="",$E76=0,$F76=0),"",$I76/($E76*$F76))</f>
        <v/>
      </c>
      <c r="K76" s="4" t="n">
        <v>244.39</v>
      </c>
      <c r="L76" s="21">
        <f>IF(OR($B76="",$I76=""),"",$I76-IF($K76="",0,$K76))</f>
        <v/>
      </c>
      <c r="M76" s="22">
        <f>IF(OR($B76="",$L76="",$E76=0,$F76=0),"",$L76/($E76*$F76))</f>
        <v/>
      </c>
      <c r="N76" s="27">
        <f>IF($B76="","",IF($H76="","Open","Closed"))</f>
        <v/>
      </c>
      <c r="O76" s="23" t="inlineStr">
        <is>
          <t>Untagged</t>
        </is>
      </c>
    </row>
    <row r="77">
      <c r="A77" s="23" t="inlineStr">
        <is>
          <t>DHAN-34126090364809</t>
        </is>
      </c>
      <c r="B77" s="23" t="inlineStr">
        <is>
          <t>ALEMBICLTD</t>
        </is>
      </c>
      <c r="C77" s="23" t="inlineStr">
        <is>
          <t>LONG</t>
        </is>
      </c>
      <c r="D77" s="24" t="n">
        <v>46268</v>
      </c>
      <c r="E77" s="25" t="n">
        <v>109.8863</v>
      </c>
      <c r="F77" s="26" t="n">
        <v>1597</v>
      </c>
      <c r="G77" s="24" t="n">
        <v>46269</v>
      </c>
      <c r="H77" s="25" t="n">
        <v>114.1086</v>
      </c>
      <c r="I77" s="21">
        <f>IF(OR($B77="",$H77=""),"",IF($C77="LONG",($H77-$E77)*$F77,($E77-$H77)*$F77))</f>
        <v/>
      </c>
      <c r="J77" s="22">
        <f>IF(OR($B77="",$I77="",$E77=0,$F77=0),"",$I77/($E77*$F77))</f>
        <v/>
      </c>
      <c r="K77" s="4" t="n">
        <v>393.8</v>
      </c>
      <c r="L77" s="21">
        <f>IF(OR($B77="",$I77=""),"",$I77-IF($K77="",0,$K77))</f>
        <v/>
      </c>
      <c r="M77" s="22">
        <f>IF(OR($B77="",$L77="",$E77=0,$F77=0),"",$L77/($E77*$F77))</f>
        <v/>
      </c>
      <c r="N77" s="27">
        <f>IF($B77="","",IF($H77="","Open","Closed"))</f>
        <v/>
      </c>
      <c r="O77" s="23" t="inlineStr">
        <is>
          <t>Untagged</t>
        </is>
      </c>
    </row>
    <row r="78">
      <c r="A78" s="23" t="inlineStr">
        <is>
          <t>DHAN-32126090489209</t>
        </is>
      </c>
      <c r="B78" s="23" t="inlineStr">
        <is>
          <t>ALEMBICLTD</t>
        </is>
      </c>
      <c r="C78" s="23" t="inlineStr">
        <is>
          <t>SHORT</t>
        </is>
      </c>
      <c r="D78" s="24" t="n">
        <v>46269</v>
      </c>
      <c r="E78" s="25" t="n">
        <v>114.098</v>
      </c>
      <c r="F78" s="26" t="n">
        <v>1597</v>
      </c>
      <c r="G78" s="24" t="n">
        <v>46269</v>
      </c>
      <c r="H78" s="25" t="n">
        <v>111.8446</v>
      </c>
      <c r="I78" s="21">
        <f>IF(OR($B78="",$H78=""),"",IF($C78="LONG",($H78-$E78)*$F78,($E78-$H78)*$F78))</f>
        <v/>
      </c>
      <c r="J78" s="22">
        <f>IF(OR($B78="",$I78="",$E78=0,$F78=0),"",$I78/($E78*$F78))</f>
        <v/>
      </c>
      <c r="K78" s="4" t="n">
        <v>223.48</v>
      </c>
      <c r="L78" s="21">
        <f>IF(OR($B78="",$I78=""),"",$I78-IF($K78="",0,$K78))</f>
        <v/>
      </c>
      <c r="M78" s="22">
        <f>IF(OR($B78="",$L78="",$E78=0,$F78=0),"",$L78/($E78*$F78))</f>
        <v/>
      </c>
      <c r="N78" s="27">
        <f>IF($B78="","",IF($H78="","Open","Closed"))</f>
        <v/>
      </c>
      <c r="O78" s="23" t="inlineStr">
        <is>
          <t>Untagged</t>
        </is>
      </c>
    </row>
    <row r="79">
      <c r="A79" s="23" t="inlineStr">
        <is>
          <t>DHAN-321260903596709</t>
        </is>
      </c>
      <c r="B79" s="23" t="inlineStr">
        <is>
          <t>ANTELOPUS</t>
        </is>
      </c>
      <c r="C79" s="23" t="inlineStr">
        <is>
          <t>LONG</t>
        </is>
      </c>
      <c r="D79" s="24" t="n">
        <v>46268</v>
      </c>
      <c r="E79" s="25" t="n">
        <v>1012.0773</v>
      </c>
      <c r="F79" s="26" t="n">
        <v>86</v>
      </c>
      <c r="G79" s="24" t="n">
        <v>46269</v>
      </c>
      <c r="H79" s="25" t="n">
        <v>1004.061</v>
      </c>
      <c r="I79" s="21">
        <f>IF(OR($B79="",$H79=""),"",IF($C79="LONG",($H79-$E79)*$F79,($E79-$H79)*$F79))</f>
        <v/>
      </c>
      <c r="J79" s="22">
        <f>IF(OR($B79="",$I79="",$E79=0,$F79=0),"",$I79/($E79*$F79))</f>
        <v/>
      </c>
      <c r="K79" s="4" t="n">
        <v>166.41</v>
      </c>
      <c r="L79" s="21">
        <f>IF(OR($B79="",$I79=""),"",$I79-IF($K79="",0,$K79))</f>
        <v/>
      </c>
      <c r="M79" s="22">
        <f>IF(OR($B79="",$L79="",$E79=0,$F79=0),"",$L79/($E79*$F79))</f>
        <v/>
      </c>
      <c r="N79" s="27">
        <f>IF($B79="","",IF($H79="","Open","Closed"))</f>
        <v/>
      </c>
      <c r="O79" s="23" t="inlineStr">
        <is>
          <t>Untagged</t>
        </is>
      </c>
    </row>
    <row r="80">
      <c r="A80" s="23" t="inlineStr">
        <is>
          <t>DHAN-34126090463509</t>
        </is>
      </c>
      <c r="B80" s="23" t="inlineStr">
        <is>
          <t>ANTELOPUS</t>
        </is>
      </c>
      <c r="C80" s="23" t="inlineStr">
        <is>
          <t>SHORT</t>
        </is>
      </c>
      <c r="D80" s="24" t="n">
        <v>46269</v>
      </c>
      <c r="E80" s="25" t="n">
        <v>1003.9</v>
      </c>
      <c r="F80" s="26" t="n">
        <v>86</v>
      </c>
      <c r="G80" s="24" t="n">
        <v>46269</v>
      </c>
      <c r="H80" s="25" t="n">
        <v>987.1866</v>
      </c>
      <c r="I80" s="21">
        <f>IF(OR($B80="",$H80=""),"",IF($C80="LONG",($H80-$E80)*$F80,($E80-$H80)*$F80))</f>
        <v/>
      </c>
      <c r="J80" s="22">
        <f>IF(OR($B80="",$I80="",$E80=0,$F80=0),"",$I80/($E80*$F80))</f>
        <v/>
      </c>
      <c r="K80" s="4" t="n">
        <v>118.41</v>
      </c>
      <c r="L80" s="21">
        <f>IF(OR($B80="",$I80=""),"",$I80-IF($K80="",0,$K80))</f>
        <v/>
      </c>
      <c r="M80" s="22">
        <f>IF(OR($B80="",$L80="",$E80=0,$F80=0),"",$L80/($E80*$F80))</f>
        <v/>
      </c>
      <c r="N80" s="27">
        <f>IF($B80="","",IF($H80="","Open","Closed"))</f>
        <v/>
      </c>
      <c r="O80" s="23" t="inlineStr">
        <is>
          <t>Untagged</t>
        </is>
      </c>
    </row>
    <row r="81">
      <c r="A81" s="23" t="inlineStr">
        <is>
          <t>DHAN-34126090364909</t>
        </is>
      </c>
      <c r="B81" s="23" t="inlineStr">
        <is>
          <t>BFUTILITIE</t>
        </is>
      </c>
      <c r="C81" s="23" t="inlineStr">
        <is>
          <t>LONG</t>
        </is>
      </c>
      <c r="D81" s="24" t="n">
        <v>46268</v>
      </c>
      <c r="E81" s="25" t="n">
        <v>544.1489</v>
      </c>
      <c r="F81" s="26" t="n">
        <v>321</v>
      </c>
      <c r="G81" s="24" t="n">
        <v>46269</v>
      </c>
      <c r="H81" s="25" t="n">
        <v>559.1366</v>
      </c>
      <c r="I81" s="21">
        <f>IF(OR($B81="",$H81=""),"",IF($C81="LONG",($H81-$E81)*$F81,($E81-$H81)*$F81))</f>
        <v/>
      </c>
      <c r="J81" s="22">
        <f>IF(OR($B81="",$I81="",$E81=0,$F81=0),"",$I81/($E81*$F81))</f>
        <v/>
      </c>
      <c r="K81" s="4" t="n">
        <v>341.34</v>
      </c>
      <c r="L81" s="21">
        <f>IF(OR($B81="",$I81=""),"",$I81-IF($K81="",0,$K81))</f>
        <v/>
      </c>
      <c r="M81" s="22">
        <f>IF(OR($B81="",$L81="",$E81=0,$F81=0),"",$L81/($E81*$F81))</f>
        <v/>
      </c>
      <c r="N81" s="27">
        <f>IF($B81="","",IF($H81="","Open","Closed"))</f>
        <v/>
      </c>
      <c r="O81" s="23" t="inlineStr">
        <is>
          <t>Untagged</t>
        </is>
      </c>
    </row>
    <row r="82">
      <c r="A82" s="23" t="inlineStr">
        <is>
          <t>DHAN-34126090416009</t>
        </is>
      </c>
      <c r="B82" s="23" t="inlineStr">
        <is>
          <t>BFUTILITIE</t>
        </is>
      </c>
      <c r="C82" s="23" t="inlineStr">
        <is>
          <t>SHORT</t>
        </is>
      </c>
      <c r="D82" s="24" t="n">
        <v>46269</v>
      </c>
      <c r="E82" s="25" t="n">
        <v>557.8248</v>
      </c>
      <c r="F82" s="26" t="n">
        <v>321</v>
      </c>
      <c r="G82" s="24" t="n">
        <v>46269</v>
      </c>
      <c r="H82" s="25" t="n">
        <v>545.7992</v>
      </c>
      <c r="I82" s="21">
        <f>IF(OR($B82="",$H82=""),"",IF($C82="LONG",($H82-$E82)*$F82,($E82-$H82)*$F82))</f>
        <v/>
      </c>
      <c r="J82" s="22">
        <f>IF(OR($B82="",$I82="",$E82=0,$F82=0),"",$I82/($E82*$F82))</f>
        <v/>
      </c>
      <c r="K82" s="4" t="n">
        <v>264.5</v>
      </c>
      <c r="L82" s="21">
        <f>IF(OR($B82="",$I82=""),"",$I82-IF($K82="",0,$K82))</f>
        <v/>
      </c>
      <c r="M82" s="22">
        <f>IF(OR($B82="",$L82="",$E82=0,$F82=0),"",$L82/($E82*$F82))</f>
        <v/>
      </c>
      <c r="N82" s="27">
        <f>IF($B82="","",IF($H82="","Open","Closed"))</f>
        <v/>
      </c>
      <c r="O82" s="23" t="inlineStr">
        <is>
          <t>Untagged</t>
        </is>
      </c>
    </row>
    <row r="83">
      <c r="A83" s="23" t="inlineStr">
        <is>
          <t>DHAN-221260903780209</t>
        </is>
      </c>
      <c r="B83" s="23" t="inlineStr">
        <is>
          <t>GOCLCORP</t>
        </is>
      </c>
      <c r="C83" s="23" t="inlineStr">
        <is>
          <t>LONG</t>
        </is>
      </c>
      <c r="D83" s="24" t="n">
        <v>46268</v>
      </c>
      <c r="E83" s="25" t="n">
        <v>421.586</v>
      </c>
      <c r="F83" s="26" t="n">
        <v>414</v>
      </c>
      <c r="G83" s="24" t="n">
        <v>46269</v>
      </c>
      <c r="H83" s="25" t="n">
        <v>424.026</v>
      </c>
      <c r="I83" s="21">
        <f>IF(OR($B83="",$H83=""),"",IF($C83="LONG",($H83-$E83)*$F83,($E83-$H83)*$F83))</f>
        <v/>
      </c>
      <c r="J83" s="22">
        <f>IF(OR($B83="",$I83="",$E83=0,$F83=0),"",$I83/($E83*$F83))</f>
        <v/>
      </c>
      <c r="K83" s="4" t="n">
        <v>346.98</v>
      </c>
      <c r="L83" s="21">
        <f>IF(OR($B83="",$I83=""),"",$I83-IF($K83="",0,$K83))</f>
        <v/>
      </c>
      <c r="M83" s="22">
        <f>IF(OR($B83="",$L83="",$E83=0,$F83=0),"",$L83/($E83*$F83))</f>
        <v/>
      </c>
      <c r="N83" s="27">
        <f>IF($B83="","",IF($H83="","Open","Closed"))</f>
        <v/>
      </c>
      <c r="O83" s="23" t="inlineStr">
        <is>
          <t>Untagged</t>
        </is>
      </c>
    </row>
    <row r="84">
      <c r="A84" s="23" t="inlineStr">
        <is>
          <t>DHAN-22126090492309</t>
        </is>
      </c>
      <c r="B84" s="23" t="inlineStr">
        <is>
          <t>GOCLCORP</t>
        </is>
      </c>
      <c r="C84" s="23" t="inlineStr">
        <is>
          <t>SHORT</t>
        </is>
      </c>
      <c r="D84" s="24" t="n">
        <v>46269</v>
      </c>
      <c r="E84" s="25" t="n">
        <v>423.9067</v>
      </c>
      <c r="F84" s="26" t="n">
        <v>414</v>
      </c>
      <c r="G84" s="24" t="n">
        <v>46269</v>
      </c>
      <c r="H84" s="25" t="n">
        <v>429.4497</v>
      </c>
      <c r="I84" s="21">
        <f>IF(OR($B84="",$H84=""),"",IF($C84="LONG",($H84-$E84)*$F84,($E84-$H84)*$F84))</f>
        <v/>
      </c>
      <c r="J84" s="22">
        <f>IF(OR($B84="",$I84="",$E84=0,$F84=0),"",$I84/($E84*$F84))</f>
        <v/>
      </c>
      <c r="K84" s="4" t="n">
        <v>262.49</v>
      </c>
      <c r="L84" s="21">
        <f>IF(OR($B84="",$I84=""),"",$I84-IF($K84="",0,$K84))</f>
        <v/>
      </c>
      <c r="M84" s="22">
        <f>IF(OR($B84="",$L84="",$E84=0,$F84=0),"",$L84/($E84*$F84))</f>
        <v/>
      </c>
      <c r="N84" s="27">
        <f>IF($B84="","",IF($H84="","Open","Closed"))</f>
        <v/>
      </c>
      <c r="O84" s="23" t="inlineStr">
        <is>
          <t>Untagged</t>
        </is>
      </c>
    </row>
    <row r="85">
      <c r="A85" s="23" t="inlineStr">
        <is>
          <t>DHAN-23126090365609</t>
        </is>
      </c>
      <c r="B85" s="23" t="inlineStr">
        <is>
          <t>HINDOILEXP</t>
        </is>
      </c>
      <c r="C85" s="23" t="inlineStr">
        <is>
          <t>LONG</t>
        </is>
      </c>
      <c r="D85" s="24" t="n">
        <v>46268</v>
      </c>
      <c r="E85" s="25" t="n">
        <v>183.9966</v>
      </c>
      <c r="F85" s="26" t="n">
        <v>951</v>
      </c>
      <c r="G85" s="24" t="n">
        <v>46269</v>
      </c>
      <c r="H85" s="25" t="n">
        <v>181.9446</v>
      </c>
      <c r="I85" s="21">
        <f>IF(OR($B85="",$H85=""),"",IF($C85="LONG",($H85-$E85)*$F85,($E85-$H85)*$F85))</f>
        <v/>
      </c>
      <c r="J85" s="22">
        <f>IF(OR($B85="",$I85="",$E85=0,$F85=0),"",$I85/($E85*$F85))</f>
        <v/>
      </c>
      <c r="K85" s="4" t="n">
        <v>393.51</v>
      </c>
      <c r="L85" s="21">
        <f>IF(OR($B85="",$I85=""),"",$I85-IF($K85="",0,$K85))</f>
        <v/>
      </c>
      <c r="M85" s="22">
        <f>IF(OR($B85="",$L85="",$E85=0,$F85=0),"",$L85/($E85*$F85))</f>
        <v/>
      </c>
      <c r="N85" s="27">
        <f>IF($B85="","",IF($H85="","Open","Closed"))</f>
        <v/>
      </c>
      <c r="O85" s="23" t="inlineStr">
        <is>
          <t>Untagged</t>
        </is>
      </c>
    </row>
    <row r="86">
      <c r="A86" s="23" t="inlineStr">
        <is>
          <t>DHAN-34126090463609</t>
        </is>
      </c>
      <c r="B86" s="23" t="inlineStr">
        <is>
          <t>HINDOILEXP</t>
        </is>
      </c>
      <c r="C86" s="23" t="inlineStr">
        <is>
          <t>SHORT</t>
        </is>
      </c>
      <c r="D86" s="24" t="n">
        <v>46269</v>
      </c>
      <c r="E86" s="25" t="n">
        <v>181.8259</v>
      </c>
      <c r="F86" s="26" t="n">
        <v>951</v>
      </c>
      <c r="G86" s="24" t="n">
        <v>46269</v>
      </c>
      <c r="H86" s="25" t="n">
        <v>182</v>
      </c>
      <c r="I86" s="21">
        <f>IF(OR($B86="",$H86=""),"",IF($C86="LONG",($H86-$E86)*$F86,($E86-$H86)*$F86))</f>
        <v/>
      </c>
      <c r="J86" s="22">
        <f>IF(OR($B86="",$I86="",$E86=0,$F86=0),"",$I86/($E86*$F86))</f>
        <v/>
      </c>
      <c r="K86" s="4" t="n">
        <v>214.74</v>
      </c>
      <c r="L86" s="21">
        <f>IF(OR($B86="",$I86=""),"",$I86-IF($K86="",0,$K86))</f>
        <v/>
      </c>
      <c r="M86" s="22">
        <f>IF(OR($B86="",$L86="",$E86=0,$F86=0),"",$L86/($E86*$F86))</f>
        <v/>
      </c>
      <c r="N86" s="27">
        <f>IF($B86="","",IF($H86="","Open","Closed"))</f>
        <v/>
      </c>
      <c r="O86" s="23" t="inlineStr">
        <is>
          <t>Untagged</t>
        </is>
      </c>
    </row>
    <row r="87">
      <c r="A87" s="23" t="inlineStr">
        <is>
          <t>DHAN-23126090365509</t>
        </is>
      </c>
      <c r="B87" s="23" t="inlineStr">
        <is>
          <t>KIRIINDUS</t>
        </is>
      </c>
      <c r="C87" s="23" t="inlineStr">
        <is>
          <t>LONG</t>
        </is>
      </c>
      <c r="D87" s="24" t="n">
        <v>46268</v>
      </c>
      <c r="E87" s="25" t="n">
        <v>579.35</v>
      </c>
      <c r="F87" s="26" t="n">
        <v>302</v>
      </c>
      <c r="G87" s="24" t="n">
        <v>46269</v>
      </c>
      <c r="H87" s="25" t="n">
        <v>591.2967</v>
      </c>
      <c r="I87" s="21">
        <f>IF(OR($B87="",$H87=""),"",IF($C87="LONG",($H87-$E87)*$F87,($E87-$H87)*$F87))</f>
        <v/>
      </c>
      <c r="J87" s="22">
        <f>IF(OR($B87="",$I87="",$E87=0,$F87=0),"",$I87/($E87*$F87))</f>
        <v/>
      </c>
      <c r="K87" s="4" t="n">
        <v>349.54</v>
      </c>
      <c r="L87" s="21">
        <f>IF(OR($B87="",$I87=""),"",$I87-IF($K87="",0,$K87))</f>
        <v/>
      </c>
      <c r="M87" s="22">
        <f>IF(OR($B87="",$L87="",$E87=0,$F87=0),"",$L87/($E87*$F87))</f>
        <v/>
      </c>
      <c r="N87" s="27">
        <f>IF($B87="","",IF($H87="","Open","Closed"))</f>
        <v/>
      </c>
      <c r="O87" s="23" t="inlineStr">
        <is>
          <t>Untagged</t>
        </is>
      </c>
    </row>
    <row r="88">
      <c r="A88" s="23" t="inlineStr">
        <is>
          <t>DHAN-23126090415409</t>
        </is>
      </c>
      <c r="B88" s="23" t="inlineStr">
        <is>
          <t>KIRIINDUS</t>
        </is>
      </c>
      <c r="C88" s="23" t="inlineStr">
        <is>
          <t>SHORT</t>
        </is>
      </c>
      <c r="D88" s="24" t="n">
        <v>46269</v>
      </c>
      <c r="E88" s="25" t="n">
        <v>591.654</v>
      </c>
      <c r="F88" s="26" t="n">
        <v>302</v>
      </c>
      <c r="G88" s="24" t="n">
        <v>46269</v>
      </c>
      <c r="H88" s="25" t="n">
        <v>562.05</v>
      </c>
      <c r="I88" s="21">
        <f>IF(OR($B88="",$H88=""),"",IF($C88="LONG",($H88-$E88)*$F88,($E88-$H88)*$F88))</f>
        <v/>
      </c>
      <c r="J88" s="22">
        <f>IF(OR($B88="",$I88="",$E88=0,$F88=0),"",$I88/($E88*$F88))</f>
        <v/>
      </c>
      <c r="K88" s="4" t="n">
        <v>261.3</v>
      </c>
      <c r="L88" s="21">
        <f>IF(OR($B88="",$I88=""),"",$I88-IF($K88="",0,$K88))</f>
        <v/>
      </c>
      <c r="M88" s="22">
        <f>IF(OR($B88="",$L88="",$E88=0,$F88=0),"",$L88/($E88*$F88))</f>
        <v/>
      </c>
      <c r="N88" s="27">
        <f>IF($B88="","",IF($H88="","Open","Closed"))</f>
        <v/>
      </c>
      <c r="O88" s="23" t="inlineStr">
        <is>
          <t>Untagged</t>
        </is>
      </c>
    </row>
    <row r="89">
      <c r="A89" s="23" t="inlineStr">
        <is>
          <t>DHAN-34126090365009</t>
        </is>
      </c>
      <c r="B89" s="23" t="inlineStr">
        <is>
          <t>RAYMOND</t>
        </is>
      </c>
      <c r="C89" s="23" t="inlineStr">
        <is>
          <t>LONG</t>
        </is>
      </c>
      <c r="D89" s="24" t="n">
        <v>46268</v>
      </c>
      <c r="E89" s="25" t="n">
        <v>763</v>
      </c>
      <c r="F89" s="26" t="n">
        <v>231</v>
      </c>
      <c r="G89" s="24" t="n">
        <v>46269</v>
      </c>
      <c r="H89" s="25" t="n">
        <v>751.7106</v>
      </c>
      <c r="I89" s="21">
        <f>IF(OR($B89="",$H89=""),"",IF($C89="LONG",($H89-$E89)*$F89,($E89-$H89)*$F89))</f>
        <v/>
      </c>
      <c r="J89" s="22">
        <f>IF(OR($B89="",$I89="",$E89=0,$F89=0),"",$I89/($E89*$F89))</f>
        <v/>
      </c>
      <c r="K89" s="4" t="n">
        <v>313.13</v>
      </c>
      <c r="L89" s="21">
        <f>IF(OR($B89="",$I89=""),"",$I89-IF($K89="",0,$K89))</f>
        <v/>
      </c>
      <c r="M89" s="22">
        <f>IF(OR($B89="",$L89="",$E89=0,$F89=0),"",$L89/($E89*$F89))</f>
        <v/>
      </c>
      <c r="N89" s="27">
        <f>IF($B89="","",IF($H89="","Open","Closed"))</f>
        <v/>
      </c>
      <c r="O89" s="23" t="inlineStr">
        <is>
          <t>Untagged</t>
        </is>
      </c>
    </row>
    <row r="90">
      <c r="A90" s="23" t="inlineStr">
        <is>
          <t>DHAN-321260904383309</t>
        </is>
      </c>
      <c r="B90" s="23" t="inlineStr">
        <is>
          <t>RAYMOND</t>
        </is>
      </c>
      <c r="C90" s="23" t="inlineStr">
        <is>
          <t>SHORT</t>
        </is>
      </c>
      <c r="D90" s="24" t="n">
        <v>46269</v>
      </c>
      <c r="E90" s="25" t="n">
        <v>752.5812</v>
      </c>
      <c r="F90" s="26" t="n">
        <v>231</v>
      </c>
      <c r="G90" s="24" t="n">
        <v>46269</v>
      </c>
      <c r="H90" s="25" t="n">
        <v>740.4414</v>
      </c>
      <c r="I90" s="21">
        <f>IF(OR($B90="",$H90=""),"",IF($C90="LONG",($H90-$E90)*$F90,($E90-$H90)*$F90))</f>
        <v/>
      </c>
      <c r="J90" s="22">
        <f>IF(OR($B90="",$I90="",$E90=0,$F90=0),"",$I90/($E90*$F90))</f>
        <v/>
      </c>
      <c r="K90" s="4" t="n">
        <v>257.68</v>
      </c>
      <c r="L90" s="21">
        <f>IF(OR($B90="",$I90=""),"",$I90-IF($K90="",0,$K90))</f>
        <v/>
      </c>
      <c r="M90" s="22">
        <f>IF(OR($B90="",$L90="",$E90=0,$F90=0),"",$L90/($E90*$F90))</f>
        <v/>
      </c>
      <c r="N90" s="27">
        <f>IF($B90="","",IF($H90="","Open","Closed"))</f>
        <v/>
      </c>
      <c r="O90" s="23" t="inlineStr">
        <is>
          <t>Untagged</t>
        </is>
      </c>
    </row>
    <row r="91">
      <c r="A91" s="23" t="inlineStr">
        <is>
          <t>DHAN-34126090488609</t>
        </is>
      </c>
      <c r="B91" s="23" t="inlineStr">
        <is>
          <t>MAITHANALL</t>
        </is>
      </c>
      <c r="C91" s="23" t="inlineStr">
        <is>
          <t>LONG</t>
        </is>
      </c>
      <c r="D91" s="24" t="n">
        <v>46269</v>
      </c>
      <c r="E91" s="25" t="n">
        <v>1086.426</v>
      </c>
      <c r="F91" s="26" t="n">
        <v>321</v>
      </c>
      <c r="G91" s="24" t="n">
        <v>46272</v>
      </c>
      <c r="H91" s="25" t="n">
        <v>1185</v>
      </c>
      <c r="I91" s="21">
        <f>IF(OR($B91="",$H91=""),"",IF($C91="LONG",($H91-$E91)*$F91,($E91-$H91)*$F91))</f>
        <v/>
      </c>
      <c r="J91" s="22">
        <f>IF(OR($B91="",$I91="",$E91=0,$F91=0),"",$I91/($E91*$F91))</f>
        <v/>
      </c>
      <c r="K91" s="4" t="n">
        <v>833.8200000000001</v>
      </c>
      <c r="L91" s="21">
        <f>IF(OR($B91="",$I91=""),"",$I91-IF($K91="",0,$K91))</f>
        <v/>
      </c>
      <c r="M91" s="22">
        <f>IF(OR($B91="",$L91="",$E91=0,$F91=0),"",$L91/($E91*$F91))</f>
        <v/>
      </c>
      <c r="N91" s="27">
        <f>IF($B91="","",IF($H91="","Open","Closed"))</f>
        <v/>
      </c>
      <c r="O91" s="23" t="inlineStr">
        <is>
          <t>Untagged</t>
        </is>
      </c>
    </row>
    <row r="92">
      <c r="A92" s="23" t="inlineStr">
        <is>
          <t>DHAN-23126090714709</t>
        </is>
      </c>
      <c r="B92" s="23" t="inlineStr">
        <is>
          <t>MAITHANALL</t>
        </is>
      </c>
      <c r="C92" s="23" t="inlineStr">
        <is>
          <t>SHORT</t>
        </is>
      </c>
      <c r="D92" s="24" t="n">
        <v>46272</v>
      </c>
      <c r="E92" s="25" t="n">
        <v>1183.4504</v>
      </c>
      <c r="F92" s="26" t="n">
        <v>321</v>
      </c>
      <c r="G92" s="24" t="n">
        <v>46272</v>
      </c>
      <c r="H92" s="25" t="n">
        <v>1129.9305</v>
      </c>
      <c r="I92" s="21">
        <f>IF(OR($B92="",$H92=""),"",IF($C92="LONG",($H92-$E92)*$F92,($E92-$H92)*$F92))</f>
        <v/>
      </c>
      <c r="J92" s="22">
        <f>IF(OR($B92="",$I92="",$E92=0,$F92=0),"",$I92/($E92*$F92))</f>
        <v/>
      </c>
      <c r="K92" s="4" t="n">
        <v>437.06</v>
      </c>
      <c r="L92" s="21">
        <f>IF(OR($B92="",$I92=""),"",$I92-IF($K92="",0,$K92))</f>
        <v/>
      </c>
      <c r="M92" s="22">
        <f>IF(OR($B92="",$L92="",$E92=0,$F92=0),"",$L92/($E92*$F92))</f>
        <v/>
      </c>
      <c r="N92" s="27">
        <f>IF($B92="","",IF($H92="","Open","Closed"))</f>
        <v/>
      </c>
      <c r="O92" s="23" t="inlineStr">
        <is>
          <t>Untagged</t>
        </is>
      </c>
    </row>
    <row r="93">
      <c r="A93" s="23" t="inlineStr">
        <is>
          <t>DHAN-221260904639609</t>
        </is>
      </c>
      <c r="B93" s="23" t="inlineStr">
        <is>
          <t>RML</t>
        </is>
      </c>
      <c r="C93" s="23" t="inlineStr">
        <is>
          <t>LONG</t>
        </is>
      </c>
      <c r="D93" s="24" t="n">
        <v>46269</v>
      </c>
      <c r="E93" s="25" t="n">
        <v>1291.9929</v>
      </c>
      <c r="F93" s="26" t="n">
        <v>270</v>
      </c>
      <c r="G93" s="24" t="n">
        <v>46272</v>
      </c>
      <c r="H93" s="25" t="n">
        <v>1337.4363</v>
      </c>
      <c r="I93" s="21">
        <f>IF(OR($B93="",$H93=""),"",IF($C93="LONG",($H93-$E93)*$F93,($E93-$H93)*$F93))</f>
        <v/>
      </c>
      <c r="J93" s="22">
        <f>IF(OR($B93="",$I93="",$E93=0,$F93=0),"",$I93/($E93*$F93))</f>
        <v/>
      </c>
      <c r="K93" s="4" t="n">
        <v>739.8200000000001</v>
      </c>
      <c r="L93" s="21">
        <f>IF(OR($B93="",$I93=""),"",$I93-IF($K93="",0,$K93))</f>
        <v/>
      </c>
      <c r="M93" s="22">
        <f>IF(OR($B93="",$L93="",$E93=0,$F93=0),"",$L93/($E93*$F93))</f>
        <v/>
      </c>
      <c r="N93" s="27">
        <f>IF($B93="","",IF($H93="","Open","Closed"))</f>
        <v/>
      </c>
      <c r="O93" s="23" t="inlineStr">
        <is>
          <t>Untagged</t>
        </is>
      </c>
    </row>
    <row r="94">
      <c r="A94" s="23" t="inlineStr">
        <is>
          <t>DHAN-321260907112709</t>
        </is>
      </c>
      <c r="B94" s="23" t="inlineStr">
        <is>
          <t>RML</t>
        </is>
      </c>
      <c r="C94" s="23" t="inlineStr">
        <is>
          <t>SHORT</t>
        </is>
      </c>
      <c r="D94" s="24" t="n">
        <v>46272</v>
      </c>
      <c r="E94" s="25" t="n">
        <v>1345.7526</v>
      </c>
      <c r="F94" s="26" t="n">
        <v>270</v>
      </c>
      <c r="G94" s="24" t="n">
        <v>46272</v>
      </c>
      <c r="H94" s="25" t="n">
        <v>1363.1344</v>
      </c>
      <c r="I94" s="21">
        <f>IF(OR($B94="",$H94=""),"",IF($C94="LONG",($H94-$E94)*$F94,($E94-$H94)*$F94))</f>
        <v/>
      </c>
      <c r="J94" s="22">
        <f>IF(OR($B94="",$I94="",$E94=0,$F94=0),"",$I94/($E94*$F94))</f>
        <v/>
      </c>
      <c r="K94" s="4" t="n">
        <v>380.66</v>
      </c>
      <c r="L94" s="21">
        <f>IF(OR($B94="",$I94=""),"",$I94-IF($K94="",0,$K94))</f>
        <v/>
      </c>
      <c r="M94" s="22">
        <f>IF(OR($B94="",$L94="",$E94=0,$F94=0),"",$L94/($E94*$F94))</f>
        <v/>
      </c>
      <c r="N94" s="27">
        <f>IF($B94="","",IF($H94="","Open","Closed"))</f>
        <v/>
      </c>
      <c r="O94" s="23" t="inlineStr">
        <is>
          <t>Untagged</t>
        </is>
      </c>
    </row>
    <row r="95">
      <c r="A95" s="23" t="inlineStr">
        <is>
          <t>DHAN-23126090486609</t>
        </is>
      </c>
      <c r="B95" s="23" t="inlineStr">
        <is>
          <t>SINDHUTRAD</t>
        </is>
      </c>
      <c r="C95" s="23" t="inlineStr">
        <is>
          <t>LONG</t>
        </is>
      </c>
      <c r="D95" s="24" t="n">
        <v>46269</v>
      </c>
      <c r="E95" s="25" t="n">
        <v>25.2263</v>
      </c>
      <c r="F95" s="26" t="n">
        <v>13916</v>
      </c>
      <c r="G95" s="24" t="n">
        <v>46272</v>
      </c>
      <c r="H95" s="25" t="n">
        <v>24.6576</v>
      </c>
      <c r="I95" s="21">
        <f>IF(OR($B95="",$H95=""),"",IF($C95="LONG",($H95-$E95)*$F95,($E95-$H95)*$F95))</f>
        <v/>
      </c>
      <c r="J95" s="22">
        <f>IF(OR($B95="",$I95="",$E95=0,$F95=0),"",$I95/($E95*$F95))</f>
        <v/>
      </c>
      <c r="K95" s="4" t="n">
        <v>766.78</v>
      </c>
      <c r="L95" s="21">
        <f>IF(OR($B95="",$I95=""),"",$I95-IF($K95="",0,$K95))</f>
        <v/>
      </c>
      <c r="M95" s="22">
        <f>IF(OR($B95="",$L95="",$E95=0,$F95=0),"",$L95/($E95*$F95))</f>
        <v/>
      </c>
      <c r="N95" s="27">
        <f>IF($B95="","",IF($H95="","Open","Closed"))</f>
        <v/>
      </c>
      <c r="O95" s="23" t="inlineStr">
        <is>
          <t>Untagged</t>
        </is>
      </c>
    </row>
    <row r="96">
      <c r="A96" s="23" t="inlineStr">
        <is>
          <t>DHAN-34126090734409</t>
        </is>
      </c>
      <c r="B96" s="23" t="inlineStr">
        <is>
          <t>SINDHUTRAD</t>
        </is>
      </c>
      <c r="C96" s="23" t="inlineStr">
        <is>
          <t>SHORT</t>
        </is>
      </c>
      <c r="D96" s="24" t="n">
        <v>46272</v>
      </c>
      <c r="E96" s="25" t="n">
        <v>24.65</v>
      </c>
      <c r="F96" s="26" t="n">
        <v>13916</v>
      </c>
      <c r="G96" s="24" t="n">
        <v>46272</v>
      </c>
      <c r="H96" s="25" t="n">
        <v>25.2993</v>
      </c>
      <c r="I96" s="21">
        <f>IF(OR($B96="",$H96=""),"",IF($C96="LONG",($H96-$E96)*$F96,($E96-$H96)*$F96))</f>
        <v/>
      </c>
      <c r="J96" s="22">
        <f>IF(OR($B96="",$I96="",$E96=0,$F96=0),"",$I96/($E96*$F96))</f>
        <v/>
      </c>
      <c r="K96" s="4" t="n">
        <v>516.37</v>
      </c>
      <c r="L96" s="21">
        <f>IF(OR($B96="",$I96=""),"",$I96-IF($K96="",0,$K96))</f>
        <v/>
      </c>
      <c r="M96" s="22">
        <f>IF(OR($B96="",$L96="",$E96=0,$F96=0),"",$L96/($E96*$F96))</f>
        <v/>
      </c>
      <c r="N96" s="27">
        <f>IF($B96="","",IF($H96="","Open","Closed"))</f>
        <v/>
      </c>
      <c r="O96" s="23" t="inlineStr">
        <is>
          <t>Untagged</t>
        </is>
      </c>
    </row>
    <row r="97">
      <c r="A97" s="23" t="inlineStr">
        <is>
          <t>DHAN-221260907740209</t>
        </is>
      </c>
      <c r="B97" s="23" t="inlineStr">
        <is>
          <t>CHEMPLASTS</t>
        </is>
      </c>
      <c r="C97" s="23" t="inlineStr">
        <is>
          <t>LONG</t>
        </is>
      </c>
      <c r="D97" s="24" t="n">
        <v>46272</v>
      </c>
      <c r="E97" s="25" t="n">
        <v>184.7831</v>
      </c>
      <c r="F97" s="26" t="n">
        <v>1261</v>
      </c>
      <c r="G97" s="24" t="n">
        <v>46273</v>
      </c>
      <c r="H97" s="25" t="n">
        <v>185.135</v>
      </c>
      <c r="I97" s="21">
        <f>IF(OR($B97="",$H97=""),"",IF($C97="LONG",($H97-$E97)*$F97,($E97-$H97)*$F97))</f>
        <v/>
      </c>
      <c r="J97" s="22">
        <f>IF(OR($B97="",$I97="",$E97=0,$F97=0),"",$I97/($E97*$F97))</f>
        <v/>
      </c>
      <c r="K97" s="4" t="n">
        <v>432.48</v>
      </c>
      <c r="L97" s="21">
        <f>IF(OR($B97="",$I97=""),"",$I97-IF($K97="",0,$K97))</f>
        <v/>
      </c>
      <c r="M97" s="22">
        <f>IF(OR($B97="",$L97="",$E97=0,$F97=0),"",$L97/($E97*$F97))</f>
        <v/>
      </c>
      <c r="N97" s="27">
        <f>IF($B97="","",IF($H97="","Open","Closed"))</f>
        <v/>
      </c>
      <c r="O97" s="23" t="inlineStr">
        <is>
          <t>Untagged</t>
        </is>
      </c>
    </row>
    <row r="98">
      <c r="A98" s="23" t="inlineStr">
        <is>
          <t>DHAN-23126090817409</t>
        </is>
      </c>
      <c r="B98" s="23" t="inlineStr">
        <is>
          <t>CHEMPLASTS</t>
        </is>
      </c>
      <c r="C98" s="23" t="inlineStr">
        <is>
          <t>SHORT</t>
        </is>
      </c>
      <c r="D98" s="24" t="n">
        <v>46273</v>
      </c>
      <c r="E98" s="25" t="n">
        <v>184.8514</v>
      </c>
      <c r="F98" s="26" t="n">
        <v>1261</v>
      </c>
      <c r="G98" s="24" t="n">
        <v>46273</v>
      </c>
      <c r="H98" s="25" t="n">
        <v>180.8919</v>
      </c>
      <c r="I98" s="21">
        <f>IF(OR($B98="",$H98=""),"",IF($C98="LONG",($H98-$E98)*$F98,($E98-$H98)*$F98))</f>
        <v/>
      </c>
      <c r="J98" s="22">
        <f>IF(OR($B98="",$I98="",$E98=0,$F98=0),"",$I98/($E98*$F98))</f>
        <v/>
      </c>
      <c r="K98" s="4" t="n">
        <v>337.14</v>
      </c>
      <c r="L98" s="21">
        <f>IF(OR($B98="",$I98=""),"",$I98-IF($K98="",0,$K98))</f>
        <v/>
      </c>
      <c r="M98" s="22">
        <f>IF(OR($B98="",$L98="",$E98=0,$F98=0),"",$L98/($E98*$F98))</f>
        <v/>
      </c>
      <c r="N98" s="27">
        <f>IF($B98="","",IF($H98="","Open","Closed"))</f>
        <v/>
      </c>
      <c r="O98" s="23" t="inlineStr">
        <is>
          <t>Untagged</t>
        </is>
      </c>
    </row>
    <row r="99">
      <c r="A99" s="23" t="inlineStr">
        <is>
          <t>DHAN-23126090769809</t>
        </is>
      </c>
      <c r="B99" s="23" t="inlineStr">
        <is>
          <t>GNRL</t>
        </is>
      </c>
      <c r="C99" s="23" t="inlineStr">
        <is>
          <t>LONG</t>
        </is>
      </c>
      <c r="D99" s="24" t="n">
        <v>46272</v>
      </c>
      <c r="E99" s="25" t="n">
        <v>114.89</v>
      </c>
      <c r="F99" s="26" t="n">
        <v>1019</v>
      </c>
      <c r="G99" s="24" t="n">
        <v>46273</v>
      </c>
      <c r="H99" s="25" t="n">
        <v>107.5603</v>
      </c>
      <c r="I99" s="21">
        <f>IF(OR($B99="",$H99=""),"",IF($C99="LONG",($H99-$E99)*$F99,($E99-$H99)*$F99))</f>
        <v/>
      </c>
      <c r="J99" s="22">
        <f>IF(OR($B99="",$I99="",$E99=0,$F99=0),"",$I99/($E99*$F99))</f>
        <v/>
      </c>
      <c r="K99" s="4" t="n">
        <v>181.46</v>
      </c>
      <c r="L99" s="21">
        <f>IF(OR($B99="",$I99=""),"",$I99-IF($K99="",0,$K99))</f>
        <v/>
      </c>
      <c r="M99" s="22">
        <f>IF(OR($B99="",$L99="",$E99=0,$F99=0),"",$L99/($E99*$F99))</f>
        <v/>
      </c>
      <c r="N99" s="27">
        <f>IF($B99="","",IF($H99="","Open","Closed"))</f>
        <v/>
      </c>
      <c r="O99" s="23" t="inlineStr">
        <is>
          <t>Untagged</t>
        </is>
      </c>
    </row>
    <row r="100">
      <c r="A100" s="23" t="inlineStr">
        <is>
          <t>DHAN-221260908413109</t>
        </is>
      </c>
      <c r="B100" s="23" t="inlineStr">
        <is>
          <t>GNRL</t>
        </is>
      </c>
      <c r="C100" s="23" t="inlineStr">
        <is>
          <t>SHORT</t>
        </is>
      </c>
      <c r="D100" s="24" t="n">
        <v>46273</v>
      </c>
      <c r="E100" s="25" t="n">
        <v>107.3351</v>
      </c>
      <c r="F100" s="26" t="n">
        <v>1019</v>
      </c>
      <c r="G100" s="24" t="n">
        <v>46273</v>
      </c>
      <c r="H100" s="25" t="n">
        <v>107.6045</v>
      </c>
      <c r="I100" s="21">
        <f>IF(OR($B100="",$H100=""),"",IF($C100="LONG",($H100-$E100)*$F100,($E100-$H100)*$F100))</f>
        <v/>
      </c>
      <c r="J100" s="22">
        <f>IF(OR($B100="",$I100="",$E100=0,$F100=0),"",$I100/($E100*$F100))</f>
        <v/>
      </c>
      <c r="K100" s="4" t="n">
        <v>172.01</v>
      </c>
      <c r="L100" s="21">
        <f>IF(OR($B100="",$I100=""),"",$I100-IF($K100="",0,$K100))</f>
        <v/>
      </c>
      <c r="M100" s="22">
        <f>IF(OR($B100="",$L100="",$E100=0,$F100=0),"",$L100/($E100*$F100))</f>
        <v/>
      </c>
      <c r="N100" s="27">
        <f>IF($B100="","",IF($H100="","Open","Closed"))</f>
        <v/>
      </c>
      <c r="O100" s="23" t="inlineStr">
        <is>
          <t>Untagged</t>
        </is>
      </c>
    </row>
    <row r="101">
      <c r="A101" s="23" t="inlineStr">
        <is>
          <t>DHAN-23126090769609</t>
        </is>
      </c>
      <c r="B101" s="23" t="inlineStr">
        <is>
          <t>HIKAL</t>
        </is>
      </c>
      <c r="C101" s="23" t="inlineStr">
        <is>
          <t>LONG</t>
        </is>
      </c>
      <c r="D101" s="24" t="n">
        <v>46272</v>
      </c>
      <c r="E101" s="25" t="n">
        <v>242.9411</v>
      </c>
      <c r="F101" s="26" t="n">
        <v>959</v>
      </c>
      <c r="G101" s="24" t="n">
        <v>46273</v>
      </c>
      <c r="H101" s="25" t="n">
        <v>249.6418</v>
      </c>
      <c r="I101" s="21">
        <f>IF(OR($B101="",$H101=""),"",IF($C101="LONG",($H101-$E101)*$F101,($E101-$H101)*$F101))</f>
        <v/>
      </c>
      <c r="J101" s="22">
        <f>IF(OR($B101="",$I101="",$E101=0,$F101=0),"",$I101/($E101*$F101))</f>
        <v/>
      </c>
      <c r="K101" s="4" t="n">
        <v>430.76</v>
      </c>
      <c r="L101" s="21">
        <f>IF(OR($B101="",$I101=""),"",$I101-IF($K101="",0,$K101))</f>
        <v/>
      </c>
      <c r="M101" s="22">
        <f>IF(OR($B101="",$L101="",$E101=0,$F101=0),"",$L101/($E101*$F101))</f>
        <v/>
      </c>
      <c r="N101" s="27">
        <f>IF($B101="","",IF($H101="","Open","Closed"))</f>
        <v/>
      </c>
      <c r="O101" s="23" t="inlineStr">
        <is>
          <t>Untagged</t>
        </is>
      </c>
    </row>
    <row r="102">
      <c r="A102" s="23" t="inlineStr">
        <is>
          <t>DHAN-23126090817509</t>
        </is>
      </c>
      <c r="B102" s="23" t="inlineStr">
        <is>
          <t>HIKAL</t>
        </is>
      </c>
      <c r="C102" s="23" t="inlineStr">
        <is>
          <t>SHORT</t>
        </is>
      </c>
      <c r="D102" s="24" t="n">
        <v>46273</v>
      </c>
      <c r="E102" s="25" t="n">
        <v>250.9033</v>
      </c>
      <c r="F102" s="26" t="n">
        <v>959</v>
      </c>
      <c r="G102" s="24" t="n">
        <v>46273</v>
      </c>
      <c r="H102" s="25" t="n">
        <v>238.36</v>
      </c>
      <c r="I102" s="21">
        <f>IF(OR($B102="",$H102=""),"",IF($C102="LONG",($H102-$E102)*$F102,($E102-$H102)*$F102))</f>
        <v/>
      </c>
      <c r="J102" s="22">
        <f>IF(OR($B102="",$I102="",$E102=0,$F102=0),"",$I102/($E102*$F102))</f>
        <v/>
      </c>
      <c r="K102" s="4" t="n">
        <v>343.41</v>
      </c>
      <c r="L102" s="21">
        <f>IF(OR($B102="",$I102=""),"",$I102-IF($K102="",0,$K102))</f>
        <v/>
      </c>
      <c r="M102" s="22">
        <f>IF(OR($B102="",$L102="",$E102=0,$F102=0),"",$L102/($E102*$F102))</f>
        <v/>
      </c>
      <c r="N102" s="27">
        <f>IF($B102="","",IF($H102="","Open","Closed"))</f>
        <v/>
      </c>
      <c r="O102" s="23" t="inlineStr">
        <is>
          <t>Untagged</t>
        </is>
      </c>
    </row>
    <row r="103">
      <c r="A103" s="23" t="inlineStr">
        <is>
          <t>DHAN-23126090769709</t>
        </is>
      </c>
      <c r="B103" s="23" t="inlineStr">
        <is>
          <t>PITTIENG</t>
        </is>
      </c>
      <c r="C103" s="23" t="inlineStr">
        <is>
          <t>LONG</t>
        </is>
      </c>
      <c r="D103" s="24" t="n">
        <v>46272</v>
      </c>
      <c r="E103" s="25" t="n">
        <v>1174.901</v>
      </c>
      <c r="F103" s="26" t="n">
        <v>198</v>
      </c>
      <c r="G103" s="24" t="n">
        <v>46273</v>
      </c>
      <c r="H103" s="25" t="n">
        <v>1155.7843</v>
      </c>
      <c r="I103" s="21">
        <f>IF(OR($B103="",$H103=""),"",IF($C103="LONG",($H103-$E103)*$F103,($E103-$H103)*$F103))</f>
        <v/>
      </c>
      <c r="J103" s="22">
        <f>IF(OR($B103="",$I103="",$E103=0,$F103=0),"",$I103/($E103*$F103))</f>
        <v/>
      </c>
      <c r="K103" s="4" t="n">
        <v>487.6</v>
      </c>
      <c r="L103" s="21">
        <f>IF(OR($B103="",$I103=""),"",$I103-IF($K103="",0,$K103))</f>
        <v/>
      </c>
      <c r="M103" s="22">
        <f>IF(OR($B103="",$L103="",$E103=0,$F103=0),"",$L103/($E103*$F103))</f>
        <v/>
      </c>
      <c r="N103" s="27">
        <f>IF($B103="","",IF($H103="","Open","Closed"))</f>
        <v/>
      </c>
      <c r="O103" s="23" t="inlineStr">
        <is>
          <t>Untagged</t>
        </is>
      </c>
    </row>
    <row r="104">
      <c r="A104" s="23" t="inlineStr">
        <is>
          <t>DHAN-34126090837009</t>
        </is>
      </c>
      <c r="B104" s="23" t="inlineStr">
        <is>
          <t>PITTIENG</t>
        </is>
      </c>
      <c r="C104" s="23" t="inlineStr">
        <is>
          <t>SHORT</t>
        </is>
      </c>
      <c r="D104" s="24" t="n">
        <v>46273</v>
      </c>
      <c r="E104" s="25" t="n">
        <v>1156.1207</v>
      </c>
      <c r="F104" s="26" t="n">
        <v>198</v>
      </c>
      <c r="G104" s="24" t="n">
        <v>46273</v>
      </c>
      <c r="H104" s="25" t="n">
        <v>1175.9915</v>
      </c>
      <c r="I104" s="21">
        <f>IF(OR($B104="",$H104=""),"",IF($C104="LONG",($H104-$E104)*$F104,($E104-$H104)*$F104))</f>
        <v/>
      </c>
      <c r="J104" s="22">
        <f>IF(OR($B104="",$I104="",$E104=0,$F104=0),"",$I104/($E104*$F104))</f>
        <v/>
      </c>
      <c r="K104" s="4" t="n">
        <v>278.06</v>
      </c>
      <c r="L104" s="21">
        <f>IF(OR($B104="",$I104=""),"",$I104-IF($K104="",0,$K104))</f>
        <v/>
      </c>
      <c r="M104" s="22">
        <f>IF(OR($B104="",$L104="",$E104=0,$F104=0),"",$L104/($E104*$F104))</f>
        <v/>
      </c>
      <c r="N104" s="27">
        <f>IF($B104="","",IF($H104="","Open","Closed"))</f>
        <v/>
      </c>
      <c r="O104" s="23" t="inlineStr">
        <is>
          <t>Untagged</t>
        </is>
      </c>
    </row>
    <row r="105">
      <c r="A105" s="23" t="inlineStr">
        <is>
          <t>DHAN-211260907540809</t>
        </is>
      </c>
      <c r="B105" s="23" t="inlineStr">
        <is>
          <t>RML</t>
        </is>
      </c>
      <c r="C105" s="23" t="inlineStr">
        <is>
          <t>LONG</t>
        </is>
      </c>
      <c r="D105" s="24" t="n">
        <v>46272</v>
      </c>
      <c r="E105" s="25" t="n">
        <v>1397.9</v>
      </c>
      <c r="F105" s="26" t="n">
        <v>167</v>
      </c>
      <c r="G105" s="24" t="n">
        <v>46273</v>
      </c>
      <c r="H105" s="25" t="n">
        <v>1390.2426</v>
      </c>
      <c r="I105" s="21">
        <f>IF(OR($B105="",$H105=""),"",IF($C105="LONG",($H105-$E105)*$F105,($E105-$H105)*$F105))</f>
        <v/>
      </c>
      <c r="J105" s="22">
        <f>IF(OR($B105="",$I105="",$E105=0,$F105=0),"",$I105/($E105*$F105))</f>
        <v/>
      </c>
      <c r="K105" s="4" t="n">
        <v>311.54</v>
      </c>
      <c r="L105" s="21">
        <f>IF(OR($B105="",$I105=""),"",$I105-IF($K105="",0,$K105))</f>
        <v/>
      </c>
      <c r="M105" s="22">
        <f>IF(OR($B105="",$L105="",$E105=0,$F105=0),"",$L105/($E105*$F105))</f>
        <v/>
      </c>
      <c r="N105" s="27">
        <f>IF($B105="","",IF($H105="","Open","Closed"))</f>
        <v/>
      </c>
      <c r="O105" s="23" t="inlineStr">
        <is>
          <t>Untagged</t>
        </is>
      </c>
    </row>
    <row r="106">
      <c r="A106" s="23" t="inlineStr">
        <is>
          <t>DHAN-321260907804109</t>
        </is>
      </c>
      <c r="B106" s="23" t="inlineStr">
        <is>
          <t>TALBROAUTO</t>
        </is>
      </c>
      <c r="C106" s="23" t="inlineStr">
        <is>
          <t>LONG</t>
        </is>
      </c>
      <c r="D106" s="24" t="n">
        <v>46272</v>
      </c>
      <c r="E106" s="25" t="n">
        <v>433.5513</v>
      </c>
      <c r="F106" s="26" t="n">
        <v>538</v>
      </c>
      <c r="G106" s="24" t="n">
        <v>46273</v>
      </c>
      <c r="H106" s="25" t="n">
        <v>424.0808</v>
      </c>
      <c r="I106" s="21">
        <f>IF(OR($B106="",$H106=""),"",IF($C106="LONG",($H106-$E106)*$F106,($E106-$H106)*$F106))</f>
        <v/>
      </c>
      <c r="J106" s="22">
        <f>IF(OR($B106="",$I106="",$E106=0,$F106=0),"",$I106/($E106*$F106))</f>
        <v/>
      </c>
      <c r="K106" s="4" t="n">
        <v>487.69</v>
      </c>
      <c r="L106" s="21">
        <f>IF(OR($B106="",$I106=""),"",$I106-IF($K106="",0,$K106))</f>
        <v/>
      </c>
      <c r="M106" s="22">
        <f>IF(OR($B106="",$L106="",$E106=0,$F106=0),"",$L106/($E106*$F106))</f>
        <v/>
      </c>
      <c r="N106" s="27">
        <f>IF($B106="","",IF($H106="","Open","Closed"))</f>
        <v/>
      </c>
      <c r="O106" s="23" t="inlineStr">
        <is>
          <t>Untagged</t>
        </is>
      </c>
    </row>
    <row r="107">
      <c r="A107" s="23" t="inlineStr">
        <is>
          <t>DHAN-34126090836909</t>
        </is>
      </c>
      <c r="B107" s="23" t="inlineStr">
        <is>
          <t>TALBROAUTO</t>
        </is>
      </c>
      <c r="C107" s="23" t="inlineStr">
        <is>
          <t>SHORT</t>
        </is>
      </c>
      <c r="D107" s="24" t="n">
        <v>46273</v>
      </c>
      <c r="E107" s="25" t="n">
        <v>423.2118</v>
      </c>
      <c r="F107" s="26" t="n">
        <v>538</v>
      </c>
      <c r="G107" s="24" t="n">
        <v>46273</v>
      </c>
      <c r="H107" s="25" t="n">
        <v>423.5558</v>
      </c>
      <c r="I107" s="21">
        <f>IF(OR($B107="",$H107=""),"",IF($C107="LONG",($H107-$E107)*$F107,($E107-$H107)*$F107))</f>
        <v/>
      </c>
      <c r="J107" s="22">
        <f>IF(OR($B107="",$I107="",$E107=0,$F107=0),"",$I107/($E107*$F107))</f>
        <v/>
      </c>
      <c r="K107" s="4" t="n">
        <v>275.39</v>
      </c>
      <c r="L107" s="21">
        <f>IF(OR($B107="",$I107=""),"",$I107-IF($K107="",0,$K107))</f>
        <v/>
      </c>
      <c r="M107" s="22">
        <f>IF(OR($B107="",$L107="",$E107=0,$F107=0),"",$L107/($E107*$F107))</f>
        <v/>
      </c>
      <c r="N107" s="27">
        <f>IF($B107="","",IF($H107="","Open","Closed"))</f>
        <v/>
      </c>
      <c r="O107" s="23" t="inlineStr">
        <is>
          <t>Untagged</t>
        </is>
      </c>
    </row>
    <row r="108">
      <c r="A108" s="23" t="inlineStr">
        <is>
          <t>DHAN-34126090862909</t>
        </is>
      </c>
      <c r="B108" s="23" t="inlineStr">
        <is>
          <t>ANTELOPUS</t>
        </is>
      </c>
      <c r="C108" s="23" t="inlineStr">
        <is>
          <t>LONG</t>
        </is>
      </c>
      <c r="D108" s="24" t="n">
        <v>46273</v>
      </c>
      <c r="E108" s="25" t="n">
        <v>1102.5764</v>
      </c>
      <c r="F108" s="26" t="n">
        <v>91</v>
      </c>
      <c r="G108" s="24" t="n">
        <v>46274</v>
      </c>
      <c r="H108" s="25" t="n">
        <v>1138.4203</v>
      </c>
      <c r="I108" s="21">
        <f>IF(OR($B108="",$H108=""),"",IF($C108="LONG",($H108-$E108)*$F108,($E108-$H108)*$F108))</f>
        <v/>
      </c>
      <c r="J108" s="22">
        <f>IF(OR($B108="",$I108="",$E108=0,$F108=0),"",$I108/($E108*$F108))</f>
        <v/>
      </c>
      <c r="K108" s="4" t="n">
        <v>161.36</v>
      </c>
      <c r="L108" s="21">
        <f>IF(OR($B108="",$I108=""),"",$I108-IF($K108="",0,$K108))</f>
        <v/>
      </c>
      <c r="M108" s="22">
        <f>IF(OR($B108="",$L108="",$E108=0,$F108=0),"",$L108/($E108*$F108))</f>
        <v/>
      </c>
      <c r="N108" s="27">
        <f>IF($B108="","",IF($H108="","Open","Closed"))</f>
        <v/>
      </c>
      <c r="O108" s="23" t="inlineStr">
        <is>
          <t>Untagged</t>
        </is>
      </c>
    </row>
    <row r="109">
      <c r="A109" s="23" t="inlineStr">
        <is>
          <t>DHAN-321260909102909</t>
        </is>
      </c>
      <c r="B109" s="23" t="inlineStr">
        <is>
          <t>ANTELOPUS</t>
        </is>
      </c>
      <c r="C109" s="23" t="inlineStr">
        <is>
          <t>SHORT</t>
        </is>
      </c>
      <c r="D109" s="24" t="n">
        <v>46274</v>
      </c>
      <c r="E109" s="25" t="n">
        <v>1140.9686</v>
      </c>
      <c r="F109" s="26" t="n">
        <v>91</v>
      </c>
      <c r="G109" s="24" t="n">
        <v>46274</v>
      </c>
      <c r="H109" s="25" t="n">
        <v>1162.65</v>
      </c>
      <c r="I109" s="21">
        <f>IF(OR($B109="",$H109=""),"",IF($C109="LONG",($H109-$E109)*$F109,($E109-$H109)*$F109))</f>
        <v/>
      </c>
      <c r="J109" s="22">
        <f>IF(OR($B109="",$I109="",$E109=0,$F109=0),"",$I109/($E109*$F109))</f>
        <v/>
      </c>
      <c r="K109" s="4" t="n">
        <v>126.99</v>
      </c>
      <c r="L109" s="21">
        <f>IF(OR($B109="",$I109=""),"",$I109-IF($K109="",0,$K109))</f>
        <v/>
      </c>
      <c r="M109" s="22">
        <f>IF(OR($B109="",$L109="",$E109=0,$F109=0),"",$L109/($E109*$F109))</f>
        <v/>
      </c>
      <c r="N109" s="27">
        <f>IF($B109="","",IF($H109="","Open","Closed"))</f>
        <v/>
      </c>
      <c r="O109" s="23" t="inlineStr">
        <is>
          <t>Untagged</t>
        </is>
      </c>
    </row>
    <row r="110">
      <c r="A110" s="23" t="inlineStr">
        <is>
          <t>DHAN-221260908659309</t>
        </is>
      </c>
      <c r="B110" s="23" t="inlineStr">
        <is>
          <t>BCG</t>
        </is>
      </c>
      <c r="C110" s="23" t="inlineStr">
        <is>
          <t>LONG</t>
        </is>
      </c>
      <c r="D110" s="24" t="n">
        <v>46273</v>
      </c>
      <c r="E110" s="25" t="n">
        <v>10.548</v>
      </c>
      <c r="F110" s="26" t="n">
        <v>9469</v>
      </c>
      <c r="G110" s="24" t="n">
        <v>46274</v>
      </c>
      <c r="H110" s="25" t="n">
        <v>10.7</v>
      </c>
      <c r="I110" s="21">
        <f>IF(OR($B110="",$H110=""),"",IF($C110="LONG",($H110-$E110)*$F110,($E110-$H110)*$F110))</f>
        <v/>
      </c>
      <c r="J110" s="22">
        <f>IF(OR($B110="",$I110="",$E110=0,$F110=0),"",$I110/($E110*$F110))</f>
        <v/>
      </c>
      <c r="K110" s="4" t="n">
        <v>185.66</v>
      </c>
      <c r="L110" s="21">
        <f>IF(OR($B110="",$I110=""),"",$I110-IF($K110="",0,$K110))</f>
        <v/>
      </c>
      <c r="M110" s="22">
        <f>IF(OR($B110="",$L110="",$E110=0,$F110=0),"",$L110/($E110*$F110))</f>
        <v/>
      </c>
      <c r="N110" s="27">
        <f>IF($B110="","",IF($H110="","Open","Closed"))</f>
        <v/>
      </c>
      <c r="O110" s="23" t="inlineStr">
        <is>
          <t>Untagged</t>
        </is>
      </c>
    </row>
    <row r="111">
      <c r="A111" s="23" t="inlineStr">
        <is>
          <t>DHAN-321260909102809</t>
        </is>
      </c>
      <c r="B111" s="23" t="inlineStr">
        <is>
          <t>BCG</t>
        </is>
      </c>
      <c r="C111" s="23" t="inlineStr">
        <is>
          <t>SHORT</t>
        </is>
      </c>
      <c r="D111" s="24" t="n">
        <v>46274</v>
      </c>
      <c r="E111" s="25" t="n">
        <v>10.7</v>
      </c>
      <c r="F111" s="26" t="n">
        <v>9469</v>
      </c>
      <c r="G111" s="24" t="n">
        <v>46274</v>
      </c>
      <c r="H111" s="25" t="n">
        <v>10.16</v>
      </c>
      <c r="I111" s="21">
        <f>IF(OR($B111="",$H111=""),"",IF($C111="LONG",($H111-$E111)*$F111,($E111-$H111)*$F111))</f>
        <v/>
      </c>
      <c r="J111" s="22">
        <f>IF(OR($B111="",$I111="",$E111=0,$F111=0),"",$I111/($E111*$F111))</f>
        <v/>
      </c>
      <c r="K111" s="4" t="n">
        <v>133.49</v>
      </c>
      <c r="L111" s="21">
        <f>IF(OR($B111="",$I111=""),"",$I111-IF($K111="",0,$K111))</f>
        <v/>
      </c>
      <c r="M111" s="22">
        <f>IF(OR($B111="",$L111="",$E111=0,$F111=0),"",$L111/($E111*$F111))</f>
        <v/>
      </c>
      <c r="N111" s="27">
        <f>IF($B111="","",IF($H111="","Open","Closed"))</f>
        <v/>
      </c>
      <c r="O111" s="23" t="inlineStr">
        <is>
          <t>Untagged</t>
        </is>
      </c>
    </row>
    <row r="112">
      <c r="A112" s="23" t="inlineStr">
        <is>
          <t>DHAN-34126090863109</t>
        </is>
      </c>
      <c r="B112" s="23" t="inlineStr">
        <is>
          <t>NOVARTIND</t>
        </is>
      </c>
      <c r="C112" s="23" t="inlineStr">
        <is>
          <t>LONG</t>
        </is>
      </c>
      <c r="D112" s="24" t="n">
        <v>46273</v>
      </c>
      <c r="E112" s="25" t="n">
        <v>1830.287</v>
      </c>
      <c r="F112" s="26" t="n">
        <v>54</v>
      </c>
      <c r="G112" s="24" t="n">
        <v>46274</v>
      </c>
      <c r="H112" s="25" t="n">
        <v>1990.874</v>
      </c>
      <c r="I112" s="21">
        <f>IF(OR($B112="",$H112=""),"",IF($C112="LONG",($H112-$E112)*$F112,($E112-$H112)*$F112))</f>
        <v/>
      </c>
      <c r="J112" s="22">
        <f>IF(OR($B112="",$I112="",$E112=0,$F112=0),"",$I112/($E112*$F112))</f>
        <v/>
      </c>
      <c r="K112" s="4" t="n">
        <v>187.34</v>
      </c>
      <c r="L112" s="21">
        <f>IF(OR($B112="",$I112=""),"",$I112-IF($K112="",0,$K112))</f>
        <v/>
      </c>
      <c r="M112" s="22">
        <f>IF(OR($B112="",$L112="",$E112=0,$F112=0),"",$L112/($E112*$F112))</f>
        <v/>
      </c>
      <c r="N112" s="27">
        <f>IF($B112="","",IF($H112="","Open","Closed"))</f>
        <v/>
      </c>
      <c r="O112" s="23" t="inlineStr">
        <is>
          <t>Untagged</t>
        </is>
      </c>
    </row>
    <row r="113">
      <c r="A113" s="23" t="inlineStr">
        <is>
          <t>DHAN-221260909100409</t>
        </is>
      </c>
      <c r="B113" s="23" t="inlineStr">
        <is>
          <t>NOVARTIND</t>
        </is>
      </c>
      <c r="C113" s="23" t="inlineStr">
        <is>
          <t>SHORT</t>
        </is>
      </c>
      <c r="D113" s="24" t="n">
        <v>46274</v>
      </c>
      <c r="E113" s="25" t="n">
        <v>1982.2908</v>
      </c>
      <c r="F113" s="26" t="n">
        <v>54</v>
      </c>
      <c r="G113" s="24" t="n">
        <v>46274</v>
      </c>
      <c r="H113" s="25" t="n">
        <v>2159.2258</v>
      </c>
      <c r="I113" s="21">
        <f>IF(OR($B113="",$H113=""),"",IF($C113="LONG",($H113-$E113)*$F113,($E113-$H113)*$F113))</f>
        <v/>
      </c>
      <c r="J113" s="22">
        <f>IF(OR($B113="",$I113="",$E113=0,$F113=0),"",$I113/($E113*$F113))</f>
        <v/>
      </c>
      <c r="K113" s="4" t="n">
        <v>145.85</v>
      </c>
      <c r="L113" s="21">
        <f>IF(OR($B113="",$I113=""),"",$I113-IF($K113="",0,$K113))</f>
        <v/>
      </c>
      <c r="M113" s="22">
        <f>IF(OR($B113="",$L113="",$E113=0,$F113=0),"",$L113/($E113*$F113))</f>
        <v/>
      </c>
      <c r="N113" s="27">
        <f>IF($B113="","",IF($H113="","Open","Closed"))</f>
        <v/>
      </c>
      <c r="O113" s="23" t="inlineStr">
        <is>
          <t>Untagged</t>
        </is>
      </c>
    </row>
    <row r="114">
      <c r="A114" s="23" t="inlineStr">
        <is>
          <t>DHAN-23126090859209</t>
        </is>
      </c>
      <c r="B114" s="23" t="inlineStr">
        <is>
          <t>SYMPHONY</t>
        </is>
      </c>
      <c r="C114" s="23" t="inlineStr">
        <is>
          <t>LONG</t>
        </is>
      </c>
      <c r="D114" s="24" t="n">
        <v>46273</v>
      </c>
      <c r="E114" s="25" t="n">
        <v>614</v>
      </c>
      <c r="F114" s="26" t="n">
        <v>324</v>
      </c>
      <c r="G114" s="24" t="n">
        <v>46274</v>
      </c>
      <c r="H114" s="25" t="n">
        <v>614.6335</v>
      </c>
      <c r="I114" s="21">
        <f>IF(OR($B114="",$H114=""),"",IF($C114="LONG",($H114-$E114)*$F114,($E114-$H114)*$F114))</f>
        <v/>
      </c>
      <c r="J114" s="22">
        <f>IF(OR($B114="",$I114="",$E114=0,$F114=0),"",$I114/($E114*$F114))</f>
        <v/>
      </c>
      <c r="K114" s="4" t="n">
        <v>437.61</v>
      </c>
      <c r="L114" s="21">
        <f>IF(OR($B114="",$I114=""),"",$I114-IF($K114="",0,$K114))</f>
        <v/>
      </c>
      <c r="M114" s="22">
        <f>IF(OR($B114="",$L114="",$E114=0,$F114=0),"",$L114/($E114*$F114))</f>
        <v/>
      </c>
      <c r="N114" s="27">
        <f>IF($B114="","",IF($H114="","Open","Closed"))</f>
        <v/>
      </c>
      <c r="O114" s="23" t="inlineStr">
        <is>
          <t>Untagged</t>
        </is>
      </c>
    </row>
    <row r="115">
      <c r="A115" s="23" t="inlineStr">
        <is>
          <t>DHAN-34126090953709</t>
        </is>
      </c>
      <c r="B115" s="23" t="inlineStr">
        <is>
          <t>SYMPHONY</t>
        </is>
      </c>
      <c r="C115" s="23" t="inlineStr">
        <is>
          <t>SHORT</t>
        </is>
      </c>
      <c r="D115" s="24" t="n">
        <v>46274</v>
      </c>
      <c r="E115" s="25" t="n">
        <v>613.9752</v>
      </c>
      <c r="F115" s="26" t="n">
        <v>324</v>
      </c>
      <c r="G115" s="24" t="n">
        <v>46274</v>
      </c>
      <c r="H115" s="25" t="n">
        <v>616.5076</v>
      </c>
      <c r="I115" s="21">
        <f>IF(OR($B115="",$H115=""),"",IF($C115="LONG",($H115-$E115)*$F115,($E115-$H115)*$F115))</f>
        <v/>
      </c>
      <c r="J115" s="22">
        <f>IF(OR($B115="",$I115="",$E115=0,$F115=0),"",$I115/($E115*$F115))</f>
        <v/>
      </c>
      <c r="K115" s="4" t="n">
        <v>243.77</v>
      </c>
      <c r="L115" s="21">
        <f>IF(OR($B115="",$I115=""),"",$I115-IF($K115="",0,$K115))</f>
        <v/>
      </c>
      <c r="M115" s="22">
        <f>IF(OR($B115="",$L115="",$E115=0,$F115=0),"",$L115/($E115*$F115))</f>
        <v/>
      </c>
      <c r="N115" s="27">
        <f>IF($B115="","",IF($H115="","Open","Closed"))</f>
        <v/>
      </c>
      <c r="O115" s="23" t="inlineStr">
        <is>
          <t>Untagged</t>
        </is>
      </c>
    </row>
    <row r="116">
      <c r="A116" s="23" t="inlineStr">
        <is>
          <t>DHAN-23126090859309</t>
        </is>
      </c>
      <c r="B116" s="23" t="inlineStr">
        <is>
          <t>VENUSPIPES</t>
        </is>
      </c>
      <c r="C116" s="23" t="inlineStr">
        <is>
          <t>LONG</t>
        </is>
      </c>
      <c r="D116" s="24" t="n">
        <v>46273</v>
      </c>
      <c r="E116" s="25" t="n">
        <v>1954.9</v>
      </c>
      <c r="F116" s="26" t="n">
        <v>102</v>
      </c>
      <c r="G116" s="24" t="n">
        <v>46274</v>
      </c>
      <c r="H116" s="25" t="n">
        <v>1990.0922</v>
      </c>
      <c r="I116" s="21">
        <f>IF(OR($B116="",$H116=""),"",IF($C116="LONG",($H116-$E116)*$F116,($E116-$H116)*$F116))</f>
        <v/>
      </c>
      <c r="J116" s="22">
        <f>IF(OR($B116="",$I116="",$E116=0,$F116=0),"",$I116/($E116*$F116))</f>
        <v/>
      </c>
      <c r="K116" s="4" t="n">
        <v>382.63</v>
      </c>
      <c r="L116" s="21">
        <f>IF(OR($B116="",$I116=""),"",$I116-IF($K116="",0,$K116))</f>
        <v/>
      </c>
      <c r="M116" s="22">
        <f>IF(OR($B116="",$L116="",$E116=0,$F116=0),"",$L116/($E116*$F116))</f>
        <v/>
      </c>
      <c r="N116" s="27">
        <f>IF($B116="","",IF($H116="","Open","Closed"))</f>
        <v/>
      </c>
      <c r="O116" s="23" t="inlineStr">
        <is>
          <t>Untagged</t>
        </is>
      </c>
    </row>
    <row r="117">
      <c r="A117" s="23" t="inlineStr">
        <is>
          <t>DHAN-221260909100309</t>
        </is>
      </c>
      <c r="B117" s="23" t="inlineStr">
        <is>
          <t>VENUSPIPES</t>
        </is>
      </c>
      <c r="C117" s="23" t="inlineStr">
        <is>
          <t>SHORT</t>
        </is>
      </c>
      <c r="D117" s="24" t="n">
        <v>46274</v>
      </c>
      <c r="E117" s="25" t="n">
        <v>1987.3264</v>
      </c>
      <c r="F117" s="26" t="n">
        <v>102</v>
      </c>
      <c r="G117" s="24" t="n">
        <v>46274</v>
      </c>
      <c r="H117" s="25" t="n">
        <v>1943.597</v>
      </c>
      <c r="I117" s="21">
        <f>IF(OR($B117="",$H117=""),"",IF($C117="LONG",($H117-$E117)*$F117,($E117-$H117)*$F117))</f>
        <v/>
      </c>
      <c r="J117" s="22">
        <f>IF(OR($B117="",$I117="",$E117=0,$F117=0),"",$I117/($E117*$F117))</f>
        <v/>
      </c>
      <c r="K117" s="4" t="n">
        <v>296.19</v>
      </c>
      <c r="L117" s="21">
        <f>IF(OR($B117="",$I117=""),"",$I117-IF($K117="",0,$K117))</f>
        <v/>
      </c>
      <c r="M117" s="22">
        <f>IF(OR($B117="",$L117="",$E117=0,$F117=0),"",$L117/($E117*$F117))</f>
        <v/>
      </c>
      <c r="N117" s="27">
        <f>IF($B117="","",IF($H117="","Open","Closed"))</f>
        <v/>
      </c>
      <c r="O117" s="23" t="inlineStr">
        <is>
          <t>Untagged</t>
        </is>
      </c>
    </row>
    <row r="118">
      <c r="A118" s="23" t="inlineStr">
        <is>
          <t>DHAN-321260909716709</t>
        </is>
      </c>
      <c r="B118" s="23" t="inlineStr">
        <is>
          <t>ANTELOPUS</t>
        </is>
      </c>
      <c r="C118" s="23" t="inlineStr">
        <is>
          <t>LONG</t>
        </is>
      </c>
      <c r="D118" s="24" t="n">
        <v>46274</v>
      </c>
      <c r="E118" s="25" t="n">
        <v>1162.9767</v>
      </c>
      <c r="F118" s="26" t="n">
        <v>75</v>
      </c>
      <c r="G118" s="24" t="n">
        <v>46275</v>
      </c>
      <c r="H118" s="25" t="n">
        <v>1137.85</v>
      </c>
      <c r="I118" s="21">
        <f>IF(OR($B118="",$H118=""),"",IF($C118="LONG",($H118-$E118)*$F118,($E118-$H118)*$F118))</f>
        <v/>
      </c>
      <c r="J118" s="22">
        <f>IF(OR($B118="",$I118="",$E118=0,$F118=0),"",$I118/($E118*$F118))</f>
        <v/>
      </c>
      <c r="K118" s="4" t="n">
        <v>68.40000000000001</v>
      </c>
      <c r="L118" s="21">
        <f>IF(OR($B118="",$I118=""),"",$I118-IF($K118="",0,$K118))</f>
        <v/>
      </c>
      <c r="M118" s="22">
        <f>IF(OR($B118="",$L118="",$E118=0,$F118=0),"",$L118/($E118*$F118))</f>
        <v/>
      </c>
      <c r="N118" s="27">
        <f>IF($B118="","",IF($H118="","Open","Closed"))</f>
        <v/>
      </c>
      <c r="O118" s="23" t="inlineStr">
        <is>
          <t>Untagged</t>
        </is>
      </c>
    </row>
    <row r="119">
      <c r="A119" s="23" t="inlineStr">
        <is>
          <t>DHAN-23126091046509</t>
        </is>
      </c>
      <c r="B119" s="23" t="inlineStr">
        <is>
          <t>ANTELOPUS</t>
        </is>
      </c>
      <c r="C119" s="23" t="inlineStr">
        <is>
          <t>SHORT</t>
        </is>
      </c>
      <c r="D119" s="24" t="n">
        <v>46275</v>
      </c>
      <c r="E119" s="25" t="n">
        <v>1137.38</v>
      </c>
      <c r="F119" s="26" t="n">
        <v>75</v>
      </c>
      <c r="G119" s="24" t="n">
        <v>46275</v>
      </c>
      <c r="H119" s="25" t="n">
        <v>1134.24</v>
      </c>
      <c r="I119" s="21">
        <f>IF(OR($B119="",$H119=""),"",IF($C119="LONG",($H119-$E119)*$F119,($E119-$H119)*$F119))</f>
        <v/>
      </c>
      <c r="J119" s="22">
        <f>IF(OR($B119="",$I119="",$E119=0,$F119=0),"",$I119/($E119*$F119))</f>
        <v/>
      </c>
      <c r="K119" s="4" t="n">
        <v>139.07</v>
      </c>
      <c r="L119" s="21">
        <f>IF(OR($B119="",$I119=""),"",$I119-IF($K119="",0,$K119))</f>
        <v/>
      </c>
      <c r="M119" s="22">
        <f>IF(OR($B119="",$L119="",$E119=0,$F119=0),"",$L119/($E119*$F119))</f>
        <v/>
      </c>
      <c r="N119" s="27">
        <f>IF($B119="","",IF($H119="","Open","Closed"))</f>
        <v/>
      </c>
      <c r="O119" s="23" t="inlineStr">
        <is>
          <t>Untagged</t>
        </is>
      </c>
    </row>
    <row r="120">
      <c r="A120" s="23" t="inlineStr">
        <is>
          <t>DHAN-34126090981309</t>
        </is>
      </c>
      <c r="B120" s="23" t="inlineStr">
        <is>
          <t>EIEL</t>
        </is>
      </c>
      <c r="C120" s="23" t="inlineStr">
        <is>
          <t>LONG</t>
        </is>
      </c>
      <c r="D120" s="24" t="n">
        <v>46274</v>
      </c>
      <c r="E120" s="25" t="n">
        <v>206.0991</v>
      </c>
      <c r="F120" s="26" t="n">
        <v>847</v>
      </c>
      <c r="G120" s="24" t="n">
        <v>46275</v>
      </c>
      <c r="H120" s="25" t="n">
        <v>213.8</v>
      </c>
      <c r="I120" s="21">
        <f>IF(OR($B120="",$H120=""),"",IF($C120="LONG",($H120-$E120)*$F120,($E120-$H120)*$F120))</f>
        <v/>
      </c>
      <c r="J120" s="22">
        <f>IF(OR($B120="",$I120="",$E120=0,$F120=0),"",$I120/($E120*$F120))</f>
        <v/>
      </c>
      <c r="K120" s="4" t="n">
        <v>394.46</v>
      </c>
      <c r="L120" s="21">
        <f>IF(OR($B120="",$I120=""),"",$I120-IF($K120="",0,$K120))</f>
        <v/>
      </c>
      <c r="M120" s="22">
        <f>IF(OR($B120="",$L120="",$E120=0,$F120=0),"",$L120/($E120*$F120))</f>
        <v/>
      </c>
      <c r="N120" s="27">
        <f>IF($B120="","",IF($H120="","Open","Closed"))</f>
        <v/>
      </c>
      <c r="O120" s="23" t="inlineStr">
        <is>
          <t>Untagged</t>
        </is>
      </c>
    </row>
    <row r="121">
      <c r="A121" s="23" t="inlineStr">
        <is>
          <t>DHAN-34126091019209</t>
        </is>
      </c>
      <c r="B121" s="23" t="inlineStr">
        <is>
          <t>EIEL</t>
        </is>
      </c>
      <c r="C121" s="23" t="inlineStr">
        <is>
          <t>SHORT</t>
        </is>
      </c>
      <c r="D121" s="24" t="n">
        <v>46275</v>
      </c>
      <c r="E121" s="25" t="n">
        <v>213.59</v>
      </c>
      <c r="F121" s="26" t="n">
        <v>847</v>
      </c>
      <c r="G121" s="24" t="n">
        <v>46275</v>
      </c>
      <c r="H121" s="25" t="n">
        <v>213.18</v>
      </c>
      <c r="I121" s="21">
        <f>IF(OR($B121="",$H121=""),"",IF($C121="LONG",($H121-$E121)*$F121,($E121-$H121)*$F121))</f>
        <v/>
      </c>
      <c r="J121" s="22">
        <f>IF(OR($B121="",$I121="",$E121=0,$F121=0),"",$I121/($E121*$F121))</f>
        <v/>
      </c>
      <c r="K121" s="4" t="n">
        <v>223.4</v>
      </c>
      <c r="L121" s="21">
        <f>IF(OR($B121="",$I121=""),"",$I121-IF($K121="",0,$K121))</f>
        <v/>
      </c>
      <c r="M121" s="22">
        <f>IF(OR($B121="",$L121="",$E121=0,$F121=0),"",$L121/($E121*$F121))</f>
        <v/>
      </c>
      <c r="N121" s="27">
        <f>IF($B121="","",IF($H121="","Open","Closed"))</f>
        <v/>
      </c>
      <c r="O121" s="23" t="inlineStr">
        <is>
          <t>Untagged</t>
        </is>
      </c>
    </row>
    <row r="122">
      <c r="A122" s="23" t="inlineStr">
        <is>
          <t>DHAN-34126090980209</t>
        </is>
      </c>
      <c r="B122" s="23" t="inlineStr">
        <is>
          <t>INDNIPPON</t>
        </is>
      </c>
      <c r="C122" s="23" t="inlineStr">
        <is>
          <t>LONG</t>
        </is>
      </c>
      <c r="D122" s="24" t="n">
        <v>46274</v>
      </c>
      <c r="E122" s="25" t="n">
        <v>1340</v>
      </c>
      <c r="F122" s="26" t="n">
        <v>207</v>
      </c>
      <c r="G122" s="24" t="n">
        <v>46275</v>
      </c>
      <c r="H122" s="25" t="n">
        <v>1460.09</v>
      </c>
      <c r="I122" s="21">
        <f>IF(OR($B122="",$H122=""),"",IF($C122="LONG",($H122-$E122)*$F122,($E122-$H122)*$F122))</f>
        <v/>
      </c>
      <c r="J122" s="22">
        <f>IF(OR($B122="",$I122="",$E122=0,$F122=0),"",$I122/($E122*$F122))</f>
        <v/>
      </c>
      <c r="K122" s="4" t="n">
        <v>494.15</v>
      </c>
      <c r="L122" s="21">
        <f>IF(OR($B122="",$I122=""),"",$I122-IF($K122="",0,$K122))</f>
        <v/>
      </c>
      <c r="M122" s="22">
        <f>IF(OR($B122="",$L122="",$E122=0,$F122=0),"",$L122/($E122*$F122))</f>
        <v/>
      </c>
      <c r="N122" s="27">
        <f>IF($B122="","",IF($H122="","Open","Closed"))</f>
        <v/>
      </c>
      <c r="O122" s="23" t="inlineStr">
        <is>
          <t>Untagged</t>
        </is>
      </c>
    </row>
    <row r="123">
      <c r="A123" s="23" t="inlineStr">
        <is>
          <t>DHAN-32126091099109</t>
        </is>
      </c>
      <c r="B123" s="23" t="inlineStr">
        <is>
          <t>INDNIPPON</t>
        </is>
      </c>
      <c r="C123" s="23" t="inlineStr">
        <is>
          <t>SHORT</t>
        </is>
      </c>
      <c r="D123" s="24" t="n">
        <v>46275</v>
      </c>
      <c r="E123" s="25" t="n">
        <v>1456.15</v>
      </c>
      <c r="F123" s="26" t="n">
        <v>207</v>
      </c>
      <c r="G123" s="24" t="n">
        <v>46275</v>
      </c>
      <c r="H123" s="25" t="n">
        <v>1552.9169</v>
      </c>
      <c r="I123" s="21">
        <f>IF(OR($B123="",$H123=""),"",IF($C123="LONG",($H123-$E123)*$F123,($E123-$H123)*$F123))</f>
        <v/>
      </c>
      <c r="J123" s="22">
        <f>IF(OR($B123="",$I123="",$E123=0,$F123=0),"",$I123/($E123*$F123))</f>
        <v/>
      </c>
      <c r="K123" s="4" t="n">
        <v>442.09</v>
      </c>
      <c r="L123" s="21">
        <f>IF(OR($B123="",$I123=""),"",$I123-IF($K123="",0,$K123))</f>
        <v/>
      </c>
      <c r="M123" s="22">
        <f>IF(OR($B123="",$L123="",$E123=0,$F123=0),"",$L123/($E123*$F123))</f>
        <v/>
      </c>
      <c r="N123" s="27">
        <f>IF($B123="","",IF($H123="","Open","Closed"))</f>
        <v/>
      </c>
      <c r="O123" s="23" t="inlineStr">
        <is>
          <t>Untagged</t>
        </is>
      </c>
    </row>
    <row r="124">
      <c r="A124" s="23" t="inlineStr">
        <is>
          <t>DHAN-34126090981209</t>
        </is>
      </c>
      <c r="B124" s="23" t="inlineStr">
        <is>
          <t>INDORAMA</t>
        </is>
      </c>
      <c r="C124" s="23" t="inlineStr">
        <is>
          <t>LONG</t>
        </is>
      </c>
      <c r="D124" s="24" t="n">
        <v>46274</v>
      </c>
      <c r="E124" s="25" t="n">
        <v>85.4701</v>
      </c>
      <c r="F124" s="26" t="n">
        <v>1022</v>
      </c>
      <c r="G124" s="24" t="n">
        <v>46275</v>
      </c>
      <c r="H124" s="25" t="n">
        <v>87.33</v>
      </c>
      <c r="I124" s="21">
        <f>IF(OR($B124="",$H124=""),"",IF($C124="LONG",($H124-$E124)*$F124,($E124-$H124)*$F124))</f>
        <v/>
      </c>
      <c r="J124" s="22">
        <f>IF(OR($B124="",$I124="",$E124=0,$F124=0),"",$I124/($E124*$F124))</f>
        <v/>
      </c>
      <c r="K124" s="4" t="n">
        <v>145.41</v>
      </c>
      <c r="L124" s="21">
        <f>IF(OR($B124="",$I124=""),"",$I124-IF($K124="",0,$K124))</f>
        <v/>
      </c>
      <c r="M124" s="22">
        <f>IF(OR($B124="",$L124="",$E124=0,$F124=0),"",$L124/($E124*$F124))</f>
        <v/>
      </c>
      <c r="N124" s="27">
        <f>IF($B124="","",IF($H124="","Open","Closed"))</f>
        <v/>
      </c>
      <c r="O124" s="23" t="inlineStr">
        <is>
          <t>Untagged</t>
        </is>
      </c>
    </row>
    <row r="125">
      <c r="A125" s="23" t="inlineStr">
        <is>
          <t>DHAN-221260910389009</t>
        </is>
      </c>
      <c r="B125" s="23" t="inlineStr">
        <is>
          <t>INDORAMA</t>
        </is>
      </c>
      <c r="C125" s="23" t="inlineStr">
        <is>
          <t>SHORT</t>
        </is>
      </c>
      <c r="D125" s="24" t="n">
        <v>46275</v>
      </c>
      <c r="E125" s="25" t="n">
        <v>87.26000000000001</v>
      </c>
      <c r="F125" s="26" t="n">
        <v>1022</v>
      </c>
      <c r="G125" s="24" t="n">
        <v>46275</v>
      </c>
      <c r="H125" s="25" t="n">
        <v>84.66</v>
      </c>
      <c r="I125" s="21">
        <f>IF(OR($B125="",$H125=""),"",IF($C125="LONG",($H125-$E125)*$F125,($E125-$H125)*$F125))</f>
        <v/>
      </c>
      <c r="J125" s="22">
        <f>IF(OR($B125="",$I125="",$E125=0,$F125=0),"",$I125/($E125*$F125))</f>
        <v/>
      </c>
      <c r="K125" s="4" t="n">
        <v>143.17</v>
      </c>
      <c r="L125" s="21">
        <f>IF(OR($B125="",$I125=""),"",$I125-IF($K125="",0,$K125))</f>
        <v/>
      </c>
      <c r="M125" s="22">
        <f>IF(OR($B125="",$L125="",$E125=0,$F125=0),"",$L125/($E125*$F125))</f>
        <v/>
      </c>
      <c r="N125" s="27">
        <f>IF($B125="","",IF($H125="","Open","Closed"))</f>
        <v/>
      </c>
      <c r="O125" s="23" t="inlineStr">
        <is>
          <t>Untagged</t>
        </is>
      </c>
    </row>
    <row r="126">
      <c r="A126" s="23" t="inlineStr">
        <is>
          <t>DHAN-221260909672309</t>
        </is>
      </c>
      <c r="B126" s="23" t="inlineStr">
        <is>
          <t>RESPONIND</t>
        </is>
      </c>
      <c r="C126" s="23" t="inlineStr">
        <is>
          <t>LONG</t>
        </is>
      </c>
      <c r="D126" s="24" t="n">
        <v>46274</v>
      </c>
      <c r="E126" s="25" t="n">
        <v>169.585</v>
      </c>
      <c r="F126" s="26" t="n">
        <v>1026</v>
      </c>
      <c r="G126" s="24" t="n">
        <v>46275</v>
      </c>
      <c r="H126" s="25" t="n">
        <v>172.17</v>
      </c>
      <c r="I126" s="21">
        <f>IF(OR($B126="",$H126=""),"",IF($C126="LONG",($H126-$E126)*$F126,($E126-$H126)*$F126))</f>
        <v/>
      </c>
      <c r="J126" s="22">
        <f>IF(OR($B126="",$I126="",$E126=0,$F126=0),"",$I126/($E126*$F126))</f>
        <v/>
      </c>
      <c r="K126" s="4" t="n">
        <v>391.72</v>
      </c>
      <c r="L126" s="21">
        <f>IF(OR($B126="",$I126=""),"",$I126-IF($K126="",0,$K126))</f>
        <v/>
      </c>
      <c r="M126" s="22">
        <f>IF(OR($B126="",$L126="",$E126=0,$F126=0),"",$L126/($E126*$F126))</f>
        <v/>
      </c>
      <c r="N126" s="27">
        <f>IF($B126="","",IF($H126="","Open","Closed"))</f>
        <v/>
      </c>
      <c r="O126" s="23" t="inlineStr">
        <is>
          <t>Untagged</t>
        </is>
      </c>
    </row>
    <row r="127">
      <c r="A127" s="23" t="inlineStr">
        <is>
          <t>DHAN-23126091046609</t>
        </is>
      </c>
      <c r="B127" s="23" t="inlineStr">
        <is>
          <t>RESPONIND</t>
        </is>
      </c>
      <c r="C127" s="23" t="inlineStr">
        <is>
          <t>SHORT</t>
        </is>
      </c>
      <c r="D127" s="24" t="n">
        <v>46275</v>
      </c>
      <c r="E127" s="25" t="n">
        <v>172.11</v>
      </c>
      <c r="F127" s="26" t="n">
        <v>1026</v>
      </c>
      <c r="G127" s="24" t="n">
        <v>46275</v>
      </c>
      <c r="H127" s="25" t="n">
        <v>171.29</v>
      </c>
      <c r="I127" s="21">
        <f>IF(OR($B127="",$H127=""),"",IF($C127="LONG",($H127-$E127)*$F127,($E127-$H127)*$F127))</f>
        <v/>
      </c>
      <c r="J127" s="22">
        <f>IF(OR($B127="",$I127="",$E127=0,$F127=0),"",$I127/($E127*$F127))</f>
        <v/>
      </c>
      <c r="K127" s="4" t="n">
        <v>218.38</v>
      </c>
      <c r="L127" s="21">
        <f>IF(OR($B127="",$I127=""),"",$I127-IF($K127="",0,$K127))</f>
        <v/>
      </c>
      <c r="M127" s="22">
        <f>IF(OR($B127="",$L127="",$E127=0,$F127=0),"",$L127/($E127*$F127))</f>
        <v/>
      </c>
      <c r="N127" s="27">
        <f>IF($B127="","",IF($H127="","Open","Closed"))</f>
        <v/>
      </c>
      <c r="O127" s="23" t="inlineStr">
        <is>
          <t>Untagged</t>
        </is>
      </c>
    </row>
    <row r="128">
      <c r="A128" s="23" t="inlineStr">
        <is>
          <t>DHAN-23126090989309</t>
        </is>
      </c>
      <c r="B128" s="23" t="inlineStr">
        <is>
          <t>SHAREINDIA</t>
        </is>
      </c>
      <c r="C128" s="23" t="inlineStr">
        <is>
          <t>LONG</t>
        </is>
      </c>
      <c r="D128" s="24" t="n">
        <v>46274</v>
      </c>
      <c r="E128" s="25" t="n">
        <v>190.2983</v>
      </c>
      <c r="F128" s="26" t="n">
        <v>923</v>
      </c>
      <c r="G128" s="24" t="n">
        <v>46275</v>
      </c>
      <c r="H128" s="25" t="n">
        <v>201.1</v>
      </c>
      <c r="I128" s="21">
        <f>IF(OR($B128="",$H128=""),"",IF($C128="LONG",($H128-$E128)*$F128,($E128-$H128)*$F128))</f>
        <v/>
      </c>
      <c r="J128" s="22">
        <f>IF(OR($B128="",$I128="",$E128=0,$F128=0),"",$I128/($E128*$F128))</f>
        <v/>
      </c>
      <c r="K128" s="4" t="n">
        <v>343.5</v>
      </c>
      <c r="L128" s="21">
        <f>IF(OR($B128="",$I128=""),"",$I128-IF($K128="",0,$K128))</f>
        <v/>
      </c>
      <c r="M128" s="22">
        <f>IF(OR($B128="",$L128="",$E128=0,$F128=0),"",$L128/($E128*$F128))</f>
        <v/>
      </c>
      <c r="N128" s="27">
        <f>IF($B128="","",IF($H128="","Open","Closed"))</f>
        <v/>
      </c>
      <c r="O128" s="23" t="inlineStr">
        <is>
          <t>Untagged</t>
        </is>
      </c>
    </row>
    <row r="129">
      <c r="A129" s="23" t="inlineStr">
        <is>
          <t>DHAN-221260910101209</t>
        </is>
      </c>
      <c r="B129" s="23" t="inlineStr">
        <is>
          <t>SHAREINDIA</t>
        </is>
      </c>
      <c r="C129" s="23" t="inlineStr">
        <is>
          <t>SHORT</t>
        </is>
      </c>
      <c r="D129" s="24" t="n">
        <v>46275</v>
      </c>
      <c r="E129" s="25" t="n">
        <v>201.46</v>
      </c>
      <c r="F129" s="26" t="n">
        <v>923</v>
      </c>
      <c r="G129" s="24" t="n">
        <v>46275</v>
      </c>
      <c r="H129" s="25" t="n">
        <v>205</v>
      </c>
      <c r="I129" s="21">
        <f>IF(OR($B129="",$H129=""),"",IF($C129="LONG",($H129-$E129)*$F129,($E129-$H129)*$F129))</f>
        <v/>
      </c>
      <c r="J129" s="22">
        <f>IF(OR($B129="",$I129="",$E129=0,$F129=0),"",$I129/($E129*$F129))</f>
        <v/>
      </c>
      <c r="K129" s="4" t="n">
        <v>276.97</v>
      </c>
      <c r="L129" s="21">
        <f>IF(OR($B129="",$I129=""),"",$I129-IF($K129="",0,$K129))</f>
        <v/>
      </c>
      <c r="M129" s="22">
        <f>IF(OR($B129="",$L129="",$E129=0,$F129=0),"",$L129/($E129*$F129))</f>
        <v/>
      </c>
      <c r="N129" s="27">
        <f>IF($B129="","",IF($H129="","Open","Closed"))</f>
        <v/>
      </c>
      <c r="O129" s="23" t="inlineStr">
        <is>
          <t>Untagged</t>
        </is>
      </c>
    </row>
    <row r="130">
      <c r="A130" s="23" t="inlineStr">
        <is>
          <t>DHAN-321260910622509</t>
        </is>
      </c>
      <c r="B130" s="23" t="inlineStr">
        <is>
          <t>INDOCO</t>
        </is>
      </c>
      <c r="C130" s="23" t="inlineStr">
        <is>
          <t>LONG</t>
        </is>
      </c>
      <c r="D130" s="24" t="n">
        <v>46275</v>
      </c>
      <c r="E130" s="25" t="n">
        <v>253.0721</v>
      </c>
      <c r="F130" s="26" t="n">
        <v>1146</v>
      </c>
      <c r="G130" s="24" t="n">
        <v>46276</v>
      </c>
      <c r="H130" s="25" t="n">
        <v>263.23</v>
      </c>
      <c r="I130" s="21">
        <f>IF(OR($B130="",$H130=""),"",IF($C130="LONG",($H130-$E130)*$F130,($E130-$H130)*$F130))</f>
        <v/>
      </c>
      <c r="J130" s="22">
        <f>IF(OR($B130="",$I130="",$E130=0,$F130=0),"",$I130/($E130*$F130))</f>
        <v/>
      </c>
      <c r="K130" s="4" t="n">
        <v>587.9400000000001</v>
      </c>
      <c r="L130" s="21">
        <f>IF(OR($B130="",$I130=""),"",$I130-IF($K130="",0,$K130))</f>
        <v/>
      </c>
      <c r="M130" s="22">
        <f>IF(OR($B130="",$L130="",$E130=0,$F130=0),"",$L130/($E130*$F130))</f>
        <v/>
      </c>
      <c r="N130" s="27">
        <f>IF($B130="","",IF($H130="","Open","Closed"))</f>
        <v/>
      </c>
      <c r="O130" s="23" t="inlineStr">
        <is>
          <t>Untagged</t>
        </is>
      </c>
    </row>
    <row r="131">
      <c r="A131" s="23" t="inlineStr">
        <is>
          <t>DHAN-23126091115309</t>
        </is>
      </c>
      <c r="B131" s="23" t="inlineStr">
        <is>
          <t>INDOCO</t>
        </is>
      </c>
      <c r="C131" s="23" t="inlineStr">
        <is>
          <t>SHORT</t>
        </is>
      </c>
      <c r="D131" s="24" t="n">
        <v>46276</v>
      </c>
      <c r="E131" s="25" t="n">
        <v>263.46</v>
      </c>
      <c r="F131" s="26" t="n">
        <v>1146</v>
      </c>
      <c r="G131" s="24" t="n">
        <v>46276</v>
      </c>
      <c r="H131" s="25" t="n">
        <v>262.88</v>
      </c>
      <c r="I131" s="21">
        <f>IF(OR($B131="",$H131=""),"",IF($C131="LONG",($H131-$E131)*$F131,($E131-$H131)*$F131))</f>
        <v/>
      </c>
      <c r="J131" s="22">
        <f>IF(OR($B131="",$I131="",$E131=0,$F131=0),"",$I131/($E131*$F131))</f>
        <v/>
      </c>
      <c r="K131" s="4" t="n">
        <v>357.16</v>
      </c>
      <c r="L131" s="21">
        <f>IF(OR($B131="",$I131=""),"",$I131-IF($K131="",0,$K131))</f>
        <v/>
      </c>
      <c r="M131" s="22">
        <f>IF(OR($B131="",$L131="",$E131=0,$F131=0),"",$L131/($E131*$F131))</f>
        <v/>
      </c>
      <c r="N131" s="27">
        <f>IF($B131="","",IF($H131="","Open","Closed"))</f>
        <v/>
      </c>
      <c r="O131" s="23" t="inlineStr">
        <is>
          <t>Untagged</t>
        </is>
      </c>
    </row>
    <row r="132">
      <c r="A132" s="23" t="inlineStr">
        <is>
          <t>DHAN-23126091079309</t>
        </is>
      </c>
      <c r="B132" s="23" t="inlineStr">
        <is>
          <t>KSL</t>
        </is>
      </c>
      <c r="C132" s="23" t="inlineStr">
        <is>
          <t>LONG</t>
        </is>
      </c>
      <c r="D132" s="24" t="n">
        <v>46275</v>
      </c>
      <c r="E132" s="25" t="n">
        <v>968.7272</v>
      </c>
      <c r="F132" s="26" t="n">
        <v>299</v>
      </c>
      <c r="G132" s="24" t="n">
        <v>46276</v>
      </c>
      <c r="H132" s="25" t="n">
        <v>970.53</v>
      </c>
      <c r="I132" s="21">
        <f>IF(OR($B132="",$H132=""),"",IF($C132="LONG",($H132-$E132)*$F132,($E132-$H132)*$F132))</f>
        <v/>
      </c>
      <c r="J132" s="22">
        <f>IF(OR($B132="",$I132="",$E132=0,$F132=0),"",$I132/($E132*$F132))</f>
        <v/>
      </c>
      <c r="K132" s="4" t="n">
        <v>583.85</v>
      </c>
      <c r="L132" s="21">
        <f>IF(OR($B132="",$I132=""),"",$I132-IF($K132="",0,$K132))</f>
        <v/>
      </c>
      <c r="M132" s="22">
        <f>IF(OR($B132="",$L132="",$E132=0,$F132=0),"",$L132/($E132*$F132))</f>
        <v/>
      </c>
      <c r="N132" s="27">
        <f>IF($B132="","",IF($H132="","Open","Closed"))</f>
        <v/>
      </c>
      <c r="O132" s="23" t="inlineStr">
        <is>
          <t>Untagged</t>
        </is>
      </c>
    </row>
    <row r="133">
      <c r="A133" s="23" t="inlineStr">
        <is>
          <t>DHAN-321260911440509</t>
        </is>
      </c>
      <c r="B133" s="23" t="inlineStr">
        <is>
          <t>KSL</t>
        </is>
      </c>
      <c r="C133" s="23" t="inlineStr">
        <is>
          <t>SHORT</t>
        </is>
      </c>
      <c r="D133" s="24" t="n">
        <v>46276</v>
      </c>
      <c r="E133" s="25" t="n">
        <v>970.4299999999999</v>
      </c>
      <c r="F133" s="26" t="n">
        <v>299</v>
      </c>
      <c r="G133" s="24" t="n">
        <v>46276</v>
      </c>
      <c r="H133" s="25" t="n">
        <v>959.9299999999999</v>
      </c>
      <c r="I133" s="21">
        <f>IF(OR($B133="",$H133=""),"",IF($C133="LONG",($H133-$E133)*$F133,($E133-$H133)*$F133))</f>
        <v/>
      </c>
      <c r="J133" s="22">
        <f>IF(OR($B133="",$I133="",$E133=0,$F133=0),"",$I133/($E133*$F133))</f>
        <v/>
      </c>
      <c r="K133" s="4" t="n">
        <v>342.92</v>
      </c>
      <c r="L133" s="21">
        <f>IF(OR($B133="",$I133=""),"",$I133-IF($K133="",0,$K133))</f>
        <v/>
      </c>
      <c r="M133" s="22">
        <f>IF(OR($B133="",$L133="",$E133=0,$F133=0),"",$L133/($E133*$F133))</f>
        <v/>
      </c>
      <c r="N133" s="27">
        <f>IF($B133="","",IF($H133="","Open","Closed"))</f>
        <v/>
      </c>
      <c r="O133" s="23" t="inlineStr">
        <is>
          <t>Untagged</t>
        </is>
      </c>
    </row>
    <row r="134">
      <c r="A134" s="23" t="inlineStr">
        <is>
          <t>DHAN-321260910622409</t>
        </is>
      </c>
      <c r="B134" s="23" t="inlineStr">
        <is>
          <t>SAMHI</t>
        </is>
      </c>
      <c r="C134" s="23" t="inlineStr">
        <is>
          <t>LONG</t>
        </is>
      </c>
      <c r="D134" s="24" t="n">
        <v>46275</v>
      </c>
      <c r="E134" s="25" t="n">
        <v>160.6529</v>
      </c>
      <c r="F134" s="26" t="n">
        <v>1815</v>
      </c>
      <c r="G134" s="24" t="n">
        <v>46276</v>
      </c>
      <c r="H134" s="25" t="n">
        <v>157.65</v>
      </c>
      <c r="I134" s="21">
        <f>IF(OR($B134="",$H134=""),"",IF($C134="LONG",($H134-$E134)*$F134,($E134-$H134)*$F134))</f>
        <v/>
      </c>
      <c r="J134" s="22">
        <f>IF(OR($B134="",$I134="",$E134=0,$F134=0),"",$I134/($E134*$F134))</f>
        <v/>
      </c>
      <c r="K134" s="4" t="n">
        <v>593.08</v>
      </c>
      <c r="L134" s="21">
        <f>IF(OR($B134="",$I134=""),"",$I134-IF($K134="",0,$K134))</f>
        <v/>
      </c>
      <c r="M134" s="22">
        <f>IF(OR($B134="",$L134="",$E134=0,$F134=0),"",$L134/($E134*$F134))</f>
        <v/>
      </c>
      <c r="N134" s="27">
        <f>IF($B134="","",IF($H134="","Open","Closed"))</f>
        <v/>
      </c>
      <c r="O134" s="23" t="inlineStr">
        <is>
          <t>Untagged</t>
        </is>
      </c>
    </row>
    <row r="135">
      <c r="A135" s="23" t="inlineStr">
        <is>
          <t>DHAN-221260911438509</t>
        </is>
      </c>
      <c r="B135" s="23" t="inlineStr">
        <is>
          <t>SAMHI</t>
        </is>
      </c>
      <c r="C135" s="23" t="inlineStr">
        <is>
          <t>SHORT</t>
        </is>
      </c>
      <c r="D135" s="24" t="n">
        <v>46276</v>
      </c>
      <c r="E135" s="25" t="n">
        <v>157.53</v>
      </c>
      <c r="F135" s="26" t="n">
        <v>1815</v>
      </c>
      <c r="G135" s="24" t="n">
        <v>46276</v>
      </c>
      <c r="H135" s="25" t="n">
        <v>157.18</v>
      </c>
      <c r="I135" s="21">
        <f>IF(OR($B135="",$H135=""),"",IF($C135="LONG",($H135-$E135)*$F135,($E135-$H135)*$F135))</f>
        <v/>
      </c>
      <c r="J135" s="22">
        <f>IF(OR($B135="",$I135="",$E135=0,$F135=0),"",$I135/($E135*$F135))</f>
        <v/>
      </c>
      <c r="K135" s="4" t="n">
        <v>339.3</v>
      </c>
      <c r="L135" s="21">
        <f>IF(OR($B135="",$I135=""),"",$I135-IF($K135="",0,$K135))</f>
        <v/>
      </c>
      <c r="M135" s="22">
        <f>IF(OR($B135="",$L135="",$E135=0,$F135=0),"",$L135/($E135*$F135))</f>
        <v/>
      </c>
      <c r="N135" s="27">
        <f>IF($B135="","",IF($H135="","Open","Closed"))</f>
        <v/>
      </c>
      <c r="O135" s="23" t="inlineStr">
        <is>
          <t>Untagged</t>
        </is>
      </c>
    </row>
    <row r="136">
      <c r="A136" s="23" t="inlineStr">
        <is>
          <t>DHAN-34126091072709</t>
        </is>
      </c>
      <c r="B136" s="23" t="inlineStr">
        <is>
          <t>VSSL</t>
        </is>
      </c>
      <c r="C136" s="23" t="inlineStr">
        <is>
          <t>LONG</t>
        </is>
      </c>
      <c r="D136" s="24" t="n">
        <v>46275</v>
      </c>
      <c r="E136" s="25" t="n">
        <v>390.2742</v>
      </c>
      <c r="F136" s="26" t="n">
        <v>739</v>
      </c>
      <c r="G136" s="24" t="n">
        <v>46276</v>
      </c>
      <c r="H136" s="25" t="n">
        <v>395.2</v>
      </c>
      <c r="I136" s="21">
        <f>IF(OR($B136="",$H136=""),"",IF($C136="LONG",($H136-$E136)*$F136,($E136-$H136)*$F136))</f>
        <v/>
      </c>
      <c r="J136" s="22">
        <f>IF(OR($B136="",$I136="",$E136=0,$F136=0),"",$I136/($E136*$F136))</f>
        <v/>
      </c>
      <c r="K136" s="4" t="n">
        <v>509.91</v>
      </c>
      <c r="L136" s="21">
        <f>IF(OR($B136="",$I136=""),"",$I136-IF($K136="",0,$K136))</f>
        <v/>
      </c>
      <c r="M136" s="22">
        <f>IF(OR($B136="",$L136="",$E136=0,$F136=0),"",$L136/($E136*$F136))</f>
        <v/>
      </c>
      <c r="N136" s="27">
        <f>IF($B136="","",IF($H136="","Open","Closed"))</f>
        <v/>
      </c>
      <c r="O136" s="23" t="inlineStr">
        <is>
          <t>Untagged</t>
        </is>
      </c>
    </row>
    <row r="137">
      <c r="A137" s="23" t="inlineStr">
        <is>
          <t>DHAN-23126091141909</t>
        </is>
      </c>
      <c r="B137" s="23" t="inlineStr">
        <is>
          <t>VSSL</t>
        </is>
      </c>
      <c r="C137" s="23" t="inlineStr">
        <is>
          <t>SHORT</t>
        </is>
      </c>
      <c r="D137" s="24" t="n">
        <v>46276</v>
      </c>
      <c r="E137" s="25" t="n">
        <v>394.09</v>
      </c>
      <c r="F137" s="26" t="n">
        <v>739</v>
      </c>
      <c r="G137" s="24" t="n">
        <v>46276</v>
      </c>
      <c r="H137" s="25" t="n">
        <v>401.45</v>
      </c>
      <c r="I137" s="21">
        <f>IF(OR($B137="",$H137=""),"",IF($C137="LONG",($H137-$E137)*$F137,($E137-$H137)*$F137))</f>
        <v/>
      </c>
      <c r="J137" s="22">
        <f>IF(OR($B137="",$I137="",$E137=0,$F137=0),"",$I137/($E137*$F137))</f>
        <v/>
      </c>
      <c r="K137" s="4" t="n">
        <v>421.14</v>
      </c>
      <c r="L137" s="21">
        <f>IF(OR($B137="",$I137=""),"",$I137-IF($K137="",0,$K137))</f>
        <v/>
      </c>
      <c r="M137" s="22">
        <f>IF(OR($B137="",$L137="",$E137=0,$F137=0),"",$L137/($E137*$F137))</f>
        <v/>
      </c>
      <c r="N137" s="27">
        <f>IF($B137="","",IF($H137="","Open","Closed"))</f>
        <v/>
      </c>
      <c r="O137" s="23" t="inlineStr">
        <is>
          <t>Untagged</t>
        </is>
      </c>
    </row>
    <row r="138">
      <c r="A138" s="23" t="inlineStr">
        <is>
          <t>DHAN-321260910622609</t>
        </is>
      </c>
      <c r="B138" s="23" t="inlineStr">
        <is>
          <t>WENDT</t>
        </is>
      </c>
      <c r="C138" s="23" t="inlineStr">
        <is>
          <t>LONG</t>
        </is>
      </c>
      <c r="D138" s="24" t="n">
        <v>46275</v>
      </c>
      <c r="E138" s="25" t="n">
        <v>8657.606</v>
      </c>
      <c r="F138" s="26" t="n">
        <v>33</v>
      </c>
      <c r="G138" s="24" t="n">
        <v>46276</v>
      </c>
      <c r="H138" s="25" t="n">
        <v>8730.18</v>
      </c>
      <c r="I138" s="21">
        <f>IF(OR($B138="",$H138=""),"",IF($C138="LONG",($H138-$E138)*$F138,($E138-$H138)*$F138))</f>
        <v/>
      </c>
      <c r="J138" s="22">
        <f>IF(OR($B138="",$I138="",$E138=0,$F138=0),"",$I138/($E138*$F138))</f>
        <v/>
      </c>
      <c r="K138" s="4" t="n">
        <v>578.39</v>
      </c>
      <c r="L138" s="21">
        <f>IF(OR($B138="",$I138=""),"",$I138-IF($K138="",0,$K138))</f>
        <v/>
      </c>
      <c r="M138" s="22">
        <f>IF(OR($B138="",$L138="",$E138=0,$F138=0),"",$L138/($E138*$F138))</f>
        <v/>
      </c>
      <c r="N138" s="27">
        <f>IF($B138="","",IF($H138="","Open","Closed"))</f>
        <v/>
      </c>
      <c r="O138" s="23" t="inlineStr">
        <is>
          <t>Untagged</t>
        </is>
      </c>
    </row>
    <row r="139">
      <c r="A139" s="23" t="inlineStr">
        <is>
          <t>DHAN-34126091130609</t>
        </is>
      </c>
      <c r="B139" s="23" t="inlineStr">
        <is>
          <t>WENDT</t>
        </is>
      </c>
      <c r="C139" s="23" t="inlineStr">
        <is>
          <t>SHORT</t>
        </is>
      </c>
      <c r="D139" s="24" t="n">
        <v>46276</v>
      </c>
      <c r="E139" s="25" t="n">
        <v>8724.209999999999</v>
      </c>
      <c r="F139" s="26" t="n">
        <v>33</v>
      </c>
      <c r="G139" s="24" t="n">
        <v>46276</v>
      </c>
      <c r="H139" s="25" t="n">
        <v>8867.91</v>
      </c>
      <c r="I139" s="21">
        <f>IF(OR($B139="",$H139=""),"",IF($C139="LONG",($H139-$E139)*$F139,($E139-$H139)*$F139))</f>
        <v/>
      </c>
      <c r="J139" s="22">
        <f>IF(OR($B139="",$I139="",$E139=0,$F139=0),"",$I139/($E139*$F139))</f>
        <v/>
      </c>
      <c r="K139" s="4" t="n">
        <v>343.65</v>
      </c>
      <c r="L139" s="21">
        <f>IF(OR($B139="",$I139=""),"",$I139-IF($K139="",0,$K139))</f>
        <v/>
      </c>
      <c r="M139" s="22">
        <f>IF(OR($B139="",$L139="",$E139=0,$F139=0),"",$L139/($E139*$F139))</f>
        <v/>
      </c>
      <c r="N139" s="27">
        <f>IF($B139="","",IF($H139="","Open","Closed"))</f>
        <v/>
      </c>
      <c r="O139" s="23" t="inlineStr">
        <is>
          <t>Untagged</t>
        </is>
      </c>
    </row>
    <row r="140">
      <c r="A140" s="23" t="inlineStr">
        <is>
          <t>DHAN-23126091161109</t>
        </is>
      </c>
      <c r="B140" s="23" t="inlineStr">
        <is>
          <t>AWFIS</t>
        </is>
      </c>
      <c r="C140" s="23" t="inlineStr">
        <is>
          <t>LONG</t>
        </is>
      </c>
      <c r="D140" s="24" t="n">
        <v>46276</v>
      </c>
      <c r="E140" s="25" t="n">
        <v>293.7202</v>
      </c>
      <c r="F140" s="26" t="n">
        <v>618</v>
      </c>
      <c r="G140" s="24" t="n">
        <v>46280</v>
      </c>
      <c r="H140" s="25" t="n">
        <v>281.0708</v>
      </c>
      <c r="I140" s="21">
        <f>IF(OR($B140="",$H140=""),"",IF($C140="LONG",($H140-$E140)*$F140,($E140-$H140)*$F140))</f>
        <v/>
      </c>
      <c r="J140" s="22">
        <f>IF(OR($B140="",$I140="",$E140=0,$F140=0),"",$I140/($E140*$F140))</f>
        <v/>
      </c>
      <c r="K140" s="4" t="n">
        <v>468.38</v>
      </c>
      <c r="L140" s="21">
        <f>IF(OR($B140="",$I140=""),"",$I140-IF($K140="",0,$K140))</f>
        <v/>
      </c>
      <c r="M140" s="22">
        <f>IF(OR($B140="",$L140="",$E140=0,$F140=0),"",$L140/($E140*$F140))</f>
        <v/>
      </c>
      <c r="N140" s="27">
        <f>IF($B140="","",IF($H140="","Open","Closed"))</f>
        <v/>
      </c>
      <c r="O140" s="23" t="inlineStr">
        <is>
          <t>Untagged</t>
        </is>
      </c>
    </row>
    <row r="141">
      <c r="A141" s="23" t="inlineStr">
        <is>
          <t>DHAN-221260915461009</t>
        </is>
      </c>
      <c r="B141" s="23" t="inlineStr">
        <is>
          <t>AWFIS</t>
        </is>
      </c>
      <c r="C141" s="23" t="inlineStr">
        <is>
          <t>SHORT</t>
        </is>
      </c>
      <c r="D141" s="24" t="n">
        <v>46280</v>
      </c>
      <c r="E141" s="25" t="n">
        <v>280.9703</v>
      </c>
      <c r="F141" s="26" t="n">
        <v>618</v>
      </c>
      <c r="G141" s="24" t="n">
        <v>46280</v>
      </c>
      <c r="H141" s="25" t="n">
        <v>274.7952</v>
      </c>
      <c r="I141" s="21">
        <f>IF(OR($B141="",$H141=""),"",IF($C141="LONG",($H141-$E141)*$F141,($E141-$H141)*$F141))</f>
        <v/>
      </c>
      <c r="J141" s="22">
        <f>IF(OR($B141="",$I141="",$E141=0,$F141=0),"",$I141/($E141*$F141))</f>
        <v/>
      </c>
      <c r="K141" s="4" t="n">
        <v>257.03</v>
      </c>
      <c r="L141" s="21">
        <f>IF(OR($B141="",$I141=""),"",$I141-IF($K141="",0,$K141))</f>
        <v/>
      </c>
      <c r="M141" s="22">
        <f>IF(OR($B141="",$L141="",$E141=0,$F141=0),"",$L141/($E141*$F141))</f>
        <v/>
      </c>
      <c r="N141" s="27">
        <f>IF($B141="","",IF($H141="","Open","Closed"))</f>
        <v/>
      </c>
      <c r="O141" s="23" t="inlineStr">
        <is>
          <t>Untagged</t>
        </is>
      </c>
    </row>
    <row r="142">
      <c r="A142" s="23" t="inlineStr">
        <is>
          <t>DHAN-221260911696009</t>
        </is>
      </c>
      <c r="B142" s="23" t="inlineStr">
        <is>
          <t>FILATEX</t>
        </is>
      </c>
      <c r="C142" s="23" t="inlineStr">
        <is>
          <t>LONG</t>
        </is>
      </c>
      <c r="D142" s="24" t="n">
        <v>46276</v>
      </c>
      <c r="E142" s="25" t="n">
        <v>87.3199</v>
      </c>
      <c r="F142" s="26" t="n">
        <v>1042</v>
      </c>
      <c r="G142" s="24" t="n">
        <v>46280</v>
      </c>
      <c r="H142" s="25" t="n">
        <v>87.90260000000001</v>
      </c>
      <c r="I142" s="21">
        <f>IF(OR($B142="",$H142=""),"",IF($C142="LONG",($H142-$E142)*$F142,($E142-$H142)*$F142))</f>
        <v/>
      </c>
      <c r="J142" s="22">
        <f>IF(OR($B142="",$I142="",$E142=0,$F142=0),"",$I142/($E142*$F142))</f>
        <v/>
      </c>
      <c r="K142" s="4" t="n">
        <v>149.82</v>
      </c>
      <c r="L142" s="21">
        <f>IF(OR($B142="",$I142=""),"",$I142-IF($K142="",0,$K142))</f>
        <v/>
      </c>
      <c r="M142" s="22">
        <f>IF(OR($B142="",$L142="",$E142=0,$F142=0),"",$L142/($E142*$F142))</f>
        <v/>
      </c>
      <c r="N142" s="27">
        <f>IF($B142="","",IF($H142="","Open","Closed"))</f>
        <v/>
      </c>
      <c r="O142" s="23" t="inlineStr">
        <is>
          <t>Untagged</t>
        </is>
      </c>
    </row>
    <row r="143">
      <c r="A143" s="23" t="inlineStr">
        <is>
          <t>DHAN-23126091516209</t>
        </is>
      </c>
      <c r="B143" s="23" t="inlineStr">
        <is>
          <t>FILATEX</t>
        </is>
      </c>
      <c r="C143" s="23" t="inlineStr">
        <is>
          <t>SHORT</t>
        </is>
      </c>
      <c r="D143" s="24" t="n">
        <v>46280</v>
      </c>
      <c r="E143" s="25" t="n">
        <v>87.81999999999999</v>
      </c>
      <c r="F143" s="26" t="n">
        <v>1042</v>
      </c>
      <c r="G143" s="24" t="n">
        <v>46280</v>
      </c>
      <c r="H143" s="25" t="n">
        <v>83.43000000000001</v>
      </c>
      <c r="I143" s="21">
        <f>IF(OR($B143="",$H143=""),"",IF($C143="LONG",($H143-$E143)*$F143,($E143-$H143)*$F143))</f>
        <v/>
      </c>
      <c r="J143" s="22">
        <f>IF(OR($B143="",$I143="",$E143=0,$F143=0),"",$I143/($E143*$F143))</f>
        <v/>
      </c>
      <c r="K143" s="4" t="n">
        <v>145.39</v>
      </c>
      <c r="L143" s="21">
        <f>IF(OR($B143="",$I143=""),"",$I143-IF($K143="",0,$K143))</f>
        <v/>
      </c>
      <c r="M143" s="22">
        <f>IF(OR($B143="",$L143="",$E143=0,$F143=0),"",$L143/($E143*$F143))</f>
        <v/>
      </c>
      <c r="N143" s="27">
        <f>IF($B143="","",IF($H143="","Open","Closed"))</f>
        <v/>
      </c>
      <c r="O143" s="23" t="inlineStr">
        <is>
          <t>Untagged</t>
        </is>
      </c>
    </row>
    <row r="144">
      <c r="A144" s="23" t="inlineStr">
        <is>
          <t>DHAN-321260911696409</t>
        </is>
      </c>
      <c r="B144" s="23" t="inlineStr">
        <is>
          <t>KIRLOSIND</t>
        </is>
      </c>
      <c r="C144" s="23" t="inlineStr">
        <is>
          <t>LONG</t>
        </is>
      </c>
      <c r="D144" s="24" t="n">
        <v>46276</v>
      </c>
      <c r="E144" s="25" t="n">
        <v>3826.583</v>
      </c>
      <c r="F144" s="26" t="n">
        <v>47</v>
      </c>
      <c r="G144" s="24" t="n">
        <v>46280</v>
      </c>
      <c r="H144" s="25" t="n">
        <v>3905.0383</v>
      </c>
      <c r="I144" s="21">
        <f>IF(OR($B144="",$H144=""),"",IF($C144="LONG",($H144-$E144)*$F144,($E144-$H144)*$F144))</f>
        <v/>
      </c>
      <c r="J144" s="22">
        <f>IF(OR($B144="",$I144="",$E144=0,$F144=0),"",$I144/($E144*$F144))</f>
        <v/>
      </c>
      <c r="K144" s="4" t="n">
        <v>465.39</v>
      </c>
      <c r="L144" s="21">
        <f>IF(OR($B144="",$I144=""),"",$I144-IF($K144="",0,$K144))</f>
        <v/>
      </c>
      <c r="M144" s="22">
        <f>IF(OR($B144="",$L144="",$E144=0,$F144=0),"",$L144/($E144*$F144))</f>
        <v/>
      </c>
      <c r="N144" s="27">
        <f>IF($B144="","",IF($H144="","Open","Closed"))</f>
        <v/>
      </c>
      <c r="O144" s="23" t="inlineStr">
        <is>
          <t>Untagged</t>
        </is>
      </c>
    </row>
    <row r="145">
      <c r="A145" s="23" t="inlineStr">
        <is>
          <t>DHAN-23126091516309</t>
        </is>
      </c>
      <c r="B145" s="23" t="inlineStr">
        <is>
          <t>KIRLOSIND</t>
        </is>
      </c>
      <c r="C145" s="23" t="inlineStr">
        <is>
          <t>SHORT</t>
        </is>
      </c>
      <c r="D145" s="24" t="n">
        <v>46280</v>
      </c>
      <c r="E145" s="25" t="n">
        <v>3900.0042</v>
      </c>
      <c r="F145" s="26" t="n">
        <v>47</v>
      </c>
      <c r="G145" s="24" t="n">
        <v>46280</v>
      </c>
      <c r="H145" s="25" t="n">
        <v>3823.1084</v>
      </c>
      <c r="I145" s="21">
        <f>IF(OR($B145="",$H145=""),"",IF($C145="LONG",($H145-$E145)*$F145,($E145-$H145)*$F145))</f>
        <v/>
      </c>
      <c r="J145" s="22">
        <f>IF(OR($B145="",$I145="",$E145=0,$F145=0),"",$I145/($E145*$F145))</f>
        <v/>
      </c>
      <c r="K145" s="4" t="n">
        <v>270.28</v>
      </c>
      <c r="L145" s="21">
        <f>IF(OR($B145="",$I145=""),"",$I145-IF($K145="",0,$K145))</f>
        <v/>
      </c>
      <c r="M145" s="22">
        <f>IF(OR($B145="",$L145="",$E145=0,$F145=0),"",$L145/($E145*$F145))</f>
        <v/>
      </c>
      <c r="N145" s="27">
        <f>IF($B145="","",IF($H145="","Open","Closed"))</f>
        <v/>
      </c>
      <c r="O145" s="23" t="inlineStr">
        <is>
          <t>Untagged</t>
        </is>
      </c>
    </row>
    <row r="146">
      <c r="A146" s="23" t="inlineStr">
        <is>
          <t>DHAN-321260911696509</t>
        </is>
      </c>
      <c r="B146" s="23" t="inlineStr">
        <is>
          <t>MOBIKWIK</t>
        </is>
      </c>
      <c r="C146" s="23" t="inlineStr">
        <is>
          <t>LONG</t>
        </is>
      </c>
      <c r="D146" s="24" t="n">
        <v>46276</v>
      </c>
      <c r="E146" s="25" t="n">
        <v>209.9685</v>
      </c>
      <c r="F146" s="26" t="n">
        <v>860</v>
      </c>
      <c r="G146" s="24" t="n">
        <v>46280</v>
      </c>
      <c r="H146" s="25" t="n">
        <v>204.1101</v>
      </c>
      <c r="I146" s="21">
        <f>IF(OR($B146="",$H146=""),"",IF($C146="LONG",($H146-$E146)*$F146,($E146-$H146)*$F146))</f>
        <v/>
      </c>
      <c r="J146" s="22">
        <f>IF(OR($B146="",$I146="",$E146=0,$F146=0),"",$I146/($E146*$F146))</f>
        <v/>
      </c>
      <c r="K146" s="4" t="n">
        <v>469.56</v>
      </c>
      <c r="L146" s="21">
        <f>IF(OR($B146="",$I146=""),"",$I146-IF($K146="",0,$K146))</f>
        <v/>
      </c>
      <c r="M146" s="22">
        <f>IF(OR($B146="",$L146="",$E146=0,$F146=0),"",$L146/($E146*$F146))</f>
        <v/>
      </c>
      <c r="N146" s="27">
        <f>IF($B146="","",IF($H146="","Open","Closed"))</f>
        <v/>
      </c>
      <c r="O146" s="23" t="inlineStr">
        <is>
          <t>Untagged</t>
        </is>
      </c>
    </row>
    <row r="147">
      <c r="A147" s="23" t="inlineStr">
        <is>
          <t>DHAN-221260915460909</t>
        </is>
      </c>
      <c r="B147" s="23" t="inlineStr">
        <is>
          <t>MOBIKWIK</t>
        </is>
      </c>
      <c r="C147" s="23" t="inlineStr">
        <is>
          <t>SHORT</t>
        </is>
      </c>
      <c r="D147" s="24" t="n">
        <v>46280</v>
      </c>
      <c r="E147" s="25" t="n">
        <v>204.3287</v>
      </c>
      <c r="F147" s="26" t="n">
        <v>860</v>
      </c>
      <c r="G147" s="24" t="n">
        <v>46280</v>
      </c>
      <c r="H147" s="25" t="n">
        <v>205.9936</v>
      </c>
      <c r="I147" s="21">
        <f>IF(OR($B147="",$H147=""),"",IF($C147="LONG",($H147-$E147)*$F147,($E147-$H147)*$F147))</f>
        <v/>
      </c>
      <c r="J147" s="22">
        <f>IF(OR($B147="",$I147="",$E147=0,$F147=0),"",$I147/($E147*$F147))</f>
        <v/>
      </c>
      <c r="K147" s="4" t="n">
        <v>262.28</v>
      </c>
      <c r="L147" s="21">
        <f>IF(OR($B147="",$I147=""),"",$I147-IF($K147="",0,$K147))</f>
        <v/>
      </c>
      <c r="M147" s="22">
        <f>IF(OR($B147="",$L147="",$E147=0,$F147=0),"",$L147/($E147*$F147))</f>
        <v/>
      </c>
      <c r="N147" s="27">
        <f>IF($B147="","",IF($H147="","Open","Closed"))</f>
        <v/>
      </c>
      <c r="O147" s="23" t="inlineStr">
        <is>
          <t>Untagged</t>
        </is>
      </c>
    </row>
    <row r="148">
      <c r="A148" s="23" t="inlineStr">
        <is>
          <t>DHAN-321260911696609</t>
        </is>
      </c>
      <c r="B148" s="23" t="inlineStr">
        <is>
          <t>QUADFUTURE</t>
        </is>
      </c>
      <c r="C148" s="23" t="inlineStr">
        <is>
          <t>LONG</t>
        </is>
      </c>
      <c r="D148" s="24" t="n">
        <v>46276</v>
      </c>
      <c r="E148" s="25" t="n">
        <v>481.45</v>
      </c>
      <c r="F148" s="26" t="n">
        <v>377</v>
      </c>
      <c r="G148" s="24" t="n">
        <v>46280</v>
      </c>
      <c r="H148" s="25" t="n">
        <v>497.2753</v>
      </c>
      <c r="I148" s="21">
        <f>IF(OR($B148="",$H148=""),"",IF($C148="LONG",($H148-$E148)*$F148,($E148-$H148)*$F148))</f>
        <v/>
      </c>
      <c r="J148" s="22">
        <f>IF(OR($B148="",$I148="",$E148=0,$F148=0),"",$I148/($E148*$F148))</f>
        <v/>
      </c>
      <c r="K148" s="4" t="n">
        <v>463.32</v>
      </c>
      <c r="L148" s="21">
        <f>IF(OR($B148="",$I148=""),"",$I148-IF($K148="",0,$K148))</f>
        <v/>
      </c>
      <c r="M148" s="22">
        <f>IF(OR($B148="",$L148="",$E148=0,$F148=0),"",$L148/($E148*$F148))</f>
        <v/>
      </c>
      <c r="N148" s="27">
        <f>IF($B148="","",IF($H148="","Open","Closed"))</f>
        <v/>
      </c>
      <c r="O148" s="23" t="inlineStr">
        <is>
          <t>Untagged</t>
        </is>
      </c>
    </row>
    <row r="149">
      <c r="A149" s="23" t="inlineStr">
        <is>
          <t>DHAN-34126091550709</t>
        </is>
      </c>
      <c r="B149" s="23" t="inlineStr">
        <is>
          <t>QUADFUTURE</t>
        </is>
      </c>
      <c r="C149" s="23" t="inlineStr">
        <is>
          <t>SHORT</t>
        </is>
      </c>
      <c r="D149" s="24" t="n">
        <v>46280</v>
      </c>
      <c r="E149" s="25" t="n">
        <v>496.9672</v>
      </c>
      <c r="F149" s="26" t="n">
        <v>377</v>
      </c>
      <c r="G149" s="24" t="n">
        <v>46280</v>
      </c>
      <c r="H149" s="25" t="n">
        <v>490</v>
      </c>
      <c r="I149" s="21">
        <f>IF(OR($B149="",$H149=""),"",IF($C149="LONG",($H149-$E149)*$F149,($E149-$H149)*$F149))</f>
        <v/>
      </c>
      <c r="J149" s="22">
        <f>IF(OR($B149="",$I149="",$E149=0,$F149=0),"",$I149/($E149*$F149))</f>
        <v/>
      </c>
      <c r="K149" s="4" t="n">
        <v>276.22</v>
      </c>
      <c r="L149" s="21">
        <f>IF(OR($B149="",$I149=""),"",$I149-IF($K149="",0,$K149))</f>
        <v/>
      </c>
      <c r="M149" s="22">
        <f>IF(OR($B149="",$L149="",$E149=0,$F149=0),"",$L149/($E149*$F149))</f>
        <v/>
      </c>
      <c r="N149" s="27">
        <f>IF($B149="","",IF($H149="","Open","Closed"))</f>
        <v/>
      </c>
      <c r="O149" s="23" t="inlineStr">
        <is>
          <t>Untagged</t>
        </is>
      </c>
    </row>
    <row r="150">
      <c r="A150" s="23" t="inlineStr">
        <is>
          <t>DHAN-321260911696809</t>
        </is>
      </c>
      <c r="B150" s="23" t="inlineStr">
        <is>
          <t>RACLGEAR</t>
        </is>
      </c>
      <c r="C150" s="23" t="inlineStr">
        <is>
          <t>LONG</t>
        </is>
      </c>
      <c r="D150" s="24" t="n">
        <v>46276</v>
      </c>
      <c r="E150" s="25" t="n">
        <v>1756.5941</v>
      </c>
      <c r="F150" s="26" t="n">
        <v>103</v>
      </c>
      <c r="G150" s="24" t="n">
        <v>46280</v>
      </c>
      <c r="H150" s="25" t="n">
        <v>1775.6097</v>
      </c>
      <c r="I150" s="21">
        <f>IF(OR($B150="",$H150=""),"",IF($C150="LONG",($H150-$E150)*$F150,($E150-$H150)*$F150))</f>
        <v/>
      </c>
      <c r="J150" s="22">
        <f>IF(OR($B150="",$I150="",$E150=0,$F150=0),"",$I150/($E150*$F150))</f>
        <v/>
      </c>
      <c r="K150" s="4" t="n">
        <v>442.78</v>
      </c>
      <c r="L150" s="21">
        <f>IF(OR($B150="",$I150=""),"",$I150-IF($K150="",0,$K150))</f>
        <v/>
      </c>
      <c r="M150" s="22">
        <f>IF(OR($B150="",$L150="",$E150=0,$F150=0),"",$L150/($E150*$F150))</f>
        <v/>
      </c>
      <c r="N150" s="27">
        <f>IF($B150="","",IF($H150="","Open","Closed"))</f>
        <v/>
      </c>
      <c r="O150" s="23" t="inlineStr">
        <is>
          <t>Untagged</t>
        </is>
      </c>
    </row>
    <row r="151">
      <c r="A151" s="23" t="inlineStr">
        <is>
          <t>DHAN-34126091518009</t>
        </is>
      </c>
      <c r="B151" s="23" t="inlineStr">
        <is>
          <t>RACLGEAR</t>
        </is>
      </c>
      <c r="C151" s="23" t="inlineStr">
        <is>
          <t>SHORT</t>
        </is>
      </c>
      <c r="D151" s="24" t="n">
        <v>46280</v>
      </c>
      <c r="E151" s="25" t="n">
        <v>1779.6</v>
      </c>
      <c r="F151" s="26" t="n">
        <v>103</v>
      </c>
      <c r="G151" s="24" t="n">
        <v>46280</v>
      </c>
      <c r="H151" s="25" t="n">
        <v>1690.6</v>
      </c>
      <c r="I151" s="21">
        <f>IF(OR($B151="",$H151=""),"",IF($C151="LONG",($H151-$E151)*$F151,($E151-$H151)*$F151))</f>
        <v/>
      </c>
      <c r="J151" s="22">
        <f>IF(OR($B151="",$I151="",$E151=0,$F151=0),"",$I151/($E151*$F151))</f>
        <v/>
      </c>
      <c r="K151" s="4" t="n">
        <v>266.93</v>
      </c>
      <c r="L151" s="21">
        <f>IF(OR($B151="",$I151=""),"",$I151-IF($K151="",0,$K151))</f>
        <v/>
      </c>
      <c r="M151" s="22">
        <f>IF(OR($B151="",$L151="",$E151=0,$F151=0),"",$L151/($E151*$F151))</f>
        <v/>
      </c>
      <c r="N151" s="27">
        <f>IF($B151="","",IF($H151="","Open","Closed"))</f>
        <v/>
      </c>
      <c r="O151" s="23" t="inlineStr">
        <is>
          <t>Untagged</t>
        </is>
      </c>
    </row>
    <row r="152">
      <c r="A152" s="23" t="inlineStr">
        <is>
          <t>DHAN-23126091161209</t>
        </is>
      </c>
      <c r="B152" s="23" t="inlineStr">
        <is>
          <t>SIKA</t>
        </is>
      </c>
      <c r="C152" s="23" t="inlineStr">
        <is>
          <t>LONG</t>
        </is>
      </c>
      <c r="D152" s="24" t="n">
        <v>46276</v>
      </c>
      <c r="E152" s="25" t="n">
        <v>1087.1632</v>
      </c>
      <c r="F152" s="26" t="n">
        <v>83</v>
      </c>
      <c r="G152" s="24" t="n">
        <v>46280</v>
      </c>
      <c r="H152" s="25" t="n">
        <v>1035.862</v>
      </c>
      <c r="I152" s="21">
        <f>IF(OR($B152="",$H152=""),"",IF($C152="LONG",($H152-$E152)*$F152,($E152-$H152)*$F152))</f>
        <v/>
      </c>
      <c r="J152" s="22">
        <f>IF(OR($B152="",$I152="",$E152=0,$F152=0),"",$I152/($E152*$F152))</f>
        <v/>
      </c>
      <c r="K152" s="4" t="n">
        <v>148.71</v>
      </c>
      <c r="L152" s="21">
        <f>IF(OR($B152="",$I152=""),"",$I152-IF($K152="",0,$K152))</f>
        <v/>
      </c>
      <c r="M152" s="22">
        <f>IF(OR($B152="",$L152="",$E152=0,$F152=0),"",$L152/($E152*$F152))</f>
        <v/>
      </c>
      <c r="N152" s="27">
        <f>IF($B152="","",IF($H152="","Open","Closed"))</f>
        <v/>
      </c>
      <c r="O152" s="23" t="inlineStr">
        <is>
          <t>Untagged</t>
        </is>
      </c>
    </row>
    <row r="153">
      <c r="A153" s="23" t="inlineStr">
        <is>
          <t>DHAN-23126091546509</t>
        </is>
      </c>
      <c r="B153" s="23" t="inlineStr">
        <is>
          <t>SIKA</t>
        </is>
      </c>
      <c r="C153" s="23" t="inlineStr">
        <is>
          <t>SHORT</t>
        </is>
      </c>
      <c r="D153" s="24" t="n">
        <v>46280</v>
      </c>
      <c r="E153" s="25" t="n">
        <v>1034.3916</v>
      </c>
      <c r="F153" s="26" t="n">
        <v>83</v>
      </c>
      <c r="G153" s="24" t="n">
        <v>46280</v>
      </c>
      <c r="H153" s="25" t="n">
        <v>1044.0566</v>
      </c>
      <c r="I153" s="21">
        <f>IF(OR($B153="",$H153=""),"",IF($C153="LONG",($H153-$E153)*$F153,($E153-$H153)*$F153))</f>
        <v/>
      </c>
      <c r="J153" s="22">
        <f>IF(OR($B153="",$I153="",$E153=0,$F153=0),"",$I153/($E153*$F153))</f>
        <v/>
      </c>
      <c r="K153" s="4" t="n">
        <v>140.35</v>
      </c>
      <c r="L153" s="21">
        <f>IF(OR($B153="",$I153=""),"",$I153-IF($K153="",0,$K153))</f>
        <v/>
      </c>
      <c r="M153" s="22">
        <f>IF(OR($B153="",$L153="",$E153=0,$F153=0),"",$L153/($E153*$F153))</f>
        <v/>
      </c>
      <c r="N153" s="27">
        <f>IF($B153="","",IF($H153="","Open","Closed"))</f>
        <v/>
      </c>
      <c r="O153" s="23" t="inlineStr">
        <is>
          <t>Untagged</t>
        </is>
      </c>
    </row>
    <row r="154">
      <c r="A154" s="23" t="inlineStr">
        <is>
          <t>DHAN-221260911696209</t>
        </is>
      </c>
      <c r="B154" s="23" t="inlineStr">
        <is>
          <t>SMSPHARMA</t>
        </is>
      </c>
      <c r="C154" s="23" t="inlineStr">
        <is>
          <t>LONG</t>
        </is>
      </c>
      <c r="D154" s="24" t="n">
        <v>46276</v>
      </c>
      <c r="E154" s="25" t="n">
        <v>462.4796</v>
      </c>
      <c r="F154" s="26" t="n">
        <v>391</v>
      </c>
      <c r="G154" s="24" t="n">
        <v>46280</v>
      </c>
      <c r="H154" s="25" t="n">
        <v>409.8205</v>
      </c>
      <c r="I154" s="21">
        <f>IF(OR($B154="",$H154=""),"",IF($C154="LONG",($H154-$E154)*$F154,($E154-$H154)*$F154))</f>
        <v/>
      </c>
      <c r="J154" s="22">
        <f>IF(OR($B154="",$I154="",$E154=0,$F154=0),"",$I154/($E154*$F154))</f>
        <v/>
      </c>
      <c r="K154" s="4" t="n">
        <v>512.66</v>
      </c>
      <c r="L154" s="21">
        <f>IF(OR($B154="",$I154=""),"",$I154-IF($K154="",0,$K154))</f>
        <v/>
      </c>
      <c r="M154" s="22">
        <f>IF(OR($B154="",$L154="",$E154=0,$F154=0),"",$L154/($E154*$F154))</f>
        <v/>
      </c>
      <c r="N154" s="27">
        <f>IF($B154="","",IF($H154="","Open","Closed"))</f>
        <v/>
      </c>
      <c r="O154" s="23" t="inlineStr">
        <is>
          <t>Untagged</t>
        </is>
      </c>
    </row>
    <row r="155">
      <c r="A155" s="23" t="inlineStr">
        <is>
          <t>DHAN-34126091550609</t>
        </is>
      </c>
      <c r="B155" s="23" t="inlineStr">
        <is>
          <t>SMSPHARMA</t>
        </is>
      </c>
      <c r="C155" s="23" t="inlineStr">
        <is>
          <t>SHORT</t>
        </is>
      </c>
      <c r="D155" s="24" t="n">
        <v>46280</v>
      </c>
      <c r="E155" s="25" t="n">
        <v>409.8</v>
      </c>
      <c r="F155" s="26" t="n">
        <v>391</v>
      </c>
      <c r="G155" s="24" t="n">
        <v>46280</v>
      </c>
      <c r="H155" s="25" t="n">
        <v>407.7166</v>
      </c>
      <c r="I155" s="21">
        <f>IF(OR($B155="",$H155=""),"",IF($C155="LONG",($H155-$E155)*$F155,($E155-$H155)*$F155))</f>
        <v/>
      </c>
      <c r="J155" s="22">
        <f>IF(OR($B155="",$I155="",$E155=0,$F155=0),"",$I155/($E155*$F155))</f>
        <v/>
      </c>
      <c r="K155" s="4" t="n">
        <v>200.3</v>
      </c>
      <c r="L155" s="21">
        <f>IF(OR($B155="",$I155=""),"",$I155-IF($K155="",0,$K155))</f>
        <v/>
      </c>
      <c r="M155" s="22">
        <f>IF(OR($B155="",$L155="",$E155=0,$F155=0),"",$L155/($E155*$F155))</f>
        <v/>
      </c>
      <c r="N155" s="27">
        <f>IF($B155="","",IF($H155="","Open","Closed"))</f>
        <v/>
      </c>
      <c r="O155" s="23" t="inlineStr">
        <is>
          <t>Untagged</t>
        </is>
      </c>
    </row>
    <row r="156">
      <c r="A156" s="23" t="inlineStr">
        <is>
          <t>DHAN-23126091659109</t>
        </is>
      </c>
      <c r="B156" s="23" t="inlineStr">
        <is>
          <t>EMUDHRA</t>
        </is>
      </c>
      <c r="C156" s="23" t="inlineStr">
        <is>
          <t>LONG</t>
        </is>
      </c>
      <c r="D156" s="24" t="n">
        <v>46281</v>
      </c>
      <c r="E156" s="25" t="n">
        <v>635.303</v>
      </c>
      <c r="F156" s="26" t="n">
        <v>395</v>
      </c>
      <c r="G156" s="24" t="n">
        <v>46282</v>
      </c>
      <c r="H156" s="25" t="n">
        <v>634</v>
      </c>
      <c r="I156" s="21">
        <f>IF(OR($B156="",$H156=""),"",IF($C156="LONG",($H156-$E156)*$F156,($E156-$H156)*$F156))</f>
        <v/>
      </c>
      <c r="J156" s="22">
        <f>IF(OR($B156="",$I156="",$E156=0,$F156=0),"",$I156/($E156*$F156))</f>
        <v/>
      </c>
      <c r="K156" s="4" t="n">
        <v>435.16</v>
      </c>
      <c r="L156" s="21">
        <f>IF(OR($B156="",$I156=""),"",$I156-IF($K156="",0,$K156))</f>
        <v/>
      </c>
      <c r="M156" s="22">
        <f>IF(OR($B156="",$L156="",$E156=0,$F156=0),"",$L156/($E156*$F156))</f>
        <v/>
      </c>
      <c r="N156" s="27">
        <f>IF($B156="","",IF($H156="","Open","Closed"))</f>
        <v/>
      </c>
      <c r="O156" s="23" t="inlineStr">
        <is>
          <t>Untagged</t>
        </is>
      </c>
    </row>
    <row r="157">
      <c r="A157" s="23" t="inlineStr">
        <is>
          <t>DHAN-23126091746909</t>
        </is>
      </c>
      <c r="B157" s="23" t="inlineStr">
        <is>
          <t>EMUDHRA</t>
        </is>
      </c>
      <c r="C157" s="23" t="inlineStr">
        <is>
          <t>SHORT</t>
        </is>
      </c>
      <c r="D157" s="24" t="n">
        <v>46282</v>
      </c>
      <c r="E157" s="25" t="n">
        <v>633.678</v>
      </c>
      <c r="F157" s="26" t="n">
        <v>395</v>
      </c>
      <c r="G157" s="24" t="n">
        <v>46282</v>
      </c>
      <c r="H157" s="25" t="n">
        <v>648.2501999999999</v>
      </c>
      <c r="I157" s="21">
        <f>IF(OR($B157="",$H157=""),"",IF($C157="LONG",($H157-$E157)*$F157,($E157-$H157)*$F157))</f>
        <v/>
      </c>
      <c r="J157" s="22">
        <f>IF(OR($B157="",$I157="",$E157=0,$F157=0),"",$I157/($E157*$F157))</f>
        <v/>
      </c>
      <c r="K157" s="4" t="n">
        <v>365.55</v>
      </c>
      <c r="L157" s="21">
        <f>IF(OR($B157="",$I157=""),"",$I157-IF($K157="",0,$K157))</f>
        <v/>
      </c>
      <c r="M157" s="22">
        <f>IF(OR($B157="",$L157="",$E157=0,$F157=0),"",$L157/($E157*$F157))</f>
        <v/>
      </c>
      <c r="N157" s="27">
        <f>IF($B157="","",IF($H157="","Open","Closed"))</f>
        <v/>
      </c>
      <c r="O157" s="23" t="inlineStr">
        <is>
          <t>Untagged</t>
        </is>
      </c>
    </row>
    <row r="158">
      <c r="A158" s="23" t="inlineStr">
        <is>
          <t>DHAN-34126091663709</t>
        </is>
      </c>
      <c r="B158" s="23" t="inlineStr">
        <is>
          <t>FOSECOIND</t>
        </is>
      </c>
      <c r="C158" s="23" t="inlineStr">
        <is>
          <t>LONG</t>
        </is>
      </c>
      <c r="D158" s="24" t="n">
        <v>46281</v>
      </c>
      <c r="E158" s="25" t="n">
        <v>6778.811</v>
      </c>
      <c r="F158" s="26" t="n">
        <v>37</v>
      </c>
      <c r="G158" s="24" t="n">
        <v>46282</v>
      </c>
      <c r="H158" s="25" t="n">
        <v>6992.324</v>
      </c>
      <c r="I158" s="21">
        <f>IF(OR($B158="",$H158=""),"",IF($C158="LONG",($H158-$E158)*$F158,($E158-$H158)*$F158))</f>
        <v/>
      </c>
      <c r="J158" s="22">
        <f>IF(OR($B158="",$I158="",$E158=0,$F158=0),"",$I158/($E158*$F158))</f>
        <v/>
      </c>
      <c r="K158" s="4" t="n">
        <v>524.72</v>
      </c>
      <c r="L158" s="21">
        <f>IF(OR($B158="",$I158=""),"",$I158-IF($K158="",0,$K158))</f>
        <v/>
      </c>
      <c r="M158" s="22">
        <f>IF(OR($B158="",$L158="",$E158=0,$F158=0),"",$L158/($E158*$F158))</f>
        <v/>
      </c>
      <c r="N158" s="27">
        <f>IF($B158="","",IF($H158="","Open","Closed"))</f>
        <v/>
      </c>
      <c r="O158" s="23" t="inlineStr">
        <is>
          <t>Untagged</t>
        </is>
      </c>
    </row>
    <row r="159">
      <c r="A159" s="23" t="inlineStr">
        <is>
          <t>DHAN-23126091718009</t>
        </is>
      </c>
      <c r="B159" s="23" t="inlineStr">
        <is>
          <t>FOSECOIND</t>
        </is>
      </c>
      <c r="C159" s="23" t="inlineStr">
        <is>
          <t>SHORT</t>
        </is>
      </c>
      <c r="D159" s="24" t="n">
        <v>46282</v>
      </c>
      <c r="E159" s="25" t="n">
        <v>6984.243</v>
      </c>
      <c r="F159" s="26" t="n">
        <v>37</v>
      </c>
      <c r="G159" s="24" t="n">
        <v>46282</v>
      </c>
      <c r="H159" s="25" t="n">
        <v>6814.2974</v>
      </c>
      <c r="I159" s="21">
        <f>IF(OR($B159="",$H159=""),"",IF($C159="LONG",($H159-$E159)*$F159,($E159-$H159)*$F159))</f>
        <v/>
      </c>
      <c r="J159" s="22">
        <f>IF(OR($B159="",$I159="",$E159=0,$F159=0),"",$I159/($E159*$F159))</f>
        <v/>
      </c>
      <c r="K159" s="4" t="n">
        <v>306.98</v>
      </c>
      <c r="L159" s="21">
        <f>IF(OR($B159="",$I159=""),"",$I159-IF($K159="",0,$K159))</f>
        <v/>
      </c>
      <c r="M159" s="22">
        <f>IF(OR($B159="",$L159="",$E159=0,$F159=0),"",$L159/($E159*$F159))</f>
        <v/>
      </c>
      <c r="N159" s="27">
        <f>IF($B159="","",IF($H159="","Open","Closed"))</f>
        <v/>
      </c>
      <c r="O159" s="23" t="inlineStr">
        <is>
          <t>Untagged</t>
        </is>
      </c>
    </row>
    <row r="160">
      <c r="A160" s="23" t="inlineStr">
        <is>
          <t>DHAN-221260916649209</t>
        </is>
      </c>
      <c r="B160" s="23" t="inlineStr">
        <is>
          <t>IPL</t>
        </is>
      </c>
      <c r="C160" s="23" t="inlineStr">
        <is>
          <t>LONG</t>
        </is>
      </c>
      <c r="D160" s="24" t="n">
        <v>46281</v>
      </c>
      <c r="E160" s="25" t="n">
        <v>136.1157</v>
      </c>
      <c r="F160" s="26" t="n">
        <v>1842</v>
      </c>
      <c r="G160" s="24" t="n">
        <v>46282</v>
      </c>
      <c r="H160" s="25" t="n">
        <v>136.6183</v>
      </c>
      <c r="I160" s="21">
        <f>IF(OR($B160="",$H160=""),"",IF($C160="LONG",($H160-$E160)*$F160,($E160-$H160)*$F160))</f>
        <v/>
      </c>
      <c r="J160" s="22">
        <f>IF(OR($B160="",$I160="",$E160=0,$F160=0),"",$I160/($E160*$F160))</f>
        <v/>
      </c>
      <c r="K160" s="4" t="n">
        <v>519.0599999999999</v>
      </c>
      <c r="L160" s="21">
        <f>IF(OR($B160="",$I160=""),"",$I160-IF($K160="",0,$K160))</f>
        <v/>
      </c>
      <c r="M160" s="22">
        <f>IF(OR($B160="",$L160="",$E160=0,$F160=0),"",$L160/($E160*$F160))</f>
        <v/>
      </c>
      <c r="N160" s="27">
        <f>IF($B160="","",IF($H160="","Open","Closed"))</f>
        <v/>
      </c>
      <c r="O160" s="23" t="inlineStr">
        <is>
          <t>Untagged</t>
        </is>
      </c>
    </row>
    <row r="161">
      <c r="A161" s="23" t="inlineStr">
        <is>
          <t>DHAN-34126091721009</t>
        </is>
      </c>
      <c r="B161" s="23" t="inlineStr">
        <is>
          <t>IPL</t>
        </is>
      </c>
      <c r="C161" s="23" t="inlineStr">
        <is>
          <t>SHORT</t>
        </is>
      </c>
      <c r="D161" s="24" t="n">
        <v>46282</v>
      </c>
      <c r="E161" s="25" t="n">
        <v>136.5789</v>
      </c>
      <c r="F161" s="26" t="n">
        <v>1842</v>
      </c>
      <c r="G161" s="24" t="n">
        <v>46282</v>
      </c>
      <c r="H161" s="25" t="n">
        <v>138.1175</v>
      </c>
      <c r="I161" s="21">
        <f>IF(OR($B161="",$H161=""),"",IF($C161="LONG",($H161-$E161)*$F161,($E161-$H161)*$F161))</f>
        <v/>
      </c>
      <c r="J161" s="22">
        <f>IF(OR($B161="",$I161="",$E161=0,$F161=0),"",$I161/($E161*$F161))</f>
        <v/>
      </c>
      <c r="K161" s="4" t="n">
        <v>302.7</v>
      </c>
      <c r="L161" s="21">
        <f>IF(OR($B161="",$I161=""),"",$I161-IF($K161="",0,$K161))</f>
        <v/>
      </c>
      <c r="M161" s="22">
        <f>IF(OR($B161="",$L161="",$E161=0,$F161=0),"",$L161/($E161*$F161))</f>
        <v/>
      </c>
      <c r="N161" s="27">
        <f>IF($B161="","",IF($H161="","Open","Closed"))</f>
        <v/>
      </c>
      <c r="O161" s="23" t="inlineStr">
        <is>
          <t>Untagged</t>
        </is>
      </c>
    </row>
    <row r="162">
      <c r="A162" s="23" t="inlineStr">
        <is>
          <t>DHAN-221260916649109</t>
        </is>
      </c>
      <c r="B162" s="23" t="inlineStr">
        <is>
          <t>NPST</t>
        </is>
      </c>
      <c r="C162" s="23" t="inlineStr">
        <is>
          <t>LONG</t>
        </is>
      </c>
      <c r="D162" s="24" t="n">
        <v>46281</v>
      </c>
      <c r="E162" s="25" t="n">
        <v>1848.2214</v>
      </c>
      <c r="F162" s="26" t="n">
        <v>135</v>
      </c>
      <c r="G162" s="24" t="n">
        <v>46282</v>
      </c>
      <c r="H162" s="25" t="n">
        <v>1877.0074</v>
      </c>
      <c r="I162" s="21">
        <f>IF(OR($B162="",$H162=""),"",IF($C162="LONG",($H162-$E162)*$F162,($E162-$H162)*$F162))</f>
        <v/>
      </c>
      <c r="J162" s="22">
        <f>IF(OR($B162="",$I162="",$E162=0,$F162=0),"",$I162/($E162*$F162))</f>
        <v/>
      </c>
      <c r="K162" s="4" t="n">
        <v>517.4400000000001</v>
      </c>
      <c r="L162" s="21">
        <f>IF(OR($B162="",$I162=""),"",$I162-IF($K162="",0,$K162))</f>
        <v/>
      </c>
      <c r="M162" s="22">
        <f>IF(OR($B162="",$L162="",$E162=0,$F162=0),"",$L162/($E162*$F162))</f>
        <v/>
      </c>
      <c r="N162" s="27">
        <f>IF($B162="","",IF($H162="","Open","Closed"))</f>
        <v/>
      </c>
      <c r="O162" s="23" t="inlineStr">
        <is>
          <t>Untagged</t>
        </is>
      </c>
    </row>
    <row r="163">
      <c r="A163" s="23" t="inlineStr">
        <is>
          <t>DHAN-22126091785509</t>
        </is>
      </c>
      <c r="B163" s="23" t="inlineStr">
        <is>
          <t>NPST</t>
        </is>
      </c>
      <c r="C163" s="23" t="inlineStr">
        <is>
          <t>SHORT</t>
        </is>
      </c>
      <c r="D163" s="24" t="n">
        <v>46282</v>
      </c>
      <c r="E163" s="25" t="n">
        <v>1880.0497</v>
      </c>
      <c r="F163" s="26" t="n">
        <v>135</v>
      </c>
      <c r="G163" s="24" t="n">
        <v>46282</v>
      </c>
      <c r="H163" s="25" t="n">
        <v>1855.7349</v>
      </c>
      <c r="I163" s="21">
        <f>IF(OR($B163="",$H163=""),"",IF($C163="LONG",($H163-$E163)*$F163,($E163-$H163)*$F163))</f>
        <v/>
      </c>
      <c r="J163" s="22">
        <f>IF(OR($B163="",$I163="",$E163=0,$F163=0),"",$I163/($E163*$F163))</f>
        <v/>
      </c>
      <c r="K163" s="4" t="n">
        <v>302.56</v>
      </c>
      <c r="L163" s="21">
        <f>IF(OR($B163="",$I163=""),"",$I163-IF($K163="",0,$K163))</f>
        <v/>
      </c>
      <c r="M163" s="22">
        <f>IF(OR($B163="",$L163="",$E163=0,$F163=0),"",$L163/($E163*$F163))</f>
        <v/>
      </c>
      <c r="N163" s="27">
        <f>IF($B163="","",IF($H163="","Open","Closed"))</f>
        <v/>
      </c>
      <c r="O163" s="23" t="inlineStr">
        <is>
          <t>Untagged</t>
        </is>
      </c>
    </row>
    <row r="164">
      <c r="A164" s="23" t="inlineStr">
        <is>
          <t>DHAN-34126091663809</t>
        </is>
      </c>
      <c r="B164" s="23" t="inlineStr">
        <is>
          <t>ROSSTECH</t>
        </is>
      </c>
      <c r="C164" s="23" t="inlineStr">
        <is>
          <t>LONG</t>
        </is>
      </c>
      <c r="D164" s="24" t="n">
        <v>46281</v>
      </c>
      <c r="E164" s="25" t="n">
        <v>1340.8882</v>
      </c>
      <c r="F164" s="26" t="n">
        <v>186</v>
      </c>
      <c r="G164" s="24" t="n">
        <v>46282</v>
      </c>
      <c r="H164" s="25" t="n">
        <v>1364.2269</v>
      </c>
      <c r="I164" s="21">
        <f>IF(OR($B164="",$H164=""),"",IF($C164="LONG",($H164-$E164)*$F164,($E164-$H164)*$F164))</f>
        <v/>
      </c>
      <c r="J164" s="22">
        <f>IF(OR($B164="",$I164="",$E164=0,$F164=0),"",$I164/($E164*$F164))</f>
        <v/>
      </c>
      <c r="K164" s="4" t="n">
        <v>445.64</v>
      </c>
      <c r="L164" s="21">
        <f>IF(OR($B164="",$I164=""),"",$I164-IF($K164="",0,$K164))</f>
        <v/>
      </c>
      <c r="M164" s="22">
        <f>IF(OR($B164="",$L164="",$E164=0,$F164=0),"",$L164/($E164*$F164))</f>
        <v/>
      </c>
      <c r="N164" s="27">
        <f>IF($B164="","",IF($H164="","Open","Closed"))</f>
        <v/>
      </c>
      <c r="O164" s="23" t="inlineStr">
        <is>
          <t>Untagged</t>
        </is>
      </c>
    </row>
    <row r="165">
      <c r="A165" s="23" t="inlineStr">
        <is>
          <t>DHAN-22126091785609</t>
        </is>
      </c>
      <c r="B165" s="23" t="inlineStr">
        <is>
          <t>ROSSTECH</t>
        </is>
      </c>
      <c r="C165" s="23" t="inlineStr">
        <is>
          <t>SHORT</t>
        </is>
      </c>
      <c r="D165" s="24" t="n">
        <v>46282</v>
      </c>
      <c r="E165" s="25" t="n">
        <v>1366.5123</v>
      </c>
      <c r="F165" s="26" t="n">
        <v>186</v>
      </c>
      <c r="G165" s="24" t="n">
        <v>46282</v>
      </c>
      <c r="H165" s="25" t="n">
        <v>1364.1118</v>
      </c>
      <c r="I165" s="21">
        <f>IF(OR($B165="",$H165=""),"",IF($C165="LONG",($H165-$E165)*$F165,($E165-$H165)*$F165))</f>
        <v/>
      </c>
      <c r="J165" s="22">
        <f>IF(OR($B165="",$I165="",$E165=0,$F165=0),"",$I165/($E165*$F165))</f>
        <v/>
      </c>
      <c r="K165" s="4" t="n">
        <v>367.56</v>
      </c>
      <c r="L165" s="21">
        <f>IF(OR($B165="",$I165=""),"",$I165-IF($K165="",0,$K165))</f>
        <v/>
      </c>
      <c r="M165" s="22">
        <f>IF(OR($B165="",$L165="",$E165=0,$F165=0),"",$L165/($E165*$F165))</f>
        <v/>
      </c>
      <c r="N165" s="27">
        <f>IF($B165="","",IF($H165="","Open","Closed"))</f>
        <v/>
      </c>
      <c r="O165" s="23" t="inlineStr">
        <is>
          <t>Untagged</t>
        </is>
      </c>
    </row>
    <row r="166">
      <c r="A166" s="23" t="inlineStr">
        <is>
          <t>DHAN-221260916649309</t>
        </is>
      </c>
      <c r="B166" s="23" t="inlineStr">
        <is>
          <t>SAATVIKGL</t>
        </is>
      </c>
      <c r="C166" s="23" t="inlineStr">
        <is>
          <t>LONG</t>
        </is>
      </c>
      <c r="D166" s="24" t="n">
        <v>46281</v>
      </c>
      <c r="E166" s="25" t="n">
        <v>414.316</v>
      </c>
      <c r="F166" s="26" t="n">
        <v>603</v>
      </c>
      <c r="G166" s="24" t="n">
        <v>46282</v>
      </c>
      <c r="H166" s="25" t="n">
        <v>407.7921</v>
      </c>
      <c r="I166" s="21">
        <f>IF(OR($B166="",$H166=""),"",IF($C166="LONG",($H166-$E166)*$F166,($E166-$H166)*$F166))</f>
        <v/>
      </c>
      <c r="J166" s="22">
        <f>IF(OR($B166="",$I166="",$E166=0,$F166=0),"",$I166/($E166*$F166))</f>
        <v/>
      </c>
      <c r="K166" s="4" t="n">
        <v>461.87</v>
      </c>
      <c r="L166" s="21">
        <f>IF(OR($B166="",$I166=""),"",$I166-IF($K166="",0,$K166))</f>
        <v/>
      </c>
      <c r="M166" s="22">
        <f>IF(OR($B166="",$L166="",$E166=0,$F166=0),"",$L166/($E166*$F166))</f>
        <v/>
      </c>
      <c r="N166" s="27">
        <f>IF($B166="","",IF($H166="","Open","Closed"))</f>
        <v/>
      </c>
      <c r="O166" s="23" t="inlineStr">
        <is>
          <t>Untagged</t>
        </is>
      </c>
    </row>
    <row r="167">
      <c r="A167" s="23" t="inlineStr">
        <is>
          <t>DHAN-221260917413309</t>
        </is>
      </c>
      <c r="B167" s="23" t="inlineStr">
        <is>
          <t>SAATVIKGL</t>
        </is>
      </c>
      <c r="C167" s="23" t="inlineStr">
        <is>
          <t>SHORT</t>
        </is>
      </c>
      <c r="D167" s="24" t="n">
        <v>46282</v>
      </c>
      <c r="E167" s="25" t="n">
        <v>407.1779</v>
      </c>
      <c r="F167" s="26" t="n">
        <v>603</v>
      </c>
      <c r="G167" s="24" t="n">
        <v>46282</v>
      </c>
      <c r="H167" s="25" t="n">
        <v>404.5646</v>
      </c>
      <c r="I167" s="21">
        <f>IF(OR($B167="",$H167=""),"",IF($C167="LONG",($H167-$E167)*$F167,($E167-$H167)*$F167))</f>
        <v/>
      </c>
      <c r="J167" s="22">
        <f>IF(OR($B167="",$I167="",$E167=0,$F167=0),"",$I167/($E167*$F167))</f>
        <v/>
      </c>
      <c r="K167" s="4" t="n">
        <v>355.64</v>
      </c>
      <c r="L167" s="21">
        <f>IF(OR($B167="",$I167=""),"",$I167-IF($K167="",0,$K167))</f>
        <v/>
      </c>
      <c r="M167" s="22">
        <f>IF(OR($B167="",$L167="",$E167=0,$F167=0),"",$L167/($E167*$F167))</f>
        <v/>
      </c>
      <c r="N167" s="27">
        <f>IF($B167="","",IF($H167="","Open","Closed"))</f>
        <v/>
      </c>
      <c r="O167" s="23" t="inlineStr">
        <is>
          <t>Untagged</t>
        </is>
      </c>
    </row>
    <row r="168">
      <c r="A168" s="23" t="inlineStr">
        <is>
          <t>DHAN-221260917656409</t>
        </is>
      </c>
      <c r="B168" s="23" t="inlineStr">
        <is>
          <t>SHAREINDIA</t>
        </is>
      </c>
      <c r="C168" s="23" t="inlineStr">
        <is>
          <t>LONG</t>
        </is>
      </c>
      <c r="D168" s="24" t="n">
        <v>46282</v>
      </c>
      <c r="E168" s="25" t="n">
        <v>219.5</v>
      </c>
      <c r="F168" s="26" t="n">
        <v>1722</v>
      </c>
      <c r="G168" s="24" t="n">
        <v>46283</v>
      </c>
      <c r="H168" s="25" t="n">
        <v>222.63</v>
      </c>
      <c r="I168" s="21">
        <f>IF(OR($B168="",$H168=""),"",IF($C168="LONG",($H168-$E168)*$F168,($E168-$H168)*$F168))</f>
        <v/>
      </c>
      <c r="J168" s="22">
        <f>IF(OR($B168="",$I168="",$E168=0,$F168=0),"",$I168/($E168*$F168))</f>
        <v/>
      </c>
      <c r="K168" s="4" t="n">
        <v>626.4400000000001</v>
      </c>
      <c r="L168" s="21">
        <f>IF(OR($B168="",$I168=""),"",$I168-IF($K168="",0,$K168))</f>
        <v/>
      </c>
      <c r="M168" s="22">
        <f>IF(OR($B168="",$L168="",$E168=0,$F168=0),"",$L168/($E168*$F168))</f>
        <v/>
      </c>
      <c r="N168" s="27">
        <f>IF($B168="","",IF($H168="","Open","Closed"))</f>
        <v/>
      </c>
      <c r="O168" s="23" t="inlineStr">
        <is>
          <t>Untagged</t>
        </is>
      </c>
    </row>
    <row r="169">
      <c r="A169" s="23" t="inlineStr">
        <is>
          <t>DHAN-34126091813609</t>
        </is>
      </c>
      <c r="B169" s="23" t="inlineStr">
        <is>
          <t>SHAREINDIA</t>
        </is>
      </c>
      <c r="C169" s="23" t="inlineStr">
        <is>
          <t>SHORT</t>
        </is>
      </c>
      <c r="D169" s="24" t="n">
        <v>46283</v>
      </c>
      <c r="E169" s="25" t="n">
        <v>223.51</v>
      </c>
      <c r="F169" s="26" t="n">
        <v>1722</v>
      </c>
      <c r="G169" s="24" t="n">
        <v>46283</v>
      </c>
      <c r="H169" s="25" t="n">
        <v>227.78</v>
      </c>
      <c r="I169" s="21">
        <f>IF(OR($B169="",$H169=""),"",IF($C169="LONG",($H169-$E169)*$F169,($E169-$H169)*$F169))</f>
        <v/>
      </c>
      <c r="J169" s="22">
        <f>IF(OR($B169="",$I169="",$E169=0,$F169=0),"",$I169/($E169*$F169))</f>
        <v/>
      </c>
      <c r="K169" s="4" t="n">
        <v>548.39</v>
      </c>
      <c r="L169" s="21">
        <f>IF(OR($B169="",$I169=""),"",$I169-IF($K169="",0,$K169))</f>
        <v/>
      </c>
      <c r="M169" s="22">
        <f>IF(OR($B169="",$L169="",$E169=0,$F169=0),"",$L169/($E169*$F169))</f>
        <v/>
      </c>
      <c r="N169" s="27">
        <f>IF($B169="","",IF($H169="","Open","Closed"))</f>
        <v/>
      </c>
      <c r="O169" s="23" t="inlineStr">
        <is>
          <t>Untagged</t>
        </is>
      </c>
    </row>
    <row r="170">
      <c r="A170" s="23" t="inlineStr">
        <is>
          <t>DHAN-321260917609709</t>
        </is>
      </c>
      <c r="B170" s="23" t="inlineStr">
        <is>
          <t>VENUSPIPES</t>
        </is>
      </c>
      <c r="C170" s="23" t="inlineStr">
        <is>
          <t>LONG</t>
        </is>
      </c>
      <c r="D170" s="24" t="n">
        <v>46282</v>
      </c>
      <c r="E170" s="25" t="n">
        <v>2134.6694</v>
      </c>
      <c r="F170" s="26" t="n">
        <v>176</v>
      </c>
      <c r="G170" s="24" t="n">
        <v>46283</v>
      </c>
      <c r="H170" s="25" t="n">
        <v>2164.58</v>
      </c>
      <c r="I170" s="21">
        <f>IF(OR($B170="",$H170=""),"",IF($C170="LONG",($H170-$E170)*$F170,($E170-$H170)*$F170))</f>
        <v/>
      </c>
      <c r="J170" s="22">
        <f>IF(OR($B170="",$I170="",$E170=0,$F170=0),"",$I170/($E170*$F170))</f>
        <v/>
      </c>
      <c r="K170" s="4" t="n">
        <v>634.4299999999999</v>
      </c>
      <c r="L170" s="21">
        <f>IF(OR($B170="",$I170=""),"",$I170-IF($K170="",0,$K170))</f>
        <v/>
      </c>
      <c r="M170" s="22">
        <f>IF(OR($B170="",$L170="",$E170=0,$F170=0),"",$L170/($E170*$F170))</f>
        <v/>
      </c>
      <c r="N170" s="27">
        <f>IF($B170="","",IF($H170="","Open","Closed"))</f>
        <v/>
      </c>
      <c r="O170" s="23" t="inlineStr">
        <is>
          <t>Untagged</t>
        </is>
      </c>
    </row>
    <row r="171">
      <c r="A171" s="23" t="inlineStr">
        <is>
          <t>DHAN-22126091853309</t>
        </is>
      </c>
      <c r="B171" s="23" t="inlineStr">
        <is>
          <t>VENUSPIPES</t>
        </is>
      </c>
      <c r="C171" s="23" t="inlineStr">
        <is>
          <t>SHORT</t>
        </is>
      </c>
      <c r="D171" s="24" t="n">
        <v>46283</v>
      </c>
      <c r="E171" s="25" t="n">
        <v>2168.7</v>
      </c>
      <c r="F171" s="26" t="n">
        <v>176</v>
      </c>
      <c r="G171" s="24" t="n">
        <v>46283</v>
      </c>
      <c r="H171" s="25" t="n">
        <v>2291</v>
      </c>
      <c r="I171" s="21">
        <f>IF(OR($B171="",$H171=""),"",IF($C171="LONG",($H171-$E171)*$F171,($E171-$H171)*$F171))</f>
        <v/>
      </c>
      <c r="J171" s="22">
        <f>IF(OR($B171="",$I171="",$E171=0,$F171=0),"",$I171/($E171*$F171))</f>
        <v/>
      </c>
      <c r="K171" s="4" t="n">
        <v>550.84</v>
      </c>
      <c r="L171" s="21">
        <f>IF(OR($B171="",$I171=""),"",$I171-IF($K171="",0,$K171))</f>
        <v/>
      </c>
      <c r="M171" s="22">
        <f>IF(OR($B171="",$L171="",$E171=0,$F171=0),"",$L171/($E171*$F171))</f>
        <v/>
      </c>
      <c r="N171" s="27">
        <f>IF($B171="","",IF($H171="","Open","Closed"))</f>
        <v/>
      </c>
      <c r="O171" s="23" t="inlineStr">
        <is>
          <t>Untagged</t>
        </is>
      </c>
    </row>
    <row r="172">
      <c r="A172" s="23" t="inlineStr">
        <is>
          <t>DHAN-34126091878509</t>
        </is>
      </c>
      <c r="B172" s="23" t="inlineStr">
        <is>
          <t>GRAUWEIL</t>
        </is>
      </c>
      <c r="C172" s="23" t="inlineStr">
        <is>
          <t>LONG</t>
        </is>
      </c>
      <c r="D172" s="24" t="n">
        <v>46283</v>
      </c>
      <c r="E172" s="25" t="n">
        <v>86.8737</v>
      </c>
      <c r="F172" s="26" t="n">
        <v>1726</v>
      </c>
      <c r="G172" s="24" t="n">
        <v>46286</v>
      </c>
      <c r="H172" s="25" t="n">
        <v>85.17</v>
      </c>
      <c r="I172" s="21">
        <f>IF(OR($B172="",$H172=""),"",IF($C172="LONG",($H172-$E172)*$F172,($E172-$H172)*$F172))</f>
        <v/>
      </c>
      <c r="J172" s="22">
        <f>IF(OR($B172="",$I172="",$E172=0,$F172=0),"",$I172/($E172*$F172))</f>
        <v/>
      </c>
      <c r="K172" s="4" t="n">
        <v>258.56</v>
      </c>
      <c r="L172" s="21">
        <f>IF(OR($B172="",$I172=""),"",$I172-IF($K172="",0,$K172))</f>
        <v/>
      </c>
      <c r="M172" s="22">
        <f>IF(OR($B172="",$L172="",$E172=0,$F172=0),"",$L172/($E172*$F172))</f>
        <v/>
      </c>
      <c r="N172" s="27">
        <f>IF($B172="","",IF($H172="","Open","Closed"))</f>
        <v/>
      </c>
      <c r="O172" s="23" t="inlineStr">
        <is>
          <t>Untagged</t>
        </is>
      </c>
    </row>
    <row r="173">
      <c r="A173" s="23" t="inlineStr">
        <is>
          <t>DHAN-321260921417509</t>
        </is>
      </c>
      <c r="B173" s="23" t="inlineStr">
        <is>
          <t>GRAUWEIL</t>
        </is>
      </c>
      <c r="C173" s="23" t="inlineStr">
        <is>
          <t>SHORT</t>
        </is>
      </c>
      <c r="D173" s="24" t="n">
        <v>46286</v>
      </c>
      <c r="E173" s="25" t="n">
        <v>85.12</v>
      </c>
      <c r="F173" s="26" t="n">
        <v>1726</v>
      </c>
      <c r="G173" s="24" t="n">
        <v>46286</v>
      </c>
      <c r="H173" s="25" t="n">
        <v>84.69</v>
      </c>
      <c r="I173" s="21">
        <f>IF(OR($B173="",$H173=""),"",IF($C173="LONG",($H173-$E173)*$F173,($E173-$H173)*$F173))</f>
        <v/>
      </c>
      <c r="J173" s="22">
        <f>IF(OR($B173="",$I173="",$E173=0,$F173=0),"",$I173/($E173*$F173))</f>
        <v/>
      </c>
      <c r="K173" s="4" t="n">
        <v>185.64</v>
      </c>
      <c r="L173" s="21">
        <f>IF(OR($B173="",$I173=""),"",$I173-IF($K173="",0,$K173))</f>
        <v/>
      </c>
      <c r="M173" s="22">
        <f>IF(OR($B173="",$L173="",$E173=0,$F173=0),"",$L173/($E173*$F173))</f>
        <v/>
      </c>
      <c r="N173" s="27">
        <f>IF($B173="","",IF($H173="","Open","Closed"))</f>
        <v/>
      </c>
      <c r="O173" s="23" t="inlineStr">
        <is>
          <t>Untagged</t>
        </is>
      </c>
    </row>
    <row r="174">
      <c r="A174" s="23" t="inlineStr">
        <is>
          <t>DHAN-221260918730609</t>
        </is>
      </c>
      <c r="B174" s="23" t="inlineStr">
        <is>
          <t>LUXIND</t>
        </is>
      </c>
      <c r="C174" s="23" t="inlineStr">
        <is>
          <t>LONG</t>
        </is>
      </c>
      <c r="D174" s="24" t="n">
        <v>46283</v>
      </c>
      <c r="E174" s="25" t="n">
        <v>1139.811</v>
      </c>
      <c r="F174" s="26" t="n">
        <v>263</v>
      </c>
      <c r="G174" s="24" t="n">
        <v>46286</v>
      </c>
      <c r="H174" s="25" t="n">
        <v>1139.97</v>
      </c>
      <c r="I174" s="21">
        <f>IF(OR($B174="",$H174=""),"",IF($C174="LONG",($H174-$E174)*$F174,($E174-$H174)*$F174))</f>
        <v/>
      </c>
      <c r="J174" s="22">
        <f>IF(OR($B174="",$I174="",$E174=0,$F174=0),"",$I174/($E174*$F174))</f>
        <v/>
      </c>
      <c r="K174" s="4" t="n">
        <v>661.54</v>
      </c>
      <c r="L174" s="21">
        <f>IF(OR($B174="",$I174=""),"",$I174-IF($K174="",0,$K174))</f>
        <v/>
      </c>
      <c r="M174" s="22">
        <f>IF(OR($B174="",$L174="",$E174=0,$F174=0),"",$L174/($E174*$F174))</f>
        <v/>
      </c>
      <c r="N174" s="27">
        <f>IF($B174="","",IF($H174="","Open","Closed"))</f>
        <v/>
      </c>
      <c r="O174" s="23" t="inlineStr">
        <is>
          <t>Untagged</t>
        </is>
      </c>
    </row>
    <row r="175">
      <c r="A175" s="23" t="inlineStr">
        <is>
          <t>DHAN-23126092113309</t>
        </is>
      </c>
      <c r="B175" s="23" t="inlineStr">
        <is>
          <t>LUXIND</t>
        </is>
      </c>
      <c r="C175" s="23" t="inlineStr">
        <is>
          <t>SHORT</t>
        </is>
      </c>
      <c r="D175" s="24" t="n">
        <v>46286</v>
      </c>
      <c r="E175" s="25" t="n">
        <v>1142.1</v>
      </c>
      <c r="F175" s="26" t="n">
        <v>263</v>
      </c>
      <c r="G175" s="24" t="n">
        <v>46286</v>
      </c>
      <c r="H175" s="25" t="n">
        <v>1197.67</v>
      </c>
      <c r="I175" s="21">
        <f>IF(OR($B175="",$H175=""),"",IF($C175="LONG",($H175-$E175)*$F175,($E175-$H175)*$F175))</f>
        <v/>
      </c>
      <c r="J175" s="22">
        <f>IF(OR($B175="",$I175="",$E175=0,$F175=0),"",$I175/($E175*$F175))</f>
        <v/>
      </c>
      <c r="K175" s="4" t="n">
        <v>436.71</v>
      </c>
      <c r="L175" s="21">
        <f>IF(OR($B175="",$I175=""),"",$I175-IF($K175="",0,$K175))</f>
        <v/>
      </c>
      <c r="M175" s="22">
        <f>IF(OR($B175="",$L175="",$E175=0,$F175=0),"",$L175/($E175*$F175))</f>
        <v/>
      </c>
      <c r="N175" s="27">
        <f>IF($B175="","",IF($H175="","Open","Closed"))</f>
        <v/>
      </c>
      <c r="O175" s="23" t="inlineStr">
        <is>
          <t>Untagged</t>
        </is>
      </c>
    </row>
    <row r="176">
      <c r="A176" s="23" t="inlineStr">
        <is>
          <t>DHAN-23126091873309</t>
        </is>
      </c>
      <c r="B176" s="23" t="inlineStr">
        <is>
          <t>NRBBEARING</t>
        </is>
      </c>
      <c r="C176" s="23" t="inlineStr">
        <is>
          <t>LONG</t>
        </is>
      </c>
      <c r="D176" s="24" t="n">
        <v>46283</v>
      </c>
      <c r="E176" s="25" t="n">
        <v>526.0403</v>
      </c>
      <c r="F176" s="26" t="n">
        <v>568</v>
      </c>
      <c r="G176" s="24" t="n">
        <v>46286</v>
      </c>
      <c r="H176" s="25" t="n">
        <v>533.65</v>
      </c>
      <c r="I176" s="21">
        <f>IF(OR($B176="",$H176=""),"",IF($C176="LONG",($H176-$E176)*$F176,($E176-$H176)*$F176))</f>
        <v/>
      </c>
      <c r="J176" s="22">
        <f>IF(OR($B176="",$I176="",$E176=0,$F176=0),"",$I176/($E176*$F176))</f>
        <v/>
      </c>
      <c r="K176" s="4" t="n">
        <v>647.29</v>
      </c>
      <c r="L176" s="21">
        <f>IF(OR($B176="",$I176=""),"",$I176-IF($K176="",0,$K176))</f>
        <v/>
      </c>
      <c r="M176" s="22">
        <f>IF(OR($B176="",$L176="",$E176=0,$F176=0),"",$L176/($E176*$F176))</f>
        <v/>
      </c>
      <c r="N176" s="27">
        <f>IF($B176="","",IF($H176="","Open","Closed"))</f>
        <v/>
      </c>
      <c r="O176" s="23" t="inlineStr">
        <is>
          <t>Untagged</t>
        </is>
      </c>
    </row>
    <row r="177">
      <c r="A177" s="23" t="inlineStr">
        <is>
          <t>DHAN-22126092158309</t>
        </is>
      </c>
      <c r="B177" s="23" t="inlineStr">
        <is>
          <t>NRBBEARING</t>
        </is>
      </c>
      <c r="C177" s="23" t="inlineStr">
        <is>
          <t>SHORT</t>
        </is>
      </c>
      <c r="D177" s="24" t="n">
        <v>46286</v>
      </c>
      <c r="E177" s="25" t="n">
        <v>535.51</v>
      </c>
      <c r="F177" s="26" t="n">
        <v>568</v>
      </c>
      <c r="G177" s="24" t="n">
        <v>46286</v>
      </c>
      <c r="H177" s="25" t="n">
        <v>531.6799999999999</v>
      </c>
      <c r="I177" s="21">
        <f>IF(OR($B177="",$H177=""),"",IF($C177="LONG",($H177-$E177)*$F177,($E177-$H177)*$F177))</f>
        <v/>
      </c>
      <c r="J177" s="22">
        <f>IF(OR($B177="",$I177="",$E177=0,$F177=0),"",$I177/($E177*$F177))</f>
        <v/>
      </c>
      <c r="K177" s="4" t="n">
        <v>434.19</v>
      </c>
      <c r="L177" s="21">
        <f>IF(OR($B177="",$I177=""),"",$I177-IF($K177="",0,$K177))</f>
        <v/>
      </c>
      <c r="M177" s="22">
        <f>IF(OR($B177="",$L177="",$E177=0,$F177=0),"",$L177/($E177*$F177))</f>
        <v/>
      </c>
      <c r="N177" s="27">
        <f>IF($B177="","",IF($H177="","Open","Closed"))</f>
        <v/>
      </c>
      <c r="O177" s="23" t="inlineStr">
        <is>
          <t>Untagged</t>
        </is>
      </c>
    </row>
    <row r="178">
      <c r="A178" s="23" t="inlineStr">
        <is>
          <t>DHAN-23126091873409</t>
        </is>
      </c>
      <c r="B178" s="23" t="inlineStr">
        <is>
          <t>SAMBHV</t>
        </is>
      </c>
      <c r="C178" s="23" t="inlineStr">
        <is>
          <t>LONG</t>
        </is>
      </c>
      <c r="D178" s="24" t="n">
        <v>46283</v>
      </c>
      <c r="E178" s="25" t="n">
        <v>148.3417</v>
      </c>
      <c r="F178" s="26" t="n">
        <v>2021</v>
      </c>
      <c r="G178" s="24" t="n">
        <v>46286</v>
      </c>
      <c r="H178" s="25" t="n">
        <v>155.57</v>
      </c>
      <c r="I178" s="21">
        <f>IF(OR($B178="",$H178=""),"",IF($C178="LONG",($H178-$E178)*$F178,($E178-$H178)*$F178))</f>
        <v/>
      </c>
      <c r="J178" s="22">
        <f>IF(OR($B178="",$I178="",$E178=0,$F178=0),"",$I178/($E178*$F178))</f>
        <v/>
      </c>
      <c r="K178" s="4" t="n">
        <v>665.03</v>
      </c>
      <c r="L178" s="21">
        <f>IF(OR($B178="",$I178=""),"",$I178-IF($K178="",0,$K178))</f>
        <v/>
      </c>
      <c r="M178" s="22">
        <f>IF(OR($B178="",$L178="",$E178=0,$F178=0),"",$L178/($E178*$F178))</f>
        <v/>
      </c>
      <c r="N178" s="27">
        <f>IF($B178="","",IF($H178="","Open","Closed"))</f>
        <v/>
      </c>
      <c r="O178" s="23" t="inlineStr">
        <is>
          <t>Untagged</t>
        </is>
      </c>
    </row>
    <row r="179">
      <c r="A179" s="23" t="inlineStr">
        <is>
          <t>DHAN-32126092161209</t>
        </is>
      </c>
      <c r="B179" s="23" t="inlineStr">
        <is>
          <t>SAMBHV</t>
        </is>
      </c>
      <c r="C179" s="23" t="inlineStr">
        <is>
          <t>SHORT</t>
        </is>
      </c>
      <c r="D179" s="24" t="n">
        <v>46286</v>
      </c>
      <c r="E179" s="25" t="n">
        <v>156.2</v>
      </c>
      <c r="F179" s="26" t="n">
        <v>2021</v>
      </c>
      <c r="G179" s="24" t="n">
        <v>46286</v>
      </c>
      <c r="H179" s="25" t="n">
        <v>153.42</v>
      </c>
      <c r="I179" s="21">
        <f>IF(OR($B179="",$H179=""),"",IF($C179="LONG",($H179-$E179)*$F179,($E179-$H179)*$F179))</f>
        <v/>
      </c>
      <c r="J179" s="22">
        <f>IF(OR($B179="",$I179="",$E179=0,$F179=0),"",$I179/($E179*$F179))</f>
        <v/>
      </c>
      <c r="K179" s="4" t="n">
        <v>447.15</v>
      </c>
      <c r="L179" s="21">
        <f>IF(OR($B179="",$I179=""),"",$I179-IF($K179="",0,$K179))</f>
        <v/>
      </c>
      <c r="M179" s="22">
        <f>IF(OR($B179="",$L179="",$E179=0,$F179=0),"",$L179/($E179*$F179))</f>
        <v/>
      </c>
      <c r="N179" s="27">
        <f>IF($B179="","",IF($H179="","Open","Closed"))</f>
        <v/>
      </c>
      <c r="O179" s="23" t="inlineStr">
        <is>
          <t>Untagged</t>
        </is>
      </c>
    </row>
    <row r="180">
      <c r="A180" s="23" t="inlineStr">
        <is>
          <t>DHAN-34126091878409</t>
        </is>
      </c>
      <c r="B180" s="23" t="inlineStr">
        <is>
          <t>TALBROAUTO</t>
        </is>
      </c>
      <c r="C180" s="23" t="inlineStr">
        <is>
          <t>LONG</t>
        </is>
      </c>
      <c r="D180" s="24" t="n">
        <v>46283</v>
      </c>
      <c r="E180" s="25" t="n">
        <v>474.6399</v>
      </c>
      <c r="F180" s="26" t="n">
        <v>632</v>
      </c>
      <c r="G180" s="24" t="n">
        <v>46286</v>
      </c>
      <c r="H180" s="25" t="n">
        <v>477.78</v>
      </c>
      <c r="I180" s="21">
        <f>IF(OR($B180="",$H180=""),"",IF($C180="LONG",($H180-$E180)*$F180,($E180-$H180)*$F180))</f>
        <v/>
      </c>
      <c r="J180" s="22">
        <f>IF(OR($B180="",$I180="",$E180=0,$F180=0),"",$I180/($E180*$F180))</f>
        <v/>
      </c>
      <c r="K180" s="4" t="n">
        <v>649.5</v>
      </c>
      <c r="L180" s="21">
        <f>IF(OR($B180="",$I180=""),"",$I180-IF($K180="",0,$K180))</f>
        <v/>
      </c>
      <c r="M180" s="22">
        <f>IF(OR($B180="",$L180="",$E180=0,$F180=0),"",$L180/($E180*$F180))</f>
        <v/>
      </c>
      <c r="N180" s="27">
        <f>IF($B180="","",IF($H180="","Open","Closed"))</f>
        <v/>
      </c>
      <c r="O180" s="23" t="inlineStr">
        <is>
          <t>Untagged</t>
        </is>
      </c>
    </row>
    <row r="181">
      <c r="A181" s="23" t="inlineStr">
        <is>
          <t>DHAN-23126092113209</t>
        </is>
      </c>
      <c r="B181" s="23" t="inlineStr">
        <is>
          <t>TALBROAUTO</t>
        </is>
      </c>
      <c r="C181" s="23" t="inlineStr">
        <is>
          <t>SHORT</t>
        </is>
      </c>
      <c r="D181" s="24" t="n">
        <v>46286</v>
      </c>
      <c r="E181" s="25" t="n">
        <v>478.39</v>
      </c>
      <c r="F181" s="26" t="n">
        <v>632</v>
      </c>
      <c r="G181" s="24" t="n">
        <v>46286</v>
      </c>
      <c r="H181" s="25" t="n">
        <v>465.51</v>
      </c>
      <c r="I181" s="21">
        <f>IF(OR($B181="",$H181=""),"",IF($C181="LONG",($H181-$E181)*$F181,($E181-$H181)*$F181))</f>
        <v/>
      </c>
      <c r="J181" s="22">
        <f>IF(OR($B181="",$I181="",$E181=0,$F181=0),"",$I181/($E181*$F181))</f>
        <v/>
      </c>
      <c r="K181" s="4" t="n">
        <v>429.11</v>
      </c>
      <c r="L181" s="21">
        <f>IF(OR($B181="",$I181=""),"",$I181-IF($K181="",0,$K181))</f>
        <v/>
      </c>
      <c r="M181" s="22">
        <f>IF(OR($B181="",$L181="",$E181=0,$F181=0),"",$L181/($E181*$F181))</f>
        <v/>
      </c>
      <c r="N181" s="27">
        <f>IF($B181="","",IF($H181="","Open","Closed"))</f>
        <v/>
      </c>
      <c r="O181" s="23" t="inlineStr">
        <is>
          <t>Untagged</t>
        </is>
      </c>
    </row>
    <row r="182">
      <c r="A182" s="23" t="inlineStr">
        <is>
          <t>DHAN-241260921697209</t>
        </is>
      </c>
      <c r="B182" s="23" t="inlineStr">
        <is>
          <t>ASHIANA</t>
        </is>
      </c>
      <c r="C182" s="23" t="inlineStr">
        <is>
          <t>LONG</t>
        </is>
      </c>
      <c r="D182" s="24" t="n">
        <v>46286</v>
      </c>
      <c r="E182" s="25" t="n">
        <v>406.58957</v>
      </c>
      <c r="F182" s="26" t="n">
        <v>340</v>
      </c>
      <c r="G182" s="24" t="n">
        <v>46287</v>
      </c>
      <c r="H182" s="25" t="n">
        <v>392.12</v>
      </c>
      <c r="I182" s="21">
        <f>IF(OR($B182="",$H182=""),"",IF($C182="LONG",($H182-$E182)*$F182,($E182-$H182)*$F182))</f>
        <v/>
      </c>
      <c r="J182" s="22">
        <f>IF(OR($B182="",$I182="",$E182=0,$F182=0),"",$I182/($E182*$F182))</f>
        <v/>
      </c>
      <c r="K182" s="4" t="n">
        <v>294.85</v>
      </c>
      <c r="L182" s="21">
        <f>IF(OR($B182="",$I182=""),"",$I182-IF($K182="",0,$K182))</f>
        <v/>
      </c>
      <c r="M182" s="22">
        <f>IF(OR($B182="",$L182="",$E182=0,$F182=0),"",$L182/($E182*$F182))</f>
        <v/>
      </c>
      <c r="N182" s="27">
        <f>IF($B182="","",IF($H182="","Open","Closed"))</f>
        <v/>
      </c>
      <c r="O182" s="23" t="inlineStr">
        <is>
          <t>Untagged</t>
        </is>
      </c>
    </row>
    <row r="183">
      <c r="A183" s="23" t="inlineStr">
        <is>
          <t>DHAN-34126092243009</t>
        </is>
      </c>
      <c r="B183" s="23" t="inlineStr">
        <is>
          <t>ASHIANA</t>
        </is>
      </c>
      <c r="C183" s="23" t="inlineStr">
        <is>
          <t>SHORT</t>
        </is>
      </c>
      <c r="D183" s="24" t="n">
        <v>46287</v>
      </c>
      <c r="E183" s="25" t="n">
        <v>391.52</v>
      </c>
      <c r="F183" s="26" t="n">
        <v>340</v>
      </c>
      <c r="G183" s="24" t="n">
        <v>46287</v>
      </c>
      <c r="H183" s="25" t="n">
        <v>386.54</v>
      </c>
      <c r="I183" s="21">
        <f>IF(OR($B183="",$H183=""),"",IF($C183="LONG",($H183-$E183)*$F183,($E183-$H183)*$F183))</f>
        <v/>
      </c>
      <c r="J183" s="22">
        <f>IF(OR($B183="",$I183="",$E183=0,$F183=0),"",$I183/($E183*$F183))</f>
        <v/>
      </c>
      <c r="K183" s="4" t="n">
        <v>203.22</v>
      </c>
      <c r="L183" s="21">
        <f>IF(OR($B183="",$I183=""),"",$I183-IF($K183="",0,$K183))</f>
        <v/>
      </c>
      <c r="M183" s="22">
        <f>IF(OR($B183="",$L183="",$E183=0,$F183=0),"",$L183/($E183*$F183))</f>
        <v/>
      </c>
      <c r="N183" s="27">
        <f>IF($B183="","",IF($H183="","Open","Closed"))</f>
        <v/>
      </c>
      <c r="O183" s="23" t="inlineStr">
        <is>
          <t>Untagged</t>
        </is>
      </c>
    </row>
    <row r="184">
      <c r="A184" s="23" t="inlineStr">
        <is>
          <t>DHAN-241260921699009</t>
        </is>
      </c>
      <c r="B184" s="23" t="inlineStr">
        <is>
          <t>INDORAMA</t>
        </is>
      </c>
      <c r="C184" s="23" t="inlineStr">
        <is>
          <t>LONG</t>
        </is>
      </c>
      <c r="D184" s="24" t="n">
        <v>46286</v>
      </c>
      <c r="E184" s="25" t="n">
        <v>105.67</v>
      </c>
      <c r="F184" s="26" t="n">
        <v>1300</v>
      </c>
      <c r="G184" s="24" t="n">
        <v>46287</v>
      </c>
      <c r="H184" s="25" t="n">
        <v>107.2</v>
      </c>
      <c r="I184" s="21">
        <f>IF(OR($B184="",$H184=""),"",IF($C184="LONG",($H184-$E184)*$F184,($E184-$H184)*$F184))</f>
        <v/>
      </c>
      <c r="J184" s="22">
        <f>IF(OR($B184="",$I184="",$E184=0,$F184=0),"",$I184/($E184*$F184))</f>
        <v/>
      </c>
      <c r="K184" s="4" t="n">
        <v>300.31</v>
      </c>
      <c r="L184" s="21">
        <f>IF(OR($B184="",$I184=""),"",$I184-IF($K184="",0,$K184))</f>
        <v/>
      </c>
      <c r="M184" s="22">
        <f>IF(OR($B184="",$L184="",$E184=0,$F184=0),"",$L184/($E184*$F184))</f>
        <v/>
      </c>
      <c r="N184" s="27">
        <f>IF($B184="","",IF($H184="","Open","Closed"))</f>
        <v/>
      </c>
      <c r="O184" s="23" t="inlineStr">
        <is>
          <t>Untagged</t>
        </is>
      </c>
    </row>
    <row r="185">
      <c r="A185" s="23" t="inlineStr">
        <is>
          <t>DHAN-23126092251309</t>
        </is>
      </c>
      <c r="B185" s="23" t="inlineStr">
        <is>
          <t>INDORAMA</t>
        </is>
      </c>
      <c r="C185" s="23" t="inlineStr">
        <is>
          <t>SHORT</t>
        </is>
      </c>
      <c r="D185" s="24" t="n">
        <v>46287</v>
      </c>
      <c r="E185" s="25" t="n">
        <v>107.16</v>
      </c>
      <c r="F185" s="26" t="n">
        <v>1300</v>
      </c>
      <c r="G185" s="24" t="n">
        <v>46287</v>
      </c>
      <c r="H185" s="25" t="n">
        <v>105.33</v>
      </c>
      <c r="I185" s="21">
        <f>IF(OR($B185="",$H185=""),"",IF($C185="LONG",($H185-$E185)*$F185,($E185-$H185)*$F185))</f>
        <v/>
      </c>
      <c r="J185" s="22">
        <f>IF(OR($B185="",$I185="",$E185=0,$F185=0),"",$I185/($E185*$F185))</f>
        <v/>
      </c>
      <c r="K185" s="4" t="n">
        <v>176.57</v>
      </c>
      <c r="L185" s="21">
        <f>IF(OR($B185="",$I185=""),"",$I185-IF($K185="",0,$K185))</f>
        <v/>
      </c>
      <c r="M185" s="22">
        <f>IF(OR($B185="",$L185="",$E185=0,$F185=0),"",$L185/($E185*$F185))</f>
        <v/>
      </c>
      <c r="N185" s="27">
        <f>IF($B185="","",IF($H185="","Open","Closed"))</f>
        <v/>
      </c>
      <c r="O185" s="23" t="inlineStr">
        <is>
          <t>Untagged</t>
        </is>
      </c>
    </row>
    <row r="186">
      <c r="A186" s="23" t="inlineStr">
        <is>
          <t>DHAN-351260921486209</t>
        </is>
      </c>
      <c r="B186" s="23" t="inlineStr">
        <is>
          <t>JASH</t>
        </is>
      </c>
      <c r="C186" s="23" t="inlineStr">
        <is>
          <t>LONG</t>
        </is>
      </c>
      <c r="D186" s="24" t="n">
        <v>46286</v>
      </c>
      <c r="E186" s="25" t="n">
        <v>580.8</v>
      </c>
      <c r="F186" s="26" t="n">
        <v>244</v>
      </c>
      <c r="G186" s="24" t="n">
        <v>46287</v>
      </c>
      <c r="H186" s="25" t="n">
        <v>593.59</v>
      </c>
      <c r="I186" s="21">
        <f>IF(OR($B186="",$H186=""),"",IF($C186="LONG",($H186-$E186)*$F186,($E186-$H186)*$F186))</f>
        <v/>
      </c>
      <c r="J186" s="22">
        <f>IF(OR($B186="",$I186="",$E186=0,$F186=0),"",$I186/($E186*$F186))</f>
        <v/>
      </c>
      <c r="K186" s="4" t="n">
        <v>336.65</v>
      </c>
      <c r="L186" s="21">
        <f>IF(OR($B186="",$I186=""),"",$I186-IF($K186="",0,$K186))</f>
        <v/>
      </c>
      <c r="M186" s="22">
        <f>IF(OR($B186="",$L186="",$E186=0,$F186=0),"",$L186/($E186*$F186))</f>
        <v/>
      </c>
      <c r="N186" s="27">
        <f>IF($B186="","",IF($H186="","Open","Closed"))</f>
        <v/>
      </c>
      <c r="O186" s="23" t="inlineStr">
        <is>
          <t>Untagged</t>
        </is>
      </c>
    </row>
    <row r="187">
      <c r="A187" s="23" t="inlineStr">
        <is>
          <t>DHAN-34126092213209</t>
        </is>
      </c>
      <c r="B187" s="23" t="inlineStr">
        <is>
          <t>JASH</t>
        </is>
      </c>
      <c r="C187" s="23" t="inlineStr">
        <is>
          <t>SHORT</t>
        </is>
      </c>
      <c r="D187" s="24" t="n">
        <v>46287</v>
      </c>
      <c r="E187" s="25" t="n">
        <v>595.99</v>
      </c>
      <c r="F187" s="26" t="n">
        <v>244</v>
      </c>
      <c r="G187" s="24" t="n">
        <v>46287</v>
      </c>
      <c r="H187" s="25" t="n">
        <v>584.99</v>
      </c>
      <c r="I187" s="21">
        <f>IF(OR($B187="",$H187=""),"",IF($C187="LONG",($H187-$E187)*$F187,($E187-$H187)*$F187))</f>
        <v/>
      </c>
      <c r="J187" s="22">
        <f>IF(OR($B187="",$I187="",$E187=0,$F187=0),"",$I187/($E187*$F187))</f>
        <v/>
      </c>
      <c r="K187" s="4" t="n">
        <v>182.99</v>
      </c>
      <c r="L187" s="21">
        <f>IF(OR($B187="",$I187=""),"",$I187-IF($K187="",0,$K187))</f>
        <v/>
      </c>
      <c r="M187" s="22">
        <f>IF(OR($B187="",$L187="",$E187=0,$F187=0),"",$L187/($E187*$F187))</f>
        <v/>
      </c>
      <c r="N187" s="27">
        <f>IF($B187="","",IF($H187="","Open","Closed"))</f>
        <v/>
      </c>
      <c r="O187" s="23" t="inlineStr">
        <is>
          <t>Untagged</t>
        </is>
      </c>
    </row>
    <row r="188">
      <c r="A188" s="23" t="inlineStr">
        <is>
          <t>DHAN-211260921155609</t>
        </is>
      </c>
      <c r="B188" s="23" t="inlineStr">
        <is>
          <t>JAYKAY</t>
        </is>
      </c>
      <c r="C188" s="23" t="inlineStr">
        <is>
          <t>LONG</t>
        </is>
      </c>
      <c r="D188" s="24" t="n">
        <v>46286</v>
      </c>
      <c r="E188" s="25" t="n">
        <v>188.91</v>
      </c>
      <c r="F188" s="26" t="n">
        <v>750</v>
      </c>
      <c r="G188" s="24" t="n">
        <v>46287</v>
      </c>
      <c r="H188" s="25" t="n">
        <v>191.21</v>
      </c>
      <c r="I188" s="21">
        <f>IF(OR($B188="",$H188=""),"",IF($C188="LONG",($H188-$E188)*$F188,($E188-$H188)*$F188))</f>
        <v/>
      </c>
      <c r="J188" s="22">
        <f>IF(OR($B188="",$I188="",$E188=0,$F188=0),"",$I188/($E188*$F188))</f>
        <v/>
      </c>
      <c r="K188" s="4" t="n">
        <v>288.39</v>
      </c>
      <c r="L188" s="21">
        <f>IF(OR($B188="",$I188=""),"",$I188-IF($K188="",0,$K188))</f>
        <v/>
      </c>
      <c r="M188" s="22">
        <f>IF(OR($B188="",$L188="",$E188=0,$F188=0),"",$L188/($E188*$F188))</f>
        <v/>
      </c>
      <c r="N188" s="27">
        <f>IF($B188="","",IF($H188="","Open","Closed"))</f>
        <v/>
      </c>
      <c r="O188" s="23" t="inlineStr">
        <is>
          <t>Untagged</t>
        </is>
      </c>
    </row>
    <row r="189">
      <c r="A189" s="23" t="inlineStr">
        <is>
          <t>DHAN-32126092252109</t>
        </is>
      </c>
      <c r="B189" s="23" t="inlineStr">
        <is>
          <t>JAYKAY</t>
        </is>
      </c>
      <c r="C189" s="23" t="inlineStr">
        <is>
          <t>SHORT</t>
        </is>
      </c>
      <c r="D189" s="24" t="n">
        <v>46287</v>
      </c>
      <c r="E189" s="25" t="n">
        <v>190.59</v>
      </c>
      <c r="F189" s="26" t="n">
        <v>750</v>
      </c>
      <c r="G189" s="24" t="n">
        <v>46287</v>
      </c>
      <c r="H189" s="25" t="n">
        <v>188.34</v>
      </c>
      <c r="I189" s="21">
        <f>IF(OR($B189="",$H189=""),"",IF($C189="LONG",($H189-$E189)*$F189,($E189-$H189)*$F189))</f>
        <v/>
      </c>
      <c r="J189" s="22">
        <f>IF(OR($B189="",$I189="",$E189=0,$F189=0),"",$I189/($E189*$F189))</f>
        <v/>
      </c>
      <c r="K189" s="4" t="n">
        <v>216.64</v>
      </c>
      <c r="L189" s="21">
        <f>IF(OR($B189="",$I189=""),"",$I189-IF($K189="",0,$K189))</f>
        <v/>
      </c>
      <c r="M189" s="22">
        <f>IF(OR($B189="",$L189="",$E189=0,$F189=0),"",$L189/($E189*$F189))</f>
        <v/>
      </c>
      <c r="N189" s="27">
        <f>IF($B189="","",IF($H189="","Open","Closed"))</f>
        <v/>
      </c>
      <c r="O189" s="23" t="inlineStr">
        <is>
          <t>Untagged</t>
        </is>
      </c>
    </row>
    <row r="190">
      <c r="A190" s="23" t="inlineStr">
        <is>
          <t>DHAN-241260921702409</t>
        </is>
      </c>
      <c r="B190" s="23" t="inlineStr">
        <is>
          <t>KROSS</t>
        </is>
      </c>
      <c r="C190" s="23" t="inlineStr">
        <is>
          <t>LONG</t>
        </is>
      </c>
      <c r="D190" s="24" t="n">
        <v>46286</v>
      </c>
      <c r="E190" s="25" t="n">
        <v>257.49</v>
      </c>
      <c r="F190" s="26" t="n">
        <v>233</v>
      </c>
      <c r="G190" s="24" t="n">
        <v>46287</v>
      </c>
      <c r="H190" s="25" t="n">
        <v>260.01</v>
      </c>
      <c r="I190" s="21">
        <f>IF(OR($B190="",$H190=""),"",IF($C190="LONG",($H190-$E190)*$F190,($E190-$H190)*$F190))</f>
        <v/>
      </c>
      <c r="J190" s="22">
        <f>IF(OR($B190="",$I190="",$E190=0,$F190=0),"",$I190/($E190*$F190))</f>
        <v/>
      </c>
      <c r="K190" s="4" t="n">
        <v>191.65</v>
      </c>
      <c r="L190" s="21">
        <f>IF(OR($B190="",$I190=""),"",$I190-IF($K190="",0,$K190))</f>
        <v/>
      </c>
      <c r="M190" s="22">
        <f>IF(OR($B190="",$L190="",$E190=0,$F190=0),"",$L190/($E190*$F190))</f>
        <v/>
      </c>
      <c r="N190" s="27">
        <f>IF($B190="","",IF($H190="","Open","Closed"))</f>
        <v/>
      </c>
      <c r="O190" s="23" t="inlineStr">
        <is>
          <t>Untagged</t>
        </is>
      </c>
    </row>
    <row r="191">
      <c r="A191" s="23" t="inlineStr">
        <is>
          <t>DHAN-22126092254109</t>
        </is>
      </c>
      <c r="B191" s="23" t="inlineStr">
        <is>
          <t>KROSS</t>
        </is>
      </c>
      <c r="C191" s="23" t="inlineStr">
        <is>
          <t>SHORT</t>
        </is>
      </c>
      <c r="D191" s="24" t="n">
        <v>46287</v>
      </c>
      <c r="E191" s="25" t="n">
        <v>259</v>
      </c>
      <c r="F191" s="26" t="n">
        <v>233</v>
      </c>
      <c r="G191" s="24" t="n">
        <v>46287</v>
      </c>
      <c r="H191" s="25" t="n">
        <v>256.71</v>
      </c>
      <c r="I191" s="21">
        <f>IF(OR($B191="",$H191=""),"",IF($C191="LONG",($H191-$E191)*$F191,($E191-$H191)*$F191))</f>
        <v/>
      </c>
      <c r="J191" s="22">
        <f>IF(OR($B191="",$I191="",$E191=0,$F191=0),"",$I191/($E191*$F191))</f>
        <v/>
      </c>
      <c r="K191" s="4" t="n">
        <v>87.7</v>
      </c>
      <c r="L191" s="21">
        <f>IF(OR($B191="",$I191=""),"",$I191-IF($K191="",0,$K191))</f>
        <v/>
      </c>
      <c r="M191" s="22">
        <f>IF(OR($B191="",$L191="",$E191=0,$F191=0),"",$L191/($E191*$F191))</f>
        <v/>
      </c>
      <c r="N191" s="27">
        <f>IF($B191="","",IF($H191="","Open","Closed"))</f>
        <v/>
      </c>
      <c r="O191" s="23" t="inlineStr">
        <is>
          <t>Untagged</t>
        </is>
      </c>
    </row>
    <row r="192">
      <c r="A192" s="23" t="inlineStr">
        <is>
          <t>DHAN-221260921659609</t>
        </is>
      </c>
      <c r="B192" s="23" t="inlineStr">
        <is>
          <t>REFEX</t>
        </is>
      </c>
      <c r="C192" s="23" t="inlineStr">
        <is>
          <t>LONG</t>
        </is>
      </c>
      <c r="D192" s="24" t="n">
        <v>46286</v>
      </c>
      <c r="E192" s="25" t="n">
        <v>293.2</v>
      </c>
      <c r="F192" s="26" t="n">
        <v>470</v>
      </c>
      <c r="G192" s="24" t="n">
        <v>46287</v>
      </c>
      <c r="H192" s="25" t="n">
        <v>292.43</v>
      </c>
      <c r="I192" s="21">
        <f>IF(OR($B192="",$H192=""),"",IF($C192="LONG",($H192-$E192)*$F192,($E192-$H192)*$F192))</f>
        <v/>
      </c>
      <c r="J192" s="22">
        <f>IF(OR($B192="",$I192="",$E192=0,$F192=0),"",$I192/($E192*$F192))</f>
        <v/>
      </c>
      <c r="K192" s="4" t="n">
        <v>290.15</v>
      </c>
      <c r="L192" s="21">
        <f>IF(OR($B192="",$I192=""),"",$I192-IF($K192="",0,$K192))</f>
        <v/>
      </c>
      <c r="M192" s="22">
        <f>IF(OR($B192="",$L192="",$E192=0,$F192=0),"",$L192/($E192*$F192))</f>
        <v/>
      </c>
      <c r="N192" s="27">
        <f>IF($B192="","",IF($H192="","Open","Closed"))</f>
        <v/>
      </c>
      <c r="O192" s="23" t="inlineStr">
        <is>
          <t>Untagged</t>
        </is>
      </c>
    </row>
    <row r="193">
      <c r="A193" s="23" t="inlineStr">
        <is>
          <t>DHAN-23126092251409</t>
        </is>
      </c>
      <c r="B193" s="23" t="inlineStr">
        <is>
          <t>REFEX</t>
        </is>
      </c>
      <c r="C193" s="23" t="inlineStr">
        <is>
          <t>SHORT</t>
        </is>
      </c>
      <c r="D193" s="24" t="n">
        <v>46287</v>
      </c>
      <c r="E193" s="25" t="n">
        <v>292.4</v>
      </c>
      <c r="F193" s="26" t="n">
        <v>470</v>
      </c>
      <c r="G193" s="24" t="n">
        <v>46287</v>
      </c>
      <c r="H193" s="25" t="n">
        <v>292</v>
      </c>
      <c r="I193" s="21">
        <f>IF(OR($B193="",$H193=""),"",IF($C193="LONG",($H193-$E193)*$F193,($E193-$H193)*$F193))</f>
        <v/>
      </c>
      <c r="J193" s="22">
        <f>IF(OR($B193="",$I193="",$E193=0,$F193=0),"",$I193/($E193*$F193))</f>
        <v/>
      </c>
      <c r="K193" s="4" t="n">
        <v>209.7</v>
      </c>
      <c r="L193" s="21">
        <f>IF(OR($B193="",$I193=""),"",$I193-IF($K193="",0,$K193))</f>
        <v/>
      </c>
      <c r="M193" s="22">
        <f>IF(OR($B193="",$L193="",$E193=0,$F193=0),"",$L193/($E193*$F193))</f>
        <v/>
      </c>
      <c r="N193" s="27">
        <f>IF($B193="","",IF($H193="","Open","Closed"))</f>
        <v/>
      </c>
      <c r="O193" s="23" t="inlineStr">
        <is>
          <t>Untagged</t>
        </is>
      </c>
    </row>
    <row r="194">
      <c r="A194" s="23" t="inlineStr">
        <is>
          <t>DHAN-321260922619209+221260922652409+34126092266209+34126092266109+23126092273409+221260922650709+23126092273309+321260922616909+34126092265709+34126092265509+34126092265409</t>
        </is>
      </c>
      <c r="B194" s="23" t="inlineStr">
        <is>
          <t>ASTEC</t>
        </is>
      </c>
      <c r="C194" s="23" t="inlineStr">
        <is>
          <t>LONG</t>
        </is>
      </c>
      <c r="D194" s="24" t="n">
        <v>46287</v>
      </c>
      <c r="E194" s="25" t="n">
        <v>794.5626999999999</v>
      </c>
      <c r="F194" s="26" t="n">
        <v>315</v>
      </c>
      <c r="G194" s="24" t="n">
        <v>46288</v>
      </c>
      <c r="H194" s="25" t="n">
        <v>775.9299999999999</v>
      </c>
      <c r="I194" s="21">
        <f>IF(OR($B194="",$H194=""),"",IF($C194="LONG",($H194-$E194)*$F194,($E194-$H194)*$F194))</f>
        <v/>
      </c>
      <c r="J194" s="22">
        <f>IF(OR($B194="",$I194="",$E194=0,$F194=0),"",$I194/($E194*$F194))</f>
        <v/>
      </c>
      <c r="K194" s="4" t="n">
        <v>518.38</v>
      </c>
      <c r="L194" s="21">
        <f>IF(OR($B194="",$I194=""),"",$I194-IF($K194="",0,$K194))</f>
        <v/>
      </c>
      <c r="M194" s="22">
        <f>IF(OR($B194="",$L194="",$E194=0,$F194=0),"",$L194/($E194*$F194))</f>
        <v/>
      </c>
      <c r="N194" s="27">
        <f>IF($B194="","",IF($H194="","Open","Closed"))</f>
        <v/>
      </c>
      <c r="O194" s="23" t="inlineStr">
        <is>
          <t>Untagged</t>
        </is>
      </c>
    </row>
    <row r="195">
      <c r="A195" s="23" t="inlineStr">
        <is>
          <t>DHAN-221260923445309</t>
        </is>
      </c>
      <c r="B195" s="23" t="inlineStr">
        <is>
          <t>ASTEC</t>
        </is>
      </c>
      <c r="C195" s="23" t="inlineStr">
        <is>
          <t>SHORT</t>
        </is>
      </c>
      <c r="D195" s="24" t="n">
        <v>46288</v>
      </c>
      <c r="E195" s="25" t="n">
        <v>775.25</v>
      </c>
      <c r="F195" s="26" t="n">
        <v>315</v>
      </c>
      <c r="G195" s="24" t="n">
        <v>46288</v>
      </c>
      <c r="H195" s="25" t="n">
        <v>764.5</v>
      </c>
      <c r="I195" s="21">
        <f>IF(OR($B195="",$H195=""),"",IF($C195="LONG",($H195-$E195)*$F195,($E195-$H195)*$F195))</f>
        <v/>
      </c>
      <c r="J195" s="22">
        <f>IF(OR($B195="",$I195="",$E195=0,$F195=0),"",$I195/($E195*$F195))</f>
        <v/>
      </c>
      <c r="K195" s="4" t="n">
        <v>352.9</v>
      </c>
      <c r="L195" s="21">
        <f>IF(OR($B195="",$I195=""),"",$I195-IF($K195="",0,$K195))</f>
        <v/>
      </c>
      <c r="M195" s="22">
        <f>IF(OR($B195="",$L195="",$E195=0,$F195=0),"",$L195/($E195*$F195))</f>
        <v/>
      </c>
      <c r="N195" s="27">
        <f>IF($B195="","",IF($H195="","Open","Closed"))</f>
        <v/>
      </c>
      <c r="O195" s="23" t="inlineStr">
        <is>
          <t>Untagged</t>
        </is>
      </c>
    </row>
    <row r="196">
      <c r="A196" s="23" t="inlineStr">
        <is>
          <t>DHAN-23126092274109</t>
        </is>
      </c>
      <c r="B196" s="23" t="inlineStr">
        <is>
          <t>CHEMPLASTS</t>
        </is>
      </c>
      <c r="C196" s="23" t="inlineStr">
        <is>
          <t>LONG</t>
        </is>
      </c>
      <c r="D196" s="24" t="n">
        <v>46287</v>
      </c>
      <c r="E196" s="25" t="n">
        <v>200.3954</v>
      </c>
      <c r="F196" s="26" t="n">
        <v>1255</v>
      </c>
      <c r="G196" s="24" t="n">
        <v>46288</v>
      </c>
      <c r="H196" s="25" t="n">
        <v>196.71</v>
      </c>
      <c r="I196" s="21">
        <f>IF(OR($B196="",$H196=""),"",IF($C196="LONG",($H196-$E196)*$F196,($E196-$H196)*$F196))</f>
        <v/>
      </c>
      <c r="J196" s="22">
        <f>IF(OR($B196="",$I196="",$E196=0,$F196=0),"",$I196/($E196*$F196))</f>
        <v/>
      </c>
      <c r="K196" s="4" t="n">
        <v>458.88</v>
      </c>
      <c r="L196" s="21">
        <f>IF(OR($B196="",$I196=""),"",$I196-IF($K196="",0,$K196))</f>
        <v/>
      </c>
      <c r="M196" s="22">
        <f>IF(OR($B196="",$L196="",$E196=0,$F196=0),"",$L196/($E196*$F196))</f>
        <v/>
      </c>
      <c r="N196" s="27">
        <f>IF($B196="","",IF($H196="","Open","Closed"))</f>
        <v/>
      </c>
      <c r="O196" s="23" t="inlineStr">
        <is>
          <t>Untagged</t>
        </is>
      </c>
    </row>
    <row r="197">
      <c r="A197" s="23" t="inlineStr">
        <is>
          <t>DHAN-34126092354709</t>
        </is>
      </c>
      <c r="B197" s="23" t="inlineStr">
        <is>
          <t>CHEMPLASTS</t>
        </is>
      </c>
      <c r="C197" s="23" t="inlineStr">
        <is>
          <t>SHORT</t>
        </is>
      </c>
      <c r="D197" s="24" t="n">
        <v>46288</v>
      </c>
      <c r="E197" s="25" t="n">
        <v>196.53</v>
      </c>
      <c r="F197" s="26" t="n">
        <v>1255</v>
      </c>
      <c r="G197" s="24" t="n">
        <v>46288</v>
      </c>
      <c r="H197" s="25" t="n">
        <v>199.17</v>
      </c>
      <c r="I197" s="21">
        <f>IF(OR($B197="",$H197=""),"",IF($C197="LONG",($H197-$E197)*$F197,($E197-$H197)*$F197))</f>
        <v/>
      </c>
      <c r="J197" s="22">
        <f>IF(OR($B197="",$I197="",$E197=0,$F197=0),"",$I197/($E197*$F197))</f>
        <v/>
      </c>
      <c r="K197" s="4" t="n">
        <v>359.46</v>
      </c>
      <c r="L197" s="21">
        <f>IF(OR($B197="",$I197=""),"",$I197-IF($K197="",0,$K197))</f>
        <v/>
      </c>
      <c r="M197" s="22">
        <f>IF(OR($B197="",$L197="",$E197=0,$F197=0),"",$L197/($E197*$F197))</f>
        <v/>
      </c>
      <c r="N197" s="27">
        <f>IF($B197="","",IF($H197="","Open","Closed"))</f>
        <v/>
      </c>
      <c r="O197" s="23" t="inlineStr">
        <is>
          <t>Untagged</t>
        </is>
      </c>
    </row>
    <row r="198">
      <c r="A198" s="23" t="inlineStr">
        <is>
          <t>DHAN-221260922659909</t>
        </is>
      </c>
      <c r="B198" s="23" t="inlineStr">
        <is>
          <t>PACEDIGITK</t>
        </is>
      </c>
      <c r="C198" s="23" t="inlineStr">
        <is>
          <t>LONG</t>
        </is>
      </c>
      <c r="D198" s="24" t="n">
        <v>46287</v>
      </c>
      <c r="E198" s="25" t="n">
        <v>168.7</v>
      </c>
      <c r="F198" s="26" t="n">
        <v>1482</v>
      </c>
      <c r="G198" s="24" t="n">
        <v>46288</v>
      </c>
      <c r="H198" s="25" t="n">
        <v>170.47</v>
      </c>
      <c r="I198" s="21">
        <f>IF(OR($B198="",$H198=""),"",IF($C198="LONG",($H198-$E198)*$F198,($E198-$H198)*$F198))</f>
        <v/>
      </c>
      <c r="J198" s="22">
        <f>IF(OR($B198="",$I198="",$E198=0,$F198=0),"",$I198/($E198*$F198))</f>
        <v/>
      </c>
      <c r="K198" s="4" t="n">
        <v>462.4</v>
      </c>
      <c r="L198" s="21">
        <f>IF(OR($B198="",$I198=""),"",$I198-IF($K198="",0,$K198))</f>
        <v/>
      </c>
      <c r="M198" s="22">
        <f>IF(OR($B198="",$L198="",$E198=0,$F198=0),"",$L198/($E198*$F198))</f>
        <v/>
      </c>
      <c r="N198" s="27">
        <f>IF($B198="","",IF($H198="","Open","Closed"))</f>
        <v/>
      </c>
      <c r="O198" s="23" t="inlineStr">
        <is>
          <t>Untagged</t>
        </is>
      </c>
    </row>
    <row r="199">
      <c r="A199" s="23" t="inlineStr">
        <is>
          <t>DHAN-22126092353109</t>
        </is>
      </c>
      <c r="B199" s="23" t="inlineStr">
        <is>
          <t>PACEDIGITK</t>
        </is>
      </c>
      <c r="C199" s="23" t="inlineStr">
        <is>
          <t>SHORT</t>
        </is>
      </c>
      <c r="D199" s="24" t="n">
        <v>46288</v>
      </c>
      <c r="E199" s="25" t="n">
        <v>170.48</v>
      </c>
      <c r="F199" s="26" t="n">
        <v>1482</v>
      </c>
      <c r="G199" s="24" t="n">
        <v>46288</v>
      </c>
      <c r="H199" s="25" t="n">
        <v>169.7</v>
      </c>
      <c r="I199" s="21">
        <f>IF(OR($B199="",$H199=""),"",IF($C199="LONG",($H199-$E199)*$F199,($E199-$H199)*$F199))</f>
        <v/>
      </c>
      <c r="J199" s="22">
        <f>IF(OR($B199="",$I199="",$E199=0,$F199=0),"",$I199/($E199*$F199))</f>
        <v/>
      </c>
      <c r="K199" s="4" t="n">
        <v>365.31</v>
      </c>
      <c r="L199" s="21">
        <f>IF(OR($B199="",$I199=""),"",$I199-IF($K199="",0,$K199))</f>
        <v/>
      </c>
      <c r="M199" s="22">
        <f>IF(OR($B199="",$L199="",$E199=0,$F199=0),"",$L199/($E199*$F199))</f>
        <v/>
      </c>
      <c r="N199" s="27">
        <f>IF($B199="","",IF($H199="","Open","Closed"))</f>
        <v/>
      </c>
      <c r="O199" s="23" t="inlineStr">
        <is>
          <t>Untagged</t>
        </is>
      </c>
    </row>
    <row r="200">
      <c r="A200" s="23" t="inlineStr">
        <is>
          <t>DHAN-23126092274009</t>
        </is>
      </c>
      <c r="B200" s="23" t="inlineStr">
        <is>
          <t>PROTEAN</t>
        </is>
      </c>
      <c r="C200" s="23" t="inlineStr">
        <is>
          <t>LONG</t>
        </is>
      </c>
      <c r="D200" s="24" t="n">
        <v>46287</v>
      </c>
      <c r="E200" s="25" t="n">
        <v>620.9959</v>
      </c>
      <c r="F200" s="26" t="n">
        <v>403</v>
      </c>
      <c r="G200" s="24" t="n">
        <v>46288</v>
      </c>
      <c r="H200" s="25" t="n">
        <v>607.61</v>
      </c>
      <c r="I200" s="21">
        <f>IF(OR($B200="",$H200=""),"",IF($C200="LONG",($H200-$E200)*$F200,($E200-$H200)*$F200))</f>
        <v/>
      </c>
      <c r="J200" s="22">
        <f>IF(OR($B200="",$I200="",$E200=0,$F200=0),"",$I200/($E200*$F200))</f>
        <v/>
      </c>
      <c r="K200" s="4" t="n">
        <v>517.1</v>
      </c>
      <c r="L200" s="21">
        <f>IF(OR($B200="",$I200=""),"",$I200-IF($K200="",0,$K200))</f>
        <v/>
      </c>
      <c r="M200" s="22">
        <f>IF(OR($B200="",$L200="",$E200=0,$F200=0),"",$L200/($E200*$F200))</f>
        <v/>
      </c>
      <c r="N200" s="27">
        <f>IF($B200="","",IF($H200="","Open","Closed"))</f>
        <v/>
      </c>
      <c r="O200" s="23" t="inlineStr">
        <is>
          <t>Untagged</t>
        </is>
      </c>
    </row>
    <row r="201">
      <c r="A201" s="23" t="inlineStr">
        <is>
          <t>DHAN-321260923455309</t>
        </is>
      </c>
      <c r="B201" s="23" t="inlineStr">
        <is>
          <t>PROTEAN</t>
        </is>
      </c>
      <c r="C201" s="23" t="inlineStr">
        <is>
          <t>SHORT</t>
        </is>
      </c>
      <c r="D201" s="24" t="n">
        <v>46288</v>
      </c>
      <c r="E201" s="25" t="n">
        <v>607.0599999999999</v>
      </c>
      <c r="F201" s="26" t="n">
        <v>403</v>
      </c>
      <c r="G201" s="24" t="n">
        <v>46288</v>
      </c>
      <c r="H201" s="25" t="n">
        <v>633.91</v>
      </c>
      <c r="I201" s="21">
        <f>IF(OR($B201="",$H201=""),"",IF($C201="LONG",($H201-$E201)*$F201,($E201-$H201)*$F201))</f>
        <v/>
      </c>
      <c r="J201" s="22">
        <f>IF(OR($B201="",$I201="",$E201=0,$F201=0),"",$I201/($E201*$F201))</f>
        <v/>
      </c>
      <c r="K201" s="4" t="n">
        <v>298.29</v>
      </c>
      <c r="L201" s="21">
        <f>IF(OR($B201="",$I201=""),"",$I201-IF($K201="",0,$K201))</f>
        <v/>
      </c>
      <c r="M201" s="22">
        <f>IF(OR($B201="",$L201="",$E201=0,$F201=0),"",$L201/($E201*$F201))</f>
        <v/>
      </c>
      <c r="N201" s="27">
        <f>IF($B201="","",IF($H201="","Open","Closed"))</f>
        <v/>
      </c>
      <c r="O201" s="23" t="inlineStr">
        <is>
          <t>Untagged</t>
        </is>
      </c>
    </row>
    <row r="202">
      <c r="A202" s="23" t="inlineStr">
        <is>
          <t>DHAN-321260922627909</t>
        </is>
      </c>
      <c r="B202" s="23" t="inlineStr">
        <is>
          <t>STEELCAS</t>
        </is>
      </c>
      <c r="C202" s="23" t="inlineStr">
        <is>
          <t>LONG</t>
        </is>
      </c>
      <c r="D202" s="24" t="n">
        <v>46287</v>
      </c>
      <c r="E202" s="25" t="n">
        <v>349.9038</v>
      </c>
      <c r="F202" s="26" t="n">
        <v>715</v>
      </c>
      <c r="G202" s="24" t="n">
        <v>46288</v>
      </c>
      <c r="H202" s="25" t="n">
        <v>357.47</v>
      </c>
      <c r="I202" s="21">
        <f>IF(OR($B202="",$H202=""),"",IF($C202="LONG",($H202-$E202)*$F202,($E202-$H202)*$F202))</f>
        <v/>
      </c>
      <c r="J202" s="22">
        <f>IF(OR($B202="",$I202="",$E202=0,$F202=0),"",$I202/($E202*$F202))</f>
        <v/>
      </c>
      <c r="K202" s="4" t="n">
        <v>519.16</v>
      </c>
      <c r="L202" s="21">
        <f>IF(OR($B202="",$I202=""),"",$I202-IF($K202="",0,$K202))</f>
        <v/>
      </c>
      <c r="M202" s="22">
        <f>IF(OR($B202="",$L202="",$E202=0,$F202=0),"",$L202/($E202*$F202))</f>
        <v/>
      </c>
      <c r="N202" s="27">
        <f>IF($B202="","",IF($H202="","Open","Closed"))</f>
        <v/>
      </c>
      <c r="O202" s="23" t="inlineStr">
        <is>
          <t>Untagged</t>
        </is>
      </c>
    </row>
    <row r="203">
      <c r="A203" s="23" t="inlineStr">
        <is>
          <t>DHAN-23126092351809</t>
        </is>
      </c>
      <c r="B203" s="23" t="inlineStr">
        <is>
          <t>STEELCAS</t>
        </is>
      </c>
      <c r="C203" s="23" t="inlineStr">
        <is>
          <t>SHORT</t>
        </is>
      </c>
      <c r="D203" s="24" t="n">
        <v>46288</v>
      </c>
      <c r="E203" s="25" t="n">
        <v>356.89</v>
      </c>
      <c r="F203" s="26" t="n">
        <v>715</v>
      </c>
      <c r="G203" s="24" t="n">
        <v>46288</v>
      </c>
      <c r="H203" s="25" t="n">
        <v>356.99</v>
      </c>
      <c r="I203" s="21">
        <f>IF(OR($B203="",$H203=""),"",IF($C203="LONG",($H203-$E203)*$F203,($E203-$H203)*$F203))</f>
        <v/>
      </c>
      <c r="J203" s="22">
        <f>IF(OR($B203="",$I203="",$E203=0,$F203=0),"",$I203/($E203*$F203))</f>
        <v/>
      </c>
      <c r="K203" s="4" t="n">
        <v>305.76</v>
      </c>
      <c r="L203" s="21">
        <f>IF(OR($B203="",$I203=""),"",$I203-IF($K203="",0,$K203))</f>
        <v/>
      </c>
      <c r="M203" s="22">
        <f>IF(OR($B203="",$L203="",$E203=0,$F203=0),"",$L203/($E203*$F203))</f>
        <v/>
      </c>
      <c r="N203" s="27">
        <f>IF($B203="","",IF($H203="","Open","Closed"))</f>
        <v/>
      </c>
      <c r="O203" s="23" t="inlineStr">
        <is>
          <t>Untagged</t>
        </is>
      </c>
    </row>
    <row r="204">
      <c r="A204" s="23" t="inlineStr">
        <is>
          <t>DHAN-34126092267009</t>
        </is>
      </c>
      <c r="B204" s="23" t="inlineStr">
        <is>
          <t>ZOTA</t>
        </is>
      </c>
      <c r="C204" s="23" t="inlineStr">
        <is>
          <t>LONG</t>
        </is>
      </c>
      <c r="D204" s="24" t="n">
        <v>46287</v>
      </c>
      <c r="E204" s="25" t="n">
        <v>1359.8431</v>
      </c>
      <c r="F204" s="26" t="n">
        <v>183</v>
      </c>
      <c r="G204" s="24" t="n">
        <v>46288</v>
      </c>
      <c r="H204" s="25" t="n">
        <v>1372.32</v>
      </c>
      <c r="I204" s="21">
        <f>IF(OR($B204="",$H204=""),"",IF($C204="LONG",($H204-$E204)*$F204,($E204-$H204)*$F204))</f>
        <v/>
      </c>
      <c r="J204" s="22">
        <f>IF(OR($B204="",$I204="",$E204=0,$F204=0),"",$I204/($E204*$F204))</f>
        <v/>
      </c>
      <c r="K204" s="4" t="n">
        <v>449.04</v>
      </c>
      <c r="L204" s="21">
        <f>IF(OR($B204="",$I204=""),"",$I204-IF($K204="",0,$K204))</f>
        <v/>
      </c>
      <c r="M204" s="22">
        <f>IF(OR($B204="",$L204="",$E204=0,$F204=0),"",$L204/($E204*$F204))</f>
        <v/>
      </c>
      <c r="N204" s="27">
        <f>IF($B204="","",IF($H204="","Open","Closed"))</f>
        <v/>
      </c>
      <c r="O204" s="23" t="inlineStr">
        <is>
          <t>Untagged</t>
        </is>
      </c>
    </row>
    <row r="205">
      <c r="A205" s="23" t="inlineStr">
        <is>
          <t>DHAN-23126092351709</t>
        </is>
      </c>
      <c r="B205" s="23" t="inlineStr">
        <is>
          <t>ZOTA</t>
        </is>
      </c>
      <c r="C205" s="23" t="inlineStr">
        <is>
          <t>SHORT</t>
        </is>
      </c>
      <c r="D205" s="24" t="n">
        <v>46288</v>
      </c>
      <c r="E205" s="25" t="n">
        <v>1372.09</v>
      </c>
      <c r="F205" s="26" t="n">
        <v>183</v>
      </c>
      <c r="G205" s="24" t="n">
        <v>46288</v>
      </c>
      <c r="H205" s="25" t="n">
        <v>1392.4</v>
      </c>
      <c r="I205" s="21">
        <f>IF(OR($B205="",$H205=""),"",IF($C205="LONG",($H205-$E205)*$F205,($E205-$H205)*$F205))</f>
        <v/>
      </c>
      <c r="J205" s="22">
        <f>IF(OR($B205="",$I205="",$E205=0,$F205=0),"",$I205/($E205*$F205))</f>
        <v/>
      </c>
      <c r="K205" s="4" t="n">
        <v>365.6</v>
      </c>
      <c r="L205" s="21">
        <f>IF(OR($B205="",$I205=""),"",$I205-IF($K205="",0,$K205))</f>
        <v/>
      </c>
      <c r="M205" s="22">
        <f>IF(OR($B205="",$L205="",$E205=0,$F205=0),"",$L205/($E205*$F205))</f>
        <v/>
      </c>
      <c r="N205" s="27">
        <f>IF($B205="","",IF($H205="","Open","Closed"))</f>
        <v/>
      </c>
      <c r="O205" s="23" t="inlineStr">
        <is>
          <t>Untagged</t>
        </is>
      </c>
    </row>
    <row r="206">
      <c r="A206" s="23" t="inlineStr">
        <is>
          <t>DHAN-34126092398609+321260923716809+34126092398409+221260923706809+321260923715609+23126092396009+23126092395709+34126092397609+221260923704609+34126092397409+23126092394409</t>
        </is>
      </c>
      <c r="B206" s="23" t="inlineStr">
        <is>
          <t>ARVSMART</t>
        </is>
      </c>
      <c r="C206" s="23" t="inlineStr">
        <is>
          <t>LONG</t>
        </is>
      </c>
      <c r="D206" s="24" t="n">
        <v>46288</v>
      </c>
      <c r="E206" s="25" t="n">
        <v>635.6889</v>
      </c>
      <c r="F206" s="26" t="n">
        <v>262</v>
      </c>
      <c r="G206" s="24" t="n">
        <v>46289</v>
      </c>
      <c r="H206" s="25" t="n">
        <v>627.8200000000001</v>
      </c>
      <c r="I206" s="21">
        <f>IF(OR($B206="",$H206=""),"",IF($C206="LONG",($H206-$E206)*$F206,($E206-$H206)*$F206))</f>
        <v/>
      </c>
      <c r="J206" s="22">
        <f>IF(OR($B206="",$I206="",$E206=0,$F206=0),"",$I206/($E206*$F206))</f>
        <v/>
      </c>
      <c r="K206" s="4" t="n">
        <v>411.86</v>
      </c>
      <c r="L206" s="21">
        <f>IF(OR($B206="",$I206=""),"",$I206-IF($K206="",0,$K206))</f>
        <v/>
      </c>
      <c r="M206" s="22">
        <f>IF(OR($B206="",$L206="",$E206=0,$F206=0),"",$L206/($E206*$F206))</f>
        <v/>
      </c>
      <c r="N206" s="27">
        <f>IF($B206="","",IF($H206="","Open","Closed"))</f>
        <v/>
      </c>
      <c r="O206" s="23" t="inlineStr">
        <is>
          <t>Untagged</t>
        </is>
      </c>
    </row>
    <row r="207">
      <c r="A207" s="23" t="inlineStr">
        <is>
          <t>DHAN-221260924489209</t>
        </is>
      </c>
      <c r="B207" s="23" t="inlineStr">
        <is>
          <t>ARVSMART</t>
        </is>
      </c>
      <c r="C207" s="23" t="inlineStr">
        <is>
          <t>SHORT</t>
        </is>
      </c>
      <c r="D207" s="24" t="n">
        <v>46289</v>
      </c>
      <c r="E207" s="25" t="n">
        <v>627.33</v>
      </c>
      <c r="F207" s="26" t="n">
        <v>262</v>
      </c>
      <c r="G207" s="24" t="n">
        <v>46289</v>
      </c>
      <c r="H207" s="25" t="n">
        <v>624.98</v>
      </c>
      <c r="I207" s="21">
        <f>IF(OR($B207="",$H207=""),"",IF($C207="LONG",($H207-$E207)*$F207,($E207-$H207)*$F207))</f>
        <v/>
      </c>
      <c r="J207" s="22">
        <f>IF(OR($B207="",$I207="",$E207=0,$F207=0),"",$I207/($E207*$F207))</f>
        <v/>
      </c>
      <c r="K207" s="4" t="n">
        <v>204.98</v>
      </c>
      <c r="L207" s="21">
        <f>IF(OR($B207="",$I207=""),"",$I207-IF($K207="",0,$K207))</f>
        <v/>
      </c>
      <c r="M207" s="22">
        <f>IF(OR($B207="",$L207="",$E207=0,$F207=0),"",$L207/($E207*$F207))</f>
        <v/>
      </c>
      <c r="N207" s="27">
        <f>IF($B207="","",IF($H207="","Open","Closed"))</f>
        <v/>
      </c>
      <c r="O207" s="23" t="inlineStr">
        <is>
          <t>Untagged</t>
        </is>
      </c>
    </row>
    <row r="208">
      <c r="A208" s="23" t="inlineStr">
        <is>
          <t>DHAN-221260923706909+321260923715509+23126092395909+321260923715009+34126092397909+221260923705109+34126092397709+321260923713609+23126092394709+23126092394509+221260923703109</t>
        </is>
      </c>
      <c r="B208" s="23" t="inlineStr">
        <is>
          <t>DELTACORP</t>
        </is>
      </c>
      <c r="C208" s="23" t="inlineStr">
        <is>
          <t>LONG</t>
        </is>
      </c>
      <c r="D208" s="24" t="n">
        <v>46288</v>
      </c>
      <c r="E208" s="25" t="n">
        <v>68.7423</v>
      </c>
      <c r="F208" s="26" t="n">
        <v>2426</v>
      </c>
      <c r="G208" s="24" t="n">
        <v>46289</v>
      </c>
      <c r="H208" s="25" t="n">
        <v>71</v>
      </c>
      <c r="I208" s="21">
        <f>IF(OR($B208="",$H208=""),"",IF($C208="LONG",($H208-$E208)*$F208,($E208-$H208)*$F208))</f>
        <v/>
      </c>
      <c r="J208" s="22">
        <f>IF(OR($B208="",$I208="",$E208=0,$F208=0),"",$I208/($E208*$F208))</f>
        <v/>
      </c>
      <c r="K208" s="4" t="n">
        <v>357.77</v>
      </c>
      <c r="L208" s="21">
        <f>IF(OR($B208="",$I208=""),"",$I208-IF($K208="",0,$K208))</f>
        <v/>
      </c>
      <c r="M208" s="22">
        <f>IF(OR($B208="",$L208="",$E208=0,$F208=0),"",$L208/($E208*$F208))</f>
        <v/>
      </c>
      <c r="N208" s="27">
        <f>IF($B208="","",IF($H208="","Open","Closed"))</f>
        <v/>
      </c>
      <c r="O208" s="23" t="inlineStr">
        <is>
          <t>Untagged</t>
        </is>
      </c>
    </row>
    <row r="209">
      <c r="A209" s="23" t="inlineStr">
        <is>
          <t>DHAN-23126092413009</t>
        </is>
      </c>
      <c r="B209" s="23" t="inlineStr">
        <is>
          <t>DELTACORP</t>
        </is>
      </c>
      <c r="C209" s="23" t="inlineStr">
        <is>
          <t>SHORT</t>
        </is>
      </c>
      <c r="D209" s="24" t="n">
        <v>46289</v>
      </c>
      <c r="E209" s="25" t="n">
        <v>71.06999999999999</v>
      </c>
      <c r="F209" s="26" t="n">
        <v>2426</v>
      </c>
      <c r="G209" s="24" t="n">
        <v>46289</v>
      </c>
      <c r="H209" s="25" t="n">
        <v>72.55</v>
      </c>
      <c r="I209" s="21">
        <f>IF(OR($B209="",$H209=""),"",IF($C209="LONG",($H209-$E209)*$F209,($E209-$H209)*$F209))</f>
        <v/>
      </c>
      <c r="J209" s="22">
        <f>IF(OR($B209="",$I209="",$E209=0,$F209=0),"",$I209/($E209*$F209))</f>
        <v/>
      </c>
      <c r="K209" s="4" t="n">
        <v>258.86</v>
      </c>
      <c r="L209" s="21">
        <f>IF(OR($B209="",$I209=""),"",$I209-IF($K209="",0,$K209))</f>
        <v/>
      </c>
      <c r="M209" s="22">
        <f>IF(OR($B209="",$L209="",$E209=0,$F209=0),"",$L209/($E209*$F209))</f>
        <v/>
      </c>
      <c r="N209" s="27">
        <f>IF($B209="","",IF($H209="","Open","Closed"))</f>
        <v/>
      </c>
      <c r="O209" s="23" t="inlineStr">
        <is>
          <t>Untagged</t>
        </is>
      </c>
    </row>
    <row r="210">
      <c r="A210" s="23" t="inlineStr">
        <is>
          <t>DHAN-34126092398509+221260923707409+221260923707009+34126092398209+34126092398009+321260923714709+321260923714009+23126092395009+221260923704209+221260923703809+221260923703209</t>
        </is>
      </c>
      <c r="B210" s="23" t="inlineStr">
        <is>
          <t>GNA</t>
        </is>
      </c>
      <c r="C210" s="23" t="inlineStr">
        <is>
          <t>LONG</t>
        </is>
      </c>
      <c r="D210" s="24" t="n">
        <v>46288</v>
      </c>
      <c r="E210" s="25" t="n">
        <v>596.2712</v>
      </c>
      <c r="F210" s="26" t="n">
        <v>139</v>
      </c>
      <c r="G210" s="24" t="n">
        <v>46289</v>
      </c>
      <c r="H210" s="25" t="n">
        <v>634.15</v>
      </c>
      <c r="I210" s="21">
        <f>IF(OR($B210="",$H210=""),"",IF($C210="LONG",($H210-$E210)*$F210,($E210-$H210)*$F210))</f>
        <v/>
      </c>
      <c r="J210" s="22">
        <f>IF(OR($B210="",$I210="",$E210=0,$F210=0),"",$I210/($E210*$F210))</f>
        <v/>
      </c>
      <c r="K210" s="4" t="n">
        <v>161.97</v>
      </c>
      <c r="L210" s="21">
        <f>IF(OR($B210="",$I210=""),"",$I210-IF($K210="",0,$K210))</f>
        <v/>
      </c>
      <c r="M210" s="22">
        <f>IF(OR($B210="",$L210="",$E210=0,$F210=0),"",$L210/($E210*$F210))</f>
        <v/>
      </c>
      <c r="N210" s="27">
        <f>IF($B210="","",IF($H210="","Open","Closed"))</f>
        <v/>
      </c>
      <c r="O210" s="23" t="inlineStr">
        <is>
          <t>Untagged</t>
        </is>
      </c>
    </row>
    <row r="211">
      <c r="A211" s="23" t="inlineStr">
        <is>
          <t>DHAN-321260924470909</t>
        </is>
      </c>
      <c r="B211" s="23" t="inlineStr">
        <is>
          <t>GNA</t>
        </is>
      </c>
      <c r="C211" s="23" t="inlineStr">
        <is>
          <t>SHORT</t>
        </is>
      </c>
      <c r="D211" s="24" t="n">
        <v>46289</v>
      </c>
      <c r="E211" s="25" t="n">
        <v>634.42</v>
      </c>
      <c r="F211" s="26" t="n">
        <v>139</v>
      </c>
      <c r="G211" s="24" t="n">
        <v>46289</v>
      </c>
      <c r="H211" s="25" t="n">
        <v>622.92</v>
      </c>
      <c r="I211" s="21">
        <f>IF(OR($B211="",$H211=""),"",IF($C211="LONG",($H211-$E211)*$F211,($E211-$H211)*$F211))</f>
        <v/>
      </c>
      <c r="J211" s="22">
        <f>IF(OR($B211="",$I211="",$E211=0,$F211=0),"",$I211/($E211*$F211))</f>
        <v/>
      </c>
      <c r="K211" s="4" t="n">
        <v>120.38</v>
      </c>
      <c r="L211" s="21">
        <f>IF(OR($B211="",$I211=""),"",$I211-IF($K211="",0,$K211))</f>
        <v/>
      </c>
      <c r="M211" s="22">
        <f>IF(OR($B211="",$L211="",$E211=0,$F211=0),"",$L211/($E211*$F211))</f>
        <v/>
      </c>
      <c r="N211" s="27">
        <f>IF($B211="","",IF($H211="","Open","Closed"))</f>
        <v/>
      </c>
      <c r="O211" s="23" t="inlineStr">
        <is>
          <t>Untagged</t>
        </is>
      </c>
    </row>
    <row r="212">
      <c r="A212" s="23" t="inlineStr">
        <is>
          <t>DHAN-23126092396309+321260923717309+321260923716709+23126092396209+34126092398309+221260923706209+34126092397809+34126092397509+221260923704109+34126092397209</t>
        </is>
      </c>
      <c r="B212" s="23" t="inlineStr">
        <is>
          <t>JAYKAY</t>
        </is>
      </c>
      <c r="C212" s="23" t="inlineStr">
        <is>
          <t>LONG</t>
        </is>
      </c>
      <c r="D212" s="24" t="n">
        <v>46288</v>
      </c>
      <c r="E212" s="25" t="n">
        <v>212.4728</v>
      </c>
      <c r="F212" s="26" t="n">
        <v>780</v>
      </c>
      <c r="G212" s="24" t="n">
        <v>46289</v>
      </c>
      <c r="H212" s="25" t="n">
        <v>205.69</v>
      </c>
      <c r="I212" s="21">
        <f>IF(OR($B212="",$H212=""),"",IF($C212="LONG",($H212-$E212)*$F212,($E212-$H212)*$F212))</f>
        <v/>
      </c>
      <c r="J212" s="22">
        <f>IF(OR($B212="",$I212="",$E212=0,$F212=0),"",$I212/($E212*$F212))</f>
        <v/>
      </c>
      <c r="K212" s="4" t="n">
        <v>395.59</v>
      </c>
      <c r="L212" s="21">
        <f>IF(OR($B212="",$I212=""),"",$I212-IF($K212="",0,$K212))</f>
        <v/>
      </c>
      <c r="M212" s="22">
        <f>IF(OR($B212="",$L212="",$E212=0,$F212=0),"",$L212/($E212*$F212))</f>
        <v/>
      </c>
      <c r="N212" s="27">
        <f>IF($B212="","",IF($H212="","Open","Closed"))</f>
        <v/>
      </c>
      <c r="O212" s="23" t="inlineStr">
        <is>
          <t>Untagged</t>
        </is>
      </c>
    </row>
    <row r="213">
      <c r="A213" s="23" t="inlineStr">
        <is>
          <t>DHAN-34126092446309</t>
        </is>
      </c>
      <c r="B213" s="23" t="inlineStr">
        <is>
          <t>JAYKAY</t>
        </is>
      </c>
      <c r="C213" s="23" t="inlineStr">
        <is>
          <t>SHORT</t>
        </is>
      </c>
      <c r="D213" s="24" t="n">
        <v>46289</v>
      </c>
      <c r="E213" s="25" t="n">
        <v>205.66</v>
      </c>
      <c r="F213" s="26" t="n">
        <v>780</v>
      </c>
      <c r="G213" s="24" t="n">
        <v>46289</v>
      </c>
      <c r="H213" s="25" t="n">
        <v>203.27</v>
      </c>
      <c r="I213" s="21">
        <f>IF(OR($B213="",$H213=""),"",IF($C213="LONG",($H213-$E213)*$F213,($E213-$H213)*$F213))</f>
        <v/>
      </c>
      <c r="J213" s="22">
        <f>IF(OR($B213="",$I213="",$E213=0,$F213=0),"",$I213/($E213*$F213))</f>
        <v/>
      </c>
      <c r="K213" s="4" t="n">
        <v>200.09</v>
      </c>
      <c r="L213" s="21">
        <f>IF(OR($B213="",$I213=""),"",$I213-IF($K213="",0,$K213))</f>
        <v/>
      </c>
      <c r="M213" s="22">
        <f>IF(OR($B213="",$L213="",$E213=0,$F213=0),"",$L213/($E213*$F213))</f>
        <v/>
      </c>
      <c r="N213" s="27">
        <f>IF($B213="","",IF($H213="","Open","Closed"))</f>
        <v/>
      </c>
      <c r="O213" s="23" t="inlineStr">
        <is>
          <t>Untagged</t>
        </is>
      </c>
    </row>
    <row r="214">
      <c r="A214" s="23" t="inlineStr">
        <is>
          <t>DHAN-23126092396409</t>
        </is>
      </c>
      <c r="B214" s="23" t="inlineStr">
        <is>
          <t>KROSS</t>
        </is>
      </c>
      <c r="C214" s="23" t="inlineStr">
        <is>
          <t>LONG</t>
        </is>
      </c>
      <c r="D214" s="24" t="n">
        <v>46288</v>
      </c>
      <c r="E214" s="25" t="n">
        <v>278.5987</v>
      </c>
      <c r="F214" s="26" t="n">
        <v>597</v>
      </c>
      <c r="G214" s="24" t="n">
        <v>46289</v>
      </c>
      <c r="H214" s="25" t="n">
        <v>273.19</v>
      </c>
      <c r="I214" s="21">
        <f>IF(OR($B214="",$H214=""),"",IF($C214="LONG",($H214-$E214)*$F214,($E214-$H214)*$F214))</f>
        <v/>
      </c>
      <c r="J214" s="22">
        <f>IF(OR($B214="",$I214="",$E214=0,$F214=0),"",$I214/($E214*$F214))</f>
        <v/>
      </c>
      <c r="K214" s="4" t="n">
        <v>329.38</v>
      </c>
      <c r="L214" s="21">
        <f>IF(OR($B214="",$I214=""),"",$I214-IF($K214="",0,$K214))</f>
        <v/>
      </c>
      <c r="M214" s="22">
        <f>IF(OR($B214="",$L214="",$E214=0,$F214=0),"",$L214/($E214*$F214))</f>
        <v/>
      </c>
      <c r="N214" s="27">
        <f>IF($B214="","",IF($H214="","Open","Closed"))</f>
        <v/>
      </c>
      <c r="O214" s="23" t="inlineStr">
        <is>
          <t>Untagged</t>
        </is>
      </c>
    </row>
    <row r="215">
      <c r="A215" s="23" t="inlineStr">
        <is>
          <t>DHAN-34126092446409</t>
        </is>
      </c>
      <c r="B215" s="23" t="inlineStr">
        <is>
          <t>KROSS</t>
        </is>
      </c>
      <c r="C215" s="23" t="inlineStr">
        <is>
          <t>SHORT</t>
        </is>
      </c>
      <c r="D215" s="24" t="n">
        <v>46289</v>
      </c>
      <c r="E215" s="25" t="n">
        <v>273.1</v>
      </c>
      <c r="F215" s="26" t="n">
        <v>597</v>
      </c>
      <c r="G215" s="24" t="n">
        <v>46289</v>
      </c>
      <c r="H215" s="25" t="n">
        <v>270.06</v>
      </c>
      <c r="I215" s="21">
        <f>IF(OR($B215="",$H215=""),"",IF($C215="LONG",($H215-$E215)*$F215,($E215-$H215)*$F215))</f>
        <v/>
      </c>
      <c r="J215" s="22">
        <f>IF(OR($B215="",$I215="",$E215=0,$F215=0),"",$I215/($E215*$F215))</f>
        <v/>
      </c>
      <c r="K215" s="4" t="n">
        <v>243.64</v>
      </c>
      <c r="L215" s="21">
        <f>IF(OR($B215="",$I215=""),"",$I215-IF($K215="",0,$K215))</f>
        <v/>
      </c>
      <c r="M215" s="22">
        <f>IF(OR($B215="",$L215="",$E215=0,$F215=0),"",$L215/($E215*$F215))</f>
        <v/>
      </c>
      <c r="N215" s="27">
        <f>IF($B215="","",IF($H215="","Open","Closed"))</f>
        <v/>
      </c>
      <c r="O215" s="23" t="inlineStr">
        <is>
          <t>Untagged</t>
        </is>
      </c>
    </row>
    <row r="216">
      <c r="A216" s="23" t="inlineStr">
        <is>
          <t>DHAN-221260923710209</t>
        </is>
      </c>
      <c r="B216" s="23" t="inlineStr">
        <is>
          <t>MUKANDLTD</t>
        </is>
      </c>
      <c r="C216" s="23" t="inlineStr">
        <is>
          <t>LONG</t>
        </is>
      </c>
      <c r="D216" s="24" t="n">
        <v>46288</v>
      </c>
      <c r="E216" s="25" t="n">
        <v>156.9292</v>
      </c>
      <c r="F216" s="26" t="n">
        <v>1059</v>
      </c>
      <c r="G216" s="24" t="n">
        <v>46289</v>
      </c>
      <c r="H216" s="25" t="n">
        <v>156.75</v>
      </c>
      <c r="I216" s="21">
        <f>IF(OR($B216="",$H216=""),"",IF($C216="LONG",($H216-$E216)*$F216,($E216-$H216)*$F216))</f>
        <v/>
      </c>
      <c r="J216" s="22">
        <f>IF(OR($B216="",$I216="",$E216=0,$F216=0),"",$I216/($E216*$F216))</f>
        <v/>
      </c>
      <c r="K216" s="4" t="n">
        <v>334.85</v>
      </c>
      <c r="L216" s="21">
        <f>IF(OR($B216="",$I216=""),"",$I216-IF($K216="",0,$K216))</f>
        <v/>
      </c>
      <c r="M216" s="22">
        <f>IF(OR($B216="",$L216="",$E216=0,$F216=0),"",$L216/($E216*$F216))</f>
        <v/>
      </c>
      <c r="N216" s="27">
        <f>IF($B216="","",IF($H216="","Open","Closed"))</f>
        <v/>
      </c>
      <c r="O216" s="23" t="inlineStr">
        <is>
          <t>Untagged</t>
        </is>
      </c>
    </row>
    <row r="217">
      <c r="A217" s="23" t="inlineStr">
        <is>
          <t>DHAN-32126092463309</t>
        </is>
      </c>
      <c r="B217" s="23" t="inlineStr">
        <is>
          <t>MUKANDLTD</t>
        </is>
      </c>
      <c r="C217" s="23" t="inlineStr">
        <is>
          <t>SHORT</t>
        </is>
      </c>
      <c r="D217" s="24" t="n">
        <v>46289</v>
      </c>
      <c r="E217" s="25" t="n">
        <v>157.54</v>
      </c>
      <c r="F217" s="26" t="n">
        <v>1059</v>
      </c>
      <c r="G217" s="24" t="n">
        <v>46289</v>
      </c>
      <c r="H217" s="25" t="n">
        <v>155.92</v>
      </c>
      <c r="I217" s="21">
        <f>IF(OR($B217="",$H217=""),"",IF($C217="LONG",($H217-$E217)*$F217,($E217-$H217)*$F217))</f>
        <v/>
      </c>
      <c r="J217" s="22">
        <f>IF(OR($B217="",$I217="",$E217=0,$F217=0),"",$I217/($E217*$F217))</f>
        <v/>
      </c>
      <c r="K217" s="4" t="n">
        <v>248.07</v>
      </c>
      <c r="L217" s="21">
        <f>IF(OR($B217="",$I217=""),"",$I217-IF($K217="",0,$K217))</f>
        <v/>
      </c>
      <c r="M217" s="22">
        <f>IF(OR($B217="",$L217="",$E217=0,$F217=0),"",$L217/($E217*$F217))</f>
        <v/>
      </c>
      <c r="N217" s="27">
        <f>IF($B217="","",IF($H217="","Open","Closed"))</f>
        <v/>
      </c>
      <c r="O217" s="23" t="inlineStr">
        <is>
          <t>Untagged</t>
        </is>
      </c>
    </row>
    <row r="218">
      <c r="A218" s="23" t="inlineStr">
        <is>
          <t>DHAN-34126092398809</t>
        </is>
      </c>
      <c r="B218" s="23" t="inlineStr">
        <is>
          <t>ONEPOINT</t>
        </is>
      </c>
      <c r="C218" s="23" t="inlineStr">
        <is>
          <t>LONG</t>
        </is>
      </c>
      <c r="D218" s="24" t="n">
        <v>46288</v>
      </c>
      <c r="E218" s="25" t="n">
        <v>68.3674</v>
      </c>
      <c r="F218" s="26" t="n">
        <v>2439</v>
      </c>
      <c r="G218" s="24" t="n">
        <v>46289</v>
      </c>
      <c r="H218" s="25" t="n">
        <v>71.39</v>
      </c>
      <c r="I218" s="21">
        <f>IF(OR($B218="",$H218=""),"",IF($C218="LONG",($H218-$E218)*$F218,($E218-$H218)*$F218))</f>
        <v/>
      </c>
      <c r="J218" s="22">
        <f>IF(OR($B218="",$I218="",$E218=0,$F218=0),"",$I218/($E218*$F218))</f>
        <v/>
      </c>
      <c r="K218" s="4" t="n">
        <v>365.48</v>
      </c>
      <c r="L218" s="21">
        <f>IF(OR($B218="",$I218=""),"",$I218-IF($K218="",0,$K218))</f>
        <v/>
      </c>
      <c r="M218" s="22">
        <f>IF(OR($B218="",$L218="",$E218=0,$F218=0),"",$L218/($E218*$F218))</f>
        <v/>
      </c>
      <c r="N218" s="27">
        <f>IF($B218="","",IF($H218="","Open","Closed"))</f>
        <v/>
      </c>
      <c r="O218" s="23" t="inlineStr">
        <is>
          <t>Untagged</t>
        </is>
      </c>
    </row>
    <row r="219">
      <c r="A219" s="23" t="inlineStr">
        <is>
          <t>DHAN-34126092413109</t>
        </is>
      </c>
      <c r="B219" s="23" t="inlineStr">
        <is>
          <t>ONEPOINT</t>
        </is>
      </c>
      <c r="C219" s="23" t="inlineStr">
        <is>
          <t>SHORT</t>
        </is>
      </c>
      <c r="D219" s="24" t="n">
        <v>46289</v>
      </c>
      <c r="E219" s="25" t="n">
        <v>71.53</v>
      </c>
      <c r="F219" s="26" t="n">
        <v>2439</v>
      </c>
      <c r="G219" s="24" t="n">
        <v>46289</v>
      </c>
      <c r="H219" s="25" t="n">
        <v>69.06999999999999</v>
      </c>
      <c r="I219" s="21">
        <f>IF(OR($B219="",$H219=""),"",IF($C219="LONG",($H219-$E219)*$F219,($E219-$H219)*$F219))</f>
        <v/>
      </c>
      <c r="J219" s="22">
        <f>IF(OR($B219="",$I219="",$E219=0,$F219=0),"",$I219/($E219*$F219))</f>
        <v/>
      </c>
      <c r="K219" s="4" t="n">
        <v>213.84</v>
      </c>
      <c r="L219" s="21">
        <f>IF(OR($B219="",$I219=""),"",$I219-IF($K219="",0,$K219))</f>
        <v/>
      </c>
      <c r="M219" s="22">
        <f>IF(OR($B219="",$L219="",$E219=0,$F219=0),"",$L219/($E219*$F219))</f>
        <v/>
      </c>
      <c r="N219" s="27">
        <f>IF($B219="","",IF($H219="","Open","Closed"))</f>
        <v/>
      </c>
      <c r="O219" s="23" t="inlineStr">
        <is>
          <t>Untagged</t>
        </is>
      </c>
    </row>
    <row r="220">
      <c r="A220" s="23" t="inlineStr">
        <is>
          <t>DHAN-221260923710309</t>
        </is>
      </c>
      <c r="B220" s="23" t="inlineStr">
        <is>
          <t>RAYMONDREL</t>
        </is>
      </c>
      <c r="C220" s="23" t="inlineStr">
        <is>
          <t>LONG</t>
        </is>
      </c>
      <c r="D220" s="24" t="n">
        <v>46288</v>
      </c>
      <c r="E220" s="25" t="n">
        <v>669.9376</v>
      </c>
      <c r="F220" s="26" t="n">
        <v>246</v>
      </c>
      <c r="G220" s="24" t="n">
        <v>46289</v>
      </c>
      <c r="H220" s="25" t="n">
        <v>677.5</v>
      </c>
      <c r="I220" s="21">
        <f>IF(OR($B220="",$H220=""),"",IF($C220="LONG",($H220-$E220)*$F220,($E220-$H220)*$F220))</f>
        <v/>
      </c>
      <c r="J220" s="22">
        <f>IF(OR($B220="",$I220="",$E220=0,$F220=0),"",$I220/($E220*$F220))</f>
        <v/>
      </c>
      <c r="K220" s="4" t="n">
        <v>333.1</v>
      </c>
      <c r="L220" s="21">
        <f>IF(OR($B220="",$I220=""),"",$I220-IF($K220="",0,$K220))</f>
        <v/>
      </c>
      <c r="M220" s="22">
        <f>IF(OR($B220="",$L220="",$E220=0,$F220=0),"",$L220/($E220*$F220))</f>
        <v/>
      </c>
      <c r="N220" s="27">
        <f>IF($B220="","",IF($H220="","Open","Closed"))</f>
        <v/>
      </c>
      <c r="O220" s="23" t="inlineStr">
        <is>
          <t>Untagged</t>
        </is>
      </c>
    </row>
    <row r="221">
      <c r="A221" s="23" t="inlineStr">
        <is>
          <t>DHAN-23126092413109</t>
        </is>
      </c>
      <c r="B221" s="23" t="inlineStr">
        <is>
          <t>RAYMONDREL</t>
        </is>
      </c>
      <c r="C221" s="23" t="inlineStr">
        <is>
          <t>SHORT</t>
        </is>
      </c>
      <c r="D221" s="24" t="n">
        <v>46289</v>
      </c>
      <c r="E221" s="25" t="n">
        <v>677.0599999999999</v>
      </c>
      <c r="F221" s="26" t="n">
        <v>246</v>
      </c>
      <c r="G221" s="24" t="n">
        <v>46289</v>
      </c>
      <c r="H221" s="25" t="n">
        <v>704</v>
      </c>
      <c r="I221" s="21">
        <f>IF(OR($B221="",$H221=""),"",IF($C221="LONG",($H221-$E221)*$F221,($E221-$H221)*$F221))</f>
        <v/>
      </c>
      <c r="J221" s="22">
        <f>IF(OR($B221="",$I221="",$E221=0,$F221=0),"",$I221/($E221*$F221))</f>
        <v/>
      </c>
      <c r="K221" s="4" t="n">
        <v>190.03</v>
      </c>
      <c r="L221" s="21">
        <f>IF(OR($B221="",$I221=""),"",$I221-IF($K221="",0,$K221))</f>
        <v/>
      </c>
      <c r="M221" s="22">
        <f>IF(OR($B221="",$L221="",$E221=0,$F221=0),"",$L221/($E221*$F221))</f>
        <v/>
      </c>
      <c r="N221" s="27">
        <f>IF($B221="","",IF($H221="","Open","Closed"))</f>
        <v/>
      </c>
      <c r="O221" s="23" t="inlineStr">
        <is>
          <t>Untagged</t>
        </is>
      </c>
    </row>
    <row r="222">
      <c r="A222" s="23" t="inlineStr">
        <is>
          <t>DHAN-34126092398909</t>
        </is>
      </c>
      <c r="B222" s="23" t="inlineStr">
        <is>
          <t>RPGLIFE</t>
        </is>
      </c>
      <c r="C222" s="23" t="inlineStr">
        <is>
          <t>LONG</t>
        </is>
      </c>
      <c r="D222" s="24" t="n">
        <v>46288</v>
      </c>
      <c r="E222" s="25" t="n">
        <v>3034.4072</v>
      </c>
      <c r="F222" s="26" t="n">
        <v>55</v>
      </c>
      <c r="G222" s="24" t="n">
        <v>46289</v>
      </c>
      <c r="H222" s="25" t="n">
        <v>2940.33</v>
      </c>
      <c r="I222" s="21">
        <f>IF(OR($B222="",$H222=""),"",IF($C222="LONG",($H222-$E222)*$F222,($E222-$H222)*$F222))</f>
        <v/>
      </c>
      <c r="J222" s="22">
        <f>IF(OR($B222="",$I222="",$E222=0,$F222=0),"",$I222/($E222*$F222))</f>
        <v/>
      </c>
      <c r="K222" s="4" t="n">
        <v>378.88</v>
      </c>
      <c r="L222" s="21">
        <f>IF(OR($B222="",$I222=""),"",$I222-IF($K222="",0,$K222))</f>
        <v/>
      </c>
      <c r="M222" s="22">
        <f>IF(OR($B222="",$L222="",$E222=0,$F222=0),"",$L222/($E222*$F222))</f>
        <v/>
      </c>
      <c r="N222" s="27">
        <f>IF($B222="","",IF($H222="","Open","Closed"))</f>
        <v/>
      </c>
      <c r="O222" s="23" t="inlineStr">
        <is>
          <t>Untagged</t>
        </is>
      </c>
    </row>
    <row r="223">
      <c r="A223" s="23" t="inlineStr">
        <is>
          <t>DHAN-221260924489309</t>
        </is>
      </c>
      <c r="B223" s="23" t="inlineStr">
        <is>
          <t>RPGLIFE</t>
        </is>
      </c>
      <c r="C223" s="23" t="inlineStr">
        <is>
          <t>SHORT</t>
        </is>
      </c>
      <c r="D223" s="24" t="n">
        <v>46289</v>
      </c>
      <c r="E223" s="25" t="n">
        <v>2938.97</v>
      </c>
      <c r="F223" s="26" t="n">
        <v>55</v>
      </c>
      <c r="G223" s="24" t="n">
        <v>46289</v>
      </c>
      <c r="H223" s="25" t="n">
        <v>2914.96</v>
      </c>
      <c r="I223" s="21">
        <f>IF(OR($B223="",$H223=""),"",IF($C223="LONG",($H223-$E223)*$F223,($E223-$H223)*$F223))</f>
        <v/>
      </c>
      <c r="J223" s="22">
        <f>IF(OR($B223="",$I223="",$E223=0,$F223=0),"",$I223/($E223*$F223))</f>
        <v/>
      </c>
      <c r="K223" s="4" t="n">
        <v>201.68</v>
      </c>
      <c r="L223" s="21">
        <f>IF(OR($B223="",$I223=""),"",$I223-IF($K223="",0,$K223))</f>
        <v/>
      </c>
      <c r="M223" s="22">
        <f>IF(OR($B223="",$L223="",$E223=0,$F223=0),"",$L223/($E223*$F223))</f>
        <v/>
      </c>
      <c r="N223" s="27">
        <f>IF($B223="","",IF($H223="","Open","Closed"))</f>
        <v/>
      </c>
      <c r="O223" s="23" t="inlineStr">
        <is>
          <t>Untagged</t>
        </is>
      </c>
    </row>
    <row r="224">
      <c r="A224" s="23" t="inlineStr">
        <is>
          <t>DHAN-34126092474909</t>
        </is>
      </c>
      <c r="B224" s="23" t="inlineStr">
        <is>
          <t>AVANTEL</t>
        </is>
      </c>
      <c r="C224" s="23" t="inlineStr">
        <is>
          <t>LONG</t>
        </is>
      </c>
      <c r="D224" s="24" t="n">
        <v>46289</v>
      </c>
      <c r="E224" s="25" t="n">
        <v>155.3422</v>
      </c>
      <c r="F224" s="26" t="n">
        <v>1614</v>
      </c>
      <c r="G224" s="24" t="n">
        <v>46290</v>
      </c>
      <c r="H224" s="25" t="n">
        <v>157.11</v>
      </c>
      <c r="I224" s="21">
        <f>IF(OR($B224="",$H224=""),"",IF($C224="LONG",($H224-$E224)*$F224,($E224-$H224)*$F224))</f>
        <v/>
      </c>
      <c r="J224" s="22">
        <f>IF(OR($B224="",$I224="",$E224=0,$F224=0),"",$I224/($E224*$F224))</f>
        <v/>
      </c>
      <c r="K224" s="4" t="n">
        <v>459.17</v>
      </c>
      <c r="L224" s="21">
        <f>IF(OR($B224="",$I224=""),"",$I224-IF($K224="",0,$K224))</f>
        <v/>
      </c>
      <c r="M224" s="22">
        <f>IF(OR($B224="",$L224="",$E224=0,$F224=0),"",$L224/($E224*$F224))</f>
        <v/>
      </c>
      <c r="N224" s="27">
        <f>IF($B224="","",IF($H224="","Open","Closed"))</f>
        <v/>
      </c>
      <c r="O224" s="23" t="inlineStr">
        <is>
          <t>Untagged</t>
        </is>
      </c>
    </row>
    <row r="225">
      <c r="A225" s="23" t="inlineStr">
        <is>
          <t>DHAN-34126092552909</t>
        </is>
      </c>
      <c r="B225" s="23" t="inlineStr">
        <is>
          <t>AVANTEL</t>
        </is>
      </c>
      <c r="C225" s="23" t="inlineStr">
        <is>
          <t>SHORT</t>
        </is>
      </c>
      <c r="D225" s="24" t="n">
        <v>46290</v>
      </c>
      <c r="E225" s="25" t="n">
        <v>157.03</v>
      </c>
      <c r="F225" s="26" t="n">
        <v>1614</v>
      </c>
      <c r="G225" s="24" t="n">
        <v>46290</v>
      </c>
      <c r="H225" s="25" t="n">
        <v>156.4</v>
      </c>
      <c r="I225" s="21">
        <f>IF(OR($B225="",$H225=""),"",IF($C225="LONG",($H225-$E225)*$F225,($E225-$H225)*$F225))</f>
        <v/>
      </c>
      <c r="J225" s="22">
        <f>IF(OR($B225="",$I225="",$E225=0,$F225=0),"",$I225/($E225*$F225))</f>
        <v/>
      </c>
      <c r="K225" s="4" t="n">
        <v>366.54</v>
      </c>
      <c r="L225" s="21">
        <f>IF(OR($B225="",$I225=""),"",$I225-IF($K225="",0,$K225))</f>
        <v/>
      </c>
      <c r="M225" s="22">
        <f>IF(OR($B225="",$L225="",$E225=0,$F225=0),"",$L225/($E225*$F225))</f>
        <v/>
      </c>
      <c r="N225" s="27">
        <f>IF($B225="","",IF($H225="","Open","Closed"))</f>
        <v/>
      </c>
      <c r="O225" s="23" t="inlineStr">
        <is>
          <t>Untagged</t>
        </is>
      </c>
    </row>
    <row r="226">
      <c r="A226" s="23" t="inlineStr">
        <is>
          <t>DHAN-34126092474609+23126092484409+34126092474109+321260924761509+321260924761309+221260924777809+221260924777309+221260924776009+321260924759409+221260924775609+23126092484109+321260924758509+321260924758109</t>
        </is>
      </c>
      <c r="B226" s="23" t="inlineStr">
        <is>
          <t>FRONTSP</t>
        </is>
      </c>
      <c r="C226" s="23" t="inlineStr">
        <is>
          <t>LONG</t>
        </is>
      </c>
      <c r="D226" s="24" t="n">
        <v>46289</v>
      </c>
      <c r="E226" s="25" t="n">
        <v>1515.4085</v>
      </c>
      <c r="F226" s="26" t="n">
        <v>82</v>
      </c>
      <c r="G226" s="24" t="n">
        <v>46290</v>
      </c>
      <c r="H226" s="25" t="n">
        <v>1533.8</v>
      </c>
      <c r="I226" s="21">
        <f>IF(OR($B226="",$H226=""),"",IF($C226="LONG",($H226-$E226)*$F226,($E226-$H226)*$F226))</f>
        <v/>
      </c>
      <c r="J226" s="22">
        <f>IF(OR($B226="",$I226="",$E226=0,$F226=0),"",$I226/($E226*$F226))</f>
        <v/>
      </c>
      <c r="K226" s="4" t="n">
        <v>221.04</v>
      </c>
      <c r="L226" s="21">
        <f>IF(OR($B226="",$I226=""),"",$I226-IF($K226="",0,$K226))</f>
        <v/>
      </c>
      <c r="M226" s="22">
        <f>IF(OR($B226="",$L226="",$E226=0,$F226=0),"",$L226/($E226*$F226))</f>
        <v/>
      </c>
      <c r="N226" s="27">
        <f>IF($B226="","",IF($H226="","Open","Closed"))</f>
        <v/>
      </c>
      <c r="O226" s="23" t="inlineStr">
        <is>
          <t>Untagged</t>
        </is>
      </c>
    </row>
    <row r="227">
      <c r="A227" s="23" t="inlineStr">
        <is>
          <t>DHAN-321260924764809</t>
        </is>
      </c>
      <c r="B227" s="23" t="inlineStr">
        <is>
          <t>GREAVESCOT</t>
        </is>
      </c>
      <c r="C227" s="23" t="inlineStr">
        <is>
          <t>LONG</t>
        </is>
      </c>
      <c r="D227" s="24" t="n">
        <v>46289</v>
      </c>
      <c r="E227" s="25" t="n">
        <v>221.6698</v>
      </c>
      <c r="F227" s="26" t="n">
        <v>1128</v>
      </c>
      <c r="G227" s="24" t="n">
        <v>46290</v>
      </c>
      <c r="H227" s="25" t="n">
        <v>223.36</v>
      </c>
      <c r="I227" s="21">
        <f>IF(OR($B227="",$H227=""),"",IF($C227="LONG",($H227-$E227)*$F227,($E227-$H227)*$F227))</f>
        <v/>
      </c>
      <c r="J227" s="22">
        <f>IF(OR($B227="",$I227="",$E227=0,$F227=0),"",$I227/($E227*$F227))</f>
        <v/>
      </c>
      <c r="K227" s="4" t="n">
        <v>521.86</v>
      </c>
      <c r="L227" s="21">
        <f>IF(OR($B227="",$I227=""),"",$I227-IF($K227="",0,$K227))</f>
        <v/>
      </c>
      <c r="M227" s="22">
        <f>IF(OR($B227="",$L227="",$E227=0,$F227=0),"",$L227/($E227*$F227))</f>
        <v/>
      </c>
      <c r="N227" s="27">
        <f>IF($B227="","",IF($H227="","Open","Closed"))</f>
        <v/>
      </c>
      <c r="O227" s="23" t="inlineStr">
        <is>
          <t>Untagged</t>
        </is>
      </c>
    </row>
    <row r="228">
      <c r="A228" s="23" t="inlineStr">
        <is>
          <t>DHAN-22126092551109</t>
        </is>
      </c>
      <c r="B228" s="23" t="inlineStr">
        <is>
          <t>GREAVESCOT</t>
        </is>
      </c>
      <c r="C228" s="23" t="inlineStr">
        <is>
          <t>SHORT</t>
        </is>
      </c>
      <c r="D228" s="24" t="n">
        <v>46290</v>
      </c>
      <c r="E228" s="25" t="n">
        <v>222.61</v>
      </c>
      <c r="F228" s="26" t="n">
        <v>1128</v>
      </c>
      <c r="G228" s="24" t="n">
        <v>46290</v>
      </c>
      <c r="H228" s="25" t="n">
        <v>233.98</v>
      </c>
      <c r="I228" s="21">
        <f>IF(OR($B228="",$H228=""),"",IF($C228="LONG",($H228-$E228)*$F228,($E228-$H228)*$F228))</f>
        <v/>
      </c>
      <c r="J228" s="22">
        <f>IF(OR($B228="",$I228="",$E228=0,$F228=0),"",$I228/($E228*$F228))</f>
        <v/>
      </c>
      <c r="K228" s="4" t="n">
        <v>306.44</v>
      </c>
      <c r="L228" s="21">
        <f>IF(OR($B228="",$I228=""),"",$I228-IF($K228="",0,$K228))</f>
        <v/>
      </c>
      <c r="M228" s="22">
        <f>IF(OR($B228="",$L228="",$E228=0,$F228=0),"",$L228/($E228*$F228))</f>
        <v/>
      </c>
      <c r="N228" s="27">
        <f>IF($B228="","",IF($H228="","Open","Closed"))</f>
        <v/>
      </c>
      <c r="O228" s="23" t="inlineStr">
        <is>
          <t>Untagged</t>
        </is>
      </c>
    </row>
    <row r="229">
      <c r="A229" s="23" t="inlineStr">
        <is>
          <t>DHAN-221260924781709</t>
        </is>
      </c>
      <c r="B229" s="23" t="inlineStr">
        <is>
          <t>INDIAGLYCO</t>
        </is>
      </c>
      <c r="C229" s="23" t="inlineStr">
        <is>
          <t>LONG</t>
        </is>
      </c>
      <c r="D229" s="24" t="n">
        <v>46289</v>
      </c>
      <c r="E229" s="25" t="n">
        <v>304.3391</v>
      </c>
      <c r="F229" s="26" t="n">
        <v>409</v>
      </c>
      <c r="G229" s="24" t="n">
        <v>46290</v>
      </c>
      <c r="H229" s="25" t="n">
        <v>308.29</v>
      </c>
      <c r="I229" s="21">
        <f>IF(OR($B229="",$H229=""),"",IF($C229="LONG",($H229-$E229)*$F229,($E229-$H229)*$F229))</f>
        <v/>
      </c>
      <c r="J229" s="22">
        <f>IF(OR($B229="",$I229="",$E229=0,$F229=0),"",$I229/($E229*$F229))</f>
        <v/>
      </c>
      <c r="K229" s="4" t="n">
        <v>190.87</v>
      </c>
      <c r="L229" s="21">
        <f>IF(OR($B229="",$I229=""),"",$I229-IF($K229="",0,$K229))</f>
        <v/>
      </c>
      <c r="M229" s="22">
        <f>IF(OR($B229="",$L229="",$E229=0,$F229=0),"",$L229/($E229*$F229))</f>
        <v/>
      </c>
      <c r="N229" s="27">
        <f>IF($B229="","",IF($H229="","Open","Closed"))</f>
        <v/>
      </c>
      <c r="O229" s="23" t="inlineStr">
        <is>
          <t>Untagged</t>
        </is>
      </c>
    </row>
    <row r="230">
      <c r="A230" s="23" t="inlineStr">
        <is>
          <t>DHAN-32126092550109</t>
        </is>
      </c>
      <c r="B230" s="23" t="inlineStr">
        <is>
          <t>INDIAGLYCO</t>
        </is>
      </c>
      <c r="C230" s="23" t="inlineStr">
        <is>
          <t>SHORT</t>
        </is>
      </c>
      <c r="D230" s="24" t="n">
        <v>46290</v>
      </c>
      <c r="E230" s="25" t="n">
        <v>308</v>
      </c>
      <c r="F230" s="26" t="n">
        <v>409</v>
      </c>
      <c r="G230" s="24" t="n">
        <v>46290</v>
      </c>
      <c r="H230" s="25" t="n">
        <v>308.52</v>
      </c>
      <c r="I230" s="21">
        <f>IF(OR($B230="",$H230=""),"",IF($C230="LONG",($H230-$E230)*$F230,($E230-$H230)*$F230))</f>
        <v/>
      </c>
      <c r="J230" s="22">
        <f>IF(OR($B230="",$I230="",$E230=0,$F230=0),"",$I230/($E230*$F230))</f>
        <v/>
      </c>
      <c r="K230" s="4" t="n">
        <v>194.42</v>
      </c>
      <c r="L230" s="21">
        <f>IF(OR($B230="",$I230=""),"",$I230-IF($K230="",0,$K230))</f>
        <v/>
      </c>
      <c r="M230" s="22">
        <f>IF(OR($B230="",$L230="",$E230=0,$F230=0),"",$L230/($E230*$F230))</f>
        <v/>
      </c>
      <c r="N230" s="27">
        <f>IF($B230="","",IF($H230="","Open","Closed"))</f>
        <v/>
      </c>
      <c r="O230" s="23" t="inlineStr">
        <is>
          <t>Untagged</t>
        </is>
      </c>
    </row>
    <row r="231">
      <c r="A231" s="23" t="inlineStr">
        <is>
          <t>DHAN-321260924764909</t>
        </is>
      </c>
      <c r="B231" s="23" t="inlineStr">
        <is>
          <t>KSCL</t>
        </is>
      </c>
      <c r="C231" s="23" t="inlineStr">
        <is>
          <t>LONG</t>
        </is>
      </c>
      <c r="D231" s="24" t="n">
        <v>46289</v>
      </c>
      <c r="E231" s="25" t="n">
        <v>783.6132</v>
      </c>
      <c r="F231" s="26" t="n">
        <v>319</v>
      </c>
      <c r="G231" s="24" t="n">
        <v>46290</v>
      </c>
      <c r="H231" s="25" t="n">
        <v>824.01</v>
      </c>
      <c r="I231" s="21">
        <f>IF(OR($B231="",$H231=""),"",IF($C231="LONG",($H231-$E231)*$F231,($E231-$H231)*$F231))</f>
        <v/>
      </c>
      <c r="J231" s="22">
        <f>IF(OR($B231="",$I231="",$E231=0,$F231=0),"",$I231/($E231*$F231))</f>
        <v/>
      </c>
      <c r="K231" s="4" t="n">
        <v>461.3</v>
      </c>
      <c r="L231" s="21">
        <f>IF(OR($B231="",$I231=""),"",$I231-IF($K231="",0,$K231))</f>
        <v/>
      </c>
      <c r="M231" s="22">
        <f>IF(OR($B231="",$L231="",$E231=0,$F231=0),"",$L231/($E231*$F231))</f>
        <v/>
      </c>
      <c r="N231" s="27">
        <f>IF($B231="","",IF($H231="","Open","Closed"))</f>
        <v/>
      </c>
      <c r="O231" s="23" t="inlineStr">
        <is>
          <t>Untagged</t>
        </is>
      </c>
    </row>
    <row r="232">
      <c r="A232" s="23" t="inlineStr">
        <is>
          <t>DHAN-32126092550209</t>
        </is>
      </c>
      <c r="B232" s="23" t="inlineStr">
        <is>
          <t>KSCL</t>
        </is>
      </c>
      <c r="C232" s="23" t="inlineStr">
        <is>
          <t>SHORT</t>
        </is>
      </c>
      <c r="D232" s="24" t="n">
        <v>46290</v>
      </c>
      <c r="E232" s="25" t="n">
        <v>826.46</v>
      </c>
      <c r="F232" s="26" t="n">
        <v>319</v>
      </c>
      <c r="G232" s="24" t="n">
        <v>46290</v>
      </c>
      <c r="H232" s="25" t="n">
        <v>785.15</v>
      </c>
      <c r="I232" s="21">
        <f>IF(OR($B232="",$H232=""),"",IF($C232="LONG",($H232-$E232)*$F232,($E232-$H232)*$F232))</f>
        <v/>
      </c>
      <c r="J232" s="22">
        <f>IF(OR($B232="",$I232="",$E232=0,$F232=0),"",$I232/($E232*$F232))</f>
        <v/>
      </c>
      <c r="K232" s="4" t="n">
        <v>374.42</v>
      </c>
      <c r="L232" s="21">
        <f>IF(OR($B232="",$I232=""),"",$I232-IF($K232="",0,$K232))</f>
        <v/>
      </c>
      <c r="M232" s="22">
        <f>IF(OR($B232="",$L232="",$E232=0,$F232=0),"",$L232/($E232*$F232))</f>
        <v/>
      </c>
      <c r="N232" s="27">
        <f>IF($B232="","",IF($H232="","Open","Closed"))</f>
        <v/>
      </c>
      <c r="O232" s="23" t="inlineStr">
        <is>
          <t>Untagged</t>
        </is>
      </c>
    </row>
    <row r="233">
      <c r="A233" s="23" t="inlineStr">
        <is>
          <t>DHAN-34126092475009</t>
        </is>
      </c>
      <c r="B233" s="23" t="inlineStr">
        <is>
          <t>RAYMONDREL</t>
        </is>
      </c>
      <c r="C233" s="23" t="inlineStr">
        <is>
          <t>LONG</t>
        </is>
      </c>
      <c r="D233" s="24" t="n">
        <v>46289</v>
      </c>
      <c r="E233" s="25" t="n">
        <v>708.4741</v>
      </c>
      <c r="F233" s="26" t="n">
        <v>176</v>
      </c>
      <c r="G233" s="24" t="n">
        <v>46290</v>
      </c>
      <c r="H233" s="25" t="n">
        <v>713.5029</v>
      </c>
      <c r="I233" s="21">
        <f>IF(OR($B233="",$H233=""),"",IF($C233="LONG",($H233-$E233)*$F233,($E233-$H233)*$F233))</f>
        <v/>
      </c>
      <c r="J233" s="22">
        <f>IF(OR($B233="",$I233="",$E233=0,$F233=0),"",$I233/($E233*$F233))</f>
        <v/>
      </c>
      <c r="K233" s="4" t="n">
        <v>43.01</v>
      </c>
      <c r="L233" s="21">
        <f>IF(OR($B233="",$I233=""),"",$I233-IF($K233="",0,$K233))</f>
        <v/>
      </c>
      <c r="M233" s="22">
        <f>IF(OR($B233="",$L233="",$E233=0,$F233=0),"",$L233/($E233*$F233))</f>
        <v/>
      </c>
      <c r="N233" s="27">
        <f>IF($B233="","",IF($H233="","Open","Closed"))</f>
        <v/>
      </c>
      <c r="O233" s="23" t="inlineStr">
        <is>
          <t>Untagged</t>
        </is>
      </c>
    </row>
    <row r="234">
      <c r="A234" s="23" t="inlineStr">
        <is>
          <t>DHAN-34126092589909+23126092590609+321260925635709+23126092590509+221260925652809+23126092590209+23126092589909+321260925634109+34126092589509+23126092589709+321260925632309</t>
        </is>
      </c>
      <c r="B234" s="23" t="inlineStr">
        <is>
          <t>BHAGERIA</t>
        </is>
      </c>
      <c r="C234" s="23" t="inlineStr">
        <is>
          <t>LONG</t>
        </is>
      </c>
      <c r="D234" s="24" t="n">
        <v>46290</v>
      </c>
      <c r="E234" s="25" t="n">
        <v>394.528</v>
      </c>
      <c r="F234" s="26" t="n">
        <v>316</v>
      </c>
      <c r="G234" s="24" t="n">
        <v>46293</v>
      </c>
      <c r="H234" s="25" t="n">
        <v>384.93</v>
      </c>
      <c r="I234" s="21">
        <f>IF(OR($B234="",$H234=""),"",IF($C234="LONG",($H234-$E234)*$F234,($E234-$H234)*$F234))</f>
        <v/>
      </c>
      <c r="J234" s="22">
        <f>IF(OR($B234="",$I234="",$E234=0,$F234=0),"",$I234/($E234*$F234))</f>
        <v/>
      </c>
      <c r="K234" s="4" t="n">
        <v>288.97</v>
      </c>
      <c r="L234" s="21">
        <f>IF(OR($B234="",$I234=""),"",$I234-IF($K234="",0,$K234))</f>
        <v/>
      </c>
      <c r="M234" s="22">
        <f>IF(OR($B234="",$L234="",$E234=0,$F234=0),"",$L234/($E234*$F234))</f>
        <v/>
      </c>
      <c r="N234" s="27">
        <f>IF($B234="","",IF($H234="","Open","Closed"))</f>
        <v/>
      </c>
      <c r="O234" s="23" t="inlineStr">
        <is>
          <t>5-10</t>
        </is>
      </c>
    </row>
    <row r="235">
      <c r="A235" s="23" t="inlineStr">
        <is>
          <t>DHAN-321260925638609</t>
        </is>
      </c>
      <c r="B235" s="23" t="inlineStr">
        <is>
          <t>DELTACORP</t>
        </is>
      </c>
      <c r="C235" s="23" t="inlineStr">
        <is>
          <t>LONG</t>
        </is>
      </c>
      <c r="D235" s="24" t="n">
        <v>46290</v>
      </c>
      <c r="E235" s="25" t="n">
        <v>76.9342</v>
      </c>
      <c r="F235" s="26" t="n">
        <v>3254</v>
      </c>
      <c r="G235" s="24" t="n">
        <v>46293</v>
      </c>
      <c r="H235" s="25" t="n">
        <v>79</v>
      </c>
      <c r="I235" s="21">
        <f>IF(OR($B235="",$H235=""),"",IF($C235="LONG",($H235-$E235)*$F235,($E235-$H235)*$F235))</f>
        <v/>
      </c>
      <c r="J235" s="22">
        <f>IF(OR($B235="",$I235="",$E235=0,$F235=0),"",$I235/($E235*$F235))</f>
        <v/>
      </c>
      <c r="K235" s="4" t="n">
        <v>753.75</v>
      </c>
      <c r="L235" s="21">
        <f>IF(OR($B235="",$I235=""),"",$I235-IF($K235="",0,$K235))</f>
        <v/>
      </c>
      <c r="M235" s="22">
        <f>IF(OR($B235="",$L235="",$E235=0,$F235=0),"",$L235/($E235*$F235))</f>
        <v/>
      </c>
      <c r="N235" s="27">
        <f>IF($B235="","",IF($H235="","Open","Closed"))</f>
        <v/>
      </c>
      <c r="O235" s="23" t="inlineStr">
        <is>
          <t>5-10</t>
        </is>
      </c>
    </row>
    <row r="236">
      <c r="A236" s="23" t="inlineStr">
        <is>
          <t>DHAN-34126092589809+221260925653309+221260925652709+23126092590409+23126092590109+34126092589609+321260925634209+321260925633309+34126092589109+321260925632409+34126092588909</t>
        </is>
      </c>
      <c r="B236" s="23" t="inlineStr">
        <is>
          <t>SANGAMIND</t>
        </is>
      </c>
      <c r="C236" s="23" t="inlineStr">
        <is>
          <t>LONG</t>
        </is>
      </c>
      <c r="D236" s="24" t="n">
        <v>46290</v>
      </c>
      <c r="E236" s="25" t="n">
        <v>617.5682</v>
      </c>
      <c r="F236" s="26" t="n">
        <v>404</v>
      </c>
      <c r="G236" s="24" t="n">
        <v>46293</v>
      </c>
      <c r="H236" s="25" t="n">
        <v>616.9</v>
      </c>
      <c r="I236" s="21">
        <f>IF(OR($B236="",$H236=""),"",IF($C236="LONG",($H236-$E236)*$F236,($E236-$H236)*$F236))</f>
        <v/>
      </c>
      <c r="J236" s="22">
        <f>IF(OR($B236="",$I236="",$E236=0,$F236=0),"",$I236/($E236*$F236))</f>
        <v/>
      </c>
      <c r="K236" s="4" t="n">
        <v>844.87</v>
      </c>
      <c r="L236" s="21">
        <f>IF(OR($B236="",$I236=""),"",$I236-IF($K236="",0,$K236))</f>
        <v/>
      </c>
      <c r="M236" s="22">
        <f>IF(OR($B236="",$L236="",$E236=0,$F236=0),"",$L236/($E236*$F236))</f>
        <v/>
      </c>
      <c r="N236" s="27">
        <f>IF($B236="","",IF($H236="","Open","Closed"))</f>
        <v/>
      </c>
      <c r="O236" s="23" t="inlineStr">
        <is>
          <t>5-10</t>
        </is>
      </c>
    </row>
    <row r="237">
      <c r="A237" s="23" t="inlineStr">
        <is>
          <t>DHAN-23126092590809</t>
        </is>
      </c>
      <c r="B237" s="23" t="inlineStr">
        <is>
          <t>SHANTIGOLD</t>
        </is>
      </c>
      <c r="C237" s="23" t="inlineStr">
        <is>
          <t>LONG</t>
        </is>
      </c>
      <c r="D237" s="24" t="n">
        <v>46290</v>
      </c>
      <c r="E237" s="25" t="n">
        <v>325.9933</v>
      </c>
      <c r="F237" s="26" t="n">
        <v>771</v>
      </c>
      <c r="G237" s="24" t="n">
        <v>46293</v>
      </c>
      <c r="H237" s="25" t="n">
        <v>310.62</v>
      </c>
      <c r="I237" s="21">
        <f>IF(OR($B237="",$H237=""),"",IF($C237="LONG",($H237-$E237)*$F237,($E237-$H237)*$F237))</f>
        <v/>
      </c>
      <c r="J237" s="22">
        <f>IF(OR($B237="",$I237="",$E237=0,$F237=0),"",$I237/($E237*$F237))</f>
        <v/>
      </c>
      <c r="K237" s="4" t="n">
        <v>644.24</v>
      </c>
      <c r="L237" s="21">
        <f>IF(OR($B237="",$I237=""),"",$I237-IF($K237="",0,$K237))</f>
        <v/>
      </c>
      <c r="M237" s="22">
        <f>IF(OR($B237="",$L237="",$E237=0,$F237=0),"",$L237/($E237*$F237))</f>
        <v/>
      </c>
      <c r="N237" s="27">
        <f>IF($B237="","",IF($H237="","Open","Closed"))</f>
        <v/>
      </c>
      <c r="O237" s="23" t="inlineStr">
        <is>
          <t>15-20</t>
        </is>
      </c>
    </row>
    <row r="238">
      <c r="A238" s="23" t="inlineStr">
        <is>
          <t>DHAN-221260925653209+34126092589709+221260925652409+23126092590009+221260925651309+23126092589809+321260925633809+34126092589409+34126092589309+34126092589209+34126092588809</t>
        </is>
      </c>
      <c r="B238" s="23" t="inlineStr">
        <is>
          <t>SHOPERSTOP</t>
        </is>
      </c>
      <c r="C238" s="23" t="inlineStr">
        <is>
          <t>LONG</t>
        </is>
      </c>
      <c r="D238" s="24" t="n">
        <v>46290</v>
      </c>
      <c r="E238" s="25" t="n">
        <v>422.7841</v>
      </c>
      <c r="F238" s="26" t="n">
        <v>591</v>
      </c>
      <c r="G238" s="24" t="n">
        <v>46293</v>
      </c>
      <c r="H238" s="25" t="n">
        <v>421.35</v>
      </c>
      <c r="I238" s="21">
        <f>IF(OR($B238="",$H238=""),"",IF($C238="LONG",($H238-$E238)*$F238,($E238-$H238)*$F238))</f>
        <v/>
      </c>
      <c r="J238" s="22">
        <f>IF(OR($B238="",$I238="",$E238=0,$F238=0),"",$I238/($E238*$F238))</f>
        <v/>
      </c>
      <c r="K238" s="4" t="n">
        <v>871.05</v>
      </c>
      <c r="L238" s="21">
        <f>IF(OR($B238="",$I238=""),"",$I238-IF($K238="",0,$K238))</f>
        <v/>
      </c>
      <c r="M238" s="22">
        <f>IF(OR($B238="",$L238="",$E238=0,$F238=0),"",$L238/($E238*$F238))</f>
        <v/>
      </c>
      <c r="N238" s="27">
        <f>IF($B238="","",IF($H238="","Open","Closed"))</f>
        <v/>
      </c>
      <c r="O238" s="23" t="inlineStr">
        <is>
          <t>5-10</t>
        </is>
      </c>
    </row>
    <row r="239">
      <c r="A239" s="23" t="inlineStr">
        <is>
          <t>DHAN-23126092590709</t>
        </is>
      </c>
      <c r="B239" s="23" t="inlineStr">
        <is>
          <t>STEELCAS</t>
        </is>
      </c>
      <c r="C239" s="23" t="inlineStr">
        <is>
          <t>LONG</t>
        </is>
      </c>
      <c r="D239" s="24" t="n">
        <v>46290</v>
      </c>
      <c r="E239" s="25" t="n">
        <v>375.6216</v>
      </c>
      <c r="F239" s="26" t="n">
        <v>665</v>
      </c>
      <c r="G239" s="24" t="n">
        <v>46293</v>
      </c>
      <c r="H239" s="25" t="n">
        <v>376.65</v>
      </c>
      <c r="I239" s="21">
        <f>IF(OR($B239="",$H239=""),"",IF($C239="LONG",($H239-$E239)*$F239,($E239-$H239)*$F239))</f>
        <v/>
      </c>
      <c r="J239" s="22">
        <f>IF(OR($B239="",$I239="",$E239=0,$F239=0),"",$I239/($E239*$F239))</f>
        <v/>
      </c>
      <c r="K239" s="4" t="n">
        <v>807.85</v>
      </c>
      <c r="L239" s="21">
        <f>IF(OR($B239="",$I239=""),"",$I239-IF($K239="",0,$K239))</f>
        <v/>
      </c>
      <c r="M239" s="22">
        <f>IF(OR($B239="",$L239="",$E239=0,$F239=0),"",$L239/($E239*$F239))</f>
        <v/>
      </c>
      <c r="N239" s="27">
        <f>IF($B239="","",IF($H239="","Open","Closed"))</f>
        <v/>
      </c>
      <c r="O239" s="23" t="inlineStr">
        <is>
          <t>5-10</t>
        </is>
      </c>
    </row>
    <row r="240">
      <c r="A240" s="23" t="inlineStr">
        <is>
          <t>DHAN-341260928158909</t>
        </is>
      </c>
      <c r="B240" s="23" t="inlineStr">
        <is>
          <t>JINDRILL</t>
        </is>
      </c>
      <c r="C240" s="23" t="inlineStr">
        <is>
          <t>LONG</t>
        </is>
      </c>
      <c r="D240" s="24" t="n">
        <v>46293</v>
      </c>
      <c r="E240" s="25" t="n">
        <v>625.9431</v>
      </c>
      <c r="F240" s="26" t="n">
        <v>479</v>
      </c>
      <c r="G240" s="24" t="n">
        <v>46294</v>
      </c>
      <c r="H240" s="25" t="n">
        <v>602.61</v>
      </c>
      <c r="I240" s="21">
        <f>IF(OR($B240="",$H240=""),"",IF($C240="LONG",($H240-$E240)*$F240,($E240-$H240)*$F240))</f>
        <v/>
      </c>
      <c r="J240" s="22">
        <f>IF(OR($B240="",$I240="",$E240=0,$F240=0),"",$I240/($E240*$F240))</f>
        <v/>
      </c>
      <c r="K240" s="4" t="n">
        <v>816.28</v>
      </c>
      <c r="L240" s="21">
        <f>IF(OR($B240="",$I240=""),"",$I240-IF($K240="",0,$K240))</f>
        <v/>
      </c>
      <c r="M240" s="22">
        <f>IF(OR($B240="",$L240="",$E240=0,$F240=0),"",$L240/($E240*$F240))</f>
        <v/>
      </c>
      <c r="N240" s="27">
        <f>IF($B240="","",IF($H240="","Open","Closed"))</f>
        <v/>
      </c>
      <c r="O240" s="23" t="inlineStr">
        <is>
          <t>5-10</t>
        </is>
      </c>
    </row>
    <row r="241">
      <c r="A241" s="23" t="inlineStr">
        <is>
          <t>DHAN-reconciled_dup_buy_20260928</t>
        </is>
      </c>
      <c r="B241" s="23" t="inlineStr">
        <is>
          <t>RSYSTEMS</t>
        </is>
      </c>
      <c r="C241" s="23" t="inlineStr">
        <is>
          <t>LONG</t>
        </is>
      </c>
      <c r="D241" s="24" t="n">
        <v>46293</v>
      </c>
      <c r="E241" s="25" t="n">
        <v>282.74</v>
      </c>
      <c r="F241" s="26" t="n">
        <v>1061</v>
      </c>
      <c r="G241" s="24" t="n">
        <v>46294</v>
      </c>
      <c r="H241" s="25" t="n">
        <v>297</v>
      </c>
      <c r="I241" s="21">
        <f>IF(OR($B241="",$H241=""),"",IF($C241="LONG",($H241-$E241)*$F241,($E241-$H241)*$F241))</f>
        <v/>
      </c>
      <c r="J241" s="22">
        <f>IF(OR($B241="",$I241="",$E241=0,$F241=0),"",$I241/($E241*$F241))</f>
        <v/>
      </c>
      <c r="K241" s="4" t="n">
        <v>149.61</v>
      </c>
      <c r="L241" s="21">
        <f>IF(OR($B241="",$I241=""),"",$I241-IF($K241="",0,$K241))</f>
        <v/>
      </c>
      <c r="M241" s="22">
        <f>IF(OR($B241="",$L241="",$E241=0,$F241=0),"",$L241/($E241*$F241))</f>
        <v/>
      </c>
      <c r="N241" s="27">
        <f>IF($B241="","",IF($H241="","Open","Closed"))</f>
        <v/>
      </c>
      <c r="O241" s="23" t="inlineStr">
        <is>
          <t>15-20</t>
        </is>
      </c>
    </row>
    <row r="242">
      <c r="A242" s="23" t="inlineStr">
        <is>
          <t>DHAN-23126092924109</t>
        </is>
      </c>
      <c r="B242" s="23" t="inlineStr">
        <is>
          <t>RSYSTEMS</t>
        </is>
      </c>
      <c r="C242" s="23" t="inlineStr">
        <is>
          <t>SHORT</t>
        </is>
      </c>
      <c r="D242" s="24" t="n">
        <v>46294</v>
      </c>
      <c r="E242" s="25" t="n">
        <v>297.01</v>
      </c>
      <c r="F242" s="26" t="n">
        <v>1061</v>
      </c>
      <c r="G242" s="24" t="n">
        <v>46294</v>
      </c>
      <c r="H242" s="25" t="n">
        <v>298.99</v>
      </c>
      <c r="I242" s="21">
        <f>IF(OR($B242="",$H242=""),"",IF($C242="LONG",($H242-$E242)*$F242,($E242-$H242)*$F242))</f>
        <v/>
      </c>
      <c r="J242" s="22">
        <f>IF(OR($B242="",$I242="",$E242=0,$F242=0),"",$I242/($E242*$F242))</f>
        <v/>
      </c>
      <c r="K242" s="4" t="n">
        <v>398.29</v>
      </c>
      <c r="L242" s="21">
        <f>IF(OR($B242="",$I242=""),"",$I242-IF($K242="",0,$K242))</f>
        <v/>
      </c>
      <c r="M242" s="22">
        <f>IF(OR($B242="",$L242="",$E242=0,$F242=0),"",$L242/($E242*$F242))</f>
        <v/>
      </c>
      <c r="N242" s="27">
        <f>IF($B242="","",IF($H242="","Open","Closed"))</f>
        <v/>
      </c>
      <c r="O242" s="23" t="inlineStr">
        <is>
          <t>15-20</t>
        </is>
      </c>
    </row>
    <row r="243">
      <c r="A243" s="23" t="inlineStr">
        <is>
          <t>DHAN-341260928158709+341260928158609+221260928823209+341260928158409+341260928158209+341260928158009+341260928157909+221260928821609+341260928157709+221260928820609+341260928157509</t>
        </is>
      </c>
      <c r="B243" s="23" t="inlineStr">
        <is>
          <t>SDBL</t>
        </is>
      </c>
      <c r="C243" s="23" t="inlineStr">
        <is>
          <t>LONG</t>
        </is>
      </c>
      <c r="D243" s="24" t="n">
        <v>46293</v>
      </c>
      <c r="E243" s="25" t="n">
        <v>80.2633</v>
      </c>
      <c r="F243" s="26" t="n">
        <v>3732</v>
      </c>
      <c r="G243" s="24" t="n">
        <v>46294</v>
      </c>
      <c r="H243" s="25" t="n">
        <v>78.87</v>
      </c>
      <c r="I243" s="21">
        <f>IF(OR($B243="",$H243=""),"",IF($C243="LONG",($H243-$E243)*$F243,($E243-$H243)*$F243))</f>
        <v/>
      </c>
      <c r="J243" s="22">
        <f>IF(OR($B243="",$I243="",$E243=0,$F243=0),"",$I243/($E243*$F243))</f>
        <v/>
      </c>
      <c r="K243" s="4" t="n">
        <v>904.28</v>
      </c>
      <c r="L243" s="21">
        <f>IF(OR($B243="",$I243=""),"",$I243-IF($K243="",0,$K243))</f>
        <v/>
      </c>
      <c r="M243" s="22">
        <f>IF(OR($B243="",$L243="",$E243=0,$F243=0),"",$L243/($E243*$F243))</f>
        <v/>
      </c>
      <c r="N243" s="27">
        <f>IF($B243="","",IF($H243="","Open","Closed"))</f>
        <v/>
      </c>
      <c r="O243" s="23" t="inlineStr">
        <is>
          <t>5-10</t>
        </is>
      </c>
    </row>
    <row r="244">
      <c r="A244" s="23" t="inlineStr">
        <is>
          <t>DHAN-341260928159209</t>
        </is>
      </c>
      <c r="B244" s="23" t="inlineStr">
        <is>
          <t>SMCGLOBAL</t>
        </is>
      </c>
      <c r="C244" s="23" t="inlineStr">
        <is>
          <t>LONG</t>
        </is>
      </c>
      <c r="D244" s="24" t="n">
        <v>46293</v>
      </c>
      <c r="E244" s="25" t="n">
        <v>97.1964</v>
      </c>
      <c r="F244" s="26" t="n">
        <v>3087</v>
      </c>
      <c r="G244" s="24" t="n">
        <v>46294</v>
      </c>
      <c r="H244" s="25" t="n">
        <v>92.37</v>
      </c>
      <c r="I244" s="21">
        <f>IF(OR($B244="",$H244=""),"",IF($C244="LONG",($H244-$E244)*$F244,($E244-$H244)*$F244))</f>
        <v/>
      </c>
      <c r="J244" s="22">
        <f>IF(OR($B244="",$I244="",$E244=0,$F244=0),"",$I244/($E244*$F244))</f>
        <v/>
      </c>
      <c r="K244" s="4" t="n">
        <v>786.4</v>
      </c>
      <c r="L244" s="21">
        <f>IF(OR($B244="",$I244=""),"",$I244-IF($K244="",0,$K244))</f>
        <v/>
      </c>
      <c r="M244" s="22">
        <f>IF(OR($B244="",$L244="",$E244=0,$F244=0),"",$L244/($E244*$F244))</f>
        <v/>
      </c>
      <c r="N244" s="27">
        <f>IF($B244="","",IF($H244="","Open","Closed"))</f>
        <v/>
      </c>
      <c r="O244" s="23" t="inlineStr">
        <is>
          <t>15-20</t>
        </is>
      </c>
    </row>
    <row r="245">
      <c r="A245" s="23" t="inlineStr">
        <is>
          <t>DHAN-341260928159109</t>
        </is>
      </c>
      <c r="B245" s="23" t="inlineStr">
        <is>
          <t>SYNCOMF</t>
        </is>
      </c>
      <c r="C245" s="23" t="inlineStr">
        <is>
          <t>LONG</t>
        </is>
      </c>
      <c r="D245" s="24" t="n">
        <v>46293</v>
      </c>
      <c r="E245" s="25" t="n">
        <v>22.1897</v>
      </c>
      <c r="F245" s="26" t="n">
        <v>13513</v>
      </c>
      <c r="G245" s="24" t="n">
        <v>46294</v>
      </c>
      <c r="H245" s="25" t="n">
        <v>22.65</v>
      </c>
      <c r="I245" s="21">
        <f>IF(OR($B245="",$H245=""),"",IF($C245="LONG",($H245-$E245)*$F245,($E245-$H245)*$F245))</f>
        <v/>
      </c>
      <c r="J245" s="22">
        <f>IF(OR($B245="",$I245="",$E245=0,$F245=0),"",$I245/($E245*$F245))</f>
        <v/>
      </c>
      <c r="K245" s="4" t="n">
        <v>762.1</v>
      </c>
      <c r="L245" s="21">
        <f>IF(OR($B245="",$I245=""),"",$I245-IF($K245="",0,$K245))</f>
        <v/>
      </c>
      <c r="M245" s="22">
        <f>IF(OR($B245="",$L245="",$E245=0,$F245=0),"",$L245/($E245*$F245))</f>
        <v/>
      </c>
      <c r="N245" s="27">
        <f>IF($B245="","",IF($H245="","Open","Closed"))</f>
        <v/>
      </c>
      <c r="O245" s="23" t="inlineStr">
        <is>
          <t>10-15</t>
        </is>
      </c>
    </row>
    <row r="246">
      <c r="A246" s="23" t="inlineStr">
        <is>
          <t>DHAN-221260929652409</t>
        </is>
      </c>
      <c r="B246" s="23" t="inlineStr">
        <is>
          <t>ELECTCAST</t>
        </is>
      </c>
      <c r="C246" s="23" t="inlineStr">
        <is>
          <t>LONG</t>
        </is>
      </c>
      <c r="D246" s="24" t="n">
        <v>46294</v>
      </c>
      <c r="E246" s="25" t="n">
        <v>76.3257</v>
      </c>
      <c r="F246" s="26" t="n">
        <v>2805</v>
      </c>
      <c r="G246" s="24" t="n">
        <v>46295</v>
      </c>
      <c r="H246" s="25" t="n">
        <v>77.04000000000001</v>
      </c>
      <c r="I246" s="21">
        <f>IF(OR($B246="",$H246=""),"",IF($C246="LONG",($H246-$E246)*$F246,($E246-$H246)*$F246))</f>
        <v/>
      </c>
      <c r="J246" s="22">
        <f>IF(OR($B246="",$I246="",$E246=0,$F246=0),"",$I246/($E246*$F246))</f>
        <v/>
      </c>
      <c r="K246" s="4" t="n">
        <v>622.23</v>
      </c>
      <c r="L246" s="21">
        <f>IF(OR($B246="",$I246=""),"",$I246-IF($K246="",0,$K246))</f>
        <v/>
      </c>
      <c r="M246" s="22">
        <f>IF(OR($B246="",$L246="",$E246=0,$F246=0),"",$L246/($E246*$F246))</f>
        <v/>
      </c>
      <c r="N246" s="27">
        <f>IF($B246="","",IF($H246="","Open","Closed"))</f>
        <v/>
      </c>
      <c r="O246" s="23" t="inlineStr">
        <is>
          <t>5-10</t>
        </is>
      </c>
    </row>
    <row r="247">
      <c r="A247" s="23" t="inlineStr">
        <is>
          <t>DHAN-221260929652309</t>
        </is>
      </c>
      <c r="B247" s="23" t="inlineStr">
        <is>
          <t>INDOCO</t>
        </is>
      </c>
      <c r="C247" s="23" t="inlineStr">
        <is>
          <t>LONG</t>
        </is>
      </c>
      <c r="D247" s="24" t="n">
        <v>46294</v>
      </c>
      <c r="E247" s="25" t="n">
        <v>272.5066</v>
      </c>
      <c r="F247" s="26" t="n">
        <v>788</v>
      </c>
      <c r="G247" s="24" t="n">
        <v>46295</v>
      </c>
      <c r="H247" s="25" t="n">
        <v>265.34</v>
      </c>
      <c r="I247" s="21">
        <f>IF(OR($B247="",$H247=""),"",IF($C247="LONG",($H247-$E247)*$F247,($E247-$H247)*$F247))</f>
        <v/>
      </c>
      <c r="J247" s="22">
        <f>IF(OR($B247="",$I247="",$E247=0,$F247=0),"",$I247/($E247*$F247))</f>
        <v/>
      </c>
      <c r="K247" s="4" t="n">
        <v>613.75</v>
      </c>
      <c r="L247" s="21">
        <f>IF(OR($B247="",$I247=""),"",$I247-IF($K247="",0,$K247))</f>
        <v/>
      </c>
      <c r="M247" s="22">
        <f>IF(OR($B247="",$L247="",$E247=0,$F247=0),"",$L247/($E247*$F247))</f>
        <v/>
      </c>
      <c r="N247" s="27">
        <f>IF($B247="","",IF($H247="","Open","Closed"))</f>
        <v/>
      </c>
      <c r="O247" s="23" t="inlineStr">
        <is>
          <t>5-10</t>
        </is>
      </c>
    </row>
    <row r="248">
      <c r="A248" s="23" t="inlineStr">
        <is>
          <t>DHAN-221260929652509</t>
        </is>
      </c>
      <c r="B248" s="23" t="inlineStr">
        <is>
          <t>RSYSTEMS</t>
        </is>
      </c>
      <c r="C248" s="23" t="inlineStr">
        <is>
          <t>LONG</t>
        </is>
      </c>
      <c r="D248" s="24" t="n">
        <v>46294</v>
      </c>
      <c r="E248" s="25" t="n">
        <v>298.4</v>
      </c>
      <c r="F248" s="26" t="n">
        <v>359</v>
      </c>
      <c r="G248" s="24" t="n">
        <v>46295</v>
      </c>
      <c r="H248" s="25" t="n">
        <v>292.46</v>
      </c>
      <c r="I248" s="21">
        <f>IF(OR($B248="",$H248=""),"",IF($C248="LONG",($H248-$E248)*$F248,($E248-$H248)*$F248))</f>
        <v/>
      </c>
      <c r="J248" s="22">
        <f>IF(OR($B248="",$I248="",$E248=0,$F248=0),"",$I248/($E248*$F248))</f>
        <v/>
      </c>
      <c r="K248" s="4" t="n">
        <v>174.87</v>
      </c>
      <c r="L248" s="21">
        <f>IF(OR($B248="",$I248=""),"",$I248-IF($K248="",0,$K248))</f>
        <v/>
      </c>
      <c r="M248" s="22">
        <f>IF(OR($B248="",$L248="",$E248=0,$F248=0),"",$L248/($E248*$F248))</f>
        <v/>
      </c>
      <c r="N248" s="27">
        <f>IF($B248="","",IF($H248="","Open","Closed"))</f>
        <v/>
      </c>
      <c r="O248" s="23" t="inlineStr">
        <is>
          <t>5-10</t>
        </is>
      </c>
    </row>
    <row r="249">
      <c r="A249" s="23" t="inlineStr">
        <is>
          <t>DHAN-321260929420709</t>
        </is>
      </c>
      <c r="B249" s="23" t="inlineStr">
        <is>
          <t>SYNCOMF</t>
        </is>
      </c>
      <c r="C249" s="23" t="inlineStr">
        <is>
          <t>LONG</t>
        </is>
      </c>
      <c r="D249" s="24" t="n">
        <v>46294</v>
      </c>
      <c r="E249" s="25" t="n">
        <v>26.45</v>
      </c>
      <c r="F249" s="26" t="n">
        <v>4058</v>
      </c>
      <c r="G249" s="24" t="n">
        <v>46295</v>
      </c>
      <c r="H249" s="25" t="n">
        <v>24.94</v>
      </c>
      <c r="I249" s="21">
        <f>IF(OR($B249="",$H249=""),"",IF($C249="LONG",($H249-$E249)*$F249,($E249-$H249)*$F249))</f>
        <v/>
      </c>
      <c r="J249" s="22">
        <f>IF(OR($B249="",$I249="",$E249=0,$F249=0),"",$I249/($E249*$F249))</f>
        <v/>
      </c>
      <c r="K249" s="4" t="n">
        <v>198.04</v>
      </c>
      <c r="L249" s="21">
        <f>IF(OR($B249="",$I249=""),"",$I249-IF($K249="",0,$K249))</f>
        <v/>
      </c>
      <c r="M249" s="22">
        <f>IF(OR($B249="",$L249="",$E249=0,$F249=0),"",$L249/($E249*$F249))</f>
        <v/>
      </c>
      <c r="N249" s="27">
        <f>IF($B249="","",IF($H249="","Open","Closed"))</f>
        <v/>
      </c>
      <c r="O249" s="23" t="inlineStr">
        <is>
          <t>15-20</t>
        </is>
      </c>
    </row>
    <row r="250">
      <c r="A250" s="23" t="inlineStr">
        <is>
          <t>DHAN-34126092973909+321260929416609+34126092974209+34126092974309+221260929647009+221260929647509+23126092975109+34126092974609+23126092975209+221260929648209+221260929648709+23126092975409+23126092975509+34126092974709</t>
        </is>
      </c>
      <c r="B250" s="23" t="inlineStr">
        <is>
          <t>TCIEXP</t>
        </is>
      </c>
      <c r="C250" s="23" t="inlineStr">
        <is>
          <t>LONG</t>
        </is>
      </c>
      <c r="D250" s="24" t="n">
        <v>46294</v>
      </c>
      <c r="E250" s="25" t="n">
        <v>526.5716</v>
      </c>
      <c r="F250" s="26" t="n">
        <v>407</v>
      </c>
      <c r="G250" s="24" t="n">
        <v>46295</v>
      </c>
      <c r="H250" s="25" t="n">
        <v>545.84</v>
      </c>
      <c r="I250" s="21">
        <f>IF(OR($B250="",$H250=""),"",IF($C250="LONG",($H250-$E250)*$F250,($E250-$H250)*$F250))</f>
        <v/>
      </c>
      <c r="J250" s="22">
        <f>IF(OR($B250="",$I250="",$E250=0,$F250=0),"",$I250/($E250*$F250))</f>
        <v/>
      </c>
      <c r="K250" s="4" t="n">
        <v>456.38</v>
      </c>
      <c r="L250" s="21">
        <f>IF(OR($B250="",$I250=""),"",$I250-IF($K250="",0,$K250))</f>
        <v/>
      </c>
      <c r="M250" s="22">
        <f>IF(OR($B250="",$L250="",$E250=0,$F250=0),"",$L250/($E250*$F250))</f>
        <v/>
      </c>
      <c r="N250" s="27">
        <f>IF($B250="","",IF($H250="","Open","Closed"))</f>
        <v/>
      </c>
      <c r="O250" s="23" t="inlineStr">
        <is>
          <t>5-10</t>
        </is>
      </c>
    </row>
    <row r="251">
      <c r="A251" s="23" t="inlineStr">
        <is>
          <t>DHAN-32126093049609</t>
        </is>
      </c>
      <c r="B251" s="23" t="inlineStr">
        <is>
          <t>TCIEXP</t>
        </is>
      </c>
      <c r="C251" s="23" t="inlineStr">
        <is>
          <t>SHORT</t>
        </is>
      </c>
      <c r="D251" s="24" t="n">
        <v>46295</v>
      </c>
      <c r="E251" s="25" t="n">
        <v>547.72</v>
      </c>
      <c r="F251" s="26" t="n">
        <v>407</v>
      </c>
      <c r="G251" s="24" t="n">
        <v>46295</v>
      </c>
      <c r="H251" s="25" t="n">
        <v>530.67</v>
      </c>
      <c r="I251" s="21">
        <f>IF(OR($B251="",$H251=""),"",IF($C251="LONG",($H251-$E251)*$F251,($E251-$H251)*$F251))</f>
        <v/>
      </c>
      <c r="J251" s="22">
        <f>IF(OR($B251="",$I251="",$E251=0,$F251=0),"",$I251/($E251*$F251))</f>
        <v/>
      </c>
      <c r="K251" s="4" t="n">
        <v>321.81</v>
      </c>
      <c r="L251" s="21">
        <f>IF(OR($B251="",$I251=""),"",$I251-IF($K251="",0,$K251))</f>
        <v/>
      </c>
      <c r="M251" s="22">
        <f>IF(OR($B251="",$L251="",$E251=0,$F251=0),"",$L251/($E251*$F251))</f>
        <v/>
      </c>
      <c r="N251" s="27">
        <f>IF($B251="","",IF($H251="","Open","Closed"))</f>
        <v/>
      </c>
      <c r="O251" s="23" t="inlineStr">
        <is>
          <t>5-10</t>
        </is>
      </c>
    </row>
    <row r="252">
      <c r="A252" s="23" t="inlineStr">
        <is>
          <t>DHAN-321260929416409+34126092974109+23126092974809+34126092974409+321260929417209+221260929647409+321260929417509+321260929417709+23126092975309+321260929418309+221260929648809+321260929418709+34126092974809</t>
        </is>
      </c>
      <c r="B252" s="23" t="inlineStr">
        <is>
          <t>UNICHEMLAB</t>
        </is>
      </c>
      <c r="C252" s="23" t="inlineStr">
        <is>
          <t>LONG</t>
        </is>
      </c>
      <c r="D252" s="24" t="n">
        <v>46294</v>
      </c>
      <c r="E252" s="25" t="n">
        <v>571.4527</v>
      </c>
      <c r="F252" s="26" t="n">
        <v>375</v>
      </c>
      <c r="G252" s="24" t="n">
        <v>46295</v>
      </c>
      <c r="H252" s="25" t="n">
        <v>566.01</v>
      </c>
      <c r="I252" s="21">
        <f>IF(OR($B252="",$H252=""),"",IF($C252="LONG",($H252-$E252)*$F252,($E252-$H252)*$F252))</f>
        <v/>
      </c>
      <c r="J252" s="22">
        <f>IF(OR($B252="",$I252="",$E252=0,$F252=0),"",$I252/($E252*$F252))</f>
        <v/>
      </c>
      <c r="K252" s="4" t="n">
        <v>668.21</v>
      </c>
      <c r="L252" s="21">
        <f>IF(OR($B252="",$I252=""),"",$I252-IF($K252="",0,$K252))</f>
        <v/>
      </c>
      <c r="M252" s="22">
        <f>IF(OR($B252="",$L252="",$E252=0,$F252=0),"",$L252/($E252*$F252))</f>
        <v/>
      </c>
      <c r="N252" s="27">
        <f>IF($B252="","",IF($H252="","Open","Closed"))</f>
        <v/>
      </c>
      <c r="O252" s="23" t="inlineStr">
        <is>
          <t>5-10</t>
        </is>
      </c>
    </row>
    <row r="253">
      <c r="A253" s="23" t="inlineStr">
        <is>
          <t>DHAN-321260930406209+321260930406609+221260930616009+321260930406809+23126093060509+321260930407609+221260930618609+34126093061409+321260930408909+23126093060609+34126093061509</t>
        </is>
      </c>
      <c r="B253" s="23" t="inlineStr">
        <is>
          <t>DIAMONDYD</t>
        </is>
      </c>
      <c r="C253" s="23" t="inlineStr">
        <is>
          <t>LONG</t>
        </is>
      </c>
      <c r="D253" s="24" t="n">
        <v>46295</v>
      </c>
      <c r="E253" s="25" t="n">
        <v>1112.4101</v>
      </c>
      <c r="F253" s="26" t="n">
        <v>338</v>
      </c>
      <c r="G253" s="24" t="n">
        <v>46296</v>
      </c>
      <c r="H253" s="25" t="n">
        <v>1092.88</v>
      </c>
      <c r="I253" s="21">
        <f>IF(OR($B253="",$H253=""),"",IF($C253="LONG",($H253-$E253)*$F253,($E253-$H253)*$F253))</f>
        <v/>
      </c>
      <c r="J253" s="22">
        <f>IF(OR($B253="",$I253="",$E253=0,$F253=0),"",$I253/($E253*$F253))</f>
        <v/>
      </c>
      <c r="K253" s="4" t="n">
        <v>670.53</v>
      </c>
      <c r="L253" s="21">
        <f>IF(OR($B253="",$I253=""),"",$I253-IF($K253="",0,$K253))</f>
        <v/>
      </c>
      <c r="M253" s="22">
        <f>IF(OR($B253="",$L253="",$E253=0,$F253=0),"",$L253/($E253*$F253))</f>
        <v/>
      </c>
      <c r="N253" s="27">
        <f>IF($B253="","",IF($H253="","Open","Closed"))</f>
        <v/>
      </c>
      <c r="O253" s="23" t="inlineStr">
        <is>
          <t>5-10</t>
        </is>
      </c>
    </row>
    <row r="254">
      <c r="A254" s="23" t="inlineStr">
        <is>
          <t>DHAN-221260930623409</t>
        </is>
      </c>
      <c r="B254" s="23" t="inlineStr">
        <is>
          <t>DPABHUSHAN</t>
        </is>
      </c>
      <c r="C254" s="23" t="inlineStr">
        <is>
          <t>LONG</t>
        </is>
      </c>
      <c r="D254" s="24" t="n">
        <v>46295</v>
      </c>
      <c r="E254" s="25" t="n">
        <v>1772</v>
      </c>
      <c r="F254" s="26" t="n">
        <v>105</v>
      </c>
      <c r="G254" s="24" t="n">
        <v>46296</v>
      </c>
      <c r="H254" s="25" t="n">
        <v>1775.08</v>
      </c>
      <c r="I254" s="21">
        <f>IF(OR($B254="",$H254=""),"",IF($C254="LONG",($H254-$E254)*$F254,($E254-$H254)*$F254))</f>
        <v/>
      </c>
      <c r="J254" s="22">
        <f>IF(OR($B254="",$I254="",$E254=0,$F254=0),"",$I254/($E254*$F254))</f>
        <v/>
      </c>
      <c r="K254" s="4" t="n">
        <v>235.89</v>
      </c>
      <c r="L254" s="21">
        <f>IF(OR($B254="",$I254=""),"",$I254-IF($K254="",0,$K254))</f>
        <v/>
      </c>
      <c r="M254" s="22">
        <f>IF(OR($B254="",$L254="",$E254=0,$F254=0),"",$L254/($E254*$F254))</f>
        <v/>
      </c>
      <c r="N254" s="27">
        <f>IF($B254="","",IF($H254="","Open","Closed"))</f>
        <v/>
      </c>
      <c r="O254" s="23" t="inlineStr">
        <is>
          <t>5-10</t>
        </is>
      </c>
    </row>
    <row r="255">
      <c r="A255" s="23" t="n"/>
      <c r="B255" s="23" t="n"/>
      <c r="C255" s="23" t="n"/>
      <c r="D255" s="24" t="n"/>
      <c r="E255" s="25" t="n"/>
      <c r="F255" s="26" t="n"/>
      <c r="G255" s="24" t="n"/>
      <c r="H255" s="25" t="n"/>
      <c r="I255" s="21">
        <f>IF(OR($B255="",$H255=""),"",IF($C255="LONG",($H255-$E255)*$F255,($E255-$H255)*$F255))</f>
        <v/>
      </c>
      <c r="J255" s="22">
        <f>IF(OR($B255="",$I255="",$E255=0,$F255=0),"",$I255/($E255*$F255))</f>
        <v/>
      </c>
      <c r="K255" s="4" t="n"/>
      <c r="L255" s="21">
        <f>IF(OR($B255="",$I255=""),"",$I255-IF($K255="",0,$K255))</f>
        <v/>
      </c>
      <c r="M255" s="22">
        <f>IF(OR($B255="",$L255="",$E255=0,$F255=0),"",$L255/($E255*$F255))</f>
        <v/>
      </c>
      <c r="N255" s="27">
        <f>IF($B255="","",IF($H255="","Open","Closed"))</f>
        <v/>
      </c>
      <c r="O255" s="23" t="n"/>
    </row>
    <row r="256">
      <c r="A256" s="23" t="n"/>
      <c r="B256" s="23" t="n"/>
      <c r="C256" s="23" t="n"/>
      <c r="D256" s="24" t="n"/>
      <c r="E256" s="25" t="n"/>
      <c r="F256" s="26" t="n"/>
      <c r="G256" s="24" t="n"/>
      <c r="H256" s="25" t="n"/>
      <c r="I256" s="21">
        <f>IF(OR($B256="",$H256=""),"",IF($C256="LONG",($H256-$E256)*$F256,($E256-$H256)*$F256))</f>
        <v/>
      </c>
      <c r="J256" s="22">
        <f>IF(OR($B256="",$I256="",$E256=0,$F256=0),"",$I256/($E256*$F256))</f>
        <v/>
      </c>
      <c r="K256" s="4" t="n"/>
      <c r="L256" s="21">
        <f>IF(OR($B256="",$I256=""),"",$I256-IF($K256="",0,$K256))</f>
        <v/>
      </c>
      <c r="M256" s="22">
        <f>IF(OR($B256="",$L256="",$E256=0,$F256=0),"",$L256/($E256*$F256))</f>
        <v/>
      </c>
      <c r="N256" s="27">
        <f>IF($B256="","",IF($H256="","Open","Closed"))</f>
        <v/>
      </c>
      <c r="O256" s="23" t="n"/>
    </row>
    <row r="257">
      <c r="A257" s="23" t="n"/>
      <c r="B257" s="23" t="n"/>
      <c r="C257" s="23" t="n"/>
      <c r="D257" s="24" t="n"/>
      <c r="E257" s="25" t="n"/>
      <c r="F257" s="26" t="n"/>
      <c r="G257" s="24" t="n"/>
      <c r="H257" s="25" t="n"/>
      <c r="I257" s="21">
        <f>IF(OR($B257="",$H257=""),"",IF($C257="LONG",($H257-$E257)*$F257,($E257-$H257)*$F257))</f>
        <v/>
      </c>
      <c r="J257" s="22">
        <f>IF(OR($B257="",$I257="",$E257=0,$F257=0),"",$I257/($E257*$F257))</f>
        <v/>
      </c>
      <c r="K257" s="4" t="n"/>
      <c r="L257" s="21">
        <f>IF(OR($B257="",$I257=""),"",$I257-IF($K257="",0,$K257))</f>
        <v/>
      </c>
      <c r="M257" s="22">
        <f>IF(OR($B257="",$L257="",$E257=0,$F257=0),"",$L257/($E257*$F257))</f>
        <v/>
      </c>
      <c r="N257" s="27">
        <f>IF($B257="","",IF($H257="","Open","Closed"))</f>
        <v/>
      </c>
      <c r="O257" s="23" t="n"/>
    </row>
    <row r="258">
      <c r="A258" s="23" t="n"/>
      <c r="B258" s="23" t="n"/>
      <c r="C258" s="23" t="n"/>
      <c r="D258" s="24" t="n"/>
      <c r="E258" s="25" t="n"/>
      <c r="F258" s="26" t="n"/>
      <c r="G258" s="24" t="n"/>
      <c r="H258" s="25" t="n"/>
      <c r="I258" s="21">
        <f>IF(OR($B258="",$H258=""),"",IF($C258="LONG",($H258-$E258)*$F258,($E258-$H258)*$F258))</f>
        <v/>
      </c>
      <c r="J258" s="22">
        <f>IF(OR($B258="",$I258="",$E258=0,$F258=0),"",$I258/($E258*$F258))</f>
        <v/>
      </c>
      <c r="K258" s="4" t="n"/>
      <c r="L258" s="21">
        <f>IF(OR($B258="",$I258=""),"",$I258-IF($K258="",0,$K258))</f>
        <v/>
      </c>
      <c r="M258" s="22">
        <f>IF(OR($B258="",$L258="",$E258=0,$F258=0),"",$L258/($E258*$F258))</f>
        <v/>
      </c>
      <c r="N258" s="27">
        <f>IF($B258="","",IF($H258="","Open","Closed"))</f>
        <v/>
      </c>
      <c r="O258" s="23" t="n"/>
    </row>
    <row r="259">
      <c r="A259" s="23" t="n"/>
      <c r="B259" s="23" t="n"/>
      <c r="C259" s="23" t="n"/>
      <c r="D259" s="24" t="n"/>
      <c r="E259" s="25" t="n"/>
      <c r="F259" s="26" t="n"/>
      <c r="G259" s="24" t="n"/>
      <c r="H259" s="25" t="n"/>
      <c r="I259" s="21">
        <f>IF(OR($B259="",$H259=""),"",IF($C259="LONG",($H259-$E259)*$F259,($E259-$H259)*$F259))</f>
        <v/>
      </c>
      <c r="J259" s="22">
        <f>IF(OR($B259="",$I259="",$E259=0,$F259=0),"",$I259/($E259*$F259))</f>
        <v/>
      </c>
      <c r="K259" s="4" t="n"/>
      <c r="L259" s="21">
        <f>IF(OR($B259="",$I259=""),"",$I259-IF($K259="",0,$K259))</f>
        <v/>
      </c>
      <c r="M259" s="22">
        <f>IF(OR($B259="",$L259="",$E259=0,$F259=0),"",$L259/($E259*$F259))</f>
        <v/>
      </c>
      <c r="N259" s="27">
        <f>IF($B259="","",IF($H259="","Open","Closed"))</f>
        <v/>
      </c>
      <c r="O259" s="23" t="n"/>
    </row>
    <row r="260">
      <c r="A260" s="23" t="n"/>
      <c r="B260" s="23" t="n"/>
      <c r="C260" s="23" t="n"/>
      <c r="D260" s="24" t="n"/>
      <c r="E260" s="25" t="n"/>
      <c r="F260" s="26" t="n"/>
      <c r="G260" s="24" t="n"/>
      <c r="H260" s="25" t="n"/>
      <c r="I260" s="21">
        <f>IF(OR($B260="",$H260=""),"",IF($C260="LONG",($H260-$E260)*$F260,($E260-$H260)*$F260))</f>
        <v/>
      </c>
      <c r="J260" s="22">
        <f>IF(OR($B260="",$I260="",$E260=0,$F260=0),"",$I260/($E260*$F260))</f>
        <v/>
      </c>
      <c r="K260" s="4" t="n"/>
      <c r="L260" s="21">
        <f>IF(OR($B260="",$I260=""),"",$I260-IF($K260="",0,$K260))</f>
        <v/>
      </c>
      <c r="M260" s="22">
        <f>IF(OR($B260="",$L260="",$E260=0,$F260=0),"",$L260/($E260*$F260))</f>
        <v/>
      </c>
      <c r="N260" s="27">
        <f>IF($B260="","",IF($H260="","Open","Closed"))</f>
        <v/>
      </c>
      <c r="O260" s="23" t="n"/>
    </row>
    <row r="261">
      <c r="A261" s="23" t="n"/>
      <c r="B261" s="23" t="n"/>
      <c r="C261" s="23" t="n"/>
      <c r="D261" s="24" t="n"/>
      <c r="E261" s="25" t="n"/>
      <c r="F261" s="26" t="n"/>
      <c r="G261" s="24" t="n"/>
      <c r="H261" s="25" t="n"/>
      <c r="I261" s="21">
        <f>IF(OR($B261="",$H261=""),"",IF($C261="LONG",($H261-$E261)*$F261,($E261-$H261)*$F261))</f>
        <v/>
      </c>
      <c r="J261" s="22">
        <f>IF(OR($B261="",$I261="",$E261=0,$F261=0),"",$I261/($E261*$F261))</f>
        <v/>
      </c>
      <c r="K261" s="4" t="n"/>
      <c r="L261" s="21">
        <f>IF(OR($B261="",$I261=""),"",$I261-IF($K261="",0,$K261))</f>
        <v/>
      </c>
      <c r="M261" s="22">
        <f>IF(OR($B261="",$L261="",$E261=0,$F261=0),"",$L261/($E261*$F261))</f>
        <v/>
      </c>
      <c r="N261" s="27">
        <f>IF($B261="","",IF($H261="","Open","Closed"))</f>
        <v/>
      </c>
      <c r="O261" s="23" t="n"/>
    </row>
    <row r="262">
      <c r="A262" s="23" t="n"/>
      <c r="B262" s="23" t="n"/>
      <c r="C262" s="23" t="n"/>
      <c r="D262" s="24" t="n"/>
      <c r="E262" s="25" t="n"/>
      <c r="F262" s="26" t="n"/>
      <c r="G262" s="24" t="n"/>
      <c r="H262" s="25" t="n"/>
      <c r="I262" s="21">
        <f>IF(OR($B262="",$H262=""),"",IF($C262="LONG",($H262-$E262)*$F262,($E262-$H262)*$F262))</f>
        <v/>
      </c>
      <c r="J262" s="22">
        <f>IF(OR($B262="",$I262="",$E262=0,$F262=0),"",$I262/($E262*$F262))</f>
        <v/>
      </c>
      <c r="K262" s="4" t="n"/>
      <c r="L262" s="21">
        <f>IF(OR($B262="",$I262=""),"",$I262-IF($K262="",0,$K262))</f>
        <v/>
      </c>
      <c r="M262" s="22">
        <f>IF(OR($B262="",$L262="",$E262=0,$F262=0),"",$L262/($E262*$F262))</f>
        <v/>
      </c>
      <c r="N262" s="27">
        <f>IF($B262="","",IF($H262="","Open","Closed"))</f>
        <v/>
      </c>
      <c r="O262" s="23" t="n"/>
    </row>
    <row r="263">
      <c r="A263" s="23" t="n"/>
      <c r="B263" s="23" t="n"/>
      <c r="C263" s="23" t="n"/>
      <c r="D263" s="24" t="n"/>
      <c r="E263" s="25" t="n"/>
      <c r="F263" s="26" t="n"/>
      <c r="G263" s="24" t="n"/>
      <c r="H263" s="25" t="n"/>
      <c r="I263" s="21">
        <f>IF(OR($B263="",$H263=""),"",IF($C263="LONG",($H263-$E263)*$F263,($E263-$H263)*$F263))</f>
        <v/>
      </c>
      <c r="J263" s="22">
        <f>IF(OR($B263="",$I263="",$E263=0,$F263=0),"",$I263/($E263*$F263))</f>
        <v/>
      </c>
      <c r="K263" s="4" t="n"/>
      <c r="L263" s="21">
        <f>IF(OR($B263="",$I263=""),"",$I263-IF($K263="",0,$K263))</f>
        <v/>
      </c>
      <c r="M263" s="22">
        <f>IF(OR($B263="",$L263="",$E263=0,$F263=0),"",$L263/($E263*$F263))</f>
        <v/>
      </c>
      <c r="N263" s="27">
        <f>IF($B263="","",IF($H263="","Open","Closed"))</f>
        <v/>
      </c>
      <c r="O263" s="23" t="n"/>
    </row>
    <row r="264">
      <c r="A264" s="23" t="n"/>
      <c r="B264" s="23" t="n"/>
      <c r="C264" s="23" t="n"/>
      <c r="D264" s="24" t="n"/>
      <c r="E264" s="25" t="n"/>
      <c r="F264" s="26" t="n"/>
      <c r="G264" s="24" t="n"/>
      <c r="H264" s="25" t="n"/>
      <c r="I264" s="21">
        <f>IF(OR($B264="",$H264=""),"",IF($C264="LONG",($H264-$E264)*$F264,($E264-$H264)*$F264))</f>
        <v/>
      </c>
      <c r="J264" s="22">
        <f>IF(OR($B264="",$I264="",$E264=0,$F264=0),"",$I264/($E264*$F264))</f>
        <v/>
      </c>
      <c r="K264" s="4" t="n"/>
      <c r="L264" s="21">
        <f>IF(OR($B264="",$I264=""),"",$I264-IF($K264="",0,$K264))</f>
        <v/>
      </c>
      <c r="M264" s="22">
        <f>IF(OR($B264="",$L264="",$E264=0,$F264=0),"",$L264/($E264*$F264))</f>
        <v/>
      </c>
      <c r="N264" s="27">
        <f>IF($B264="","",IF($H264="","Open","Closed"))</f>
        <v/>
      </c>
      <c r="O264" s="23" t="n"/>
    </row>
    <row r="265">
      <c r="A265" s="23" t="n"/>
      <c r="B265" s="23" t="n"/>
      <c r="C265" s="23" t="n"/>
      <c r="D265" s="24" t="n"/>
      <c r="E265" s="25" t="n"/>
      <c r="F265" s="26" t="n"/>
      <c r="G265" s="24" t="n"/>
      <c r="H265" s="25" t="n"/>
      <c r="I265" s="21">
        <f>IF(OR($B265="",$H265=""),"",IF($C265="LONG",($H265-$E265)*$F265,($E265-$H265)*$F265))</f>
        <v/>
      </c>
      <c r="J265" s="22">
        <f>IF(OR($B265="",$I265="",$E265=0,$F265=0),"",$I265/($E265*$F265))</f>
        <v/>
      </c>
      <c r="K265" s="4" t="n"/>
      <c r="L265" s="21">
        <f>IF(OR($B265="",$I265=""),"",$I265-IF($K265="",0,$K265))</f>
        <v/>
      </c>
      <c r="M265" s="22">
        <f>IF(OR($B265="",$L265="",$E265=0,$F265=0),"",$L265/($E265*$F265))</f>
        <v/>
      </c>
      <c r="N265" s="27">
        <f>IF($B265="","",IF($H265="","Open","Closed"))</f>
        <v/>
      </c>
      <c r="O265" s="23" t="n"/>
    </row>
    <row r="266">
      <c r="A266" s="23" t="n"/>
      <c r="B266" s="23" t="n"/>
      <c r="C266" s="23" t="n"/>
      <c r="D266" s="24" t="n"/>
      <c r="E266" s="25" t="n"/>
      <c r="F266" s="26" t="n"/>
      <c r="G266" s="24" t="n"/>
      <c r="H266" s="25" t="n"/>
      <c r="I266" s="21">
        <f>IF(OR($B266="",$H266=""),"",IF($C266="LONG",($H266-$E266)*$F266,($E266-$H266)*$F266))</f>
        <v/>
      </c>
      <c r="J266" s="22">
        <f>IF(OR($B266="",$I266="",$E266=0,$F266=0),"",$I266/($E266*$F266))</f>
        <v/>
      </c>
      <c r="K266" s="4" t="n"/>
      <c r="L266" s="21">
        <f>IF(OR($B266="",$I266=""),"",$I266-IF($K266="",0,$K266))</f>
        <v/>
      </c>
      <c r="M266" s="22">
        <f>IF(OR($B266="",$L266="",$E266=0,$F266=0),"",$L266/($E266*$F266))</f>
        <v/>
      </c>
      <c r="N266" s="27">
        <f>IF($B266="","",IF($H266="","Open","Closed"))</f>
        <v/>
      </c>
      <c r="O266" s="23" t="n"/>
    </row>
    <row r="267">
      <c r="A267" s="23" t="n"/>
      <c r="B267" s="23" t="n"/>
      <c r="C267" s="23" t="n"/>
      <c r="D267" s="24" t="n"/>
      <c r="E267" s="25" t="n"/>
      <c r="F267" s="26" t="n"/>
      <c r="G267" s="24" t="n"/>
      <c r="H267" s="25" t="n"/>
      <c r="I267" s="21">
        <f>IF(OR($B267="",$H267=""),"",IF($C267="LONG",($H267-$E267)*$F267,($E267-$H267)*$F267))</f>
        <v/>
      </c>
      <c r="J267" s="22">
        <f>IF(OR($B267="",$I267="",$E267=0,$F267=0),"",$I267/($E267*$F267))</f>
        <v/>
      </c>
      <c r="K267" s="4" t="n"/>
      <c r="L267" s="21">
        <f>IF(OR($B267="",$I267=""),"",$I267-IF($K267="",0,$K267))</f>
        <v/>
      </c>
      <c r="M267" s="22">
        <f>IF(OR($B267="",$L267="",$E267=0,$F267=0),"",$L267/($E267*$F267))</f>
        <v/>
      </c>
      <c r="N267" s="27">
        <f>IF($B267="","",IF($H267="","Open","Closed"))</f>
        <v/>
      </c>
      <c r="O267" s="23" t="n"/>
    </row>
    <row r="268">
      <c r="A268" s="23" t="n"/>
      <c r="B268" s="23" t="n"/>
      <c r="C268" s="23" t="n"/>
      <c r="D268" s="24" t="n"/>
      <c r="E268" s="25" t="n"/>
      <c r="F268" s="26" t="n"/>
      <c r="G268" s="24" t="n"/>
      <c r="H268" s="25" t="n"/>
      <c r="I268" s="21">
        <f>IF(OR($B268="",$H268=""),"",IF($C268="LONG",($H268-$E268)*$F268,($E268-$H268)*$F268))</f>
        <v/>
      </c>
      <c r="J268" s="22">
        <f>IF(OR($B268="",$I268="",$E268=0,$F268=0),"",$I268/($E268*$F268))</f>
        <v/>
      </c>
      <c r="K268" s="4" t="n"/>
      <c r="L268" s="21">
        <f>IF(OR($B268="",$I268=""),"",$I268-IF($K268="",0,$K268))</f>
        <v/>
      </c>
      <c r="M268" s="22">
        <f>IF(OR($B268="",$L268="",$E268=0,$F268=0),"",$L268/($E268*$F268))</f>
        <v/>
      </c>
      <c r="N268" s="27">
        <f>IF($B268="","",IF($H268="","Open","Closed"))</f>
        <v/>
      </c>
      <c r="O268" s="23" t="n"/>
    </row>
    <row r="269">
      <c r="A269" s="23" t="n"/>
      <c r="B269" s="23" t="n"/>
      <c r="C269" s="23" t="n"/>
      <c r="D269" s="24" t="n"/>
      <c r="E269" s="25" t="n"/>
      <c r="F269" s="26" t="n"/>
      <c r="G269" s="24" t="n"/>
      <c r="H269" s="25" t="n"/>
      <c r="I269" s="21">
        <f>IF(OR($B269="",$H269=""),"",IF($C269="LONG",($H269-$E269)*$F269,($E269-$H269)*$F269))</f>
        <v/>
      </c>
      <c r="J269" s="22">
        <f>IF(OR($B269="",$I269="",$E269=0,$F269=0),"",$I269/($E269*$F269))</f>
        <v/>
      </c>
      <c r="K269" s="4" t="n"/>
      <c r="L269" s="21">
        <f>IF(OR($B269="",$I269=""),"",$I269-IF($K269="",0,$K269))</f>
        <v/>
      </c>
      <c r="M269" s="22">
        <f>IF(OR($B269="",$L269="",$E269=0,$F269=0),"",$L269/($E269*$F269))</f>
        <v/>
      </c>
      <c r="N269" s="27">
        <f>IF($B269="","",IF($H269="","Open","Closed"))</f>
        <v/>
      </c>
      <c r="O269" s="23" t="n"/>
    </row>
    <row r="270">
      <c r="A270" s="23" t="n"/>
      <c r="B270" s="23" t="n"/>
      <c r="C270" s="23" t="n"/>
      <c r="D270" s="24" t="n"/>
      <c r="E270" s="25" t="n"/>
      <c r="F270" s="26" t="n"/>
      <c r="G270" s="24" t="n"/>
      <c r="H270" s="25" t="n"/>
      <c r="I270" s="21">
        <f>IF(OR($B270="",$H270=""),"",IF($C270="LONG",($H270-$E270)*$F270,($E270-$H270)*$F270))</f>
        <v/>
      </c>
      <c r="J270" s="22">
        <f>IF(OR($B270="",$I270="",$E270=0,$F270=0),"",$I270/($E270*$F270))</f>
        <v/>
      </c>
      <c r="K270" s="4" t="n"/>
      <c r="L270" s="21">
        <f>IF(OR($B270="",$I270=""),"",$I270-IF($K270="",0,$K270))</f>
        <v/>
      </c>
      <c r="M270" s="22">
        <f>IF(OR($B270="",$L270="",$E270=0,$F270=0),"",$L270/($E270*$F270))</f>
        <v/>
      </c>
      <c r="N270" s="27">
        <f>IF($B270="","",IF($H270="","Open","Closed"))</f>
        <v/>
      </c>
      <c r="O270" s="23" t="n"/>
    </row>
    <row r="271">
      <c r="A271" s="23" t="n"/>
      <c r="B271" s="23" t="n"/>
      <c r="C271" s="23" t="n"/>
      <c r="D271" s="24" t="n"/>
      <c r="E271" s="25" t="n"/>
      <c r="F271" s="26" t="n"/>
      <c r="G271" s="24" t="n"/>
      <c r="H271" s="25" t="n"/>
      <c r="I271" s="21">
        <f>IF(OR($B271="",$H271=""),"",IF($C271="LONG",($H271-$E271)*$F271,($E271-$H271)*$F271))</f>
        <v/>
      </c>
      <c r="J271" s="22">
        <f>IF(OR($B271="",$I271="",$E271=0,$F271=0),"",$I271/($E271*$F271))</f>
        <v/>
      </c>
      <c r="K271" s="4" t="n"/>
      <c r="L271" s="21">
        <f>IF(OR($B271="",$I271=""),"",$I271-IF($K271="",0,$K271))</f>
        <v/>
      </c>
      <c r="M271" s="22">
        <f>IF(OR($B271="",$L271="",$E271=0,$F271=0),"",$L271/($E271*$F271))</f>
        <v/>
      </c>
      <c r="N271" s="27">
        <f>IF($B271="","",IF($H271="","Open","Closed"))</f>
        <v/>
      </c>
      <c r="O271" s="23" t="n"/>
    </row>
    <row r="272">
      <c r="A272" s="23" t="n"/>
      <c r="B272" s="23" t="n"/>
      <c r="C272" s="23" t="n"/>
      <c r="D272" s="24" t="n"/>
      <c r="E272" s="25" t="n"/>
      <c r="F272" s="26" t="n"/>
      <c r="G272" s="24" t="n"/>
      <c r="H272" s="25" t="n"/>
      <c r="I272" s="21">
        <f>IF(OR($B272="",$H272=""),"",IF($C272="LONG",($H272-$E272)*$F272,($E272-$H272)*$F272))</f>
        <v/>
      </c>
      <c r="J272" s="22">
        <f>IF(OR($B272="",$I272="",$E272=0,$F272=0),"",$I272/($E272*$F272))</f>
        <v/>
      </c>
      <c r="K272" s="4" t="n"/>
      <c r="L272" s="21">
        <f>IF(OR($B272="",$I272=""),"",$I272-IF($K272="",0,$K272))</f>
        <v/>
      </c>
      <c r="M272" s="22">
        <f>IF(OR($B272="",$L272="",$E272=0,$F272=0),"",$L272/($E272*$F272))</f>
        <v/>
      </c>
      <c r="N272" s="27">
        <f>IF($B272="","",IF($H272="","Open","Closed"))</f>
        <v/>
      </c>
      <c r="O272" s="23" t="n"/>
    </row>
    <row r="273">
      <c r="A273" s="23" t="n"/>
      <c r="B273" s="23" t="n"/>
      <c r="C273" s="23" t="n"/>
      <c r="D273" s="24" t="n"/>
      <c r="E273" s="25" t="n"/>
      <c r="F273" s="26" t="n"/>
      <c r="G273" s="24" t="n"/>
      <c r="H273" s="25" t="n"/>
      <c r="I273" s="21">
        <f>IF(OR($B273="",$H273=""),"",IF($C273="LONG",($H273-$E273)*$F273,($E273-$H273)*$F273))</f>
        <v/>
      </c>
      <c r="J273" s="22">
        <f>IF(OR($B273="",$I273="",$E273=0,$F273=0),"",$I273/($E273*$F273))</f>
        <v/>
      </c>
      <c r="K273" s="4" t="n"/>
      <c r="L273" s="21">
        <f>IF(OR($B273="",$I273=""),"",$I273-IF($K273="",0,$K273))</f>
        <v/>
      </c>
      <c r="M273" s="22">
        <f>IF(OR($B273="",$L273="",$E273=0,$F273=0),"",$L273/($E273*$F273))</f>
        <v/>
      </c>
      <c r="N273" s="27">
        <f>IF($B273="","",IF($H273="","Open","Closed"))</f>
        <v/>
      </c>
      <c r="O273" s="23" t="n"/>
    </row>
    <row r="274">
      <c r="A274" s="23" t="n"/>
      <c r="B274" s="23" t="n"/>
      <c r="C274" s="23" t="n"/>
      <c r="D274" s="24" t="n"/>
      <c r="E274" s="25" t="n"/>
      <c r="F274" s="26" t="n"/>
      <c r="G274" s="24" t="n"/>
      <c r="H274" s="25" t="n"/>
      <c r="I274" s="21">
        <f>IF(OR($B274="",$H274=""),"",IF($C274="LONG",($H274-$E274)*$F274,($E274-$H274)*$F274))</f>
        <v/>
      </c>
      <c r="J274" s="22">
        <f>IF(OR($B274="",$I274="",$E274=0,$F274=0),"",$I274/($E274*$F274))</f>
        <v/>
      </c>
      <c r="K274" s="4" t="n"/>
      <c r="L274" s="21">
        <f>IF(OR($B274="",$I274=""),"",$I274-IF($K274="",0,$K274))</f>
        <v/>
      </c>
      <c r="M274" s="22">
        <f>IF(OR($B274="",$L274="",$E274=0,$F274=0),"",$L274/($E274*$F274))</f>
        <v/>
      </c>
      <c r="N274" s="27">
        <f>IF($B274="","",IF($H274="","Open","Closed"))</f>
        <v/>
      </c>
      <c r="O274" s="23" t="n"/>
    </row>
    <row r="275">
      <c r="A275" s="23" t="n"/>
      <c r="B275" s="23" t="n"/>
      <c r="C275" s="23" t="n"/>
      <c r="D275" s="24" t="n"/>
      <c r="E275" s="25" t="n"/>
      <c r="F275" s="26" t="n"/>
      <c r="G275" s="24" t="n"/>
      <c r="H275" s="25" t="n"/>
      <c r="I275" s="21">
        <f>IF(OR($B275="",$H275=""),"",IF($C275="LONG",($H275-$E275)*$F275,($E275-$H275)*$F275))</f>
        <v/>
      </c>
      <c r="J275" s="22">
        <f>IF(OR($B275="",$I275="",$E275=0,$F275=0),"",$I275/($E275*$F275))</f>
        <v/>
      </c>
      <c r="K275" s="4" t="n"/>
      <c r="L275" s="21">
        <f>IF(OR($B275="",$I275=""),"",$I275-IF($K275="",0,$K275))</f>
        <v/>
      </c>
      <c r="M275" s="22">
        <f>IF(OR($B275="",$L275="",$E275=0,$F275=0),"",$L275/($E275*$F275))</f>
        <v/>
      </c>
      <c r="N275" s="27">
        <f>IF($B275="","",IF($H275="","Open","Closed"))</f>
        <v/>
      </c>
      <c r="O275" s="23" t="n"/>
    </row>
    <row r="276">
      <c r="A276" s="23" t="n"/>
      <c r="B276" s="23" t="n"/>
      <c r="C276" s="23" t="n"/>
      <c r="D276" s="24" t="n"/>
      <c r="E276" s="25" t="n"/>
      <c r="F276" s="26" t="n"/>
      <c r="G276" s="24" t="n"/>
      <c r="H276" s="25" t="n"/>
      <c r="I276" s="21">
        <f>IF(OR($B276="",$H276=""),"",IF($C276="LONG",($H276-$E276)*$F276,($E276-$H276)*$F276))</f>
        <v/>
      </c>
      <c r="J276" s="22">
        <f>IF(OR($B276="",$I276="",$E276=0,$F276=0),"",$I276/($E276*$F276))</f>
        <v/>
      </c>
      <c r="K276" s="4" t="n"/>
      <c r="L276" s="21">
        <f>IF(OR($B276="",$I276=""),"",$I276-IF($K276="",0,$K276))</f>
        <v/>
      </c>
      <c r="M276" s="22">
        <f>IF(OR($B276="",$L276="",$E276=0,$F276=0),"",$L276/($E276*$F276))</f>
        <v/>
      </c>
      <c r="N276" s="27">
        <f>IF($B276="","",IF($H276="","Open","Closed"))</f>
        <v/>
      </c>
      <c r="O276" s="23" t="n"/>
    </row>
    <row r="277">
      <c r="A277" s="23" t="n"/>
      <c r="B277" s="23" t="n"/>
      <c r="C277" s="23" t="n"/>
      <c r="D277" s="24" t="n"/>
      <c r="E277" s="25" t="n"/>
      <c r="F277" s="26" t="n"/>
      <c r="G277" s="24" t="n"/>
      <c r="H277" s="25" t="n"/>
      <c r="I277" s="21">
        <f>IF(OR($B277="",$H277=""),"",IF($C277="LONG",($H277-$E277)*$F277,($E277-$H277)*$F277))</f>
        <v/>
      </c>
      <c r="J277" s="22">
        <f>IF(OR($B277="",$I277="",$E277=0,$F277=0),"",$I277/($E277*$F277))</f>
        <v/>
      </c>
      <c r="K277" s="4" t="n"/>
      <c r="L277" s="21">
        <f>IF(OR($B277="",$I277=""),"",$I277-IF($K277="",0,$K277))</f>
        <v/>
      </c>
      <c r="M277" s="22">
        <f>IF(OR($B277="",$L277="",$E277=0,$F277=0),"",$L277/($E277*$F277))</f>
        <v/>
      </c>
      <c r="N277" s="27">
        <f>IF($B277="","",IF($H277="","Open","Closed"))</f>
        <v/>
      </c>
      <c r="O277" s="23" t="n"/>
    </row>
    <row r="278">
      <c r="A278" s="23" t="n"/>
      <c r="B278" s="23" t="n"/>
      <c r="C278" s="23" t="n"/>
      <c r="D278" s="24" t="n"/>
      <c r="E278" s="25" t="n"/>
      <c r="F278" s="26" t="n"/>
      <c r="G278" s="24" t="n"/>
      <c r="H278" s="25" t="n"/>
      <c r="I278" s="21">
        <f>IF(OR($B278="",$H278=""),"",IF($C278="LONG",($H278-$E278)*$F278,($E278-$H278)*$F278))</f>
        <v/>
      </c>
      <c r="J278" s="22">
        <f>IF(OR($B278="",$I278="",$E278=0,$F278=0),"",$I278/($E278*$F278))</f>
        <v/>
      </c>
      <c r="K278" s="4" t="n"/>
      <c r="L278" s="21">
        <f>IF(OR($B278="",$I278=""),"",$I278-IF($K278="",0,$K278))</f>
        <v/>
      </c>
      <c r="M278" s="22">
        <f>IF(OR($B278="",$L278="",$E278=0,$F278=0),"",$L278/($E278*$F278))</f>
        <v/>
      </c>
      <c r="N278" s="27">
        <f>IF($B278="","",IF($H278="","Open","Closed"))</f>
        <v/>
      </c>
      <c r="O278" s="23" t="n"/>
    </row>
    <row r="279">
      <c r="A279" s="23" t="n"/>
      <c r="B279" s="23" t="n"/>
      <c r="C279" s="23" t="n"/>
      <c r="D279" s="24" t="n"/>
      <c r="E279" s="25" t="n"/>
      <c r="F279" s="26" t="n"/>
      <c r="G279" s="24" t="n"/>
      <c r="H279" s="25" t="n"/>
      <c r="I279" s="21">
        <f>IF(OR($B279="",$H279=""),"",IF($C279="LONG",($H279-$E279)*$F279,($E279-$H279)*$F279))</f>
        <v/>
      </c>
      <c r="J279" s="22">
        <f>IF(OR($B279="",$I279="",$E279=0,$F279=0),"",$I279/($E279*$F279))</f>
        <v/>
      </c>
      <c r="K279" s="4" t="n"/>
      <c r="L279" s="21">
        <f>IF(OR($B279="",$I279=""),"",$I279-IF($K279="",0,$K279))</f>
        <v/>
      </c>
      <c r="M279" s="22">
        <f>IF(OR($B279="",$L279="",$E279=0,$F279=0),"",$L279/($E279*$F279))</f>
        <v/>
      </c>
      <c r="N279" s="27">
        <f>IF($B279="","",IF($H279="","Open","Closed"))</f>
        <v/>
      </c>
      <c r="O279" s="23" t="n"/>
    </row>
    <row r="280">
      <c r="A280" s="23" t="n"/>
      <c r="B280" s="23" t="n"/>
      <c r="C280" s="23" t="n"/>
      <c r="D280" s="24" t="n"/>
      <c r="E280" s="25" t="n"/>
      <c r="F280" s="26" t="n"/>
      <c r="G280" s="24" t="n"/>
      <c r="H280" s="25" t="n"/>
      <c r="I280" s="21">
        <f>IF(OR($B280="",$H280=""),"",IF($C280="LONG",($H280-$E280)*$F280,($E280-$H280)*$F280))</f>
        <v/>
      </c>
      <c r="J280" s="22">
        <f>IF(OR($B280="",$I280="",$E280=0,$F280=0),"",$I280/($E280*$F280))</f>
        <v/>
      </c>
      <c r="K280" s="4" t="n"/>
      <c r="L280" s="21">
        <f>IF(OR($B280="",$I280=""),"",$I280-IF($K280="",0,$K280))</f>
        <v/>
      </c>
      <c r="M280" s="22">
        <f>IF(OR($B280="",$L280="",$E280=0,$F280=0),"",$L280/($E280*$F280))</f>
        <v/>
      </c>
      <c r="N280" s="27">
        <f>IF($B280="","",IF($H280="","Open","Closed"))</f>
        <v/>
      </c>
      <c r="O280" s="23" t="n"/>
    </row>
    <row r="281">
      <c r="A281" s="23" t="n"/>
      <c r="B281" s="23" t="n"/>
      <c r="C281" s="23" t="n"/>
      <c r="D281" s="24" t="n"/>
      <c r="E281" s="25" t="n"/>
      <c r="F281" s="26" t="n"/>
      <c r="G281" s="24" t="n"/>
      <c r="H281" s="25" t="n"/>
      <c r="I281" s="21">
        <f>IF(OR($B281="",$H281=""),"",IF($C281="LONG",($H281-$E281)*$F281,($E281-$H281)*$F281))</f>
        <v/>
      </c>
      <c r="J281" s="22">
        <f>IF(OR($B281="",$I281="",$E281=0,$F281=0),"",$I281/($E281*$F281))</f>
        <v/>
      </c>
      <c r="K281" s="4" t="n"/>
      <c r="L281" s="21">
        <f>IF(OR($B281="",$I281=""),"",$I281-IF($K281="",0,$K281))</f>
        <v/>
      </c>
      <c r="M281" s="22">
        <f>IF(OR($B281="",$L281="",$E281=0,$F281=0),"",$L281/($E281*$F281))</f>
        <v/>
      </c>
      <c r="N281" s="27">
        <f>IF($B281="","",IF($H281="","Open","Closed"))</f>
        <v/>
      </c>
      <c r="O281" s="23" t="n"/>
    </row>
    <row r="282">
      <c r="A282" s="23" t="n"/>
      <c r="B282" s="23" t="n"/>
      <c r="C282" s="23" t="n"/>
      <c r="D282" s="24" t="n"/>
      <c r="E282" s="25" t="n"/>
      <c r="F282" s="26" t="n"/>
      <c r="G282" s="24" t="n"/>
      <c r="H282" s="25" t="n"/>
      <c r="I282" s="21">
        <f>IF(OR($B282="",$H282=""),"",IF($C282="LONG",($H282-$E282)*$F282,($E282-$H282)*$F282))</f>
        <v/>
      </c>
      <c r="J282" s="22">
        <f>IF(OR($B282="",$I282="",$E282=0,$F282=0),"",$I282/($E282*$F282))</f>
        <v/>
      </c>
      <c r="K282" s="4" t="n"/>
      <c r="L282" s="21">
        <f>IF(OR($B282="",$I282=""),"",$I282-IF($K282="",0,$K282))</f>
        <v/>
      </c>
      <c r="M282" s="22">
        <f>IF(OR($B282="",$L282="",$E282=0,$F282=0),"",$L282/($E282*$F282))</f>
        <v/>
      </c>
      <c r="N282" s="27">
        <f>IF($B282="","",IF($H282="","Open","Closed"))</f>
        <v/>
      </c>
      <c r="O282" s="23" t="n"/>
    </row>
    <row r="283">
      <c r="A283" s="23" t="n"/>
      <c r="B283" s="23" t="n"/>
      <c r="C283" s="23" t="n"/>
      <c r="D283" s="24" t="n"/>
      <c r="E283" s="25" t="n"/>
      <c r="F283" s="26" t="n"/>
      <c r="G283" s="24" t="n"/>
      <c r="H283" s="25" t="n"/>
      <c r="I283" s="21">
        <f>IF(OR($B283="",$H283=""),"",IF($C283="LONG",($H283-$E283)*$F283,($E283-$H283)*$F283))</f>
        <v/>
      </c>
      <c r="J283" s="22">
        <f>IF(OR($B283="",$I283="",$E283=0,$F283=0),"",$I283/($E283*$F283))</f>
        <v/>
      </c>
      <c r="K283" s="4" t="n"/>
      <c r="L283" s="21">
        <f>IF(OR($B283="",$I283=""),"",$I283-IF($K283="",0,$K283))</f>
        <v/>
      </c>
      <c r="M283" s="22">
        <f>IF(OR($B283="",$L283="",$E283=0,$F283=0),"",$L283/($E283*$F283))</f>
        <v/>
      </c>
      <c r="N283" s="27">
        <f>IF($B283="","",IF($H283="","Open","Closed"))</f>
        <v/>
      </c>
      <c r="O283" s="23" t="n"/>
    </row>
    <row r="284">
      <c r="A284" s="23" t="n"/>
      <c r="B284" s="23" t="n"/>
      <c r="C284" s="23" t="n"/>
      <c r="D284" s="24" t="n"/>
      <c r="E284" s="25" t="n"/>
      <c r="F284" s="26" t="n"/>
      <c r="G284" s="24" t="n"/>
      <c r="H284" s="25" t="n"/>
      <c r="I284" s="21">
        <f>IF(OR($B284="",$H284=""),"",IF($C284="LONG",($H284-$E284)*$F284,($E284-$H284)*$F284))</f>
        <v/>
      </c>
      <c r="J284" s="22">
        <f>IF(OR($B284="",$I284="",$E284=0,$F284=0),"",$I284/($E284*$F284))</f>
        <v/>
      </c>
      <c r="K284" s="4" t="n"/>
      <c r="L284" s="21">
        <f>IF(OR($B284="",$I284=""),"",$I284-IF($K284="",0,$K284))</f>
        <v/>
      </c>
      <c r="M284" s="22">
        <f>IF(OR($B284="",$L284="",$E284=0,$F284=0),"",$L284/($E284*$F284))</f>
        <v/>
      </c>
      <c r="N284" s="27">
        <f>IF($B284="","",IF($H284="","Open","Closed"))</f>
        <v/>
      </c>
      <c r="O284" s="23" t="n"/>
    </row>
    <row r="285">
      <c r="A285" s="23" t="n"/>
      <c r="B285" s="23" t="n"/>
      <c r="C285" s="23" t="n"/>
      <c r="D285" s="24" t="n"/>
      <c r="E285" s="25" t="n"/>
      <c r="F285" s="26" t="n"/>
      <c r="G285" s="24" t="n"/>
      <c r="H285" s="25" t="n"/>
      <c r="I285" s="21">
        <f>IF(OR($B285="",$H285=""),"",IF($C285="LONG",($H285-$E285)*$F285,($E285-$H285)*$F285))</f>
        <v/>
      </c>
      <c r="J285" s="22">
        <f>IF(OR($B285="",$I285="",$E285=0,$F285=0),"",$I285/($E285*$F285))</f>
        <v/>
      </c>
      <c r="K285" s="4" t="n"/>
      <c r="L285" s="21">
        <f>IF(OR($B285="",$I285=""),"",$I285-IF($K285="",0,$K285))</f>
        <v/>
      </c>
      <c r="M285" s="22">
        <f>IF(OR($B285="",$L285="",$E285=0,$F285=0),"",$L285/($E285*$F285))</f>
        <v/>
      </c>
      <c r="N285" s="27">
        <f>IF($B285="","",IF($H285="","Open","Closed"))</f>
        <v/>
      </c>
      <c r="O285" s="23" t="n"/>
    </row>
    <row r="286">
      <c r="A286" s="23" t="n"/>
      <c r="B286" s="23" t="n"/>
      <c r="C286" s="23" t="n"/>
      <c r="D286" s="24" t="n"/>
      <c r="E286" s="25" t="n"/>
      <c r="F286" s="26" t="n"/>
      <c r="G286" s="24" t="n"/>
      <c r="H286" s="25" t="n"/>
      <c r="I286" s="21">
        <f>IF(OR($B286="",$H286=""),"",IF($C286="LONG",($H286-$E286)*$F286,($E286-$H286)*$F286))</f>
        <v/>
      </c>
      <c r="J286" s="22">
        <f>IF(OR($B286="",$I286="",$E286=0,$F286=0),"",$I286/($E286*$F286))</f>
        <v/>
      </c>
      <c r="K286" s="4" t="n"/>
      <c r="L286" s="21">
        <f>IF(OR($B286="",$I286=""),"",$I286-IF($K286="",0,$K286))</f>
        <v/>
      </c>
      <c r="M286" s="22">
        <f>IF(OR($B286="",$L286="",$E286=0,$F286=0),"",$L286/($E286*$F286))</f>
        <v/>
      </c>
      <c r="N286" s="27">
        <f>IF($B286="","",IF($H286="","Open","Closed"))</f>
        <v/>
      </c>
      <c r="O286" s="23" t="n"/>
    </row>
    <row r="287">
      <c r="A287" s="23" t="n"/>
      <c r="B287" s="23" t="n"/>
      <c r="C287" s="23" t="n"/>
      <c r="D287" s="24" t="n"/>
      <c r="E287" s="25" t="n"/>
      <c r="F287" s="26" t="n"/>
      <c r="G287" s="24" t="n"/>
      <c r="H287" s="25" t="n"/>
      <c r="I287" s="21">
        <f>IF(OR($B287="",$H287=""),"",IF($C287="LONG",($H287-$E287)*$F287,($E287-$H287)*$F287))</f>
        <v/>
      </c>
      <c r="J287" s="22">
        <f>IF(OR($B287="",$I287="",$E287=0,$F287=0),"",$I287/($E287*$F287))</f>
        <v/>
      </c>
      <c r="K287" s="4" t="n"/>
      <c r="L287" s="21">
        <f>IF(OR($B287="",$I287=""),"",$I287-IF($K287="",0,$K287))</f>
        <v/>
      </c>
      <c r="M287" s="22">
        <f>IF(OR($B287="",$L287="",$E287=0,$F287=0),"",$L287/($E287*$F287))</f>
        <v/>
      </c>
      <c r="N287" s="27">
        <f>IF($B287="","",IF($H287="","Open","Closed"))</f>
        <v/>
      </c>
      <c r="O287" s="23" t="n"/>
    </row>
    <row r="288">
      <c r="A288" s="23" t="n"/>
      <c r="B288" s="23" t="n"/>
      <c r="C288" s="23" t="n"/>
      <c r="D288" s="24" t="n"/>
      <c r="E288" s="25" t="n"/>
      <c r="F288" s="26" t="n"/>
      <c r="G288" s="24" t="n"/>
      <c r="H288" s="25" t="n"/>
      <c r="I288" s="21">
        <f>IF(OR($B288="",$H288=""),"",IF($C288="LONG",($H288-$E288)*$F288,($E288-$H288)*$F288))</f>
        <v/>
      </c>
      <c r="J288" s="22">
        <f>IF(OR($B288="",$I288="",$E288=0,$F288=0),"",$I288/($E288*$F288))</f>
        <v/>
      </c>
      <c r="K288" s="4" t="n"/>
      <c r="L288" s="21">
        <f>IF(OR($B288="",$I288=""),"",$I288-IF($K288="",0,$K288))</f>
        <v/>
      </c>
      <c r="M288" s="22">
        <f>IF(OR($B288="",$L288="",$E288=0,$F288=0),"",$L288/($E288*$F288))</f>
        <v/>
      </c>
      <c r="N288" s="27">
        <f>IF($B288="","",IF($H288="","Open","Closed"))</f>
        <v/>
      </c>
      <c r="O288" s="23" t="n"/>
    </row>
    <row r="289">
      <c r="A289" s="23" t="n"/>
      <c r="B289" s="23" t="n"/>
      <c r="C289" s="23" t="n"/>
      <c r="D289" s="24" t="n"/>
      <c r="E289" s="25" t="n"/>
      <c r="F289" s="26" t="n"/>
      <c r="G289" s="24" t="n"/>
      <c r="H289" s="25" t="n"/>
      <c r="I289" s="21">
        <f>IF(OR($B289="",$H289=""),"",IF($C289="LONG",($H289-$E289)*$F289,($E289-$H289)*$F289))</f>
        <v/>
      </c>
      <c r="J289" s="22">
        <f>IF(OR($B289="",$I289="",$E289=0,$F289=0),"",$I289/($E289*$F289))</f>
        <v/>
      </c>
      <c r="K289" s="4" t="n"/>
      <c r="L289" s="21">
        <f>IF(OR($B289="",$I289=""),"",$I289-IF($K289="",0,$K289))</f>
        <v/>
      </c>
      <c r="M289" s="22">
        <f>IF(OR($B289="",$L289="",$E289=0,$F289=0),"",$L289/($E289*$F289))</f>
        <v/>
      </c>
      <c r="N289" s="27">
        <f>IF($B289="","",IF($H289="","Open","Closed"))</f>
        <v/>
      </c>
      <c r="O289" s="23" t="n"/>
    </row>
    <row r="290">
      <c r="A290" s="23" t="n"/>
      <c r="B290" s="23" t="n"/>
      <c r="C290" s="23" t="n"/>
      <c r="D290" s="24" t="n"/>
      <c r="E290" s="25" t="n"/>
      <c r="F290" s="26" t="n"/>
      <c r="G290" s="24" t="n"/>
      <c r="H290" s="25" t="n"/>
      <c r="I290" s="21">
        <f>IF(OR($B290="",$H290=""),"",IF($C290="LONG",($H290-$E290)*$F290,($E290-$H290)*$F290))</f>
        <v/>
      </c>
      <c r="J290" s="22">
        <f>IF(OR($B290="",$I290="",$E290=0,$F290=0),"",$I290/($E290*$F290))</f>
        <v/>
      </c>
      <c r="K290" s="4" t="n"/>
      <c r="L290" s="21">
        <f>IF(OR($B290="",$I290=""),"",$I290-IF($K290="",0,$K290))</f>
        <v/>
      </c>
      <c r="M290" s="22">
        <f>IF(OR($B290="",$L290="",$E290=0,$F290=0),"",$L290/($E290*$F290))</f>
        <v/>
      </c>
      <c r="N290" s="27">
        <f>IF($B290="","",IF($H290="","Open","Closed"))</f>
        <v/>
      </c>
      <c r="O290" s="23" t="n"/>
    </row>
    <row r="291">
      <c r="A291" s="23" t="n"/>
      <c r="B291" s="23" t="n"/>
      <c r="C291" s="23" t="n"/>
      <c r="D291" s="24" t="n"/>
      <c r="E291" s="25" t="n"/>
      <c r="F291" s="26" t="n"/>
      <c r="G291" s="24" t="n"/>
      <c r="H291" s="25" t="n"/>
      <c r="I291" s="21">
        <f>IF(OR($B291="",$H291=""),"",IF($C291="LONG",($H291-$E291)*$F291,($E291-$H291)*$F291))</f>
        <v/>
      </c>
      <c r="J291" s="22">
        <f>IF(OR($B291="",$I291="",$E291=0,$F291=0),"",$I291/($E291*$F291))</f>
        <v/>
      </c>
      <c r="K291" s="4" t="n"/>
      <c r="L291" s="21">
        <f>IF(OR($B291="",$I291=""),"",$I291-IF($K291="",0,$K291))</f>
        <v/>
      </c>
      <c r="M291" s="22">
        <f>IF(OR($B291="",$L291="",$E291=0,$F291=0),"",$L291/($E291*$F291))</f>
        <v/>
      </c>
      <c r="N291" s="27">
        <f>IF($B291="","",IF($H291="","Open","Closed"))</f>
        <v/>
      </c>
      <c r="O291" s="23" t="n"/>
    </row>
    <row r="292">
      <c r="A292" s="23" t="n"/>
      <c r="B292" s="23" t="n"/>
      <c r="C292" s="23" t="n"/>
      <c r="D292" s="24" t="n"/>
      <c r="E292" s="25" t="n"/>
      <c r="F292" s="26" t="n"/>
      <c r="G292" s="24" t="n"/>
      <c r="H292" s="25" t="n"/>
      <c r="I292" s="21">
        <f>IF(OR($B292="",$H292=""),"",IF($C292="LONG",($H292-$E292)*$F292,($E292-$H292)*$F292))</f>
        <v/>
      </c>
      <c r="J292" s="22">
        <f>IF(OR($B292="",$I292="",$E292=0,$F292=0),"",$I292/($E292*$F292))</f>
        <v/>
      </c>
      <c r="K292" s="4" t="n"/>
      <c r="L292" s="21">
        <f>IF(OR($B292="",$I292=""),"",$I292-IF($K292="",0,$K292))</f>
        <v/>
      </c>
      <c r="M292" s="22">
        <f>IF(OR($B292="",$L292="",$E292=0,$F292=0),"",$L292/($E292*$F292))</f>
        <v/>
      </c>
      <c r="N292" s="27">
        <f>IF($B292="","",IF($H292="","Open","Closed"))</f>
        <v/>
      </c>
      <c r="O292" s="23" t="n"/>
    </row>
    <row r="293">
      <c r="A293" s="23" t="n"/>
      <c r="B293" s="23" t="n"/>
      <c r="C293" s="23" t="n"/>
      <c r="D293" s="24" t="n"/>
      <c r="E293" s="25" t="n"/>
      <c r="F293" s="26" t="n"/>
      <c r="G293" s="24" t="n"/>
      <c r="H293" s="25" t="n"/>
      <c r="I293" s="21">
        <f>IF(OR($B293="",$H293=""),"",IF($C293="LONG",($H293-$E293)*$F293,($E293-$H293)*$F293))</f>
        <v/>
      </c>
      <c r="J293" s="22">
        <f>IF(OR($B293="",$I293="",$E293=0,$F293=0),"",$I293/($E293*$F293))</f>
        <v/>
      </c>
      <c r="K293" s="4" t="n"/>
      <c r="L293" s="21">
        <f>IF(OR($B293="",$I293=""),"",$I293-IF($K293="",0,$K293))</f>
        <v/>
      </c>
      <c r="M293" s="22">
        <f>IF(OR($B293="",$L293="",$E293=0,$F293=0),"",$L293/($E293*$F293))</f>
        <v/>
      </c>
      <c r="N293" s="27">
        <f>IF($B293="","",IF($H293="","Open","Closed"))</f>
        <v/>
      </c>
      <c r="O293" s="23" t="n"/>
    </row>
    <row r="294">
      <c r="A294" s="23" t="n"/>
      <c r="B294" s="23" t="n"/>
      <c r="C294" s="23" t="n"/>
      <c r="D294" s="24" t="n"/>
      <c r="E294" s="25" t="n"/>
      <c r="F294" s="26" t="n"/>
      <c r="G294" s="24" t="n"/>
      <c r="H294" s="25" t="n"/>
      <c r="I294" s="21">
        <f>IF(OR($B294="",$H294=""),"",IF($C294="LONG",($H294-$E294)*$F294,($E294-$H294)*$F294))</f>
        <v/>
      </c>
      <c r="J294" s="22">
        <f>IF(OR($B294="",$I294="",$E294=0,$F294=0),"",$I294/($E294*$F294))</f>
        <v/>
      </c>
      <c r="K294" s="4" t="n"/>
      <c r="L294" s="21">
        <f>IF(OR($B294="",$I294=""),"",$I294-IF($K294="",0,$K294))</f>
        <v/>
      </c>
      <c r="M294" s="22">
        <f>IF(OR($B294="",$L294="",$E294=0,$F294=0),"",$L294/($E294*$F294))</f>
        <v/>
      </c>
      <c r="N294" s="27">
        <f>IF($B294="","",IF($H294="","Open","Closed"))</f>
        <v/>
      </c>
      <c r="O294" s="23" t="n"/>
    </row>
    <row r="295">
      <c r="A295" s="23" t="n"/>
      <c r="B295" s="23" t="n"/>
      <c r="C295" s="23" t="n"/>
      <c r="D295" s="24" t="n"/>
      <c r="E295" s="25" t="n"/>
      <c r="F295" s="26" t="n"/>
      <c r="G295" s="24" t="n"/>
      <c r="H295" s="25" t="n"/>
      <c r="I295" s="21">
        <f>IF(OR($B295="",$H295=""),"",IF($C295="LONG",($H295-$E295)*$F295,($E295-$H295)*$F295))</f>
        <v/>
      </c>
      <c r="J295" s="22">
        <f>IF(OR($B295="",$I295="",$E295=0,$F295=0),"",$I295/($E295*$F295))</f>
        <v/>
      </c>
      <c r="K295" s="4" t="n"/>
      <c r="L295" s="21">
        <f>IF(OR($B295="",$I295=""),"",$I295-IF($K295="",0,$K295))</f>
        <v/>
      </c>
      <c r="M295" s="22">
        <f>IF(OR($B295="",$L295="",$E295=0,$F295=0),"",$L295/($E295*$F295))</f>
        <v/>
      </c>
      <c r="N295" s="27">
        <f>IF($B295="","",IF($H295="","Open","Closed"))</f>
        <v/>
      </c>
      <c r="O295" s="23" t="n"/>
    </row>
    <row r="296">
      <c r="A296" s="23" t="n"/>
      <c r="B296" s="23" t="n"/>
      <c r="C296" s="23" t="n"/>
      <c r="D296" s="24" t="n"/>
      <c r="E296" s="25" t="n"/>
      <c r="F296" s="26" t="n"/>
      <c r="G296" s="24" t="n"/>
      <c r="H296" s="25" t="n"/>
      <c r="I296" s="21">
        <f>IF(OR($B296="",$H296=""),"",IF($C296="LONG",($H296-$E296)*$F296,($E296-$H296)*$F296))</f>
        <v/>
      </c>
      <c r="J296" s="22">
        <f>IF(OR($B296="",$I296="",$E296=0,$F296=0),"",$I296/($E296*$F296))</f>
        <v/>
      </c>
      <c r="K296" s="4" t="n"/>
      <c r="L296" s="21">
        <f>IF(OR($B296="",$I296=""),"",$I296-IF($K296="",0,$K296))</f>
        <v/>
      </c>
      <c r="M296" s="22">
        <f>IF(OR($B296="",$L296="",$E296=0,$F296=0),"",$L296/($E296*$F296))</f>
        <v/>
      </c>
      <c r="N296" s="27">
        <f>IF($B296="","",IF($H296="","Open","Closed"))</f>
        <v/>
      </c>
      <c r="O296" s="23" t="n"/>
    </row>
    <row r="297">
      <c r="A297" s="23" t="n"/>
      <c r="B297" s="23" t="n"/>
      <c r="C297" s="23" t="n"/>
      <c r="D297" s="24" t="n"/>
      <c r="E297" s="25" t="n"/>
      <c r="F297" s="26" t="n"/>
      <c r="G297" s="24" t="n"/>
      <c r="H297" s="25" t="n"/>
      <c r="I297" s="21">
        <f>IF(OR($B297="",$H297=""),"",IF($C297="LONG",($H297-$E297)*$F297,($E297-$H297)*$F297))</f>
        <v/>
      </c>
      <c r="J297" s="22">
        <f>IF(OR($B297="",$I297="",$E297=0,$F297=0),"",$I297/($E297*$F297))</f>
        <v/>
      </c>
      <c r="K297" s="4" t="n"/>
      <c r="L297" s="21">
        <f>IF(OR($B297="",$I297=""),"",$I297-IF($K297="",0,$K297))</f>
        <v/>
      </c>
      <c r="M297" s="22">
        <f>IF(OR($B297="",$L297="",$E297=0,$F297=0),"",$L297/($E297*$F297))</f>
        <v/>
      </c>
      <c r="N297" s="27">
        <f>IF($B297="","",IF($H297="","Open","Closed"))</f>
        <v/>
      </c>
      <c r="O297" s="23" t="n"/>
    </row>
    <row r="298">
      <c r="A298" s="23" t="n"/>
      <c r="B298" s="23" t="n"/>
      <c r="C298" s="23" t="n"/>
      <c r="D298" s="24" t="n"/>
      <c r="E298" s="25" t="n"/>
      <c r="F298" s="26" t="n"/>
      <c r="G298" s="24" t="n"/>
      <c r="H298" s="25" t="n"/>
      <c r="I298" s="21">
        <f>IF(OR($B298="",$H298=""),"",IF($C298="LONG",($H298-$E298)*$F298,($E298-$H298)*$F298))</f>
        <v/>
      </c>
      <c r="J298" s="22">
        <f>IF(OR($B298="",$I298="",$E298=0,$F298=0),"",$I298/($E298*$F298))</f>
        <v/>
      </c>
      <c r="K298" s="4" t="n"/>
      <c r="L298" s="21">
        <f>IF(OR($B298="",$I298=""),"",$I298-IF($K298="",0,$K298))</f>
        <v/>
      </c>
      <c r="M298" s="22">
        <f>IF(OR($B298="",$L298="",$E298=0,$F298=0),"",$L298/($E298*$F298))</f>
        <v/>
      </c>
      <c r="N298" s="27">
        <f>IF($B298="","",IF($H298="","Open","Closed"))</f>
        <v/>
      </c>
      <c r="O298" s="23" t="n"/>
    </row>
    <row r="299">
      <c r="A299" s="23" t="n"/>
      <c r="B299" s="23" t="n"/>
      <c r="C299" s="23" t="n"/>
      <c r="D299" s="24" t="n"/>
      <c r="E299" s="25" t="n"/>
      <c r="F299" s="26" t="n"/>
      <c r="G299" s="24" t="n"/>
      <c r="H299" s="25" t="n"/>
      <c r="I299" s="21">
        <f>IF(OR($B299="",$H299=""),"",IF($C299="LONG",($H299-$E299)*$F299,($E299-$H299)*$F299))</f>
        <v/>
      </c>
      <c r="J299" s="22">
        <f>IF(OR($B299="",$I299="",$E299=0,$F299=0),"",$I299/($E299*$F299))</f>
        <v/>
      </c>
      <c r="K299" s="4" t="n"/>
      <c r="L299" s="21">
        <f>IF(OR($B299="",$I299=""),"",$I299-IF($K299="",0,$K299))</f>
        <v/>
      </c>
      <c r="M299" s="22">
        <f>IF(OR($B299="",$L299="",$E299=0,$F299=0),"",$L299/($E299*$F299))</f>
        <v/>
      </c>
      <c r="N299" s="27">
        <f>IF($B299="","",IF($H299="","Open","Closed"))</f>
        <v/>
      </c>
      <c r="O299" s="23" t="n"/>
    </row>
    <row r="300">
      <c r="A300" s="23" t="n"/>
      <c r="B300" s="23" t="n"/>
      <c r="C300" s="23" t="n"/>
      <c r="D300" s="24" t="n"/>
      <c r="E300" s="25" t="n"/>
      <c r="F300" s="26" t="n"/>
      <c r="G300" s="24" t="n"/>
      <c r="H300" s="25" t="n"/>
      <c r="I300" s="21">
        <f>IF(OR($B300="",$H300=""),"",IF($C300="LONG",($H300-$E300)*$F300,($E300-$H300)*$F300))</f>
        <v/>
      </c>
      <c r="J300" s="22">
        <f>IF(OR($B300="",$I300="",$E300=0,$F300=0),"",$I300/($E300*$F300))</f>
        <v/>
      </c>
      <c r="K300" s="4" t="n"/>
      <c r="L300" s="21">
        <f>IF(OR($B300="",$I300=""),"",$I300-IF($K300="",0,$K300))</f>
        <v/>
      </c>
      <c r="M300" s="22">
        <f>IF(OR($B300="",$L300="",$E300=0,$F300=0),"",$L300/($E300*$F300))</f>
        <v/>
      </c>
      <c r="N300" s="27">
        <f>IF($B300="","",IF($H300="","Open","Closed"))</f>
        <v/>
      </c>
      <c r="O300" s="23" t="n"/>
    </row>
    <row r="301">
      <c r="A301" s="23" t="n"/>
      <c r="B301" s="23" t="n"/>
      <c r="C301" s="23" t="n"/>
      <c r="D301" s="24" t="n"/>
      <c r="E301" s="25" t="n"/>
      <c r="F301" s="26" t="n"/>
      <c r="G301" s="24" t="n"/>
      <c r="H301" s="25" t="n"/>
      <c r="I301" s="21">
        <f>IF(OR($B301="",$H301=""),"",IF($C301="LONG",($H301-$E301)*$F301,($E301-$H301)*$F301))</f>
        <v/>
      </c>
      <c r="J301" s="22">
        <f>IF(OR($B301="",$I301="",$E301=0,$F301=0),"",$I301/($E301*$F301))</f>
        <v/>
      </c>
      <c r="K301" s="4" t="n"/>
      <c r="L301" s="21">
        <f>IF(OR($B301="",$I301=""),"",$I301-IF($K301="",0,$K301))</f>
        <v/>
      </c>
      <c r="M301" s="22">
        <f>IF(OR($B301="",$L301="",$E301=0,$F301=0),"",$L301/($E301*$F301))</f>
        <v/>
      </c>
      <c r="N301" s="27">
        <f>IF($B301="","",IF($H301="","Open","Closed"))</f>
        <v/>
      </c>
      <c r="O301" s="23" t="n"/>
    </row>
    <row r="302">
      <c r="A302" s="23" t="n"/>
      <c r="B302" s="23" t="n"/>
      <c r="C302" s="23" t="n"/>
      <c r="D302" s="24" t="n"/>
      <c r="E302" s="25" t="n"/>
      <c r="F302" s="26" t="n"/>
      <c r="G302" s="24" t="n"/>
      <c r="H302" s="25" t="n"/>
      <c r="I302" s="21">
        <f>IF(OR($B302="",$H302=""),"",IF($C302="LONG",($H302-$E302)*$F302,($E302-$H302)*$F302))</f>
        <v/>
      </c>
      <c r="J302" s="22">
        <f>IF(OR($B302="",$I302="",$E302=0,$F302=0),"",$I302/($E302*$F302))</f>
        <v/>
      </c>
      <c r="K302" s="4" t="n"/>
      <c r="L302" s="21">
        <f>IF(OR($B302="",$I302=""),"",$I302-IF($K302="",0,$K302))</f>
        <v/>
      </c>
      <c r="M302" s="22">
        <f>IF(OR($B302="",$L302="",$E302=0,$F302=0),"",$L302/($E302*$F302))</f>
        <v/>
      </c>
      <c r="N302" s="27">
        <f>IF($B302="","",IF($H302="","Open","Closed"))</f>
        <v/>
      </c>
      <c r="O302" s="23" t="n"/>
    </row>
    <row r="303">
      <c r="A303" s="23" t="n"/>
      <c r="B303" s="23" t="n"/>
      <c r="C303" s="23" t="n"/>
      <c r="D303" s="24" t="n"/>
      <c r="E303" s="25" t="n"/>
      <c r="F303" s="26" t="n"/>
      <c r="G303" s="24" t="n"/>
      <c r="H303" s="25" t="n"/>
      <c r="I303" s="21">
        <f>IF(OR($B303="",$H303=""),"",IF($C303="LONG",($H303-$E303)*$F303,($E303-$H303)*$F303))</f>
        <v/>
      </c>
      <c r="J303" s="22">
        <f>IF(OR($B303="",$I303="",$E303=0,$F303=0),"",$I303/($E303*$F303))</f>
        <v/>
      </c>
      <c r="K303" s="4" t="n"/>
      <c r="L303" s="21">
        <f>IF(OR($B303="",$I303=""),"",$I303-IF($K303="",0,$K303))</f>
        <v/>
      </c>
      <c r="M303" s="22">
        <f>IF(OR($B303="",$L303="",$E303=0,$F303=0),"",$L303/($E303*$F303))</f>
        <v/>
      </c>
      <c r="N303" s="27">
        <f>IF($B303="","",IF($H303="","Open","Closed"))</f>
        <v/>
      </c>
      <c r="O303" s="23" t="n"/>
    </row>
    <row r="304">
      <c r="A304" s="23" t="n"/>
      <c r="B304" s="23" t="n"/>
      <c r="C304" s="23" t="n"/>
      <c r="D304" s="24" t="n"/>
      <c r="E304" s="25" t="n"/>
      <c r="F304" s="26" t="n"/>
      <c r="G304" s="24" t="n"/>
      <c r="H304" s="25" t="n"/>
      <c r="I304" s="21">
        <f>IF(OR($B304="",$H304=""),"",IF($C304="LONG",($H304-$E304)*$F304,($E304-$H304)*$F304))</f>
        <v/>
      </c>
      <c r="J304" s="22">
        <f>IF(OR($B304="",$I304="",$E304=0,$F304=0),"",$I304/($E304*$F304))</f>
        <v/>
      </c>
      <c r="K304" s="4" t="n"/>
      <c r="L304" s="21">
        <f>IF(OR($B304="",$I304=""),"",$I304-IF($K304="",0,$K304))</f>
        <v/>
      </c>
      <c r="M304" s="22">
        <f>IF(OR($B304="",$L304="",$E304=0,$F304=0),"",$L304/($E304*$F304))</f>
        <v/>
      </c>
      <c r="N304" s="27">
        <f>IF($B304="","",IF($H304="","Open","Closed"))</f>
        <v/>
      </c>
      <c r="O304" s="23" t="n"/>
    </row>
    <row r="305">
      <c r="A305" s="23" t="n"/>
      <c r="B305" s="23" t="n"/>
      <c r="C305" s="23" t="n"/>
      <c r="D305" s="24" t="n"/>
      <c r="E305" s="25" t="n"/>
      <c r="F305" s="26" t="n"/>
      <c r="G305" s="24" t="n"/>
      <c r="H305" s="25" t="n"/>
      <c r="I305" s="21">
        <f>IF(OR($B305="",$H305=""),"",IF($C305="LONG",($H305-$E305)*$F305,($E305-$H305)*$F305))</f>
        <v/>
      </c>
      <c r="J305" s="22">
        <f>IF(OR($B305="",$I305="",$E305=0,$F305=0),"",$I305/($E305*$F305))</f>
        <v/>
      </c>
      <c r="K305" s="4" t="n"/>
      <c r="L305" s="21">
        <f>IF(OR($B305="",$I305=""),"",$I305-IF($K305="",0,$K305))</f>
        <v/>
      </c>
      <c r="M305" s="22">
        <f>IF(OR($B305="",$L305="",$E305=0,$F305=0),"",$L305/($E305*$F305))</f>
        <v/>
      </c>
      <c r="N305" s="27">
        <f>IF($B305="","",IF($H305="","Open","Closed"))</f>
        <v/>
      </c>
      <c r="O305" s="23" t="n"/>
    </row>
    <row r="306">
      <c r="A306" s="23" t="n"/>
      <c r="B306" s="23" t="n"/>
      <c r="C306" s="23" t="n"/>
      <c r="D306" s="24" t="n"/>
      <c r="E306" s="25" t="n"/>
      <c r="F306" s="26" t="n"/>
      <c r="G306" s="24" t="n"/>
      <c r="H306" s="25" t="n"/>
      <c r="I306" s="21">
        <f>IF(OR($B306="",$H306=""),"",IF($C306="LONG",($H306-$E306)*$F306,($E306-$H306)*$F306))</f>
        <v/>
      </c>
      <c r="J306" s="22">
        <f>IF(OR($B306="",$I306="",$E306=0,$F306=0),"",$I306/($E306*$F306))</f>
        <v/>
      </c>
      <c r="K306" s="4" t="n"/>
      <c r="L306" s="21">
        <f>IF(OR($B306="",$I306=""),"",$I306-IF($K306="",0,$K306))</f>
        <v/>
      </c>
      <c r="M306" s="22">
        <f>IF(OR($B306="",$L306="",$E306=0,$F306=0),"",$L306/($E306*$F306))</f>
        <v/>
      </c>
      <c r="N306" s="27">
        <f>IF($B306="","",IF($H306="","Open","Closed"))</f>
        <v/>
      </c>
      <c r="O306" s="23" t="n"/>
    </row>
    <row r="307">
      <c r="A307" s="23" t="n"/>
      <c r="B307" s="23" t="n"/>
      <c r="C307" s="23" t="n"/>
      <c r="D307" s="24" t="n"/>
      <c r="E307" s="25" t="n"/>
      <c r="F307" s="26" t="n"/>
      <c r="G307" s="24" t="n"/>
      <c r="H307" s="25" t="n"/>
      <c r="I307" s="21">
        <f>IF(OR($B307="",$H307=""),"",IF($C307="LONG",($H307-$E307)*$F307,($E307-$H307)*$F307))</f>
        <v/>
      </c>
      <c r="J307" s="22">
        <f>IF(OR($B307="",$I307="",$E307=0,$F307=0),"",$I307/($E307*$F307))</f>
        <v/>
      </c>
      <c r="K307" s="4" t="n"/>
      <c r="L307" s="21">
        <f>IF(OR($B307="",$I307=""),"",$I307-IF($K307="",0,$K307))</f>
        <v/>
      </c>
      <c r="M307" s="22">
        <f>IF(OR($B307="",$L307="",$E307=0,$F307=0),"",$L307/($E307*$F307))</f>
        <v/>
      </c>
      <c r="N307" s="27">
        <f>IF($B307="","",IF($H307="","Open","Closed"))</f>
        <v/>
      </c>
      <c r="O307" s="23" t="n"/>
    </row>
    <row r="308">
      <c r="A308" s="23" t="n"/>
      <c r="B308" s="23" t="n"/>
      <c r="C308" s="23" t="n"/>
      <c r="D308" s="24" t="n"/>
      <c r="E308" s="25" t="n"/>
      <c r="F308" s="26" t="n"/>
      <c r="G308" s="24" t="n"/>
      <c r="H308" s="25" t="n"/>
      <c r="I308" s="21">
        <f>IF(OR($B308="",$H308=""),"",IF($C308="LONG",($H308-$E308)*$F308,($E308-$H308)*$F308))</f>
        <v/>
      </c>
      <c r="J308" s="22">
        <f>IF(OR($B308="",$I308="",$E308=0,$F308=0),"",$I308/($E308*$F308))</f>
        <v/>
      </c>
      <c r="K308" s="4" t="n"/>
      <c r="L308" s="21">
        <f>IF(OR($B308="",$I308=""),"",$I308-IF($K308="",0,$K308))</f>
        <v/>
      </c>
      <c r="M308" s="22">
        <f>IF(OR($B308="",$L308="",$E308=0,$F308=0),"",$L308/($E308*$F308))</f>
        <v/>
      </c>
      <c r="N308" s="27">
        <f>IF($B308="","",IF($H308="","Open","Closed"))</f>
        <v/>
      </c>
      <c r="O308" s="23" t="n"/>
    </row>
    <row r="309">
      <c r="A309" s="23" t="n"/>
      <c r="B309" s="23" t="n"/>
      <c r="C309" s="23" t="n"/>
      <c r="D309" s="24" t="n"/>
      <c r="E309" s="25" t="n"/>
      <c r="F309" s="26" t="n"/>
      <c r="G309" s="24" t="n"/>
      <c r="H309" s="25" t="n"/>
      <c r="I309" s="21">
        <f>IF(OR($B309="",$H309=""),"",IF($C309="LONG",($H309-$E309)*$F309,($E309-$H309)*$F309))</f>
        <v/>
      </c>
      <c r="J309" s="22">
        <f>IF(OR($B309="",$I309="",$E309=0,$F309=0),"",$I309/($E309*$F309))</f>
        <v/>
      </c>
      <c r="K309" s="4" t="n"/>
      <c r="L309" s="21">
        <f>IF(OR($B309="",$I309=""),"",$I309-IF($K309="",0,$K309))</f>
        <v/>
      </c>
      <c r="M309" s="22">
        <f>IF(OR($B309="",$L309="",$E309=0,$F309=0),"",$L309/($E309*$F309))</f>
        <v/>
      </c>
      <c r="N309" s="27">
        <f>IF($B309="","",IF($H309="","Open","Closed"))</f>
        <v/>
      </c>
      <c r="O309" s="23" t="n"/>
    </row>
    <row r="310">
      <c r="A310" s="23" t="n"/>
      <c r="B310" s="23" t="n"/>
      <c r="C310" s="23" t="n"/>
      <c r="D310" s="24" t="n"/>
      <c r="E310" s="25" t="n"/>
      <c r="F310" s="26" t="n"/>
      <c r="G310" s="24" t="n"/>
      <c r="H310" s="25" t="n"/>
      <c r="I310" s="21">
        <f>IF(OR($B310="",$H310=""),"",IF($C310="LONG",($H310-$E310)*$F310,($E310-$H310)*$F310))</f>
        <v/>
      </c>
      <c r="J310" s="22">
        <f>IF(OR($B310="",$I310="",$E310=0,$F310=0),"",$I310/($E310*$F310))</f>
        <v/>
      </c>
      <c r="K310" s="4" t="n"/>
      <c r="L310" s="21">
        <f>IF(OR($B310="",$I310=""),"",$I310-IF($K310="",0,$K310))</f>
        <v/>
      </c>
      <c r="M310" s="22">
        <f>IF(OR($B310="",$L310="",$E310=0,$F310=0),"",$L310/($E310*$F310))</f>
        <v/>
      </c>
      <c r="N310" s="27">
        <f>IF($B310="","",IF($H310="","Open","Closed"))</f>
        <v/>
      </c>
      <c r="O310" s="23" t="n"/>
    </row>
    <row r="311">
      <c r="A311" s="23" t="n"/>
      <c r="B311" s="23" t="n"/>
      <c r="C311" s="23" t="n"/>
      <c r="D311" s="24" t="n"/>
      <c r="E311" s="25" t="n"/>
      <c r="F311" s="26" t="n"/>
      <c r="G311" s="24" t="n"/>
      <c r="H311" s="25" t="n"/>
      <c r="I311" s="21">
        <f>IF(OR($B311="",$H311=""),"",IF($C311="LONG",($H311-$E311)*$F311,($E311-$H311)*$F311))</f>
        <v/>
      </c>
      <c r="J311" s="22">
        <f>IF(OR($B311="",$I311="",$E311=0,$F311=0),"",$I311/($E311*$F311))</f>
        <v/>
      </c>
      <c r="K311" s="4" t="n"/>
      <c r="L311" s="21">
        <f>IF(OR($B311="",$I311=""),"",$I311-IF($K311="",0,$K311))</f>
        <v/>
      </c>
      <c r="M311" s="22">
        <f>IF(OR($B311="",$L311="",$E311=0,$F311=0),"",$L311/($E311*$F311))</f>
        <v/>
      </c>
      <c r="N311" s="27">
        <f>IF($B311="","",IF($H311="","Open","Closed"))</f>
        <v/>
      </c>
      <c r="O311" s="23" t="n"/>
    </row>
    <row r="312">
      <c r="A312" s="23" t="n"/>
      <c r="B312" s="23" t="n"/>
      <c r="C312" s="23" t="n"/>
      <c r="D312" s="24" t="n"/>
      <c r="E312" s="25" t="n"/>
      <c r="F312" s="26" t="n"/>
      <c r="G312" s="24" t="n"/>
      <c r="H312" s="25" t="n"/>
      <c r="I312" s="21">
        <f>IF(OR($B312="",$H312=""),"",IF($C312="LONG",($H312-$E312)*$F312,($E312-$H312)*$F312))</f>
        <v/>
      </c>
      <c r="J312" s="22">
        <f>IF(OR($B312="",$I312="",$E312=0,$F312=0),"",$I312/($E312*$F312))</f>
        <v/>
      </c>
      <c r="K312" s="4" t="n"/>
      <c r="L312" s="21">
        <f>IF(OR($B312="",$I312=""),"",$I312-IF($K312="",0,$K312))</f>
        <v/>
      </c>
      <c r="M312" s="22">
        <f>IF(OR($B312="",$L312="",$E312=0,$F312=0),"",$L312/($E312*$F312))</f>
        <v/>
      </c>
      <c r="N312" s="27">
        <f>IF($B312="","",IF($H312="","Open","Closed"))</f>
        <v/>
      </c>
      <c r="O312" s="23" t="n"/>
    </row>
    <row r="313">
      <c r="A313" s="23" t="n"/>
      <c r="B313" s="23" t="n"/>
      <c r="C313" s="23" t="n"/>
      <c r="D313" s="24" t="n"/>
      <c r="E313" s="25" t="n"/>
      <c r="F313" s="26" t="n"/>
      <c r="G313" s="24" t="n"/>
      <c r="H313" s="25" t="n"/>
      <c r="I313" s="21">
        <f>IF(OR($B313="",$H313=""),"",IF($C313="LONG",($H313-$E313)*$F313,($E313-$H313)*$F313))</f>
        <v/>
      </c>
      <c r="J313" s="22">
        <f>IF(OR($B313="",$I313="",$E313=0,$F313=0),"",$I313/($E313*$F313))</f>
        <v/>
      </c>
      <c r="K313" s="4" t="n"/>
      <c r="L313" s="21">
        <f>IF(OR($B313="",$I313=""),"",$I313-IF($K313="",0,$K313))</f>
        <v/>
      </c>
      <c r="M313" s="22">
        <f>IF(OR($B313="",$L313="",$E313=0,$F313=0),"",$L313/($E313*$F313))</f>
        <v/>
      </c>
      <c r="N313" s="27">
        <f>IF($B313="","",IF($H313="","Open","Closed"))</f>
        <v/>
      </c>
      <c r="O313" s="23" t="n"/>
    </row>
    <row r="314">
      <c r="A314" s="23" t="n"/>
      <c r="B314" s="23" t="n"/>
      <c r="C314" s="23" t="n"/>
      <c r="D314" s="24" t="n"/>
      <c r="E314" s="25" t="n"/>
      <c r="F314" s="26" t="n"/>
      <c r="G314" s="24" t="n"/>
      <c r="H314" s="25" t="n"/>
      <c r="I314" s="21">
        <f>IF(OR($B314="",$H314=""),"",IF($C314="LONG",($H314-$E314)*$F314,($E314-$H314)*$F314))</f>
        <v/>
      </c>
      <c r="J314" s="22">
        <f>IF(OR($B314="",$I314="",$E314=0,$F314=0),"",$I314/($E314*$F314))</f>
        <v/>
      </c>
      <c r="K314" s="4" t="n"/>
      <c r="L314" s="21">
        <f>IF(OR($B314="",$I314=""),"",$I314-IF($K314="",0,$K314))</f>
        <v/>
      </c>
      <c r="M314" s="22">
        <f>IF(OR($B314="",$L314="",$E314=0,$F314=0),"",$L314/($E314*$F314))</f>
        <v/>
      </c>
      <c r="N314" s="27">
        <f>IF($B314="","",IF($H314="","Open","Closed"))</f>
        <v/>
      </c>
      <c r="O314" s="23" t="n"/>
    </row>
    <row r="315">
      <c r="A315" s="23" t="n"/>
      <c r="B315" s="23" t="n"/>
      <c r="C315" s="23" t="n"/>
      <c r="D315" s="24" t="n"/>
      <c r="E315" s="25" t="n"/>
      <c r="F315" s="26" t="n"/>
      <c r="G315" s="24" t="n"/>
      <c r="H315" s="25" t="n"/>
      <c r="I315" s="21">
        <f>IF(OR($B315="",$H315=""),"",IF($C315="LONG",($H315-$E315)*$F315,($E315-$H315)*$F315))</f>
        <v/>
      </c>
      <c r="J315" s="22">
        <f>IF(OR($B315="",$I315="",$E315=0,$F315=0),"",$I315/($E315*$F315))</f>
        <v/>
      </c>
      <c r="K315" s="4" t="n"/>
      <c r="L315" s="21">
        <f>IF(OR($B315="",$I315=""),"",$I315-IF($K315="",0,$K315))</f>
        <v/>
      </c>
      <c r="M315" s="22">
        <f>IF(OR($B315="",$L315="",$E315=0,$F315=0),"",$L315/($E315*$F315))</f>
        <v/>
      </c>
      <c r="N315" s="27">
        <f>IF($B315="","",IF($H315="","Open","Closed"))</f>
        <v/>
      </c>
      <c r="O315" s="23" t="n"/>
    </row>
    <row r="316">
      <c r="A316" s="23" t="n"/>
      <c r="B316" s="23" t="n"/>
      <c r="C316" s="23" t="n"/>
      <c r="D316" s="24" t="n"/>
      <c r="E316" s="25" t="n"/>
      <c r="F316" s="26" t="n"/>
      <c r="G316" s="24" t="n"/>
      <c r="H316" s="25" t="n"/>
      <c r="I316" s="21">
        <f>IF(OR($B316="",$H316=""),"",IF($C316="LONG",($H316-$E316)*$F316,($E316-$H316)*$F316))</f>
        <v/>
      </c>
      <c r="J316" s="22">
        <f>IF(OR($B316="",$I316="",$E316=0,$F316=0),"",$I316/($E316*$F316))</f>
        <v/>
      </c>
      <c r="K316" s="4" t="n"/>
      <c r="L316" s="21">
        <f>IF(OR($B316="",$I316=""),"",$I316-IF($K316="",0,$K316))</f>
        <v/>
      </c>
      <c r="M316" s="22">
        <f>IF(OR($B316="",$L316="",$E316=0,$F316=0),"",$L316/($E316*$F316))</f>
        <v/>
      </c>
      <c r="N316" s="27">
        <f>IF($B316="","",IF($H316="","Open","Closed"))</f>
        <v/>
      </c>
      <c r="O316" s="23" t="n"/>
    </row>
    <row r="317">
      <c r="A317" s="23" t="n"/>
      <c r="B317" s="23" t="n"/>
      <c r="C317" s="23" t="n"/>
      <c r="D317" s="24" t="n"/>
      <c r="E317" s="25" t="n"/>
      <c r="F317" s="26" t="n"/>
      <c r="G317" s="24" t="n"/>
      <c r="H317" s="25" t="n"/>
      <c r="I317" s="21">
        <f>IF(OR($B317="",$H317=""),"",IF($C317="LONG",($H317-$E317)*$F317,($E317-$H317)*$F317))</f>
        <v/>
      </c>
      <c r="J317" s="22">
        <f>IF(OR($B317="",$I317="",$E317=0,$F317=0),"",$I317/($E317*$F317))</f>
        <v/>
      </c>
      <c r="K317" s="4" t="n"/>
      <c r="L317" s="21">
        <f>IF(OR($B317="",$I317=""),"",$I317-IF($K317="",0,$K317))</f>
        <v/>
      </c>
      <c r="M317" s="22">
        <f>IF(OR($B317="",$L317="",$E317=0,$F317=0),"",$L317/($E317*$F317))</f>
        <v/>
      </c>
      <c r="N317" s="27">
        <f>IF($B317="","",IF($H317="","Open","Closed"))</f>
        <v/>
      </c>
      <c r="O317" s="23" t="n"/>
    </row>
    <row r="318">
      <c r="A318" s="23" t="n"/>
      <c r="B318" s="23" t="n"/>
      <c r="C318" s="23" t="n"/>
      <c r="D318" s="24" t="n"/>
      <c r="E318" s="25" t="n"/>
      <c r="F318" s="26" t="n"/>
      <c r="G318" s="24" t="n"/>
      <c r="H318" s="25" t="n"/>
      <c r="I318" s="21">
        <f>IF(OR($B318="",$H318=""),"",IF($C318="LONG",($H318-$E318)*$F318,($E318-$H318)*$F318))</f>
        <v/>
      </c>
      <c r="J318" s="22">
        <f>IF(OR($B318="",$I318="",$E318=0,$F318=0),"",$I318/($E318*$F318))</f>
        <v/>
      </c>
      <c r="K318" s="4" t="n"/>
      <c r="L318" s="21">
        <f>IF(OR($B318="",$I318=""),"",$I318-IF($K318="",0,$K318))</f>
        <v/>
      </c>
      <c r="M318" s="22">
        <f>IF(OR($B318="",$L318="",$E318=0,$F318=0),"",$L318/($E318*$F318))</f>
        <v/>
      </c>
      <c r="N318" s="27">
        <f>IF($B318="","",IF($H318="","Open","Closed"))</f>
        <v/>
      </c>
      <c r="O318" s="23" t="n"/>
    </row>
    <row r="319">
      <c r="A319" s="23" t="n"/>
      <c r="B319" s="23" t="n"/>
      <c r="C319" s="23" t="n"/>
      <c r="D319" s="24" t="n"/>
      <c r="E319" s="25" t="n"/>
      <c r="F319" s="26" t="n"/>
      <c r="G319" s="24" t="n"/>
      <c r="H319" s="25" t="n"/>
      <c r="I319" s="21">
        <f>IF(OR($B319="",$H319=""),"",IF($C319="LONG",($H319-$E319)*$F319,($E319-$H319)*$F319))</f>
        <v/>
      </c>
      <c r="J319" s="22">
        <f>IF(OR($B319="",$I319="",$E319=0,$F319=0),"",$I319/($E319*$F319))</f>
        <v/>
      </c>
      <c r="K319" s="4" t="n"/>
      <c r="L319" s="21">
        <f>IF(OR($B319="",$I319=""),"",$I319-IF($K319="",0,$K319))</f>
        <v/>
      </c>
      <c r="M319" s="22">
        <f>IF(OR($B319="",$L319="",$E319=0,$F319=0),"",$L319/($E319*$F319))</f>
        <v/>
      </c>
      <c r="N319" s="27">
        <f>IF($B319="","",IF($H319="","Open","Closed"))</f>
        <v/>
      </c>
      <c r="O319" s="23" t="n"/>
    </row>
    <row r="320">
      <c r="A320" s="23" t="n"/>
      <c r="B320" s="23" t="n"/>
      <c r="C320" s="23" t="n"/>
      <c r="D320" s="24" t="n"/>
      <c r="E320" s="25" t="n"/>
      <c r="F320" s="26" t="n"/>
      <c r="G320" s="24" t="n"/>
      <c r="H320" s="25" t="n"/>
      <c r="I320" s="21">
        <f>IF(OR($B320="",$H320=""),"",IF($C320="LONG",($H320-$E320)*$F320,($E320-$H320)*$F320))</f>
        <v/>
      </c>
      <c r="J320" s="22">
        <f>IF(OR($B320="",$I320="",$E320=0,$F320=0),"",$I320/($E320*$F320))</f>
        <v/>
      </c>
      <c r="K320" s="4" t="n"/>
      <c r="L320" s="21">
        <f>IF(OR($B320="",$I320=""),"",$I320-IF($K320="",0,$K320))</f>
        <v/>
      </c>
      <c r="M320" s="22">
        <f>IF(OR($B320="",$L320="",$E320=0,$F320=0),"",$L320/($E320*$F320))</f>
        <v/>
      </c>
      <c r="N320" s="27">
        <f>IF($B320="","",IF($H320="","Open","Closed"))</f>
        <v/>
      </c>
      <c r="O320" s="23" t="n"/>
    </row>
    <row r="321">
      <c r="A321" s="23" t="n"/>
      <c r="B321" s="23" t="n"/>
      <c r="C321" s="23" t="n"/>
      <c r="D321" s="24" t="n"/>
      <c r="E321" s="25" t="n"/>
      <c r="F321" s="26" t="n"/>
      <c r="G321" s="24" t="n"/>
      <c r="H321" s="25" t="n"/>
      <c r="I321" s="21">
        <f>IF(OR($B321="",$H321=""),"",IF($C321="LONG",($H321-$E321)*$F321,($E321-$H321)*$F321))</f>
        <v/>
      </c>
      <c r="J321" s="22">
        <f>IF(OR($B321="",$I321="",$E321=0,$F321=0),"",$I321/($E321*$F321))</f>
        <v/>
      </c>
      <c r="K321" s="4" t="n"/>
      <c r="L321" s="21">
        <f>IF(OR($B321="",$I321=""),"",$I321-IF($K321="",0,$K321))</f>
        <v/>
      </c>
      <c r="M321" s="22">
        <f>IF(OR($B321="",$L321="",$E321=0,$F321=0),"",$L321/($E321*$F321))</f>
        <v/>
      </c>
      <c r="N321" s="27">
        <f>IF($B321="","",IF($H321="","Open","Closed"))</f>
        <v/>
      </c>
      <c r="O321" s="23" t="n"/>
    </row>
    <row r="322">
      <c r="A322" s="23" t="n"/>
      <c r="B322" s="23" t="n"/>
      <c r="C322" s="23" t="n"/>
      <c r="D322" s="24" t="n"/>
      <c r="E322" s="25" t="n"/>
      <c r="F322" s="26" t="n"/>
      <c r="G322" s="24" t="n"/>
      <c r="H322" s="25" t="n"/>
      <c r="I322" s="21">
        <f>IF(OR($B322="",$H322=""),"",IF($C322="LONG",($H322-$E322)*$F322,($E322-$H322)*$F322))</f>
        <v/>
      </c>
      <c r="J322" s="22">
        <f>IF(OR($B322="",$I322="",$E322=0,$F322=0),"",$I322/($E322*$F322))</f>
        <v/>
      </c>
      <c r="K322" s="4" t="n"/>
      <c r="L322" s="21">
        <f>IF(OR($B322="",$I322=""),"",$I322-IF($K322="",0,$K322))</f>
        <v/>
      </c>
      <c r="M322" s="22">
        <f>IF(OR($B322="",$L322="",$E322=0,$F322=0),"",$L322/($E322*$F322))</f>
        <v/>
      </c>
      <c r="N322" s="27">
        <f>IF($B322="","",IF($H322="","Open","Closed"))</f>
        <v/>
      </c>
      <c r="O322" s="23" t="n"/>
    </row>
    <row r="323">
      <c r="A323" s="23" t="n"/>
      <c r="B323" s="23" t="n"/>
      <c r="C323" s="23" t="n"/>
      <c r="D323" s="24" t="n"/>
      <c r="E323" s="25" t="n"/>
      <c r="F323" s="26" t="n"/>
      <c r="G323" s="24" t="n"/>
      <c r="H323" s="25" t="n"/>
      <c r="I323" s="21">
        <f>IF(OR($B323="",$H323=""),"",IF($C323="LONG",($H323-$E323)*$F323,($E323-$H323)*$F323))</f>
        <v/>
      </c>
      <c r="J323" s="22">
        <f>IF(OR($B323="",$I323="",$E323=0,$F323=0),"",$I323/($E323*$F323))</f>
        <v/>
      </c>
      <c r="K323" s="4" t="n"/>
      <c r="L323" s="21">
        <f>IF(OR($B323="",$I323=""),"",$I323-IF($K323="",0,$K323))</f>
        <v/>
      </c>
      <c r="M323" s="22">
        <f>IF(OR($B323="",$L323="",$E323=0,$F323=0),"",$L323/($E323*$F323))</f>
        <v/>
      </c>
      <c r="N323" s="27">
        <f>IF($B323="","",IF($H323="","Open","Closed"))</f>
        <v/>
      </c>
      <c r="O323" s="23" t="n"/>
    </row>
    <row r="324">
      <c r="A324" s="23" t="n"/>
      <c r="B324" s="23" t="n"/>
      <c r="C324" s="23" t="n"/>
      <c r="D324" s="24" t="n"/>
      <c r="E324" s="25" t="n"/>
      <c r="F324" s="26" t="n"/>
      <c r="G324" s="24" t="n"/>
      <c r="H324" s="25" t="n"/>
      <c r="I324" s="21">
        <f>IF(OR($B324="",$H324=""),"",IF($C324="LONG",($H324-$E324)*$F324,($E324-$H324)*$F324))</f>
        <v/>
      </c>
      <c r="J324" s="22">
        <f>IF(OR($B324="",$I324="",$E324=0,$F324=0),"",$I324/($E324*$F324))</f>
        <v/>
      </c>
      <c r="K324" s="4" t="n"/>
      <c r="L324" s="21">
        <f>IF(OR($B324="",$I324=""),"",$I324-IF($K324="",0,$K324))</f>
        <v/>
      </c>
      <c r="M324" s="22">
        <f>IF(OR($B324="",$L324="",$E324=0,$F324=0),"",$L324/($E324*$F324))</f>
        <v/>
      </c>
      <c r="N324" s="27">
        <f>IF($B324="","",IF($H324="","Open","Closed"))</f>
        <v/>
      </c>
      <c r="O324" s="23" t="n"/>
    </row>
    <row r="325">
      <c r="A325" s="23" t="n"/>
      <c r="B325" s="23" t="n"/>
      <c r="C325" s="23" t="n"/>
      <c r="D325" s="24" t="n"/>
      <c r="E325" s="25" t="n"/>
      <c r="F325" s="26" t="n"/>
      <c r="G325" s="24" t="n"/>
      <c r="H325" s="25" t="n"/>
      <c r="I325" s="21">
        <f>IF(OR($B325="",$H325=""),"",IF($C325="LONG",($H325-$E325)*$F325,($E325-$H325)*$F325))</f>
        <v/>
      </c>
      <c r="J325" s="22">
        <f>IF(OR($B325="",$I325="",$E325=0,$F325=0),"",$I325/($E325*$F325))</f>
        <v/>
      </c>
      <c r="K325" s="4" t="n"/>
      <c r="L325" s="21">
        <f>IF(OR($B325="",$I325=""),"",$I325-IF($K325="",0,$K325))</f>
        <v/>
      </c>
      <c r="M325" s="22">
        <f>IF(OR($B325="",$L325="",$E325=0,$F325=0),"",$L325/($E325*$F325))</f>
        <v/>
      </c>
      <c r="N325" s="27">
        <f>IF($B325="","",IF($H325="","Open","Closed"))</f>
        <v/>
      </c>
      <c r="O325" s="23" t="n"/>
    </row>
    <row r="326">
      <c r="A326" s="23" t="n"/>
      <c r="B326" s="23" t="n"/>
      <c r="C326" s="23" t="n"/>
      <c r="D326" s="24" t="n"/>
      <c r="E326" s="25" t="n"/>
      <c r="F326" s="26" t="n"/>
      <c r="G326" s="24" t="n"/>
      <c r="H326" s="25" t="n"/>
      <c r="I326" s="21">
        <f>IF(OR($B326="",$H326=""),"",IF($C326="LONG",($H326-$E326)*$F326,($E326-$H326)*$F326))</f>
        <v/>
      </c>
      <c r="J326" s="22">
        <f>IF(OR($B326="",$I326="",$E326=0,$F326=0),"",$I326/($E326*$F326))</f>
        <v/>
      </c>
      <c r="K326" s="4" t="n"/>
      <c r="L326" s="21">
        <f>IF(OR($B326="",$I326=""),"",$I326-IF($K326="",0,$K326))</f>
        <v/>
      </c>
      <c r="M326" s="22">
        <f>IF(OR($B326="",$L326="",$E326=0,$F326=0),"",$L326/($E326*$F326))</f>
        <v/>
      </c>
      <c r="N326" s="27">
        <f>IF($B326="","",IF($H326="","Open","Closed"))</f>
        <v/>
      </c>
      <c r="O326" s="23" t="n"/>
    </row>
    <row r="327">
      <c r="A327" s="23" t="n"/>
      <c r="B327" s="23" t="n"/>
      <c r="C327" s="23" t="n"/>
      <c r="D327" s="24" t="n"/>
      <c r="E327" s="25" t="n"/>
      <c r="F327" s="26" t="n"/>
      <c r="G327" s="24" t="n"/>
      <c r="H327" s="25" t="n"/>
      <c r="I327" s="21">
        <f>IF(OR($B327="",$H327=""),"",IF($C327="LONG",($H327-$E327)*$F327,($E327-$H327)*$F327))</f>
        <v/>
      </c>
      <c r="J327" s="22">
        <f>IF(OR($B327="",$I327="",$E327=0,$F327=0),"",$I327/($E327*$F327))</f>
        <v/>
      </c>
      <c r="K327" s="4" t="n"/>
      <c r="L327" s="21">
        <f>IF(OR($B327="",$I327=""),"",$I327-IF($K327="",0,$K327))</f>
        <v/>
      </c>
      <c r="M327" s="22">
        <f>IF(OR($B327="",$L327="",$E327=0,$F327=0),"",$L327/($E327*$F327))</f>
        <v/>
      </c>
      <c r="N327" s="27">
        <f>IF($B327="","",IF($H327="","Open","Closed"))</f>
        <v/>
      </c>
      <c r="O327" s="23" t="n"/>
    </row>
    <row r="328">
      <c r="A328" s="23" t="n"/>
      <c r="B328" s="23" t="n"/>
      <c r="C328" s="23" t="n"/>
      <c r="D328" s="24" t="n"/>
      <c r="E328" s="25" t="n"/>
      <c r="F328" s="26" t="n"/>
      <c r="G328" s="24" t="n"/>
      <c r="H328" s="25" t="n"/>
      <c r="I328" s="21">
        <f>IF(OR($B328="",$H328=""),"",IF($C328="LONG",($H328-$E328)*$F328,($E328-$H328)*$F328))</f>
        <v/>
      </c>
      <c r="J328" s="22">
        <f>IF(OR($B328="",$I328="",$E328=0,$F328=0),"",$I328/($E328*$F328))</f>
        <v/>
      </c>
      <c r="K328" s="4" t="n"/>
      <c r="L328" s="21">
        <f>IF(OR($B328="",$I328=""),"",$I328-IF($K328="",0,$K328))</f>
        <v/>
      </c>
      <c r="M328" s="22">
        <f>IF(OR($B328="",$L328="",$E328=0,$F328=0),"",$L328/($E328*$F328))</f>
        <v/>
      </c>
      <c r="N328" s="27">
        <f>IF($B328="","",IF($H328="","Open","Closed"))</f>
        <v/>
      </c>
      <c r="O328" s="23" t="n"/>
    </row>
    <row r="329">
      <c r="A329" s="23" t="n"/>
      <c r="B329" s="23" t="n"/>
      <c r="C329" s="23" t="n"/>
      <c r="D329" s="24" t="n"/>
      <c r="E329" s="25" t="n"/>
      <c r="F329" s="26" t="n"/>
      <c r="G329" s="24" t="n"/>
      <c r="H329" s="25" t="n"/>
      <c r="I329" s="21">
        <f>IF(OR($B329="",$H329=""),"",IF($C329="LONG",($H329-$E329)*$F329,($E329-$H329)*$F329))</f>
        <v/>
      </c>
      <c r="J329" s="22">
        <f>IF(OR($B329="",$I329="",$E329=0,$F329=0),"",$I329/($E329*$F329))</f>
        <v/>
      </c>
      <c r="K329" s="4" t="n"/>
      <c r="L329" s="21">
        <f>IF(OR($B329="",$I329=""),"",$I329-IF($K329="",0,$K329))</f>
        <v/>
      </c>
      <c r="M329" s="22">
        <f>IF(OR($B329="",$L329="",$E329=0,$F329=0),"",$L329/($E329*$F329))</f>
        <v/>
      </c>
      <c r="N329" s="27">
        <f>IF($B329="","",IF($H329="","Open","Closed"))</f>
        <v/>
      </c>
      <c r="O329" s="23" t="n"/>
    </row>
    <row r="330">
      <c r="A330" s="23" t="n"/>
      <c r="B330" s="23" t="n"/>
      <c r="C330" s="23" t="n"/>
      <c r="D330" s="24" t="n"/>
      <c r="E330" s="25" t="n"/>
      <c r="F330" s="26" t="n"/>
      <c r="G330" s="24" t="n"/>
      <c r="H330" s="25" t="n"/>
      <c r="I330" s="21">
        <f>IF(OR($B330="",$H330=""),"",IF($C330="LONG",($H330-$E330)*$F330,($E330-$H330)*$F330))</f>
        <v/>
      </c>
      <c r="J330" s="22">
        <f>IF(OR($B330="",$I330="",$E330=0,$F330=0),"",$I330/($E330*$F330))</f>
        <v/>
      </c>
      <c r="K330" s="4" t="n"/>
      <c r="L330" s="21">
        <f>IF(OR($B330="",$I330=""),"",$I330-IF($K330="",0,$K330))</f>
        <v/>
      </c>
      <c r="M330" s="22">
        <f>IF(OR($B330="",$L330="",$E330=0,$F330=0),"",$L330/($E330*$F330))</f>
        <v/>
      </c>
      <c r="N330" s="27">
        <f>IF($B330="","",IF($H330="","Open","Closed"))</f>
        <v/>
      </c>
      <c r="O330" s="23" t="n"/>
    </row>
    <row r="331">
      <c r="A331" s="23" t="n"/>
      <c r="B331" s="23" t="n"/>
      <c r="C331" s="23" t="n"/>
      <c r="D331" s="24" t="n"/>
      <c r="E331" s="25" t="n"/>
      <c r="F331" s="26" t="n"/>
      <c r="G331" s="24" t="n"/>
      <c r="H331" s="25" t="n"/>
      <c r="I331" s="21">
        <f>IF(OR($B331="",$H331=""),"",IF($C331="LONG",($H331-$E331)*$F331,($E331-$H331)*$F331))</f>
        <v/>
      </c>
      <c r="J331" s="22">
        <f>IF(OR($B331="",$I331="",$E331=0,$F331=0),"",$I331/($E331*$F331))</f>
        <v/>
      </c>
      <c r="K331" s="4" t="n"/>
      <c r="L331" s="21">
        <f>IF(OR($B331="",$I331=""),"",$I331-IF($K331="",0,$K331))</f>
        <v/>
      </c>
      <c r="M331" s="22">
        <f>IF(OR($B331="",$L331="",$E331=0,$F331=0),"",$L331/($E331*$F331))</f>
        <v/>
      </c>
      <c r="N331" s="27">
        <f>IF($B331="","",IF($H331="","Open","Closed"))</f>
        <v/>
      </c>
      <c r="O331" s="23" t="n"/>
    </row>
    <row r="332">
      <c r="A332" s="23" t="n"/>
      <c r="B332" s="23" t="n"/>
      <c r="C332" s="23" t="n"/>
      <c r="D332" s="24" t="n"/>
      <c r="E332" s="25" t="n"/>
      <c r="F332" s="26" t="n"/>
      <c r="G332" s="24" t="n"/>
      <c r="H332" s="25" t="n"/>
      <c r="I332" s="21">
        <f>IF(OR($B332="",$H332=""),"",IF($C332="LONG",($H332-$E332)*$F332,($E332-$H332)*$F332))</f>
        <v/>
      </c>
      <c r="J332" s="22">
        <f>IF(OR($B332="",$I332="",$E332=0,$F332=0),"",$I332/($E332*$F332))</f>
        <v/>
      </c>
      <c r="K332" s="4" t="n"/>
      <c r="L332" s="21">
        <f>IF(OR($B332="",$I332=""),"",$I332-IF($K332="",0,$K332))</f>
        <v/>
      </c>
      <c r="M332" s="22">
        <f>IF(OR($B332="",$L332="",$E332=0,$F332=0),"",$L332/($E332*$F332))</f>
        <v/>
      </c>
      <c r="N332" s="27">
        <f>IF($B332="","",IF($H332="","Open","Closed"))</f>
        <v/>
      </c>
      <c r="O332" s="23" t="n"/>
    </row>
    <row r="333">
      <c r="A333" s="23" t="n"/>
      <c r="B333" s="23" t="n"/>
      <c r="C333" s="23" t="n"/>
      <c r="D333" s="24" t="n"/>
      <c r="E333" s="25" t="n"/>
      <c r="F333" s="26" t="n"/>
      <c r="G333" s="24" t="n"/>
      <c r="H333" s="25" t="n"/>
      <c r="I333" s="21">
        <f>IF(OR($B333="",$H333=""),"",IF($C333="LONG",($H333-$E333)*$F333,($E333-$H333)*$F333))</f>
        <v/>
      </c>
      <c r="J333" s="22">
        <f>IF(OR($B333="",$I333="",$E333=0,$F333=0),"",$I333/($E333*$F333))</f>
        <v/>
      </c>
      <c r="K333" s="4" t="n"/>
      <c r="L333" s="21">
        <f>IF(OR($B333="",$I333=""),"",$I333-IF($K333="",0,$K333))</f>
        <v/>
      </c>
      <c r="M333" s="22">
        <f>IF(OR($B333="",$L333="",$E333=0,$F333=0),"",$L333/($E333*$F333))</f>
        <v/>
      </c>
      <c r="N333" s="27">
        <f>IF($B333="","",IF($H333="","Open","Closed"))</f>
        <v/>
      </c>
      <c r="O333" s="23" t="n"/>
    </row>
    <row r="334">
      <c r="A334" s="23" t="n"/>
      <c r="B334" s="23" t="n"/>
      <c r="C334" s="23" t="n"/>
      <c r="D334" s="24" t="n"/>
      <c r="E334" s="25" t="n"/>
      <c r="F334" s="26" t="n"/>
      <c r="G334" s="24" t="n"/>
      <c r="H334" s="25" t="n"/>
      <c r="I334" s="21">
        <f>IF(OR($B334="",$H334=""),"",IF($C334="LONG",($H334-$E334)*$F334,($E334-$H334)*$F334))</f>
        <v/>
      </c>
      <c r="J334" s="22">
        <f>IF(OR($B334="",$I334="",$E334=0,$F334=0),"",$I334/($E334*$F334))</f>
        <v/>
      </c>
      <c r="K334" s="4" t="n"/>
      <c r="L334" s="21">
        <f>IF(OR($B334="",$I334=""),"",$I334-IF($K334="",0,$K334))</f>
        <v/>
      </c>
      <c r="M334" s="22">
        <f>IF(OR($B334="",$L334="",$E334=0,$F334=0),"",$L334/($E334*$F334))</f>
        <v/>
      </c>
      <c r="N334" s="27">
        <f>IF($B334="","",IF($H334="","Open","Closed"))</f>
        <v/>
      </c>
      <c r="O334" s="23" t="n"/>
    </row>
    <row r="335">
      <c r="A335" s="23" t="n"/>
      <c r="B335" s="23" t="n"/>
      <c r="C335" s="23" t="n"/>
      <c r="D335" s="24" t="n"/>
      <c r="E335" s="25" t="n"/>
      <c r="F335" s="26" t="n"/>
      <c r="G335" s="24" t="n"/>
      <c r="H335" s="25" t="n"/>
      <c r="I335" s="21">
        <f>IF(OR($B335="",$H335=""),"",IF($C335="LONG",($H335-$E335)*$F335,($E335-$H335)*$F335))</f>
        <v/>
      </c>
      <c r="J335" s="22">
        <f>IF(OR($B335="",$I335="",$E335=0,$F335=0),"",$I335/($E335*$F335))</f>
        <v/>
      </c>
      <c r="K335" s="4" t="n"/>
      <c r="L335" s="21">
        <f>IF(OR($B335="",$I335=""),"",$I335-IF($K335="",0,$K335))</f>
        <v/>
      </c>
      <c r="M335" s="22">
        <f>IF(OR($B335="",$L335="",$E335=0,$F335=0),"",$L335/($E335*$F335))</f>
        <v/>
      </c>
      <c r="N335" s="27">
        <f>IF($B335="","",IF($H335="","Open","Closed"))</f>
        <v/>
      </c>
      <c r="O335" s="23" t="n"/>
    </row>
    <row r="336">
      <c r="A336" s="23" t="n"/>
      <c r="B336" s="23" t="n"/>
      <c r="C336" s="23" t="n"/>
      <c r="D336" s="24" t="n"/>
      <c r="E336" s="25" t="n"/>
      <c r="F336" s="26" t="n"/>
      <c r="G336" s="24" t="n"/>
      <c r="H336" s="25" t="n"/>
      <c r="I336" s="21">
        <f>IF(OR($B336="",$H336=""),"",IF($C336="LONG",($H336-$E336)*$F336,($E336-$H336)*$F336))</f>
        <v/>
      </c>
      <c r="J336" s="22">
        <f>IF(OR($B336="",$I336="",$E336=0,$F336=0),"",$I336/($E336*$F336))</f>
        <v/>
      </c>
      <c r="K336" s="4" t="n"/>
      <c r="L336" s="21">
        <f>IF(OR($B336="",$I336=""),"",$I336-IF($K336="",0,$K336))</f>
        <v/>
      </c>
      <c r="M336" s="22">
        <f>IF(OR($B336="",$L336="",$E336=0,$F336=0),"",$L336/($E336*$F336))</f>
        <v/>
      </c>
      <c r="N336" s="27">
        <f>IF($B336="","",IF($H336="","Open","Closed"))</f>
        <v/>
      </c>
      <c r="O336" s="23" t="n"/>
    </row>
    <row r="337">
      <c r="A337" s="23" t="n"/>
      <c r="B337" s="23" t="n"/>
      <c r="C337" s="23" t="n"/>
      <c r="D337" s="24" t="n"/>
      <c r="E337" s="25" t="n"/>
      <c r="F337" s="26" t="n"/>
      <c r="G337" s="24" t="n"/>
      <c r="H337" s="25" t="n"/>
      <c r="I337" s="21">
        <f>IF(OR($B337="",$H337=""),"",IF($C337="LONG",($H337-$E337)*$F337,($E337-$H337)*$F337))</f>
        <v/>
      </c>
      <c r="J337" s="22">
        <f>IF(OR($B337="",$I337="",$E337=0,$F337=0),"",$I337/($E337*$F337))</f>
        <v/>
      </c>
      <c r="K337" s="4" t="n"/>
      <c r="L337" s="21">
        <f>IF(OR($B337="",$I337=""),"",$I337-IF($K337="",0,$K337))</f>
        <v/>
      </c>
      <c r="M337" s="22">
        <f>IF(OR($B337="",$L337="",$E337=0,$F337=0),"",$L337/($E337*$F337))</f>
        <v/>
      </c>
      <c r="N337" s="27">
        <f>IF($B337="","",IF($H337="","Open","Closed"))</f>
        <v/>
      </c>
      <c r="O337" s="23" t="n"/>
    </row>
    <row r="338">
      <c r="A338" s="23" t="n"/>
      <c r="B338" s="23" t="n"/>
      <c r="C338" s="23" t="n"/>
      <c r="D338" s="24" t="n"/>
      <c r="E338" s="25" t="n"/>
      <c r="F338" s="26" t="n"/>
      <c r="G338" s="24" t="n"/>
      <c r="H338" s="25" t="n"/>
      <c r="I338" s="21">
        <f>IF(OR($B338="",$H338=""),"",IF($C338="LONG",($H338-$E338)*$F338,($E338-$H338)*$F338))</f>
        <v/>
      </c>
      <c r="J338" s="22">
        <f>IF(OR($B338="",$I338="",$E338=0,$F338=0),"",$I338/($E338*$F338))</f>
        <v/>
      </c>
      <c r="K338" s="4" t="n"/>
      <c r="L338" s="21">
        <f>IF(OR($B338="",$I338=""),"",$I338-IF($K338="",0,$K338))</f>
        <v/>
      </c>
      <c r="M338" s="22">
        <f>IF(OR($B338="",$L338="",$E338=0,$F338=0),"",$L338/($E338*$F338))</f>
        <v/>
      </c>
      <c r="N338" s="27">
        <f>IF($B338="","",IF($H338="","Open","Closed"))</f>
        <v/>
      </c>
      <c r="O338" s="23" t="n"/>
    </row>
    <row r="339">
      <c r="A339" s="23" t="n"/>
      <c r="B339" s="23" t="n"/>
      <c r="C339" s="23" t="n"/>
      <c r="D339" s="24" t="n"/>
      <c r="E339" s="25" t="n"/>
      <c r="F339" s="26" t="n"/>
      <c r="G339" s="24" t="n"/>
      <c r="H339" s="25" t="n"/>
      <c r="I339" s="21">
        <f>IF(OR($B339="",$H339=""),"",IF($C339="LONG",($H339-$E339)*$F339,($E339-$H339)*$F339))</f>
        <v/>
      </c>
      <c r="J339" s="22">
        <f>IF(OR($B339="",$I339="",$E339=0,$F339=0),"",$I339/($E339*$F339))</f>
        <v/>
      </c>
      <c r="K339" s="4" t="n"/>
      <c r="L339" s="21">
        <f>IF(OR($B339="",$I339=""),"",$I339-IF($K339="",0,$K339))</f>
        <v/>
      </c>
      <c r="M339" s="22">
        <f>IF(OR($B339="",$L339="",$E339=0,$F339=0),"",$L339/($E339*$F339))</f>
        <v/>
      </c>
      <c r="N339" s="27">
        <f>IF($B339="","",IF($H339="","Open","Closed"))</f>
        <v/>
      </c>
      <c r="O339" s="23" t="n"/>
    </row>
    <row r="340">
      <c r="A340" s="23" t="n"/>
      <c r="B340" s="23" t="n"/>
      <c r="C340" s="23" t="n"/>
      <c r="D340" s="24" t="n"/>
      <c r="E340" s="25" t="n"/>
      <c r="F340" s="26" t="n"/>
      <c r="G340" s="24" t="n"/>
      <c r="H340" s="25" t="n"/>
      <c r="I340" s="21">
        <f>IF(OR($B340="",$H340=""),"",IF($C340="LONG",($H340-$E340)*$F340,($E340-$H340)*$F340))</f>
        <v/>
      </c>
      <c r="J340" s="22">
        <f>IF(OR($B340="",$I340="",$E340=0,$F340=0),"",$I340/($E340*$F340))</f>
        <v/>
      </c>
      <c r="K340" s="4" t="n"/>
      <c r="L340" s="21">
        <f>IF(OR($B340="",$I340=""),"",$I340-IF($K340="",0,$K340))</f>
        <v/>
      </c>
      <c r="M340" s="22">
        <f>IF(OR($B340="",$L340="",$E340=0,$F340=0),"",$L340/($E340*$F340))</f>
        <v/>
      </c>
      <c r="N340" s="27">
        <f>IF($B340="","",IF($H340="","Open","Closed"))</f>
        <v/>
      </c>
      <c r="O340" s="23" t="n"/>
    </row>
    <row r="341">
      <c r="A341" s="23" t="n"/>
      <c r="B341" s="23" t="n"/>
      <c r="C341" s="23" t="n"/>
      <c r="D341" s="24" t="n"/>
      <c r="E341" s="25" t="n"/>
      <c r="F341" s="26" t="n"/>
      <c r="G341" s="24" t="n"/>
      <c r="H341" s="25" t="n"/>
      <c r="I341" s="21">
        <f>IF(OR($B341="",$H341=""),"",IF($C341="LONG",($H341-$E341)*$F341,($E341-$H341)*$F341))</f>
        <v/>
      </c>
      <c r="J341" s="22">
        <f>IF(OR($B341="",$I341="",$E341=0,$F341=0),"",$I341/($E341*$F341))</f>
        <v/>
      </c>
      <c r="K341" s="4" t="n"/>
      <c r="L341" s="21">
        <f>IF(OR($B341="",$I341=""),"",$I341-IF($K341="",0,$K341))</f>
        <v/>
      </c>
      <c r="M341" s="22">
        <f>IF(OR($B341="",$L341="",$E341=0,$F341=0),"",$L341/($E341*$F341))</f>
        <v/>
      </c>
      <c r="N341" s="27">
        <f>IF($B341="","",IF($H341="","Open","Closed"))</f>
        <v/>
      </c>
      <c r="O341" s="23" t="n"/>
    </row>
    <row r="342">
      <c r="A342" s="23" t="n"/>
      <c r="B342" s="23" t="n"/>
      <c r="C342" s="23" t="n"/>
      <c r="D342" s="24" t="n"/>
      <c r="E342" s="25" t="n"/>
      <c r="F342" s="26" t="n"/>
      <c r="G342" s="24" t="n"/>
      <c r="H342" s="25" t="n"/>
      <c r="I342" s="21">
        <f>IF(OR($B342="",$H342=""),"",IF($C342="LONG",($H342-$E342)*$F342,($E342-$H342)*$F342))</f>
        <v/>
      </c>
      <c r="J342" s="22">
        <f>IF(OR($B342="",$I342="",$E342=0,$F342=0),"",$I342/($E342*$F342))</f>
        <v/>
      </c>
      <c r="K342" s="4" t="n"/>
      <c r="L342" s="21">
        <f>IF(OR($B342="",$I342=""),"",$I342-IF($K342="",0,$K342))</f>
        <v/>
      </c>
      <c r="M342" s="22">
        <f>IF(OR($B342="",$L342="",$E342=0,$F342=0),"",$L342/($E342*$F342))</f>
        <v/>
      </c>
      <c r="N342" s="27">
        <f>IF($B342="","",IF($H342="","Open","Closed"))</f>
        <v/>
      </c>
      <c r="O342" s="23" t="n"/>
    </row>
    <row r="343">
      <c r="A343" s="23" t="n"/>
      <c r="B343" s="23" t="n"/>
      <c r="C343" s="23" t="n"/>
      <c r="D343" s="24" t="n"/>
      <c r="E343" s="25" t="n"/>
      <c r="F343" s="26" t="n"/>
      <c r="G343" s="24" t="n"/>
      <c r="H343" s="25" t="n"/>
      <c r="I343" s="21">
        <f>IF(OR($B343="",$H343=""),"",IF($C343="LONG",($H343-$E343)*$F343,($E343-$H343)*$F343))</f>
        <v/>
      </c>
      <c r="J343" s="22">
        <f>IF(OR($B343="",$I343="",$E343=0,$F343=0),"",$I343/($E343*$F343))</f>
        <v/>
      </c>
      <c r="K343" s="4" t="n"/>
      <c r="L343" s="21">
        <f>IF(OR($B343="",$I343=""),"",$I343-IF($K343="",0,$K343))</f>
        <v/>
      </c>
      <c r="M343" s="22">
        <f>IF(OR($B343="",$L343="",$E343=0,$F343=0),"",$L343/($E343*$F343))</f>
        <v/>
      </c>
      <c r="N343" s="27">
        <f>IF($B343="","",IF($H343="","Open","Closed"))</f>
        <v/>
      </c>
      <c r="O343" s="23" t="n"/>
    </row>
    <row r="344">
      <c r="A344" s="23" t="n"/>
      <c r="B344" s="23" t="n"/>
      <c r="C344" s="23" t="n"/>
      <c r="D344" s="24" t="n"/>
      <c r="E344" s="25" t="n"/>
      <c r="F344" s="26" t="n"/>
      <c r="G344" s="24" t="n"/>
      <c r="H344" s="25" t="n"/>
      <c r="I344" s="21">
        <f>IF(OR($B344="",$H344=""),"",IF($C344="LONG",($H344-$E344)*$F344,($E344-$H344)*$F344))</f>
        <v/>
      </c>
      <c r="J344" s="22">
        <f>IF(OR($B344="",$I344="",$E344=0,$F344=0),"",$I344/($E344*$F344))</f>
        <v/>
      </c>
      <c r="K344" s="4" t="n"/>
      <c r="L344" s="21">
        <f>IF(OR($B344="",$I344=""),"",$I344-IF($K344="",0,$K344))</f>
        <v/>
      </c>
      <c r="M344" s="22">
        <f>IF(OR($B344="",$L344="",$E344=0,$F344=0),"",$L344/($E344*$F344))</f>
        <v/>
      </c>
      <c r="N344" s="27">
        <f>IF($B344="","",IF($H344="","Open","Closed"))</f>
        <v/>
      </c>
      <c r="O344" s="23" t="n"/>
    </row>
    <row r="345">
      <c r="A345" s="23" t="n"/>
      <c r="B345" s="23" t="n"/>
      <c r="C345" s="23" t="n"/>
      <c r="D345" s="24" t="n"/>
      <c r="E345" s="25" t="n"/>
      <c r="F345" s="26" t="n"/>
      <c r="G345" s="24" t="n"/>
      <c r="H345" s="25" t="n"/>
      <c r="I345" s="21">
        <f>IF(OR($B345="",$H345=""),"",IF($C345="LONG",($H345-$E345)*$F345,($E345-$H345)*$F345))</f>
        <v/>
      </c>
      <c r="J345" s="22">
        <f>IF(OR($B345="",$I345="",$E345=0,$F345=0),"",$I345/($E345*$F345))</f>
        <v/>
      </c>
      <c r="K345" s="4" t="n"/>
      <c r="L345" s="21">
        <f>IF(OR($B345="",$I345=""),"",$I345-IF($K345="",0,$K345))</f>
        <v/>
      </c>
      <c r="M345" s="22">
        <f>IF(OR($B345="",$L345="",$E345=0,$F345=0),"",$L345/($E345*$F345))</f>
        <v/>
      </c>
      <c r="N345" s="27">
        <f>IF($B345="","",IF($H345="","Open","Closed"))</f>
        <v/>
      </c>
      <c r="O345" s="23" t="n"/>
    </row>
    <row r="346">
      <c r="A346" s="23" t="n"/>
      <c r="B346" s="23" t="n"/>
      <c r="C346" s="23" t="n"/>
      <c r="D346" s="24" t="n"/>
      <c r="E346" s="25" t="n"/>
      <c r="F346" s="26" t="n"/>
      <c r="G346" s="24" t="n"/>
      <c r="H346" s="25" t="n"/>
      <c r="I346" s="21">
        <f>IF(OR($B346="",$H346=""),"",IF($C346="LONG",($H346-$E346)*$F346,($E346-$H346)*$F346))</f>
        <v/>
      </c>
      <c r="J346" s="22">
        <f>IF(OR($B346="",$I346="",$E346=0,$F346=0),"",$I346/($E346*$F346))</f>
        <v/>
      </c>
      <c r="K346" s="4" t="n"/>
      <c r="L346" s="21">
        <f>IF(OR($B346="",$I346=""),"",$I346-IF($K346="",0,$K346))</f>
        <v/>
      </c>
      <c r="M346" s="22">
        <f>IF(OR($B346="",$L346="",$E346=0,$F346=0),"",$L346/($E346*$F346))</f>
        <v/>
      </c>
      <c r="N346" s="27">
        <f>IF($B346="","",IF($H346="","Open","Closed"))</f>
        <v/>
      </c>
      <c r="O346" s="23" t="n"/>
    </row>
    <row r="347">
      <c r="A347" s="23" t="n"/>
      <c r="B347" s="23" t="n"/>
      <c r="C347" s="23" t="n"/>
      <c r="D347" s="24" t="n"/>
      <c r="E347" s="25" t="n"/>
      <c r="F347" s="26" t="n"/>
      <c r="G347" s="24" t="n"/>
      <c r="H347" s="25" t="n"/>
      <c r="I347" s="21">
        <f>IF(OR($B347="",$H347=""),"",IF($C347="LONG",($H347-$E347)*$F347,($E347-$H347)*$F347))</f>
        <v/>
      </c>
      <c r="J347" s="22">
        <f>IF(OR($B347="",$I347="",$E347=0,$F347=0),"",$I347/($E347*$F347))</f>
        <v/>
      </c>
      <c r="K347" s="4" t="n"/>
      <c r="L347" s="21">
        <f>IF(OR($B347="",$I347=""),"",$I347-IF($K347="",0,$K347))</f>
        <v/>
      </c>
      <c r="M347" s="22">
        <f>IF(OR($B347="",$L347="",$E347=0,$F347=0),"",$L347/($E347*$F347))</f>
        <v/>
      </c>
      <c r="N347" s="27">
        <f>IF($B347="","",IF($H347="","Open","Closed"))</f>
        <v/>
      </c>
      <c r="O347" s="23" t="n"/>
    </row>
    <row r="348">
      <c r="A348" s="23" t="n"/>
      <c r="B348" s="23" t="n"/>
      <c r="C348" s="23" t="n"/>
      <c r="D348" s="24" t="n"/>
      <c r="E348" s="25" t="n"/>
      <c r="F348" s="26" t="n"/>
      <c r="G348" s="24" t="n"/>
      <c r="H348" s="25" t="n"/>
      <c r="I348" s="21">
        <f>IF(OR($B348="",$H348=""),"",IF($C348="LONG",($H348-$E348)*$F348,($E348-$H348)*$F348))</f>
        <v/>
      </c>
      <c r="J348" s="22">
        <f>IF(OR($B348="",$I348="",$E348=0,$F348=0),"",$I348/($E348*$F348))</f>
        <v/>
      </c>
      <c r="K348" s="4" t="n"/>
      <c r="L348" s="21">
        <f>IF(OR($B348="",$I348=""),"",$I348-IF($K348="",0,$K348))</f>
        <v/>
      </c>
      <c r="M348" s="22">
        <f>IF(OR($B348="",$L348="",$E348=0,$F348=0),"",$L348/($E348*$F348))</f>
        <v/>
      </c>
      <c r="N348" s="27">
        <f>IF($B348="","",IF($H348="","Open","Closed"))</f>
        <v/>
      </c>
      <c r="O348" s="23" t="n"/>
    </row>
    <row r="349">
      <c r="A349" s="23" t="n"/>
      <c r="B349" s="23" t="n"/>
      <c r="C349" s="23" t="n"/>
      <c r="D349" s="24" t="n"/>
      <c r="E349" s="25" t="n"/>
      <c r="F349" s="26" t="n"/>
      <c r="G349" s="24" t="n"/>
      <c r="H349" s="25" t="n"/>
      <c r="I349" s="21">
        <f>IF(OR($B349="",$H349=""),"",IF($C349="LONG",($H349-$E349)*$F349,($E349-$H349)*$F349))</f>
        <v/>
      </c>
      <c r="J349" s="22">
        <f>IF(OR($B349="",$I349="",$E349=0,$F349=0),"",$I349/($E349*$F349))</f>
        <v/>
      </c>
      <c r="K349" s="4" t="n"/>
      <c r="L349" s="21">
        <f>IF(OR($B349="",$I349=""),"",$I349-IF($K349="",0,$K349))</f>
        <v/>
      </c>
      <c r="M349" s="22">
        <f>IF(OR($B349="",$L349="",$E349=0,$F349=0),"",$L349/($E349*$F349))</f>
        <v/>
      </c>
      <c r="N349" s="27">
        <f>IF($B349="","",IF($H349="","Open","Closed"))</f>
        <v/>
      </c>
      <c r="O349" s="23" t="n"/>
    </row>
    <row r="350">
      <c r="A350" s="23" t="n"/>
      <c r="B350" s="23" t="n"/>
      <c r="C350" s="23" t="n"/>
      <c r="D350" s="24" t="n"/>
      <c r="E350" s="25" t="n"/>
      <c r="F350" s="26" t="n"/>
      <c r="G350" s="24" t="n"/>
      <c r="H350" s="25" t="n"/>
      <c r="I350" s="21">
        <f>IF(OR($B350="",$H350=""),"",IF($C350="LONG",($H350-$E350)*$F350,($E350-$H350)*$F350))</f>
        <v/>
      </c>
      <c r="J350" s="22">
        <f>IF(OR($B350="",$I350="",$E350=0,$F350=0),"",$I350/($E350*$F350))</f>
        <v/>
      </c>
      <c r="K350" s="4" t="n"/>
      <c r="L350" s="21">
        <f>IF(OR($B350="",$I350=""),"",$I350-IF($K350="",0,$K350))</f>
        <v/>
      </c>
      <c r="M350" s="22">
        <f>IF(OR($B350="",$L350="",$E350=0,$F350=0),"",$L350/($E350*$F350))</f>
        <v/>
      </c>
      <c r="N350" s="27">
        <f>IF($B350="","",IF($H350="","Open","Closed"))</f>
        <v/>
      </c>
      <c r="O350" s="23" t="n"/>
    </row>
    <row r="351">
      <c r="A351" s="23" t="n"/>
      <c r="B351" s="23" t="n"/>
      <c r="C351" s="23" t="n"/>
      <c r="D351" s="24" t="n"/>
      <c r="E351" s="25" t="n"/>
      <c r="F351" s="26" t="n"/>
      <c r="G351" s="24" t="n"/>
      <c r="H351" s="25" t="n"/>
      <c r="I351" s="21">
        <f>IF(OR($B351="",$H351=""),"",IF($C351="LONG",($H351-$E351)*$F351,($E351-$H351)*$F351))</f>
        <v/>
      </c>
      <c r="J351" s="22">
        <f>IF(OR($B351="",$I351="",$E351=0,$F351=0),"",$I351/($E351*$F351))</f>
        <v/>
      </c>
      <c r="K351" s="4" t="n"/>
      <c r="L351" s="21">
        <f>IF(OR($B351="",$I351=""),"",$I351-IF($K351="",0,$K351))</f>
        <v/>
      </c>
      <c r="M351" s="22">
        <f>IF(OR($B351="",$L351="",$E351=0,$F351=0),"",$L351/($E351*$F351))</f>
        <v/>
      </c>
      <c r="N351" s="27">
        <f>IF($B351="","",IF($H351="","Open","Closed"))</f>
        <v/>
      </c>
      <c r="O351" s="23" t="n"/>
    </row>
    <row r="352">
      <c r="A352" s="23" t="n"/>
      <c r="B352" s="23" t="n"/>
      <c r="C352" s="23" t="n"/>
      <c r="D352" s="24" t="n"/>
      <c r="E352" s="25" t="n"/>
      <c r="F352" s="26" t="n"/>
      <c r="G352" s="24" t="n"/>
      <c r="H352" s="25" t="n"/>
      <c r="I352" s="21">
        <f>IF(OR($B352="",$H352=""),"",IF($C352="LONG",($H352-$E352)*$F352,($E352-$H352)*$F352))</f>
        <v/>
      </c>
      <c r="J352" s="22">
        <f>IF(OR($B352="",$I352="",$E352=0,$F352=0),"",$I352/($E352*$F352))</f>
        <v/>
      </c>
      <c r="K352" s="4" t="n"/>
      <c r="L352" s="21">
        <f>IF(OR($B352="",$I352=""),"",$I352-IF($K352="",0,$K352))</f>
        <v/>
      </c>
      <c r="M352" s="22">
        <f>IF(OR($B352="",$L352="",$E352=0,$F352=0),"",$L352/($E352*$F352))</f>
        <v/>
      </c>
      <c r="N352" s="27">
        <f>IF($B352="","",IF($H352="","Open","Closed"))</f>
        <v/>
      </c>
      <c r="O352" s="23" t="n"/>
    </row>
    <row r="353">
      <c r="A353" s="23" t="n"/>
      <c r="B353" s="23" t="n"/>
      <c r="C353" s="23" t="n"/>
      <c r="D353" s="24" t="n"/>
      <c r="E353" s="25" t="n"/>
      <c r="F353" s="26" t="n"/>
      <c r="G353" s="24" t="n"/>
      <c r="H353" s="25" t="n"/>
      <c r="I353" s="21">
        <f>IF(OR($B353="",$H353=""),"",IF($C353="LONG",($H353-$E353)*$F353,($E353-$H353)*$F353))</f>
        <v/>
      </c>
      <c r="J353" s="22">
        <f>IF(OR($B353="",$I353="",$E353=0,$F353=0),"",$I353/($E353*$F353))</f>
        <v/>
      </c>
      <c r="K353" s="4" t="n"/>
      <c r="L353" s="21">
        <f>IF(OR($B353="",$I353=""),"",$I353-IF($K353="",0,$K353))</f>
        <v/>
      </c>
      <c r="M353" s="22">
        <f>IF(OR($B353="",$L353="",$E353=0,$F353=0),"",$L353/($E353*$F353))</f>
        <v/>
      </c>
      <c r="N353" s="27">
        <f>IF($B353="","",IF($H353="","Open","Closed"))</f>
        <v/>
      </c>
      <c r="O353" s="23" t="n"/>
    </row>
    <row r="354">
      <c r="A354" s="23" t="n"/>
      <c r="B354" s="23" t="n"/>
      <c r="C354" s="23" t="n"/>
      <c r="D354" s="24" t="n"/>
      <c r="E354" s="25" t="n"/>
      <c r="F354" s="26" t="n"/>
      <c r="G354" s="24" t="n"/>
      <c r="H354" s="25" t="n"/>
      <c r="I354" s="21">
        <f>IF(OR($B354="",$H354=""),"",IF($C354="LONG",($H354-$E354)*$F354,($E354-$H354)*$F354))</f>
        <v/>
      </c>
      <c r="J354" s="22">
        <f>IF(OR($B354="",$I354="",$E354=0,$F354=0),"",$I354/($E354*$F354))</f>
        <v/>
      </c>
      <c r="K354" s="4" t="n"/>
      <c r="L354" s="21">
        <f>IF(OR($B354="",$I354=""),"",$I354-IF($K354="",0,$K354))</f>
        <v/>
      </c>
      <c r="M354" s="22">
        <f>IF(OR($B354="",$L354="",$E354=0,$F354=0),"",$L354/($E354*$F354))</f>
        <v/>
      </c>
      <c r="N354" s="27">
        <f>IF($B354="","",IF($H354="","Open","Closed"))</f>
        <v/>
      </c>
      <c r="O354" s="23" t="n"/>
    </row>
    <row r="355">
      <c r="A355" s="23" t="n"/>
      <c r="B355" s="23" t="n"/>
      <c r="C355" s="23" t="n"/>
      <c r="D355" s="24" t="n"/>
      <c r="E355" s="25" t="n"/>
      <c r="F355" s="26" t="n"/>
      <c r="G355" s="24" t="n"/>
      <c r="H355" s="25" t="n"/>
      <c r="I355" s="21">
        <f>IF(OR($B355="",$H355=""),"",IF($C355="LONG",($H355-$E355)*$F355,($E355-$H355)*$F355))</f>
        <v/>
      </c>
      <c r="J355" s="22">
        <f>IF(OR($B355="",$I355="",$E355=0,$F355=0),"",$I355/($E355*$F355))</f>
        <v/>
      </c>
      <c r="K355" s="4" t="n"/>
      <c r="L355" s="21">
        <f>IF(OR($B355="",$I355=""),"",$I355-IF($K355="",0,$K355))</f>
        <v/>
      </c>
      <c r="M355" s="22">
        <f>IF(OR($B355="",$L355="",$E355=0,$F355=0),"",$L355/($E355*$F355))</f>
        <v/>
      </c>
      <c r="N355" s="27">
        <f>IF($B355="","",IF($H355="","Open","Closed"))</f>
        <v/>
      </c>
      <c r="O355" s="23" t="n"/>
    </row>
    <row r="356">
      <c r="A356" s="23" t="n"/>
      <c r="B356" s="23" t="n"/>
      <c r="C356" s="23" t="n"/>
      <c r="D356" s="24" t="n"/>
      <c r="E356" s="25" t="n"/>
      <c r="F356" s="26" t="n"/>
      <c r="G356" s="24" t="n"/>
      <c r="H356" s="25" t="n"/>
      <c r="I356" s="21">
        <f>IF(OR($B356="",$H356=""),"",IF($C356="LONG",($H356-$E356)*$F356,($E356-$H356)*$F356))</f>
        <v/>
      </c>
      <c r="J356" s="22">
        <f>IF(OR($B356="",$I356="",$E356=0,$F356=0),"",$I356/($E356*$F356))</f>
        <v/>
      </c>
      <c r="K356" s="4" t="n"/>
      <c r="L356" s="21">
        <f>IF(OR($B356="",$I356=""),"",$I356-IF($K356="",0,$K356))</f>
        <v/>
      </c>
      <c r="M356" s="22">
        <f>IF(OR($B356="",$L356="",$E356=0,$F356=0),"",$L356/($E356*$F356))</f>
        <v/>
      </c>
      <c r="N356" s="27">
        <f>IF($B356="","",IF($H356="","Open","Closed"))</f>
        <v/>
      </c>
      <c r="O356" s="23" t="n"/>
    </row>
    <row r="357">
      <c r="A357" s="23" t="n"/>
      <c r="B357" s="23" t="n"/>
      <c r="C357" s="23" t="n"/>
      <c r="D357" s="24" t="n"/>
      <c r="E357" s="25" t="n"/>
      <c r="F357" s="26" t="n"/>
      <c r="G357" s="24" t="n"/>
      <c r="H357" s="25" t="n"/>
      <c r="I357" s="21">
        <f>IF(OR($B357="",$H357=""),"",IF($C357="LONG",($H357-$E357)*$F357,($E357-$H357)*$F357))</f>
        <v/>
      </c>
      <c r="J357" s="22">
        <f>IF(OR($B357="",$I357="",$E357=0,$F357=0),"",$I357/($E357*$F357))</f>
        <v/>
      </c>
      <c r="K357" s="4" t="n"/>
      <c r="L357" s="21">
        <f>IF(OR($B357="",$I357=""),"",$I357-IF($K357="",0,$K357))</f>
        <v/>
      </c>
      <c r="M357" s="22">
        <f>IF(OR($B357="",$L357="",$E357=0,$F357=0),"",$L357/($E357*$F357))</f>
        <v/>
      </c>
      <c r="N357" s="27">
        <f>IF($B357="","",IF($H357="","Open","Closed"))</f>
        <v/>
      </c>
      <c r="O357" s="23" t="n"/>
    </row>
    <row r="358">
      <c r="A358" s="23" t="n"/>
      <c r="B358" s="23" t="n"/>
      <c r="C358" s="23" t="n"/>
      <c r="D358" s="24" t="n"/>
      <c r="E358" s="25" t="n"/>
      <c r="F358" s="26" t="n"/>
      <c r="G358" s="24" t="n"/>
      <c r="H358" s="25" t="n"/>
      <c r="I358" s="21">
        <f>IF(OR($B358="",$H358=""),"",IF($C358="LONG",($H358-$E358)*$F358,($E358-$H358)*$F358))</f>
        <v/>
      </c>
      <c r="J358" s="22">
        <f>IF(OR($B358="",$I358="",$E358=0,$F358=0),"",$I358/($E358*$F358))</f>
        <v/>
      </c>
      <c r="K358" s="4" t="n"/>
      <c r="L358" s="21">
        <f>IF(OR($B358="",$I358=""),"",$I358-IF($K358="",0,$K358))</f>
        <v/>
      </c>
      <c r="M358" s="22">
        <f>IF(OR($B358="",$L358="",$E358=0,$F358=0),"",$L358/($E358*$F358))</f>
        <v/>
      </c>
      <c r="N358" s="27">
        <f>IF($B358="","",IF($H358="","Open","Closed"))</f>
        <v/>
      </c>
      <c r="O358" s="23" t="n"/>
    </row>
    <row r="359">
      <c r="A359" s="23" t="n"/>
      <c r="B359" s="23" t="n"/>
      <c r="C359" s="23" t="n"/>
      <c r="D359" s="24" t="n"/>
      <c r="E359" s="25" t="n"/>
      <c r="F359" s="26" t="n"/>
      <c r="G359" s="24" t="n"/>
      <c r="H359" s="25" t="n"/>
      <c r="I359" s="21">
        <f>IF(OR($B359="",$H359=""),"",IF($C359="LONG",($H359-$E359)*$F359,($E359-$H359)*$F359))</f>
        <v/>
      </c>
      <c r="J359" s="22">
        <f>IF(OR($B359="",$I359="",$E359=0,$F359=0),"",$I359/($E359*$F359))</f>
        <v/>
      </c>
      <c r="K359" s="4" t="n"/>
      <c r="L359" s="21">
        <f>IF(OR($B359="",$I359=""),"",$I359-IF($K359="",0,$K359))</f>
        <v/>
      </c>
      <c r="M359" s="22">
        <f>IF(OR($B359="",$L359="",$E359=0,$F359=0),"",$L359/($E359*$F359))</f>
        <v/>
      </c>
      <c r="N359" s="27">
        <f>IF($B359="","",IF($H359="","Open","Closed"))</f>
        <v/>
      </c>
      <c r="O359" s="23" t="n"/>
    </row>
    <row r="360">
      <c r="A360" s="23" t="n"/>
      <c r="B360" s="23" t="n"/>
      <c r="C360" s="23" t="n"/>
      <c r="D360" s="24" t="n"/>
      <c r="E360" s="25" t="n"/>
      <c r="F360" s="26" t="n"/>
      <c r="G360" s="24" t="n"/>
      <c r="H360" s="25" t="n"/>
      <c r="I360" s="21">
        <f>IF(OR($B360="",$H360=""),"",IF($C360="LONG",($H360-$E360)*$F360,($E360-$H360)*$F360))</f>
        <v/>
      </c>
      <c r="J360" s="22">
        <f>IF(OR($B360="",$I360="",$E360=0,$F360=0),"",$I360/($E360*$F360))</f>
        <v/>
      </c>
      <c r="K360" s="4" t="n"/>
      <c r="L360" s="21">
        <f>IF(OR($B360="",$I360=""),"",$I360-IF($K360="",0,$K360))</f>
        <v/>
      </c>
      <c r="M360" s="22">
        <f>IF(OR($B360="",$L360="",$E360=0,$F360=0),"",$L360/($E360*$F360))</f>
        <v/>
      </c>
      <c r="N360" s="27">
        <f>IF($B360="","",IF($H360="","Open","Closed"))</f>
        <v/>
      </c>
      <c r="O360" s="23" t="n"/>
    </row>
    <row r="361">
      <c r="A361" s="23" t="n"/>
      <c r="B361" s="23" t="n"/>
      <c r="C361" s="23" t="n"/>
      <c r="D361" s="24" t="n"/>
      <c r="E361" s="25" t="n"/>
      <c r="F361" s="26" t="n"/>
      <c r="G361" s="24" t="n"/>
      <c r="H361" s="25" t="n"/>
      <c r="I361" s="21">
        <f>IF(OR($B361="",$H361=""),"",IF($C361="LONG",($H361-$E361)*$F361,($E361-$H361)*$F361))</f>
        <v/>
      </c>
      <c r="J361" s="22">
        <f>IF(OR($B361="",$I361="",$E361=0,$F361=0),"",$I361/($E361*$F361))</f>
        <v/>
      </c>
      <c r="K361" s="4" t="n"/>
      <c r="L361" s="21">
        <f>IF(OR($B361="",$I361=""),"",$I361-IF($K361="",0,$K361))</f>
        <v/>
      </c>
      <c r="M361" s="22">
        <f>IF(OR($B361="",$L361="",$E361=0,$F361=0),"",$L361/($E361*$F361))</f>
        <v/>
      </c>
      <c r="N361" s="27">
        <f>IF($B361="","",IF($H361="","Open","Closed"))</f>
        <v/>
      </c>
      <c r="O361" s="23" t="n"/>
    </row>
    <row r="362">
      <c r="A362" s="23" t="n"/>
      <c r="B362" s="23" t="n"/>
      <c r="C362" s="23" t="n"/>
      <c r="D362" s="24" t="n"/>
      <c r="E362" s="25" t="n"/>
      <c r="F362" s="26" t="n"/>
      <c r="G362" s="24" t="n"/>
      <c r="H362" s="25" t="n"/>
      <c r="I362" s="21">
        <f>IF(OR($B362="",$H362=""),"",IF($C362="LONG",($H362-$E362)*$F362,($E362-$H362)*$F362))</f>
        <v/>
      </c>
      <c r="J362" s="22">
        <f>IF(OR($B362="",$I362="",$E362=0,$F362=0),"",$I362/($E362*$F362))</f>
        <v/>
      </c>
      <c r="K362" s="4" t="n"/>
      <c r="L362" s="21">
        <f>IF(OR($B362="",$I362=""),"",$I362-IF($K362="",0,$K362))</f>
        <v/>
      </c>
      <c r="M362" s="22">
        <f>IF(OR($B362="",$L362="",$E362=0,$F362=0),"",$L362/($E362*$F362))</f>
        <v/>
      </c>
      <c r="N362" s="27">
        <f>IF($B362="","",IF($H362="","Open","Closed"))</f>
        <v/>
      </c>
      <c r="O362" s="23" t="n"/>
    </row>
    <row r="363">
      <c r="A363" s="23" t="n"/>
      <c r="B363" s="23" t="n"/>
      <c r="C363" s="23" t="n"/>
      <c r="D363" s="24" t="n"/>
      <c r="E363" s="25" t="n"/>
      <c r="F363" s="26" t="n"/>
      <c r="G363" s="24" t="n"/>
      <c r="H363" s="25" t="n"/>
      <c r="I363" s="21">
        <f>IF(OR($B363="",$H363=""),"",IF($C363="LONG",($H363-$E363)*$F363,($E363-$H363)*$F363))</f>
        <v/>
      </c>
      <c r="J363" s="22">
        <f>IF(OR($B363="",$I363="",$E363=0,$F363=0),"",$I363/($E363*$F363))</f>
        <v/>
      </c>
      <c r="K363" s="4" t="n"/>
      <c r="L363" s="21">
        <f>IF(OR($B363="",$I363=""),"",$I363-IF($K363="",0,$K363))</f>
        <v/>
      </c>
      <c r="M363" s="22">
        <f>IF(OR($B363="",$L363="",$E363=0,$F363=0),"",$L363/($E363*$F363))</f>
        <v/>
      </c>
      <c r="N363" s="27">
        <f>IF($B363="","",IF($H363="","Open","Closed"))</f>
        <v/>
      </c>
      <c r="O363" s="23" t="n"/>
    </row>
    <row r="364">
      <c r="A364" s="23" t="n"/>
      <c r="B364" s="23" t="n"/>
      <c r="C364" s="23" t="n"/>
      <c r="D364" s="24" t="n"/>
      <c r="E364" s="25" t="n"/>
      <c r="F364" s="26" t="n"/>
      <c r="G364" s="24" t="n"/>
      <c r="H364" s="25" t="n"/>
      <c r="I364" s="21">
        <f>IF(OR($B364="",$H364=""),"",IF($C364="LONG",($H364-$E364)*$F364,($E364-$H364)*$F364))</f>
        <v/>
      </c>
      <c r="J364" s="22">
        <f>IF(OR($B364="",$I364="",$E364=0,$F364=0),"",$I364/($E364*$F364))</f>
        <v/>
      </c>
      <c r="K364" s="4" t="n"/>
      <c r="L364" s="21">
        <f>IF(OR($B364="",$I364=""),"",$I364-IF($K364="",0,$K364))</f>
        <v/>
      </c>
      <c r="M364" s="22">
        <f>IF(OR($B364="",$L364="",$E364=0,$F364=0),"",$L364/($E364*$F364))</f>
        <v/>
      </c>
      <c r="N364" s="27">
        <f>IF($B364="","",IF($H364="","Open","Closed"))</f>
        <v/>
      </c>
      <c r="O364" s="23" t="n"/>
    </row>
    <row r="365">
      <c r="A365" s="23" t="n"/>
      <c r="B365" s="23" t="n"/>
      <c r="C365" s="23" t="n"/>
      <c r="D365" s="24" t="n"/>
      <c r="E365" s="25" t="n"/>
      <c r="F365" s="26" t="n"/>
      <c r="G365" s="24" t="n"/>
      <c r="H365" s="25" t="n"/>
      <c r="I365" s="21">
        <f>IF(OR($B365="",$H365=""),"",IF($C365="LONG",($H365-$E365)*$F365,($E365-$H365)*$F365))</f>
        <v/>
      </c>
      <c r="J365" s="22">
        <f>IF(OR($B365="",$I365="",$E365=0,$F365=0),"",$I365/($E365*$F365))</f>
        <v/>
      </c>
      <c r="K365" s="4" t="n"/>
      <c r="L365" s="21">
        <f>IF(OR($B365="",$I365=""),"",$I365-IF($K365="",0,$K365))</f>
        <v/>
      </c>
      <c r="M365" s="22">
        <f>IF(OR($B365="",$L365="",$E365=0,$F365=0),"",$L365/($E365*$F365))</f>
        <v/>
      </c>
      <c r="N365" s="27">
        <f>IF($B365="","",IF($H365="","Open","Closed"))</f>
        <v/>
      </c>
      <c r="O365" s="23" t="n"/>
    </row>
    <row r="366">
      <c r="A366" s="23" t="n"/>
      <c r="B366" s="23" t="n"/>
      <c r="C366" s="23" t="n"/>
      <c r="D366" s="24" t="n"/>
      <c r="E366" s="25" t="n"/>
      <c r="F366" s="26" t="n"/>
      <c r="G366" s="24" t="n"/>
      <c r="H366" s="25" t="n"/>
      <c r="I366" s="21">
        <f>IF(OR($B366="",$H366=""),"",IF($C366="LONG",($H366-$E366)*$F366,($E366-$H366)*$F366))</f>
        <v/>
      </c>
      <c r="J366" s="22">
        <f>IF(OR($B366="",$I366="",$E366=0,$F366=0),"",$I366/($E366*$F366))</f>
        <v/>
      </c>
      <c r="K366" s="4" t="n"/>
      <c r="L366" s="21">
        <f>IF(OR($B366="",$I366=""),"",$I366-IF($K366="",0,$K366))</f>
        <v/>
      </c>
      <c r="M366" s="22">
        <f>IF(OR($B366="",$L366="",$E366=0,$F366=0),"",$L366/($E366*$F366))</f>
        <v/>
      </c>
      <c r="N366" s="27">
        <f>IF($B366="","",IF($H366="","Open","Closed"))</f>
        <v/>
      </c>
      <c r="O366" s="23" t="n"/>
    </row>
    <row r="367">
      <c r="A367" s="23" t="n"/>
      <c r="B367" s="23" t="n"/>
      <c r="C367" s="23" t="n"/>
      <c r="D367" s="24" t="n"/>
      <c r="E367" s="25" t="n"/>
      <c r="F367" s="26" t="n"/>
      <c r="G367" s="24" t="n"/>
      <c r="H367" s="25" t="n"/>
      <c r="I367" s="21">
        <f>IF(OR($B367="",$H367=""),"",IF($C367="LONG",($H367-$E367)*$F367,($E367-$H367)*$F367))</f>
        <v/>
      </c>
      <c r="J367" s="22">
        <f>IF(OR($B367="",$I367="",$E367=0,$F367=0),"",$I367/($E367*$F367))</f>
        <v/>
      </c>
      <c r="K367" s="4" t="n"/>
      <c r="L367" s="21">
        <f>IF(OR($B367="",$I367=""),"",$I367-IF($K367="",0,$K367))</f>
        <v/>
      </c>
      <c r="M367" s="22">
        <f>IF(OR($B367="",$L367="",$E367=0,$F367=0),"",$L367/($E367*$F367))</f>
        <v/>
      </c>
      <c r="N367" s="27">
        <f>IF($B367="","",IF($H367="","Open","Closed"))</f>
        <v/>
      </c>
      <c r="O367" s="23" t="n"/>
    </row>
    <row r="368">
      <c r="A368" s="23" t="n"/>
      <c r="B368" s="23" t="n"/>
      <c r="C368" s="23" t="n"/>
      <c r="D368" s="24" t="n"/>
      <c r="E368" s="25" t="n"/>
      <c r="F368" s="26" t="n"/>
      <c r="G368" s="24" t="n"/>
      <c r="H368" s="25" t="n"/>
      <c r="I368" s="21">
        <f>IF(OR($B368="",$H368=""),"",IF($C368="LONG",($H368-$E368)*$F368,($E368-$H368)*$F368))</f>
        <v/>
      </c>
      <c r="J368" s="22">
        <f>IF(OR($B368="",$I368="",$E368=0,$F368=0),"",$I368/($E368*$F368))</f>
        <v/>
      </c>
      <c r="K368" s="4" t="n"/>
      <c r="L368" s="21">
        <f>IF(OR($B368="",$I368=""),"",$I368-IF($K368="",0,$K368))</f>
        <v/>
      </c>
      <c r="M368" s="22">
        <f>IF(OR($B368="",$L368="",$E368=0,$F368=0),"",$L368/($E368*$F368))</f>
        <v/>
      </c>
      <c r="N368" s="27">
        <f>IF($B368="","",IF($H368="","Open","Closed"))</f>
        <v/>
      </c>
      <c r="O368" s="23" t="n"/>
    </row>
    <row r="369">
      <c r="A369" s="23" t="n"/>
      <c r="B369" s="23" t="n"/>
      <c r="C369" s="23" t="n"/>
      <c r="D369" s="24" t="n"/>
      <c r="E369" s="25" t="n"/>
      <c r="F369" s="26" t="n"/>
      <c r="G369" s="24" t="n"/>
      <c r="H369" s="25" t="n"/>
      <c r="I369" s="21">
        <f>IF(OR($B369="",$H369=""),"",IF($C369="LONG",($H369-$E369)*$F369,($E369-$H369)*$F369))</f>
        <v/>
      </c>
      <c r="J369" s="22">
        <f>IF(OR($B369="",$I369="",$E369=0,$F369=0),"",$I369/($E369*$F369))</f>
        <v/>
      </c>
      <c r="K369" s="4" t="n"/>
      <c r="L369" s="21">
        <f>IF(OR($B369="",$I369=""),"",$I369-IF($K369="",0,$K369))</f>
        <v/>
      </c>
      <c r="M369" s="22">
        <f>IF(OR($B369="",$L369="",$E369=0,$F369=0),"",$L369/($E369*$F369))</f>
        <v/>
      </c>
      <c r="N369" s="27">
        <f>IF($B369="","",IF($H369="","Open","Closed"))</f>
        <v/>
      </c>
      <c r="O369" s="23" t="n"/>
    </row>
    <row r="370">
      <c r="A370" s="23" t="n"/>
      <c r="B370" s="23" t="n"/>
      <c r="C370" s="23" t="n"/>
      <c r="D370" s="24" t="n"/>
      <c r="E370" s="25" t="n"/>
      <c r="F370" s="26" t="n"/>
      <c r="G370" s="24" t="n"/>
      <c r="H370" s="25" t="n"/>
      <c r="I370" s="21">
        <f>IF(OR($B370="",$H370=""),"",IF($C370="LONG",($H370-$E370)*$F370,($E370-$H370)*$F370))</f>
        <v/>
      </c>
      <c r="J370" s="22">
        <f>IF(OR($B370="",$I370="",$E370=0,$F370=0),"",$I370/($E370*$F370))</f>
        <v/>
      </c>
      <c r="K370" s="4" t="n"/>
      <c r="L370" s="21">
        <f>IF(OR($B370="",$I370=""),"",$I370-IF($K370="",0,$K370))</f>
        <v/>
      </c>
      <c r="M370" s="22">
        <f>IF(OR($B370="",$L370="",$E370=0,$F370=0),"",$L370/($E370*$F370))</f>
        <v/>
      </c>
      <c r="N370" s="27">
        <f>IF($B370="","",IF($H370="","Open","Closed"))</f>
        <v/>
      </c>
      <c r="O370" s="23" t="n"/>
    </row>
    <row r="371">
      <c r="A371" s="23" t="n"/>
      <c r="B371" s="23" t="n"/>
      <c r="C371" s="23" t="n"/>
      <c r="D371" s="24" t="n"/>
      <c r="E371" s="25" t="n"/>
      <c r="F371" s="26" t="n"/>
      <c r="G371" s="24" t="n"/>
      <c r="H371" s="25" t="n"/>
      <c r="I371" s="21">
        <f>IF(OR($B371="",$H371=""),"",IF($C371="LONG",($H371-$E371)*$F371,($E371-$H371)*$F371))</f>
        <v/>
      </c>
      <c r="J371" s="22">
        <f>IF(OR($B371="",$I371="",$E371=0,$F371=0),"",$I371/($E371*$F371))</f>
        <v/>
      </c>
      <c r="K371" s="4" t="n"/>
      <c r="L371" s="21">
        <f>IF(OR($B371="",$I371=""),"",$I371-IF($K371="",0,$K371))</f>
        <v/>
      </c>
      <c r="M371" s="22">
        <f>IF(OR($B371="",$L371="",$E371=0,$F371=0),"",$L371/($E371*$F371))</f>
        <v/>
      </c>
      <c r="N371" s="27">
        <f>IF($B371="","",IF($H371="","Open","Closed"))</f>
        <v/>
      </c>
      <c r="O371" s="23" t="n"/>
    </row>
    <row r="372">
      <c r="A372" s="23" t="n"/>
      <c r="B372" s="23" t="n"/>
      <c r="C372" s="23" t="n"/>
      <c r="D372" s="24" t="n"/>
      <c r="E372" s="25" t="n"/>
      <c r="F372" s="26" t="n"/>
      <c r="G372" s="24" t="n"/>
      <c r="H372" s="25" t="n"/>
      <c r="I372" s="21">
        <f>IF(OR($B372="",$H372=""),"",IF($C372="LONG",($H372-$E372)*$F372,($E372-$H372)*$F372))</f>
        <v/>
      </c>
      <c r="J372" s="22">
        <f>IF(OR($B372="",$I372="",$E372=0,$F372=0),"",$I372/($E372*$F372))</f>
        <v/>
      </c>
      <c r="K372" s="4" t="n"/>
      <c r="L372" s="21">
        <f>IF(OR($B372="",$I372=""),"",$I372-IF($K372="",0,$K372))</f>
        <v/>
      </c>
      <c r="M372" s="22">
        <f>IF(OR($B372="",$L372="",$E372=0,$F372=0),"",$L372/($E372*$F372))</f>
        <v/>
      </c>
      <c r="N372" s="27">
        <f>IF($B372="","",IF($H372="","Open","Closed"))</f>
        <v/>
      </c>
      <c r="O372" s="23" t="n"/>
    </row>
    <row r="373">
      <c r="A373" s="23" t="n"/>
      <c r="B373" s="23" t="n"/>
      <c r="C373" s="23" t="n"/>
      <c r="D373" s="24" t="n"/>
      <c r="E373" s="25" t="n"/>
      <c r="F373" s="26" t="n"/>
      <c r="G373" s="24" t="n"/>
      <c r="H373" s="25" t="n"/>
      <c r="I373" s="21">
        <f>IF(OR($B373="",$H373=""),"",IF($C373="LONG",($H373-$E373)*$F373,($E373-$H373)*$F373))</f>
        <v/>
      </c>
      <c r="J373" s="22">
        <f>IF(OR($B373="",$I373="",$E373=0,$F373=0),"",$I373/($E373*$F373))</f>
        <v/>
      </c>
      <c r="K373" s="4" t="n"/>
      <c r="L373" s="21">
        <f>IF(OR($B373="",$I373=""),"",$I373-IF($K373="",0,$K373))</f>
        <v/>
      </c>
      <c r="M373" s="22">
        <f>IF(OR($B373="",$L373="",$E373=0,$F373=0),"",$L373/($E373*$F373))</f>
        <v/>
      </c>
      <c r="N373" s="27">
        <f>IF($B373="","",IF($H373="","Open","Closed"))</f>
        <v/>
      </c>
      <c r="O373" s="23" t="n"/>
    </row>
    <row r="374">
      <c r="A374" s="23" t="n"/>
      <c r="B374" s="23" t="n"/>
      <c r="C374" s="23" t="n"/>
      <c r="D374" s="24" t="n"/>
      <c r="E374" s="25" t="n"/>
      <c r="F374" s="26" t="n"/>
      <c r="G374" s="24" t="n"/>
      <c r="H374" s="25" t="n"/>
      <c r="I374" s="21">
        <f>IF(OR($B374="",$H374=""),"",IF($C374="LONG",($H374-$E374)*$F374,($E374-$H374)*$F374))</f>
        <v/>
      </c>
      <c r="J374" s="22">
        <f>IF(OR($B374="",$I374="",$E374=0,$F374=0),"",$I374/($E374*$F374))</f>
        <v/>
      </c>
      <c r="K374" s="4" t="n"/>
      <c r="L374" s="21">
        <f>IF(OR($B374="",$I374=""),"",$I374-IF($K374="",0,$K374))</f>
        <v/>
      </c>
      <c r="M374" s="22">
        <f>IF(OR($B374="",$L374="",$E374=0,$F374=0),"",$L374/($E374*$F374))</f>
        <v/>
      </c>
      <c r="N374" s="27">
        <f>IF($B374="","",IF($H374="","Open","Closed"))</f>
        <v/>
      </c>
      <c r="O374" s="23" t="n"/>
    </row>
    <row r="375">
      <c r="A375" s="23" t="n"/>
      <c r="B375" s="23" t="n"/>
      <c r="C375" s="23" t="n"/>
      <c r="D375" s="24" t="n"/>
      <c r="E375" s="25" t="n"/>
      <c r="F375" s="26" t="n"/>
      <c r="G375" s="24" t="n"/>
      <c r="H375" s="25" t="n"/>
      <c r="I375" s="21">
        <f>IF(OR($B375="",$H375=""),"",IF($C375="LONG",($H375-$E375)*$F375,($E375-$H375)*$F375))</f>
        <v/>
      </c>
      <c r="J375" s="22">
        <f>IF(OR($B375="",$I375="",$E375=0,$F375=0),"",$I375/($E375*$F375))</f>
        <v/>
      </c>
      <c r="K375" s="4" t="n"/>
      <c r="L375" s="21">
        <f>IF(OR($B375="",$I375=""),"",$I375-IF($K375="",0,$K375))</f>
        <v/>
      </c>
      <c r="M375" s="22">
        <f>IF(OR($B375="",$L375="",$E375=0,$F375=0),"",$L375/($E375*$F375))</f>
        <v/>
      </c>
      <c r="N375" s="27">
        <f>IF($B375="","",IF($H375="","Open","Closed"))</f>
        <v/>
      </c>
      <c r="O375" s="23" t="n"/>
    </row>
    <row r="376">
      <c r="A376" s="23" t="n"/>
      <c r="B376" s="23" t="n"/>
      <c r="C376" s="23" t="n"/>
      <c r="D376" s="24" t="n"/>
      <c r="E376" s="25" t="n"/>
      <c r="F376" s="26" t="n"/>
      <c r="G376" s="24" t="n"/>
      <c r="H376" s="25" t="n"/>
      <c r="I376" s="21">
        <f>IF(OR($B376="",$H376=""),"",IF($C376="LONG",($H376-$E376)*$F376,($E376-$H376)*$F376))</f>
        <v/>
      </c>
      <c r="J376" s="22">
        <f>IF(OR($B376="",$I376="",$E376=0,$F376=0),"",$I376/($E376*$F376))</f>
        <v/>
      </c>
      <c r="K376" s="4" t="n"/>
      <c r="L376" s="21">
        <f>IF(OR($B376="",$I376=""),"",$I376-IF($K376="",0,$K376))</f>
        <v/>
      </c>
      <c r="M376" s="22">
        <f>IF(OR($B376="",$L376="",$E376=0,$F376=0),"",$L376/($E376*$F376))</f>
        <v/>
      </c>
      <c r="N376" s="27">
        <f>IF($B376="","",IF($H376="","Open","Closed"))</f>
        <v/>
      </c>
      <c r="O376" s="23" t="n"/>
    </row>
    <row r="377">
      <c r="A377" s="23" t="n"/>
      <c r="B377" s="23" t="n"/>
      <c r="C377" s="23" t="n"/>
      <c r="D377" s="24" t="n"/>
      <c r="E377" s="25" t="n"/>
      <c r="F377" s="26" t="n"/>
      <c r="G377" s="24" t="n"/>
      <c r="H377" s="25" t="n"/>
      <c r="I377" s="21">
        <f>IF(OR($B377="",$H377=""),"",IF($C377="LONG",($H377-$E377)*$F377,($E377-$H377)*$F377))</f>
        <v/>
      </c>
      <c r="J377" s="22">
        <f>IF(OR($B377="",$I377="",$E377=0,$F377=0),"",$I377/($E377*$F377))</f>
        <v/>
      </c>
      <c r="K377" s="4" t="n"/>
      <c r="L377" s="21">
        <f>IF(OR($B377="",$I377=""),"",$I377-IF($K377="",0,$K377))</f>
        <v/>
      </c>
      <c r="M377" s="22">
        <f>IF(OR($B377="",$L377="",$E377=0,$F377=0),"",$L377/($E377*$F377))</f>
        <v/>
      </c>
      <c r="N377" s="27">
        <f>IF($B377="","",IF($H377="","Open","Closed"))</f>
        <v/>
      </c>
      <c r="O377" s="23" t="n"/>
    </row>
    <row r="378">
      <c r="A378" s="23" t="n"/>
      <c r="B378" s="23" t="n"/>
      <c r="C378" s="23" t="n"/>
      <c r="D378" s="24" t="n"/>
      <c r="E378" s="25" t="n"/>
      <c r="F378" s="26" t="n"/>
      <c r="G378" s="24" t="n"/>
      <c r="H378" s="25" t="n"/>
      <c r="I378" s="21">
        <f>IF(OR($B378="",$H378=""),"",IF($C378="LONG",($H378-$E378)*$F378,($E378-$H378)*$F378))</f>
        <v/>
      </c>
      <c r="J378" s="22">
        <f>IF(OR($B378="",$I378="",$E378=0,$F378=0),"",$I378/($E378*$F378))</f>
        <v/>
      </c>
      <c r="K378" s="4" t="n"/>
      <c r="L378" s="21">
        <f>IF(OR($B378="",$I378=""),"",$I378-IF($K378="",0,$K378))</f>
        <v/>
      </c>
      <c r="M378" s="22">
        <f>IF(OR($B378="",$L378="",$E378=0,$F378=0),"",$L378/($E378*$F378))</f>
        <v/>
      </c>
      <c r="N378" s="27">
        <f>IF($B378="","",IF($H378="","Open","Closed"))</f>
        <v/>
      </c>
      <c r="O378" s="23" t="n"/>
    </row>
    <row r="379">
      <c r="A379" s="23" t="n"/>
      <c r="B379" s="23" t="n"/>
      <c r="C379" s="23" t="n"/>
      <c r="D379" s="24" t="n"/>
      <c r="E379" s="25" t="n"/>
      <c r="F379" s="26" t="n"/>
      <c r="G379" s="24" t="n"/>
      <c r="H379" s="25" t="n"/>
      <c r="I379" s="21">
        <f>IF(OR($B379="",$H379=""),"",IF($C379="LONG",($H379-$E379)*$F379,($E379-$H379)*$F379))</f>
        <v/>
      </c>
      <c r="J379" s="22">
        <f>IF(OR($B379="",$I379="",$E379=0,$F379=0),"",$I379/($E379*$F379))</f>
        <v/>
      </c>
      <c r="K379" s="4" t="n"/>
      <c r="L379" s="21">
        <f>IF(OR($B379="",$I379=""),"",$I379-IF($K379="",0,$K379))</f>
        <v/>
      </c>
      <c r="M379" s="22">
        <f>IF(OR($B379="",$L379="",$E379=0,$F379=0),"",$L379/($E379*$F379))</f>
        <v/>
      </c>
      <c r="N379" s="27">
        <f>IF($B379="","",IF($H379="","Open","Closed"))</f>
        <v/>
      </c>
      <c r="O379" s="23" t="n"/>
    </row>
    <row r="380">
      <c r="A380" s="23" t="n"/>
      <c r="B380" s="23" t="n"/>
      <c r="C380" s="23" t="n"/>
      <c r="D380" s="24" t="n"/>
      <c r="E380" s="25" t="n"/>
      <c r="F380" s="26" t="n"/>
      <c r="G380" s="24" t="n"/>
      <c r="H380" s="25" t="n"/>
      <c r="I380" s="21">
        <f>IF(OR($B380="",$H380=""),"",IF($C380="LONG",($H380-$E380)*$F380,($E380-$H380)*$F380))</f>
        <v/>
      </c>
      <c r="J380" s="22">
        <f>IF(OR($B380="",$I380="",$E380=0,$F380=0),"",$I380/($E380*$F380))</f>
        <v/>
      </c>
      <c r="K380" s="4" t="n"/>
      <c r="L380" s="21">
        <f>IF(OR($B380="",$I380=""),"",$I380-IF($K380="",0,$K380))</f>
        <v/>
      </c>
      <c r="M380" s="22">
        <f>IF(OR($B380="",$L380="",$E380=0,$F380=0),"",$L380/($E380*$F380))</f>
        <v/>
      </c>
      <c r="N380" s="27">
        <f>IF($B380="","",IF($H380="","Open","Closed"))</f>
        <v/>
      </c>
      <c r="O380" s="23" t="n"/>
    </row>
    <row r="381">
      <c r="A381" s="23" t="n"/>
      <c r="B381" s="23" t="n"/>
      <c r="C381" s="23" t="n"/>
      <c r="D381" s="24" t="n"/>
      <c r="E381" s="25" t="n"/>
      <c r="F381" s="26" t="n"/>
      <c r="G381" s="24" t="n"/>
      <c r="H381" s="25" t="n"/>
      <c r="I381" s="21">
        <f>IF(OR($B381="",$H381=""),"",IF($C381="LONG",($H381-$E381)*$F381,($E381-$H381)*$F381))</f>
        <v/>
      </c>
      <c r="J381" s="22">
        <f>IF(OR($B381="",$I381="",$E381=0,$F381=0),"",$I381/($E381*$F381))</f>
        <v/>
      </c>
      <c r="K381" s="4" t="n"/>
      <c r="L381" s="21">
        <f>IF(OR($B381="",$I381=""),"",$I381-IF($K381="",0,$K381))</f>
        <v/>
      </c>
      <c r="M381" s="22">
        <f>IF(OR($B381="",$L381="",$E381=0,$F381=0),"",$L381/($E381*$F381))</f>
        <v/>
      </c>
      <c r="N381" s="27">
        <f>IF($B381="","",IF($H381="","Open","Closed"))</f>
        <v/>
      </c>
      <c r="O381" s="23" t="n"/>
    </row>
    <row r="382">
      <c r="A382" s="23" t="n"/>
      <c r="B382" s="23" t="n"/>
      <c r="C382" s="23" t="n"/>
      <c r="D382" s="24" t="n"/>
      <c r="E382" s="25" t="n"/>
      <c r="F382" s="26" t="n"/>
      <c r="G382" s="24" t="n"/>
      <c r="H382" s="25" t="n"/>
      <c r="I382" s="21">
        <f>IF(OR($B382="",$H382=""),"",IF($C382="LONG",($H382-$E382)*$F382,($E382-$H382)*$F382))</f>
        <v/>
      </c>
      <c r="J382" s="22">
        <f>IF(OR($B382="",$I382="",$E382=0,$F382=0),"",$I382/($E382*$F382))</f>
        <v/>
      </c>
      <c r="K382" s="4" t="n"/>
      <c r="L382" s="21">
        <f>IF(OR($B382="",$I382=""),"",$I382-IF($K382="",0,$K382))</f>
        <v/>
      </c>
      <c r="M382" s="22">
        <f>IF(OR($B382="",$L382="",$E382=0,$F382=0),"",$L382/($E382*$F382))</f>
        <v/>
      </c>
      <c r="N382" s="27">
        <f>IF($B382="","",IF($H382="","Open","Closed"))</f>
        <v/>
      </c>
      <c r="O382" s="23" t="n"/>
    </row>
    <row r="383">
      <c r="A383" s="23" t="n"/>
      <c r="B383" s="23" t="n"/>
      <c r="C383" s="23" t="n"/>
      <c r="D383" s="24" t="n"/>
      <c r="E383" s="25" t="n"/>
      <c r="F383" s="26" t="n"/>
      <c r="G383" s="24" t="n"/>
      <c r="H383" s="25" t="n"/>
      <c r="I383" s="21">
        <f>IF(OR($B383="",$H383=""),"",IF($C383="LONG",($H383-$E383)*$F383,($E383-$H383)*$F383))</f>
        <v/>
      </c>
      <c r="J383" s="22">
        <f>IF(OR($B383="",$I383="",$E383=0,$F383=0),"",$I383/($E383*$F383))</f>
        <v/>
      </c>
      <c r="K383" s="4" t="n"/>
      <c r="L383" s="21">
        <f>IF(OR($B383="",$I383=""),"",$I383-IF($K383="",0,$K383))</f>
        <v/>
      </c>
      <c r="M383" s="22">
        <f>IF(OR($B383="",$L383="",$E383=0,$F383=0),"",$L383/($E383*$F383))</f>
        <v/>
      </c>
      <c r="N383" s="27">
        <f>IF($B383="","",IF($H383="","Open","Closed"))</f>
        <v/>
      </c>
      <c r="O383" s="23" t="n"/>
    </row>
    <row r="384">
      <c r="A384" s="23" t="n"/>
      <c r="B384" s="23" t="n"/>
      <c r="C384" s="23" t="n"/>
      <c r="D384" s="24" t="n"/>
      <c r="E384" s="25" t="n"/>
      <c r="F384" s="26" t="n"/>
      <c r="G384" s="24" t="n"/>
      <c r="H384" s="25" t="n"/>
      <c r="I384" s="21">
        <f>IF(OR($B384="",$H384=""),"",IF($C384="LONG",($H384-$E384)*$F384,($E384-$H384)*$F384))</f>
        <v/>
      </c>
      <c r="J384" s="22">
        <f>IF(OR($B384="",$I384="",$E384=0,$F384=0),"",$I384/($E384*$F384))</f>
        <v/>
      </c>
      <c r="K384" s="4" t="n"/>
      <c r="L384" s="21">
        <f>IF(OR($B384="",$I384=""),"",$I384-IF($K384="",0,$K384))</f>
        <v/>
      </c>
      <c r="M384" s="22">
        <f>IF(OR($B384="",$L384="",$E384=0,$F384=0),"",$L384/($E384*$F384))</f>
        <v/>
      </c>
      <c r="N384" s="27">
        <f>IF($B384="","",IF($H384="","Open","Closed"))</f>
        <v/>
      </c>
      <c r="O384" s="23" t="n"/>
    </row>
    <row r="385">
      <c r="A385" s="23" t="n"/>
      <c r="B385" s="23" t="n"/>
      <c r="C385" s="23" t="n"/>
      <c r="D385" s="24" t="n"/>
      <c r="E385" s="25" t="n"/>
      <c r="F385" s="26" t="n"/>
      <c r="G385" s="24" t="n"/>
      <c r="H385" s="25" t="n"/>
      <c r="I385" s="21">
        <f>IF(OR($B385="",$H385=""),"",IF($C385="LONG",($H385-$E385)*$F385,($E385-$H385)*$F385))</f>
        <v/>
      </c>
      <c r="J385" s="22">
        <f>IF(OR($B385="",$I385="",$E385=0,$F385=0),"",$I385/($E385*$F385))</f>
        <v/>
      </c>
      <c r="K385" s="4" t="n"/>
      <c r="L385" s="21">
        <f>IF(OR($B385="",$I385=""),"",$I385-IF($K385="",0,$K385))</f>
        <v/>
      </c>
      <c r="M385" s="22">
        <f>IF(OR($B385="",$L385="",$E385=0,$F385=0),"",$L385/($E385*$F385))</f>
        <v/>
      </c>
      <c r="N385" s="27">
        <f>IF($B385="","",IF($H385="","Open","Closed"))</f>
        <v/>
      </c>
      <c r="O385" s="23" t="n"/>
    </row>
    <row r="386">
      <c r="A386" s="23" t="n"/>
      <c r="B386" s="23" t="n"/>
      <c r="C386" s="23" t="n"/>
      <c r="D386" s="24" t="n"/>
      <c r="E386" s="25" t="n"/>
      <c r="F386" s="26" t="n"/>
      <c r="G386" s="24" t="n"/>
      <c r="H386" s="25" t="n"/>
      <c r="I386" s="21">
        <f>IF(OR($B386="",$H386=""),"",IF($C386="LONG",($H386-$E386)*$F386,($E386-$H386)*$F386))</f>
        <v/>
      </c>
      <c r="J386" s="22">
        <f>IF(OR($B386="",$I386="",$E386=0,$F386=0),"",$I386/($E386*$F386))</f>
        <v/>
      </c>
      <c r="K386" s="4" t="n"/>
      <c r="L386" s="21">
        <f>IF(OR($B386="",$I386=""),"",$I386-IF($K386="",0,$K386))</f>
        <v/>
      </c>
      <c r="M386" s="22">
        <f>IF(OR($B386="",$L386="",$E386=0,$F386=0),"",$L386/($E386*$F386))</f>
        <v/>
      </c>
      <c r="N386" s="27">
        <f>IF($B386="","",IF($H386="","Open","Closed"))</f>
        <v/>
      </c>
      <c r="O386" s="23" t="n"/>
    </row>
    <row r="387">
      <c r="A387" s="23" t="n"/>
      <c r="B387" s="23" t="n"/>
      <c r="C387" s="23" t="n"/>
      <c r="D387" s="24" t="n"/>
      <c r="E387" s="25" t="n"/>
      <c r="F387" s="26" t="n"/>
      <c r="G387" s="24" t="n"/>
      <c r="H387" s="25" t="n"/>
      <c r="I387" s="21">
        <f>IF(OR($B387="",$H387=""),"",IF($C387="LONG",($H387-$E387)*$F387,($E387-$H387)*$F387))</f>
        <v/>
      </c>
      <c r="J387" s="22">
        <f>IF(OR($B387="",$I387="",$E387=0,$F387=0),"",$I387/($E387*$F387))</f>
        <v/>
      </c>
      <c r="K387" s="4" t="n"/>
      <c r="L387" s="21">
        <f>IF(OR($B387="",$I387=""),"",$I387-IF($K387="",0,$K387))</f>
        <v/>
      </c>
      <c r="M387" s="22">
        <f>IF(OR($B387="",$L387="",$E387=0,$F387=0),"",$L387/($E387*$F387))</f>
        <v/>
      </c>
      <c r="N387" s="27">
        <f>IF($B387="","",IF($H387="","Open","Closed"))</f>
        <v/>
      </c>
      <c r="O387" s="23" t="n"/>
    </row>
    <row r="388">
      <c r="A388" s="23" t="n"/>
      <c r="B388" s="23" t="n"/>
      <c r="C388" s="23" t="n"/>
      <c r="D388" s="24" t="n"/>
      <c r="E388" s="25" t="n"/>
      <c r="F388" s="26" t="n"/>
      <c r="G388" s="24" t="n"/>
      <c r="H388" s="25" t="n"/>
      <c r="I388" s="21">
        <f>IF(OR($B388="",$H388=""),"",IF($C388="LONG",($H388-$E388)*$F388,($E388-$H388)*$F388))</f>
        <v/>
      </c>
      <c r="J388" s="22">
        <f>IF(OR($B388="",$I388="",$E388=0,$F388=0),"",$I388/($E388*$F388))</f>
        <v/>
      </c>
      <c r="K388" s="4" t="n"/>
      <c r="L388" s="21">
        <f>IF(OR($B388="",$I388=""),"",$I388-IF($K388="",0,$K388))</f>
        <v/>
      </c>
      <c r="M388" s="22">
        <f>IF(OR($B388="",$L388="",$E388=0,$F388=0),"",$L388/($E388*$F388))</f>
        <v/>
      </c>
      <c r="N388" s="27">
        <f>IF($B388="","",IF($H388="","Open","Closed"))</f>
        <v/>
      </c>
      <c r="O388" s="23" t="n"/>
    </row>
    <row r="389">
      <c r="A389" s="23" t="n"/>
      <c r="B389" s="23" t="n"/>
      <c r="C389" s="23" t="n"/>
      <c r="D389" s="24" t="n"/>
      <c r="E389" s="25" t="n"/>
      <c r="F389" s="26" t="n"/>
      <c r="G389" s="24" t="n"/>
      <c r="H389" s="25" t="n"/>
      <c r="I389" s="21">
        <f>IF(OR($B389="",$H389=""),"",IF($C389="LONG",($H389-$E389)*$F389,($E389-$H389)*$F389))</f>
        <v/>
      </c>
      <c r="J389" s="22">
        <f>IF(OR($B389="",$I389="",$E389=0,$F389=0),"",$I389/($E389*$F389))</f>
        <v/>
      </c>
      <c r="K389" s="4" t="n"/>
      <c r="L389" s="21">
        <f>IF(OR($B389="",$I389=""),"",$I389-IF($K389="",0,$K389))</f>
        <v/>
      </c>
      <c r="M389" s="22">
        <f>IF(OR($B389="",$L389="",$E389=0,$F389=0),"",$L389/($E389*$F389))</f>
        <v/>
      </c>
      <c r="N389" s="27">
        <f>IF($B389="","",IF($H389="","Open","Closed"))</f>
        <v/>
      </c>
      <c r="O389" s="23" t="n"/>
    </row>
    <row r="390">
      <c r="A390" s="23" t="n"/>
      <c r="B390" s="23" t="n"/>
      <c r="C390" s="23" t="n"/>
      <c r="D390" s="24" t="n"/>
      <c r="E390" s="25" t="n"/>
      <c r="F390" s="26" t="n"/>
      <c r="G390" s="24" t="n"/>
      <c r="H390" s="25" t="n"/>
      <c r="I390" s="21">
        <f>IF(OR($B390="",$H390=""),"",IF($C390="LONG",($H390-$E390)*$F390,($E390-$H390)*$F390))</f>
        <v/>
      </c>
      <c r="J390" s="22">
        <f>IF(OR($B390="",$I390="",$E390=0,$F390=0),"",$I390/($E390*$F390))</f>
        <v/>
      </c>
      <c r="K390" s="4" t="n"/>
      <c r="L390" s="21">
        <f>IF(OR($B390="",$I390=""),"",$I390-IF($K390="",0,$K390))</f>
        <v/>
      </c>
      <c r="M390" s="22">
        <f>IF(OR($B390="",$L390="",$E390=0,$F390=0),"",$L390/($E390*$F390))</f>
        <v/>
      </c>
      <c r="N390" s="27">
        <f>IF($B390="","",IF($H390="","Open","Closed"))</f>
        <v/>
      </c>
      <c r="O390" s="23" t="n"/>
    </row>
    <row r="391">
      <c r="A391" s="23" t="n"/>
      <c r="B391" s="23" t="n"/>
      <c r="C391" s="23" t="n"/>
      <c r="D391" s="24" t="n"/>
      <c r="E391" s="25" t="n"/>
      <c r="F391" s="26" t="n"/>
      <c r="G391" s="24" t="n"/>
      <c r="H391" s="25" t="n"/>
      <c r="I391" s="21">
        <f>IF(OR($B391="",$H391=""),"",IF($C391="LONG",($H391-$E391)*$F391,($E391-$H391)*$F391))</f>
        <v/>
      </c>
      <c r="J391" s="22">
        <f>IF(OR($B391="",$I391="",$E391=0,$F391=0),"",$I391/($E391*$F391))</f>
        <v/>
      </c>
      <c r="K391" s="4" t="n"/>
      <c r="L391" s="21">
        <f>IF(OR($B391="",$I391=""),"",$I391-IF($K391="",0,$K391))</f>
        <v/>
      </c>
      <c r="M391" s="22">
        <f>IF(OR($B391="",$L391="",$E391=0,$F391=0),"",$L391/($E391*$F391))</f>
        <v/>
      </c>
      <c r="N391" s="27">
        <f>IF($B391="","",IF($H391="","Open","Closed"))</f>
        <v/>
      </c>
      <c r="O391" s="23" t="n"/>
    </row>
    <row r="392">
      <c r="A392" s="23" t="n"/>
      <c r="B392" s="23" t="n"/>
      <c r="C392" s="23" t="n"/>
      <c r="D392" s="24" t="n"/>
      <c r="E392" s="25" t="n"/>
      <c r="F392" s="26" t="n"/>
      <c r="G392" s="24" t="n"/>
      <c r="H392" s="25" t="n"/>
      <c r="I392" s="21">
        <f>IF(OR($B392="",$H392=""),"",IF($C392="LONG",($H392-$E392)*$F392,($E392-$H392)*$F392))</f>
        <v/>
      </c>
      <c r="J392" s="22">
        <f>IF(OR($B392="",$I392="",$E392=0,$F392=0),"",$I392/($E392*$F392))</f>
        <v/>
      </c>
      <c r="K392" s="4" t="n"/>
      <c r="L392" s="21">
        <f>IF(OR($B392="",$I392=""),"",$I392-IF($K392="",0,$K392))</f>
        <v/>
      </c>
      <c r="M392" s="22">
        <f>IF(OR($B392="",$L392="",$E392=0,$F392=0),"",$L392/($E392*$F392))</f>
        <v/>
      </c>
      <c r="N392" s="27">
        <f>IF($B392="","",IF($H392="","Open","Closed"))</f>
        <v/>
      </c>
      <c r="O392" s="23" t="n"/>
    </row>
    <row r="393">
      <c r="A393" s="23" t="n"/>
      <c r="B393" s="23" t="n"/>
      <c r="C393" s="23" t="n"/>
      <c r="D393" s="24" t="n"/>
      <c r="E393" s="25" t="n"/>
      <c r="F393" s="26" t="n"/>
      <c r="G393" s="24" t="n"/>
      <c r="H393" s="25" t="n"/>
      <c r="I393" s="21">
        <f>IF(OR($B393="",$H393=""),"",IF($C393="LONG",($H393-$E393)*$F393,($E393-$H393)*$F393))</f>
        <v/>
      </c>
      <c r="J393" s="22">
        <f>IF(OR($B393="",$I393="",$E393=0,$F393=0),"",$I393/($E393*$F393))</f>
        <v/>
      </c>
      <c r="K393" s="4" t="n"/>
      <c r="L393" s="21">
        <f>IF(OR($B393="",$I393=""),"",$I393-IF($K393="",0,$K393))</f>
        <v/>
      </c>
      <c r="M393" s="22">
        <f>IF(OR($B393="",$L393="",$E393=0,$F393=0),"",$L393/($E393*$F393))</f>
        <v/>
      </c>
      <c r="N393" s="27">
        <f>IF($B393="","",IF($H393="","Open","Closed"))</f>
        <v/>
      </c>
      <c r="O393" s="23" t="n"/>
    </row>
    <row r="394">
      <c r="A394" s="23" t="n"/>
      <c r="B394" s="23" t="n"/>
      <c r="C394" s="23" t="n"/>
      <c r="D394" s="24" t="n"/>
      <c r="E394" s="25" t="n"/>
      <c r="F394" s="26" t="n"/>
      <c r="G394" s="24" t="n"/>
      <c r="H394" s="25" t="n"/>
      <c r="I394" s="21">
        <f>IF(OR($B394="",$H394=""),"",IF($C394="LONG",($H394-$E394)*$F394,($E394-$H394)*$F394))</f>
        <v/>
      </c>
      <c r="J394" s="22">
        <f>IF(OR($B394="",$I394="",$E394=0,$F394=0),"",$I394/($E394*$F394))</f>
        <v/>
      </c>
      <c r="K394" s="4" t="n"/>
      <c r="L394" s="21">
        <f>IF(OR($B394="",$I394=""),"",$I394-IF($K394="",0,$K394))</f>
        <v/>
      </c>
      <c r="M394" s="22">
        <f>IF(OR($B394="",$L394="",$E394=0,$F394=0),"",$L394/($E394*$F394))</f>
        <v/>
      </c>
      <c r="N394" s="27">
        <f>IF($B394="","",IF($H394="","Open","Closed"))</f>
        <v/>
      </c>
      <c r="O394" s="23" t="n"/>
    </row>
    <row r="395">
      <c r="A395" s="23" t="n"/>
      <c r="B395" s="23" t="n"/>
      <c r="C395" s="23" t="n"/>
      <c r="D395" s="24" t="n"/>
      <c r="E395" s="25" t="n"/>
      <c r="F395" s="26" t="n"/>
      <c r="G395" s="24" t="n"/>
      <c r="H395" s="25" t="n"/>
      <c r="I395" s="21">
        <f>IF(OR($B395="",$H395=""),"",IF($C395="LONG",($H395-$E395)*$F395,($E395-$H395)*$F395))</f>
        <v/>
      </c>
      <c r="J395" s="22">
        <f>IF(OR($B395="",$I395="",$E395=0,$F395=0),"",$I395/($E395*$F395))</f>
        <v/>
      </c>
      <c r="K395" s="4" t="n"/>
      <c r="L395" s="21">
        <f>IF(OR($B395="",$I395=""),"",$I395-IF($K395="",0,$K395))</f>
        <v/>
      </c>
      <c r="M395" s="22">
        <f>IF(OR($B395="",$L395="",$E395=0,$F395=0),"",$L395/($E395*$F395))</f>
        <v/>
      </c>
      <c r="N395" s="27">
        <f>IF($B395="","",IF($H395="","Open","Closed"))</f>
        <v/>
      </c>
      <c r="O395" s="23" t="n"/>
    </row>
    <row r="396">
      <c r="A396" s="23" t="n"/>
      <c r="B396" s="23" t="n"/>
      <c r="C396" s="23" t="n"/>
      <c r="D396" s="24" t="n"/>
      <c r="E396" s="25" t="n"/>
      <c r="F396" s="26" t="n"/>
      <c r="G396" s="24" t="n"/>
      <c r="H396" s="25" t="n"/>
      <c r="I396" s="21">
        <f>IF(OR($B396="",$H396=""),"",IF($C396="LONG",($H396-$E396)*$F396,($E396-$H396)*$F396))</f>
        <v/>
      </c>
      <c r="J396" s="22">
        <f>IF(OR($B396="",$I396="",$E396=0,$F396=0),"",$I396/($E396*$F396))</f>
        <v/>
      </c>
      <c r="K396" s="4" t="n"/>
      <c r="L396" s="21">
        <f>IF(OR($B396="",$I396=""),"",$I396-IF($K396="",0,$K396))</f>
        <v/>
      </c>
      <c r="M396" s="22">
        <f>IF(OR($B396="",$L396="",$E396=0,$F396=0),"",$L396/($E396*$F396))</f>
        <v/>
      </c>
      <c r="N396" s="27">
        <f>IF($B396="","",IF($H396="","Open","Closed"))</f>
        <v/>
      </c>
      <c r="O396" s="23" t="n"/>
    </row>
    <row r="397">
      <c r="A397" s="23" t="n"/>
      <c r="B397" s="23" t="n"/>
      <c r="C397" s="23" t="n"/>
      <c r="D397" s="24" t="n"/>
      <c r="E397" s="25" t="n"/>
      <c r="F397" s="26" t="n"/>
      <c r="G397" s="24" t="n"/>
      <c r="H397" s="25" t="n"/>
      <c r="I397" s="21">
        <f>IF(OR($B397="",$H397=""),"",IF($C397="LONG",($H397-$E397)*$F397,($E397-$H397)*$F397))</f>
        <v/>
      </c>
      <c r="J397" s="22">
        <f>IF(OR($B397="",$I397="",$E397=0,$F397=0),"",$I397/($E397*$F397))</f>
        <v/>
      </c>
      <c r="K397" s="4" t="n"/>
      <c r="L397" s="21">
        <f>IF(OR($B397="",$I397=""),"",$I397-IF($K397="",0,$K397))</f>
        <v/>
      </c>
      <c r="M397" s="22">
        <f>IF(OR($B397="",$L397="",$E397=0,$F397=0),"",$L397/($E397*$F397))</f>
        <v/>
      </c>
      <c r="N397" s="27">
        <f>IF($B397="","",IF($H397="","Open","Closed"))</f>
        <v/>
      </c>
      <c r="O397" s="23" t="n"/>
    </row>
    <row r="398">
      <c r="A398" s="23" t="n"/>
      <c r="B398" s="23" t="n"/>
      <c r="C398" s="23" t="n"/>
      <c r="D398" s="24" t="n"/>
      <c r="E398" s="25" t="n"/>
      <c r="F398" s="26" t="n"/>
      <c r="G398" s="24" t="n"/>
      <c r="H398" s="25" t="n"/>
      <c r="I398" s="21">
        <f>IF(OR($B398="",$H398=""),"",IF($C398="LONG",($H398-$E398)*$F398,($E398-$H398)*$F398))</f>
        <v/>
      </c>
      <c r="J398" s="22">
        <f>IF(OR($B398="",$I398="",$E398=0,$F398=0),"",$I398/($E398*$F398))</f>
        <v/>
      </c>
      <c r="K398" s="4" t="n"/>
      <c r="L398" s="21">
        <f>IF(OR($B398="",$I398=""),"",$I398-IF($K398="",0,$K398))</f>
        <v/>
      </c>
      <c r="M398" s="22">
        <f>IF(OR($B398="",$L398="",$E398=0,$F398=0),"",$L398/($E398*$F398))</f>
        <v/>
      </c>
      <c r="N398" s="27">
        <f>IF($B398="","",IF($H398="","Open","Closed"))</f>
        <v/>
      </c>
      <c r="O398" s="23" t="n"/>
    </row>
    <row r="399">
      <c r="A399" s="23" t="n"/>
      <c r="B399" s="23" t="n"/>
      <c r="C399" s="23" t="n"/>
      <c r="D399" s="24" t="n"/>
      <c r="E399" s="25" t="n"/>
      <c r="F399" s="26" t="n"/>
      <c r="G399" s="24" t="n"/>
      <c r="H399" s="25" t="n"/>
      <c r="I399" s="21">
        <f>IF(OR($B399="",$H399=""),"",IF($C399="LONG",($H399-$E399)*$F399,($E399-$H399)*$F399))</f>
        <v/>
      </c>
      <c r="J399" s="22">
        <f>IF(OR($B399="",$I399="",$E399=0,$F399=0),"",$I399/($E399*$F399))</f>
        <v/>
      </c>
      <c r="K399" s="4" t="n"/>
      <c r="L399" s="21">
        <f>IF(OR($B399="",$I399=""),"",$I399-IF($K399="",0,$K399))</f>
        <v/>
      </c>
      <c r="M399" s="22">
        <f>IF(OR($B399="",$L399="",$E399=0,$F399=0),"",$L399/($E399*$F399))</f>
        <v/>
      </c>
      <c r="N399" s="27">
        <f>IF($B399="","",IF($H399="","Open","Closed"))</f>
        <v/>
      </c>
      <c r="O399" s="23" t="n"/>
    </row>
    <row r="400">
      <c r="A400" s="23" t="n"/>
      <c r="B400" s="23" t="n"/>
      <c r="C400" s="23" t="n"/>
      <c r="D400" s="24" t="n"/>
      <c r="E400" s="25" t="n"/>
      <c r="F400" s="26" t="n"/>
      <c r="G400" s="24" t="n"/>
      <c r="H400" s="25" t="n"/>
      <c r="I400" s="21">
        <f>IF(OR($B400="",$H400=""),"",IF($C400="LONG",($H400-$E400)*$F400,($E400-$H400)*$F400))</f>
        <v/>
      </c>
      <c r="J400" s="22">
        <f>IF(OR($B400="",$I400="",$E400=0,$F400=0),"",$I400/($E400*$F400))</f>
        <v/>
      </c>
      <c r="K400" s="4" t="n"/>
      <c r="L400" s="21">
        <f>IF(OR($B400="",$I400=""),"",$I400-IF($K400="",0,$K400))</f>
        <v/>
      </c>
      <c r="M400" s="22">
        <f>IF(OR($B400="",$L400="",$E400=0,$F400=0),"",$L400/($E400*$F400))</f>
        <v/>
      </c>
      <c r="N400" s="27">
        <f>IF($B400="","",IF($H400="","Open","Closed"))</f>
        <v/>
      </c>
      <c r="O400" s="23" t="n"/>
    </row>
    <row r="401">
      <c r="A401" s="23" t="n"/>
      <c r="B401" s="23" t="n"/>
      <c r="C401" s="23" t="n"/>
      <c r="D401" s="24" t="n"/>
      <c r="E401" s="25" t="n"/>
      <c r="F401" s="26" t="n"/>
      <c r="G401" s="24" t="n"/>
      <c r="H401" s="25" t="n"/>
      <c r="I401" s="21">
        <f>IF(OR($B401="",$H401=""),"",IF($C401="LONG",($H401-$E401)*$F401,($E401-$H401)*$F401))</f>
        <v/>
      </c>
      <c r="J401" s="22">
        <f>IF(OR($B401="",$I401="",$E401=0,$F401=0),"",$I401/($E401*$F401))</f>
        <v/>
      </c>
      <c r="K401" s="4" t="n"/>
      <c r="L401" s="21">
        <f>IF(OR($B401="",$I401=""),"",$I401-IF($K401="",0,$K401))</f>
        <v/>
      </c>
      <c r="M401" s="22">
        <f>IF(OR($B401="",$L401="",$E401=0,$F401=0),"",$L401/($E401*$F401))</f>
        <v/>
      </c>
      <c r="N401" s="27">
        <f>IF($B401="","",IF($H401="","Open","Closed"))</f>
        <v/>
      </c>
      <c r="O401" s="23" t="n"/>
    </row>
    <row r="402">
      <c r="A402" s="23" t="n"/>
      <c r="B402" s="23" t="n"/>
      <c r="C402" s="23" t="n"/>
      <c r="D402" s="24" t="n"/>
      <c r="E402" s="25" t="n"/>
      <c r="F402" s="26" t="n"/>
      <c r="G402" s="24" t="n"/>
      <c r="H402" s="25" t="n"/>
      <c r="I402" s="21">
        <f>IF(OR($B402="",$H402=""),"",IF($C402="LONG",($H402-$E402)*$F402,($E402-$H402)*$F402))</f>
        <v/>
      </c>
      <c r="J402" s="22">
        <f>IF(OR($B402="",$I402="",$E402=0,$F402=0),"",$I402/($E402*$F402))</f>
        <v/>
      </c>
      <c r="K402" s="4" t="n"/>
      <c r="L402" s="21">
        <f>IF(OR($B402="",$I402=""),"",$I402-IF($K402="",0,$K402))</f>
        <v/>
      </c>
      <c r="M402" s="22">
        <f>IF(OR($B402="",$L402="",$E402=0,$F402=0),"",$L402/($E402*$F402))</f>
        <v/>
      </c>
      <c r="N402" s="27">
        <f>IF($B402="","",IF($H402="","Open","Closed"))</f>
        <v/>
      </c>
      <c r="O402" s="23" t="n"/>
    </row>
    <row r="403">
      <c r="A403" s="23" t="n"/>
      <c r="B403" s="23" t="n"/>
      <c r="C403" s="23" t="n"/>
      <c r="D403" s="24" t="n"/>
      <c r="E403" s="25" t="n"/>
      <c r="F403" s="26" t="n"/>
      <c r="G403" s="24" t="n"/>
      <c r="H403" s="25" t="n"/>
      <c r="I403" s="21">
        <f>IF(OR($B403="",$H403=""),"",IF($C403="LONG",($H403-$E403)*$F403,($E403-$H403)*$F403))</f>
        <v/>
      </c>
      <c r="J403" s="22">
        <f>IF(OR($B403="",$I403="",$E403=0,$F403=0),"",$I403/($E403*$F403))</f>
        <v/>
      </c>
      <c r="K403" s="4" t="n"/>
      <c r="L403" s="21">
        <f>IF(OR($B403="",$I403=""),"",$I403-IF($K403="",0,$K403))</f>
        <v/>
      </c>
      <c r="M403" s="22">
        <f>IF(OR($B403="",$L403="",$E403=0,$F403=0),"",$L403/($E403*$F403))</f>
        <v/>
      </c>
      <c r="N403" s="27">
        <f>IF($B403="","",IF($H403="","Open","Closed"))</f>
        <v/>
      </c>
      <c r="O403" s="23" t="n"/>
    </row>
    <row r="404">
      <c r="A404" s="23" t="n"/>
      <c r="B404" s="23" t="n"/>
      <c r="C404" s="23" t="n"/>
      <c r="D404" s="24" t="n"/>
      <c r="E404" s="25" t="n"/>
      <c r="F404" s="26" t="n"/>
      <c r="G404" s="24" t="n"/>
      <c r="H404" s="25" t="n"/>
      <c r="I404" s="21">
        <f>IF(OR($B404="",$H404=""),"",IF($C404="LONG",($H404-$E404)*$F404,($E404-$H404)*$F404))</f>
        <v/>
      </c>
      <c r="J404" s="22">
        <f>IF(OR($B404="",$I404="",$E404=0,$F404=0),"",$I404/($E404*$F404))</f>
        <v/>
      </c>
      <c r="K404" s="4" t="n"/>
      <c r="L404" s="21">
        <f>IF(OR($B404="",$I404=""),"",$I404-IF($K404="",0,$K404))</f>
        <v/>
      </c>
      <c r="M404" s="22">
        <f>IF(OR($B404="",$L404="",$E404=0,$F404=0),"",$L404/($E404*$F404))</f>
        <v/>
      </c>
      <c r="N404" s="27">
        <f>IF($B404="","",IF($H404="","Open","Closed"))</f>
        <v/>
      </c>
      <c r="O404" s="23" t="n"/>
    </row>
    <row r="405">
      <c r="A405" s="23" t="n"/>
      <c r="B405" s="23" t="n"/>
      <c r="C405" s="23" t="n"/>
      <c r="D405" s="24" t="n"/>
      <c r="E405" s="25" t="n"/>
      <c r="F405" s="26" t="n"/>
      <c r="G405" s="24" t="n"/>
      <c r="H405" s="25" t="n"/>
      <c r="I405" s="21">
        <f>IF(OR($B405="",$H405=""),"",IF($C405="LONG",($H405-$E405)*$F405,($E405-$H405)*$F405))</f>
        <v/>
      </c>
      <c r="J405" s="22">
        <f>IF(OR($B405="",$I405="",$E405=0,$F405=0),"",$I405/($E405*$F405))</f>
        <v/>
      </c>
      <c r="K405" s="4" t="n"/>
      <c r="L405" s="21">
        <f>IF(OR($B405="",$I405=""),"",$I405-IF($K405="",0,$K405))</f>
        <v/>
      </c>
      <c r="M405" s="22">
        <f>IF(OR($B405="",$L405="",$E405=0,$F405=0),"",$L405/($E405*$F405))</f>
        <v/>
      </c>
      <c r="N405" s="27">
        <f>IF($B405="","",IF($H405="","Open","Closed"))</f>
        <v/>
      </c>
      <c r="O405" s="23" t="n"/>
    </row>
    <row r="406">
      <c r="A406" s="23" t="n"/>
      <c r="B406" s="23" t="n"/>
      <c r="C406" s="23" t="n"/>
      <c r="D406" s="24" t="n"/>
      <c r="E406" s="25" t="n"/>
      <c r="F406" s="26" t="n"/>
      <c r="G406" s="24" t="n"/>
      <c r="H406" s="25" t="n"/>
      <c r="I406" s="21">
        <f>IF(OR($B406="",$H406=""),"",IF($C406="LONG",($H406-$E406)*$F406,($E406-$H406)*$F406))</f>
        <v/>
      </c>
      <c r="J406" s="22">
        <f>IF(OR($B406="",$I406="",$E406=0,$F406=0),"",$I406/($E406*$F406))</f>
        <v/>
      </c>
      <c r="K406" s="4" t="n"/>
      <c r="L406" s="21">
        <f>IF(OR($B406="",$I406=""),"",$I406-IF($K406="",0,$K406))</f>
        <v/>
      </c>
      <c r="M406" s="22">
        <f>IF(OR($B406="",$L406="",$E406=0,$F406=0),"",$L406/($E406*$F406))</f>
        <v/>
      </c>
      <c r="N406" s="27">
        <f>IF($B406="","",IF($H406="","Open","Closed"))</f>
        <v/>
      </c>
      <c r="O406" s="23" t="n"/>
    </row>
    <row r="407">
      <c r="A407" s="23" t="n"/>
      <c r="B407" s="23" t="n"/>
      <c r="C407" s="23" t="n"/>
      <c r="D407" s="24" t="n"/>
      <c r="E407" s="25" t="n"/>
      <c r="F407" s="26" t="n"/>
      <c r="G407" s="24" t="n"/>
      <c r="H407" s="25" t="n"/>
      <c r="I407" s="21">
        <f>IF(OR($B407="",$H407=""),"",IF($C407="LONG",($H407-$E407)*$F407,($E407-$H407)*$F407))</f>
        <v/>
      </c>
      <c r="J407" s="22">
        <f>IF(OR($B407="",$I407="",$E407=0,$F407=0),"",$I407/($E407*$F407))</f>
        <v/>
      </c>
      <c r="K407" s="4" t="n"/>
      <c r="L407" s="21">
        <f>IF(OR($B407="",$I407=""),"",$I407-IF($K407="",0,$K407))</f>
        <v/>
      </c>
      <c r="M407" s="22">
        <f>IF(OR($B407="",$L407="",$E407=0,$F407=0),"",$L407/($E407*$F407))</f>
        <v/>
      </c>
      <c r="N407" s="27">
        <f>IF($B407="","",IF($H407="","Open","Closed"))</f>
        <v/>
      </c>
      <c r="O407" s="23" t="n"/>
    </row>
    <row r="408">
      <c r="A408" s="23" t="n"/>
      <c r="B408" s="23" t="n"/>
      <c r="C408" s="23" t="n"/>
      <c r="D408" s="24" t="n"/>
      <c r="E408" s="25" t="n"/>
      <c r="F408" s="26" t="n"/>
      <c r="G408" s="24" t="n"/>
      <c r="H408" s="25" t="n"/>
      <c r="I408" s="21">
        <f>IF(OR($B408="",$H408=""),"",IF($C408="LONG",($H408-$E408)*$F408,($E408-$H408)*$F408))</f>
        <v/>
      </c>
      <c r="J408" s="22">
        <f>IF(OR($B408="",$I408="",$E408=0,$F408=0),"",$I408/($E408*$F408))</f>
        <v/>
      </c>
      <c r="K408" s="4" t="n"/>
      <c r="L408" s="21">
        <f>IF(OR($B408="",$I408=""),"",$I408-IF($K408="",0,$K408))</f>
        <v/>
      </c>
      <c r="M408" s="22">
        <f>IF(OR($B408="",$L408="",$E408=0,$F408=0),"",$L408/($E408*$F408))</f>
        <v/>
      </c>
      <c r="N408" s="27">
        <f>IF($B408="","",IF($H408="","Open","Closed"))</f>
        <v/>
      </c>
      <c r="O408" s="23" t="n"/>
    </row>
    <row r="409">
      <c r="A409" s="23" t="n"/>
      <c r="B409" s="23" t="n"/>
      <c r="C409" s="23" t="n"/>
      <c r="D409" s="24" t="n"/>
      <c r="E409" s="25" t="n"/>
      <c r="F409" s="26" t="n"/>
      <c r="G409" s="24" t="n"/>
      <c r="H409" s="25" t="n"/>
      <c r="I409" s="21">
        <f>IF(OR($B409="",$H409=""),"",IF($C409="LONG",($H409-$E409)*$F409,($E409-$H409)*$F409))</f>
        <v/>
      </c>
      <c r="J409" s="22">
        <f>IF(OR($B409="",$I409="",$E409=0,$F409=0),"",$I409/($E409*$F409))</f>
        <v/>
      </c>
      <c r="K409" s="4" t="n"/>
      <c r="L409" s="21">
        <f>IF(OR($B409="",$I409=""),"",$I409-IF($K409="",0,$K409))</f>
        <v/>
      </c>
      <c r="M409" s="22">
        <f>IF(OR($B409="",$L409="",$E409=0,$F409=0),"",$L409/($E409*$F409))</f>
        <v/>
      </c>
      <c r="N409" s="27">
        <f>IF($B409="","",IF($H409="","Open","Closed"))</f>
        <v/>
      </c>
      <c r="O409" s="23" t="n"/>
    </row>
    <row r="410">
      <c r="A410" s="23" t="n"/>
      <c r="B410" s="23" t="n"/>
      <c r="C410" s="23" t="n"/>
      <c r="D410" s="24" t="n"/>
      <c r="E410" s="25" t="n"/>
      <c r="F410" s="26" t="n"/>
      <c r="G410" s="24" t="n"/>
      <c r="H410" s="25" t="n"/>
      <c r="I410" s="21">
        <f>IF(OR($B410="",$H410=""),"",IF($C410="LONG",($H410-$E410)*$F410,($E410-$H410)*$F410))</f>
        <v/>
      </c>
      <c r="J410" s="22">
        <f>IF(OR($B410="",$I410="",$E410=0,$F410=0),"",$I410/($E410*$F410))</f>
        <v/>
      </c>
      <c r="K410" s="4" t="n"/>
      <c r="L410" s="21">
        <f>IF(OR($B410="",$I410=""),"",$I410-IF($K410="",0,$K410))</f>
        <v/>
      </c>
      <c r="M410" s="22">
        <f>IF(OR($B410="",$L410="",$E410=0,$F410=0),"",$L410/($E410*$F410))</f>
        <v/>
      </c>
      <c r="N410" s="27">
        <f>IF($B410="","",IF($H410="","Open","Closed"))</f>
        <v/>
      </c>
      <c r="O410" s="23" t="n"/>
    </row>
    <row r="411">
      <c r="A411" s="23" t="n"/>
      <c r="B411" s="23" t="n"/>
      <c r="C411" s="23" t="n"/>
      <c r="D411" s="24" t="n"/>
      <c r="E411" s="25" t="n"/>
      <c r="F411" s="26" t="n"/>
      <c r="G411" s="24" t="n"/>
      <c r="H411" s="25" t="n"/>
      <c r="I411" s="21">
        <f>IF(OR($B411="",$H411=""),"",IF($C411="LONG",($H411-$E411)*$F411,($E411-$H411)*$F411))</f>
        <v/>
      </c>
      <c r="J411" s="22">
        <f>IF(OR($B411="",$I411="",$E411=0,$F411=0),"",$I411/($E411*$F411))</f>
        <v/>
      </c>
      <c r="K411" s="4" t="n"/>
      <c r="L411" s="21">
        <f>IF(OR($B411="",$I411=""),"",$I411-IF($K411="",0,$K411))</f>
        <v/>
      </c>
      <c r="M411" s="22">
        <f>IF(OR($B411="",$L411="",$E411=0,$F411=0),"",$L411/($E411*$F411))</f>
        <v/>
      </c>
      <c r="N411" s="27">
        <f>IF($B411="","",IF($H411="","Open","Closed"))</f>
        <v/>
      </c>
      <c r="O411" s="23" t="n"/>
    </row>
    <row r="412">
      <c r="A412" s="23" t="n"/>
      <c r="B412" s="23" t="n"/>
      <c r="C412" s="23" t="n"/>
      <c r="D412" s="24" t="n"/>
      <c r="E412" s="25" t="n"/>
      <c r="F412" s="26" t="n"/>
      <c r="G412" s="24" t="n"/>
      <c r="H412" s="25" t="n"/>
      <c r="I412" s="21">
        <f>IF(OR($B412="",$H412=""),"",IF($C412="LONG",($H412-$E412)*$F412,($E412-$H412)*$F412))</f>
        <v/>
      </c>
      <c r="J412" s="22">
        <f>IF(OR($B412="",$I412="",$E412=0,$F412=0),"",$I412/($E412*$F412))</f>
        <v/>
      </c>
      <c r="K412" s="4" t="n"/>
      <c r="L412" s="21">
        <f>IF(OR($B412="",$I412=""),"",$I412-IF($K412="",0,$K412))</f>
        <v/>
      </c>
      <c r="M412" s="22">
        <f>IF(OR($B412="",$L412="",$E412=0,$F412=0),"",$L412/($E412*$F412))</f>
        <v/>
      </c>
      <c r="N412" s="27">
        <f>IF($B412="","",IF($H412="","Open","Closed"))</f>
        <v/>
      </c>
      <c r="O412" s="23" t="n"/>
    </row>
    <row r="413">
      <c r="A413" s="23" t="n"/>
      <c r="B413" s="23" t="n"/>
      <c r="C413" s="23" t="n"/>
      <c r="D413" s="24" t="n"/>
      <c r="E413" s="25" t="n"/>
      <c r="F413" s="26" t="n"/>
      <c r="G413" s="24" t="n"/>
      <c r="H413" s="25" t="n"/>
      <c r="I413" s="21">
        <f>IF(OR($B413="",$H413=""),"",IF($C413="LONG",($H413-$E413)*$F413,($E413-$H413)*$F413))</f>
        <v/>
      </c>
      <c r="J413" s="22">
        <f>IF(OR($B413="",$I413="",$E413=0,$F413=0),"",$I413/($E413*$F413))</f>
        <v/>
      </c>
      <c r="K413" s="4" t="n"/>
      <c r="L413" s="21">
        <f>IF(OR($B413="",$I413=""),"",$I413-IF($K413="",0,$K413))</f>
        <v/>
      </c>
      <c r="M413" s="22">
        <f>IF(OR($B413="",$L413="",$E413=0,$F413=0),"",$L413/($E413*$F413))</f>
        <v/>
      </c>
      <c r="N413" s="27">
        <f>IF($B413="","",IF($H413="","Open","Closed"))</f>
        <v/>
      </c>
      <c r="O413" s="23" t="n"/>
    </row>
    <row r="414">
      <c r="A414" s="23" t="n"/>
      <c r="B414" s="23" t="n"/>
      <c r="C414" s="23" t="n"/>
      <c r="D414" s="24" t="n"/>
      <c r="E414" s="25" t="n"/>
      <c r="F414" s="26" t="n"/>
      <c r="G414" s="24" t="n"/>
      <c r="H414" s="25" t="n"/>
      <c r="I414" s="21">
        <f>IF(OR($B414="",$H414=""),"",IF($C414="LONG",($H414-$E414)*$F414,($E414-$H414)*$F414))</f>
        <v/>
      </c>
      <c r="J414" s="22">
        <f>IF(OR($B414="",$I414="",$E414=0,$F414=0),"",$I414/($E414*$F414))</f>
        <v/>
      </c>
      <c r="K414" s="4" t="n"/>
      <c r="L414" s="21">
        <f>IF(OR($B414="",$I414=""),"",$I414-IF($K414="",0,$K414))</f>
        <v/>
      </c>
      <c r="M414" s="22">
        <f>IF(OR($B414="",$L414="",$E414=0,$F414=0),"",$L414/($E414*$F414))</f>
        <v/>
      </c>
      <c r="N414" s="27">
        <f>IF($B414="","",IF($H414="","Open","Closed"))</f>
        <v/>
      </c>
      <c r="O414" s="23" t="n"/>
    </row>
    <row r="415">
      <c r="A415" s="23" t="n"/>
      <c r="B415" s="23" t="n"/>
      <c r="C415" s="23" t="n"/>
      <c r="D415" s="24" t="n"/>
      <c r="E415" s="25" t="n"/>
      <c r="F415" s="26" t="n"/>
      <c r="G415" s="24" t="n"/>
      <c r="H415" s="25" t="n"/>
      <c r="I415" s="21">
        <f>IF(OR($B415="",$H415=""),"",IF($C415="LONG",($H415-$E415)*$F415,($E415-$H415)*$F415))</f>
        <v/>
      </c>
      <c r="J415" s="22">
        <f>IF(OR($B415="",$I415="",$E415=0,$F415=0),"",$I415/($E415*$F415))</f>
        <v/>
      </c>
      <c r="K415" s="4" t="n"/>
      <c r="L415" s="21">
        <f>IF(OR($B415="",$I415=""),"",$I415-IF($K415="",0,$K415))</f>
        <v/>
      </c>
      <c r="M415" s="22">
        <f>IF(OR($B415="",$L415="",$E415=0,$F415=0),"",$L415/($E415*$F415))</f>
        <v/>
      </c>
      <c r="N415" s="27">
        <f>IF($B415="","",IF($H415="","Open","Closed"))</f>
        <v/>
      </c>
      <c r="O415" s="23" t="n"/>
    </row>
    <row r="416">
      <c r="A416" s="23" t="n"/>
      <c r="B416" s="23" t="n"/>
      <c r="C416" s="23" t="n"/>
      <c r="D416" s="24" t="n"/>
      <c r="E416" s="25" t="n"/>
      <c r="F416" s="26" t="n"/>
      <c r="G416" s="24" t="n"/>
      <c r="H416" s="25" t="n"/>
      <c r="I416" s="21">
        <f>IF(OR($B416="",$H416=""),"",IF($C416="LONG",($H416-$E416)*$F416,($E416-$H416)*$F416))</f>
        <v/>
      </c>
      <c r="J416" s="22">
        <f>IF(OR($B416="",$I416="",$E416=0,$F416=0),"",$I416/($E416*$F416))</f>
        <v/>
      </c>
      <c r="K416" s="4" t="n"/>
      <c r="L416" s="21">
        <f>IF(OR($B416="",$I416=""),"",$I416-IF($K416="",0,$K416))</f>
        <v/>
      </c>
      <c r="M416" s="22">
        <f>IF(OR($B416="",$L416="",$E416=0,$F416=0),"",$L416/($E416*$F416))</f>
        <v/>
      </c>
      <c r="N416" s="27">
        <f>IF($B416="","",IF($H416="","Open","Closed"))</f>
        <v/>
      </c>
      <c r="O416" s="23" t="n"/>
    </row>
    <row r="417">
      <c r="A417" s="23" t="n"/>
      <c r="B417" s="23" t="n"/>
      <c r="C417" s="23" t="n"/>
      <c r="D417" s="24" t="n"/>
      <c r="E417" s="25" t="n"/>
      <c r="F417" s="26" t="n"/>
      <c r="G417" s="24" t="n"/>
      <c r="H417" s="25" t="n"/>
      <c r="I417" s="21">
        <f>IF(OR($B417="",$H417=""),"",IF($C417="LONG",($H417-$E417)*$F417,($E417-$H417)*$F417))</f>
        <v/>
      </c>
      <c r="J417" s="22">
        <f>IF(OR($B417="",$I417="",$E417=0,$F417=0),"",$I417/($E417*$F417))</f>
        <v/>
      </c>
      <c r="K417" s="4" t="n"/>
      <c r="L417" s="21">
        <f>IF(OR($B417="",$I417=""),"",$I417-IF($K417="",0,$K417))</f>
        <v/>
      </c>
      <c r="M417" s="22">
        <f>IF(OR($B417="",$L417="",$E417=0,$F417=0),"",$L417/($E417*$F417))</f>
        <v/>
      </c>
      <c r="N417" s="27">
        <f>IF($B417="","",IF($H417="","Open","Closed"))</f>
        <v/>
      </c>
      <c r="O417" s="23" t="n"/>
    </row>
    <row r="418">
      <c r="A418" s="23" t="n"/>
      <c r="B418" s="23" t="n"/>
      <c r="C418" s="23" t="n"/>
      <c r="D418" s="24" t="n"/>
      <c r="E418" s="25" t="n"/>
      <c r="F418" s="26" t="n"/>
      <c r="G418" s="24" t="n"/>
      <c r="H418" s="25" t="n"/>
      <c r="I418" s="21">
        <f>IF(OR($B418="",$H418=""),"",IF($C418="LONG",($H418-$E418)*$F418,($E418-$H418)*$F418))</f>
        <v/>
      </c>
      <c r="J418" s="22">
        <f>IF(OR($B418="",$I418="",$E418=0,$F418=0),"",$I418/($E418*$F418))</f>
        <v/>
      </c>
      <c r="K418" s="4" t="n"/>
      <c r="L418" s="21">
        <f>IF(OR($B418="",$I418=""),"",$I418-IF($K418="",0,$K418))</f>
        <v/>
      </c>
      <c r="M418" s="22">
        <f>IF(OR($B418="",$L418="",$E418=0,$F418=0),"",$L418/($E418*$F418))</f>
        <v/>
      </c>
      <c r="N418" s="27">
        <f>IF($B418="","",IF($H418="","Open","Closed"))</f>
        <v/>
      </c>
      <c r="O418" s="23" t="n"/>
    </row>
    <row r="419">
      <c r="A419" s="23" t="n"/>
      <c r="B419" s="23" t="n"/>
      <c r="C419" s="23" t="n"/>
      <c r="D419" s="24" t="n"/>
      <c r="E419" s="25" t="n"/>
      <c r="F419" s="26" t="n"/>
      <c r="G419" s="24" t="n"/>
      <c r="H419" s="25" t="n"/>
      <c r="I419" s="21">
        <f>IF(OR($B419="",$H419=""),"",IF($C419="LONG",($H419-$E419)*$F419,($E419-$H419)*$F419))</f>
        <v/>
      </c>
      <c r="J419" s="22">
        <f>IF(OR($B419="",$I419="",$E419=0,$F419=0),"",$I419/($E419*$F419))</f>
        <v/>
      </c>
      <c r="K419" s="4" t="n"/>
      <c r="L419" s="21">
        <f>IF(OR($B419="",$I419=""),"",$I419-IF($K419="",0,$K419))</f>
        <v/>
      </c>
      <c r="M419" s="22">
        <f>IF(OR($B419="",$L419="",$E419=0,$F419=0),"",$L419/($E419*$F419))</f>
        <v/>
      </c>
      <c r="N419" s="27">
        <f>IF($B419="","",IF($H419="","Open","Closed"))</f>
        <v/>
      </c>
      <c r="O419" s="23" t="n"/>
    </row>
    <row r="420">
      <c r="A420" s="23" t="n"/>
      <c r="B420" s="23" t="n"/>
      <c r="C420" s="23" t="n"/>
      <c r="D420" s="24" t="n"/>
      <c r="E420" s="25" t="n"/>
      <c r="F420" s="26" t="n"/>
      <c r="G420" s="24" t="n"/>
      <c r="H420" s="25" t="n"/>
      <c r="I420" s="21">
        <f>IF(OR($B420="",$H420=""),"",IF($C420="LONG",($H420-$E420)*$F420,($E420-$H420)*$F420))</f>
        <v/>
      </c>
      <c r="J420" s="22">
        <f>IF(OR($B420="",$I420="",$E420=0,$F420=0),"",$I420/($E420*$F420))</f>
        <v/>
      </c>
      <c r="K420" s="4" t="n"/>
      <c r="L420" s="21">
        <f>IF(OR($B420="",$I420=""),"",$I420-IF($K420="",0,$K420))</f>
        <v/>
      </c>
      <c r="M420" s="22">
        <f>IF(OR($B420="",$L420="",$E420=0,$F420=0),"",$L420/($E420*$F420))</f>
        <v/>
      </c>
      <c r="N420" s="27">
        <f>IF($B420="","",IF($H420="","Open","Closed"))</f>
        <v/>
      </c>
      <c r="O420" s="23" t="n"/>
    </row>
    <row r="421">
      <c r="A421" s="23" t="n"/>
      <c r="B421" s="23" t="n"/>
      <c r="C421" s="23" t="n"/>
      <c r="D421" s="24" t="n"/>
      <c r="E421" s="25" t="n"/>
      <c r="F421" s="26" t="n"/>
      <c r="G421" s="24" t="n"/>
      <c r="H421" s="25" t="n"/>
      <c r="I421" s="21">
        <f>IF(OR($B421="",$H421=""),"",IF($C421="LONG",($H421-$E421)*$F421,($E421-$H421)*$F421))</f>
        <v/>
      </c>
      <c r="J421" s="22">
        <f>IF(OR($B421="",$I421="",$E421=0,$F421=0),"",$I421/($E421*$F421))</f>
        <v/>
      </c>
      <c r="K421" s="4" t="n"/>
      <c r="L421" s="21">
        <f>IF(OR($B421="",$I421=""),"",$I421-IF($K421="",0,$K421))</f>
        <v/>
      </c>
      <c r="M421" s="22">
        <f>IF(OR($B421="",$L421="",$E421=0,$F421=0),"",$L421/($E421*$F421))</f>
        <v/>
      </c>
      <c r="N421" s="27">
        <f>IF($B421="","",IF($H421="","Open","Closed"))</f>
        <v/>
      </c>
      <c r="O421" s="23" t="n"/>
    </row>
    <row r="422">
      <c r="A422" s="23" t="n"/>
      <c r="B422" s="23" t="n"/>
      <c r="C422" s="23" t="n"/>
      <c r="D422" s="24" t="n"/>
      <c r="E422" s="25" t="n"/>
      <c r="F422" s="26" t="n"/>
      <c r="G422" s="24" t="n"/>
      <c r="H422" s="25" t="n"/>
      <c r="I422" s="21">
        <f>IF(OR($B422="",$H422=""),"",IF($C422="LONG",($H422-$E422)*$F422,($E422-$H422)*$F422))</f>
        <v/>
      </c>
      <c r="J422" s="22">
        <f>IF(OR($B422="",$I422="",$E422=0,$F422=0),"",$I422/($E422*$F422))</f>
        <v/>
      </c>
      <c r="K422" s="4" t="n"/>
      <c r="L422" s="21">
        <f>IF(OR($B422="",$I422=""),"",$I422-IF($K422="",0,$K422))</f>
        <v/>
      </c>
      <c r="M422" s="22">
        <f>IF(OR($B422="",$L422="",$E422=0,$F422=0),"",$L422/($E422*$F422))</f>
        <v/>
      </c>
      <c r="N422" s="27">
        <f>IF($B422="","",IF($H422="","Open","Closed"))</f>
        <v/>
      </c>
      <c r="O422" s="23" t="n"/>
    </row>
    <row r="423">
      <c r="A423" s="23" t="n"/>
      <c r="B423" s="23" t="n"/>
      <c r="C423" s="23" t="n"/>
      <c r="D423" s="24" t="n"/>
      <c r="E423" s="25" t="n"/>
      <c r="F423" s="26" t="n"/>
      <c r="G423" s="24" t="n"/>
      <c r="H423" s="25" t="n"/>
      <c r="I423" s="21">
        <f>IF(OR($B423="",$H423=""),"",IF($C423="LONG",($H423-$E423)*$F423,($E423-$H423)*$F423))</f>
        <v/>
      </c>
      <c r="J423" s="22">
        <f>IF(OR($B423="",$I423="",$E423=0,$F423=0),"",$I423/($E423*$F423))</f>
        <v/>
      </c>
      <c r="K423" s="4" t="n"/>
      <c r="L423" s="21">
        <f>IF(OR($B423="",$I423=""),"",$I423-IF($K423="",0,$K423))</f>
        <v/>
      </c>
      <c r="M423" s="22">
        <f>IF(OR($B423="",$L423="",$E423=0,$F423=0),"",$L423/($E423*$F423))</f>
        <v/>
      </c>
      <c r="N423" s="27">
        <f>IF($B423="","",IF($H423="","Open","Closed"))</f>
        <v/>
      </c>
      <c r="O423" s="23" t="n"/>
    </row>
    <row r="424">
      <c r="A424" s="23" t="n"/>
      <c r="B424" s="23" t="n"/>
      <c r="C424" s="23" t="n"/>
      <c r="D424" s="24" t="n"/>
      <c r="E424" s="25" t="n"/>
      <c r="F424" s="26" t="n"/>
      <c r="G424" s="24" t="n"/>
      <c r="H424" s="25" t="n"/>
      <c r="I424" s="21">
        <f>IF(OR($B424="",$H424=""),"",IF($C424="LONG",($H424-$E424)*$F424,($E424-$H424)*$F424))</f>
        <v/>
      </c>
      <c r="J424" s="22">
        <f>IF(OR($B424="",$I424="",$E424=0,$F424=0),"",$I424/($E424*$F424))</f>
        <v/>
      </c>
      <c r="K424" s="4" t="n"/>
      <c r="L424" s="21">
        <f>IF(OR($B424="",$I424=""),"",$I424-IF($K424="",0,$K424))</f>
        <v/>
      </c>
      <c r="M424" s="22">
        <f>IF(OR($B424="",$L424="",$E424=0,$F424=0),"",$L424/($E424*$F424))</f>
        <v/>
      </c>
      <c r="N424" s="27">
        <f>IF($B424="","",IF($H424="","Open","Closed"))</f>
        <v/>
      </c>
      <c r="O424" s="23" t="n"/>
    </row>
    <row r="425">
      <c r="A425" s="23" t="n"/>
      <c r="B425" s="23" t="n"/>
      <c r="C425" s="23" t="n"/>
      <c r="D425" s="24" t="n"/>
      <c r="E425" s="25" t="n"/>
      <c r="F425" s="26" t="n"/>
      <c r="G425" s="24" t="n"/>
      <c r="H425" s="25" t="n"/>
      <c r="I425" s="21">
        <f>IF(OR($B425="",$H425=""),"",IF($C425="LONG",($H425-$E425)*$F425,($E425-$H425)*$F425))</f>
        <v/>
      </c>
      <c r="J425" s="22">
        <f>IF(OR($B425="",$I425="",$E425=0,$F425=0),"",$I425/($E425*$F425))</f>
        <v/>
      </c>
      <c r="K425" s="4" t="n"/>
      <c r="L425" s="21">
        <f>IF(OR($B425="",$I425=""),"",$I425-IF($K425="",0,$K425))</f>
        <v/>
      </c>
      <c r="M425" s="22">
        <f>IF(OR($B425="",$L425="",$E425=0,$F425=0),"",$L425/($E425*$F425))</f>
        <v/>
      </c>
      <c r="N425" s="27">
        <f>IF($B425="","",IF($H425="","Open","Closed"))</f>
        <v/>
      </c>
      <c r="O425" s="23" t="n"/>
    </row>
    <row r="426">
      <c r="A426" s="23" t="n"/>
      <c r="B426" s="23" t="n"/>
      <c r="C426" s="23" t="n"/>
      <c r="D426" s="24" t="n"/>
      <c r="E426" s="25" t="n"/>
      <c r="F426" s="26" t="n"/>
      <c r="G426" s="24" t="n"/>
      <c r="H426" s="25" t="n"/>
      <c r="I426" s="21">
        <f>IF(OR($B426="",$H426=""),"",IF($C426="LONG",($H426-$E426)*$F426,($E426-$H426)*$F426))</f>
        <v/>
      </c>
      <c r="J426" s="22">
        <f>IF(OR($B426="",$I426="",$E426=0,$F426=0),"",$I426/($E426*$F426))</f>
        <v/>
      </c>
      <c r="K426" s="4" t="n"/>
      <c r="L426" s="21">
        <f>IF(OR($B426="",$I426=""),"",$I426-IF($K426="",0,$K426))</f>
        <v/>
      </c>
      <c r="M426" s="22">
        <f>IF(OR($B426="",$L426="",$E426=0,$F426=0),"",$L426/($E426*$F426))</f>
        <v/>
      </c>
      <c r="N426" s="27">
        <f>IF($B426="","",IF($H426="","Open","Closed"))</f>
        <v/>
      </c>
      <c r="O426" s="23" t="n"/>
    </row>
    <row r="427">
      <c r="A427" s="23" t="n"/>
      <c r="B427" s="23" t="n"/>
      <c r="C427" s="23" t="n"/>
      <c r="D427" s="24" t="n"/>
      <c r="E427" s="25" t="n"/>
      <c r="F427" s="26" t="n"/>
      <c r="G427" s="24" t="n"/>
      <c r="H427" s="25" t="n"/>
      <c r="I427" s="21">
        <f>IF(OR($B427="",$H427=""),"",IF($C427="LONG",($H427-$E427)*$F427,($E427-$H427)*$F427))</f>
        <v/>
      </c>
      <c r="J427" s="22">
        <f>IF(OR($B427="",$I427="",$E427=0,$F427=0),"",$I427/($E427*$F427))</f>
        <v/>
      </c>
      <c r="K427" s="4" t="n"/>
      <c r="L427" s="21">
        <f>IF(OR($B427="",$I427=""),"",$I427-IF($K427="",0,$K427))</f>
        <v/>
      </c>
      <c r="M427" s="22">
        <f>IF(OR($B427="",$L427="",$E427=0,$F427=0),"",$L427/($E427*$F427))</f>
        <v/>
      </c>
      <c r="N427" s="27">
        <f>IF($B427="","",IF($H427="","Open","Closed"))</f>
        <v/>
      </c>
      <c r="O427" s="23" t="n"/>
    </row>
    <row r="428">
      <c r="A428" s="23" t="n"/>
      <c r="B428" s="23" t="n"/>
      <c r="C428" s="23" t="n"/>
      <c r="D428" s="24" t="n"/>
      <c r="E428" s="25" t="n"/>
      <c r="F428" s="26" t="n"/>
      <c r="G428" s="24" t="n"/>
      <c r="H428" s="25" t="n"/>
      <c r="I428" s="21">
        <f>IF(OR($B428="",$H428=""),"",IF($C428="LONG",($H428-$E428)*$F428,($E428-$H428)*$F428))</f>
        <v/>
      </c>
      <c r="J428" s="22">
        <f>IF(OR($B428="",$I428="",$E428=0,$F428=0),"",$I428/($E428*$F428))</f>
        <v/>
      </c>
      <c r="K428" s="4" t="n"/>
      <c r="L428" s="21">
        <f>IF(OR($B428="",$I428=""),"",$I428-IF($K428="",0,$K428))</f>
        <v/>
      </c>
      <c r="M428" s="22">
        <f>IF(OR($B428="",$L428="",$E428=0,$F428=0),"",$L428/($E428*$F428))</f>
        <v/>
      </c>
      <c r="N428" s="27">
        <f>IF($B428="","",IF($H428="","Open","Closed"))</f>
        <v/>
      </c>
      <c r="O428" s="23" t="n"/>
    </row>
    <row r="429">
      <c r="A429" s="23" t="n"/>
      <c r="B429" s="23" t="n"/>
      <c r="C429" s="23" t="n"/>
      <c r="D429" s="24" t="n"/>
      <c r="E429" s="25" t="n"/>
      <c r="F429" s="26" t="n"/>
      <c r="G429" s="24" t="n"/>
      <c r="H429" s="25" t="n"/>
      <c r="I429" s="21">
        <f>IF(OR($B429="",$H429=""),"",IF($C429="LONG",($H429-$E429)*$F429,($E429-$H429)*$F429))</f>
        <v/>
      </c>
      <c r="J429" s="22">
        <f>IF(OR($B429="",$I429="",$E429=0,$F429=0),"",$I429/($E429*$F429))</f>
        <v/>
      </c>
      <c r="K429" s="4" t="n"/>
      <c r="L429" s="21">
        <f>IF(OR($B429="",$I429=""),"",$I429-IF($K429="",0,$K429))</f>
        <v/>
      </c>
      <c r="M429" s="22">
        <f>IF(OR($B429="",$L429="",$E429=0,$F429=0),"",$L429/($E429*$F429))</f>
        <v/>
      </c>
      <c r="N429" s="27">
        <f>IF($B429="","",IF($H429="","Open","Closed"))</f>
        <v/>
      </c>
      <c r="O429" s="23" t="n"/>
    </row>
    <row r="430">
      <c r="A430" s="23" t="n"/>
      <c r="B430" s="23" t="n"/>
      <c r="C430" s="23" t="n"/>
      <c r="D430" s="24" t="n"/>
      <c r="E430" s="25" t="n"/>
      <c r="F430" s="26" t="n"/>
      <c r="G430" s="24" t="n"/>
      <c r="H430" s="25" t="n"/>
      <c r="I430" s="21">
        <f>IF(OR($B430="",$H430=""),"",IF($C430="LONG",($H430-$E430)*$F430,($E430-$H430)*$F430))</f>
        <v/>
      </c>
      <c r="J430" s="22">
        <f>IF(OR($B430="",$I430="",$E430=0,$F430=0),"",$I430/($E430*$F430))</f>
        <v/>
      </c>
      <c r="K430" s="4" t="n"/>
      <c r="L430" s="21">
        <f>IF(OR($B430="",$I430=""),"",$I430-IF($K430="",0,$K430))</f>
        <v/>
      </c>
      <c r="M430" s="22">
        <f>IF(OR($B430="",$L430="",$E430=0,$F430=0),"",$L430/($E430*$F430))</f>
        <v/>
      </c>
      <c r="N430" s="27">
        <f>IF($B430="","",IF($H430="","Open","Closed"))</f>
        <v/>
      </c>
      <c r="O430" s="23" t="n"/>
    </row>
    <row r="431">
      <c r="A431" s="23" t="n"/>
      <c r="B431" s="23" t="n"/>
      <c r="C431" s="23" t="n"/>
      <c r="D431" s="24" t="n"/>
      <c r="E431" s="25" t="n"/>
      <c r="F431" s="26" t="n"/>
      <c r="G431" s="24" t="n"/>
      <c r="H431" s="25" t="n"/>
      <c r="I431" s="21">
        <f>IF(OR($B431="",$H431=""),"",IF($C431="LONG",($H431-$E431)*$F431,($E431-$H431)*$F431))</f>
        <v/>
      </c>
      <c r="J431" s="22">
        <f>IF(OR($B431="",$I431="",$E431=0,$F431=0),"",$I431/($E431*$F431))</f>
        <v/>
      </c>
      <c r="K431" s="4" t="n"/>
      <c r="L431" s="21">
        <f>IF(OR($B431="",$I431=""),"",$I431-IF($K431="",0,$K431))</f>
        <v/>
      </c>
      <c r="M431" s="22">
        <f>IF(OR($B431="",$L431="",$E431=0,$F431=0),"",$L431/($E431*$F431))</f>
        <v/>
      </c>
      <c r="N431" s="27">
        <f>IF($B431="","",IF($H431="","Open","Closed"))</f>
        <v/>
      </c>
      <c r="O431" s="23" t="n"/>
    </row>
    <row r="432">
      <c r="A432" s="23" t="n"/>
      <c r="B432" s="23" t="n"/>
      <c r="C432" s="23" t="n"/>
      <c r="D432" s="24" t="n"/>
      <c r="E432" s="25" t="n"/>
      <c r="F432" s="26" t="n"/>
      <c r="G432" s="24" t="n"/>
      <c r="H432" s="25" t="n"/>
      <c r="I432" s="21">
        <f>IF(OR($B432="",$H432=""),"",IF($C432="LONG",($H432-$E432)*$F432,($E432-$H432)*$F432))</f>
        <v/>
      </c>
      <c r="J432" s="22">
        <f>IF(OR($B432="",$I432="",$E432=0,$F432=0),"",$I432/($E432*$F432))</f>
        <v/>
      </c>
      <c r="K432" s="4" t="n"/>
      <c r="L432" s="21">
        <f>IF(OR($B432="",$I432=""),"",$I432-IF($K432="",0,$K432))</f>
        <v/>
      </c>
      <c r="M432" s="22">
        <f>IF(OR($B432="",$L432="",$E432=0,$F432=0),"",$L432/($E432*$F432))</f>
        <v/>
      </c>
      <c r="N432" s="27">
        <f>IF($B432="","",IF($H432="","Open","Closed"))</f>
        <v/>
      </c>
      <c r="O432" s="23" t="n"/>
    </row>
    <row r="433">
      <c r="A433" s="23" t="n"/>
      <c r="B433" s="23" t="n"/>
      <c r="C433" s="23" t="n"/>
      <c r="D433" s="24" t="n"/>
      <c r="E433" s="25" t="n"/>
      <c r="F433" s="26" t="n"/>
      <c r="G433" s="24" t="n"/>
      <c r="H433" s="25" t="n"/>
      <c r="I433" s="21">
        <f>IF(OR($B433="",$H433=""),"",IF($C433="LONG",($H433-$E433)*$F433,($E433-$H433)*$F433))</f>
        <v/>
      </c>
      <c r="J433" s="22">
        <f>IF(OR($B433="",$I433="",$E433=0,$F433=0),"",$I433/($E433*$F433))</f>
        <v/>
      </c>
      <c r="K433" s="4" t="n"/>
      <c r="L433" s="21">
        <f>IF(OR($B433="",$I433=""),"",$I433-IF($K433="",0,$K433))</f>
        <v/>
      </c>
      <c r="M433" s="22">
        <f>IF(OR($B433="",$L433="",$E433=0,$F433=0),"",$L433/($E433*$F433))</f>
        <v/>
      </c>
      <c r="N433" s="27">
        <f>IF($B433="","",IF($H433="","Open","Closed"))</f>
        <v/>
      </c>
      <c r="O433" s="23" t="n"/>
    </row>
    <row r="434">
      <c r="A434" s="23" t="n"/>
      <c r="B434" s="23" t="n"/>
      <c r="C434" s="23" t="n"/>
      <c r="D434" s="24" t="n"/>
      <c r="E434" s="25" t="n"/>
      <c r="F434" s="26" t="n"/>
      <c r="G434" s="24" t="n"/>
      <c r="H434" s="25" t="n"/>
      <c r="I434" s="21">
        <f>IF(OR($B434="",$H434=""),"",IF($C434="LONG",($H434-$E434)*$F434,($E434-$H434)*$F434))</f>
        <v/>
      </c>
      <c r="J434" s="22">
        <f>IF(OR($B434="",$I434="",$E434=0,$F434=0),"",$I434/($E434*$F434))</f>
        <v/>
      </c>
      <c r="K434" s="4" t="n"/>
      <c r="L434" s="21">
        <f>IF(OR($B434="",$I434=""),"",$I434-IF($K434="",0,$K434))</f>
        <v/>
      </c>
      <c r="M434" s="22">
        <f>IF(OR($B434="",$L434="",$E434=0,$F434=0),"",$L434/($E434*$F434))</f>
        <v/>
      </c>
      <c r="N434" s="27">
        <f>IF($B434="","",IF($H434="","Open","Closed"))</f>
        <v/>
      </c>
      <c r="O434" s="23" t="n"/>
    </row>
    <row r="435">
      <c r="A435" s="23" t="n"/>
      <c r="B435" s="23" t="n"/>
      <c r="C435" s="23" t="n"/>
      <c r="D435" s="24" t="n"/>
      <c r="E435" s="25" t="n"/>
      <c r="F435" s="26" t="n"/>
      <c r="G435" s="24" t="n"/>
      <c r="H435" s="25" t="n"/>
      <c r="I435" s="21">
        <f>IF(OR($B435="",$H435=""),"",IF($C435="LONG",($H435-$E435)*$F435,($E435-$H435)*$F435))</f>
        <v/>
      </c>
      <c r="J435" s="22">
        <f>IF(OR($B435="",$I435="",$E435=0,$F435=0),"",$I435/($E435*$F435))</f>
        <v/>
      </c>
      <c r="K435" s="4" t="n"/>
      <c r="L435" s="21">
        <f>IF(OR($B435="",$I435=""),"",$I435-IF($K435="",0,$K435))</f>
        <v/>
      </c>
      <c r="M435" s="22">
        <f>IF(OR($B435="",$L435="",$E435=0,$F435=0),"",$L435/($E435*$F435))</f>
        <v/>
      </c>
      <c r="N435" s="27">
        <f>IF($B435="","",IF($H435="","Open","Closed"))</f>
        <v/>
      </c>
      <c r="O435" s="23" t="n"/>
    </row>
    <row r="436">
      <c r="A436" s="23" t="n"/>
      <c r="B436" s="23" t="n"/>
      <c r="C436" s="23" t="n"/>
      <c r="D436" s="24" t="n"/>
      <c r="E436" s="25" t="n"/>
      <c r="F436" s="26" t="n"/>
      <c r="G436" s="24" t="n"/>
      <c r="H436" s="25" t="n"/>
      <c r="I436" s="21">
        <f>IF(OR($B436="",$H436=""),"",IF($C436="LONG",($H436-$E436)*$F436,($E436-$H436)*$F436))</f>
        <v/>
      </c>
      <c r="J436" s="22">
        <f>IF(OR($B436="",$I436="",$E436=0,$F436=0),"",$I436/($E436*$F436))</f>
        <v/>
      </c>
      <c r="K436" s="4" t="n"/>
      <c r="L436" s="21">
        <f>IF(OR($B436="",$I436=""),"",$I436-IF($K436="",0,$K436))</f>
        <v/>
      </c>
      <c r="M436" s="22">
        <f>IF(OR($B436="",$L436="",$E436=0,$F436=0),"",$L436/($E436*$F436))</f>
        <v/>
      </c>
      <c r="N436" s="27">
        <f>IF($B436="","",IF($H436="","Open","Closed"))</f>
        <v/>
      </c>
      <c r="O436" s="23" t="n"/>
    </row>
    <row r="437">
      <c r="A437" s="23" t="n"/>
      <c r="B437" s="23" t="n"/>
      <c r="C437" s="23" t="n"/>
      <c r="D437" s="24" t="n"/>
      <c r="E437" s="25" t="n"/>
      <c r="F437" s="26" t="n"/>
      <c r="G437" s="24" t="n"/>
      <c r="H437" s="25" t="n"/>
      <c r="I437" s="21">
        <f>IF(OR($B437="",$H437=""),"",IF($C437="LONG",($H437-$E437)*$F437,($E437-$H437)*$F437))</f>
        <v/>
      </c>
      <c r="J437" s="22">
        <f>IF(OR($B437="",$I437="",$E437=0,$F437=0),"",$I437/($E437*$F437))</f>
        <v/>
      </c>
      <c r="K437" s="4" t="n"/>
      <c r="L437" s="21">
        <f>IF(OR($B437="",$I437=""),"",$I437-IF($K437="",0,$K437))</f>
        <v/>
      </c>
      <c r="M437" s="22">
        <f>IF(OR($B437="",$L437="",$E437=0,$F437=0),"",$L437/($E437*$F437))</f>
        <v/>
      </c>
      <c r="N437" s="27">
        <f>IF($B437="","",IF($H437="","Open","Closed"))</f>
        <v/>
      </c>
      <c r="O437" s="23" t="n"/>
    </row>
    <row r="438">
      <c r="A438" s="23" t="n"/>
      <c r="B438" s="23" t="n"/>
      <c r="C438" s="23" t="n"/>
      <c r="D438" s="24" t="n"/>
      <c r="E438" s="25" t="n"/>
      <c r="F438" s="26" t="n"/>
      <c r="G438" s="24" t="n"/>
      <c r="H438" s="25" t="n"/>
      <c r="I438" s="21">
        <f>IF(OR($B438="",$H438=""),"",IF($C438="LONG",($H438-$E438)*$F438,($E438-$H438)*$F438))</f>
        <v/>
      </c>
      <c r="J438" s="22">
        <f>IF(OR($B438="",$I438="",$E438=0,$F438=0),"",$I438/($E438*$F438))</f>
        <v/>
      </c>
      <c r="K438" s="4" t="n"/>
      <c r="L438" s="21">
        <f>IF(OR($B438="",$I438=""),"",$I438-IF($K438="",0,$K438))</f>
        <v/>
      </c>
      <c r="M438" s="22">
        <f>IF(OR($B438="",$L438="",$E438=0,$F438=0),"",$L438/($E438*$F438))</f>
        <v/>
      </c>
      <c r="N438" s="27">
        <f>IF($B438="","",IF($H438="","Open","Closed"))</f>
        <v/>
      </c>
      <c r="O438" s="23" t="n"/>
    </row>
    <row r="439">
      <c r="A439" s="23" t="n"/>
      <c r="B439" s="23" t="n"/>
      <c r="C439" s="23" t="n"/>
      <c r="D439" s="24" t="n"/>
      <c r="E439" s="25" t="n"/>
      <c r="F439" s="26" t="n"/>
      <c r="G439" s="24" t="n"/>
      <c r="H439" s="25" t="n"/>
      <c r="I439" s="21">
        <f>IF(OR($B439="",$H439=""),"",IF($C439="LONG",($H439-$E439)*$F439,($E439-$H439)*$F439))</f>
        <v/>
      </c>
      <c r="J439" s="22">
        <f>IF(OR($B439="",$I439="",$E439=0,$F439=0),"",$I439/($E439*$F439))</f>
        <v/>
      </c>
      <c r="K439" s="4" t="n"/>
      <c r="L439" s="21">
        <f>IF(OR($B439="",$I439=""),"",$I439-IF($K439="",0,$K439))</f>
        <v/>
      </c>
      <c r="M439" s="22">
        <f>IF(OR($B439="",$L439="",$E439=0,$F439=0),"",$L439/($E439*$F439))</f>
        <v/>
      </c>
      <c r="N439" s="27">
        <f>IF($B439="","",IF($H439="","Open","Closed"))</f>
        <v/>
      </c>
      <c r="O439" s="23" t="n"/>
    </row>
    <row r="440">
      <c r="A440" s="23" t="n"/>
      <c r="B440" s="23" t="n"/>
      <c r="C440" s="23" t="n"/>
      <c r="D440" s="24" t="n"/>
      <c r="E440" s="25" t="n"/>
      <c r="F440" s="26" t="n"/>
      <c r="G440" s="24" t="n"/>
      <c r="H440" s="25" t="n"/>
      <c r="I440" s="21">
        <f>IF(OR($B440="",$H440=""),"",IF($C440="LONG",($H440-$E440)*$F440,($E440-$H440)*$F440))</f>
        <v/>
      </c>
      <c r="J440" s="22">
        <f>IF(OR($B440="",$I440="",$E440=0,$F440=0),"",$I440/($E440*$F440))</f>
        <v/>
      </c>
      <c r="K440" s="4" t="n"/>
      <c r="L440" s="21">
        <f>IF(OR($B440="",$I440=""),"",$I440-IF($K440="",0,$K440))</f>
        <v/>
      </c>
      <c r="M440" s="22">
        <f>IF(OR($B440="",$L440="",$E440=0,$F440=0),"",$L440/($E440*$F440))</f>
        <v/>
      </c>
      <c r="N440" s="27">
        <f>IF($B440="","",IF($H440="","Open","Closed"))</f>
        <v/>
      </c>
      <c r="O440" s="23" t="n"/>
    </row>
    <row r="441">
      <c r="A441" s="23" t="n"/>
      <c r="B441" s="23" t="n"/>
      <c r="C441" s="23" t="n"/>
      <c r="D441" s="24" t="n"/>
      <c r="E441" s="25" t="n"/>
      <c r="F441" s="26" t="n"/>
      <c r="G441" s="24" t="n"/>
      <c r="H441" s="25" t="n"/>
      <c r="I441" s="21">
        <f>IF(OR($B441="",$H441=""),"",IF($C441="LONG",($H441-$E441)*$F441,($E441-$H441)*$F441))</f>
        <v/>
      </c>
      <c r="J441" s="22">
        <f>IF(OR($B441="",$I441="",$E441=0,$F441=0),"",$I441/($E441*$F441))</f>
        <v/>
      </c>
      <c r="K441" s="4" t="n"/>
      <c r="L441" s="21">
        <f>IF(OR($B441="",$I441=""),"",$I441-IF($K441="",0,$K441))</f>
        <v/>
      </c>
      <c r="M441" s="22">
        <f>IF(OR($B441="",$L441="",$E441=0,$F441=0),"",$L441/($E441*$F441))</f>
        <v/>
      </c>
      <c r="N441" s="27">
        <f>IF($B441="","",IF($H441="","Open","Closed"))</f>
        <v/>
      </c>
      <c r="O441" s="23" t="n"/>
    </row>
    <row r="442">
      <c r="A442" s="23" t="n"/>
      <c r="B442" s="23" t="n"/>
      <c r="C442" s="23" t="n"/>
      <c r="D442" s="24" t="n"/>
      <c r="E442" s="25" t="n"/>
      <c r="F442" s="26" t="n"/>
      <c r="G442" s="24" t="n"/>
      <c r="H442" s="25" t="n"/>
      <c r="I442" s="21">
        <f>IF(OR($B442="",$H442=""),"",IF($C442="LONG",($H442-$E442)*$F442,($E442-$H442)*$F442))</f>
        <v/>
      </c>
      <c r="J442" s="22">
        <f>IF(OR($B442="",$I442="",$E442=0,$F442=0),"",$I442/($E442*$F442))</f>
        <v/>
      </c>
      <c r="K442" s="4" t="n"/>
      <c r="L442" s="21">
        <f>IF(OR($B442="",$I442=""),"",$I442-IF($K442="",0,$K442))</f>
        <v/>
      </c>
      <c r="M442" s="22">
        <f>IF(OR($B442="",$L442="",$E442=0,$F442=0),"",$L442/($E442*$F442))</f>
        <v/>
      </c>
      <c r="N442" s="27">
        <f>IF($B442="","",IF($H442="","Open","Closed"))</f>
        <v/>
      </c>
      <c r="O442" s="23" t="n"/>
    </row>
    <row r="443">
      <c r="A443" s="23" t="n"/>
      <c r="B443" s="23" t="n"/>
      <c r="C443" s="23" t="n"/>
      <c r="D443" s="24" t="n"/>
      <c r="E443" s="25" t="n"/>
      <c r="F443" s="26" t="n"/>
      <c r="G443" s="24" t="n"/>
      <c r="H443" s="25" t="n"/>
      <c r="I443" s="21">
        <f>IF(OR($B443="",$H443=""),"",IF($C443="LONG",($H443-$E443)*$F443,($E443-$H443)*$F443))</f>
        <v/>
      </c>
      <c r="J443" s="22">
        <f>IF(OR($B443="",$I443="",$E443=0,$F443=0),"",$I443/($E443*$F443))</f>
        <v/>
      </c>
      <c r="K443" s="4" t="n"/>
      <c r="L443" s="21">
        <f>IF(OR($B443="",$I443=""),"",$I443-IF($K443="",0,$K443))</f>
        <v/>
      </c>
      <c r="M443" s="22">
        <f>IF(OR($B443="",$L443="",$E443=0,$F443=0),"",$L443/($E443*$F443))</f>
        <v/>
      </c>
      <c r="N443" s="27">
        <f>IF($B443="","",IF($H443="","Open","Closed"))</f>
        <v/>
      </c>
      <c r="O443" s="23" t="n"/>
    </row>
    <row r="444">
      <c r="A444" s="23" t="n"/>
      <c r="B444" s="23" t="n"/>
      <c r="C444" s="23" t="n"/>
      <c r="D444" s="24" t="n"/>
      <c r="E444" s="25" t="n"/>
      <c r="F444" s="26" t="n"/>
      <c r="G444" s="24" t="n"/>
      <c r="H444" s="25" t="n"/>
      <c r="I444" s="21">
        <f>IF(OR($B444="",$H444=""),"",IF($C444="LONG",($H444-$E444)*$F444,($E444-$H444)*$F444))</f>
        <v/>
      </c>
      <c r="J444" s="22">
        <f>IF(OR($B444="",$I444="",$E444=0,$F444=0),"",$I444/($E444*$F444))</f>
        <v/>
      </c>
      <c r="K444" s="4" t="n"/>
      <c r="L444" s="21">
        <f>IF(OR($B444="",$I444=""),"",$I444-IF($K444="",0,$K444))</f>
        <v/>
      </c>
      <c r="M444" s="22">
        <f>IF(OR($B444="",$L444="",$E444=0,$F444=0),"",$L444/($E444*$F444))</f>
        <v/>
      </c>
      <c r="N444" s="27">
        <f>IF($B444="","",IF($H444="","Open","Closed"))</f>
        <v/>
      </c>
      <c r="O444" s="23" t="n"/>
    </row>
    <row r="445">
      <c r="A445" s="23" t="n"/>
      <c r="B445" s="23" t="n"/>
      <c r="C445" s="23" t="n"/>
      <c r="D445" s="24" t="n"/>
      <c r="E445" s="25" t="n"/>
      <c r="F445" s="26" t="n"/>
      <c r="G445" s="24" t="n"/>
      <c r="H445" s="25" t="n"/>
      <c r="I445" s="21">
        <f>IF(OR($B445="",$H445=""),"",IF($C445="LONG",($H445-$E445)*$F445,($E445-$H445)*$F445))</f>
        <v/>
      </c>
      <c r="J445" s="22">
        <f>IF(OR($B445="",$I445="",$E445=0,$F445=0),"",$I445/($E445*$F445))</f>
        <v/>
      </c>
      <c r="K445" s="4" t="n"/>
      <c r="L445" s="21">
        <f>IF(OR($B445="",$I445=""),"",$I445-IF($K445="",0,$K445))</f>
        <v/>
      </c>
      <c r="M445" s="22">
        <f>IF(OR($B445="",$L445="",$E445=0,$F445=0),"",$L445/($E445*$F445))</f>
        <v/>
      </c>
      <c r="N445" s="27">
        <f>IF($B445="","",IF($H445="","Open","Closed"))</f>
        <v/>
      </c>
      <c r="O445" s="23" t="n"/>
    </row>
    <row r="446">
      <c r="A446" s="23" t="n"/>
      <c r="B446" s="23" t="n"/>
      <c r="C446" s="23" t="n"/>
      <c r="D446" s="24" t="n"/>
      <c r="E446" s="25" t="n"/>
      <c r="F446" s="26" t="n"/>
      <c r="G446" s="24" t="n"/>
      <c r="H446" s="25" t="n"/>
      <c r="I446" s="21">
        <f>IF(OR($B446="",$H446=""),"",IF($C446="LONG",($H446-$E446)*$F446,($E446-$H446)*$F446))</f>
        <v/>
      </c>
      <c r="J446" s="22">
        <f>IF(OR($B446="",$I446="",$E446=0,$F446=0),"",$I446/($E446*$F446))</f>
        <v/>
      </c>
      <c r="K446" s="4" t="n"/>
      <c r="L446" s="21">
        <f>IF(OR($B446="",$I446=""),"",$I446-IF($K446="",0,$K446))</f>
        <v/>
      </c>
      <c r="M446" s="22">
        <f>IF(OR($B446="",$L446="",$E446=0,$F446=0),"",$L446/($E446*$F446))</f>
        <v/>
      </c>
      <c r="N446" s="27">
        <f>IF($B446="","",IF($H446="","Open","Closed"))</f>
        <v/>
      </c>
      <c r="O446" s="23" t="n"/>
    </row>
    <row r="447">
      <c r="A447" s="23" t="n"/>
      <c r="B447" s="23" t="n"/>
      <c r="C447" s="23" t="n"/>
      <c r="D447" s="24" t="n"/>
      <c r="E447" s="25" t="n"/>
      <c r="F447" s="26" t="n"/>
      <c r="G447" s="24" t="n"/>
      <c r="H447" s="25" t="n"/>
      <c r="I447" s="21">
        <f>IF(OR($B447="",$H447=""),"",IF($C447="LONG",($H447-$E447)*$F447,($E447-$H447)*$F447))</f>
        <v/>
      </c>
      <c r="J447" s="22">
        <f>IF(OR($B447="",$I447="",$E447=0,$F447=0),"",$I447/($E447*$F447))</f>
        <v/>
      </c>
      <c r="K447" s="4" t="n"/>
      <c r="L447" s="21">
        <f>IF(OR($B447="",$I447=""),"",$I447-IF($K447="",0,$K447))</f>
        <v/>
      </c>
      <c r="M447" s="22">
        <f>IF(OR($B447="",$L447="",$E447=0,$F447=0),"",$L447/($E447*$F447))</f>
        <v/>
      </c>
      <c r="N447" s="27">
        <f>IF($B447="","",IF($H447="","Open","Closed"))</f>
        <v/>
      </c>
      <c r="O447" s="23" t="n"/>
    </row>
    <row r="448">
      <c r="A448" s="23" t="n"/>
      <c r="B448" s="23" t="n"/>
      <c r="C448" s="23" t="n"/>
      <c r="D448" s="24" t="n"/>
      <c r="E448" s="25" t="n"/>
      <c r="F448" s="26" t="n"/>
      <c r="G448" s="24" t="n"/>
      <c r="H448" s="25" t="n"/>
      <c r="I448" s="21">
        <f>IF(OR($B448="",$H448=""),"",IF($C448="LONG",($H448-$E448)*$F448,($E448-$H448)*$F448))</f>
        <v/>
      </c>
      <c r="J448" s="22">
        <f>IF(OR($B448="",$I448="",$E448=0,$F448=0),"",$I448/($E448*$F448))</f>
        <v/>
      </c>
      <c r="K448" s="4" t="n"/>
      <c r="L448" s="21">
        <f>IF(OR($B448="",$I448=""),"",$I448-IF($K448="",0,$K448))</f>
        <v/>
      </c>
      <c r="M448" s="22">
        <f>IF(OR($B448="",$L448="",$E448=0,$F448=0),"",$L448/($E448*$F448))</f>
        <v/>
      </c>
      <c r="N448" s="27">
        <f>IF($B448="","",IF($H448="","Open","Closed"))</f>
        <v/>
      </c>
      <c r="O448" s="23" t="n"/>
    </row>
    <row r="449">
      <c r="A449" s="23" t="n"/>
      <c r="B449" s="23" t="n"/>
      <c r="C449" s="23" t="n"/>
      <c r="D449" s="24" t="n"/>
      <c r="E449" s="25" t="n"/>
      <c r="F449" s="26" t="n"/>
      <c r="G449" s="24" t="n"/>
      <c r="H449" s="25" t="n"/>
      <c r="I449" s="21">
        <f>IF(OR($B449="",$H449=""),"",IF($C449="LONG",($H449-$E449)*$F449,($E449-$H449)*$F449))</f>
        <v/>
      </c>
      <c r="J449" s="22">
        <f>IF(OR($B449="",$I449="",$E449=0,$F449=0),"",$I449/($E449*$F449))</f>
        <v/>
      </c>
      <c r="K449" s="4" t="n"/>
      <c r="L449" s="21">
        <f>IF(OR($B449="",$I449=""),"",$I449-IF($K449="",0,$K449))</f>
        <v/>
      </c>
      <c r="M449" s="22">
        <f>IF(OR($B449="",$L449="",$E449=0,$F449=0),"",$L449/($E449*$F449))</f>
        <v/>
      </c>
      <c r="N449" s="27">
        <f>IF($B449="","",IF($H449="","Open","Closed"))</f>
        <v/>
      </c>
      <c r="O449" s="23" t="n"/>
    </row>
    <row r="450">
      <c r="A450" s="23" t="n"/>
      <c r="B450" s="23" t="n"/>
      <c r="C450" s="23" t="n"/>
      <c r="D450" s="24" t="n"/>
      <c r="E450" s="25" t="n"/>
      <c r="F450" s="26" t="n"/>
      <c r="G450" s="24" t="n"/>
      <c r="H450" s="25" t="n"/>
      <c r="I450" s="21">
        <f>IF(OR($B450="",$H450=""),"",IF($C450="LONG",($H450-$E450)*$F450,($E450-$H450)*$F450))</f>
        <v/>
      </c>
      <c r="J450" s="22">
        <f>IF(OR($B450="",$I450="",$E450=0,$F450=0),"",$I450/($E450*$F450))</f>
        <v/>
      </c>
      <c r="K450" s="4" t="n"/>
      <c r="L450" s="21">
        <f>IF(OR($B450="",$I450=""),"",$I450-IF($K450="",0,$K450))</f>
        <v/>
      </c>
      <c r="M450" s="22">
        <f>IF(OR($B450="",$L450="",$E450=0,$F450=0),"",$L450/($E450*$F450))</f>
        <v/>
      </c>
      <c r="N450" s="27">
        <f>IF($B450="","",IF($H450="","Open","Closed"))</f>
        <v/>
      </c>
      <c r="O450" s="23" t="n"/>
    </row>
    <row r="451">
      <c r="A451" s="23" t="n"/>
      <c r="B451" s="23" t="n"/>
      <c r="C451" s="23" t="n"/>
      <c r="D451" s="24" t="n"/>
      <c r="E451" s="25" t="n"/>
      <c r="F451" s="26" t="n"/>
      <c r="G451" s="24" t="n"/>
      <c r="H451" s="25" t="n"/>
      <c r="I451" s="21">
        <f>IF(OR($B451="",$H451=""),"",IF($C451="LONG",($H451-$E451)*$F451,($E451-$H451)*$F451))</f>
        <v/>
      </c>
      <c r="J451" s="22">
        <f>IF(OR($B451="",$I451="",$E451=0,$F451=0),"",$I451/($E451*$F451))</f>
        <v/>
      </c>
      <c r="K451" s="4" t="n"/>
      <c r="L451" s="21">
        <f>IF(OR($B451="",$I451=""),"",$I451-IF($K451="",0,$K451))</f>
        <v/>
      </c>
      <c r="M451" s="22">
        <f>IF(OR($B451="",$L451="",$E451=0,$F451=0),"",$L451/($E451*$F451))</f>
        <v/>
      </c>
      <c r="N451" s="27">
        <f>IF($B451="","",IF($H451="","Open","Closed"))</f>
        <v/>
      </c>
      <c r="O451" s="23" t="n"/>
    </row>
    <row r="452">
      <c r="A452" s="23" t="n"/>
      <c r="B452" s="23" t="n"/>
      <c r="C452" s="23" t="n"/>
      <c r="D452" s="24" t="n"/>
      <c r="E452" s="25" t="n"/>
      <c r="F452" s="26" t="n"/>
      <c r="G452" s="24" t="n"/>
      <c r="H452" s="25" t="n"/>
      <c r="I452" s="21">
        <f>IF(OR($B452="",$H452=""),"",IF($C452="LONG",($H452-$E452)*$F452,($E452-$H452)*$F452))</f>
        <v/>
      </c>
      <c r="J452" s="22">
        <f>IF(OR($B452="",$I452="",$E452=0,$F452=0),"",$I452/($E452*$F452))</f>
        <v/>
      </c>
      <c r="K452" s="4" t="n"/>
      <c r="L452" s="21">
        <f>IF(OR($B452="",$I452=""),"",$I452-IF($K452="",0,$K452))</f>
        <v/>
      </c>
      <c r="M452" s="22">
        <f>IF(OR($B452="",$L452="",$E452=0,$F452=0),"",$L452/($E452*$F452))</f>
        <v/>
      </c>
      <c r="N452" s="27">
        <f>IF($B452="","",IF($H452="","Open","Closed"))</f>
        <v/>
      </c>
      <c r="O452" s="23" t="n"/>
    </row>
    <row r="453">
      <c r="A453" s="23" t="n"/>
      <c r="B453" s="23" t="n"/>
      <c r="C453" s="23" t="n"/>
      <c r="D453" s="24" t="n"/>
      <c r="E453" s="25" t="n"/>
      <c r="F453" s="26" t="n"/>
      <c r="G453" s="24" t="n"/>
      <c r="H453" s="25" t="n"/>
      <c r="I453" s="21">
        <f>IF(OR($B453="",$H453=""),"",IF($C453="LONG",($H453-$E453)*$F453,($E453-$H453)*$F453))</f>
        <v/>
      </c>
      <c r="J453" s="22">
        <f>IF(OR($B453="",$I453="",$E453=0,$F453=0),"",$I453/($E453*$F453))</f>
        <v/>
      </c>
      <c r="K453" s="4" t="n"/>
      <c r="L453" s="21">
        <f>IF(OR($B453="",$I453=""),"",$I453-IF($K453="",0,$K453))</f>
        <v/>
      </c>
      <c r="M453" s="22">
        <f>IF(OR($B453="",$L453="",$E453=0,$F453=0),"",$L453/($E453*$F453))</f>
        <v/>
      </c>
      <c r="N453" s="27">
        <f>IF($B453="","",IF($H453="","Open","Closed"))</f>
        <v/>
      </c>
      <c r="O453" s="23" t="n"/>
    </row>
    <row r="454">
      <c r="A454" s="23" t="n"/>
      <c r="B454" s="23" t="n"/>
      <c r="C454" s="23" t="n"/>
      <c r="D454" s="24" t="n"/>
      <c r="E454" s="25" t="n"/>
      <c r="F454" s="26" t="n"/>
      <c r="G454" s="24" t="n"/>
      <c r="H454" s="25" t="n"/>
      <c r="I454" s="21">
        <f>IF(OR($B454="",$H454=""),"",IF($C454="LONG",($H454-$E454)*$F454,($E454-$H454)*$F454))</f>
        <v/>
      </c>
      <c r="J454" s="22">
        <f>IF(OR($B454="",$I454="",$E454=0,$F454=0),"",$I454/($E454*$F454))</f>
        <v/>
      </c>
      <c r="K454" s="4" t="n"/>
      <c r="L454" s="21">
        <f>IF(OR($B454="",$I454=""),"",$I454-IF($K454="",0,$K454))</f>
        <v/>
      </c>
      <c r="M454" s="22">
        <f>IF(OR($B454="",$L454="",$E454=0,$F454=0),"",$L454/($E454*$F454))</f>
        <v/>
      </c>
      <c r="N454" s="27">
        <f>IF($B454="","",IF($H454="","Open","Closed"))</f>
        <v/>
      </c>
      <c r="O454" s="23" t="n"/>
    </row>
    <row r="455">
      <c r="A455" s="23" t="n"/>
      <c r="B455" s="23" t="n"/>
      <c r="C455" s="23" t="n"/>
      <c r="D455" s="24" t="n"/>
      <c r="E455" s="25" t="n"/>
      <c r="F455" s="26" t="n"/>
      <c r="G455" s="24" t="n"/>
      <c r="H455" s="25" t="n"/>
      <c r="I455" s="21">
        <f>IF(OR($B455="",$H455=""),"",IF($C455="LONG",($H455-$E455)*$F455,($E455-$H455)*$F455))</f>
        <v/>
      </c>
      <c r="J455" s="22">
        <f>IF(OR($B455="",$I455="",$E455=0,$F455=0),"",$I455/($E455*$F455))</f>
        <v/>
      </c>
      <c r="K455" s="4" t="n"/>
      <c r="L455" s="21">
        <f>IF(OR($B455="",$I455=""),"",$I455-IF($K455="",0,$K455))</f>
        <v/>
      </c>
      <c r="M455" s="22">
        <f>IF(OR($B455="",$L455="",$E455=0,$F455=0),"",$L455/($E455*$F455))</f>
        <v/>
      </c>
      <c r="N455" s="27">
        <f>IF($B455="","",IF($H455="","Open","Closed"))</f>
        <v/>
      </c>
      <c r="O455" s="23" t="n"/>
    </row>
    <row r="456">
      <c r="A456" s="23" t="n"/>
      <c r="B456" s="23" t="n"/>
      <c r="C456" s="23" t="n"/>
      <c r="D456" s="24" t="n"/>
      <c r="E456" s="25" t="n"/>
      <c r="F456" s="26" t="n"/>
      <c r="G456" s="24" t="n"/>
      <c r="H456" s="25" t="n"/>
      <c r="I456" s="21">
        <f>IF(OR($B456="",$H456=""),"",IF($C456="LONG",($H456-$E456)*$F456,($E456-$H456)*$F456))</f>
        <v/>
      </c>
      <c r="J456" s="22">
        <f>IF(OR($B456="",$I456="",$E456=0,$F456=0),"",$I456/($E456*$F456))</f>
        <v/>
      </c>
      <c r="K456" s="4" t="n"/>
      <c r="L456" s="21">
        <f>IF(OR($B456="",$I456=""),"",$I456-IF($K456="",0,$K456))</f>
        <v/>
      </c>
      <c r="M456" s="22">
        <f>IF(OR($B456="",$L456="",$E456=0,$F456=0),"",$L456/($E456*$F456))</f>
        <v/>
      </c>
      <c r="N456" s="27">
        <f>IF($B456="","",IF($H456="","Open","Closed"))</f>
        <v/>
      </c>
      <c r="O456" s="23" t="n"/>
    </row>
    <row r="457">
      <c r="A457" s="23" t="n"/>
      <c r="B457" s="23" t="n"/>
      <c r="C457" s="23" t="n"/>
      <c r="D457" s="24" t="n"/>
      <c r="E457" s="25" t="n"/>
      <c r="F457" s="26" t="n"/>
      <c r="G457" s="24" t="n"/>
      <c r="H457" s="25" t="n"/>
      <c r="I457" s="21">
        <f>IF(OR($B457="",$H457=""),"",IF($C457="LONG",($H457-$E457)*$F457,($E457-$H457)*$F457))</f>
        <v/>
      </c>
      <c r="J457" s="22">
        <f>IF(OR($B457="",$I457="",$E457=0,$F457=0),"",$I457/($E457*$F457))</f>
        <v/>
      </c>
      <c r="K457" s="4" t="n"/>
      <c r="L457" s="21">
        <f>IF(OR($B457="",$I457=""),"",$I457-IF($K457="",0,$K457))</f>
        <v/>
      </c>
      <c r="M457" s="22">
        <f>IF(OR($B457="",$L457="",$E457=0,$F457=0),"",$L457/($E457*$F457))</f>
        <v/>
      </c>
      <c r="N457" s="27">
        <f>IF($B457="","",IF($H457="","Open","Closed"))</f>
        <v/>
      </c>
      <c r="O457" s="23" t="n"/>
    </row>
    <row r="458">
      <c r="A458" s="23" t="n"/>
      <c r="B458" s="23" t="n"/>
      <c r="C458" s="23" t="n"/>
      <c r="D458" s="24" t="n"/>
      <c r="E458" s="25" t="n"/>
      <c r="F458" s="26" t="n"/>
      <c r="G458" s="24" t="n"/>
      <c r="H458" s="25" t="n"/>
      <c r="I458" s="21">
        <f>IF(OR($B458="",$H458=""),"",IF($C458="LONG",($H458-$E458)*$F458,($E458-$H458)*$F458))</f>
        <v/>
      </c>
      <c r="J458" s="22">
        <f>IF(OR($B458="",$I458="",$E458=0,$F458=0),"",$I458/($E458*$F458))</f>
        <v/>
      </c>
      <c r="K458" s="4" t="n"/>
      <c r="L458" s="21">
        <f>IF(OR($B458="",$I458=""),"",$I458-IF($K458="",0,$K458))</f>
        <v/>
      </c>
      <c r="M458" s="22">
        <f>IF(OR($B458="",$L458="",$E458=0,$F458=0),"",$L458/($E458*$F458))</f>
        <v/>
      </c>
      <c r="N458" s="27">
        <f>IF($B458="","",IF($H458="","Open","Closed"))</f>
        <v/>
      </c>
      <c r="O458" s="23" t="n"/>
    </row>
    <row r="459">
      <c r="A459" s="23" t="n"/>
      <c r="B459" s="23" t="n"/>
      <c r="C459" s="23" t="n"/>
      <c r="D459" s="24" t="n"/>
      <c r="E459" s="25" t="n"/>
      <c r="F459" s="26" t="n"/>
      <c r="G459" s="24" t="n"/>
      <c r="H459" s="25" t="n"/>
      <c r="I459" s="21">
        <f>IF(OR($B459="",$H459=""),"",IF($C459="LONG",($H459-$E459)*$F459,($E459-$H459)*$F459))</f>
        <v/>
      </c>
      <c r="J459" s="22">
        <f>IF(OR($B459="",$I459="",$E459=0,$F459=0),"",$I459/($E459*$F459))</f>
        <v/>
      </c>
      <c r="K459" s="4" t="n"/>
      <c r="L459" s="21">
        <f>IF(OR($B459="",$I459=""),"",$I459-IF($K459="",0,$K459))</f>
        <v/>
      </c>
      <c r="M459" s="22">
        <f>IF(OR($B459="",$L459="",$E459=0,$F459=0),"",$L459/($E459*$F459))</f>
        <v/>
      </c>
      <c r="N459" s="27">
        <f>IF($B459="","",IF($H459="","Open","Closed"))</f>
        <v/>
      </c>
      <c r="O459" s="23" t="n"/>
    </row>
    <row r="460">
      <c r="A460" s="23" t="n"/>
      <c r="B460" s="23" t="n"/>
      <c r="C460" s="23" t="n"/>
      <c r="D460" s="24" t="n"/>
      <c r="E460" s="25" t="n"/>
      <c r="F460" s="26" t="n"/>
      <c r="G460" s="24" t="n"/>
      <c r="H460" s="25" t="n"/>
      <c r="I460" s="21">
        <f>IF(OR($B460="",$H460=""),"",IF($C460="LONG",($H460-$E460)*$F460,($E460-$H460)*$F460))</f>
        <v/>
      </c>
      <c r="J460" s="22">
        <f>IF(OR($B460="",$I460="",$E460=0,$F460=0),"",$I460/($E460*$F460))</f>
        <v/>
      </c>
      <c r="K460" s="4" t="n"/>
      <c r="L460" s="21">
        <f>IF(OR($B460="",$I460=""),"",$I460-IF($K460="",0,$K460))</f>
        <v/>
      </c>
      <c r="M460" s="22">
        <f>IF(OR($B460="",$L460="",$E460=0,$F460=0),"",$L460/($E460*$F460))</f>
        <v/>
      </c>
      <c r="N460" s="27">
        <f>IF($B460="","",IF($H460="","Open","Closed"))</f>
        <v/>
      </c>
      <c r="O460" s="23" t="n"/>
    </row>
    <row r="461">
      <c r="A461" s="23" t="n"/>
      <c r="B461" s="23" t="n"/>
      <c r="C461" s="23" t="n"/>
      <c r="D461" s="24" t="n"/>
      <c r="E461" s="25" t="n"/>
      <c r="F461" s="26" t="n"/>
      <c r="G461" s="24" t="n"/>
      <c r="H461" s="25" t="n"/>
      <c r="I461" s="21">
        <f>IF(OR($B461="",$H461=""),"",IF($C461="LONG",($H461-$E461)*$F461,($E461-$H461)*$F461))</f>
        <v/>
      </c>
      <c r="J461" s="22">
        <f>IF(OR($B461="",$I461="",$E461=0,$F461=0),"",$I461/($E461*$F461))</f>
        <v/>
      </c>
      <c r="K461" s="4" t="n"/>
      <c r="L461" s="21">
        <f>IF(OR($B461="",$I461=""),"",$I461-IF($K461="",0,$K461))</f>
        <v/>
      </c>
      <c r="M461" s="22">
        <f>IF(OR($B461="",$L461="",$E461=0,$F461=0),"",$L461/($E461*$F461))</f>
        <v/>
      </c>
      <c r="N461" s="27">
        <f>IF($B461="","",IF($H461="","Open","Closed"))</f>
        <v/>
      </c>
      <c r="O461" s="23" t="n"/>
    </row>
    <row r="462">
      <c r="A462" s="23" t="n"/>
      <c r="B462" s="23" t="n"/>
      <c r="C462" s="23" t="n"/>
      <c r="D462" s="24" t="n"/>
      <c r="E462" s="25" t="n"/>
      <c r="F462" s="26" t="n"/>
      <c r="G462" s="24" t="n"/>
      <c r="H462" s="25" t="n"/>
      <c r="I462" s="21">
        <f>IF(OR($B462="",$H462=""),"",IF($C462="LONG",($H462-$E462)*$F462,($E462-$H462)*$F462))</f>
        <v/>
      </c>
      <c r="J462" s="22">
        <f>IF(OR($B462="",$I462="",$E462=0,$F462=0),"",$I462/($E462*$F462))</f>
        <v/>
      </c>
      <c r="K462" s="4" t="n"/>
      <c r="L462" s="21">
        <f>IF(OR($B462="",$I462=""),"",$I462-IF($K462="",0,$K462))</f>
        <v/>
      </c>
      <c r="M462" s="22">
        <f>IF(OR($B462="",$L462="",$E462=0,$F462=0),"",$L462/($E462*$F462))</f>
        <v/>
      </c>
      <c r="N462" s="27">
        <f>IF($B462="","",IF($H462="","Open","Closed"))</f>
        <v/>
      </c>
      <c r="O462" s="23" t="n"/>
    </row>
    <row r="463">
      <c r="A463" s="23" t="n"/>
      <c r="B463" s="23" t="n"/>
      <c r="C463" s="23" t="n"/>
      <c r="D463" s="24" t="n"/>
      <c r="E463" s="25" t="n"/>
      <c r="F463" s="26" t="n"/>
      <c r="G463" s="24" t="n"/>
      <c r="H463" s="25" t="n"/>
      <c r="I463" s="21">
        <f>IF(OR($B463="",$H463=""),"",IF($C463="LONG",($H463-$E463)*$F463,($E463-$H463)*$F463))</f>
        <v/>
      </c>
      <c r="J463" s="22">
        <f>IF(OR($B463="",$I463="",$E463=0,$F463=0),"",$I463/($E463*$F463))</f>
        <v/>
      </c>
      <c r="K463" s="4" t="n"/>
      <c r="L463" s="21">
        <f>IF(OR($B463="",$I463=""),"",$I463-IF($K463="",0,$K463))</f>
        <v/>
      </c>
      <c r="M463" s="22">
        <f>IF(OR($B463="",$L463="",$E463=0,$F463=0),"",$L463/($E463*$F463))</f>
        <v/>
      </c>
      <c r="N463" s="27">
        <f>IF($B463="","",IF($H463="","Open","Closed"))</f>
        <v/>
      </c>
      <c r="O463" s="23" t="n"/>
    </row>
    <row r="464">
      <c r="A464" s="23" t="n"/>
      <c r="B464" s="23" t="n"/>
      <c r="C464" s="23" t="n"/>
      <c r="D464" s="24" t="n"/>
      <c r="E464" s="25" t="n"/>
      <c r="F464" s="26" t="n"/>
      <c r="G464" s="24" t="n"/>
      <c r="H464" s="25" t="n"/>
      <c r="I464" s="21">
        <f>IF(OR($B464="",$H464=""),"",IF($C464="LONG",($H464-$E464)*$F464,($E464-$H464)*$F464))</f>
        <v/>
      </c>
      <c r="J464" s="22">
        <f>IF(OR($B464="",$I464="",$E464=0,$F464=0),"",$I464/($E464*$F464))</f>
        <v/>
      </c>
      <c r="K464" s="4" t="n"/>
      <c r="L464" s="21">
        <f>IF(OR($B464="",$I464=""),"",$I464-IF($K464="",0,$K464))</f>
        <v/>
      </c>
      <c r="M464" s="22">
        <f>IF(OR($B464="",$L464="",$E464=0,$F464=0),"",$L464/($E464*$F464))</f>
        <v/>
      </c>
      <c r="N464" s="27">
        <f>IF($B464="","",IF($H464="","Open","Closed"))</f>
        <v/>
      </c>
      <c r="O464" s="23" t="n"/>
    </row>
    <row r="465">
      <c r="A465" s="23" t="n"/>
      <c r="B465" s="23" t="n"/>
      <c r="C465" s="23" t="n"/>
      <c r="D465" s="24" t="n"/>
      <c r="E465" s="25" t="n"/>
      <c r="F465" s="26" t="n"/>
      <c r="G465" s="24" t="n"/>
      <c r="H465" s="25" t="n"/>
      <c r="I465" s="21">
        <f>IF(OR($B465="",$H465=""),"",IF($C465="LONG",($H465-$E465)*$F465,($E465-$H465)*$F465))</f>
        <v/>
      </c>
      <c r="J465" s="22">
        <f>IF(OR($B465="",$I465="",$E465=0,$F465=0),"",$I465/($E465*$F465))</f>
        <v/>
      </c>
      <c r="K465" s="4" t="n"/>
      <c r="L465" s="21">
        <f>IF(OR($B465="",$I465=""),"",$I465-IF($K465="",0,$K465))</f>
        <v/>
      </c>
      <c r="M465" s="22">
        <f>IF(OR($B465="",$L465="",$E465=0,$F465=0),"",$L465/($E465*$F465))</f>
        <v/>
      </c>
      <c r="N465" s="27">
        <f>IF($B465="","",IF($H465="","Open","Closed"))</f>
        <v/>
      </c>
      <c r="O465" s="23" t="n"/>
    </row>
    <row r="466">
      <c r="A466" s="23" t="n"/>
      <c r="B466" s="23" t="n"/>
      <c r="C466" s="23" t="n"/>
      <c r="D466" s="24" t="n"/>
      <c r="E466" s="25" t="n"/>
      <c r="F466" s="26" t="n"/>
      <c r="G466" s="24" t="n"/>
      <c r="H466" s="25" t="n"/>
      <c r="I466" s="21">
        <f>IF(OR($B466="",$H466=""),"",IF($C466="LONG",($H466-$E466)*$F466,($E466-$H466)*$F466))</f>
        <v/>
      </c>
      <c r="J466" s="22">
        <f>IF(OR($B466="",$I466="",$E466=0,$F466=0),"",$I466/($E466*$F466))</f>
        <v/>
      </c>
      <c r="K466" s="4" t="n"/>
      <c r="L466" s="21">
        <f>IF(OR($B466="",$I466=""),"",$I466-IF($K466="",0,$K466))</f>
        <v/>
      </c>
      <c r="M466" s="22">
        <f>IF(OR($B466="",$L466="",$E466=0,$F466=0),"",$L466/($E466*$F466))</f>
        <v/>
      </c>
      <c r="N466" s="27">
        <f>IF($B466="","",IF($H466="","Open","Closed"))</f>
        <v/>
      </c>
      <c r="O466" s="23" t="n"/>
    </row>
    <row r="467">
      <c r="A467" s="23" t="n"/>
      <c r="B467" s="23" t="n"/>
      <c r="C467" s="23" t="n"/>
      <c r="D467" s="24" t="n"/>
      <c r="E467" s="25" t="n"/>
      <c r="F467" s="26" t="n"/>
      <c r="G467" s="24" t="n"/>
      <c r="H467" s="25" t="n"/>
      <c r="I467" s="21">
        <f>IF(OR($B467="",$H467=""),"",IF($C467="LONG",($H467-$E467)*$F467,($E467-$H467)*$F467))</f>
        <v/>
      </c>
      <c r="J467" s="22">
        <f>IF(OR($B467="",$I467="",$E467=0,$F467=0),"",$I467/($E467*$F467))</f>
        <v/>
      </c>
      <c r="K467" s="4" t="n"/>
      <c r="L467" s="21">
        <f>IF(OR($B467="",$I467=""),"",$I467-IF($K467="",0,$K467))</f>
        <v/>
      </c>
      <c r="M467" s="22">
        <f>IF(OR($B467="",$L467="",$E467=0,$F467=0),"",$L467/($E467*$F467))</f>
        <v/>
      </c>
      <c r="N467" s="27">
        <f>IF($B467="","",IF($H467="","Open","Closed"))</f>
        <v/>
      </c>
      <c r="O467" s="23" t="n"/>
    </row>
    <row r="468">
      <c r="A468" s="23" t="n"/>
      <c r="B468" s="23" t="n"/>
      <c r="C468" s="23" t="n"/>
      <c r="D468" s="24" t="n"/>
      <c r="E468" s="25" t="n"/>
      <c r="F468" s="26" t="n"/>
      <c r="G468" s="24" t="n"/>
      <c r="H468" s="25" t="n"/>
      <c r="I468" s="21">
        <f>IF(OR($B468="",$H468=""),"",IF($C468="LONG",($H468-$E468)*$F468,($E468-$H468)*$F468))</f>
        <v/>
      </c>
      <c r="J468" s="22">
        <f>IF(OR($B468="",$I468="",$E468=0,$F468=0),"",$I468/($E468*$F468))</f>
        <v/>
      </c>
      <c r="K468" s="4" t="n"/>
      <c r="L468" s="21">
        <f>IF(OR($B468="",$I468=""),"",$I468-IF($K468="",0,$K468))</f>
        <v/>
      </c>
      <c r="M468" s="22">
        <f>IF(OR($B468="",$L468="",$E468=0,$F468=0),"",$L468/($E468*$F468))</f>
        <v/>
      </c>
      <c r="N468" s="27">
        <f>IF($B468="","",IF($H468="","Open","Closed"))</f>
        <v/>
      </c>
      <c r="O468" s="23" t="n"/>
    </row>
    <row r="469">
      <c r="A469" s="23" t="n"/>
      <c r="B469" s="23" t="n"/>
      <c r="C469" s="23" t="n"/>
      <c r="D469" s="24" t="n"/>
      <c r="E469" s="25" t="n"/>
      <c r="F469" s="26" t="n"/>
      <c r="G469" s="24" t="n"/>
      <c r="H469" s="25" t="n"/>
      <c r="I469" s="21">
        <f>IF(OR($B469="",$H469=""),"",IF($C469="LONG",($H469-$E469)*$F469,($E469-$H469)*$F469))</f>
        <v/>
      </c>
      <c r="J469" s="22">
        <f>IF(OR($B469="",$I469="",$E469=0,$F469=0),"",$I469/($E469*$F469))</f>
        <v/>
      </c>
      <c r="K469" s="4" t="n"/>
      <c r="L469" s="21">
        <f>IF(OR($B469="",$I469=""),"",$I469-IF($K469="",0,$K469))</f>
        <v/>
      </c>
      <c r="M469" s="22">
        <f>IF(OR($B469="",$L469="",$E469=0,$F469=0),"",$L469/($E469*$F469))</f>
        <v/>
      </c>
      <c r="N469" s="27">
        <f>IF($B469="","",IF($H469="","Open","Closed"))</f>
        <v/>
      </c>
      <c r="O469" s="23" t="n"/>
    </row>
    <row r="470">
      <c r="A470" s="23" t="n"/>
      <c r="B470" s="23" t="n"/>
      <c r="C470" s="23" t="n"/>
      <c r="D470" s="24" t="n"/>
      <c r="E470" s="25" t="n"/>
      <c r="F470" s="26" t="n"/>
      <c r="G470" s="24" t="n"/>
      <c r="H470" s="25" t="n"/>
      <c r="I470" s="21">
        <f>IF(OR($B470="",$H470=""),"",IF($C470="LONG",($H470-$E470)*$F470,($E470-$H470)*$F470))</f>
        <v/>
      </c>
      <c r="J470" s="22">
        <f>IF(OR($B470="",$I470="",$E470=0,$F470=0),"",$I470/($E470*$F470))</f>
        <v/>
      </c>
      <c r="K470" s="4" t="n"/>
      <c r="L470" s="21">
        <f>IF(OR($B470="",$I470=""),"",$I470-IF($K470="",0,$K470))</f>
        <v/>
      </c>
      <c r="M470" s="22">
        <f>IF(OR($B470="",$L470="",$E470=0,$F470=0),"",$L470/($E470*$F470))</f>
        <v/>
      </c>
      <c r="N470" s="27">
        <f>IF($B470="","",IF($H470="","Open","Closed"))</f>
        <v/>
      </c>
      <c r="O470" s="23" t="n"/>
    </row>
    <row r="471">
      <c r="A471" s="23" t="n"/>
      <c r="B471" s="23" t="n"/>
      <c r="C471" s="23" t="n"/>
      <c r="D471" s="24" t="n"/>
      <c r="E471" s="25" t="n"/>
      <c r="F471" s="26" t="n"/>
      <c r="G471" s="24" t="n"/>
      <c r="H471" s="25" t="n"/>
      <c r="I471" s="21">
        <f>IF(OR($B471="",$H471=""),"",IF($C471="LONG",($H471-$E471)*$F471,($E471-$H471)*$F471))</f>
        <v/>
      </c>
      <c r="J471" s="22">
        <f>IF(OR($B471="",$I471="",$E471=0,$F471=0),"",$I471/($E471*$F471))</f>
        <v/>
      </c>
      <c r="K471" s="4" t="n"/>
      <c r="L471" s="21">
        <f>IF(OR($B471="",$I471=""),"",$I471-IF($K471="",0,$K471))</f>
        <v/>
      </c>
      <c r="M471" s="22">
        <f>IF(OR($B471="",$L471="",$E471=0,$F471=0),"",$L471/($E471*$F471))</f>
        <v/>
      </c>
      <c r="N471" s="27">
        <f>IF($B471="","",IF($H471="","Open","Closed"))</f>
        <v/>
      </c>
      <c r="O471" s="23" t="n"/>
    </row>
    <row r="472">
      <c r="A472" s="23" t="n"/>
      <c r="B472" s="23" t="n"/>
      <c r="C472" s="23" t="n"/>
      <c r="D472" s="24" t="n"/>
      <c r="E472" s="25" t="n"/>
      <c r="F472" s="26" t="n"/>
      <c r="G472" s="24" t="n"/>
      <c r="H472" s="25" t="n"/>
      <c r="I472" s="21">
        <f>IF(OR($B472="",$H472=""),"",IF($C472="LONG",($H472-$E472)*$F472,($E472-$H472)*$F472))</f>
        <v/>
      </c>
      <c r="J472" s="22">
        <f>IF(OR($B472="",$I472="",$E472=0,$F472=0),"",$I472/($E472*$F472))</f>
        <v/>
      </c>
      <c r="K472" s="4" t="n"/>
      <c r="L472" s="21">
        <f>IF(OR($B472="",$I472=""),"",$I472-IF($K472="",0,$K472))</f>
        <v/>
      </c>
      <c r="M472" s="22">
        <f>IF(OR($B472="",$L472="",$E472=0,$F472=0),"",$L472/($E472*$F472))</f>
        <v/>
      </c>
      <c r="N472" s="27">
        <f>IF($B472="","",IF($H472="","Open","Closed"))</f>
        <v/>
      </c>
      <c r="O472" s="23" t="n"/>
    </row>
    <row r="473">
      <c r="A473" s="23" t="n"/>
      <c r="B473" s="23" t="n"/>
      <c r="C473" s="23" t="n"/>
      <c r="D473" s="24" t="n"/>
      <c r="E473" s="25" t="n"/>
      <c r="F473" s="26" t="n"/>
      <c r="G473" s="24" t="n"/>
      <c r="H473" s="25" t="n"/>
      <c r="I473" s="21">
        <f>IF(OR($B473="",$H473=""),"",IF($C473="LONG",($H473-$E473)*$F473,($E473-$H473)*$F473))</f>
        <v/>
      </c>
      <c r="J473" s="22">
        <f>IF(OR($B473="",$I473="",$E473=0,$F473=0),"",$I473/($E473*$F473))</f>
        <v/>
      </c>
      <c r="K473" s="4" t="n"/>
      <c r="L473" s="21">
        <f>IF(OR($B473="",$I473=""),"",$I473-IF($K473="",0,$K473))</f>
        <v/>
      </c>
      <c r="M473" s="22">
        <f>IF(OR($B473="",$L473="",$E473=0,$F473=0),"",$L473/($E473*$F473))</f>
        <v/>
      </c>
      <c r="N473" s="27">
        <f>IF($B473="","",IF($H473="","Open","Closed"))</f>
        <v/>
      </c>
      <c r="O473" s="23" t="n"/>
    </row>
    <row r="474">
      <c r="A474" s="23" t="n"/>
      <c r="B474" s="23" t="n"/>
      <c r="C474" s="23" t="n"/>
      <c r="D474" s="24" t="n"/>
      <c r="E474" s="25" t="n"/>
      <c r="F474" s="26" t="n"/>
      <c r="G474" s="24" t="n"/>
      <c r="H474" s="25" t="n"/>
      <c r="I474" s="21">
        <f>IF(OR($B474="",$H474=""),"",IF($C474="LONG",($H474-$E474)*$F474,($E474-$H474)*$F474))</f>
        <v/>
      </c>
      <c r="J474" s="22">
        <f>IF(OR($B474="",$I474="",$E474=0,$F474=0),"",$I474/($E474*$F474))</f>
        <v/>
      </c>
      <c r="K474" s="4" t="n"/>
      <c r="L474" s="21">
        <f>IF(OR($B474="",$I474=""),"",$I474-IF($K474="",0,$K474))</f>
        <v/>
      </c>
      <c r="M474" s="22">
        <f>IF(OR($B474="",$L474="",$E474=0,$F474=0),"",$L474/($E474*$F474))</f>
        <v/>
      </c>
      <c r="N474" s="27">
        <f>IF($B474="","",IF($H474="","Open","Closed"))</f>
        <v/>
      </c>
      <c r="O474" s="23" t="n"/>
    </row>
    <row r="475">
      <c r="A475" s="23" t="n"/>
      <c r="B475" s="23" t="n"/>
      <c r="C475" s="23" t="n"/>
      <c r="D475" s="24" t="n"/>
      <c r="E475" s="25" t="n"/>
      <c r="F475" s="26" t="n"/>
      <c r="G475" s="24" t="n"/>
      <c r="H475" s="25" t="n"/>
      <c r="I475" s="21">
        <f>IF(OR($B475="",$H475=""),"",IF($C475="LONG",($H475-$E475)*$F475,($E475-$H475)*$F475))</f>
        <v/>
      </c>
      <c r="J475" s="22">
        <f>IF(OR($B475="",$I475="",$E475=0,$F475=0),"",$I475/($E475*$F475))</f>
        <v/>
      </c>
      <c r="K475" s="4" t="n"/>
      <c r="L475" s="21">
        <f>IF(OR($B475="",$I475=""),"",$I475-IF($K475="",0,$K475))</f>
        <v/>
      </c>
      <c r="M475" s="22">
        <f>IF(OR($B475="",$L475="",$E475=0,$F475=0),"",$L475/($E475*$F475))</f>
        <v/>
      </c>
      <c r="N475" s="27">
        <f>IF($B475="","",IF($H475="","Open","Closed"))</f>
        <v/>
      </c>
      <c r="O475" s="23" t="n"/>
    </row>
    <row r="476">
      <c r="A476" s="23" t="n"/>
      <c r="B476" s="23" t="n"/>
      <c r="C476" s="23" t="n"/>
      <c r="D476" s="24" t="n"/>
      <c r="E476" s="25" t="n"/>
      <c r="F476" s="26" t="n"/>
      <c r="G476" s="24" t="n"/>
      <c r="H476" s="25" t="n"/>
      <c r="I476" s="21">
        <f>IF(OR($B476="",$H476=""),"",IF($C476="LONG",($H476-$E476)*$F476,($E476-$H476)*$F476))</f>
        <v/>
      </c>
      <c r="J476" s="22">
        <f>IF(OR($B476="",$I476="",$E476=0,$F476=0),"",$I476/($E476*$F476))</f>
        <v/>
      </c>
      <c r="K476" s="4" t="n"/>
      <c r="L476" s="21">
        <f>IF(OR($B476="",$I476=""),"",$I476-IF($K476="",0,$K476))</f>
        <v/>
      </c>
      <c r="M476" s="22">
        <f>IF(OR($B476="",$L476="",$E476=0,$F476=0),"",$L476/($E476*$F476))</f>
        <v/>
      </c>
      <c r="N476" s="27">
        <f>IF($B476="","",IF($H476="","Open","Closed"))</f>
        <v/>
      </c>
      <c r="O476" s="23" t="n"/>
    </row>
    <row r="477">
      <c r="A477" s="23" t="n"/>
      <c r="B477" s="23" t="n"/>
      <c r="C477" s="23" t="n"/>
      <c r="D477" s="24" t="n"/>
      <c r="E477" s="25" t="n"/>
      <c r="F477" s="26" t="n"/>
      <c r="G477" s="24" t="n"/>
      <c r="H477" s="25" t="n"/>
      <c r="I477" s="21">
        <f>IF(OR($B477="",$H477=""),"",IF($C477="LONG",($H477-$E477)*$F477,($E477-$H477)*$F477))</f>
        <v/>
      </c>
      <c r="J477" s="22">
        <f>IF(OR($B477="",$I477="",$E477=0,$F477=0),"",$I477/($E477*$F477))</f>
        <v/>
      </c>
      <c r="K477" s="4" t="n"/>
      <c r="L477" s="21">
        <f>IF(OR($B477="",$I477=""),"",$I477-IF($K477="",0,$K477))</f>
        <v/>
      </c>
      <c r="M477" s="22">
        <f>IF(OR($B477="",$L477="",$E477=0,$F477=0),"",$L477/($E477*$F477))</f>
        <v/>
      </c>
      <c r="N477" s="27">
        <f>IF($B477="","",IF($H477="","Open","Closed"))</f>
        <v/>
      </c>
      <c r="O477" s="23" t="n"/>
    </row>
    <row r="478">
      <c r="A478" s="23" t="n"/>
      <c r="B478" s="23" t="n"/>
      <c r="C478" s="23" t="n"/>
      <c r="D478" s="24" t="n"/>
      <c r="E478" s="25" t="n"/>
      <c r="F478" s="26" t="n"/>
      <c r="G478" s="24" t="n"/>
      <c r="H478" s="25" t="n"/>
      <c r="I478" s="21">
        <f>IF(OR($B478="",$H478=""),"",IF($C478="LONG",($H478-$E478)*$F478,($E478-$H478)*$F478))</f>
        <v/>
      </c>
      <c r="J478" s="22">
        <f>IF(OR($B478="",$I478="",$E478=0,$F478=0),"",$I478/($E478*$F478))</f>
        <v/>
      </c>
      <c r="K478" s="4" t="n"/>
      <c r="L478" s="21">
        <f>IF(OR($B478="",$I478=""),"",$I478-IF($K478="",0,$K478))</f>
        <v/>
      </c>
      <c r="M478" s="22">
        <f>IF(OR($B478="",$L478="",$E478=0,$F478=0),"",$L478/($E478*$F478))</f>
        <v/>
      </c>
      <c r="N478" s="27">
        <f>IF($B478="","",IF($H478="","Open","Closed"))</f>
        <v/>
      </c>
      <c r="O478" s="23" t="n"/>
    </row>
    <row r="479">
      <c r="A479" s="23" t="n"/>
      <c r="B479" s="23" t="n"/>
      <c r="C479" s="23" t="n"/>
      <c r="D479" s="24" t="n"/>
      <c r="E479" s="25" t="n"/>
      <c r="F479" s="26" t="n"/>
      <c r="G479" s="24" t="n"/>
      <c r="H479" s="25" t="n"/>
      <c r="I479" s="21">
        <f>IF(OR($B479="",$H479=""),"",IF($C479="LONG",($H479-$E479)*$F479,($E479-$H479)*$F479))</f>
        <v/>
      </c>
      <c r="J479" s="22">
        <f>IF(OR($B479="",$I479="",$E479=0,$F479=0),"",$I479/($E479*$F479))</f>
        <v/>
      </c>
      <c r="K479" s="4" t="n"/>
      <c r="L479" s="21">
        <f>IF(OR($B479="",$I479=""),"",$I479-IF($K479="",0,$K479))</f>
        <v/>
      </c>
      <c r="M479" s="22">
        <f>IF(OR($B479="",$L479="",$E479=0,$F479=0),"",$L479/($E479*$F479))</f>
        <v/>
      </c>
      <c r="N479" s="27">
        <f>IF($B479="","",IF($H479="","Open","Closed"))</f>
        <v/>
      </c>
      <c r="O479" s="23" t="n"/>
    </row>
    <row r="480">
      <c r="A480" s="23" t="n"/>
      <c r="B480" s="23" t="n"/>
      <c r="C480" s="23" t="n"/>
      <c r="D480" s="24" t="n"/>
      <c r="E480" s="25" t="n"/>
      <c r="F480" s="26" t="n"/>
      <c r="G480" s="24" t="n"/>
      <c r="H480" s="25" t="n"/>
      <c r="I480" s="21">
        <f>IF(OR($B480="",$H480=""),"",IF($C480="LONG",($H480-$E480)*$F480,($E480-$H480)*$F480))</f>
        <v/>
      </c>
      <c r="J480" s="22">
        <f>IF(OR($B480="",$I480="",$E480=0,$F480=0),"",$I480/($E480*$F480))</f>
        <v/>
      </c>
      <c r="K480" s="4" t="n"/>
      <c r="L480" s="21">
        <f>IF(OR($B480="",$I480=""),"",$I480-IF($K480="",0,$K480))</f>
        <v/>
      </c>
      <c r="M480" s="22">
        <f>IF(OR($B480="",$L480="",$E480=0,$F480=0),"",$L480/($E480*$F480))</f>
        <v/>
      </c>
      <c r="N480" s="27">
        <f>IF($B480="","",IF($H480="","Open","Closed"))</f>
        <v/>
      </c>
      <c r="O480" s="23" t="n"/>
    </row>
    <row r="481">
      <c r="A481" s="23" t="n"/>
      <c r="B481" s="23" t="n"/>
      <c r="C481" s="23" t="n"/>
      <c r="D481" s="24" t="n"/>
      <c r="E481" s="25" t="n"/>
      <c r="F481" s="26" t="n"/>
      <c r="G481" s="24" t="n"/>
      <c r="H481" s="25" t="n"/>
      <c r="I481" s="21">
        <f>IF(OR($B481="",$H481=""),"",IF($C481="LONG",($H481-$E481)*$F481,($E481-$H481)*$F481))</f>
        <v/>
      </c>
      <c r="J481" s="22">
        <f>IF(OR($B481="",$I481="",$E481=0,$F481=0),"",$I481/($E481*$F481))</f>
        <v/>
      </c>
      <c r="K481" s="4" t="n"/>
      <c r="L481" s="21">
        <f>IF(OR($B481="",$I481=""),"",$I481-IF($K481="",0,$K481))</f>
        <v/>
      </c>
      <c r="M481" s="22">
        <f>IF(OR($B481="",$L481="",$E481=0,$F481=0),"",$L481/($E481*$F481))</f>
        <v/>
      </c>
      <c r="N481" s="27">
        <f>IF($B481="","",IF($H481="","Open","Closed"))</f>
        <v/>
      </c>
      <c r="O481" s="23" t="n"/>
    </row>
    <row r="482">
      <c r="A482" s="23" t="n"/>
      <c r="B482" s="23" t="n"/>
      <c r="C482" s="23" t="n"/>
      <c r="D482" s="24" t="n"/>
      <c r="E482" s="25" t="n"/>
      <c r="F482" s="26" t="n"/>
      <c r="G482" s="24" t="n"/>
      <c r="H482" s="25" t="n"/>
      <c r="I482" s="21">
        <f>IF(OR($B482="",$H482=""),"",IF($C482="LONG",($H482-$E482)*$F482,($E482-$H482)*$F482))</f>
        <v/>
      </c>
      <c r="J482" s="22">
        <f>IF(OR($B482="",$I482="",$E482=0,$F482=0),"",$I482/($E482*$F482))</f>
        <v/>
      </c>
      <c r="K482" s="4" t="n"/>
      <c r="L482" s="21">
        <f>IF(OR($B482="",$I482=""),"",$I482-IF($K482="",0,$K482))</f>
        <v/>
      </c>
      <c r="M482" s="22">
        <f>IF(OR($B482="",$L482="",$E482=0,$F482=0),"",$L482/($E482*$F482))</f>
        <v/>
      </c>
      <c r="N482" s="27">
        <f>IF($B482="","",IF($H482="","Open","Closed"))</f>
        <v/>
      </c>
      <c r="O482" s="23" t="n"/>
    </row>
    <row r="483">
      <c r="A483" s="23" t="n"/>
      <c r="B483" s="23" t="n"/>
      <c r="C483" s="23" t="n"/>
      <c r="D483" s="24" t="n"/>
      <c r="E483" s="25" t="n"/>
      <c r="F483" s="26" t="n"/>
      <c r="G483" s="24" t="n"/>
      <c r="H483" s="25" t="n"/>
      <c r="I483" s="21">
        <f>IF(OR($B483="",$H483=""),"",IF($C483="LONG",($H483-$E483)*$F483,($E483-$H483)*$F483))</f>
        <v/>
      </c>
      <c r="J483" s="22">
        <f>IF(OR($B483="",$I483="",$E483=0,$F483=0),"",$I483/($E483*$F483))</f>
        <v/>
      </c>
      <c r="K483" s="4" t="n"/>
      <c r="L483" s="21">
        <f>IF(OR($B483="",$I483=""),"",$I483-IF($K483="",0,$K483))</f>
        <v/>
      </c>
      <c r="M483" s="22">
        <f>IF(OR($B483="",$L483="",$E483=0,$F483=0),"",$L483/($E483*$F483))</f>
        <v/>
      </c>
      <c r="N483" s="27">
        <f>IF($B483="","",IF($H483="","Open","Closed"))</f>
        <v/>
      </c>
      <c r="O483" s="23" t="n"/>
    </row>
    <row r="484">
      <c r="A484" s="23" t="n"/>
      <c r="B484" s="23" t="n"/>
      <c r="C484" s="23" t="n"/>
      <c r="D484" s="24" t="n"/>
      <c r="E484" s="25" t="n"/>
      <c r="F484" s="26" t="n"/>
      <c r="G484" s="24" t="n"/>
      <c r="H484" s="25" t="n"/>
      <c r="I484" s="21">
        <f>IF(OR($B484="",$H484=""),"",IF($C484="LONG",($H484-$E484)*$F484,($E484-$H484)*$F484))</f>
        <v/>
      </c>
      <c r="J484" s="22">
        <f>IF(OR($B484="",$I484="",$E484=0,$F484=0),"",$I484/($E484*$F484))</f>
        <v/>
      </c>
      <c r="K484" s="4" t="n"/>
      <c r="L484" s="21">
        <f>IF(OR($B484="",$I484=""),"",$I484-IF($K484="",0,$K484))</f>
        <v/>
      </c>
      <c r="M484" s="22">
        <f>IF(OR($B484="",$L484="",$E484=0,$F484=0),"",$L484/($E484*$F484))</f>
        <v/>
      </c>
      <c r="N484" s="27">
        <f>IF($B484="","",IF($H484="","Open","Closed"))</f>
        <v/>
      </c>
      <c r="O484" s="23" t="n"/>
    </row>
    <row r="485">
      <c r="A485" s="23" t="n"/>
      <c r="B485" s="23" t="n"/>
      <c r="C485" s="23" t="n"/>
      <c r="D485" s="24" t="n"/>
      <c r="E485" s="25" t="n"/>
      <c r="F485" s="26" t="n"/>
      <c r="G485" s="24" t="n"/>
      <c r="H485" s="25" t="n"/>
      <c r="I485" s="21">
        <f>IF(OR($B485="",$H485=""),"",IF($C485="LONG",($H485-$E485)*$F485,($E485-$H485)*$F485))</f>
        <v/>
      </c>
      <c r="J485" s="22">
        <f>IF(OR($B485="",$I485="",$E485=0,$F485=0),"",$I485/($E485*$F485))</f>
        <v/>
      </c>
      <c r="K485" s="4" t="n"/>
      <c r="L485" s="21">
        <f>IF(OR($B485="",$I485=""),"",$I485-IF($K485="",0,$K485))</f>
        <v/>
      </c>
      <c r="M485" s="22">
        <f>IF(OR($B485="",$L485="",$E485=0,$F485=0),"",$L485/($E485*$F485))</f>
        <v/>
      </c>
      <c r="N485" s="27">
        <f>IF($B485="","",IF($H485="","Open","Closed"))</f>
        <v/>
      </c>
      <c r="O485" s="23" t="n"/>
    </row>
    <row r="486">
      <c r="A486" s="23" t="n"/>
      <c r="B486" s="23" t="n"/>
      <c r="C486" s="23" t="n"/>
      <c r="D486" s="24" t="n"/>
      <c r="E486" s="25" t="n"/>
      <c r="F486" s="26" t="n"/>
      <c r="G486" s="24" t="n"/>
      <c r="H486" s="25" t="n"/>
      <c r="I486" s="21">
        <f>IF(OR($B486="",$H486=""),"",IF($C486="LONG",($H486-$E486)*$F486,($E486-$H486)*$F486))</f>
        <v/>
      </c>
      <c r="J486" s="22">
        <f>IF(OR($B486="",$I486="",$E486=0,$F486=0),"",$I486/($E486*$F486))</f>
        <v/>
      </c>
      <c r="K486" s="4" t="n"/>
      <c r="L486" s="21">
        <f>IF(OR($B486="",$I486=""),"",$I486-IF($K486="",0,$K486))</f>
        <v/>
      </c>
      <c r="M486" s="22">
        <f>IF(OR($B486="",$L486="",$E486=0,$F486=0),"",$L486/($E486*$F486))</f>
        <v/>
      </c>
      <c r="N486" s="27">
        <f>IF($B486="","",IF($H486="","Open","Closed"))</f>
        <v/>
      </c>
      <c r="O486" s="23" t="n"/>
    </row>
    <row r="487">
      <c r="A487" s="23" t="n"/>
      <c r="B487" s="23" t="n"/>
      <c r="C487" s="23" t="n"/>
      <c r="D487" s="24" t="n"/>
      <c r="E487" s="25" t="n"/>
      <c r="F487" s="26" t="n"/>
      <c r="G487" s="24" t="n"/>
      <c r="H487" s="25" t="n"/>
      <c r="I487" s="21">
        <f>IF(OR($B487="",$H487=""),"",IF($C487="LONG",($H487-$E487)*$F487,($E487-$H487)*$F487))</f>
        <v/>
      </c>
      <c r="J487" s="22">
        <f>IF(OR($B487="",$I487="",$E487=0,$F487=0),"",$I487/($E487*$F487))</f>
        <v/>
      </c>
      <c r="K487" s="4" t="n"/>
      <c r="L487" s="21">
        <f>IF(OR($B487="",$I487=""),"",$I487-IF($K487="",0,$K487))</f>
        <v/>
      </c>
      <c r="M487" s="22">
        <f>IF(OR($B487="",$L487="",$E487=0,$F487=0),"",$L487/($E487*$F487))</f>
        <v/>
      </c>
      <c r="N487" s="27">
        <f>IF($B487="","",IF($H487="","Open","Closed"))</f>
        <v/>
      </c>
      <c r="O487" s="23" t="n"/>
    </row>
    <row r="488">
      <c r="A488" s="23" t="n"/>
      <c r="B488" s="23" t="n"/>
      <c r="C488" s="23" t="n"/>
      <c r="D488" s="24" t="n"/>
      <c r="E488" s="25" t="n"/>
      <c r="F488" s="26" t="n"/>
      <c r="G488" s="24" t="n"/>
      <c r="H488" s="25" t="n"/>
      <c r="I488" s="21">
        <f>IF(OR($B488="",$H488=""),"",IF($C488="LONG",($H488-$E488)*$F488,($E488-$H488)*$F488))</f>
        <v/>
      </c>
      <c r="J488" s="22">
        <f>IF(OR($B488="",$I488="",$E488=0,$F488=0),"",$I488/($E488*$F488))</f>
        <v/>
      </c>
      <c r="K488" s="4" t="n"/>
      <c r="L488" s="21">
        <f>IF(OR($B488="",$I488=""),"",$I488-IF($K488="",0,$K488))</f>
        <v/>
      </c>
      <c r="M488" s="22">
        <f>IF(OR($B488="",$L488="",$E488=0,$F488=0),"",$L488/($E488*$F488))</f>
        <v/>
      </c>
      <c r="N488" s="27">
        <f>IF($B488="","",IF($H488="","Open","Closed"))</f>
        <v/>
      </c>
      <c r="O488" s="23" t="n"/>
    </row>
    <row r="489">
      <c r="A489" s="23" t="n"/>
      <c r="B489" s="23" t="n"/>
      <c r="C489" s="23" t="n"/>
      <c r="D489" s="24" t="n"/>
      <c r="E489" s="25" t="n"/>
      <c r="F489" s="26" t="n"/>
      <c r="G489" s="24" t="n"/>
      <c r="H489" s="25" t="n"/>
      <c r="I489" s="21">
        <f>IF(OR($B489="",$H489=""),"",IF($C489="LONG",($H489-$E489)*$F489,($E489-$H489)*$F489))</f>
        <v/>
      </c>
      <c r="J489" s="22">
        <f>IF(OR($B489="",$I489="",$E489=0,$F489=0),"",$I489/($E489*$F489))</f>
        <v/>
      </c>
      <c r="K489" s="4" t="n"/>
      <c r="L489" s="21">
        <f>IF(OR($B489="",$I489=""),"",$I489-IF($K489="",0,$K489))</f>
        <v/>
      </c>
      <c r="M489" s="22">
        <f>IF(OR($B489="",$L489="",$E489=0,$F489=0),"",$L489/($E489*$F489))</f>
        <v/>
      </c>
      <c r="N489" s="27">
        <f>IF($B489="","",IF($H489="","Open","Closed"))</f>
        <v/>
      </c>
      <c r="O489" s="23" t="n"/>
    </row>
    <row r="490">
      <c r="A490" s="23" t="n"/>
      <c r="B490" s="23" t="n"/>
      <c r="C490" s="23" t="n"/>
      <c r="D490" s="24" t="n"/>
      <c r="E490" s="25" t="n"/>
      <c r="F490" s="26" t="n"/>
      <c r="G490" s="24" t="n"/>
      <c r="H490" s="25" t="n"/>
      <c r="I490" s="21">
        <f>IF(OR($B490="",$H490=""),"",IF($C490="LONG",($H490-$E490)*$F490,($E490-$H490)*$F490))</f>
        <v/>
      </c>
      <c r="J490" s="22">
        <f>IF(OR($B490="",$I490="",$E490=0,$F490=0),"",$I490/($E490*$F490))</f>
        <v/>
      </c>
      <c r="K490" s="4" t="n"/>
      <c r="L490" s="21">
        <f>IF(OR($B490="",$I490=""),"",$I490-IF($K490="",0,$K490))</f>
        <v/>
      </c>
      <c r="M490" s="22">
        <f>IF(OR($B490="",$L490="",$E490=0,$F490=0),"",$L490/($E490*$F490))</f>
        <v/>
      </c>
      <c r="N490" s="27">
        <f>IF($B490="","",IF($H490="","Open","Closed"))</f>
        <v/>
      </c>
      <c r="O490" s="23" t="n"/>
    </row>
    <row r="491">
      <c r="A491" s="23" t="n"/>
      <c r="B491" s="23" t="n"/>
      <c r="C491" s="23" t="n"/>
      <c r="D491" s="24" t="n"/>
      <c r="E491" s="25" t="n"/>
      <c r="F491" s="26" t="n"/>
      <c r="G491" s="24" t="n"/>
      <c r="H491" s="25" t="n"/>
      <c r="I491" s="21">
        <f>IF(OR($B491="",$H491=""),"",IF($C491="LONG",($H491-$E491)*$F491,($E491-$H491)*$F491))</f>
        <v/>
      </c>
      <c r="J491" s="22">
        <f>IF(OR($B491="",$I491="",$E491=0,$F491=0),"",$I491/($E491*$F491))</f>
        <v/>
      </c>
      <c r="K491" s="4" t="n"/>
      <c r="L491" s="21">
        <f>IF(OR($B491="",$I491=""),"",$I491-IF($K491="",0,$K491))</f>
        <v/>
      </c>
      <c r="M491" s="22">
        <f>IF(OR($B491="",$L491="",$E491=0,$F491=0),"",$L491/($E491*$F491))</f>
        <v/>
      </c>
      <c r="N491" s="27">
        <f>IF($B491="","",IF($H491="","Open","Closed"))</f>
        <v/>
      </c>
      <c r="O491" s="23" t="n"/>
    </row>
    <row r="492">
      <c r="A492" s="23" t="n"/>
      <c r="B492" s="23" t="n"/>
      <c r="C492" s="23" t="n"/>
      <c r="D492" s="24" t="n"/>
      <c r="E492" s="25" t="n"/>
      <c r="F492" s="26" t="n"/>
      <c r="G492" s="24" t="n"/>
      <c r="H492" s="25" t="n"/>
      <c r="I492" s="21">
        <f>IF(OR($B492="",$H492=""),"",IF($C492="LONG",($H492-$E492)*$F492,($E492-$H492)*$F492))</f>
        <v/>
      </c>
      <c r="J492" s="22">
        <f>IF(OR($B492="",$I492="",$E492=0,$F492=0),"",$I492/($E492*$F492))</f>
        <v/>
      </c>
      <c r="K492" s="4" t="n"/>
      <c r="L492" s="21">
        <f>IF(OR($B492="",$I492=""),"",$I492-IF($K492="",0,$K492))</f>
        <v/>
      </c>
      <c r="M492" s="22">
        <f>IF(OR($B492="",$L492="",$E492=0,$F492=0),"",$L492/($E492*$F492))</f>
        <v/>
      </c>
      <c r="N492" s="27">
        <f>IF($B492="","",IF($H492="","Open","Closed"))</f>
        <v/>
      </c>
      <c r="O492" s="23" t="n"/>
    </row>
    <row r="493">
      <c r="A493" s="23" t="n"/>
      <c r="B493" s="23" t="n"/>
      <c r="C493" s="23" t="n"/>
      <c r="D493" s="24" t="n"/>
      <c r="E493" s="25" t="n"/>
      <c r="F493" s="26" t="n"/>
      <c r="G493" s="24" t="n"/>
      <c r="H493" s="25" t="n"/>
      <c r="I493" s="21">
        <f>IF(OR($B493="",$H493=""),"",IF($C493="LONG",($H493-$E493)*$F493,($E493-$H493)*$F493))</f>
        <v/>
      </c>
      <c r="J493" s="22">
        <f>IF(OR($B493="",$I493="",$E493=0,$F493=0),"",$I493/($E493*$F493))</f>
        <v/>
      </c>
      <c r="K493" s="4" t="n"/>
      <c r="L493" s="21">
        <f>IF(OR($B493="",$I493=""),"",$I493-IF($K493="",0,$K493))</f>
        <v/>
      </c>
      <c r="M493" s="22">
        <f>IF(OR($B493="",$L493="",$E493=0,$F493=0),"",$L493/($E493*$F493))</f>
        <v/>
      </c>
      <c r="N493" s="27">
        <f>IF($B493="","",IF($H493="","Open","Closed"))</f>
        <v/>
      </c>
      <c r="O493" s="23" t="n"/>
    </row>
    <row r="494">
      <c r="A494" s="23" t="n"/>
      <c r="B494" s="23" t="n"/>
      <c r="C494" s="23" t="n"/>
      <c r="D494" s="24" t="n"/>
      <c r="E494" s="25" t="n"/>
      <c r="F494" s="26" t="n"/>
      <c r="G494" s="24" t="n"/>
      <c r="H494" s="25" t="n"/>
      <c r="I494" s="21">
        <f>IF(OR($B494="",$H494=""),"",IF($C494="LONG",($H494-$E494)*$F494,($E494-$H494)*$F494))</f>
        <v/>
      </c>
      <c r="J494" s="22">
        <f>IF(OR($B494="",$I494="",$E494=0,$F494=0),"",$I494/($E494*$F494))</f>
        <v/>
      </c>
      <c r="K494" s="4" t="n"/>
      <c r="L494" s="21">
        <f>IF(OR($B494="",$I494=""),"",$I494-IF($K494="",0,$K494))</f>
        <v/>
      </c>
      <c r="M494" s="22">
        <f>IF(OR($B494="",$L494="",$E494=0,$F494=0),"",$L494/($E494*$F494))</f>
        <v/>
      </c>
      <c r="N494" s="27">
        <f>IF($B494="","",IF($H494="","Open","Closed"))</f>
        <v/>
      </c>
      <c r="O494" s="23" t="n"/>
    </row>
    <row r="495">
      <c r="A495" s="23" t="n"/>
      <c r="B495" s="23" t="n"/>
      <c r="C495" s="23" t="n"/>
      <c r="D495" s="24" t="n"/>
      <c r="E495" s="25" t="n"/>
      <c r="F495" s="26" t="n"/>
      <c r="G495" s="24" t="n"/>
      <c r="H495" s="25" t="n"/>
      <c r="I495" s="21">
        <f>IF(OR($B495="",$H495=""),"",IF($C495="LONG",($H495-$E495)*$F495,($E495-$H495)*$F495))</f>
        <v/>
      </c>
      <c r="J495" s="22">
        <f>IF(OR($B495="",$I495="",$E495=0,$F495=0),"",$I495/($E495*$F495))</f>
        <v/>
      </c>
      <c r="K495" s="4" t="n"/>
      <c r="L495" s="21">
        <f>IF(OR($B495="",$I495=""),"",$I495-IF($K495="",0,$K495))</f>
        <v/>
      </c>
      <c r="M495" s="22">
        <f>IF(OR($B495="",$L495="",$E495=0,$F495=0),"",$L495/($E495*$F495))</f>
        <v/>
      </c>
      <c r="N495" s="27">
        <f>IF($B495="","",IF($H495="","Open","Closed"))</f>
        <v/>
      </c>
      <c r="O495" s="23" t="n"/>
    </row>
    <row r="496">
      <c r="A496" s="23" t="n"/>
      <c r="B496" s="23" t="n"/>
      <c r="C496" s="23" t="n"/>
      <c r="D496" s="24" t="n"/>
      <c r="E496" s="25" t="n"/>
      <c r="F496" s="26" t="n"/>
      <c r="G496" s="24" t="n"/>
      <c r="H496" s="25" t="n"/>
      <c r="I496" s="21">
        <f>IF(OR($B496="",$H496=""),"",IF($C496="LONG",($H496-$E496)*$F496,($E496-$H496)*$F496))</f>
        <v/>
      </c>
      <c r="J496" s="22">
        <f>IF(OR($B496="",$I496="",$E496=0,$F496=0),"",$I496/($E496*$F496))</f>
        <v/>
      </c>
      <c r="K496" s="4" t="n"/>
      <c r="L496" s="21">
        <f>IF(OR($B496="",$I496=""),"",$I496-IF($K496="",0,$K496))</f>
        <v/>
      </c>
      <c r="M496" s="22">
        <f>IF(OR($B496="",$L496="",$E496=0,$F496=0),"",$L496/($E496*$F496))</f>
        <v/>
      </c>
      <c r="N496" s="27">
        <f>IF($B496="","",IF($H496="","Open","Closed"))</f>
        <v/>
      </c>
      <c r="O496" s="23" t="n"/>
    </row>
    <row r="497">
      <c r="A497" s="23" t="n"/>
      <c r="B497" s="23" t="n"/>
      <c r="C497" s="23" t="n"/>
      <c r="D497" s="24" t="n"/>
      <c r="E497" s="25" t="n"/>
      <c r="F497" s="26" t="n"/>
      <c r="G497" s="24" t="n"/>
      <c r="H497" s="25" t="n"/>
      <c r="I497" s="21">
        <f>IF(OR($B497="",$H497=""),"",IF($C497="LONG",($H497-$E497)*$F497,($E497-$H497)*$F497))</f>
        <v/>
      </c>
      <c r="J497" s="22">
        <f>IF(OR($B497="",$I497="",$E497=0,$F497=0),"",$I497/($E497*$F497))</f>
        <v/>
      </c>
      <c r="K497" s="4" t="n"/>
      <c r="L497" s="21">
        <f>IF(OR($B497="",$I497=""),"",$I497-IF($K497="",0,$K497))</f>
        <v/>
      </c>
      <c r="M497" s="22">
        <f>IF(OR($B497="",$L497="",$E497=0,$F497=0),"",$L497/($E497*$F497))</f>
        <v/>
      </c>
      <c r="N497" s="27">
        <f>IF($B497="","",IF($H497="","Open","Closed"))</f>
        <v/>
      </c>
      <c r="O497" s="23" t="n"/>
    </row>
    <row r="498">
      <c r="A498" s="23" t="n"/>
      <c r="B498" s="23" t="n"/>
      <c r="C498" s="23" t="n"/>
      <c r="D498" s="24" t="n"/>
      <c r="E498" s="25" t="n"/>
      <c r="F498" s="26" t="n"/>
      <c r="G498" s="24" t="n"/>
      <c r="H498" s="25" t="n"/>
      <c r="I498" s="21">
        <f>IF(OR($B498="",$H498=""),"",IF($C498="LONG",($H498-$E498)*$F498,($E498-$H498)*$F498))</f>
        <v/>
      </c>
      <c r="J498" s="22">
        <f>IF(OR($B498="",$I498="",$E498=0,$F498=0),"",$I498/($E498*$F498))</f>
        <v/>
      </c>
      <c r="K498" s="4" t="n"/>
      <c r="L498" s="21">
        <f>IF(OR($B498="",$I498=""),"",$I498-IF($K498="",0,$K498))</f>
        <v/>
      </c>
      <c r="M498" s="22">
        <f>IF(OR($B498="",$L498="",$E498=0,$F498=0),"",$L498/($E498*$F498))</f>
        <v/>
      </c>
      <c r="N498" s="27">
        <f>IF($B498="","",IF($H498="","Open","Closed"))</f>
        <v/>
      </c>
      <c r="O498" s="23" t="n"/>
    </row>
    <row r="499">
      <c r="A499" s="23" t="n"/>
      <c r="B499" s="23" t="n"/>
      <c r="C499" s="23" t="n"/>
      <c r="D499" s="24" t="n"/>
      <c r="E499" s="25" t="n"/>
      <c r="F499" s="26" t="n"/>
      <c r="G499" s="24" t="n"/>
      <c r="H499" s="25" t="n"/>
      <c r="I499" s="21">
        <f>IF(OR($B499="",$H499=""),"",IF($C499="LONG",($H499-$E499)*$F499,($E499-$H499)*$F499))</f>
        <v/>
      </c>
      <c r="J499" s="22">
        <f>IF(OR($B499="",$I499="",$E499=0,$F499=0),"",$I499/($E499*$F499))</f>
        <v/>
      </c>
      <c r="K499" s="4" t="n"/>
      <c r="L499" s="21">
        <f>IF(OR($B499="",$I499=""),"",$I499-IF($K499="",0,$K499))</f>
        <v/>
      </c>
      <c r="M499" s="22">
        <f>IF(OR($B499="",$L499="",$E499=0,$F499=0),"",$L499/($E499*$F499))</f>
        <v/>
      </c>
      <c r="N499" s="27">
        <f>IF($B499="","",IF($H499="","Open","Closed"))</f>
        <v/>
      </c>
      <c r="O499" s="23" t="n"/>
    </row>
    <row r="500">
      <c r="A500" s="23" t="n"/>
      <c r="B500" s="23" t="n"/>
      <c r="C500" s="23" t="n"/>
      <c r="D500" s="24" t="n"/>
      <c r="E500" s="25" t="n"/>
      <c r="F500" s="26" t="n"/>
      <c r="G500" s="24" t="n"/>
      <c r="H500" s="25" t="n"/>
      <c r="I500" s="21">
        <f>IF(OR($B500="",$H500=""),"",IF($C500="LONG",($H500-$E500)*$F500,($E500-$H500)*$F500))</f>
        <v/>
      </c>
      <c r="J500" s="22">
        <f>IF(OR($B500="",$I500="",$E500=0,$F500=0),"",$I500/($E500*$F500))</f>
        <v/>
      </c>
      <c r="K500" s="4" t="n"/>
      <c r="L500" s="21">
        <f>IF(OR($B500="",$I500=""),"",$I500-IF($K500="",0,$K500))</f>
        <v/>
      </c>
      <c r="M500" s="22">
        <f>IF(OR($B500="",$L500="",$E500=0,$F500=0),"",$L500/($E500*$F500))</f>
        <v/>
      </c>
      <c r="N500" s="27">
        <f>IF($B500="","",IF($H500="","Open","Closed"))</f>
        <v/>
      </c>
      <c r="O500" s="23" t="n"/>
    </row>
    <row r="501">
      <c r="A501" s="23" t="n"/>
      <c r="B501" s="23" t="n"/>
      <c r="C501" s="23" t="n"/>
      <c r="D501" s="24" t="n"/>
      <c r="E501" s="25" t="n"/>
      <c r="F501" s="26" t="n"/>
      <c r="G501" s="24" t="n"/>
      <c r="H501" s="25" t="n"/>
      <c r="I501" s="21">
        <f>IF(OR($B501="",$H501=""),"",IF($C501="LONG",($H501-$E501)*$F501,($E501-$H501)*$F501))</f>
        <v/>
      </c>
      <c r="J501" s="22">
        <f>IF(OR($B501="",$I501="",$E501=0,$F501=0),"",$I501/($E501*$F501))</f>
        <v/>
      </c>
      <c r="K501" s="4" t="n"/>
      <c r="L501" s="21">
        <f>IF(OR($B501="",$I501=""),"",$I501-IF($K501="",0,$K501))</f>
        <v/>
      </c>
      <c r="M501" s="22">
        <f>IF(OR($B501="",$L501="",$E501=0,$F501=0),"",$L501/($E501*$F501))</f>
        <v/>
      </c>
      <c r="N501" s="27">
        <f>IF($B501="","",IF($H501="","Open","Closed"))</f>
        <v/>
      </c>
      <c r="O501" s="23" t="n"/>
    </row>
    <row r="502">
      <c r="A502" s="23" t="n"/>
      <c r="B502" s="23" t="n"/>
      <c r="C502" s="23" t="n"/>
      <c r="D502" s="24" t="n"/>
      <c r="E502" s="25" t="n"/>
      <c r="F502" s="26" t="n"/>
      <c r="G502" s="24" t="n"/>
      <c r="H502" s="25" t="n"/>
      <c r="I502" s="21">
        <f>IF(OR($B502="",$H502=""),"",IF($C502="LONG",($H502-$E502)*$F502,($E502-$H502)*$F502))</f>
        <v/>
      </c>
      <c r="J502" s="22">
        <f>IF(OR($B502="",$I502="",$E502=0,$F502=0),"",$I502/($E502*$F502))</f>
        <v/>
      </c>
      <c r="K502" s="4" t="n"/>
      <c r="L502" s="21">
        <f>IF(OR($B502="",$I502=""),"",$I502-IF($K502="",0,$K502))</f>
        <v/>
      </c>
      <c r="M502" s="22">
        <f>IF(OR($B502="",$L502="",$E502=0,$F502=0),"",$L502/($E502*$F502))</f>
        <v/>
      </c>
      <c r="N502" s="27">
        <f>IF($B502="","",IF($H502="","Open","Closed"))</f>
        <v/>
      </c>
      <c r="O502" s="23" t="n"/>
    </row>
    <row r="503">
      <c r="A503" s="23" t="n"/>
      <c r="B503" s="23" t="n"/>
      <c r="C503" s="23" t="n"/>
      <c r="D503" s="24" t="n"/>
      <c r="E503" s="25" t="n"/>
      <c r="F503" s="26" t="n"/>
      <c r="G503" s="24" t="n"/>
      <c r="H503" s="25" t="n"/>
      <c r="I503" s="21">
        <f>IF(OR($B503="",$H503=""),"",IF($C503="LONG",($H503-$E503)*$F503,($E503-$H503)*$F503))</f>
        <v/>
      </c>
      <c r="J503" s="22">
        <f>IF(OR($B503="",$I503="",$E503=0,$F503=0),"",$I503/($E503*$F503))</f>
        <v/>
      </c>
      <c r="K503" s="4" t="n"/>
      <c r="L503" s="21">
        <f>IF(OR($B503="",$I503=""),"",$I503-IF($K503="",0,$K503))</f>
        <v/>
      </c>
      <c r="M503" s="22">
        <f>IF(OR($B503="",$L503="",$E503=0,$F503=0),"",$L503/($E503*$F503))</f>
        <v/>
      </c>
      <c r="N503" s="27">
        <f>IF($B503="","",IF($H503="","Open","Closed"))</f>
        <v/>
      </c>
      <c r="O503" s="23" t="n"/>
    </row>
  </sheetData>
  <autoFilter ref="A3:O503"/>
  <mergeCells count="2">
    <mergeCell ref="A1:O1"/>
    <mergeCell ref="A2:O2"/>
  </mergeCells>
  <conditionalFormatting sqref="L4:L503">
    <cfRule type="cellIs" priority="1" operator="lessThan" dxfId="2">
      <formula>0</formula>
    </cfRule>
  </conditionalFormatting>
  <dataValidations count="2">
    <dataValidation sqref="C4:C503" showDropDown="0" showInputMessage="0" showErrorMessage="0" allowBlank="1" type="list">
      <formula1>"LONG,SHORT"</formula1>
    </dataValidation>
    <dataValidation sqref="O4:O503" showDropDown="0" showInputMessage="0" showErrorMessage="0" allowBlank="1" type="list">
      <formula1>"5-10,10-15,15-20,Untagged"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Day Wise PnL</t>
        </is>
      </c>
    </row>
    <row r="2" ht="16" customHeight="1">
      <c r="A2" s="2" t="inlineStr">
        <is>
          <t>One row per calendar date, attributed by Exit Date -- continues forward automatically from the first date in A4.</t>
        </is>
      </c>
    </row>
    <row r="3">
      <c r="A3" s="19" t="inlineStr">
        <is>
          <t>Date</t>
        </is>
      </c>
      <c r="B3" s="19" t="inlineStr">
        <is>
          <t>Long Gross P&amp;L</t>
        </is>
      </c>
      <c r="C3" s="19" t="inlineStr">
        <is>
          <t>Short Gross P&amp;L</t>
        </is>
      </c>
      <c r="D3" s="19" t="inlineStr">
        <is>
          <t>Total Gross P&amp;L</t>
        </is>
      </c>
      <c r="E3" s="19" t="inlineStr">
        <is>
          <t>Long Net P&amp;L</t>
        </is>
      </c>
      <c r="F3" s="19" t="inlineStr">
        <is>
          <t>Short Net P&amp;L</t>
        </is>
      </c>
      <c r="G3" s="19" t="inlineStr">
        <is>
          <t>Total Net P&amp;L</t>
        </is>
      </c>
    </row>
    <row r="4">
      <c r="A4" s="24" t="n">
        <v>46253</v>
      </c>
      <c r="B4" s="21">
        <f>IF($A4="","",SUMIFS('Trade Log'!$I$4:$I$503,'Trade Log'!$G$4:$G$503,$A4,'Trade Log'!$C$4:$C$503,"LONG"))</f>
        <v/>
      </c>
      <c r="C4" s="21">
        <f>IF($A4="","",SUMIFS('Trade Log'!$I$4:$I$503,'Trade Log'!$G$4:$G$503,$A4,'Trade Log'!$C$4:$C$503,"SHORT"))</f>
        <v/>
      </c>
      <c r="D4" s="21">
        <f>IF($A4="","",$B4+$C4)</f>
        <v/>
      </c>
      <c r="E4" s="21">
        <f>IF($A4="","",SUMIFS('Trade Log'!$L$4:$L$503,'Trade Log'!$G$4:$G$503,$A4,'Trade Log'!$C$4:$C$503,"LONG"))</f>
        <v/>
      </c>
      <c r="F4" s="21">
        <f>IF($A4="","",SUMIFS('Trade Log'!$L$4:$L$503,'Trade Log'!$G$4:$G$503,$A4,'Trade Log'!$C$4:$C$503,"SHORT"))</f>
        <v/>
      </c>
      <c r="G4" s="21">
        <f>IF($A4="","",$E4+$F4)</f>
        <v/>
      </c>
    </row>
    <row r="5">
      <c r="A5" s="28">
        <f>IF(A4="","",A4+1)</f>
        <v/>
      </c>
      <c r="B5" s="21">
        <f>IF($A5="","",SUMIFS('Trade Log'!$I$4:$I$503,'Trade Log'!$G$4:$G$503,$A5,'Trade Log'!$C$4:$C$503,"LONG"))</f>
        <v/>
      </c>
      <c r="C5" s="21">
        <f>IF($A5="","",SUMIFS('Trade Log'!$I$4:$I$503,'Trade Log'!$G$4:$G$503,$A5,'Trade Log'!$C$4:$C$503,"SHORT"))</f>
        <v/>
      </c>
      <c r="D5" s="21">
        <f>IF($A5="","",$B5+$C5)</f>
        <v/>
      </c>
      <c r="E5" s="21">
        <f>IF($A5="","",SUMIFS('Trade Log'!$L$4:$L$503,'Trade Log'!$G$4:$G$503,$A5,'Trade Log'!$C$4:$C$503,"LONG"))</f>
        <v/>
      </c>
      <c r="F5" s="21">
        <f>IF($A5="","",SUMIFS('Trade Log'!$L$4:$L$503,'Trade Log'!$G$4:$G$503,$A5,'Trade Log'!$C$4:$C$503,"SHORT"))</f>
        <v/>
      </c>
      <c r="G5" s="21">
        <f>IF($A5="","",$E5+$F5)</f>
        <v/>
      </c>
    </row>
    <row r="6">
      <c r="A6" s="28">
        <f>IF(A5="","",A5+1)</f>
        <v/>
      </c>
      <c r="B6" s="21">
        <f>IF($A6="","",SUMIFS('Trade Log'!$I$4:$I$503,'Trade Log'!$G$4:$G$503,$A6,'Trade Log'!$C$4:$C$503,"LONG"))</f>
        <v/>
      </c>
      <c r="C6" s="21">
        <f>IF($A6="","",SUMIFS('Trade Log'!$I$4:$I$503,'Trade Log'!$G$4:$G$503,$A6,'Trade Log'!$C$4:$C$503,"SHORT"))</f>
        <v/>
      </c>
      <c r="D6" s="21">
        <f>IF($A6="","",$B6+$C6)</f>
        <v/>
      </c>
      <c r="E6" s="21">
        <f>IF($A6="","",SUMIFS('Trade Log'!$L$4:$L$503,'Trade Log'!$G$4:$G$503,$A6,'Trade Log'!$C$4:$C$503,"LONG"))</f>
        <v/>
      </c>
      <c r="F6" s="21">
        <f>IF($A6="","",SUMIFS('Trade Log'!$L$4:$L$503,'Trade Log'!$G$4:$G$503,$A6,'Trade Log'!$C$4:$C$503,"SHORT"))</f>
        <v/>
      </c>
      <c r="G6" s="21">
        <f>IF($A6="","",$E6+$F6)</f>
        <v/>
      </c>
    </row>
    <row r="7">
      <c r="A7" s="28">
        <f>IF(A6="","",A6+1)</f>
        <v/>
      </c>
      <c r="B7" s="21">
        <f>IF($A7="","",SUMIFS('Trade Log'!$I$4:$I$503,'Trade Log'!$G$4:$G$503,$A7,'Trade Log'!$C$4:$C$503,"LONG"))</f>
        <v/>
      </c>
      <c r="C7" s="21">
        <f>IF($A7="","",SUMIFS('Trade Log'!$I$4:$I$503,'Trade Log'!$G$4:$G$503,$A7,'Trade Log'!$C$4:$C$503,"SHORT"))</f>
        <v/>
      </c>
      <c r="D7" s="21">
        <f>IF($A7="","",$B7+$C7)</f>
        <v/>
      </c>
      <c r="E7" s="21">
        <f>IF($A7="","",SUMIFS('Trade Log'!$L$4:$L$503,'Trade Log'!$G$4:$G$503,$A7,'Trade Log'!$C$4:$C$503,"LONG"))</f>
        <v/>
      </c>
      <c r="F7" s="21">
        <f>IF($A7="","",SUMIFS('Trade Log'!$L$4:$L$503,'Trade Log'!$G$4:$G$503,$A7,'Trade Log'!$C$4:$C$503,"SHORT"))</f>
        <v/>
      </c>
      <c r="G7" s="21">
        <f>IF($A7="","",$E7+$F7)</f>
        <v/>
      </c>
    </row>
    <row r="8">
      <c r="A8" s="28">
        <f>IF(A7="","",A7+1)</f>
        <v/>
      </c>
      <c r="B8" s="21">
        <f>IF($A8="","",SUMIFS('Trade Log'!$I$4:$I$503,'Trade Log'!$G$4:$G$503,$A8,'Trade Log'!$C$4:$C$503,"LONG"))</f>
        <v/>
      </c>
      <c r="C8" s="21">
        <f>IF($A8="","",SUMIFS('Trade Log'!$I$4:$I$503,'Trade Log'!$G$4:$G$503,$A8,'Trade Log'!$C$4:$C$503,"SHORT"))</f>
        <v/>
      </c>
      <c r="D8" s="21">
        <f>IF($A8="","",$B8+$C8)</f>
        <v/>
      </c>
      <c r="E8" s="21">
        <f>IF($A8="","",SUMIFS('Trade Log'!$L$4:$L$503,'Trade Log'!$G$4:$G$503,$A8,'Trade Log'!$C$4:$C$503,"LONG"))</f>
        <v/>
      </c>
      <c r="F8" s="21">
        <f>IF($A8="","",SUMIFS('Trade Log'!$L$4:$L$503,'Trade Log'!$G$4:$G$503,$A8,'Trade Log'!$C$4:$C$503,"SHORT"))</f>
        <v/>
      </c>
      <c r="G8" s="21">
        <f>IF($A8="","",$E8+$F8)</f>
        <v/>
      </c>
    </row>
    <row r="9">
      <c r="A9" s="28">
        <f>IF(A8="","",A8+1)</f>
        <v/>
      </c>
      <c r="B9" s="21">
        <f>IF($A9="","",SUMIFS('Trade Log'!$I$4:$I$503,'Trade Log'!$G$4:$G$503,$A9,'Trade Log'!$C$4:$C$503,"LONG"))</f>
        <v/>
      </c>
      <c r="C9" s="21">
        <f>IF($A9="","",SUMIFS('Trade Log'!$I$4:$I$503,'Trade Log'!$G$4:$G$503,$A9,'Trade Log'!$C$4:$C$503,"SHORT"))</f>
        <v/>
      </c>
      <c r="D9" s="21">
        <f>IF($A9="","",$B9+$C9)</f>
        <v/>
      </c>
      <c r="E9" s="21">
        <f>IF($A9="","",SUMIFS('Trade Log'!$L$4:$L$503,'Trade Log'!$G$4:$G$503,$A9,'Trade Log'!$C$4:$C$503,"LONG"))</f>
        <v/>
      </c>
      <c r="F9" s="21">
        <f>IF($A9="","",SUMIFS('Trade Log'!$L$4:$L$503,'Trade Log'!$G$4:$G$503,$A9,'Trade Log'!$C$4:$C$503,"SHORT"))</f>
        <v/>
      </c>
      <c r="G9" s="21">
        <f>IF($A9="","",$E9+$F9)</f>
        <v/>
      </c>
    </row>
    <row r="10">
      <c r="A10" s="28">
        <f>IF(A9="","",A9+1)</f>
        <v/>
      </c>
      <c r="B10" s="21">
        <f>IF($A10="","",SUMIFS('Trade Log'!$I$4:$I$503,'Trade Log'!$G$4:$G$503,$A10,'Trade Log'!$C$4:$C$503,"LONG"))</f>
        <v/>
      </c>
      <c r="C10" s="21">
        <f>IF($A10="","",SUMIFS('Trade Log'!$I$4:$I$503,'Trade Log'!$G$4:$G$503,$A10,'Trade Log'!$C$4:$C$503,"SHORT"))</f>
        <v/>
      </c>
      <c r="D10" s="21">
        <f>IF($A10="","",$B10+$C10)</f>
        <v/>
      </c>
      <c r="E10" s="21">
        <f>IF($A10="","",SUMIFS('Trade Log'!$L$4:$L$503,'Trade Log'!$G$4:$G$503,$A10,'Trade Log'!$C$4:$C$503,"LONG"))</f>
        <v/>
      </c>
      <c r="F10" s="21">
        <f>IF($A10="","",SUMIFS('Trade Log'!$L$4:$L$503,'Trade Log'!$G$4:$G$503,$A10,'Trade Log'!$C$4:$C$503,"SHORT"))</f>
        <v/>
      </c>
      <c r="G10" s="21">
        <f>IF($A10="","",$E10+$F10)</f>
        <v/>
      </c>
    </row>
    <row r="11">
      <c r="A11" s="28">
        <f>IF(A10="","",A10+1)</f>
        <v/>
      </c>
      <c r="B11" s="21">
        <f>IF($A11="","",SUMIFS('Trade Log'!$I$4:$I$503,'Trade Log'!$G$4:$G$503,$A11,'Trade Log'!$C$4:$C$503,"LONG"))</f>
        <v/>
      </c>
      <c r="C11" s="21">
        <f>IF($A11="","",SUMIFS('Trade Log'!$I$4:$I$503,'Trade Log'!$G$4:$G$503,$A11,'Trade Log'!$C$4:$C$503,"SHORT"))</f>
        <v/>
      </c>
      <c r="D11" s="21">
        <f>IF($A11="","",$B11+$C11)</f>
        <v/>
      </c>
      <c r="E11" s="21">
        <f>IF($A11="","",SUMIFS('Trade Log'!$L$4:$L$503,'Trade Log'!$G$4:$G$503,$A11,'Trade Log'!$C$4:$C$503,"LONG"))</f>
        <v/>
      </c>
      <c r="F11" s="21">
        <f>IF($A11="","",SUMIFS('Trade Log'!$L$4:$L$503,'Trade Log'!$G$4:$G$503,$A11,'Trade Log'!$C$4:$C$503,"SHORT"))</f>
        <v/>
      </c>
      <c r="G11" s="21">
        <f>IF($A11="","",$E11+$F11)</f>
        <v/>
      </c>
    </row>
    <row r="12">
      <c r="A12" s="28">
        <f>IF(A11="","",A11+1)</f>
        <v/>
      </c>
      <c r="B12" s="21">
        <f>IF($A12="","",SUMIFS('Trade Log'!$I$4:$I$503,'Trade Log'!$G$4:$G$503,$A12,'Trade Log'!$C$4:$C$503,"LONG"))</f>
        <v/>
      </c>
      <c r="C12" s="21">
        <f>IF($A12="","",SUMIFS('Trade Log'!$I$4:$I$503,'Trade Log'!$G$4:$G$503,$A12,'Trade Log'!$C$4:$C$503,"SHORT"))</f>
        <v/>
      </c>
      <c r="D12" s="21">
        <f>IF($A12="","",$B12+$C12)</f>
        <v/>
      </c>
      <c r="E12" s="21">
        <f>IF($A12="","",SUMIFS('Trade Log'!$L$4:$L$503,'Trade Log'!$G$4:$G$503,$A12,'Trade Log'!$C$4:$C$503,"LONG"))</f>
        <v/>
      </c>
      <c r="F12" s="21">
        <f>IF($A12="","",SUMIFS('Trade Log'!$L$4:$L$503,'Trade Log'!$G$4:$G$503,$A12,'Trade Log'!$C$4:$C$503,"SHORT"))</f>
        <v/>
      </c>
      <c r="G12" s="21">
        <f>IF($A12="","",$E12+$F12)</f>
        <v/>
      </c>
    </row>
    <row r="13">
      <c r="A13" s="28">
        <f>IF(A12="","",A12+1)</f>
        <v/>
      </c>
      <c r="B13" s="21">
        <f>IF($A13="","",SUMIFS('Trade Log'!$I$4:$I$503,'Trade Log'!$G$4:$G$503,$A13,'Trade Log'!$C$4:$C$503,"LONG"))</f>
        <v/>
      </c>
      <c r="C13" s="21">
        <f>IF($A13="","",SUMIFS('Trade Log'!$I$4:$I$503,'Trade Log'!$G$4:$G$503,$A13,'Trade Log'!$C$4:$C$503,"SHORT"))</f>
        <v/>
      </c>
      <c r="D13" s="21">
        <f>IF($A13="","",$B13+$C13)</f>
        <v/>
      </c>
      <c r="E13" s="21">
        <f>IF($A13="","",SUMIFS('Trade Log'!$L$4:$L$503,'Trade Log'!$G$4:$G$503,$A13,'Trade Log'!$C$4:$C$503,"LONG"))</f>
        <v/>
      </c>
      <c r="F13" s="21">
        <f>IF($A13="","",SUMIFS('Trade Log'!$L$4:$L$503,'Trade Log'!$G$4:$G$503,$A13,'Trade Log'!$C$4:$C$503,"SHORT"))</f>
        <v/>
      </c>
      <c r="G13" s="21">
        <f>IF($A13="","",$E13+$F13)</f>
        <v/>
      </c>
    </row>
    <row r="14">
      <c r="A14" s="28">
        <f>IF(A13="","",A13+1)</f>
        <v/>
      </c>
      <c r="B14" s="21">
        <f>IF($A14="","",SUMIFS('Trade Log'!$I$4:$I$503,'Trade Log'!$G$4:$G$503,$A14,'Trade Log'!$C$4:$C$503,"LONG"))</f>
        <v/>
      </c>
      <c r="C14" s="21">
        <f>IF($A14="","",SUMIFS('Trade Log'!$I$4:$I$503,'Trade Log'!$G$4:$G$503,$A14,'Trade Log'!$C$4:$C$503,"SHORT"))</f>
        <v/>
      </c>
      <c r="D14" s="21">
        <f>IF($A14="","",$B14+$C14)</f>
        <v/>
      </c>
      <c r="E14" s="21">
        <f>IF($A14="","",SUMIFS('Trade Log'!$L$4:$L$503,'Trade Log'!$G$4:$G$503,$A14,'Trade Log'!$C$4:$C$503,"LONG"))</f>
        <v/>
      </c>
      <c r="F14" s="21">
        <f>IF($A14="","",SUMIFS('Trade Log'!$L$4:$L$503,'Trade Log'!$G$4:$G$503,$A14,'Trade Log'!$C$4:$C$503,"SHORT"))</f>
        <v/>
      </c>
      <c r="G14" s="21">
        <f>IF($A14="","",$E14+$F14)</f>
        <v/>
      </c>
    </row>
    <row r="15">
      <c r="A15" s="28">
        <f>IF(A14="","",A14+1)</f>
        <v/>
      </c>
      <c r="B15" s="21">
        <f>IF($A15="","",SUMIFS('Trade Log'!$I$4:$I$503,'Trade Log'!$G$4:$G$503,$A15,'Trade Log'!$C$4:$C$503,"LONG"))</f>
        <v/>
      </c>
      <c r="C15" s="21">
        <f>IF($A15="","",SUMIFS('Trade Log'!$I$4:$I$503,'Trade Log'!$G$4:$G$503,$A15,'Trade Log'!$C$4:$C$503,"SHORT"))</f>
        <v/>
      </c>
      <c r="D15" s="21">
        <f>IF($A15="","",$B15+$C15)</f>
        <v/>
      </c>
      <c r="E15" s="21">
        <f>IF($A15="","",SUMIFS('Trade Log'!$L$4:$L$503,'Trade Log'!$G$4:$G$503,$A15,'Trade Log'!$C$4:$C$503,"LONG"))</f>
        <v/>
      </c>
      <c r="F15" s="21">
        <f>IF($A15="","",SUMIFS('Trade Log'!$L$4:$L$503,'Trade Log'!$G$4:$G$503,$A15,'Trade Log'!$C$4:$C$503,"SHORT"))</f>
        <v/>
      </c>
      <c r="G15" s="21">
        <f>IF($A15="","",$E15+$F15)</f>
        <v/>
      </c>
    </row>
    <row r="16">
      <c r="A16" s="28">
        <f>IF(A15="","",A15+1)</f>
        <v/>
      </c>
      <c r="B16" s="21">
        <f>IF($A16="","",SUMIFS('Trade Log'!$I$4:$I$503,'Trade Log'!$G$4:$G$503,$A16,'Trade Log'!$C$4:$C$503,"LONG"))</f>
        <v/>
      </c>
      <c r="C16" s="21">
        <f>IF($A16="","",SUMIFS('Trade Log'!$I$4:$I$503,'Trade Log'!$G$4:$G$503,$A16,'Trade Log'!$C$4:$C$503,"SHORT"))</f>
        <v/>
      </c>
      <c r="D16" s="21">
        <f>IF($A16="","",$B16+$C16)</f>
        <v/>
      </c>
      <c r="E16" s="21">
        <f>IF($A16="","",SUMIFS('Trade Log'!$L$4:$L$503,'Trade Log'!$G$4:$G$503,$A16,'Trade Log'!$C$4:$C$503,"LONG"))</f>
        <v/>
      </c>
      <c r="F16" s="21">
        <f>IF($A16="","",SUMIFS('Trade Log'!$L$4:$L$503,'Trade Log'!$G$4:$G$503,$A16,'Trade Log'!$C$4:$C$503,"SHORT"))</f>
        <v/>
      </c>
      <c r="G16" s="21">
        <f>IF($A16="","",$E16+$F16)</f>
        <v/>
      </c>
    </row>
    <row r="17">
      <c r="A17" s="28">
        <f>IF(A16="","",A16+1)</f>
        <v/>
      </c>
      <c r="B17" s="21">
        <f>IF($A17="","",SUMIFS('Trade Log'!$I$4:$I$503,'Trade Log'!$G$4:$G$503,$A17,'Trade Log'!$C$4:$C$503,"LONG"))</f>
        <v/>
      </c>
      <c r="C17" s="21">
        <f>IF($A17="","",SUMIFS('Trade Log'!$I$4:$I$503,'Trade Log'!$G$4:$G$503,$A17,'Trade Log'!$C$4:$C$503,"SHORT"))</f>
        <v/>
      </c>
      <c r="D17" s="21">
        <f>IF($A17="","",$B17+$C17)</f>
        <v/>
      </c>
      <c r="E17" s="21">
        <f>IF($A17="","",SUMIFS('Trade Log'!$L$4:$L$503,'Trade Log'!$G$4:$G$503,$A17,'Trade Log'!$C$4:$C$503,"LONG"))</f>
        <v/>
      </c>
      <c r="F17" s="21">
        <f>IF($A17="","",SUMIFS('Trade Log'!$L$4:$L$503,'Trade Log'!$G$4:$G$503,$A17,'Trade Log'!$C$4:$C$503,"SHORT"))</f>
        <v/>
      </c>
      <c r="G17" s="21">
        <f>IF($A17="","",$E17+$F17)</f>
        <v/>
      </c>
    </row>
    <row r="18">
      <c r="A18" s="28">
        <f>IF(A17="","",A17+1)</f>
        <v/>
      </c>
      <c r="B18" s="21">
        <f>IF($A18="","",SUMIFS('Trade Log'!$I$4:$I$503,'Trade Log'!$G$4:$G$503,$A18,'Trade Log'!$C$4:$C$503,"LONG"))</f>
        <v/>
      </c>
      <c r="C18" s="21">
        <f>IF($A18="","",SUMIFS('Trade Log'!$I$4:$I$503,'Trade Log'!$G$4:$G$503,$A18,'Trade Log'!$C$4:$C$503,"SHORT"))</f>
        <v/>
      </c>
      <c r="D18" s="21">
        <f>IF($A18="","",$B18+$C18)</f>
        <v/>
      </c>
      <c r="E18" s="21">
        <f>IF($A18="","",SUMIFS('Trade Log'!$L$4:$L$503,'Trade Log'!$G$4:$G$503,$A18,'Trade Log'!$C$4:$C$503,"LONG"))</f>
        <v/>
      </c>
      <c r="F18" s="21">
        <f>IF($A18="","",SUMIFS('Trade Log'!$L$4:$L$503,'Trade Log'!$G$4:$G$503,$A18,'Trade Log'!$C$4:$C$503,"SHORT"))</f>
        <v/>
      </c>
      <c r="G18" s="21">
        <f>IF($A18="","",$E18+$F18)</f>
        <v/>
      </c>
    </row>
    <row r="19">
      <c r="A19" s="28">
        <f>IF(A18="","",A18+1)</f>
        <v/>
      </c>
      <c r="B19" s="21">
        <f>IF($A19="","",SUMIFS('Trade Log'!$I$4:$I$503,'Trade Log'!$G$4:$G$503,$A19,'Trade Log'!$C$4:$C$503,"LONG"))</f>
        <v/>
      </c>
      <c r="C19" s="21">
        <f>IF($A19="","",SUMIFS('Trade Log'!$I$4:$I$503,'Trade Log'!$G$4:$G$503,$A19,'Trade Log'!$C$4:$C$503,"SHORT"))</f>
        <v/>
      </c>
      <c r="D19" s="21">
        <f>IF($A19="","",$B19+$C19)</f>
        <v/>
      </c>
      <c r="E19" s="21">
        <f>IF($A19="","",SUMIFS('Trade Log'!$L$4:$L$503,'Trade Log'!$G$4:$G$503,$A19,'Trade Log'!$C$4:$C$503,"LONG"))</f>
        <v/>
      </c>
      <c r="F19" s="21">
        <f>IF($A19="","",SUMIFS('Trade Log'!$L$4:$L$503,'Trade Log'!$G$4:$G$503,$A19,'Trade Log'!$C$4:$C$503,"SHORT"))</f>
        <v/>
      </c>
      <c r="G19" s="21">
        <f>IF($A19="","",$E19+$F19)</f>
        <v/>
      </c>
    </row>
    <row r="20">
      <c r="A20" s="28">
        <f>IF(A19="","",A19+1)</f>
        <v/>
      </c>
      <c r="B20" s="21">
        <f>IF($A20="","",SUMIFS('Trade Log'!$I$4:$I$503,'Trade Log'!$G$4:$G$503,$A20,'Trade Log'!$C$4:$C$503,"LONG"))</f>
        <v/>
      </c>
      <c r="C20" s="21">
        <f>IF($A20="","",SUMIFS('Trade Log'!$I$4:$I$503,'Trade Log'!$G$4:$G$503,$A20,'Trade Log'!$C$4:$C$503,"SHORT"))</f>
        <v/>
      </c>
      <c r="D20" s="21">
        <f>IF($A20="","",$B20+$C20)</f>
        <v/>
      </c>
      <c r="E20" s="21">
        <f>IF($A20="","",SUMIFS('Trade Log'!$L$4:$L$503,'Trade Log'!$G$4:$G$503,$A20,'Trade Log'!$C$4:$C$503,"LONG"))</f>
        <v/>
      </c>
      <c r="F20" s="21">
        <f>IF($A20="","",SUMIFS('Trade Log'!$L$4:$L$503,'Trade Log'!$G$4:$G$503,$A20,'Trade Log'!$C$4:$C$503,"SHORT"))</f>
        <v/>
      </c>
      <c r="G20" s="21">
        <f>IF($A20="","",$E20+$F20)</f>
        <v/>
      </c>
    </row>
    <row r="21">
      <c r="A21" s="28">
        <f>IF(A20="","",A20+1)</f>
        <v/>
      </c>
      <c r="B21" s="21">
        <f>IF($A21="","",SUMIFS('Trade Log'!$I$4:$I$503,'Trade Log'!$G$4:$G$503,$A21,'Trade Log'!$C$4:$C$503,"LONG"))</f>
        <v/>
      </c>
      <c r="C21" s="21">
        <f>IF($A21="","",SUMIFS('Trade Log'!$I$4:$I$503,'Trade Log'!$G$4:$G$503,$A21,'Trade Log'!$C$4:$C$503,"SHORT"))</f>
        <v/>
      </c>
      <c r="D21" s="21">
        <f>IF($A21="","",$B21+$C21)</f>
        <v/>
      </c>
      <c r="E21" s="21">
        <f>IF($A21="","",SUMIFS('Trade Log'!$L$4:$L$503,'Trade Log'!$G$4:$G$503,$A21,'Trade Log'!$C$4:$C$503,"LONG"))</f>
        <v/>
      </c>
      <c r="F21" s="21">
        <f>IF($A21="","",SUMIFS('Trade Log'!$L$4:$L$503,'Trade Log'!$G$4:$G$503,$A21,'Trade Log'!$C$4:$C$503,"SHORT"))</f>
        <v/>
      </c>
      <c r="G21" s="21">
        <f>IF($A21="","",$E21+$F21)</f>
        <v/>
      </c>
    </row>
    <row r="22">
      <c r="A22" s="28">
        <f>IF(A21="","",A21+1)</f>
        <v/>
      </c>
      <c r="B22" s="21">
        <f>IF($A22="","",SUMIFS('Trade Log'!$I$4:$I$503,'Trade Log'!$G$4:$G$503,$A22,'Trade Log'!$C$4:$C$503,"LONG"))</f>
        <v/>
      </c>
      <c r="C22" s="21">
        <f>IF($A22="","",SUMIFS('Trade Log'!$I$4:$I$503,'Trade Log'!$G$4:$G$503,$A22,'Trade Log'!$C$4:$C$503,"SHORT"))</f>
        <v/>
      </c>
      <c r="D22" s="21">
        <f>IF($A22="","",$B22+$C22)</f>
        <v/>
      </c>
      <c r="E22" s="21">
        <f>IF($A22="","",SUMIFS('Trade Log'!$L$4:$L$503,'Trade Log'!$G$4:$G$503,$A22,'Trade Log'!$C$4:$C$503,"LONG"))</f>
        <v/>
      </c>
      <c r="F22" s="21">
        <f>IF($A22="","",SUMIFS('Trade Log'!$L$4:$L$503,'Trade Log'!$G$4:$G$503,$A22,'Trade Log'!$C$4:$C$503,"SHORT"))</f>
        <v/>
      </c>
      <c r="G22" s="21">
        <f>IF($A22="","",$E22+$F22)</f>
        <v/>
      </c>
    </row>
    <row r="23">
      <c r="A23" s="28">
        <f>IF(A22="","",A22+1)</f>
        <v/>
      </c>
      <c r="B23" s="21">
        <f>IF($A23="","",SUMIFS('Trade Log'!$I$4:$I$503,'Trade Log'!$G$4:$G$503,$A23,'Trade Log'!$C$4:$C$503,"LONG"))</f>
        <v/>
      </c>
      <c r="C23" s="21">
        <f>IF($A23="","",SUMIFS('Trade Log'!$I$4:$I$503,'Trade Log'!$G$4:$G$503,$A23,'Trade Log'!$C$4:$C$503,"SHORT"))</f>
        <v/>
      </c>
      <c r="D23" s="21">
        <f>IF($A23="","",$B23+$C23)</f>
        <v/>
      </c>
      <c r="E23" s="21">
        <f>IF($A23="","",SUMIFS('Trade Log'!$L$4:$L$503,'Trade Log'!$G$4:$G$503,$A23,'Trade Log'!$C$4:$C$503,"LONG"))</f>
        <v/>
      </c>
      <c r="F23" s="21">
        <f>IF($A23="","",SUMIFS('Trade Log'!$L$4:$L$503,'Trade Log'!$G$4:$G$503,$A23,'Trade Log'!$C$4:$C$503,"SHORT"))</f>
        <v/>
      </c>
      <c r="G23" s="21">
        <f>IF($A23="","",$E23+$F23)</f>
        <v/>
      </c>
    </row>
    <row r="24">
      <c r="A24" s="28">
        <f>IF(A23="","",A23+1)</f>
        <v/>
      </c>
      <c r="B24" s="21">
        <f>IF($A24="","",SUMIFS('Trade Log'!$I$4:$I$503,'Trade Log'!$G$4:$G$503,$A24,'Trade Log'!$C$4:$C$503,"LONG"))</f>
        <v/>
      </c>
      <c r="C24" s="21">
        <f>IF($A24="","",SUMIFS('Trade Log'!$I$4:$I$503,'Trade Log'!$G$4:$G$503,$A24,'Trade Log'!$C$4:$C$503,"SHORT"))</f>
        <v/>
      </c>
      <c r="D24" s="21">
        <f>IF($A24="","",$B24+$C24)</f>
        <v/>
      </c>
      <c r="E24" s="21">
        <f>IF($A24="","",SUMIFS('Trade Log'!$L$4:$L$503,'Trade Log'!$G$4:$G$503,$A24,'Trade Log'!$C$4:$C$503,"LONG"))</f>
        <v/>
      </c>
      <c r="F24" s="21">
        <f>IF($A24="","",SUMIFS('Trade Log'!$L$4:$L$503,'Trade Log'!$G$4:$G$503,$A24,'Trade Log'!$C$4:$C$503,"SHORT"))</f>
        <v/>
      </c>
      <c r="G24" s="21">
        <f>IF($A24="","",$E24+$F24)</f>
        <v/>
      </c>
    </row>
    <row r="25">
      <c r="A25" s="28">
        <f>IF(A24="","",A24+1)</f>
        <v/>
      </c>
      <c r="B25" s="21">
        <f>IF($A25="","",SUMIFS('Trade Log'!$I$4:$I$503,'Trade Log'!$G$4:$G$503,$A25,'Trade Log'!$C$4:$C$503,"LONG"))</f>
        <v/>
      </c>
      <c r="C25" s="21">
        <f>IF($A25="","",SUMIFS('Trade Log'!$I$4:$I$503,'Trade Log'!$G$4:$G$503,$A25,'Trade Log'!$C$4:$C$503,"SHORT"))</f>
        <v/>
      </c>
      <c r="D25" s="21">
        <f>IF($A25="","",$B25+$C25)</f>
        <v/>
      </c>
      <c r="E25" s="21">
        <f>IF($A25="","",SUMIFS('Trade Log'!$L$4:$L$503,'Trade Log'!$G$4:$G$503,$A25,'Trade Log'!$C$4:$C$503,"LONG"))</f>
        <v/>
      </c>
      <c r="F25" s="21">
        <f>IF($A25="","",SUMIFS('Trade Log'!$L$4:$L$503,'Trade Log'!$G$4:$G$503,$A25,'Trade Log'!$C$4:$C$503,"SHORT"))</f>
        <v/>
      </c>
      <c r="G25" s="21">
        <f>IF($A25="","",$E25+$F25)</f>
        <v/>
      </c>
    </row>
    <row r="26">
      <c r="A26" s="28">
        <f>IF(A25="","",A25+1)</f>
        <v/>
      </c>
      <c r="B26" s="21">
        <f>IF($A26="","",SUMIFS('Trade Log'!$I$4:$I$503,'Trade Log'!$G$4:$G$503,$A26,'Trade Log'!$C$4:$C$503,"LONG"))</f>
        <v/>
      </c>
      <c r="C26" s="21">
        <f>IF($A26="","",SUMIFS('Trade Log'!$I$4:$I$503,'Trade Log'!$G$4:$G$503,$A26,'Trade Log'!$C$4:$C$503,"SHORT"))</f>
        <v/>
      </c>
      <c r="D26" s="21">
        <f>IF($A26="","",$B26+$C26)</f>
        <v/>
      </c>
      <c r="E26" s="21">
        <f>IF($A26="","",SUMIFS('Trade Log'!$L$4:$L$503,'Trade Log'!$G$4:$G$503,$A26,'Trade Log'!$C$4:$C$503,"LONG"))</f>
        <v/>
      </c>
      <c r="F26" s="21">
        <f>IF($A26="","",SUMIFS('Trade Log'!$L$4:$L$503,'Trade Log'!$G$4:$G$503,$A26,'Trade Log'!$C$4:$C$503,"SHORT"))</f>
        <v/>
      </c>
      <c r="G26" s="21">
        <f>IF($A26="","",$E26+$F26)</f>
        <v/>
      </c>
    </row>
    <row r="27">
      <c r="A27" s="28">
        <f>IF(A26="","",A26+1)</f>
        <v/>
      </c>
      <c r="B27" s="21">
        <f>IF($A27="","",SUMIFS('Trade Log'!$I$4:$I$503,'Trade Log'!$G$4:$G$503,$A27,'Trade Log'!$C$4:$C$503,"LONG"))</f>
        <v/>
      </c>
      <c r="C27" s="21">
        <f>IF($A27="","",SUMIFS('Trade Log'!$I$4:$I$503,'Trade Log'!$G$4:$G$503,$A27,'Trade Log'!$C$4:$C$503,"SHORT"))</f>
        <v/>
      </c>
      <c r="D27" s="21">
        <f>IF($A27="","",$B27+$C27)</f>
        <v/>
      </c>
      <c r="E27" s="21">
        <f>IF($A27="","",SUMIFS('Trade Log'!$L$4:$L$503,'Trade Log'!$G$4:$G$503,$A27,'Trade Log'!$C$4:$C$503,"LONG"))</f>
        <v/>
      </c>
      <c r="F27" s="21">
        <f>IF($A27="","",SUMIFS('Trade Log'!$L$4:$L$503,'Trade Log'!$G$4:$G$503,$A27,'Trade Log'!$C$4:$C$503,"SHORT"))</f>
        <v/>
      </c>
      <c r="G27" s="21">
        <f>IF($A27="","",$E27+$F27)</f>
        <v/>
      </c>
    </row>
    <row r="28">
      <c r="A28" s="28">
        <f>IF(A27="","",A27+1)</f>
        <v/>
      </c>
      <c r="B28" s="21">
        <f>IF($A28="","",SUMIFS('Trade Log'!$I$4:$I$503,'Trade Log'!$G$4:$G$503,$A28,'Trade Log'!$C$4:$C$503,"LONG"))</f>
        <v/>
      </c>
      <c r="C28" s="21">
        <f>IF($A28="","",SUMIFS('Trade Log'!$I$4:$I$503,'Trade Log'!$G$4:$G$503,$A28,'Trade Log'!$C$4:$C$503,"SHORT"))</f>
        <v/>
      </c>
      <c r="D28" s="21">
        <f>IF($A28="","",$B28+$C28)</f>
        <v/>
      </c>
      <c r="E28" s="21">
        <f>IF($A28="","",SUMIFS('Trade Log'!$L$4:$L$503,'Trade Log'!$G$4:$G$503,$A28,'Trade Log'!$C$4:$C$503,"LONG"))</f>
        <v/>
      </c>
      <c r="F28" s="21">
        <f>IF($A28="","",SUMIFS('Trade Log'!$L$4:$L$503,'Trade Log'!$G$4:$G$503,$A28,'Trade Log'!$C$4:$C$503,"SHORT"))</f>
        <v/>
      </c>
      <c r="G28" s="21">
        <f>IF($A28="","",$E28+$F28)</f>
        <v/>
      </c>
    </row>
    <row r="29">
      <c r="A29" s="28">
        <f>IF(A28="","",A28+1)</f>
        <v/>
      </c>
      <c r="B29" s="21">
        <f>IF($A29="","",SUMIFS('Trade Log'!$I$4:$I$503,'Trade Log'!$G$4:$G$503,$A29,'Trade Log'!$C$4:$C$503,"LONG"))</f>
        <v/>
      </c>
      <c r="C29" s="21">
        <f>IF($A29="","",SUMIFS('Trade Log'!$I$4:$I$503,'Trade Log'!$G$4:$G$503,$A29,'Trade Log'!$C$4:$C$503,"SHORT"))</f>
        <v/>
      </c>
      <c r="D29" s="21">
        <f>IF($A29="","",$B29+$C29)</f>
        <v/>
      </c>
      <c r="E29" s="21">
        <f>IF($A29="","",SUMIFS('Trade Log'!$L$4:$L$503,'Trade Log'!$G$4:$G$503,$A29,'Trade Log'!$C$4:$C$503,"LONG"))</f>
        <v/>
      </c>
      <c r="F29" s="21">
        <f>IF($A29="","",SUMIFS('Trade Log'!$L$4:$L$503,'Trade Log'!$G$4:$G$503,$A29,'Trade Log'!$C$4:$C$503,"SHORT"))</f>
        <v/>
      </c>
      <c r="G29" s="21">
        <f>IF($A29="","",$E29+$F29)</f>
        <v/>
      </c>
    </row>
    <row r="30">
      <c r="A30" s="28">
        <f>IF(A29="","",A29+1)</f>
        <v/>
      </c>
      <c r="B30" s="21">
        <f>IF($A30="","",SUMIFS('Trade Log'!$I$4:$I$503,'Trade Log'!$G$4:$G$503,$A30,'Trade Log'!$C$4:$C$503,"LONG"))</f>
        <v/>
      </c>
      <c r="C30" s="21">
        <f>IF($A30="","",SUMIFS('Trade Log'!$I$4:$I$503,'Trade Log'!$G$4:$G$503,$A30,'Trade Log'!$C$4:$C$503,"SHORT"))</f>
        <v/>
      </c>
      <c r="D30" s="21">
        <f>IF($A30="","",$B30+$C30)</f>
        <v/>
      </c>
      <c r="E30" s="21">
        <f>IF($A30="","",SUMIFS('Trade Log'!$L$4:$L$503,'Trade Log'!$G$4:$G$503,$A30,'Trade Log'!$C$4:$C$503,"LONG"))</f>
        <v/>
      </c>
      <c r="F30" s="21">
        <f>IF($A30="","",SUMIFS('Trade Log'!$L$4:$L$503,'Trade Log'!$G$4:$G$503,$A30,'Trade Log'!$C$4:$C$503,"SHORT"))</f>
        <v/>
      </c>
      <c r="G30" s="21">
        <f>IF($A30="","",$E30+$F30)</f>
        <v/>
      </c>
    </row>
    <row r="31">
      <c r="A31" s="28">
        <f>IF(A30="","",A30+1)</f>
        <v/>
      </c>
      <c r="B31" s="21">
        <f>IF($A31="","",SUMIFS('Trade Log'!$I$4:$I$503,'Trade Log'!$G$4:$G$503,$A31,'Trade Log'!$C$4:$C$503,"LONG"))</f>
        <v/>
      </c>
      <c r="C31" s="21">
        <f>IF($A31="","",SUMIFS('Trade Log'!$I$4:$I$503,'Trade Log'!$G$4:$G$503,$A31,'Trade Log'!$C$4:$C$503,"SHORT"))</f>
        <v/>
      </c>
      <c r="D31" s="21">
        <f>IF($A31="","",$B31+$C31)</f>
        <v/>
      </c>
      <c r="E31" s="21">
        <f>IF($A31="","",SUMIFS('Trade Log'!$L$4:$L$503,'Trade Log'!$G$4:$G$503,$A31,'Trade Log'!$C$4:$C$503,"LONG"))</f>
        <v/>
      </c>
      <c r="F31" s="21">
        <f>IF($A31="","",SUMIFS('Trade Log'!$L$4:$L$503,'Trade Log'!$G$4:$G$503,$A31,'Trade Log'!$C$4:$C$503,"SHORT"))</f>
        <v/>
      </c>
      <c r="G31" s="21">
        <f>IF($A31="","",$E31+$F31)</f>
        <v/>
      </c>
    </row>
    <row r="32">
      <c r="A32" s="28">
        <f>IF(A31="","",A31+1)</f>
        <v/>
      </c>
      <c r="B32" s="21">
        <f>IF($A32="","",SUMIFS('Trade Log'!$I$4:$I$503,'Trade Log'!$G$4:$G$503,$A32,'Trade Log'!$C$4:$C$503,"LONG"))</f>
        <v/>
      </c>
      <c r="C32" s="21">
        <f>IF($A32="","",SUMIFS('Trade Log'!$I$4:$I$503,'Trade Log'!$G$4:$G$503,$A32,'Trade Log'!$C$4:$C$503,"SHORT"))</f>
        <v/>
      </c>
      <c r="D32" s="21">
        <f>IF($A32="","",$B32+$C32)</f>
        <v/>
      </c>
      <c r="E32" s="21">
        <f>IF($A32="","",SUMIFS('Trade Log'!$L$4:$L$503,'Trade Log'!$G$4:$G$503,$A32,'Trade Log'!$C$4:$C$503,"LONG"))</f>
        <v/>
      </c>
      <c r="F32" s="21">
        <f>IF($A32="","",SUMIFS('Trade Log'!$L$4:$L$503,'Trade Log'!$G$4:$G$503,$A32,'Trade Log'!$C$4:$C$503,"SHORT"))</f>
        <v/>
      </c>
      <c r="G32" s="21">
        <f>IF($A32="","",$E32+$F32)</f>
        <v/>
      </c>
    </row>
    <row r="33">
      <c r="A33" s="28">
        <f>IF(A32="","",A32+1)</f>
        <v/>
      </c>
      <c r="B33" s="21">
        <f>IF($A33="","",SUMIFS('Trade Log'!$I$4:$I$503,'Trade Log'!$G$4:$G$503,$A33,'Trade Log'!$C$4:$C$503,"LONG"))</f>
        <v/>
      </c>
      <c r="C33" s="21">
        <f>IF($A33="","",SUMIFS('Trade Log'!$I$4:$I$503,'Trade Log'!$G$4:$G$503,$A33,'Trade Log'!$C$4:$C$503,"SHORT"))</f>
        <v/>
      </c>
      <c r="D33" s="21">
        <f>IF($A33="","",$B33+$C33)</f>
        <v/>
      </c>
      <c r="E33" s="21">
        <f>IF($A33="","",SUMIFS('Trade Log'!$L$4:$L$503,'Trade Log'!$G$4:$G$503,$A33,'Trade Log'!$C$4:$C$503,"LONG"))</f>
        <v/>
      </c>
      <c r="F33" s="21">
        <f>IF($A33="","",SUMIFS('Trade Log'!$L$4:$L$503,'Trade Log'!$G$4:$G$503,$A33,'Trade Log'!$C$4:$C$503,"SHORT"))</f>
        <v/>
      </c>
      <c r="G33" s="21">
        <f>IF($A33="","",$E33+$F33)</f>
        <v/>
      </c>
    </row>
    <row r="34">
      <c r="A34" s="28">
        <f>IF(A33="","",A33+1)</f>
        <v/>
      </c>
      <c r="B34" s="21">
        <f>IF($A34="","",SUMIFS('Trade Log'!$I$4:$I$503,'Trade Log'!$G$4:$G$503,$A34,'Trade Log'!$C$4:$C$503,"LONG"))</f>
        <v/>
      </c>
      <c r="C34" s="21">
        <f>IF($A34="","",SUMIFS('Trade Log'!$I$4:$I$503,'Trade Log'!$G$4:$G$503,$A34,'Trade Log'!$C$4:$C$503,"SHORT"))</f>
        <v/>
      </c>
      <c r="D34" s="21">
        <f>IF($A34="","",$B34+$C34)</f>
        <v/>
      </c>
      <c r="E34" s="21">
        <f>IF($A34="","",SUMIFS('Trade Log'!$L$4:$L$503,'Trade Log'!$G$4:$G$503,$A34,'Trade Log'!$C$4:$C$503,"LONG"))</f>
        <v/>
      </c>
      <c r="F34" s="21">
        <f>IF($A34="","",SUMIFS('Trade Log'!$L$4:$L$503,'Trade Log'!$G$4:$G$503,$A34,'Trade Log'!$C$4:$C$503,"SHORT"))</f>
        <v/>
      </c>
      <c r="G34" s="21">
        <f>IF($A34="","",$E34+$F34)</f>
        <v/>
      </c>
    </row>
    <row r="35">
      <c r="A35" s="28">
        <f>IF(A34="","",A34+1)</f>
        <v/>
      </c>
      <c r="B35" s="21">
        <f>IF($A35="","",SUMIFS('Trade Log'!$I$4:$I$503,'Trade Log'!$G$4:$G$503,$A35,'Trade Log'!$C$4:$C$503,"LONG"))</f>
        <v/>
      </c>
      <c r="C35" s="21">
        <f>IF($A35="","",SUMIFS('Trade Log'!$I$4:$I$503,'Trade Log'!$G$4:$G$503,$A35,'Trade Log'!$C$4:$C$503,"SHORT"))</f>
        <v/>
      </c>
      <c r="D35" s="21">
        <f>IF($A35="","",$B35+$C35)</f>
        <v/>
      </c>
      <c r="E35" s="21">
        <f>IF($A35="","",SUMIFS('Trade Log'!$L$4:$L$503,'Trade Log'!$G$4:$G$503,$A35,'Trade Log'!$C$4:$C$503,"LONG"))</f>
        <v/>
      </c>
      <c r="F35" s="21">
        <f>IF($A35="","",SUMIFS('Trade Log'!$L$4:$L$503,'Trade Log'!$G$4:$G$503,$A35,'Trade Log'!$C$4:$C$503,"SHORT"))</f>
        <v/>
      </c>
      <c r="G35" s="21">
        <f>IF($A35="","",$E35+$F35)</f>
        <v/>
      </c>
    </row>
    <row r="36">
      <c r="A36" s="28">
        <f>IF(A35="","",A35+1)</f>
        <v/>
      </c>
      <c r="B36" s="21">
        <f>IF($A36="","",SUMIFS('Trade Log'!$I$4:$I$503,'Trade Log'!$G$4:$G$503,$A36,'Trade Log'!$C$4:$C$503,"LONG"))</f>
        <v/>
      </c>
      <c r="C36" s="21">
        <f>IF($A36="","",SUMIFS('Trade Log'!$I$4:$I$503,'Trade Log'!$G$4:$G$503,$A36,'Trade Log'!$C$4:$C$503,"SHORT"))</f>
        <v/>
      </c>
      <c r="D36" s="21">
        <f>IF($A36="","",$B36+$C36)</f>
        <v/>
      </c>
      <c r="E36" s="21">
        <f>IF($A36="","",SUMIFS('Trade Log'!$L$4:$L$503,'Trade Log'!$G$4:$G$503,$A36,'Trade Log'!$C$4:$C$503,"LONG"))</f>
        <v/>
      </c>
      <c r="F36" s="21">
        <f>IF($A36="","",SUMIFS('Trade Log'!$L$4:$L$503,'Trade Log'!$G$4:$G$503,$A36,'Trade Log'!$C$4:$C$503,"SHORT"))</f>
        <v/>
      </c>
      <c r="G36" s="21">
        <f>IF($A36="","",$E36+$F36)</f>
        <v/>
      </c>
    </row>
    <row r="37">
      <c r="A37" s="28">
        <f>IF(A36="","",A36+1)</f>
        <v/>
      </c>
      <c r="B37" s="21">
        <f>IF($A37="","",SUMIFS('Trade Log'!$I$4:$I$503,'Trade Log'!$G$4:$G$503,$A37,'Trade Log'!$C$4:$C$503,"LONG"))</f>
        <v/>
      </c>
      <c r="C37" s="21">
        <f>IF($A37="","",SUMIFS('Trade Log'!$I$4:$I$503,'Trade Log'!$G$4:$G$503,$A37,'Trade Log'!$C$4:$C$503,"SHORT"))</f>
        <v/>
      </c>
      <c r="D37" s="21">
        <f>IF($A37="","",$B37+$C37)</f>
        <v/>
      </c>
      <c r="E37" s="21">
        <f>IF($A37="","",SUMIFS('Trade Log'!$L$4:$L$503,'Trade Log'!$G$4:$G$503,$A37,'Trade Log'!$C$4:$C$503,"LONG"))</f>
        <v/>
      </c>
      <c r="F37" s="21">
        <f>IF($A37="","",SUMIFS('Trade Log'!$L$4:$L$503,'Trade Log'!$G$4:$G$503,$A37,'Trade Log'!$C$4:$C$503,"SHORT"))</f>
        <v/>
      </c>
      <c r="G37" s="21">
        <f>IF($A37="","",$E37+$F37)</f>
        <v/>
      </c>
    </row>
    <row r="38">
      <c r="A38" s="28">
        <f>IF(A37="","",A37+1)</f>
        <v/>
      </c>
      <c r="B38" s="21">
        <f>IF($A38="","",SUMIFS('Trade Log'!$I$4:$I$503,'Trade Log'!$G$4:$G$503,$A38,'Trade Log'!$C$4:$C$503,"LONG"))</f>
        <v/>
      </c>
      <c r="C38" s="21">
        <f>IF($A38="","",SUMIFS('Trade Log'!$I$4:$I$503,'Trade Log'!$G$4:$G$503,$A38,'Trade Log'!$C$4:$C$503,"SHORT"))</f>
        <v/>
      </c>
      <c r="D38" s="21">
        <f>IF($A38="","",$B38+$C38)</f>
        <v/>
      </c>
      <c r="E38" s="21">
        <f>IF($A38="","",SUMIFS('Trade Log'!$L$4:$L$503,'Trade Log'!$G$4:$G$503,$A38,'Trade Log'!$C$4:$C$503,"LONG"))</f>
        <v/>
      </c>
      <c r="F38" s="21">
        <f>IF($A38="","",SUMIFS('Trade Log'!$L$4:$L$503,'Trade Log'!$G$4:$G$503,$A38,'Trade Log'!$C$4:$C$503,"SHORT"))</f>
        <v/>
      </c>
      <c r="G38" s="21">
        <f>IF($A38="","",$E38+$F38)</f>
        <v/>
      </c>
    </row>
    <row r="39">
      <c r="A39" s="28">
        <f>IF(A38="","",A38+1)</f>
        <v/>
      </c>
      <c r="B39" s="21">
        <f>IF($A39="","",SUMIFS('Trade Log'!$I$4:$I$503,'Trade Log'!$G$4:$G$503,$A39,'Trade Log'!$C$4:$C$503,"LONG"))</f>
        <v/>
      </c>
      <c r="C39" s="21">
        <f>IF($A39="","",SUMIFS('Trade Log'!$I$4:$I$503,'Trade Log'!$G$4:$G$503,$A39,'Trade Log'!$C$4:$C$503,"SHORT"))</f>
        <v/>
      </c>
      <c r="D39" s="21">
        <f>IF($A39="","",$B39+$C39)</f>
        <v/>
      </c>
      <c r="E39" s="21">
        <f>IF($A39="","",SUMIFS('Trade Log'!$L$4:$L$503,'Trade Log'!$G$4:$G$503,$A39,'Trade Log'!$C$4:$C$503,"LONG"))</f>
        <v/>
      </c>
      <c r="F39" s="21">
        <f>IF($A39="","",SUMIFS('Trade Log'!$L$4:$L$503,'Trade Log'!$G$4:$G$503,$A39,'Trade Log'!$C$4:$C$503,"SHORT"))</f>
        <v/>
      </c>
      <c r="G39" s="21">
        <f>IF($A39="","",$E39+$F39)</f>
        <v/>
      </c>
    </row>
    <row r="40">
      <c r="A40" s="28">
        <f>IF(A39="","",A39+1)</f>
        <v/>
      </c>
      <c r="B40" s="21">
        <f>IF($A40="","",SUMIFS('Trade Log'!$I$4:$I$503,'Trade Log'!$G$4:$G$503,$A40,'Trade Log'!$C$4:$C$503,"LONG"))</f>
        <v/>
      </c>
      <c r="C40" s="21">
        <f>IF($A40="","",SUMIFS('Trade Log'!$I$4:$I$503,'Trade Log'!$G$4:$G$503,$A40,'Trade Log'!$C$4:$C$503,"SHORT"))</f>
        <v/>
      </c>
      <c r="D40" s="21">
        <f>IF($A40="","",$B40+$C40)</f>
        <v/>
      </c>
      <c r="E40" s="21">
        <f>IF($A40="","",SUMIFS('Trade Log'!$L$4:$L$503,'Trade Log'!$G$4:$G$503,$A40,'Trade Log'!$C$4:$C$503,"LONG"))</f>
        <v/>
      </c>
      <c r="F40" s="21">
        <f>IF($A40="","",SUMIFS('Trade Log'!$L$4:$L$503,'Trade Log'!$G$4:$G$503,$A40,'Trade Log'!$C$4:$C$503,"SHORT"))</f>
        <v/>
      </c>
      <c r="G40" s="21">
        <f>IF($A40="","",$E40+$F40)</f>
        <v/>
      </c>
    </row>
    <row r="41">
      <c r="A41" s="28">
        <f>IF(A40="","",A40+1)</f>
        <v/>
      </c>
      <c r="B41" s="21">
        <f>IF($A41="","",SUMIFS('Trade Log'!$I$4:$I$503,'Trade Log'!$G$4:$G$503,$A41,'Trade Log'!$C$4:$C$503,"LONG"))</f>
        <v/>
      </c>
      <c r="C41" s="21">
        <f>IF($A41="","",SUMIFS('Trade Log'!$I$4:$I$503,'Trade Log'!$G$4:$G$503,$A41,'Trade Log'!$C$4:$C$503,"SHORT"))</f>
        <v/>
      </c>
      <c r="D41" s="21">
        <f>IF($A41="","",$B41+$C41)</f>
        <v/>
      </c>
      <c r="E41" s="21">
        <f>IF($A41="","",SUMIFS('Trade Log'!$L$4:$L$503,'Trade Log'!$G$4:$G$503,$A41,'Trade Log'!$C$4:$C$503,"LONG"))</f>
        <v/>
      </c>
      <c r="F41" s="21">
        <f>IF($A41="","",SUMIFS('Trade Log'!$L$4:$L$503,'Trade Log'!$G$4:$G$503,$A41,'Trade Log'!$C$4:$C$503,"SHORT"))</f>
        <v/>
      </c>
      <c r="G41" s="21">
        <f>IF($A41="","",$E41+$F41)</f>
        <v/>
      </c>
    </row>
    <row r="42">
      <c r="A42" s="28">
        <f>IF(A41="","",A41+1)</f>
        <v/>
      </c>
      <c r="B42" s="21">
        <f>IF($A42="","",SUMIFS('Trade Log'!$I$4:$I$503,'Trade Log'!$G$4:$G$503,$A42,'Trade Log'!$C$4:$C$503,"LONG"))</f>
        <v/>
      </c>
      <c r="C42" s="21">
        <f>IF($A42="","",SUMIFS('Trade Log'!$I$4:$I$503,'Trade Log'!$G$4:$G$503,$A42,'Trade Log'!$C$4:$C$503,"SHORT"))</f>
        <v/>
      </c>
      <c r="D42" s="21">
        <f>IF($A42="","",$B42+$C42)</f>
        <v/>
      </c>
      <c r="E42" s="21">
        <f>IF($A42="","",SUMIFS('Trade Log'!$L$4:$L$503,'Trade Log'!$G$4:$G$503,$A42,'Trade Log'!$C$4:$C$503,"LONG"))</f>
        <v/>
      </c>
      <c r="F42" s="21">
        <f>IF($A42="","",SUMIFS('Trade Log'!$L$4:$L$503,'Trade Log'!$G$4:$G$503,$A42,'Trade Log'!$C$4:$C$503,"SHORT"))</f>
        <v/>
      </c>
      <c r="G42" s="21">
        <f>IF($A42="","",$E42+$F42)</f>
        <v/>
      </c>
    </row>
    <row r="43">
      <c r="A43" s="28">
        <f>IF(A42="","",A42+1)</f>
        <v/>
      </c>
      <c r="B43" s="21">
        <f>IF($A43="","",SUMIFS('Trade Log'!$I$4:$I$503,'Trade Log'!$G$4:$G$503,$A43,'Trade Log'!$C$4:$C$503,"LONG"))</f>
        <v/>
      </c>
      <c r="C43" s="21">
        <f>IF($A43="","",SUMIFS('Trade Log'!$I$4:$I$503,'Trade Log'!$G$4:$G$503,$A43,'Trade Log'!$C$4:$C$503,"SHORT"))</f>
        <v/>
      </c>
      <c r="D43" s="21">
        <f>IF($A43="","",$B43+$C43)</f>
        <v/>
      </c>
      <c r="E43" s="21">
        <f>IF($A43="","",SUMIFS('Trade Log'!$L$4:$L$503,'Trade Log'!$G$4:$G$503,$A43,'Trade Log'!$C$4:$C$503,"LONG"))</f>
        <v/>
      </c>
      <c r="F43" s="21">
        <f>IF($A43="","",SUMIFS('Trade Log'!$L$4:$L$503,'Trade Log'!$G$4:$G$503,$A43,'Trade Log'!$C$4:$C$503,"SHORT"))</f>
        <v/>
      </c>
      <c r="G43" s="21">
        <f>IF($A43="","",$E43+$F43)</f>
        <v/>
      </c>
    </row>
    <row r="44">
      <c r="A44" s="28">
        <f>IF(A43="","",A43+1)</f>
        <v/>
      </c>
      <c r="B44" s="21">
        <f>IF($A44="","",SUMIFS('Trade Log'!$I$4:$I$503,'Trade Log'!$G$4:$G$503,$A44,'Trade Log'!$C$4:$C$503,"LONG"))</f>
        <v/>
      </c>
      <c r="C44" s="21">
        <f>IF($A44="","",SUMIFS('Trade Log'!$I$4:$I$503,'Trade Log'!$G$4:$G$503,$A44,'Trade Log'!$C$4:$C$503,"SHORT"))</f>
        <v/>
      </c>
      <c r="D44" s="21">
        <f>IF($A44="","",$B44+$C44)</f>
        <v/>
      </c>
      <c r="E44" s="21">
        <f>IF($A44="","",SUMIFS('Trade Log'!$L$4:$L$503,'Trade Log'!$G$4:$G$503,$A44,'Trade Log'!$C$4:$C$503,"LONG"))</f>
        <v/>
      </c>
      <c r="F44" s="21">
        <f>IF($A44="","",SUMIFS('Trade Log'!$L$4:$L$503,'Trade Log'!$G$4:$G$503,$A44,'Trade Log'!$C$4:$C$503,"SHORT"))</f>
        <v/>
      </c>
      <c r="G44" s="21">
        <f>IF($A44="","",$E44+$F44)</f>
        <v/>
      </c>
    </row>
    <row r="45">
      <c r="A45" s="28">
        <f>IF(A44="","",A44+1)</f>
        <v/>
      </c>
      <c r="B45" s="21">
        <f>IF($A45="","",SUMIFS('Trade Log'!$I$4:$I$503,'Trade Log'!$G$4:$G$503,$A45,'Trade Log'!$C$4:$C$503,"LONG"))</f>
        <v/>
      </c>
      <c r="C45" s="21">
        <f>IF($A45="","",SUMIFS('Trade Log'!$I$4:$I$503,'Trade Log'!$G$4:$G$503,$A45,'Trade Log'!$C$4:$C$503,"SHORT"))</f>
        <v/>
      </c>
      <c r="D45" s="21">
        <f>IF($A45="","",$B45+$C45)</f>
        <v/>
      </c>
      <c r="E45" s="21">
        <f>IF($A45="","",SUMIFS('Trade Log'!$L$4:$L$503,'Trade Log'!$G$4:$G$503,$A45,'Trade Log'!$C$4:$C$503,"LONG"))</f>
        <v/>
      </c>
      <c r="F45" s="21">
        <f>IF($A45="","",SUMIFS('Trade Log'!$L$4:$L$503,'Trade Log'!$G$4:$G$503,$A45,'Trade Log'!$C$4:$C$503,"SHORT"))</f>
        <v/>
      </c>
      <c r="G45" s="21">
        <f>IF($A45="","",$E45+$F45)</f>
        <v/>
      </c>
    </row>
    <row r="46">
      <c r="A46" s="28">
        <f>IF(A45="","",A45+1)</f>
        <v/>
      </c>
      <c r="B46" s="21">
        <f>IF($A46="","",SUMIFS('Trade Log'!$I$4:$I$503,'Trade Log'!$G$4:$G$503,$A46,'Trade Log'!$C$4:$C$503,"LONG"))</f>
        <v/>
      </c>
      <c r="C46" s="21">
        <f>IF($A46="","",SUMIFS('Trade Log'!$I$4:$I$503,'Trade Log'!$G$4:$G$503,$A46,'Trade Log'!$C$4:$C$503,"SHORT"))</f>
        <v/>
      </c>
      <c r="D46" s="21">
        <f>IF($A46="","",$B46+$C46)</f>
        <v/>
      </c>
      <c r="E46" s="21">
        <f>IF($A46="","",SUMIFS('Trade Log'!$L$4:$L$503,'Trade Log'!$G$4:$G$503,$A46,'Trade Log'!$C$4:$C$503,"LONG"))</f>
        <v/>
      </c>
      <c r="F46" s="21">
        <f>IF($A46="","",SUMIFS('Trade Log'!$L$4:$L$503,'Trade Log'!$G$4:$G$503,$A46,'Trade Log'!$C$4:$C$503,"SHORT"))</f>
        <v/>
      </c>
      <c r="G46" s="21">
        <f>IF($A46="","",$E46+$F46)</f>
        <v/>
      </c>
    </row>
    <row r="47">
      <c r="A47" s="28">
        <f>IF(A46="","",A46+1)</f>
        <v/>
      </c>
      <c r="B47" s="21">
        <f>IF($A47="","",SUMIFS('Trade Log'!$I$4:$I$503,'Trade Log'!$G$4:$G$503,$A47,'Trade Log'!$C$4:$C$503,"LONG"))</f>
        <v/>
      </c>
      <c r="C47" s="21">
        <f>IF($A47="","",SUMIFS('Trade Log'!$I$4:$I$503,'Trade Log'!$G$4:$G$503,$A47,'Trade Log'!$C$4:$C$503,"SHORT"))</f>
        <v/>
      </c>
      <c r="D47" s="21">
        <f>IF($A47="","",$B47+$C47)</f>
        <v/>
      </c>
      <c r="E47" s="21">
        <f>IF($A47="","",SUMIFS('Trade Log'!$L$4:$L$503,'Trade Log'!$G$4:$G$503,$A47,'Trade Log'!$C$4:$C$503,"LONG"))</f>
        <v/>
      </c>
      <c r="F47" s="21">
        <f>IF($A47="","",SUMIFS('Trade Log'!$L$4:$L$503,'Trade Log'!$G$4:$G$503,$A47,'Trade Log'!$C$4:$C$503,"SHORT"))</f>
        <v/>
      </c>
      <c r="G47" s="21">
        <f>IF($A47="","",$E47+$F47)</f>
        <v/>
      </c>
    </row>
    <row r="48">
      <c r="A48" s="28">
        <f>IF(A47="","",A47+1)</f>
        <v/>
      </c>
      <c r="B48" s="21">
        <f>IF($A48="","",SUMIFS('Trade Log'!$I$4:$I$503,'Trade Log'!$G$4:$G$503,$A48,'Trade Log'!$C$4:$C$503,"LONG"))</f>
        <v/>
      </c>
      <c r="C48" s="21">
        <f>IF($A48="","",SUMIFS('Trade Log'!$I$4:$I$503,'Trade Log'!$G$4:$G$503,$A48,'Trade Log'!$C$4:$C$503,"SHORT"))</f>
        <v/>
      </c>
      <c r="D48" s="21">
        <f>IF($A48="","",$B48+$C48)</f>
        <v/>
      </c>
      <c r="E48" s="21">
        <f>IF($A48="","",SUMIFS('Trade Log'!$L$4:$L$503,'Trade Log'!$G$4:$G$503,$A48,'Trade Log'!$C$4:$C$503,"LONG"))</f>
        <v/>
      </c>
      <c r="F48" s="21">
        <f>IF($A48="","",SUMIFS('Trade Log'!$L$4:$L$503,'Trade Log'!$G$4:$G$503,$A48,'Trade Log'!$C$4:$C$503,"SHORT"))</f>
        <v/>
      </c>
      <c r="G48" s="21">
        <f>IF($A48="","",$E48+$F48)</f>
        <v/>
      </c>
    </row>
    <row r="49">
      <c r="A49" s="28">
        <f>IF(A48="","",A48+1)</f>
        <v/>
      </c>
      <c r="B49" s="21">
        <f>IF($A49="","",SUMIFS('Trade Log'!$I$4:$I$503,'Trade Log'!$G$4:$G$503,$A49,'Trade Log'!$C$4:$C$503,"LONG"))</f>
        <v/>
      </c>
      <c r="C49" s="21">
        <f>IF($A49="","",SUMIFS('Trade Log'!$I$4:$I$503,'Trade Log'!$G$4:$G$503,$A49,'Trade Log'!$C$4:$C$503,"SHORT"))</f>
        <v/>
      </c>
      <c r="D49" s="21">
        <f>IF($A49="","",$B49+$C49)</f>
        <v/>
      </c>
      <c r="E49" s="21">
        <f>IF($A49="","",SUMIFS('Trade Log'!$L$4:$L$503,'Trade Log'!$G$4:$G$503,$A49,'Trade Log'!$C$4:$C$503,"LONG"))</f>
        <v/>
      </c>
      <c r="F49" s="21">
        <f>IF($A49="","",SUMIFS('Trade Log'!$L$4:$L$503,'Trade Log'!$G$4:$G$503,$A49,'Trade Log'!$C$4:$C$503,"SHORT"))</f>
        <v/>
      </c>
      <c r="G49" s="21">
        <f>IF($A49="","",$E49+$F49)</f>
        <v/>
      </c>
    </row>
    <row r="50">
      <c r="A50" s="28">
        <f>IF(A49="","",A49+1)</f>
        <v/>
      </c>
      <c r="B50" s="21">
        <f>IF($A50="","",SUMIFS('Trade Log'!$I$4:$I$503,'Trade Log'!$G$4:$G$503,$A50,'Trade Log'!$C$4:$C$503,"LONG"))</f>
        <v/>
      </c>
      <c r="C50" s="21">
        <f>IF($A50="","",SUMIFS('Trade Log'!$I$4:$I$503,'Trade Log'!$G$4:$G$503,$A50,'Trade Log'!$C$4:$C$503,"SHORT"))</f>
        <v/>
      </c>
      <c r="D50" s="21">
        <f>IF($A50="","",$B50+$C50)</f>
        <v/>
      </c>
      <c r="E50" s="21">
        <f>IF($A50="","",SUMIFS('Trade Log'!$L$4:$L$503,'Trade Log'!$G$4:$G$503,$A50,'Trade Log'!$C$4:$C$503,"LONG"))</f>
        <v/>
      </c>
      <c r="F50" s="21">
        <f>IF($A50="","",SUMIFS('Trade Log'!$L$4:$L$503,'Trade Log'!$G$4:$G$503,$A50,'Trade Log'!$C$4:$C$503,"SHORT"))</f>
        <v/>
      </c>
      <c r="G50" s="21">
        <f>IF($A50="","",$E50+$F50)</f>
        <v/>
      </c>
    </row>
    <row r="51">
      <c r="A51" s="28">
        <f>IF(A50="","",A50+1)</f>
        <v/>
      </c>
      <c r="B51" s="21">
        <f>IF($A51="","",SUMIFS('Trade Log'!$I$4:$I$503,'Trade Log'!$G$4:$G$503,$A51,'Trade Log'!$C$4:$C$503,"LONG"))</f>
        <v/>
      </c>
      <c r="C51" s="21">
        <f>IF($A51="","",SUMIFS('Trade Log'!$I$4:$I$503,'Trade Log'!$G$4:$G$503,$A51,'Trade Log'!$C$4:$C$503,"SHORT"))</f>
        <v/>
      </c>
      <c r="D51" s="21">
        <f>IF($A51="","",$B51+$C51)</f>
        <v/>
      </c>
      <c r="E51" s="21">
        <f>IF($A51="","",SUMIFS('Trade Log'!$L$4:$L$503,'Trade Log'!$G$4:$G$503,$A51,'Trade Log'!$C$4:$C$503,"LONG"))</f>
        <v/>
      </c>
      <c r="F51" s="21">
        <f>IF($A51="","",SUMIFS('Trade Log'!$L$4:$L$503,'Trade Log'!$G$4:$G$503,$A51,'Trade Log'!$C$4:$C$503,"SHORT"))</f>
        <v/>
      </c>
      <c r="G51" s="21">
        <f>IF($A51="","",$E51+$F51)</f>
        <v/>
      </c>
    </row>
    <row r="52">
      <c r="A52" s="28">
        <f>IF(A51="","",A51+1)</f>
        <v/>
      </c>
      <c r="B52" s="21">
        <f>IF($A52="","",SUMIFS('Trade Log'!$I$4:$I$503,'Trade Log'!$G$4:$G$503,$A52,'Trade Log'!$C$4:$C$503,"LONG"))</f>
        <v/>
      </c>
      <c r="C52" s="21">
        <f>IF($A52="","",SUMIFS('Trade Log'!$I$4:$I$503,'Trade Log'!$G$4:$G$503,$A52,'Trade Log'!$C$4:$C$503,"SHORT"))</f>
        <v/>
      </c>
      <c r="D52" s="21">
        <f>IF($A52="","",$B52+$C52)</f>
        <v/>
      </c>
      <c r="E52" s="21">
        <f>IF($A52="","",SUMIFS('Trade Log'!$L$4:$L$503,'Trade Log'!$G$4:$G$503,$A52,'Trade Log'!$C$4:$C$503,"LONG"))</f>
        <v/>
      </c>
      <c r="F52" s="21">
        <f>IF($A52="","",SUMIFS('Trade Log'!$L$4:$L$503,'Trade Log'!$G$4:$G$503,$A52,'Trade Log'!$C$4:$C$503,"SHORT"))</f>
        <v/>
      </c>
      <c r="G52" s="21">
        <f>IF($A52="","",$E52+$F52)</f>
        <v/>
      </c>
    </row>
    <row r="53">
      <c r="A53" s="28">
        <f>IF(A52="","",A52+1)</f>
        <v/>
      </c>
      <c r="B53" s="21">
        <f>IF($A53="","",SUMIFS('Trade Log'!$I$4:$I$503,'Trade Log'!$G$4:$G$503,$A53,'Trade Log'!$C$4:$C$503,"LONG"))</f>
        <v/>
      </c>
      <c r="C53" s="21">
        <f>IF($A53="","",SUMIFS('Trade Log'!$I$4:$I$503,'Trade Log'!$G$4:$G$503,$A53,'Trade Log'!$C$4:$C$503,"SHORT"))</f>
        <v/>
      </c>
      <c r="D53" s="21">
        <f>IF($A53="","",$B53+$C53)</f>
        <v/>
      </c>
      <c r="E53" s="21">
        <f>IF($A53="","",SUMIFS('Trade Log'!$L$4:$L$503,'Trade Log'!$G$4:$G$503,$A53,'Trade Log'!$C$4:$C$503,"LONG"))</f>
        <v/>
      </c>
      <c r="F53" s="21">
        <f>IF($A53="","",SUMIFS('Trade Log'!$L$4:$L$503,'Trade Log'!$G$4:$G$503,$A53,'Trade Log'!$C$4:$C$503,"SHORT"))</f>
        <v/>
      </c>
      <c r="G53" s="21">
        <f>IF($A53="","",$E53+$F53)</f>
        <v/>
      </c>
    </row>
    <row r="54">
      <c r="A54" s="28">
        <f>IF(A53="","",A53+1)</f>
        <v/>
      </c>
      <c r="B54" s="21">
        <f>IF($A54="","",SUMIFS('Trade Log'!$I$4:$I$503,'Trade Log'!$G$4:$G$503,$A54,'Trade Log'!$C$4:$C$503,"LONG"))</f>
        <v/>
      </c>
      <c r="C54" s="21">
        <f>IF($A54="","",SUMIFS('Trade Log'!$I$4:$I$503,'Trade Log'!$G$4:$G$503,$A54,'Trade Log'!$C$4:$C$503,"SHORT"))</f>
        <v/>
      </c>
      <c r="D54" s="21">
        <f>IF($A54="","",$B54+$C54)</f>
        <v/>
      </c>
      <c r="E54" s="21">
        <f>IF($A54="","",SUMIFS('Trade Log'!$L$4:$L$503,'Trade Log'!$G$4:$G$503,$A54,'Trade Log'!$C$4:$C$503,"LONG"))</f>
        <v/>
      </c>
      <c r="F54" s="21">
        <f>IF($A54="","",SUMIFS('Trade Log'!$L$4:$L$503,'Trade Log'!$G$4:$G$503,$A54,'Trade Log'!$C$4:$C$503,"SHORT"))</f>
        <v/>
      </c>
      <c r="G54" s="21">
        <f>IF($A54="","",$E54+$F54)</f>
        <v/>
      </c>
    </row>
    <row r="55">
      <c r="A55" s="28">
        <f>IF(A54="","",A54+1)</f>
        <v/>
      </c>
      <c r="B55" s="21">
        <f>IF($A55="","",SUMIFS('Trade Log'!$I$4:$I$503,'Trade Log'!$G$4:$G$503,$A55,'Trade Log'!$C$4:$C$503,"LONG"))</f>
        <v/>
      </c>
      <c r="C55" s="21">
        <f>IF($A55="","",SUMIFS('Trade Log'!$I$4:$I$503,'Trade Log'!$G$4:$G$503,$A55,'Trade Log'!$C$4:$C$503,"SHORT"))</f>
        <v/>
      </c>
      <c r="D55" s="21">
        <f>IF($A55="","",$B55+$C55)</f>
        <v/>
      </c>
      <c r="E55" s="21">
        <f>IF($A55="","",SUMIFS('Trade Log'!$L$4:$L$503,'Trade Log'!$G$4:$G$503,$A55,'Trade Log'!$C$4:$C$503,"LONG"))</f>
        <v/>
      </c>
      <c r="F55" s="21">
        <f>IF($A55="","",SUMIFS('Trade Log'!$L$4:$L$503,'Trade Log'!$G$4:$G$503,$A55,'Trade Log'!$C$4:$C$503,"SHORT"))</f>
        <v/>
      </c>
      <c r="G55" s="21">
        <f>IF($A55="","",$E55+$F55)</f>
        <v/>
      </c>
    </row>
    <row r="56">
      <c r="A56" s="28">
        <f>IF(A55="","",A55+1)</f>
        <v/>
      </c>
      <c r="B56" s="21">
        <f>IF($A56="","",SUMIFS('Trade Log'!$I$4:$I$503,'Trade Log'!$G$4:$G$503,$A56,'Trade Log'!$C$4:$C$503,"LONG"))</f>
        <v/>
      </c>
      <c r="C56" s="21">
        <f>IF($A56="","",SUMIFS('Trade Log'!$I$4:$I$503,'Trade Log'!$G$4:$G$503,$A56,'Trade Log'!$C$4:$C$503,"SHORT"))</f>
        <v/>
      </c>
      <c r="D56" s="21">
        <f>IF($A56="","",$B56+$C56)</f>
        <v/>
      </c>
      <c r="E56" s="21">
        <f>IF($A56="","",SUMIFS('Trade Log'!$L$4:$L$503,'Trade Log'!$G$4:$G$503,$A56,'Trade Log'!$C$4:$C$503,"LONG"))</f>
        <v/>
      </c>
      <c r="F56" s="21">
        <f>IF($A56="","",SUMIFS('Trade Log'!$L$4:$L$503,'Trade Log'!$G$4:$G$503,$A56,'Trade Log'!$C$4:$C$503,"SHORT"))</f>
        <v/>
      </c>
      <c r="G56" s="21">
        <f>IF($A56="","",$E56+$F56)</f>
        <v/>
      </c>
    </row>
    <row r="57">
      <c r="A57" s="28">
        <f>IF(A56="","",A56+1)</f>
        <v/>
      </c>
      <c r="B57" s="21">
        <f>IF($A57="","",SUMIFS('Trade Log'!$I$4:$I$503,'Trade Log'!$G$4:$G$503,$A57,'Trade Log'!$C$4:$C$503,"LONG"))</f>
        <v/>
      </c>
      <c r="C57" s="21">
        <f>IF($A57="","",SUMIFS('Trade Log'!$I$4:$I$503,'Trade Log'!$G$4:$G$503,$A57,'Trade Log'!$C$4:$C$503,"SHORT"))</f>
        <v/>
      </c>
      <c r="D57" s="21">
        <f>IF($A57="","",$B57+$C57)</f>
        <v/>
      </c>
      <c r="E57" s="21">
        <f>IF($A57="","",SUMIFS('Trade Log'!$L$4:$L$503,'Trade Log'!$G$4:$G$503,$A57,'Trade Log'!$C$4:$C$503,"LONG"))</f>
        <v/>
      </c>
      <c r="F57" s="21">
        <f>IF($A57="","",SUMIFS('Trade Log'!$L$4:$L$503,'Trade Log'!$G$4:$G$503,$A57,'Trade Log'!$C$4:$C$503,"SHORT"))</f>
        <v/>
      </c>
      <c r="G57" s="21">
        <f>IF($A57="","",$E57+$F57)</f>
        <v/>
      </c>
    </row>
    <row r="58">
      <c r="A58" s="28">
        <f>IF(A57="","",A57+1)</f>
        <v/>
      </c>
      <c r="B58" s="21">
        <f>IF($A58="","",SUMIFS('Trade Log'!$I$4:$I$503,'Trade Log'!$G$4:$G$503,$A58,'Trade Log'!$C$4:$C$503,"LONG"))</f>
        <v/>
      </c>
      <c r="C58" s="21">
        <f>IF($A58="","",SUMIFS('Trade Log'!$I$4:$I$503,'Trade Log'!$G$4:$G$503,$A58,'Trade Log'!$C$4:$C$503,"SHORT"))</f>
        <v/>
      </c>
      <c r="D58" s="21">
        <f>IF($A58="","",$B58+$C58)</f>
        <v/>
      </c>
      <c r="E58" s="21">
        <f>IF($A58="","",SUMIFS('Trade Log'!$L$4:$L$503,'Trade Log'!$G$4:$G$503,$A58,'Trade Log'!$C$4:$C$503,"LONG"))</f>
        <v/>
      </c>
      <c r="F58" s="21">
        <f>IF($A58="","",SUMIFS('Trade Log'!$L$4:$L$503,'Trade Log'!$G$4:$G$503,$A58,'Trade Log'!$C$4:$C$503,"SHORT"))</f>
        <v/>
      </c>
      <c r="G58" s="21">
        <f>IF($A58="","",$E58+$F58)</f>
        <v/>
      </c>
    </row>
    <row r="59">
      <c r="A59" s="28">
        <f>IF(A58="","",A58+1)</f>
        <v/>
      </c>
      <c r="B59" s="21">
        <f>IF($A59="","",SUMIFS('Trade Log'!$I$4:$I$503,'Trade Log'!$G$4:$G$503,$A59,'Trade Log'!$C$4:$C$503,"LONG"))</f>
        <v/>
      </c>
      <c r="C59" s="21">
        <f>IF($A59="","",SUMIFS('Trade Log'!$I$4:$I$503,'Trade Log'!$G$4:$G$503,$A59,'Trade Log'!$C$4:$C$503,"SHORT"))</f>
        <v/>
      </c>
      <c r="D59" s="21">
        <f>IF($A59="","",$B59+$C59)</f>
        <v/>
      </c>
      <c r="E59" s="21">
        <f>IF($A59="","",SUMIFS('Trade Log'!$L$4:$L$503,'Trade Log'!$G$4:$G$503,$A59,'Trade Log'!$C$4:$C$503,"LONG"))</f>
        <v/>
      </c>
      <c r="F59" s="21">
        <f>IF($A59="","",SUMIFS('Trade Log'!$L$4:$L$503,'Trade Log'!$G$4:$G$503,$A59,'Trade Log'!$C$4:$C$503,"SHORT"))</f>
        <v/>
      </c>
      <c r="G59" s="21">
        <f>IF($A59="","",$E59+$F59)</f>
        <v/>
      </c>
    </row>
    <row r="60">
      <c r="A60" s="28">
        <f>IF(A59="","",A59+1)</f>
        <v/>
      </c>
      <c r="B60" s="21">
        <f>IF($A60="","",SUMIFS('Trade Log'!$I$4:$I$503,'Trade Log'!$G$4:$G$503,$A60,'Trade Log'!$C$4:$C$503,"LONG"))</f>
        <v/>
      </c>
      <c r="C60" s="21">
        <f>IF($A60="","",SUMIFS('Trade Log'!$I$4:$I$503,'Trade Log'!$G$4:$G$503,$A60,'Trade Log'!$C$4:$C$503,"SHORT"))</f>
        <v/>
      </c>
      <c r="D60" s="21">
        <f>IF($A60="","",$B60+$C60)</f>
        <v/>
      </c>
      <c r="E60" s="21">
        <f>IF($A60="","",SUMIFS('Trade Log'!$L$4:$L$503,'Trade Log'!$G$4:$G$503,$A60,'Trade Log'!$C$4:$C$503,"LONG"))</f>
        <v/>
      </c>
      <c r="F60" s="21">
        <f>IF($A60="","",SUMIFS('Trade Log'!$L$4:$L$503,'Trade Log'!$G$4:$G$503,$A60,'Trade Log'!$C$4:$C$503,"SHORT"))</f>
        <v/>
      </c>
      <c r="G60" s="21">
        <f>IF($A60="","",$E60+$F60)</f>
        <v/>
      </c>
    </row>
    <row r="61">
      <c r="A61" s="28">
        <f>IF(A60="","",A60+1)</f>
        <v/>
      </c>
      <c r="B61" s="21">
        <f>IF($A61="","",SUMIFS('Trade Log'!$I$4:$I$503,'Trade Log'!$G$4:$G$503,$A61,'Trade Log'!$C$4:$C$503,"LONG"))</f>
        <v/>
      </c>
      <c r="C61" s="21">
        <f>IF($A61="","",SUMIFS('Trade Log'!$I$4:$I$503,'Trade Log'!$G$4:$G$503,$A61,'Trade Log'!$C$4:$C$503,"SHORT"))</f>
        <v/>
      </c>
      <c r="D61" s="21">
        <f>IF($A61="","",$B61+$C61)</f>
        <v/>
      </c>
      <c r="E61" s="21">
        <f>IF($A61="","",SUMIFS('Trade Log'!$L$4:$L$503,'Trade Log'!$G$4:$G$503,$A61,'Trade Log'!$C$4:$C$503,"LONG"))</f>
        <v/>
      </c>
      <c r="F61" s="21">
        <f>IF($A61="","",SUMIFS('Trade Log'!$L$4:$L$503,'Trade Log'!$G$4:$G$503,$A61,'Trade Log'!$C$4:$C$503,"SHORT"))</f>
        <v/>
      </c>
      <c r="G61" s="21">
        <f>IF($A61="","",$E61+$F61)</f>
        <v/>
      </c>
    </row>
    <row r="62">
      <c r="A62" s="28">
        <f>IF(A61="","",A61+1)</f>
        <v/>
      </c>
      <c r="B62" s="21">
        <f>IF($A62="","",SUMIFS('Trade Log'!$I$4:$I$503,'Trade Log'!$G$4:$G$503,$A62,'Trade Log'!$C$4:$C$503,"LONG"))</f>
        <v/>
      </c>
      <c r="C62" s="21">
        <f>IF($A62="","",SUMIFS('Trade Log'!$I$4:$I$503,'Trade Log'!$G$4:$G$503,$A62,'Trade Log'!$C$4:$C$503,"SHORT"))</f>
        <v/>
      </c>
      <c r="D62" s="21">
        <f>IF($A62="","",$B62+$C62)</f>
        <v/>
      </c>
      <c r="E62" s="21">
        <f>IF($A62="","",SUMIFS('Trade Log'!$L$4:$L$503,'Trade Log'!$G$4:$G$503,$A62,'Trade Log'!$C$4:$C$503,"LONG"))</f>
        <v/>
      </c>
      <c r="F62" s="21">
        <f>IF($A62="","",SUMIFS('Trade Log'!$L$4:$L$503,'Trade Log'!$G$4:$G$503,$A62,'Trade Log'!$C$4:$C$503,"SHORT"))</f>
        <v/>
      </c>
      <c r="G62" s="21">
        <f>IF($A62="","",$E62+$F62)</f>
        <v/>
      </c>
    </row>
    <row r="63">
      <c r="A63" s="28">
        <f>IF(A62="","",A62+1)</f>
        <v/>
      </c>
      <c r="B63" s="21">
        <f>IF($A63="","",SUMIFS('Trade Log'!$I$4:$I$503,'Trade Log'!$G$4:$G$503,$A63,'Trade Log'!$C$4:$C$503,"LONG"))</f>
        <v/>
      </c>
      <c r="C63" s="21">
        <f>IF($A63="","",SUMIFS('Trade Log'!$I$4:$I$503,'Trade Log'!$G$4:$G$503,$A63,'Trade Log'!$C$4:$C$503,"SHORT"))</f>
        <v/>
      </c>
      <c r="D63" s="21">
        <f>IF($A63="","",$B63+$C63)</f>
        <v/>
      </c>
      <c r="E63" s="21">
        <f>IF($A63="","",SUMIFS('Trade Log'!$L$4:$L$503,'Trade Log'!$G$4:$G$503,$A63,'Trade Log'!$C$4:$C$503,"LONG"))</f>
        <v/>
      </c>
      <c r="F63" s="21">
        <f>IF($A63="","",SUMIFS('Trade Log'!$L$4:$L$503,'Trade Log'!$G$4:$G$503,$A63,'Trade Log'!$C$4:$C$503,"SHORT"))</f>
        <v/>
      </c>
      <c r="G63" s="21">
        <f>IF($A63="","",$E63+$F63)</f>
        <v/>
      </c>
    </row>
    <row r="64">
      <c r="A64" s="28">
        <f>IF(A63="","",A63+1)</f>
        <v/>
      </c>
      <c r="B64" s="21">
        <f>IF($A64="","",SUMIFS('Trade Log'!$I$4:$I$503,'Trade Log'!$G$4:$G$503,$A64,'Trade Log'!$C$4:$C$503,"LONG"))</f>
        <v/>
      </c>
      <c r="C64" s="21">
        <f>IF($A64="","",SUMIFS('Trade Log'!$I$4:$I$503,'Trade Log'!$G$4:$G$503,$A64,'Trade Log'!$C$4:$C$503,"SHORT"))</f>
        <v/>
      </c>
      <c r="D64" s="21">
        <f>IF($A64="","",$B64+$C64)</f>
        <v/>
      </c>
      <c r="E64" s="21">
        <f>IF($A64="","",SUMIFS('Trade Log'!$L$4:$L$503,'Trade Log'!$G$4:$G$503,$A64,'Trade Log'!$C$4:$C$503,"LONG"))</f>
        <v/>
      </c>
      <c r="F64" s="21">
        <f>IF($A64="","",SUMIFS('Trade Log'!$L$4:$L$503,'Trade Log'!$G$4:$G$503,$A64,'Trade Log'!$C$4:$C$503,"SHORT"))</f>
        <v/>
      </c>
      <c r="G64" s="21">
        <f>IF($A64="","",$E64+$F64)</f>
        <v/>
      </c>
    </row>
    <row r="65">
      <c r="A65" s="28">
        <f>IF(A64="","",A64+1)</f>
        <v/>
      </c>
      <c r="B65" s="21">
        <f>IF($A65="","",SUMIFS('Trade Log'!$I$4:$I$503,'Trade Log'!$G$4:$G$503,$A65,'Trade Log'!$C$4:$C$503,"LONG"))</f>
        <v/>
      </c>
      <c r="C65" s="21">
        <f>IF($A65="","",SUMIFS('Trade Log'!$I$4:$I$503,'Trade Log'!$G$4:$G$503,$A65,'Trade Log'!$C$4:$C$503,"SHORT"))</f>
        <v/>
      </c>
      <c r="D65" s="21">
        <f>IF($A65="","",$B65+$C65)</f>
        <v/>
      </c>
      <c r="E65" s="21">
        <f>IF($A65="","",SUMIFS('Trade Log'!$L$4:$L$503,'Trade Log'!$G$4:$G$503,$A65,'Trade Log'!$C$4:$C$503,"LONG"))</f>
        <v/>
      </c>
      <c r="F65" s="21">
        <f>IF($A65="","",SUMIFS('Trade Log'!$L$4:$L$503,'Trade Log'!$G$4:$G$503,$A65,'Trade Log'!$C$4:$C$503,"SHORT"))</f>
        <v/>
      </c>
      <c r="G65" s="21">
        <f>IF($A65="","",$E65+$F65)</f>
        <v/>
      </c>
    </row>
    <row r="66">
      <c r="A66" s="28">
        <f>IF(A65="","",A65+1)</f>
        <v/>
      </c>
      <c r="B66" s="21">
        <f>IF($A66="","",SUMIFS('Trade Log'!$I$4:$I$503,'Trade Log'!$G$4:$G$503,$A66,'Trade Log'!$C$4:$C$503,"LONG"))</f>
        <v/>
      </c>
      <c r="C66" s="21">
        <f>IF($A66="","",SUMIFS('Trade Log'!$I$4:$I$503,'Trade Log'!$G$4:$G$503,$A66,'Trade Log'!$C$4:$C$503,"SHORT"))</f>
        <v/>
      </c>
      <c r="D66" s="21">
        <f>IF($A66="","",$B66+$C66)</f>
        <v/>
      </c>
      <c r="E66" s="21">
        <f>IF($A66="","",SUMIFS('Trade Log'!$L$4:$L$503,'Trade Log'!$G$4:$G$503,$A66,'Trade Log'!$C$4:$C$503,"LONG"))</f>
        <v/>
      </c>
      <c r="F66" s="21">
        <f>IF($A66="","",SUMIFS('Trade Log'!$L$4:$L$503,'Trade Log'!$G$4:$G$503,$A66,'Trade Log'!$C$4:$C$503,"SHORT"))</f>
        <v/>
      </c>
      <c r="G66" s="21">
        <f>IF($A66="","",$E66+$F66)</f>
        <v/>
      </c>
    </row>
    <row r="67">
      <c r="A67" s="28">
        <f>IF(A66="","",A66+1)</f>
        <v/>
      </c>
      <c r="B67" s="21">
        <f>IF($A67="","",SUMIFS('Trade Log'!$I$4:$I$503,'Trade Log'!$G$4:$G$503,$A67,'Trade Log'!$C$4:$C$503,"LONG"))</f>
        <v/>
      </c>
      <c r="C67" s="21">
        <f>IF($A67="","",SUMIFS('Trade Log'!$I$4:$I$503,'Trade Log'!$G$4:$G$503,$A67,'Trade Log'!$C$4:$C$503,"SHORT"))</f>
        <v/>
      </c>
      <c r="D67" s="21">
        <f>IF($A67="","",$B67+$C67)</f>
        <v/>
      </c>
      <c r="E67" s="21">
        <f>IF($A67="","",SUMIFS('Trade Log'!$L$4:$L$503,'Trade Log'!$G$4:$G$503,$A67,'Trade Log'!$C$4:$C$503,"LONG"))</f>
        <v/>
      </c>
      <c r="F67" s="21">
        <f>IF($A67="","",SUMIFS('Trade Log'!$L$4:$L$503,'Trade Log'!$G$4:$G$503,$A67,'Trade Log'!$C$4:$C$503,"SHORT"))</f>
        <v/>
      </c>
      <c r="G67" s="21">
        <f>IF($A67="","",$E67+$F67)</f>
        <v/>
      </c>
    </row>
    <row r="68">
      <c r="A68" s="28">
        <f>IF(A67="","",A67+1)</f>
        <v/>
      </c>
      <c r="B68" s="21">
        <f>IF($A68="","",SUMIFS('Trade Log'!$I$4:$I$503,'Trade Log'!$G$4:$G$503,$A68,'Trade Log'!$C$4:$C$503,"LONG"))</f>
        <v/>
      </c>
      <c r="C68" s="21">
        <f>IF($A68="","",SUMIFS('Trade Log'!$I$4:$I$503,'Trade Log'!$G$4:$G$503,$A68,'Trade Log'!$C$4:$C$503,"SHORT"))</f>
        <v/>
      </c>
      <c r="D68" s="21">
        <f>IF($A68="","",$B68+$C68)</f>
        <v/>
      </c>
      <c r="E68" s="21">
        <f>IF($A68="","",SUMIFS('Trade Log'!$L$4:$L$503,'Trade Log'!$G$4:$G$503,$A68,'Trade Log'!$C$4:$C$503,"LONG"))</f>
        <v/>
      </c>
      <c r="F68" s="21">
        <f>IF($A68="","",SUMIFS('Trade Log'!$L$4:$L$503,'Trade Log'!$G$4:$G$503,$A68,'Trade Log'!$C$4:$C$503,"SHORT"))</f>
        <v/>
      </c>
      <c r="G68" s="21">
        <f>IF($A68="","",$E68+$F68)</f>
        <v/>
      </c>
    </row>
    <row r="69">
      <c r="A69" s="28">
        <f>IF(A68="","",A68+1)</f>
        <v/>
      </c>
      <c r="B69" s="21">
        <f>IF($A69="","",SUMIFS('Trade Log'!$I$4:$I$503,'Trade Log'!$G$4:$G$503,$A69,'Trade Log'!$C$4:$C$503,"LONG"))</f>
        <v/>
      </c>
      <c r="C69" s="21">
        <f>IF($A69="","",SUMIFS('Trade Log'!$I$4:$I$503,'Trade Log'!$G$4:$G$503,$A69,'Trade Log'!$C$4:$C$503,"SHORT"))</f>
        <v/>
      </c>
      <c r="D69" s="21">
        <f>IF($A69="","",$B69+$C69)</f>
        <v/>
      </c>
      <c r="E69" s="21">
        <f>IF($A69="","",SUMIFS('Trade Log'!$L$4:$L$503,'Trade Log'!$G$4:$G$503,$A69,'Trade Log'!$C$4:$C$503,"LONG"))</f>
        <v/>
      </c>
      <c r="F69" s="21">
        <f>IF($A69="","",SUMIFS('Trade Log'!$L$4:$L$503,'Trade Log'!$G$4:$G$503,$A69,'Trade Log'!$C$4:$C$503,"SHORT"))</f>
        <v/>
      </c>
      <c r="G69" s="21">
        <f>IF($A69="","",$E69+$F69)</f>
        <v/>
      </c>
    </row>
    <row r="70">
      <c r="A70" s="28">
        <f>IF(A69="","",A69+1)</f>
        <v/>
      </c>
      <c r="B70" s="21">
        <f>IF($A70="","",SUMIFS('Trade Log'!$I$4:$I$503,'Trade Log'!$G$4:$G$503,$A70,'Trade Log'!$C$4:$C$503,"LONG"))</f>
        <v/>
      </c>
      <c r="C70" s="21">
        <f>IF($A70="","",SUMIFS('Trade Log'!$I$4:$I$503,'Trade Log'!$G$4:$G$503,$A70,'Trade Log'!$C$4:$C$503,"SHORT"))</f>
        <v/>
      </c>
      <c r="D70" s="21">
        <f>IF($A70="","",$B70+$C70)</f>
        <v/>
      </c>
      <c r="E70" s="21">
        <f>IF($A70="","",SUMIFS('Trade Log'!$L$4:$L$503,'Trade Log'!$G$4:$G$503,$A70,'Trade Log'!$C$4:$C$503,"LONG"))</f>
        <v/>
      </c>
      <c r="F70" s="21">
        <f>IF($A70="","",SUMIFS('Trade Log'!$L$4:$L$503,'Trade Log'!$G$4:$G$503,$A70,'Trade Log'!$C$4:$C$503,"SHORT"))</f>
        <v/>
      </c>
      <c r="G70" s="21">
        <f>IF($A70="","",$E70+$F70)</f>
        <v/>
      </c>
    </row>
    <row r="71">
      <c r="A71" s="28">
        <f>IF(A70="","",A70+1)</f>
        <v/>
      </c>
      <c r="B71" s="21">
        <f>IF($A71="","",SUMIFS('Trade Log'!$I$4:$I$503,'Trade Log'!$G$4:$G$503,$A71,'Trade Log'!$C$4:$C$503,"LONG"))</f>
        <v/>
      </c>
      <c r="C71" s="21">
        <f>IF($A71="","",SUMIFS('Trade Log'!$I$4:$I$503,'Trade Log'!$G$4:$G$503,$A71,'Trade Log'!$C$4:$C$503,"SHORT"))</f>
        <v/>
      </c>
      <c r="D71" s="21">
        <f>IF($A71="","",$B71+$C71)</f>
        <v/>
      </c>
      <c r="E71" s="21">
        <f>IF($A71="","",SUMIFS('Trade Log'!$L$4:$L$503,'Trade Log'!$G$4:$G$503,$A71,'Trade Log'!$C$4:$C$503,"LONG"))</f>
        <v/>
      </c>
      <c r="F71" s="21">
        <f>IF($A71="","",SUMIFS('Trade Log'!$L$4:$L$503,'Trade Log'!$G$4:$G$503,$A71,'Trade Log'!$C$4:$C$503,"SHORT"))</f>
        <v/>
      </c>
      <c r="G71" s="21">
        <f>IF($A71="","",$E71+$F71)</f>
        <v/>
      </c>
    </row>
    <row r="72">
      <c r="A72" s="28">
        <f>IF(A71="","",A71+1)</f>
        <v/>
      </c>
      <c r="B72" s="21">
        <f>IF($A72="","",SUMIFS('Trade Log'!$I$4:$I$503,'Trade Log'!$G$4:$G$503,$A72,'Trade Log'!$C$4:$C$503,"LONG"))</f>
        <v/>
      </c>
      <c r="C72" s="21">
        <f>IF($A72="","",SUMIFS('Trade Log'!$I$4:$I$503,'Trade Log'!$G$4:$G$503,$A72,'Trade Log'!$C$4:$C$503,"SHORT"))</f>
        <v/>
      </c>
      <c r="D72" s="21">
        <f>IF($A72="","",$B72+$C72)</f>
        <v/>
      </c>
      <c r="E72" s="21">
        <f>IF($A72="","",SUMIFS('Trade Log'!$L$4:$L$503,'Trade Log'!$G$4:$G$503,$A72,'Trade Log'!$C$4:$C$503,"LONG"))</f>
        <v/>
      </c>
      <c r="F72" s="21">
        <f>IF($A72="","",SUMIFS('Trade Log'!$L$4:$L$503,'Trade Log'!$G$4:$G$503,$A72,'Trade Log'!$C$4:$C$503,"SHORT"))</f>
        <v/>
      </c>
      <c r="G72" s="21">
        <f>IF($A72="","",$E72+$F72)</f>
        <v/>
      </c>
    </row>
    <row r="73">
      <c r="A73" s="28">
        <f>IF(A72="","",A72+1)</f>
        <v/>
      </c>
      <c r="B73" s="21">
        <f>IF($A73="","",SUMIFS('Trade Log'!$I$4:$I$503,'Trade Log'!$G$4:$G$503,$A73,'Trade Log'!$C$4:$C$503,"LONG"))</f>
        <v/>
      </c>
      <c r="C73" s="21">
        <f>IF($A73="","",SUMIFS('Trade Log'!$I$4:$I$503,'Trade Log'!$G$4:$G$503,$A73,'Trade Log'!$C$4:$C$503,"SHORT"))</f>
        <v/>
      </c>
      <c r="D73" s="21">
        <f>IF($A73="","",$B73+$C73)</f>
        <v/>
      </c>
      <c r="E73" s="21">
        <f>IF($A73="","",SUMIFS('Trade Log'!$L$4:$L$503,'Trade Log'!$G$4:$G$503,$A73,'Trade Log'!$C$4:$C$503,"LONG"))</f>
        <v/>
      </c>
      <c r="F73" s="21">
        <f>IF($A73="","",SUMIFS('Trade Log'!$L$4:$L$503,'Trade Log'!$G$4:$G$503,$A73,'Trade Log'!$C$4:$C$503,"SHORT"))</f>
        <v/>
      </c>
      <c r="G73" s="21">
        <f>IF($A73="","",$E73+$F73)</f>
        <v/>
      </c>
    </row>
    <row r="74">
      <c r="A74" s="28">
        <f>IF(A73="","",A73+1)</f>
        <v/>
      </c>
      <c r="B74" s="21">
        <f>IF($A74="","",SUMIFS('Trade Log'!$I$4:$I$503,'Trade Log'!$G$4:$G$503,$A74,'Trade Log'!$C$4:$C$503,"LONG"))</f>
        <v/>
      </c>
      <c r="C74" s="21">
        <f>IF($A74="","",SUMIFS('Trade Log'!$I$4:$I$503,'Trade Log'!$G$4:$G$503,$A74,'Trade Log'!$C$4:$C$503,"SHORT"))</f>
        <v/>
      </c>
      <c r="D74" s="21">
        <f>IF($A74="","",$B74+$C74)</f>
        <v/>
      </c>
      <c r="E74" s="21">
        <f>IF($A74="","",SUMIFS('Trade Log'!$L$4:$L$503,'Trade Log'!$G$4:$G$503,$A74,'Trade Log'!$C$4:$C$503,"LONG"))</f>
        <v/>
      </c>
      <c r="F74" s="21">
        <f>IF($A74="","",SUMIFS('Trade Log'!$L$4:$L$503,'Trade Log'!$G$4:$G$503,$A74,'Trade Log'!$C$4:$C$503,"SHORT"))</f>
        <v/>
      </c>
      <c r="G74" s="21">
        <f>IF($A74="","",$E74+$F74)</f>
        <v/>
      </c>
    </row>
    <row r="75">
      <c r="A75" s="28">
        <f>IF(A74="","",A74+1)</f>
        <v/>
      </c>
      <c r="B75" s="21">
        <f>IF($A75="","",SUMIFS('Trade Log'!$I$4:$I$503,'Trade Log'!$G$4:$G$503,$A75,'Trade Log'!$C$4:$C$503,"LONG"))</f>
        <v/>
      </c>
      <c r="C75" s="21">
        <f>IF($A75="","",SUMIFS('Trade Log'!$I$4:$I$503,'Trade Log'!$G$4:$G$503,$A75,'Trade Log'!$C$4:$C$503,"SHORT"))</f>
        <v/>
      </c>
      <c r="D75" s="21">
        <f>IF($A75="","",$B75+$C75)</f>
        <v/>
      </c>
      <c r="E75" s="21">
        <f>IF($A75="","",SUMIFS('Trade Log'!$L$4:$L$503,'Trade Log'!$G$4:$G$503,$A75,'Trade Log'!$C$4:$C$503,"LONG"))</f>
        <v/>
      </c>
      <c r="F75" s="21">
        <f>IF($A75="","",SUMIFS('Trade Log'!$L$4:$L$503,'Trade Log'!$G$4:$G$503,$A75,'Trade Log'!$C$4:$C$503,"SHORT"))</f>
        <v/>
      </c>
      <c r="G75" s="21">
        <f>IF($A75="","",$E75+$F75)</f>
        <v/>
      </c>
    </row>
    <row r="76">
      <c r="A76" s="28">
        <f>IF(A75="","",A75+1)</f>
        <v/>
      </c>
      <c r="B76" s="21">
        <f>IF($A76="","",SUMIFS('Trade Log'!$I$4:$I$503,'Trade Log'!$G$4:$G$503,$A76,'Trade Log'!$C$4:$C$503,"LONG"))</f>
        <v/>
      </c>
      <c r="C76" s="21">
        <f>IF($A76="","",SUMIFS('Trade Log'!$I$4:$I$503,'Trade Log'!$G$4:$G$503,$A76,'Trade Log'!$C$4:$C$503,"SHORT"))</f>
        <v/>
      </c>
      <c r="D76" s="21">
        <f>IF($A76="","",$B76+$C76)</f>
        <v/>
      </c>
      <c r="E76" s="21">
        <f>IF($A76="","",SUMIFS('Trade Log'!$L$4:$L$503,'Trade Log'!$G$4:$G$503,$A76,'Trade Log'!$C$4:$C$503,"LONG"))</f>
        <v/>
      </c>
      <c r="F76" s="21">
        <f>IF($A76="","",SUMIFS('Trade Log'!$L$4:$L$503,'Trade Log'!$G$4:$G$503,$A76,'Trade Log'!$C$4:$C$503,"SHORT"))</f>
        <v/>
      </c>
      <c r="G76" s="21">
        <f>IF($A76="","",$E76+$F76)</f>
        <v/>
      </c>
    </row>
    <row r="77">
      <c r="A77" s="28">
        <f>IF(A76="","",A76+1)</f>
        <v/>
      </c>
      <c r="B77" s="21">
        <f>IF($A77="","",SUMIFS('Trade Log'!$I$4:$I$503,'Trade Log'!$G$4:$G$503,$A77,'Trade Log'!$C$4:$C$503,"LONG"))</f>
        <v/>
      </c>
      <c r="C77" s="21">
        <f>IF($A77="","",SUMIFS('Trade Log'!$I$4:$I$503,'Trade Log'!$G$4:$G$503,$A77,'Trade Log'!$C$4:$C$503,"SHORT"))</f>
        <v/>
      </c>
      <c r="D77" s="21">
        <f>IF($A77="","",$B77+$C77)</f>
        <v/>
      </c>
      <c r="E77" s="21">
        <f>IF($A77="","",SUMIFS('Trade Log'!$L$4:$L$503,'Trade Log'!$G$4:$G$503,$A77,'Trade Log'!$C$4:$C$503,"LONG"))</f>
        <v/>
      </c>
      <c r="F77" s="21">
        <f>IF($A77="","",SUMIFS('Trade Log'!$L$4:$L$503,'Trade Log'!$G$4:$G$503,$A77,'Trade Log'!$C$4:$C$503,"SHORT"))</f>
        <v/>
      </c>
      <c r="G77" s="21">
        <f>IF($A77="","",$E77+$F77)</f>
        <v/>
      </c>
    </row>
    <row r="78">
      <c r="A78" s="28">
        <f>IF(A77="","",A77+1)</f>
        <v/>
      </c>
      <c r="B78" s="21">
        <f>IF($A78="","",SUMIFS('Trade Log'!$I$4:$I$503,'Trade Log'!$G$4:$G$503,$A78,'Trade Log'!$C$4:$C$503,"LONG"))</f>
        <v/>
      </c>
      <c r="C78" s="21">
        <f>IF($A78="","",SUMIFS('Trade Log'!$I$4:$I$503,'Trade Log'!$G$4:$G$503,$A78,'Trade Log'!$C$4:$C$503,"SHORT"))</f>
        <v/>
      </c>
      <c r="D78" s="21">
        <f>IF($A78="","",$B78+$C78)</f>
        <v/>
      </c>
      <c r="E78" s="21">
        <f>IF($A78="","",SUMIFS('Trade Log'!$L$4:$L$503,'Trade Log'!$G$4:$G$503,$A78,'Trade Log'!$C$4:$C$503,"LONG"))</f>
        <v/>
      </c>
      <c r="F78" s="21">
        <f>IF($A78="","",SUMIFS('Trade Log'!$L$4:$L$503,'Trade Log'!$G$4:$G$503,$A78,'Trade Log'!$C$4:$C$503,"SHORT"))</f>
        <v/>
      </c>
      <c r="G78" s="21">
        <f>IF($A78="","",$E78+$F78)</f>
        <v/>
      </c>
    </row>
    <row r="79">
      <c r="A79" s="28">
        <f>IF(A78="","",A78+1)</f>
        <v/>
      </c>
      <c r="B79" s="21">
        <f>IF($A79="","",SUMIFS('Trade Log'!$I$4:$I$503,'Trade Log'!$G$4:$G$503,$A79,'Trade Log'!$C$4:$C$503,"LONG"))</f>
        <v/>
      </c>
      <c r="C79" s="21">
        <f>IF($A79="","",SUMIFS('Trade Log'!$I$4:$I$503,'Trade Log'!$G$4:$G$503,$A79,'Trade Log'!$C$4:$C$503,"SHORT"))</f>
        <v/>
      </c>
      <c r="D79" s="21">
        <f>IF($A79="","",$B79+$C79)</f>
        <v/>
      </c>
      <c r="E79" s="21">
        <f>IF($A79="","",SUMIFS('Trade Log'!$L$4:$L$503,'Trade Log'!$G$4:$G$503,$A79,'Trade Log'!$C$4:$C$503,"LONG"))</f>
        <v/>
      </c>
      <c r="F79" s="21">
        <f>IF($A79="","",SUMIFS('Trade Log'!$L$4:$L$503,'Trade Log'!$G$4:$G$503,$A79,'Trade Log'!$C$4:$C$503,"SHORT"))</f>
        <v/>
      </c>
      <c r="G79" s="21">
        <f>IF($A79="","",$E79+$F79)</f>
        <v/>
      </c>
    </row>
    <row r="80">
      <c r="A80" s="28">
        <f>IF(A79="","",A79+1)</f>
        <v/>
      </c>
      <c r="B80" s="21">
        <f>IF($A80="","",SUMIFS('Trade Log'!$I$4:$I$503,'Trade Log'!$G$4:$G$503,$A80,'Trade Log'!$C$4:$C$503,"LONG"))</f>
        <v/>
      </c>
      <c r="C80" s="21">
        <f>IF($A80="","",SUMIFS('Trade Log'!$I$4:$I$503,'Trade Log'!$G$4:$G$503,$A80,'Trade Log'!$C$4:$C$503,"SHORT"))</f>
        <v/>
      </c>
      <c r="D80" s="21">
        <f>IF($A80="","",$B80+$C80)</f>
        <v/>
      </c>
      <c r="E80" s="21">
        <f>IF($A80="","",SUMIFS('Trade Log'!$L$4:$L$503,'Trade Log'!$G$4:$G$503,$A80,'Trade Log'!$C$4:$C$503,"LONG"))</f>
        <v/>
      </c>
      <c r="F80" s="21">
        <f>IF($A80="","",SUMIFS('Trade Log'!$L$4:$L$503,'Trade Log'!$G$4:$G$503,$A80,'Trade Log'!$C$4:$C$503,"SHORT"))</f>
        <v/>
      </c>
      <c r="G80" s="21">
        <f>IF($A80="","",$E80+$F80)</f>
        <v/>
      </c>
    </row>
    <row r="81">
      <c r="A81" s="28">
        <f>IF(A80="","",A80+1)</f>
        <v/>
      </c>
      <c r="B81" s="21">
        <f>IF($A81="","",SUMIFS('Trade Log'!$I$4:$I$503,'Trade Log'!$G$4:$G$503,$A81,'Trade Log'!$C$4:$C$503,"LONG"))</f>
        <v/>
      </c>
      <c r="C81" s="21">
        <f>IF($A81="","",SUMIFS('Trade Log'!$I$4:$I$503,'Trade Log'!$G$4:$G$503,$A81,'Trade Log'!$C$4:$C$503,"SHORT"))</f>
        <v/>
      </c>
      <c r="D81" s="21">
        <f>IF($A81="","",$B81+$C81)</f>
        <v/>
      </c>
      <c r="E81" s="21">
        <f>IF($A81="","",SUMIFS('Trade Log'!$L$4:$L$503,'Trade Log'!$G$4:$G$503,$A81,'Trade Log'!$C$4:$C$503,"LONG"))</f>
        <v/>
      </c>
      <c r="F81" s="21">
        <f>IF($A81="","",SUMIFS('Trade Log'!$L$4:$L$503,'Trade Log'!$G$4:$G$503,$A81,'Trade Log'!$C$4:$C$503,"SHORT"))</f>
        <v/>
      </c>
      <c r="G81" s="21">
        <f>IF($A81="","",$E81+$F81)</f>
        <v/>
      </c>
    </row>
    <row r="82">
      <c r="A82" s="28">
        <f>IF(A81="","",A81+1)</f>
        <v/>
      </c>
      <c r="B82" s="21">
        <f>IF($A82="","",SUMIFS('Trade Log'!$I$4:$I$503,'Trade Log'!$G$4:$G$503,$A82,'Trade Log'!$C$4:$C$503,"LONG"))</f>
        <v/>
      </c>
      <c r="C82" s="21">
        <f>IF($A82="","",SUMIFS('Trade Log'!$I$4:$I$503,'Trade Log'!$G$4:$G$503,$A82,'Trade Log'!$C$4:$C$503,"SHORT"))</f>
        <v/>
      </c>
      <c r="D82" s="21">
        <f>IF($A82="","",$B82+$C82)</f>
        <v/>
      </c>
      <c r="E82" s="21">
        <f>IF($A82="","",SUMIFS('Trade Log'!$L$4:$L$503,'Trade Log'!$G$4:$G$503,$A82,'Trade Log'!$C$4:$C$503,"LONG"))</f>
        <v/>
      </c>
      <c r="F82" s="21">
        <f>IF($A82="","",SUMIFS('Trade Log'!$L$4:$L$503,'Trade Log'!$G$4:$G$503,$A82,'Trade Log'!$C$4:$C$503,"SHORT"))</f>
        <v/>
      </c>
      <c r="G82" s="21">
        <f>IF($A82="","",$E82+$F82)</f>
        <v/>
      </c>
    </row>
    <row r="83">
      <c r="A83" s="28">
        <f>IF(A82="","",A82+1)</f>
        <v/>
      </c>
      <c r="B83" s="21">
        <f>IF($A83="","",SUMIFS('Trade Log'!$I$4:$I$503,'Trade Log'!$G$4:$G$503,$A83,'Trade Log'!$C$4:$C$503,"LONG"))</f>
        <v/>
      </c>
      <c r="C83" s="21">
        <f>IF($A83="","",SUMIFS('Trade Log'!$I$4:$I$503,'Trade Log'!$G$4:$G$503,$A83,'Trade Log'!$C$4:$C$503,"SHORT"))</f>
        <v/>
      </c>
      <c r="D83" s="21">
        <f>IF($A83="","",$B83+$C83)</f>
        <v/>
      </c>
      <c r="E83" s="21">
        <f>IF($A83="","",SUMIFS('Trade Log'!$L$4:$L$503,'Trade Log'!$G$4:$G$503,$A83,'Trade Log'!$C$4:$C$503,"LONG"))</f>
        <v/>
      </c>
      <c r="F83" s="21">
        <f>IF($A83="","",SUMIFS('Trade Log'!$L$4:$L$503,'Trade Log'!$G$4:$G$503,$A83,'Trade Log'!$C$4:$C$503,"SHORT"))</f>
        <v/>
      </c>
      <c r="G83" s="21">
        <f>IF($A83="","",$E83+$F83)</f>
        <v/>
      </c>
    </row>
    <row r="84">
      <c r="A84" s="28">
        <f>IF(A83="","",A83+1)</f>
        <v/>
      </c>
      <c r="B84" s="21">
        <f>IF($A84="","",SUMIFS('Trade Log'!$I$4:$I$503,'Trade Log'!$G$4:$G$503,$A84,'Trade Log'!$C$4:$C$503,"LONG"))</f>
        <v/>
      </c>
      <c r="C84" s="21">
        <f>IF($A84="","",SUMIFS('Trade Log'!$I$4:$I$503,'Trade Log'!$G$4:$G$503,$A84,'Trade Log'!$C$4:$C$503,"SHORT"))</f>
        <v/>
      </c>
      <c r="D84" s="21">
        <f>IF($A84="","",$B84+$C84)</f>
        <v/>
      </c>
      <c r="E84" s="21">
        <f>IF($A84="","",SUMIFS('Trade Log'!$L$4:$L$503,'Trade Log'!$G$4:$G$503,$A84,'Trade Log'!$C$4:$C$503,"LONG"))</f>
        <v/>
      </c>
      <c r="F84" s="21">
        <f>IF($A84="","",SUMIFS('Trade Log'!$L$4:$L$503,'Trade Log'!$G$4:$G$503,$A84,'Trade Log'!$C$4:$C$503,"SHORT"))</f>
        <v/>
      </c>
      <c r="G84" s="21">
        <f>IF($A84="","",$E84+$F84)</f>
        <v/>
      </c>
    </row>
    <row r="85">
      <c r="A85" s="28">
        <f>IF(A84="","",A84+1)</f>
        <v/>
      </c>
      <c r="B85" s="21">
        <f>IF($A85="","",SUMIFS('Trade Log'!$I$4:$I$503,'Trade Log'!$G$4:$G$503,$A85,'Trade Log'!$C$4:$C$503,"LONG"))</f>
        <v/>
      </c>
      <c r="C85" s="21">
        <f>IF($A85="","",SUMIFS('Trade Log'!$I$4:$I$503,'Trade Log'!$G$4:$G$503,$A85,'Trade Log'!$C$4:$C$503,"SHORT"))</f>
        <v/>
      </c>
      <c r="D85" s="21">
        <f>IF($A85="","",$B85+$C85)</f>
        <v/>
      </c>
      <c r="E85" s="21">
        <f>IF($A85="","",SUMIFS('Trade Log'!$L$4:$L$503,'Trade Log'!$G$4:$G$503,$A85,'Trade Log'!$C$4:$C$503,"LONG"))</f>
        <v/>
      </c>
      <c r="F85" s="21">
        <f>IF($A85="","",SUMIFS('Trade Log'!$L$4:$L$503,'Trade Log'!$G$4:$G$503,$A85,'Trade Log'!$C$4:$C$503,"SHORT"))</f>
        <v/>
      </c>
      <c r="G85" s="21">
        <f>IF($A85="","",$E85+$F85)</f>
        <v/>
      </c>
    </row>
    <row r="86">
      <c r="A86" s="28">
        <f>IF(A85="","",A85+1)</f>
        <v/>
      </c>
      <c r="B86" s="21">
        <f>IF($A86="","",SUMIFS('Trade Log'!$I$4:$I$503,'Trade Log'!$G$4:$G$503,$A86,'Trade Log'!$C$4:$C$503,"LONG"))</f>
        <v/>
      </c>
      <c r="C86" s="21">
        <f>IF($A86="","",SUMIFS('Trade Log'!$I$4:$I$503,'Trade Log'!$G$4:$G$503,$A86,'Trade Log'!$C$4:$C$503,"SHORT"))</f>
        <v/>
      </c>
      <c r="D86" s="21">
        <f>IF($A86="","",$B86+$C86)</f>
        <v/>
      </c>
      <c r="E86" s="21">
        <f>IF($A86="","",SUMIFS('Trade Log'!$L$4:$L$503,'Trade Log'!$G$4:$G$503,$A86,'Trade Log'!$C$4:$C$503,"LONG"))</f>
        <v/>
      </c>
      <c r="F86" s="21">
        <f>IF($A86="","",SUMIFS('Trade Log'!$L$4:$L$503,'Trade Log'!$G$4:$G$503,$A86,'Trade Log'!$C$4:$C$503,"SHORT"))</f>
        <v/>
      </c>
      <c r="G86" s="21">
        <f>IF($A86="","",$E86+$F86)</f>
        <v/>
      </c>
    </row>
    <row r="87">
      <c r="A87" s="28">
        <f>IF(A86="","",A86+1)</f>
        <v/>
      </c>
      <c r="B87" s="21">
        <f>IF($A87="","",SUMIFS('Trade Log'!$I$4:$I$503,'Trade Log'!$G$4:$G$503,$A87,'Trade Log'!$C$4:$C$503,"LONG"))</f>
        <v/>
      </c>
      <c r="C87" s="21">
        <f>IF($A87="","",SUMIFS('Trade Log'!$I$4:$I$503,'Trade Log'!$G$4:$G$503,$A87,'Trade Log'!$C$4:$C$503,"SHORT"))</f>
        <v/>
      </c>
      <c r="D87" s="21">
        <f>IF($A87="","",$B87+$C87)</f>
        <v/>
      </c>
      <c r="E87" s="21">
        <f>IF($A87="","",SUMIFS('Trade Log'!$L$4:$L$503,'Trade Log'!$G$4:$G$503,$A87,'Trade Log'!$C$4:$C$503,"LONG"))</f>
        <v/>
      </c>
      <c r="F87" s="21">
        <f>IF($A87="","",SUMIFS('Trade Log'!$L$4:$L$503,'Trade Log'!$G$4:$G$503,$A87,'Trade Log'!$C$4:$C$503,"SHORT"))</f>
        <v/>
      </c>
      <c r="G87" s="21">
        <f>IF($A87="","",$E87+$F87)</f>
        <v/>
      </c>
    </row>
    <row r="88">
      <c r="A88" s="28">
        <f>IF(A87="","",A87+1)</f>
        <v/>
      </c>
      <c r="B88" s="21">
        <f>IF($A88="","",SUMIFS('Trade Log'!$I$4:$I$503,'Trade Log'!$G$4:$G$503,$A88,'Trade Log'!$C$4:$C$503,"LONG"))</f>
        <v/>
      </c>
      <c r="C88" s="21">
        <f>IF($A88="","",SUMIFS('Trade Log'!$I$4:$I$503,'Trade Log'!$G$4:$G$503,$A88,'Trade Log'!$C$4:$C$503,"SHORT"))</f>
        <v/>
      </c>
      <c r="D88" s="21">
        <f>IF($A88="","",$B88+$C88)</f>
        <v/>
      </c>
      <c r="E88" s="21">
        <f>IF($A88="","",SUMIFS('Trade Log'!$L$4:$L$503,'Trade Log'!$G$4:$G$503,$A88,'Trade Log'!$C$4:$C$503,"LONG"))</f>
        <v/>
      </c>
      <c r="F88" s="21">
        <f>IF($A88="","",SUMIFS('Trade Log'!$L$4:$L$503,'Trade Log'!$G$4:$G$503,$A88,'Trade Log'!$C$4:$C$503,"SHORT"))</f>
        <v/>
      </c>
      <c r="G88" s="21">
        <f>IF($A88="","",$E88+$F88)</f>
        <v/>
      </c>
    </row>
    <row r="89">
      <c r="A89" s="28">
        <f>IF(A88="","",A88+1)</f>
        <v/>
      </c>
      <c r="B89" s="21">
        <f>IF($A89="","",SUMIFS('Trade Log'!$I$4:$I$503,'Trade Log'!$G$4:$G$503,$A89,'Trade Log'!$C$4:$C$503,"LONG"))</f>
        <v/>
      </c>
      <c r="C89" s="21">
        <f>IF($A89="","",SUMIFS('Trade Log'!$I$4:$I$503,'Trade Log'!$G$4:$G$503,$A89,'Trade Log'!$C$4:$C$503,"SHORT"))</f>
        <v/>
      </c>
      <c r="D89" s="21">
        <f>IF($A89="","",$B89+$C89)</f>
        <v/>
      </c>
      <c r="E89" s="21">
        <f>IF($A89="","",SUMIFS('Trade Log'!$L$4:$L$503,'Trade Log'!$G$4:$G$503,$A89,'Trade Log'!$C$4:$C$503,"LONG"))</f>
        <v/>
      </c>
      <c r="F89" s="21">
        <f>IF($A89="","",SUMIFS('Trade Log'!$L$4:$L$503,'Trade Log'!$G$4:$G$503,$A89,'Trade Log'!$C$4:$C$503,"SHORT"))</f>
        <v/>
      </c>
      <c r="G89" s="21">
        <f>IF($A89="","",$E89+$F89)</f>
        <v/>
      </c>
    </row>
    <row r="90">
      <c r="A90" s="28">
        <f>IF(A89="","",A89+1)</f>
        <v/>
      </c>
      <c r="B90" s="21">
        <f>IF($A90="","",SUMIFS('Trade Log'!$I$4:$I$503,'Trade Log'!$G$4:$G$503,$A90,'Trade Log'!$C$4:$C$503,"LONG"))</f>
        <v/>
      </c>
      <c r="C90" s="21">
        <f>IF($A90="","",SUMIFS('Trade Log'!$I$4:$I$503,'Trade Log'!$G$4:$G$503,$A90,'Trade Log'!$C$4:$C$503,"SHORT"))</f>
        <v/>
      </c>
      <c r="D90" s="21">
        <f>IF($A90="","",$B90+$C90)</f>
        <v/>
      </c>
      <c r="E90" s="21">
        <f>IF($A90="","",SUMIFS('Trade Log'!$L$4:$L$503,'Trade Log'!$G$4:$G$503,$A90,'Trade Log'!$C$4:$C$503,"LONG"))</f>
        <v/>
      </c>
      <c r="F90" s="21">
        <f>IF($A90="","",SUMIFS('Trade Log'!$L$4:$L$503,'Trade Log'!$G$4:$G$503,$A90,'Trade Log'!$C$4:$C$503,"SHORT"))</f>
        <v/>
      </c>
      <c r="G90" s="21">
        <f>IF($A90="","",$E90+$F90)</f>
        <v/>
      </c>
    </row>
    <row r="91">
      <c r="A91" s="28">
        <f>IF(A90="","",A90+1)</f>
        <v/>
      </c>
      <c r="B91" s="21">
        <f>IF($A91="","",SUMIFS('Trade Log'!$I$4:$I$503,'Trade Log'!$G$4:$G$503,$A91,'Trade Log'!$C$4:$C$503,"LONG"))</f>
        <v/>
      </c>
      <c r="C91" s="21">
        <f>IF($A91="","",SUMIFS('Trade Log'!$I$4:$I$503,'Trade Log'!$G$4:$G$503,$A91,'Trade Log'!$C$4:$C$503,"SHORT"))</f>
        <v/>
      </c>
      <c r="D91" s="21">
        <f>IF($A91="","",$B91+$C91)</f>
        <v/>
      </c>
      <c r="E91" s="21">
        <f>IF($A91="","",SUMIFS('Trade Log'!$L$4:$L$503,'Trade Log'!$G$4:$G$503,$A91,'Trade Log'!$C$4:$C$503,"LONG"))</f>
        <v/>
      </c>
      <c r="F91" s="21">
        <f>IF($A91="","",SUMIFS('Trade Log'!$L$4:$L$503,'Trade Log'!$G$4:$G$503,$A91,'Trade Log'!$C$4:$C$503,"SHORT"))</f>
        <v/>
      </c>
      <c r="G91" s="21">
        <f>IF($A91="","",$E91+$F91)</f>
        <v/>
      </c>
    </row>
    <row r="92">
      <c r="A92" s="28">
        <f>IF(A91="","",A91+1)</f>
        <v/>
      </c>
      <c r="B92" s="21">
        <f>IF($A92="","",SUMIFS('Trade Log'!$I$4:$I$503,'Trade Log'!$G$4:$G$503,$A92,'Trade Log'!$C$4:$C$503,"LONG"))</f>
        <v/>
      </c>
      <c r="C92" s="21">
        <f>IF($A92="","",SUMIFS('Trade Log'!$I$4:$I$503,'Trade Log'!$G$4:$G$503,$A92,'Trade Log'!$C$4:$C$503,"SHORT"))</f>
        <v/>
      </c>
      <c r="D92" s="21">
        <f>IF($A92="","",$B92+$C92)</f>
        <v/>
      </c>
      <c r="E92" s="21">
        <f>IF($A92="","",SUMIFS('Trade Log'!$L$4:$L$503,'Trade Log'!$G$4:$G$503,$A92,'Trade Log'!$C$4:$C$503,"LONG"))</f>
        <v/>
      </c>
      <c r="F92" s="21">
        <f>IF($A92="","",SUMIFS('Trade Log'!$L$4:$L$503,'Trade Log'!$G$4:$G$503,$A92,'Trade Log'!$C$4:$C$503,"SHORT"))</f>
        <v/>
      </c>
      <c r="G92" s="21">
        <f>IF($A92="","",$E92+$F92)</f>
        <v/>
      </c>
    </row>
    <row r="93">
      <c r="A93" s="28">
        <f>IF(A92="","",A92+1)</f>
        <v/>
      </c>
      <c r="B93" s="21">
        <f>IF($A93="","",SUMIFS('Trade Log'!$I$4:$I$503,'Trade Log'!$G$4:$G$503,$A93,'Trade Log'!$C$4:$C$503,"LONG"))</f>
        <v/>
      </c>
      <c r="C93" s="21">
        <f>IF($A93="","",SUMIFS('Trade Log'!$I$4:$I$503,'Trade Log'!$G$4:$G$503,$A93,'Trade Log'!$C$4:$C$503,"SHORT"))</f>
        <v/>
      </c>
      <c r="D93" s="21">
        <f>IF($A93="","",$B93+$C93)</f>
        <v/>
      </c>
      <c r="E93" s="21">
        <f>IF($A93="","",SUMIFS('Trade Log'!$L$4:$L$503,'Trade Log'!$G$4:$G$503,$A93,'Trade Log'!$C$4:$C$503,"LONG"))</f>
        <v/>
      </c>
      <c r="F93" s="21">
        <f>IF($A93="","",SUMIFS('Trade Log'!$L$4:$L$503,'Trade Log'!$G$4:$G$503,$A93,'Trade Log'!$C$4:$C$503,"SHORT"))</f>
        <v/>
      </c>
      <c r="G93" s="21">
        <f>IF($A93="","",$E93+$F93)</f>
        <v/>
      </c>
    </row>
    <row r="94">
      <c r="A94" s="28">
        <f>IF(A93="","",A93+1)</f>
        <v/>
      </c>
      <c r="B94" s="21">
        <f>IF($A94="","",SUMIFS('Trade Log'!$I$4:$I$503,'Trade Log'!$G$4:$G$503,$A94,'Trade Log'!$C$4:$C$503,"LONG"))</f>
        <v/>
      </c>
      <c r="C94" s="21">
        <f>IF($A94="","",SUMIFS('Trade Log'!$I$4:$I$503,'Trade Log'!$G$4:$G$503,$A94,'Trade Log'!$C$4:$C$503,"SHORT"))</f>
        <v/>
      </c>
      <c r="D94" s="21">
        <f>IF($A94="","",$B94+$C94)</f>
        <v/>
      </c>
      <c r="E94" s="21">
        <f>IF($A94="","",SUMIFS('Trade Log'!$L$4:$L$503,'Trade Log'!$G$4:$G$503,$A94,'Trade Log'!$C$4:$C$503,"LONG"))</f>
        <v/>
      </c>
      <c r="F94" s="21">
        <f>IF($A94="","",SUMIFS('Trade Log'!$L$4:$L$503,'Trade Log'!$G$4:$G$503,$A94,'Trade Log'!$C$4:$C$503,"SHORT"))</f>
        <v/>
      </c>
      <c r="G94" s="21">
        <f>IF($A94="","",$E94+$F94)</f>
        <v/>
      </c>
    </row>
    <row r="95">
      <c r="A95" s="28">
        <f>IF(A94="","",A94+1)</f>
        <v/>
      </c>
      <c r="B95" s="21">
        <f>IF($A95="","",SUMIFS('Trade Log'!$I$4:$I$503,'Trade Log'!$G$4:$G$503,$A95,'Trade Log'!$C$4:$C$503,"LONG"))</f>
        <v/>
      </c>
      <c r="C95" s="21">
        <f>IF($A95="","",SUMIFS('Trade Log'!$I$4:$I$503,'Trade Log'!$G$4:$G$503,$A95,'Trade Log'!$C$4:$C$503,"SHORT"))</f>
        <v/>
      </c>
      <c r="D95" s="21">
        <f>IF($A95="","",$B95+$C95)</f>
        <v/>
      </c>
      <c r="E95" s="21">
        <f>IF($A95="","",SUMIFS('Trade Log'!$L$4:$L$503,'Trade Log'!$G$4:$G$503,$A95,'Trade Log'!$C$4:$C$503,"LONG"))</f>
        <v/>
      </c>
      <c r="F95" s="21">
        <f>IF($A95="","",SUMIFS('Trade Log'!$L$4:$L$503,'Trade Log'!$G$4:$G$503,$A95,'Trade Log'!$C$4:$C$503,"SHORT"))</f>
        <v/>
      </c>
      <c r="G95" s="21">
        <f>IF($A95="","",$E95+$F95)</f>
        <v/>
      </c>
    </row>
    <row r="96">
      <c r="A96" s="28">
        <f>IF(A95="","",A95+1)</f>
        <v/>
      </c>
      <c r="B96" s="21">
        <f>IF($A96="","",SUMIFS('Trade Log'!$I$4:$I$503,'Trade Log'!$G$4:$G$503,$A96,'Trade Log'!$C$4:$C$503,"LONG"))</f>
        <v/>
      </c>
      <c r="C96" s="21">
        <f>IF($A96="","",SUMIFS('Trade Log'!$I$4:$I$503,'Trade Log'!$G$4:$G$503,$A96,'Trade Log'!$C$4:$C$503,"SHORT"))</f>
        <v/>
      </c>
      <c r="D96" s="21">
        <f>IF($A96="","",$B96+$C96)</f>
        <v/>
      </c>
      <c r="E96" s="21">
        <f>IF($A96="","",SUMIFS('Trade Log'!$L$4:$L$503,'Trade Log'!$G$4:$G$503,$A96,'Trade Log'!$C$4:$C$503,"LONG"))</f>
        <v/>
      </c>
      <c r="F96" s="21">
        <f>IF($A96="","",SUMIFS('Trade Log'!$L$4:$L$503,'Trade Log'!$G$4:$G$503,$A96,'Trade Log'!$C$4:$C$503,"SHORT"))</f>
        <v/>
      </c>
      <c r="G96" s="21">
        <f>IF($A96="","",$E96+$F96)</f>
        <v/>
      </c>
    </row>
    <row r="97">
      <c r="A97" s="28">
        <f>IF(A96="","",A96+1)</f>
        <v/>
      </c>
      <c r="B97" s="21">
        <f>IF($A97="","",SUMIFS('Trade Log'!$I$4:$I$503,'Trade Log'!$G$4:$G$503,$A97,'Trade Log'!$C$4:$C$503,"LONG"))</f>
        <v/>
      </c>
      <c r="C97" s="21">
        <f>IF($A97="","",SUMIFS('Trade Log'!$I$4:$I$503,'Trade Log'!$G$4:$G$503,$A97,'Trade Log'!$C$4:$C$503,"SHORT"))</f>
        <v/>
      </c>
      <c r="D97" s="21">
        <f>IF($A97="","",$B97+$C97)</f>
        <v/>
      </c>
      <c r="E97" s="21">
        <f>IF($A97="","",SUMIFS('Trade Log'!$L$4:$L$503,'Trade Log'!$G$4:$G$503,$A97,'Trade Log'!$C$4:$C$503,"LONG"))</f>
        <v/>
      </c>
      <c r="F97" s="21">
        <f>IF($A97="","",SUMIFS('Trade Log'!$L$4:$L$503,'Trade Log'!$G$4:$G$503,$A97,'Trade Log'!$C$4:$C$503,"SHORT"))</f>
        <v/>
      </c>
      <c r="G97" s="21">
        <f>IF($A97="","",$E97+$F97)</f>
        <v/>
      </c>
    </row>
    <row r="98">
      <c r="A98" s="28">
        <f>IF(A97="","",A97+1)</f>
        <v/>
      </c>
      <c r="B98" s="21">
        <f>IF($A98="","",SUMIFS('Trade Log'!$I$4:$I$503,'Trade Log'!$G$4:$G$503,$A98,'Trade Log'!$C$4:$C$503,"LONG"))</f>
        <v/>
      </c>
      <c r="C98" s="21">
        <f>IF($A98="","",SUMIFS('Trade Log'!$I$4:$I$503,'Trade Log'!$G$4:$G$503,$A98,'Trade Log'!$C$4:$C$503,"SHORT"))</f>
        <v/>
      </c>
      <c r="D98" s="21">
        <f>IF($A98="","",$B98+$C98)</f>
        <v/>
      </c>
      <c r="E98" s="21">
        <f>IF($A98="","",SUMIFS('Trade Log'!$L$4:$L$503,'Trade Log'!$G$4:$G$503,$A98,'Trade Log'!$C$4:$C$503,"LONG"))</f>
        <v/>
      </c>
      <c r="F98" s="21">
        <f>IF($A98="","",SUMIFS('Trade Log'!$L$4:$L$503,'Trade Log'!$G$4:$G$503,$A98,'Trade Log'!$C$4:$C$503,"SHORT"))</f>
        <v/>
      </c>
      <c r="G98" s="21">
        <f>IF($A98="","",$E98+$F98)</f>
        <v/>
      </c>
    </row>
    <row r="99">
      <c r="A99" s="28">
        <f>IF(A98="","",A98+1)</f>
        <v/>
      </c>
      <c r="B99" s="21">
        <f>IF($A99="","",SUMIFS('Trade Log'!$I$4:$I$503,'Trade Log'!$G$4:$G$503,$A99,'Trade Log'!$C$4:$C$503,"LONG"))</f>
        <v/>
      </c>
      <c r="C99" s="21">
        <f>IF($A99="","",SUMIFS('Trade Log'!$I$4:$I$503,'Trade Log'!$G$4:$G$503,$A99,'Trade Log'!$C$4:$C$503,"SHORT"))</f>
        <v/>
      </c>
      <c r="D99" s="21">
        <f>IF($A99="","",$B99+$C99)</f>
        <v/>
      </c>
      <c r="E99" s="21">
        <f>IF($A99="","",SUMIFS('Trade Log'!$L$4:$L$503,'Trade Log'!$G$4:$G$503,$A99,'Trade Log'!$C$4:$C$503,"LONG"))</f>
        <v/>
      </c>
      <c r="F99" s="21">
        <f>IF($A99="","",SUMIFS('Trade Log'!$L$4:$L$503,'Trade Log'!$G$4:$G$503,$A99,'Trade Log'!$C$4:$C$503,"SHORT"))</f>
        <v/>
      </c>
      <c r="G99" s="21">
        <f>IF($A99="","",$E99+$F99)</f>
        <v/>
      </c>
    </row>
    <row r="100">
      <c r="A100" s="28">
        <f>IF(A99="","",A99+1)</f>
        <v/>
      </c>
      <c r="B100" s="21">
        <f>IF($A100="","",SUMIFS('Trade Log'!$I$4:$I$503,'Trade Log'!$G$4:$G$503,$A100,'Trade Log'!$C$4:$C$503,"LONG"))</f>
        <v/>
      </c>
      <c r="C100" s="21">
        <f>IF($A100="","",SUMIFS('Trade Log'!$I$4:$I$503,'Trade Log'!$G$4:$G$503,$A100,'Trade Log'!$C$4:$C$503,"SHORT"))</f>
        <v/>
      </c>
      <c r="D100" s="21">
        <f>IF($A100="","",$B100+$C100)</f>
        <v/>
      </c>
      <c r="E100" s="21">
        <f>IF($A100="","",SUMIFS('Trade Log'!$L$4:$L$503,'Trade Log'!$G$4:$G$503,$A100,'Trade Log'!$C$4:$C$503,"LONG"))</f>
        <v/>
      </c>
      <c r="F100" s="21">
        <f>IF($A100="","",SUMIFS('Trade Log'!$L$4:$L$503,'Trade Log'!$G$4:$G$503,$A100,'Trade Log'!$C$4:$C$503,"SHORT"))</f>
        <v/>
      </c>
      <c r="G100" s="21">
        <f>IF($A100="","",$E100+$F100)</f>
        <v/>
      </c>
    </row>
    <row r="101">
      <c r="A101" s="28">
        <f>IF(A100="","",A100+1)</f>
        <v/>
      </c>
      <c r="B101" s="21">
        <f>IF($A101="","",SUMIFS('Trade Log'!$I$4:$I$503,'Trade Log'!$G$4:$G$503,$A101,'Trade Log'!$C$4:$C$503,"LONG"))</f>
        <v/>
      </c>
      <c r="C101" s="21">
        <f>IF($A101="","",SUMIFS('Trade Log'!$I$4:$I$503,'Trade Log'!$G$4:$G$503,$A101,'Trade Log'!$C$4:$C$503,"SHORT"))</f>
        <v/>
      </c>
      <c r="D101" s="21">
        <f>IF($A101="","",$B101+$C101)</f>
        <v/>
      </c>
      <c r="E101" s="21">
        <f>IF($A101="","",SUMIFS('Trade Log'!$L$4:$L$503,'Trade Log'!$G$4:$G$503,$A101,'Trade Log'!$C$4:$C$503,"LONG"))</f>
        <v/>
      </c>
      <c r="F101" s="21">
        <f>IF($A101="","",SUMIFS('Trade Log'!$L$4:$L$503,'Trade Log'!$G$4:$G$503,$A101,'Trade Log'!$C$4:$C$503,"SHORT"))</f>
        <v/>
      </c>
      <c r="G101" s="21">
        <f>IF($A101="","",$E101+$F101)</f>
        <v/>
      </c>
    </row>
    <row r="102">
      <c r="A102" s="28">
        <f>IF(A101="","",A101+1)</f>
        <v/>
      </c>
      <c r="B102" s="21">
        <f>IF($A102="","",SUMIFS('Trade Log'!$I$4:$I$503,'Trade Log'!$G$4:$G$503,$A102,'Trade Log'!$C$4:$C$503,"LONG"))</f>
        <v/>
      </c>
      <c r="C102" s="21">
        <f>IF($A102="","",SUMIFS('Trade Log'!$I$4:$I$503,'Trade Log'!$G$4:$G$503,$A102,'Trade Log'!$C$4:$C$503,"SHORT"))</f>
        <v/>
      </c>
      <c r="D102" s="21">
        <f>IF($A102="","",$B102+$C102)</f>
        <v/>
      </c>
      <c r="E102" s="21">
        <f>IF($A102="","",SUMIFS('Trade Log'!$L$4:$L$503,'Trade Log'!$G$4:$G$503,$A102,'Trade Log'!$C$4:$C$503,"LONG"))</f>
        <v/>
      </c>
      <c r="F102" s="21">
        <f>IF($A102="","",SUMIFS('Trade Log'!$L$4:$L$503,'Trade Log'!$G$4:$G$503,$A102,'Trade Log'!$C$4:$C$503,"SHORT"))</f>
        <v/>
      </c>
      <c r="G102" s="21">
        <f>IF($A102="","",$E102+$F102)</f>
        <v/>
      </c>
    </row>
    <row r="103">
      <c r="A103" s="28">
        <f>IF(A102="","",A102+1)</f>
        <v/>
      </c>
      <c r="B103" s="21">
        <f>IF($A103="","",SUMIFS('Trade Log'!$I$4:$I$503,'Trade Log'!$G$4:$G$503,$A103,'Trade Log'!$C$4:$C$503,"LONG"))</f>
        <v/>
      </c>
      <c r="C103" s="21">
        <f>IF($A103="","",SUMIFS('Trade Log'!$I$4:$I$503,'Trade Log'!$G$4:$G$503,$A103,'Trade Log'!$C$4:$C$503,"SHORT"))</f>
        <v/>
      </c>
      <c r="D103" s="21">
        <f>IF($A103="","",$B103+$C103)</f>
        <v/>
      </c>
      <c r="E103" s="21">
        <f>IF($A103="","",SUMIFS('Trade Log'!$L$4:$L$503,'Trade Log'!$G$4:$G$503,$A103,'Trade Log'!$C$4:$C$503,"LONG"))</f>
        <v/>
      </c>
      <c r="F103" s="21">
        <f>IF($A103="","",SUMIFS('Trade Log'!$L$4:$L$503,'Trade Log'!$G$4:$G$503,$A103,'Trade Log'!$C$4:$C$503,"SHORT"))</f>
        <v/>
      </c>
      <c r="G103" s="21">
        <f>IF($A103="","",$E103+$F103)</f>
        <v/>
      </c>
    </row>
    <row r="104">
      <c r="A104" s="28">
        <f>IF(A103="","",A103+1)</f>
        <v/>
      </c>
      <c r="B104" s="21">
        <f>IF($A104="","",SUMIFS('Trade Log'!$I$4:$I$503,'Trade Log'!$G$4:$G$503,$A104,'Trade Log'!$C$4:$C$503,"LONG"))</f>
        <v/>
      </c>
      <c r="C104" s="21">
        <f>IF($A104="","",SUMIFS('Trade Log'!$I$4:$I$503,'Trade Log'!$G$4:$G$503,$A104,'Trade Log'!$C$4:$C$503,"SHORT"))</f>
        <v/>
      </c>
      <c r="D104" s="21">
        <f>IF($A104="","",$B104+$C104)</f>
        <v/>
      </c>
      <c r="E104" s="21">
        <f>IF($A104="","",SUMIFS('Trade Log'!$L$4:$L$503,'Trade Log'!$G$4:$G$503,$A104,'Trade Log'!$C$4:$C$503,"LONG"))</f>
        <v/>
      </c>
      <c r="F104" s="21">
        <f>IF($A104="","",SUMIFS('Trade Log'!$L$4:$L$503,'Trade Log'!$G$4:$G$503,$A104,'Trade Log'!$C$4:$C$503,"SHORT"))</f>
        <v/>
      </c>
      <c r="G104" s="21">
        <f>IF($A104="","",$E104+$F104)</f>
        <v/>
      </c>
    </row>
    <row r="105">
      <c r="A105" s="28">
        <f>IF(A104="","",A104+1)</f>
        <v/>
      </c>
      <c r="B105" s="21">
        <f>IF($A105="","",SUMIFS('Trade Log'!$I$4:$I$503,'Trade Log'!$G$4:$G$503,$A105,'Trade Log'!$C$4:$C$503,"LONG"))</f>
        <v/>
      </c>
      <c r="C105" s="21">
        <f>IF($A105="","",SUMIFS('Trade Log'!$I$4:$I$503,'Trade Log'!$G$4:$G$503,$A105,'Trade Log'!$C$4:$C$503,"SHORT"))</f>
        <v/>
      </c>
      <c r="D105" s="21">
        <f>IF($A105="","",$B105+$C105)</f>
        <v/>
      </c>
      <c r="E105" s="21">
        <f>IF($A105="","",SUMIFS('Trade Log'!$L$4:$L$503,'Trade Log'!$G$4:$G$503,$A105,'Trade Log'!$C$4:$C$503,"LONG"))</f>
        <v/>
      </c>
      <c r="F105" s="21">
        <f>IF($A105="","",SUMIFS('Trade Log'!$L$4:$L$503,'Trade Log'!$G$4:$G$503,$A105,'Trade Log'!$C$4:$C$503,"SHORT"))</f>
        <v/>
      </c>
      <c r="G105" s="21">
        <f>IF($A105="","",$E105+$F105)</f>
        <v/>
      </c>
    </row>
    <row r="106">
      <c r="A106" s="28">
        <f>IF(A105="","",A105+1)</f>
        <v/>
      </c>
      <c r="B106" s="21">
        <f>IF($A106="","",SUMIFS('Trade Log'!$I$4:$I$503,'Trade Log'!$G$4:$G$503,$A106,'Trade Log'!$C$4:$C$503,"LONG"))</f>
        <v/>
      </c>
      <c r="C106" s="21">
        <f>IF($A106="","",SUMIFS('Trade Log'!$I$4:$I$503,'Trade Log'!$G$4:$G$503,$A106,'Trade Log'!$C$4:$C$503,"SHORT"))</f>
        <v/>
      </c>
      <c r="D106" s="21">
        <f>IF($A106="","",$B106+$C106)</f>
        <v/>
      </c>
      <c r="E106" s="21">
        <f>IF($A106="","",SUMIFS('Trade Log'!$L$4:$L$503,'Trade Log'!$G$4:$G$503,$A106,'Trade Log'!$C$4:$C$503,"LONG"))</f>
        <v/>
      </c>
      <c r="F106" s="21">
        <f>IF($A106="","",SUMIFS('Trade Log'!$L$4:$L$503,'Trade Log'!$G$4:$G$503,$A106,'Trade Log'!$C$4:$C$503,"SHORT"))</f>
        <v/>
      </c>
      <c r="G106" s="21">
        <f>IF($A106="","",$E106+$F106)</f>
        <v/>
      </c>
    </row>
    <row r="107">
      <c r="A107" s="28">
        <f>IF(A106="","",A106+1)</f>
        <v/>
      </c>
      <c r="B107" s="21">
        <f>IF($A107="","",SUMIFS('Trade Log'!$I$4:$I$503,'Trade Log'!$G$4:$G$503,$A107,'Trade Log'!$C$4:$C$503,"LONG"))</f>
        <v/>
      </c>
      <c r="C107" s="21">
        <f>IF($A107="","",SUMIFS('Trade Log'!$I$4:$I$503,'Trade Log'!$G$4:$G$503,$A107,'Trade Log'!$C$4:$C$503,"SHORT"))</f>
        <v/>
      </c>
      <c r="D107" s="21">
        <f>IF($A107="","",$B107+$C107)</f>
        <v/>
      </c>
      <c r="E107" s="21">
        <f>IF($A107="","",SUMIFS('Trade Log'!$L$4:$L$503,'Trade Log'!$G$4:$G$503,$A107,'Trade Log'!$C$4:$C$503,"LONG"))</f>
        <v/>
      </c>
      <c r="F107" s="21">
        <f>IF($A107="","",SUMIFS('Trade Log'!$L$4:$L$503,'Trade Log'!$G$4:$G$503,$A107,'Trade Log'!$C$4:$C$503,"SHORT"))</f>
        <v/>
      </c>
      <c r="G107" s="21">
        <f>IF($A107="","",$E107+$F107)</f>
        <v/>
      </c>
    </row>
    <row r="108">
      <c r="A108" s="28">
        <f>IF(A107="","",A107+1)</f>
        <v/>
      </c>
      <c r="B108" s="21">
        <f>IF($A108="","",SUMIFS('Trade Log'!$I$4:$I$503,'Trade Log'!$G$4:$G$503,$A108,'Trade Log'!$C$4:$C$503,"LONG"))</f>
        <v/>
      </c>
      <c r="C108" s="21">
        <f>IF($A108="","",SUMIFS('Trade Log'!$I$4:$I$503,'Trade Log'!$G$4:$G$503,$A108,'Trade Log'!$C$4:$C$503,"SHORT"))</f>
        <v/>
      </c>
      <c r="D108" s="21">
        <f>IF($A108="","",$B108+$C108)</f>
        <v/>
      </c>
      <c r="E108" s="21">
        <f>IF($A108="","",SUMIFS('Trade Log'!$L$4:$L$503,'Trade Log'!$G$4:$G$503,$A108,'Trade Log'!$C$4:$C$503,"LONG"))</f>
        <v/>
      </c>
      <c r="F108" s="21">
        <f>IF($A108="","",SUMIFS('Trade Log'!$L$4:$L$503,'Trade Log'!$G$4:$G$503,$A108,'Trade Log'!$C$4:$C$503,"SHORT"))</f>
        <v/>
      </c>
      <c r="G108" s="21">
        <f>IF($A108="","",$E108+$F108)</f>
        <v/>
      </c>
    </row>
    <row r="109">
      <c r="A109" s="28">
        <f>IF(A108="","",A108+1)</f>
        <v/>
      </c>
      <c r="B109" s="21">
        <f>IF($A109="","",SUMIFS('Trade Log'!$I$4:$I$503,'Trade Log'!$G$4:$G$503,$A109,'Trade Log'!$C$4:$C$503,"LONG"))</f>
        <v/>
      </c>
      <c r="C109" s="21">
        <f>IF($A109="","",SUMIFS('Trade Log'!$I$4:$I$503,'Trade Log'!$G$4:$G$503,$A109,'Trade Log'!$C$4:$C$503,"SHORT"))</f>
        <v/>
      </c>
      <c r="D109" s="21">
        <f>IF($A109="","",$B109+$C109)</f>
        <v/>
      </c>
      <c r="E109" s="21">
        <f>IF($A109="","",SUMIFS('Trade Log'!$L$4:$L$503,'Trade Log'!$G$4:$G$503,$A109,'Trade Log'!$C$4:$C$503,"LONG"))</f>
        <v/>
      </c>
      <c r="F109" s="21">
        <f>IF($A109="","",SUMIFS('Trade Log'!$L$4:$L$503,'Trade Log'!$G$4:$G$503,$A109,'Trade Log'!$C$4:$C$503,"SHORT"))</f>
        <v/>
      </c>
      <c r="G109" s="21">
        <f>IF($A109="","",$E109+$F109)</f>
        <v/>
      </c>
    </row>
    <row r="110">
      <c r="A110" s="28">
        <f>IF(A109="","",A109+1)</f>
        <v/>
      </c>
      <c r="B110" s="21">
        <f>IF($A110="","",SUMIFS('Trade Log'!$I$4:$I$503,'Trade Log'!$G$4:$G$503,$A110,'Trade Log'!$C$4:$C$503,"LONG"))</f>
        <v/>
      </c>
      <c r="C110" s="21">
        <f>IF($A110="","",SUMIFS('Trade Log'!$I$4:$I$503,'Trade Log'!$G$4:$G$503,$A110,'Trade Log'!$C$4:$C$503,"SHORT"))</f>
        <v/>
      </c>
      <c r="D110" s="21">
        <f>IF($A110="","",$B110+$C110)</f>
        <v/>
      </c>
      <c r="E110" s="21">
        <f>IF($A110="","",SUMIFS('Trade Log'!$L$4:$L$503,'Trade Log'!$G$4:$G$503,$A110,'Trade Log'!$C$4:$C$503,"LONG"))</f>
        <v/>
      </c>
      <c r="F110" s="21">
        <f>IF($A110="","",SUMIFS('Trade Log'!$L$4:$L$503,'Trade Log'!$G$4:$G$503,$A110,'Trade Log'!$C$4:$C$503,"SHORT"))</f>
        <v/>
      </c>
      <c r="G110" s="21">
        <f>IF($A110="","",$E110+$F110)</f>
        <v/>
      </c>
    </row>
    <row r="111">
      <c r="A111" s="28">
        <f>IF(A110="","",A110+1)</f>
        <v/>
      </c>
      <c r="B111" s="21">
        <f>IF($A111="","",SUMIFS('Trade Log'!$I$4:$I$503,'Trade Log'!$G$4:$G$503,$A111,'Trade Log'!$C$4:$C$503,"LONG"))</f>
        <v/>
      </c>
      <c r="C111" s="21">
        <f>IF($A111="","",SUMIFS('Trade Log'!$I$4:$I$503,'Trade Log'!$G$4:$G$503,$A111,'Trade Log'!$C$4:$C$503,"SHORT"))</f>
        <v/>
      </c>
      <c r="D111" s="21">
        <f>IF($A111="","",$B111+$C111)</f>
        <v/>
      </c>
      <c r="E111" s="21">
        <f>IF($A111="","",SUMIFS('Trade Log'!$L$4:$L$503,'Trade Log'!$G$4:$G$503,$A111,'Trade Log'!$C$4:$C$503,"LONG"))</f>
        <v/>
      </c>
      <c r="F111" s="21">
        <f>IF($A111="","",SUMIFS('Trade Log'!$L$4:$L$503,'Trade Log'!$G$4:$G$503,$A111,'Trade Log'!$C$4:$C$503,"SHORT"))</f>
        <v/>
      </c>
      <c r="G111" s="21">
        <f>IF($A111="","",$E111+$F111)</f>
        <v/>
      </c>
    </row>
    <row r="112">
      <c r="A112" s="28">
        <f>IF(A111="","",A111+1)</f>
        <v/>
      </c>
      <c r="B112" s="21">
        <f>IF($A112="","",SUMIFS('Trade Log'!$I$4:$I$503,'Trade Log'!$G$4:$G$503,$A112,'Trade Log'!$C$4:$C$503,"LONG"))</f>
        <v/>
      </c>
      <c r="C112" s="21">
        <f>IF($A112="","",SUMIFS('Trade Log'!$I$4:$I$503,'Trade Log'!$G$4:$G$503,$A112,'Trade Log'!$C$4:$C$503,"SHORT"))</f>
        <v/>
      </c>
      <c r="D112" s="21">
        <f>IF($A112="","",$B112+$C112)</f>
        <v/>
      </c>
      <c r="E112" s="21">
        <f>IF($A112="","",SUMIFS('Trade Log'!$L$4:$L$503,'Trade Log'!$G$4:$G$503,$A112,'Trade Log'!$C$4:$C$503,"LONG"))</f>
        <v/>
      </c>
      <c r="F112" s="21">
        <f>IF($A112="","",SUMIFS('Trade Log'!$L$4:$L$503,'Trade Log'!$G$4:$G$503,$A112,'Trade Log'!$C$4:$C$503,"SHORT"))</f>
        <v/>
      </c>
      <c r="G112" s="21">
        <f>IF($A112="","",$E112+$F112)</f>
        <v/>
      </c>
    </row>
    <row r="113">
      <c r="A113" s="28">
        <f>IF(A112="","",A112+1)</f>
        <v/>
      </c>
      <c r="B113" s="21">
        <f>IF($A113="","",SUMIFS('Trade Log'!$I$4:$I$503,'Trade Log'!$G$4:$G$503,$A113,'Trade Log'!$C$4:$C$503,"LONG"))</f>
        <v/>
      </c>
      <c r="C113" s="21">
        <f>IF($A113="","",SUMIFS('Trade Log'!$I$4:$I$503,'Trade Log'!$G$4:$G$503,$A113,'Trade Log'!$C$4:$C$503,"SHORT"))</f>
        <v/>
      </c>
      <c r="D113" s="21">
        <f>IF($A113="","",$B113+$C113)</f>
        <v/>
      </c>
      <c r="E113" s="21">
        <f>IF($A113="","",SUMIFS('Trade Log'!$L$4:$L$503,'Trade Log'!$G$4:$G$503,$A113,'Trade Log'!$C$4:$C$503,"LONG"))</f>
        <v/>
      </c>
      <c r="F113" s="21">
        <f>IF($A113="","",SUMIFS('Trade Log'!$L$4:$L$503,'Trade Log'!$G$4:$G$503,$A113,'Trade Log'!$C$4:$C$503,"SHORT"))</f>
        <v/>
      </c>
      <c r="G113" s="21">
        <f>IF($A113="","",$E113+$F113)</f>
        <v/>
      </c>
    </row>
    <row r="114">
      <c r="A114" s="28">
        <f>IF(A113="","",A113+1)</f>
        <v/>
      </c>
      <c r="B114" s="21">
        <f>IF($A114="","",SUMIFS('Trade Log'!$I$4:$I$503,'Trade Log'!$G$4:$G$503,$A114,'Trade Log'!$C$4:$C$503,"LONG"))</f>
        <v/>
      </c>
      <c r="C114" s="21">
        <f>IF($A114="","",SUMIFS('Trade Log'!$I$4:$I$503,'Trade Log'!$G$4:$G$503,$A114,'Trade Log'!$C$4:$C$503,"SHORT"))</f>
        <v/>
      </c>
      <c r="D114" s="21">
        <f>IF($A114="","",$B114+$C114)</f>
        <v/>
      </c>
      <c r="E114" s="21">
        <f>IF($A114="","",SUMIFS('Trade Log'!$L$4:$L$503,'Trade Log'!$G$4:$G$503,$A114,'Trade Log'!$C$4:$C$503,"LONG"))</f>
        <v/>
      </c>
      <c r="F114" s="21">
        <f>IF($A114="","",SUMIFS('Trade Log'!$L$4:$L$503,'Trade Log'!$G$4:$G$503,$A114,'Trade Log'!$C$4:$C$503,"SHORT"))</f>
        <v/>
      </c>
      <c r="G114" s="21">
        <f>IF($A114="","",$E114+$F114)</f>
        <v/>
      </c>
    </row>
    <row r="115">
      <c r="A115" s="28">
        <f>IF(A114="","",A114+1)</f>
        <v/>
      </c>
      <c r="B115" s="21">
        <f>IF($A115="","",SUMIFS('Trade Log'!$I$4:$I$503,'Trade Log'!$G$4:$G$503,$A115,'Trade Log'!$C$4:$C$503,"LONG"))</f>
        <v/>
      </c>
      <c r="C115" s="21">
        <f>IF($A115="","",SUMIFS('Trade Log'!$I$4:$I$503,'Trade Log'!$G$4:$G$503,$A115,'Trade Log'!$C$4:$C$503,"SHORT"))</f>
        <v/>
      </c>
      <c r="D115" s="21">
        <f>IF($A115="","",$B115+$C115)</f>
        <v/>
      </c>
      <c r="E115" s="21">
        <f>IF($A115="","",SUMIFS('Trade Log'!$L$4:$L$503,'Trade Log'!$G$4:$G$503,$A115,'Trade Log'!$C$4:$C$503,"LONG"))</f>
        <v/>
      </c>
      <c r="F115" s="21">
        <f>IF($A115="","",SUMIFS('Trade Log'!$L$4:$L$503,'Trade Log'!$G$4:$G$503,$A115,'Trade Log'!$C$4:$C$503,"SHORT"))</f>
        <v/>
      </c>
      <c r="G115" s="21">
        <f>IF($A115="","",$E115+$F115)</f>
        <v/>
      </c>
    </row>
    <row r="116">
      <c r="A116" s="28">
        <f>IF(A115="","",A115+1)</f>
        <v/>
      </c>
      <c r="B116" s="21">
        <f>IF($A116="","",SUMIFS('Trade Log'!$I$4:$I$503,'Trade Log'!$G$4:$G$503,$A116,'Trade Log'!$C$4:$C$503,"LONG"))</f>
        <v/>
      </c>
      <c r="C116" s="21">
        <f>IF($A116="","",SUMIFS('Trade Log'!$I$4:$I$503,'Trade Log'!$G$4:$G$503,$A116,'Trade Log'!$C$4:$C$503,"SHORT"))</f>
        <v/>
      </c>
      <c r="D116" s="21">
        <f>IF($A116="","",$B116+$C116)</f>
        <v/>
      </c>
      <c r="E116" s="21">
        <f>IF($A116="","",SUMIFS('Trade Log'!$L$4:$L$503,'Trade Log'!$G$4:$G$503,$A116,'Trade Log'!$C$4:$C$503,"LONG"))</f>
        <v/>
      </c>
      <c r="F116" s="21">
        <f>IF($A116="","",SUMIFS('Trade Log'!$L$4:$L$503,'Trade Log'!$G$4:$G$503,$A116,'Trade Log'!$C$4:$C$503,"SHORT"))</f>
        <v/>
      </c>
      <c r="G116" s="21">
        <f>IF($A116="","",$E116+$F116)</f>
        <v/>
      </c>
    </row>
    <row r="117">
      <c r="A117" s="28">
        <f>IF(A116="","",A116+1)</f>
        <v/>
      </c>
      <c r="B117" s="21">
        <f>IF($A117="","",SUMIFS('Trade Log'!$I$4:$I$503,'Trade Log'!$G$4:$G$503,$A117,'Trade Log'!$C$4:$C$503,"LONG"))</f>
        <v/>
      </c>
      <c r="C117" s="21">
        <f>IF($A117="","",SUMIFS('Trade Log'!$I$4:$I$503,'Trade Log'!$G$4:$G$503,$A117,'Trade Log'!$C$4:$C$503,"SHORT"))</f>
        <v/>
      </c>
      <c r="D117" s="21">
        <f>IF($A117="","",$B117+$C117)</f>
        <v/>
      </c>
      <c r="E117" s="21">
        <f>IF($A117="","",SUMIFS('Trade Log'!$L$4:$L$503,'Trade Log'!$G$4:$G$503,$A117,'Trade Log'!$C$4:$C$503,"LONG"))</f>
        <v/>
      </c>
      <c r="F117" s="21">
        <f>IF($A117="","",SUMIFS('Trade Log'!$L$4:$L$503,'Trade Log'!$G$4:$G$503,$A117,'Trade Log'!$C$4:$C$503,"SHORT"))</f>
        <v/>
      </c>
      <c r="G117" s="21">
        <f>IF($A117="","",$E117+$F117)</f>
        <v/>
      </c>
    </row>
    <row r="118">
      <c r="A118" s="28">
        <f>IF(A117="","",A117+1)</f>
        <v/>
      </c>
      <c r="B118" s="21">
        <f>IF($A118="","",SUMIFS('Trade Log'!$I$4:$I$503,'Trade Log'!$G$4:$G$503,$A118,'Trade Log'!$C$4:$C$503,"LONG"))</f>
        <v/>
      </c>
      <c r="C118" s="21">
        <f>IF($A118="","",SUMIFS('Trade Log'!$I$4:$I$503,'Trade Log'!$G$4:$G$503,$A118,'Trade Log'!$C$4:$C$503,"SHORT"))</f>
        <v/>
      </c>
      <c r="D118" s="21">
        <f>IF($A118="","",$B118+$C118)</f>
        <v/>
      </c>
      <c r="E118" s="21">
        <f>IF($A118="","",SUMIFS('Trade Log'!$L$4:$L$503,'Trade Log'!$G$4:$G$503,$A118,'Trade Log'!$C$4:$C$503,"LONG"))</f>
        <v/>
      </c>
      <c r="F118" s="21">
        <f>IF($A118="","",SUMIFS('Trade Log'!$L$4:$L$503,'Trade Log'!$G$4:$G$503,$A118,'Trade Log'!$C$4:$C$503,"SHORT"))</f>
        <v/>
      </c>
      <c r="G118" s="21">
        <f>IF($A118="","",$E118+$F118)</f>
        <v/>
      </c>
    </row>
    <row r="119">
      <c r="A119" s="28">
        <f>IF(A118="","",A118+1)</f>
        <v/>
      </c>
      <c r="B119" s="21">
        <f>IF($A119="","",SUMIFS('Trade Log'!$I$4:$I$503,'Trade Log'!$G$4:$G$503,$A119,'Trade Log'!$C$4:$C$503,"LONG"))</f>
        <v/>
      </c>
      <c r="C119" s="21">
        <f>IF($A119="","",SUMIFS('Trade Log'!$I$4:$I$503,'Trade Log'!$G$4:$G$503,$A119,'Trade Log'!$C$4:$C$503,"SHORT"))</f>
        <v/>
      </c>
      <c r="D119" s="21">
        <f>IF($A119="","",$B119+$C119)</f>
        <v/>
      </c>
      <c r="E119" s="21">
        <f>IF($A119="","",SUMIFS('Trade Log'!$L$4:$L$503,'Trade Log'!$G$4:$G$503,$A119,'Trade Log'!$C$4:$C$503,"LONG"))</f>
        <v/>
      </c>
      <c r="F119" s="21">
        <f>IF($A119="","",SUMIFS('Trade Log'!$L$4:$L$503,'Trade Log'!$G$4:$G$503,$A119,'Trade Log'!$C$4:$C$503,"SHORT"))</f>
        <v/>
      </c>
      <c r="G119" s="21">
        <f>IF($A119="","",$E119+$F119)</f>
        <v/>
      </c>
    </row>
    <row r="120">
      <c r="A120" s="28">
        <f>IF(A119="","",A119+1)</f>
        <v/>
      </c>
      <c r="B120" s="21">
        <f>IF($A120="","",SUMIFS('Trade Log'!$I$4:$I$503,'Trade Log'!$G$4:$G$503,$A120,'Trade Log'!$C$4:$C$503,"LONG"))</f>
        <v/>
      </c>
      <c r="C120" s="21">
        <f>IF($A120="","",SUMIFS('Trade Log'!$I$4:$I$503,'Trade Log'!$G$4:$G$503,$A120,'Trade Log'!$C$4:$C$503,"SHORT"))</f>
        <v/>
      </c>
      <c r="D120" s="21">
        <f>IF($A120="","",$B120+$C120)</f>
        <v/>
      </c>
      <c r="E120" s="21">
        <f>IF($A120="","",SUMIFS('Trade Log'!$L$4:$L$503,'Trade Log'!$G$4:$G$503,$A120,'Trade Log'!$C$4:$C$503,"LONG"))</f>
        <v/>
      </c>
      <c r="F120" s="21">
        <f>IF($A120="","",SUMIFS('Trade Log'!$L$4:$L$503,'Trade Log'!$G$4:$G$503,$A120,'Trade Log'!$C$4:$C$503,"SHORT"))</f>
        <v/>
      </c>
      <c r="G120" s="21">
        <f>IF($A120="","",$E120+$F120)</f>
        <v/>
      </c>
    </row>
    <row r="121">
      <c r="A121" s="28">
        <f>IF(A120="","",A120+1)</f>
        <v/>
      </c>
      <c r="B121" s="21">
        <f>IF($A121="","",SUMIFS('Trade Log'!$I$4:$I$503,'Trade Log'!$G$4:$G$503,$A121,'Trade Log'!$C$4:$C$503,"LONG"))</f>
        <v/>
      </c>
      <c r="C121" s="21">
        <f>IF($A121="","",SUMIFS('Trade Log'!$I$4:$I$503,'Trade Log'!$G$4:$G$503,$A121,'Trade Log'!$C$4:$C$503,"SHORT"))</f>
        <v/>
      </c>
      <c r="D121" s="21">
        <f>IF($A121="","",$B121+$C121)</f>
        <v/>
      </c>
      <c r="E121" s="21">
        <f>IF($A121="","",SUMIFS('Trade Log'!$L$4:$L$503,'Trade Log'!$G$4:$G$503,$A121,'Trade Log'!$C$4:$C$503,"LONG"))</f>
        <v/>
      </c>
      <c r="F121" s="21">
        <f>IF($A121="","",SUMIFS('Trade Log'!$L$4:$L$503,'Trade Log'!$G$4:$G$503,$A121,'Trade Log'!$C$4:$C$503,"SHORT"))</f>
        <v/>
      </c>
      <c r="G121" s="21">
        <f>IF($A121="","",$E121+$F121)</f>
        <v/>
      </c>
    </row>
    <row r="122">
      <c r="A122" s="28">
        <f>IF(A121="","",A121+1)</f>
        <v/>
      </c>
      <c r="B122" s="21">
        <f>IF($A122="","",SUMIFS('Trade Log'!$I$4:$I$503,'Trade Log'!$G$4:$G$503,$A122,'Trade Log'!$C$4:$C$503,"LONG"))</f>
        <v/>
      </c>
      <c r="C122" s="21">
        <f>IF($A122="","",SUMIFS('Trade Log'!$I$4:$I$503,'Trade Log'!$G$4:$G$503,$A122,'Trade Log'!$C$4:$C$503,"SHORT"))</f>
        <v/>
      </c>
      <c r="D122" s="21">
        <f>IF($A122="","",$B122+$C122)</f>
        <v/>
      </c>
      <c r="E122" s="21">
        <f>IF($A122="","",SUMIFS('Trade Log'!$L$4:$L$503,'Trade Log'!$G$4:$G$503,$A122,'Trade Log'!$C$4:$C$503,"LONG"))</f>
        <v/>
      </c>
      <c r="F122" s="21">
        <f>IF($A122="","",SUMIFS('Trade Log'!$L$4:$L$503,'Trade Log'!$G$4:$G$503,$A122,'Trade Log'!$C$4:$C$503,"SHORT"))</f>
        <v/>
      </c>
      <c r="G122" s="21">
        <f>IF($A122="","",$E122+$F122)</f>
        <v/>
      </c>
    </row>
    <row r="123">
      <c r="A123" s="28">
        <f>IF(A122="","",A122+1)</f>
        <v/>
      </c>
      <c r="B123" s="21">
        <f>IF($A123="","",SUMIFS('Trade Log'!$I$4:$I$503,'Trade Log'!$G$4:$G$503,$A123,'Trade Log'!$C$4:$C$503,"LONG"))</f>
        <v/>
      </c>
      <c r="C123" s="21">
        <f>IF($A123="","",SUMIFS('Trade Log'!$I$4:$I$503,'Trade Log'!$G$4:$G$503,$A123,'Trade Log'!$C$4:$C$503,"SHORT"))</f>
        <v/>
      </c>
      <c r="D123" s="21">
        <f>IF($A123="","",$B123+$C123)</f>
        <v/>
      </c>
      <c r="E123" s="21">
        <f>IF($A123="","",SUMIFS('Trade Log'!$L$4:$L$503,'Trade Log'!$G$4:$G$503,$A123,'Trade Log'!$C$4:$C$503,"LONG"))</f>
        <v/>
      </c>
      <c r="F123" s="21">
        <f>IF($A123="","",SUMIFS('Trade Log'!$L$4:$L$503,'Trade Log'!$G$4:$G$503,$A123,'Trade Log'!$C$4:$C$503,"SHORT"))</f>
        <v/>
      </c>
      <c r="G123" s="21">
        <f>IF($A123="","",$E123+$F123)</f>
        <v/>
      </c>
    </row>
    <row r="124">
      <c r="A124" s="28">
        <f>IF(A123="","",A123+1)</f>
        <v/>
      </c>
      <c r="B124" s="21">
        <f>IF($A124="","",SUMIFS('Trade Log'!$I$4:$I$503,'Trade Log'!$G$4:$G$503,$A124,'Trade Log'!$C$4:$C$503,"LONG"))</f>
        <v/>
      </c>
      <c r="C124" s="21">
        <f>IF($A124="","",SUMIFS('Trade Log'!$I$4:$I$503,'Trade Log'!$G$4:$G$503,$A124,'Trade Log'!$C$4:$C$503,"SHORT"))</f>
        <v/>
      </c>
      <c r="D124" s="21">
        <f>IF($A124="","",$B124+$C124)</f>
        <v/>
      </c>
      <c r="E124" s="21">
        <f>IF($A124="","",SUMIFS('Trade Log'!$L$4:$L$503,'Trade Log'!$G$4:$G$503,$A124,'Trade Log'!$C$4:$C$503,"LONG"))</f>
        <v/>
      </c>
      <c r="F124" s="21">
        <f>IF($A124="","",SUMIFS('Trade Log'!$L$4:$L$503,'Trade Log'!$G$4:$G$503,$A124,'Trade Log'!$C$4:$C$503,"SHORT"))</f>
        <v/>
      </c>
      <c r="G124" s="21">
        <f>IF($A124="","",$E124+$F124)</f>
        <v/>
      </c>
    </row>
    <row r="125">
      <c r="A125" s="28">
        <f>IF(A124="","",A124+1)</f>
        <v/>
      </c>
      <c r="B125" s="21">
        <f>IF($A125="","",SUMIFS('Trade Log'!$I$4:$I$503,'Trade Log'!$G$4:$G$503,$A125,'Trade Log'!$C$4:$C$503,"LONG"))</f>
        <v/>
      </c>
      <c r="C125" s="21">
        <f>IF($A125="","",SUMIFS('Trade Log'!$I$4:$I$503,'Trade Log'!$G$4:$G$503,$A125,'Trade Log'!$C$4:$C$503,"SHORT"))</f>
        <v/>
      </c>
      <c r="D125" s="21">
        <f>IF($A125="","",$B125+$C125)</f>
        <v/>
      </c>
      <c r="E125" s="21">
        <f>IF($A125="","",SUMIFS('Trade Log'!$L$4:$L$503,'Trade Log'!$G$4:$G$503,$A125,'Trade Log'!$C$4:$C$503,"LONG"))</f>
        <v/>
      </c>
      <c r="F125" s="21">
        <f>IF($A125="","",SUMIFS('Trade Log'!$L$4:$L$503,'Trade Log'!$G$4:$G$503,$A125,'Trade Log'!$C$4:$C$503,"SHORT"))</f>
        <v/>
      </c>
      <c r="G125" s="21">
        <f>IF($A125="","",$E125+$F125)</f>
        <v/>
      </c>
    </row>
    <row r="126">
      <c r="A126" s="28">
        <f>IF(A125="","",A125+1)</f>
        <v/>
      </c>
      <c r="B126" s="21">
        <f>IF($A126="","",SUMIFS('Trade Log'!$I$4:$I$503,'Trade Log'!$G$4:$G$503,$A126,'Trade Log'!$C$4:$C$503,"LONG"))</f>
        <v/>
      </c>
      <c r="C126" s="21">
        <f>IF($A126="","",SUMIFS('Trade Log'!$I$4:$I$503,'Trade Log'!$G$4:$G$503,$A126,'Trade Log'!$C$4:$C$503,"SHORT"))</f>
        <v/>
      </c>
      <c r="D126" s="21">
        <f>IF($A126="","",$B126+$C126)</f>
        <v/>
      </c>
      <c r="E126" s="21">
        <f>IF($A126="","",SUMIFS('Trade Log'!$L$4:$L$503,'Trade Log'!$G$4:$G$503,$A126,'Trade Log'!$C$4:$C$503,"LONG"))</f>
        <v/>
      </c>
      <c r="F126" s="21">
        <f>IF($A126="","",SUMIFS('Trade Log'!$L$4:$L$503,'Trade Log'!$G$4:$G$503,$A126,'Trade Log'!$C$4:$C$503,"SHORT"))</f>
        <v/>
      </c>
      <c r="G126" s="21">
        <f>IF($A126="","",$E126+$F126)</f>
        <v/>
      </c>
    </row>
    <row r="127">
      <c r="A127" s="28">
        <f>IF(A126="","",A126+1)</f>
        <v/>
      </c>
      <c r="B127" s="21">
        <f>IF($A127="","",SUMIFS('Trade Log'!$I$4:$I$503,'Trade Log'!$G$4:$G$503,$A127,'Trade Log'!$C$4:$C$503,"LONG"))</f>
        <v/>
      </c>
      <c r="C127" s="21">
        <f>IF($A127="","",SUMIFS('Trade Log'!$I$4:$I$503,'Trade Log'!$G$4:$G$503,$A127,'Trade Log'!$C$4:$C$503,"SHORT"))</f>
        <v/>
      </c>
      <c r="D127" s="21">
        <f>IF($A127="","",$B127+$C127)</f>
        <v/>
      </c>
      <c r="E127" s="21">
        <f>IF($A127="","",SUMIFS('Trade Log'!$L$4:$L$503,'Trade Log'!$G$4:$G$503,$A127,'Trade Log'!$C$4:$C$503,"LONG"))</f>
        <v/>
      </c>
      <c r="F127" s="21">
        <f>IF($A127="","",SUMIFS('Trade Log'!$L$4:$L$503,'Trade Log'!$G$4:$G$503,$A127,'Trade Log'!$C$4:$C$503,"SHORT"))</f>
        <v/>
      </c>
      <c r="G127" s="21">
        <f>IF($A127="","",$E127+$F127)</f>
        <v/>
      </c>
    </row>
    <row r="128">
      <c r="A128" s="28">
        <f>IF(A127="","",A127+1)</f>
        <v/>
      </c>
      <c r="B128" s="21">
        <f>IF($A128="","",SUMIFS('Trade Log'!$I$4:$I$503,'Trade Log'!$G$4:$G$503,$A128,'Trade Log'!$C$4:$C$503,"LONG"))</f>
        <v/>
      </c>
      <c r="C128" s="21">
        <f>IF($A128="","",SUMIFS('Trade Log'!$I$4:$I$503,'Trade Log'!$G$4:$G$503,$A128,'Trade Log'!$C$4:$C$503,"SHORT"))</f>
        <v/>
      </c>
      <c r="D128" s="21">
        <f>IF($A128="","",$B128+$C128)</f>
        <v/>
      </c>
      <c r="E128" s="21">
        <f>IF($A128="","",SUMIFS('Trade Log'!$L$4:$L$503,'Trade Log'!$G$4:$G$503,$A128,'Trade Log'!$C$4:$C$503,"LONG"))</f>
        <v/>
      </c>
      <c r="F128" s="21">
        <f>IF($A128="","",SUMIFS('Trade Log'!$L$4:$L$503,'Trade Log'!$G$4:$G$503,$A128,'Trade Log'!$C$4:$C$503,"SHORT"))</f>
        <v/>
      </c>
      <c r="G128" s="21">
        <f>IF($A128="","",$E128+$F128)</f>
        <v/>
      </c>
    </row>
    <row r="129">
      <c r="A129" s="28">
        <f>IF(A128="","",A128+1)</f>
        <v/>
      </c>
      <c r="B129" s="21">
        <f>IF($A129="","",SUMIFS('Trade Log'!$I$4:$I$503,'Trade Log'!$G$4:$G$503,$A129,'Trade Log'!$C$4:$C$503,"LONG"))</f>
        <v/>
      </c>
      <c r="C129" s="21">
        <f>IF($A129="","",SUMIFS('Trade Log'!$I$4:$I$503,'Trade Log'!$G$4:$G$503,$A129,'Trade Log'!$C$4:$C$503,"SHORT"))</f>
        <v/>
      </c>
      <c r="D129" s="21">
        <f>IF($A129="","",$B129+$C129)</f>
        <v/>
      </c>
      <c r="E129" s="21">
        <f>IF($A129="","",SUMIFS('Trade Log'!$L$4:$L$503,'Trade Log'!$G$4:$G$503,$A129,'Trade Log'!$C$4:$C$503,"LONG"))</f>
        <v/>
      </c>
      <c r="F129" s="21">
        <f>IF($A129="","",SUMIFS('Trade Log'!$L$4:$L$503,'Trade Log'!$G$4:$G$503,$A129,'Trade Log'!$C$4:$C$503,"SHORT"))</f>
        <v/>
      </c>
      <c r="G129" s="21">
        <f>IF($A129="","",$E129+$F129)</f>
        <v/>
      </c>
    </row>
    <row r="130">
      <c r="A130" s="28">
        <f>IF(A129="","",A129+1)</f>
        <v/>
      </c>
      <c r="B130" s="21">
        <f>IF($A130="","",SUMIFS('Trade Log'!$I$4:$I$503,'Trade Log'!$G$4:$G$503,$A130,'Trade Log'!$C$4:$C$503,"LONG"))</f>
        <v/>
      </c>
      <c r="C130" s="21">
        <f>IF($A130="","",SUMIFS('Trade Log'!$I$4:$I$503,'Trade Log'!$G$4:$G$503,$A130,'Trade Log'!$C$4:$C$503,"SHORT"))</f>
        <v/>
      </c>
      <c r="D130" s="21">
        <f>IF($A130="","",$B130+$C130)</f>
        <v/>
      </c>
      <c r="E130" s="21">
        <f>IF($A130="","",SUMIFS('Trade Log'!$L$4:$L$503,'Trade Log'!$G$4:$G$503,$A130,'Trade Log'!$C$4:$C$503,"LONG"))</f>
        <v/>
      </c>
      <c r="F130" s="21">
        <f>IF($A130="","",SUMIFS('Trade Log'!$L$4:$L$503,'Trade Log'!$G$4:$G$503,$A130,'Trade Log'!$C$4:$C$503,"SHORT"))</f>
        <v/>
      </c>
      <c r="G130" s="21">
        <f>IF($A130="","",$E130+$F130)</f>
        <v/>
      </c>
    </row>
    <row r="131">
      <c r="A131" s="28">
        <f>IF(A130="","",A130+1)</f>
        <v/>
      </c>
      <c r="B131" s="21">
        <f>IF($A131="","",SUMIFS('Trade Log'!$I$4:$I$503,'Trade Log'!$G$4:$G$503,$A131,'Trade Log'!$C$4:$C$503,"LONG"))</f>
        <v/>
      </c>
      <c r="C131" s="21">
        <f>IF($A131="","",SUMIFS('Trade Log'!$I$4:$I$503,'Trade Log'!$G$4:$G$503,$A131,'Trade Log'!$C$4:$C$503,"SHORT"))</f>
        <v/>
      </c>
      <c r="D131" s="21">
        <f>IF($A131="","",$B131+$C131)</f>
        <v/>
      </c>
      <c r="E131" s="21">
        <f>IF($A131="","",SUMIFS('Trade Log'!$L$4:$L$503,'Trade Log'!$G$4:$G$503,$A131,'Trade Log'!$C$4:$C$503,"LONG"))</f>
        <v/>
      </c>
      <c r="F131" s="21">
        <f>IF($A131="","",SUMIFS('Trade Log'!$L$4:$L$503,'Trade Log'!$G$4:$G$503,$A131,'Trade Log'!$C$4:$C$503,"SHORT"))</f>
        <v/>
      </c>
      <c r="G131" s="21">
        <f>IF($A131="","",$E131+$F131)</f>
        <v/>
      </c>
    </row>
    <row r="132">
      <c r="A132" s="28">
        <f>IF(A131="","",A131+1)</f>
        <v/>
      </c>
      <c r="B132" s="21">
        <f>IF($A132="","",SUMIFS('Trade Log'!$I$4:$I$503,'Trade Log'!$G$4:$G$503,$A132,'Trade Log'!$C$4:$C$503,"LONG"))</f>
        <v/>
      </c>
      <c r="C132" s="21">
        <f>IF($A132="","",SUMIFS('Trade Log'!$I$4:$I$503,'Trade Log'!$G$4:$G$503,$A132,'Trade Log'!$C$4:$C$503,"SHORT"))</f>
        <v/>
      </c>
      <c r="D132" s="21">
        <f>IF($A132="","",$B132+$C132)</f>
        <v/>
      </c>
      <c r="E132" s="21">
        <f>IF($A132="","",SUMIFS('Trade Log'!$L$4:$L$503,'Trade Log'!$G$4:$G$503,$A132,'Trade Log'!$C$4:$C$503,"LONG"))</f>
        <v/>
      </c>
      <c r="F132" s="21">
        <f>IF($A132="","",SUMIFS('Trade Log'!$L$4:$L$503,'Trade Log'!$G$4:$G$503,$A132,'Trade Log'!$C$4:$C$503,"SHORT"))</f>
        <v/>
      </c>
      <c r="G132" s="21">
        <f>IF($A132="","",$E132+$F132)</f>
        <v/>
      </c>
    </row>
    <row r="133">
      <c r="A133" s="28">
        <f>IF(A132="","",A132+1)</f>
        <v/>
      </c>
      <c r="B133" s="21">
        <f>IF($A133="","",SUMIFS('Trade Log'!$I$4:$I$503,'Trade Log'!$G$4:$G$503,$A133,'Trade Log'!$C$4:$C$503,"LONG"))</f>
        <v/>
      </c>
      <c r="C133" s="21">
        <f>IF($A133="","",SUMIFS('Trade Log'!$I$4:$I$503,'Trade Log'!$G$4:$G$503,$A133,'Trade Log'!$C$4:$C$503,"SHORT"))</f>
        <v/>
      </c>
      <c r="D133" s="21">
        <f>IF($A133="","",$B133+$C133)</f>
        <v/>
      </c>
      <c r="E133" s="21">
        <f>IF($A133="","",SUMIFS('Trade Log'!$L$4:$L$503,'Trade Log'!$G$4:$G$503,$A133,'Trade Log'!$C$4:$C$503,"LONG"))</f>
        <v/>
      </c>
      <c r="F133" s="21">
        <f>IF($A133="","",SUMIFS('Trade Log'!$L$4:$L$503,'Trade Log'!$G$4:$G$503,$A133,'Trade Log'!$C$4:$C$503,"SHORT"))</f>
        <v/>
      </c>
      <c r="G133" s="21">
        <f>IF($A133="","",$E133+$F133)</f>
        <v/>
      </c>
    </row>
    <row r="134">
      <c r="A134" s="28">
        <f>IF(A133="","",A133+1)</f>
        <v/>
      </c>
      <c r="B134" s="21">
        <f>IF($A134="","",SUMIFS('Trade Log'!$I$4:$I$503,'Trade Log'!$G$4:$G$503,$A134,'Trade Log'!$C$4:$C$503,"LONG"))</f>
        <v/>
      </c>
      <c r="C134" s="21">
        <f>IF($A134="","",SUMIFS('Trade Log'!$I$4:$I$503,'Trade Log'!$G$4:$G$503,$A134,'Trade Log'!$C$4:$C$503,"SHORT"))</f>
        <v/>
      </c>
      <c r="D134" s="21">
        <f>IF($A134="","",$B134+$C134)</f>
        <v/>
      </c>
      <c r="E134" s="21">
        <f>IF($A134="","",SUMIFS('Trade Log'!$L$4:$L$503,'Trade Log'!$G$4:$G$503,$A134,'Trade Log'!$C$4:$C$503,"LONG"))</f>
        <v/>
      </c>
      <c r="F134" s="21">
        <f>IF($A134="","",SUMIFS('Trade Log'!$L$4:$L$503,'Trade Log'!$G$4:$G$503,$A134,'Trade Log'!$C$4:$C$503,"SHORT"))</f>
        <v/>
      </c>
      <c r="G134" s="21">
        <f>IF($A134="","",$E134+$F134)</f>
        <v/>
      </c>
    </row>
    <row r="135">
      <c r="A135" s="28">
        <f>IF(A134="","",A134+1)</f>
        <v/>
      </c>
      <c r="B135" s="21">
        <f>IF($A135="","",SUMIFS('Trade Log'!$I$4:$I$503,'Trade Log'!$G$4:$G$503,$A135,'Trade Log'!$C$4:$C$503,"LONG"))</f>
        <v/>
      </c>
      <c r="C135" s="21">
        <f>IF($A135="","",SUMIFS('Trade Log'!$I$4:$I$503,'Trade Log'!$G$4:$G$503,$A135,'Trade Log'!$C$4:$C$503,"SHORT"))</f>
        <v/>
      </c>
      <c r="D135" s="21">
        <f>IF($A135="","",$B135+$C135)</f>
        <v/>
      </c>
      <c r="E135" s="21">
        <f>IF($A135="","",SUMIFS('Trade Log'!$L$4:$L$503,'Trade Log'!$G$4:$G$503,$A135,'Trade Log'!$C$4:$C$503,"LONG"))</f>
        <v/>
      </c>
      <c r="F135" s="21">
        <f>IF($A135="","",SUMIFS('Trade Log'!$L$4:$L$503,'Trade Log'!$G$4:$G$503,$A135,'Trade Log'!$C$4:$C$503,"SHORT"))</f>
        <v/>
      </c>
      <c r="G135" s="21">
        <f>IF($A135="","",$E135+$F135)</f>
        <v/>
      </c>
    </row>
    <row r="136">
      <c r="A136" s="28">
        <f>IF(A135="","",A135+1)</f>
        <v/>
      </c>
      <c r="B136" s="21">
        <f>IF($A136="","",SUMIFS('Trade Log'!$I$4:$I$503,'Trade Log'!$G$4:$G$503,$A136,'Trade Log'!$C$4:$C$503,"LONG"))</f>
        <v/>
      </c>
      <c r="C136" s="21">
        <f>IF($A136="","",SUMIFS('Trade Log'!$I$4:$I$503,'Trade Log'!$G$4:$G$503,$A136,'Trade Log'!$C$4:$C$503,"SHORT"))</f>
        <v/>
      </c>
      <c r="D136" s="21">
        <f>IF($A136="","",$B136+$C136)</f>
        <v/>
      </c>
      <c r="E136" s="21">
        <f>IF($A136="","",SUMIFS('Trade Log'!$L$4:$L$503,'Trade Log'!$G$4:$G$503,$A136,'Trade Log'!$C$4:$C$503,"LONG"))</f>
        <v/>
      </c>
      <c r="F136" s="21">
        <f>IF($A136="","",SUMIFS('Trade Log'!$L$4:$L$503,'Trade Log'!$G$4:$G$503,$A136,'Trade Log'!$C$4:$C$503,"SHORT"))</f>
        <v/>
      </c>
      <c r="G136" s="21">
        <f>IF($A136="","",$E136+$F136)</f>
        <v/>
      </c>
    </row>
    <row r="137">
      <c r="A137" s="28">
        <f>IF(A136="","",A136+1)</f>
        <v/>
      </c>
      <c r="B137" s="21">
        <f>IF($A137="","",SUMIFS('Trade Log'!$I$4:$I$503,'Trade Log'!$G$4:$G$503,$A137,'Trade Log'!$C$4:$C$503,"LONG"))</f>
        <v/>
      </c>
      <c r="C137" s="21">
        <f>IF($A137="","",SUMIFS('Trade Log'!$I$4:$I$503,'Trade Log'!$G$4:$G$503,$A137,'Trade Log'!$C$4:$C$503,"SHORT"))</f>
        <v/>
      </c>
      <c r="D137" s="21">
        <f>IF($A137="","",$B137+$C137)</f>
        <v/>
      </c>
      <c r="E137" s="21">
        <f>IF($A137="","",SUMIFS('Trade Log'!$L$4:$L$503,'Trade Log'!$G$4:$G$503,$A137,'Trade Log'!$C$4:$C$503,"LONG"))</f>
        <v/>
      </c>
      <c r="F137" s="21">
        <f>IF($A137="","",SUMIFS('Trade Log'!$L$4:$L$503,'Trade Log'!$G$4:$G$503,$A137,'Trade Log'!$C$4:$C$503,"SHORT"))</f>
        <v/>
      </c>
      <c r="G137" s="21">
        <f>IF($A137="","",$E137+$F137)</f>
        <v/>
      </c>
    </row>
    <row r="138">
      <c r="A138" s="28">
        <f>IF(A137="","",A137+1)</f>
        <v/>
      </c>
      <c r="B138" s="21">
        <f>IF($A138="","",SUMIFS('Trade Log'!$I$4:$I$503,'Trade Log'!$G$4:$G$503,$A138,'Trade Log'!$C$4:$C$503,"LONG"))</f>
        <v/>
      </c>
      <c r="C138" s="21">
        <f>IF($A138="","",SUMIFS('Trade Log'!$I$4:$I$503,'Trade Log'!$G$4:$G$503,$A138,'Trade Log'!$C$4:$C$503,"SHORT"))</f>
        <v/>
      </c>
      <c r="D138" s="21">
        <f>IF($A138="","",$B138+$C138)</f>
        <v/>
      </c>
      <c r="E138" s="21">
        <f>IF($A138="","",SUMIFS('Trade Log'!$L$4:$L$503,'Trade Log'!$G$4:$G$503,$A138,'Trade Log'!$C$4:$C$503,"LONG"))</f>
        <v/>
      </c>
      <c r="F138" s="21">
        <f>IF($A138="","",SUMIFS('Trade Log'!$L$4:$L$503,'Trade Log'!$G$4:$G$503,$A138,'Trade Log'!$C$4:$C$503,"SHORT"))</f>
        <v/>
      </c>
      <c r="G138" s="21">
        <f>IF($A138="","",$E138+$F138)</f>
        <v/>
      </c>
    </row>
    <row r="139">
      <c r="A139" s="28">
        <f>IF(A138="","",A138+1)</f>
        <v/>
      </c>
      <c r="B139" s="21">
        <f>IF($A139="","",SUMIFS('Trade Log'!$I$4:$I$503,'Trade Log'!$G$4:$G$503,$A139,'Trade Log'!$C$4:$C$503,"LONG"))</f>
        <v/>
      </c>
      <c r="C139" s="21">
        <f>IF($A139="","",SUMIFS('Trade Log'!$I$4:$I$503,'Trade Log'!$G$4:$G$503,$A139,'Trade Log'!$C$4:$C$503,"SHORT"))</f>
        <v/>
      </c>
      <c r="D139" s="21">
        <f>IF($A139="","",$B139+$C139)</f>
        <v/>
      </c>
      <c r="E139" s="21">
        <f>IF($A139="","",SUMIFS('Trade Log'!$L$4:$L$503,'Trade Log'!$G$4:$G$503,$A139,'Trade Log'!$C$4:$C$503,"LONG"))</f>
        <v/>
      </c>
      <c r="F139" s="21">
        <f>IF($A139="","",SUMIFS('Trade Log'!$L$4:$L$503,'Trade Log'!$G$4:$G$503,$A139,'Trade Log'!$C$4:$C$503,"SHORT"))</f>
        <v/>
      </c>
      <c r="G139" s="21">
        <f>IF($A139="","",$E139+$F139)</f>
        <v/>
      </c>
    </row>
    <row r="140">
      <c r="A140" s="28">
        <f>IF(A139="","",A139+1)</f>
        <v/>
      </c>
      <c r="B140" s="21">
        <f>IF($A140="","",SUMIFS('Trade Log'!$I$4:$I$503,'Trade Log'!$G$4:$G$503,$A140,'Trade Log'!$C$4:$C$503,"LONG"))</f>
        <v/>
      </c>
      <c r="C140" s="21">
        <f>IF($A140="","",SUMIFS('Trade Log'!$I$4:$I$503,'Trade Log'!$G$4:$G$503,$A140,'Trade Log'!$C$4:$C$503,"SHORT"))</f>
        <v/>
      </c>
      <c r="D140" s="21">
        <f>IF($A140="","",$B140+$C140)</f>
        <v/>
      </c>
      <c r="E140" s="21">
        <f>IF($A140="","",SUMIFS('Trade Log'!$L$4:$L$503,'Trade Log'!$G$4:$G$503,$A140,'Trade Log'!$C$4:$C$503,"LONG"))</f>
        <v/>
      </c>
      <c r="F140" s="21">
        <f>IF($A140="","",SUMIFS('Trade Log'!$L$4:$L$503,'Trade Log'!$G$4:$G$503,$A140,'Trade Log'!$C$4:$C$503,"SHORT"))</f>
        <v/>
      </c>
      <c r="G140" s="21">
        <f>IF($A140="","",$E140+$F140)</f>
        <v/>
      </c>
    </row>
    <row r="141">
      <c r="A141" s="28">
        <f>IF(A140="","",A140+1)</f>
        <v/>
      </c>
      <c r="B141" s="21">
        <f>IF($A141="","",SUMIFS('Trade Log'!$I$4:$I$503,'Trade Log'!$G$4:$G$503,$A141,'Trade Log'!$C$4:$C$503,"LONG"))</f>
        <v/>
      </c>
      <c r="C141" s="21">
        <f>IF($A141="","",SUMIFS('Trade Log'!$I$4:$I$503,'Trade Log'!$G$4:$G$503,$A141,'Trade Log'!$C$4:$C$503,"SHORT"))</f>
        <v/>
      </c>
      <c r="D141" s="21">
        <f>IF($A141="","",$B141+$C141)</f>
        <v/>
      </c>
      <c r="E141" s="21">
        <f>IF($A141="","",SUMIFS('Trade Log'!$L$4:$L$503,'Trade Log'!$G$4:$G$503,$A141,'Trade Log'!$C$4:$C$503,"LONG"))</f>
        <v/>
      </c>
      <c r="F141" s="21">
        <f>IF($A141="","",SUMIFS('Trade Log'!$L$4:$L$503,'Trade Log'!$G$4:$G$503,$A141,'Trade Log'!$C$4:$C$503,"SHORT"))</f>
        <v/>
      </c>
      <c r="G141" s="21">
        <f>IF($A141="","",$E141+$F141)</f>
        <v/>
      </c>
    </row>
    <row r="142">
      <c r="A142" s="28">
        <f>IF(A141="","",A141+1)</f>
        <v/>
      </c>
      <c r="B142" s="21">
        <f>IF($A142="","",SUMIFS('Trade Log'!$I$4:$I$503,'Trade Log'!$G$4:$G$503,$A142,'Trade Log'!$C$4:$C$503,"LONG"))</f>
        <v/>
      </c>
      <c r="C142" s="21">
        <f>IF($A142="","",SUMIFS('Trade Log'!$I$4:$I$503,'Trade Log'!$G$4:$G$503,$A142,'Trade Log'!$C$4:$C$503,"SHORT"))</f>
        <v/>
      </c>
      <c r="D142" s="21">
        <f>IF($A142="","",$B142+$C142)</f>
        <v/>
      </c>
      <c r="E142" s="21">
        <f>IF($A142="","",SUMIFS('Trade Log'!$L$4:$L$503,'Trade Log'!$G$4:$G$503,$A142,'Trade Log'!$C$4:$C$503,"LONG"))</f>
        <v/>
      </c>
      <c r="F142" s="21">
        <f>IF($A142="","",SUMIFS('Trade Log'!$L$4:$L$503,'Trade Log'!$G$4:$G$503,$A142,'Trade Log'!$C$4:$C$503,"SHORT"))</f>
        <v/>
      </c>
      <c r="G142" s="21">
        <f>IF($A142="","",$E142+$F142)</f>
        <v/>
      </c>
    </row>
    <row r="143">
      <c r="A143" s="28">
        <f>IF(A142="","",A142+1)</f>
        <v/>
      </c>
      <c r="B143" s="21">
        <f>IF($A143="","",SUMIFS('Trade Log'!$I$4:$I$503,'Trade Log'!$G$4:$G$503,$A143,'Trade Log'!$C$4:$C$503,"LONG"))</f>
        <v/>
      </c>
      <c r="C143" s="21">
        <f>IF($A143="","",SUMIFS('Trade Log'!$I$4:$I$503,'Trade Log'!$G$4:$G$503,$A143,'Trade Log'!$C$4:$C$503,"SHORT"))</f>
        <v/>
      </c>
      <c r="D143" s="21">
        <f>IF($A143="","",$B143+$C143)</f>
        <v/>
      </c>
      <c r="E143" s="21">
        <f>IF($A143="","",SUMIFS('Trade Log'!$L$4:$L$503,'Trade Log'!$G$4:$G$503,$A143,'Trade Log'!$C$4:$C$503,"LONG"))</f>
        <v/>
      </c>
      <c r="F143" s="21">
        <f>IF($A143="","",SUMIFS('Trade Log'!$L$4:$L$503,'Trade Log'!$G$4:$G$503,$A143,'Trade Log'!$C$4:$C$503,"SHORT"))</f>
        <v/>
      </c>
      <c r="G143" s="21">
        <f>IF($A143="","",$E143+$F143)</f>
        <v/>
      </c>
    </row>
    <row r="144">
      <c r="A144" s="28">
        <f>IF(A143="","",A143+1)</f>
        <v/>
      </c>
      <c r="B144" s="21">
        <f>IF($A144="","",SUMIFS('Trade Log'!$I$4:$I$503,'Trade Log'!$G$4:$G$503,$A144,'Trade Log'!$C$4:$C$503,"LONG"))</f>
        <v/>
      </c>
      <c r="C144" s="21">
        <f>IF($A144="","",SUMIFS('Trade Log'!$I$4:$I$503,'Trade Log'!$G$4:$G$503,$A144,'Trade Log'!$C$4:$C$503,"SHORT"))</f>
        <v/>
      </c>
      <c r="D144" s="21">
        <f>IF($A144="","",$B144+$C144)</f>
        <v/>
      </c>
      <c r="E144" s="21">
        <f>IF($A144="","",SUMIFS('Trade Log'!$L$4:$L$503,'Trade Log'!$G$4:$G$503,$A144,'Trade Log'!$C$4:$C$503,"LONG"))</f>
        <v/>
      </c>
      <c r="F144" s="21">
        <f>IF($A144="","",SUMIFS('Trade Log'!$L$4:$L$503,'Trade Log'!$G$4:$G$503,$A144,'Trade Log'!$C$4:$C$503,"SHORT"))</f>
        <v/>
      </c>
      <c r="G144" s="21">
        <f>IF($A144="","",$E144+$F144)</f>
        <v/>
      </c>
    </row>
    <row r="145">
      <c r="A145" s="28">
        <f>IF(A144="","",A144+1)</f>
        <v/>
      </c>
      <c r="B145" s="21">
        <f>IF($A145="","",SUMIFS('Trade Log'!$I$4:$I$503,'Trade Log'!$G$4:$G$503,$A145,'Trade Log'!$C$4:$C$503,"LONG"))</f>
        <v/>
      </c>
      <c r="C145" s="21">
        <f>IF($A145="","",SUMIFS('Trade Log'!$I$4:$I$503,'Trade Log'!$G$4:$G$503,$A145,'Trade Log'!$C$4:$C$503,"SHORT"))</f>
        <v/>
      </c>
      <c r="D145" s="21">
        <f>IF($A145="","",$B145+$C145)</f>
        <v/>
      </c>
      <c r="E145" s="21">
        <f>IF($A145="","",SUMIFS('Trade Log'!$L$4:$L$503,'Trade Log'!$G$4:$G$503,$A145,'Trade Log'!$C$4:$C$503,"LONG"))</f>
        <v/>
      </c>
      <c r="F145" s="21">
        <f>IF($A145="","",SUMIFS('Trade Log'!$L$4:$L$503,'Trade Log'!$G$4:$G$503,$A145,'Trade Log'!$C$4:$C$503,"SHORT"))</f>
        <v/>
      </c>
      <c r="G145" s="21">
        <f>IF($A145="","",$E145+$F145)</f>
        <v/>
      </c>
    </row>
    <row r="146">
      <c r="A146" s="28">
        <f>IF(A145="","",A145+1)</f>
        <v/>
      </c>
      <c r="B146" s="21">
        <f>IF($A146="","",SUMIFS('Trade Log'!$I$4:$I$503,'Trade Log'!$G$4:$G$503,$A146,'Trade Log'!$C$4:$C$503,"LONG"))</f>
        <v/>
      </c>
      <c r="C146" s="21">
        <f>IF($A146="","",SUMIFS('Trade Log'!$I$4:$I$503,'Trade Log'!$G$4:$G$503,$A146,'Trade Log'!$C$4:$C$503,"SHORT"))</f>
        <v/>
      </c>
      <c r="D146" s="21">
        <f>IF($A146="","",$B146+$C146)</f>
        <v/>
      </c>
      <c r="E146" s="21">
        <f>IF($A146="","",SUMIFS('Trade Log'!$L$4:$L$503,'Trade Log'!$G$4:$G$503,$A146,'Trade Log'!$C$4:$C$503,"LONG"))</f>
        <v/>
      </c>
      <c r="F146" s="21">
        <f>IF($A146="","",SUMIFS('Trade Log'!$L$4:$L$503,'Trade Log'!$G$4:$G$503,$A146,'Trade Log'!$C$4:$C$503,"SHORT"))</f>
        <v/>
      </c>
      <c r="G146" s="21">
        <f>IF($A146="","",$E146+$F146)</f>
        <v/>
      </c>
    </row>
    <row r="147">
      <c r="A147" s="28">
        <f>IF(A146="","",A146+1)</f>
        <v/>
      </c>
      <c r="B147" s="21">
        <f>IF($A147="","",SUMIFS('Trade Log'!$I$4:$I$503,'Trade Log'!$G$4:$G$503,$A147,'Trade Log'!$C$4:$C$503,"LONG"))</f>
        <v/>
      </c>
      <c r="C147" s="21">
        <f>IF($A147="","",SUMIFS('Trade Log'!$I$4:$I$503,'Trade Log'!$G$4:$G$503,$A147,'Trade Log'!$C$4:$C$503,"SHORT"))</f>
        <v/>
      </c>
      <c r="D147" s="21">
        <f>IF($A147="","",$B147+$C147)</f>
        <v/>
      </c>
      <c r="E147" s="21">
        <f>IF($A147="","",SUMIFS('Trade Log'!$L$4:$L$503,'Trade Log'!$G$4:$G$503,$A147,'Trade Log'!$C$4:$C$503,"LONG"))</f>
        <v/>
      </c>
      <c r="F147" s="21">
        <f>IF($A147="","",SUMIFS('Trade Log'!$L$4:$L$503,'Trade Log'!$G$4:$G$503,$A147,'Trade Log'!$C$4:$C$503,"SHORT"))</f>
        <v/>
      </c>
      <c r="G147" s="21">
        <f>IF($A147="","",$E147+$F147)</f>
        <v/>
      </c>
    </row>
    <row r="148">
      <c r="A148" s="28">
        <f>IF(A147="","",A147+1)</f>
        <v/>
      </c>
      <c r="B148" s="21">
        <f>IF($A148="","",SUMIFS('Trade Log'!$I$4:$I$503,'Trade Log'!$G$4:$G$503,$A148,'Trade Log'!$C$4:$C$503,"LONG"))</f>
        <v/>
      </c>
      <c r="C148" s="21">
        <f>IF($A148="","",SUMIFS('Trade Log'!$I$4:$I$503,'Trade Log'!$G$4:$G$503,$A148,'Trade Log'!$C$4:$C$503,"SHORT"))</f>
        <v/>
      </c>
      <c r="D148" s="21">
        <f>IF($A148="","",$B148+$C148)</f>
        <v/>
      </c>
      <c r="E148" s="21">
        <f>IF($A148="","",SUMIFS('Trade Log'!$L$4:$L$503,'Trade Log'!$G$4:$G$503,$A148,'Trade Log'!$C$4:$C$503,"LONG"))</f>
        <v/>
      </c>
      <c r="F148" s="21">
        <f>IF($A148="","",SUMIFS('Trade Log'!$L$4:$L$503,'Trade Log'!$G$4:$G$503,$A148,'Trade Log'!$C$4:$C$503,"SHORT"))</f>
        <v/>
      </c>
      <c r="G148" s="21">
        <f>IF($A148="","",$E148+$F148)</f>
        <v/>
      </c>
    </row>
    <row r="149">
      <c r="A149" s="28">
        <f>IF(A148="","",A148+1)</f>
        <v/>
      </c>
      <c r="B149" s="21">
        <f>IF($A149="","",SUMIFS('Trade Log'!$I$4:$I$503,'Trade Log'!$G$4:$G$503,$A149,'Trade Log'!$C$4:$C$503,"LONG"))</f>
        <v/>
      </c>
      <c r="C149" s="21">
        <f>IF($A149="","",SUMIFS('Trade Log'!$I$4:$I$503,'Trade Log'!$G$4:$G$503,$A149,'Trade Log'!$C$4:$C$503,"SHORT"))</f>
        <v/>
      </c>
      <c r="D149" s="21">
        <f>IF($A149="","",$B149+$C149)</f>
        <v/>
      </c>
      <c r="E149" s="21">
        <f>IF($A149="","",SUMIFS('Trade Log'!$L$4:$L$503,'Trade Log'!$G$4:$G$503,$A149,'Trade Log'!$C$4:$C$503,"LONG"))</f>
        <v/>
      </c>
      <c r="F149" s="21">
        <f>IF($A149="","",SUMIFS('Trade Log'!$L$4:$L$503,'Trade Log'!$G$4:$G$503,$A149,'Trade Log'!$C$4:$C$503,"SHORT"))</f>
        <v/>
      </c>
      <c r="G149" s="21">
        <f>IF($A149="","",$E149+$F149)</f>
        <v/>
      </c>
    </row>
    <row r="150">
      <c r="A150" s="28">
        <f>IF(A149="","",A149+1)</f>
        <v/>
      </c>
      <c r="B150" s="21">
        <f>IF($A150="","",SUMIFS('Trade Log'!$I$4:$I$503,'Trade Log'!$G$4:$G$503,$A150,'Trade Log'!$C$4:$C$503,"LONG"))</f>
        <v/>
      </c>
      <c r="C150" s="21">
        <f>IF($A150="","",SUMIFS('Trade Log'!$I$4:$I$503,'Trade Log'!$G$4:$G$503,$A150,'Trade Log'!$C$4:$C$503,"SHORT"))</f>
        <v/>
      </c>
      <c r="D150" s="21">
        <f>IF($A150="","",$B150+$C150)</f>
        <v/>
      </c>
      <c r="E150" s="21">
        <f>IF($A150="","",SUMIFS('Trade Log'!$L$4:$L$503,'Trade Log'!$G$4:$G$503,$A150,'Trade Log'!$C$4:$C$503,"LONG"))</f>
        <v/>
      </c>
      <c r="F150" s="21">
        <f>IF($A150="","",SUMIFS('Trade Log'!$L$4:$L$503,'Trade Log'!$G$4:$G$503,$A150,'Trade Log'!$C$4:$C$503,"SHORT"))</f>
        <v/>
      </c>
      <c r="G150" s="21">
        <f>IF($A150="","",$E150+$F150)</f>
        <v/>
      </c>
    </row>
    <row r="151">
      <c r="A151" s="28">
        <f>IF(A150="","",A150+1)</f>
        <v/>
      </c>
      <c r="B151" s="21">
        <f>IF($A151="","",SUMIFS('Trade Log'!$I$4:$I$503,'Trade Log'!$G$4:$G$503,$A151,'Trade Log'!$C$4:$C$503,"LONG"))</f>
        <v/>
      </c>
      <c r="C151" s="21">
        <f>IF($A151="","",SUMIFS('Trade Log'!$I$4:$I$503,'Trade Log'!$G$4:$G$503,$A151,'Trade Log'!$C$4:$C$503,"SHORT"))</f>
        <v/>
      </c>
      <c r="D151" s="21">
        <f>IF($A151="","",$B151+$C151)</f>
        <v/>
      </c>
      <c r="E151" s="21">
        <f>IF($A151="","",SUMIFS('Trade Log'!$L$4:$L$503,'Trade Log'!$G$4:$G$503,$A151,'Trade Log'!$C$4:$C$503,"LONG"))</f>
        <v/>
      </c>
      <c r="F151" s="21">
        <f>IF($A151="","",SUMIFS('Trade Log'!$L$4:$L$503,'Trade Log'!$G$4:$G$503,$A151,'Trade Log'!$C$4:$C$503,"SHORT"))</f>
        <v/>
      </c>
      <c r="G151" s="21">
        <f>IF($A151="","",$E151+$F151)</f>
        <v/>
      </c>
    </row>
    <row r="152">
      <c r="A152" s="28">
        <f>IF(A151="","",A151+1)</f>
        <v/>
      </c>
      <c r="B152" s="21">
        <f>IF($A152="","",SUMIFS('Trade Log'!$I$4:$I$503,'Trade Log'!$G$4:$G$503,$A152,'Trade Log'!$C$4:$C$503,"LONG"))</f>
        <v/>
      </c>
      <c r="C152" s="21">
        <f>IF($A152="","",SUMIFS('Trade Log'!$I$4:$I$503,'Trade Log'!$G$4:$G$503,$A152,'Trade Log'!$C$4:$C$503,"SHORT"))</f>
        <v/>
      </c>
      <c r="D152" s="21">
        <f>IF($A152="","",$B152+$C152)</f>
        <v/>
      </c>
      <c r="E152" s="21">
        <f>IF($A152="","",SUMIFS('Trade Log'!$L$4:$L$503,'Trade Log'!$G$4:$G$503,$A152,'Trade Log'!$C$4:$C$503,"LONG"))</f>
        <v/>
      </c>
      <c r="F152" s="21">
        <f>IF($A152="","",SUMIFS('Trade Log'!$L$4:$L$503,'Trade Log'!$G$4:$G$503,$A152,'Trade Log'!$C$4:$C$503,"SHORT"))</f>
        <v/>
      </c>
      <c r="G152" s="21">
        <f>IF($A152="","",$E152+$F152)</f>
        <v/>
      </c>
    </row>
    <row r="153">
      <c r="A153" s="28">
        <f>IF(A152="","",A152+1)</f>
        <v/>
      </c>
      <c r="B153" s="21">
        <f>IF($A153="","",SUMIFS('Trade Log'!$I$4:$I$503,'Trade Log'!$G$4:$G$503,$A153,'Trade Log'!$C$4:$C$503,"LONG"))</f>
        <v/>
      </c>
      <c r="C153" s="21">
        <f>IF($A153="","",SUMIFS('Trade Log'!$I$4:$I$503,'Trade Log'!$G$4:$G$503,$A153,'Trade Log'!$C$4:$C$503,"SHORT"))</f>
        <v/>
      </c>
      <c r="D153" s="21">
        <f>IF($A153="","",$B153+$C153)</f>
        <v/>
      </c>
      <c r="E153" s="21">
        <f>IF($A153="","",SUMIFS('Trade Log'!$L$4:$L$503,'Trade Log'!$G$4:$G$503,$A153,'Trade Log'!$C$4:$C$503,"LONG"))</f>
        <v/>
      </c>
      <c r="F153" s="21">
        <f>IF($A153="","",SUMIFS('Trade Log'!$L$4:$L$503,'Trade Log'!$G$4:$G$503,$A153,'Trade Log'!$C$4:$C$503,"SHORT"))</f>
        <v/>
      </c>
      <c r="G153" s="21">
        <f>IF($A153="","",$E153+$F153)</f>
        <v/>
      </c>
    </row>
    <row r="154">
      <c r="A154" s="28">
        <f>IF(A153="","",A153+1)</f>
        <v/>
      </c>
      <c r="B154" s="21">
        <f>IF($A154="","",SUMIFS('Trade Log'!$I$4:$I$503,'Trade Log'!$G$4:$G$503,$A154,'Trade Log'!$C$4:$C$503,"LONG"))</f>
        <v/>
      </c>
      <c r="C154" s="21">
        <f>IF($A154="","",SUMIFS('Trade Log'!$I$4:$I$503,'Trade Log'!$G$4:$G$503,$A154,'Trade Log'!$C$4:$C$503,"SHORT"))</f>
        <v/>
      </c>
      <c r="D154" s="21">
        <f>IF($A154="","",$B154+$C154)</f>
        <v/>
      </c>
      <c r="E154" s="21">
        <f>IF($A154="","",SUMIFS('Trade Log'!$L$4:$L$503,'Trade Log'!$G$4:$G$503,$A154,'Trade Log'!$C$4:$C$503,"LONG"))</f>
        <v/>
      </c>
      <c r="F154" s="21">
        <f>IF($A154="","",SUMIFS('Trade Log'!$L$4:$L$503,'Trade Log'!$G$4:$G$503,$A154,'Trade Log'!$C$4:$C$503,"SHORT"))</f>
        <v/>
      </c>
      <c r="G154" s="21">
        <f>IF($A154="","",$E154+$F154)</f>
        <v/>
      </c>
    </row>
    <row r="155">
      <c r="A155" s="28">
        <f>IF(A154="","",A154+1)</f>
        <v/>
      </c>
      <c r="B155" s="21">
        <f>IF($A155="","",SUMIFS('Trade Log'!$I$4:$I$503,'Trade Log'!$G$4:$G$503,$A155,'Trade Log'!$C$4:$C$503,"LONG"))</f>
        <v/>
      </c>
      <c r="C155" s="21">
        <f>IF($A155="","",SUMIFS('Trade Log'!$I$4:$I$503,'Trade Log'!$G$4:$G$503,$A155,'Trade Log'!$C$4:$C$503,"SHORT"))</f>
        <v/>
      </c>
      <c r="D155" s="21">
        <f>IF($A155="","",$B155+$C155)</f>
        <v/>
      </c>
      <c r="E155" s="21">
        <f>IF($A155="","",SUMIFS('Trade Log'!$L$4:$L$503,'Trade Log'!$G$4:$G$503,$A155,'Trade Log'!$C$4:$C$503,"LONG"))</f>
        <v/>
      </c>
      <c r="F155" s="21">
        <f>IF($A155="","",SUMIFS('Trade Log'!$L$4:$L$503,'Trade Log'!$G$4:$G$503,$A155,'Trade Log'!$C$4:$C$503,"SHORT"))</f>
        <v/>
      </c>
      <c r="G155" s="21">
        <f>IF($A155="","",$E155+$F155)</f>
        <v/>
      </c>
    </row>
    <row r="156">
      <c r="A156" s="28">
        <f>IF(A155="","",A155+1)</f>
        <v/>
      </c>
      <c r="B156" s="21">
        <f>IF($A156="","",SUMIFS('Trade Log'!$I$4:$I$503,'Trade Log'!$G$4:$G$503,$A156,'Trade Log'!$C$4:$C$503,"LONG"))</f>
        <v/>
      </c>
      <c r="C156" s="21">
        <f>IF($A156="","",SUMIFS('Trade Log'!$I$4:$I$503,'Trade Log'!$G$4:$G$503,$A156,'Trade Log'!$C$4:$C$503,"SHORT"))</f>
        <v/>
      </c>
      <c r="D156" s="21">
        <f>IF($A156="","",$B156+$C156)</f>
        <v/>
      </c>
      <c r="E156" s="21">
        <f>IF($A156="","",SUMIFS('Trade Log'!$L$4:$L$503,'Trade Log'!$G$4:$G$503,$A156,'Trade Log'!$C$4:$C$503,"LONG"))</f>
        <v/>
      </c>
      <c r="F156" s="21">
        <f>IF($A156="","",SUMIFS('Trade Log'!$L$4:$L$503,'Trade Log'!$G$4:$G$503,$A156,'Trade Log'!$C$4:$C$503,"SHORT"))</f>
        <v/>
      </c>
      <c r="G156" s="21">
        <f>IF($A156="","",$E156+$F156)</f>
        <v/>
      </c>
    </row>
    <row r="157">
      <c r="A157" s="28">
        <f>IF(A156="","",A156+1)</f>
        <v/>
      </c>
      <c r="B157" s="21">
        <f>IF($A157="","",SUMIFS('Trade Log'!$I$4:$I$503,'Trade Log'!$G$4:$G$503,$A157,'Trade Log'!$C$4:$C$503,"LONG"))</f>
        <v/>
      </c>
      <c r="C157" s="21">
        <f>IF($A157="","",SUMIFS('Trade Log'!$I$4:$I$503,'Trade Log'!$G$4:$G$503,$A157,'Trade Log'!$C$4:$C$503,"SHORT"))</f>
        <v/>
      </c>
      <c r="D157" s="21">
        <f>IF($A157="","",$B157+$C157)</f>
        <v/>
      </c>
      <c r="E157" s="21">
        <f>IF($A157="","",SUMIFS('Trade Log'!$L$4:$L$503,'Trade Log'!$G$4:$G$503,$A157,'Trade Log'!$C$4:$C$503,"LONG"))</f>
        <v/>
      </c>
      <c r="F157" s="21">
        <f>IF($A157="","",SUMIFS('Trade Log'!$L$4:$L$503,'Trade Log'!$G$4:$G$503,$A157,'Trade Log'!$C$4:$C$503,"SHORT"))</f>
        <v/>
      </c>
      <c r="G157" s="21">
        <f>IF($A157="","",$E157+$F157)</f>
        <v/>
      </c>
    </row>
    <row r="158">
      <c r="A158" s="28">
        <f>IF(A157="","",A157+1)</f>
        <v/>
      </c>
      <c r="B158" s="21">
        <f>IF($A158="","",SUMIFS('Trade Log'!$I$4:$I$503,'Trade Log'!$G$4:$G$503,$A158,'Trade Log'!$C$4:$C$503,"LONG"))</f>
        <v/>
      </c>
      <c r="C158" s="21">
        <f>IF($A158="","",SUMIFS('Trade Log'!$I$4:$I$503,'Trade Log'!$G$4:$G$503,$A158,'Trade Log'!$C$4:$C$503,"SHORT"))</f>
        <v/>
      </c>
      <c r="D158" s="21">
        <f>IF($A158="","",$B158+$C158)</f>
        <v/>
      </c>
      <c r="E158" s="21">
        <f>IF($A158="","",SUMIFS('Trade Log'!$L$4:$L$503,'Trade Log'!$G$4:$G$503,$A158,'Trade Log'!$C$4:$C$503,"LONG"))</f>
        <v/>
      </c>
      <c r="F158" s="21">
        <f>IF($A158="","",SUMIFS('Trade Log'!$L$4:$L$503,'Trade Log'!$G$4:$G$503,$A158,'Trade Log'!$C$4:$C$503,"SHORT"))</f>
        <v/>
      </c>
      <c r="G158" s="21">
        <f>IF($A158="","",$E158+$F158)</f>
        <v/>
      </c>
    </row>
    <row r="159">
      <c r="A159" s="28">
        <f>IF(A158="","",A158+1)</f>
        <v/>
      </c>
      <c r="B159" s="21">
        <f>IF($A159="","",SUMIFS('Trade Log'!$I$4:$I$503,'Trade Log'!$G$4:$G$503,$A159,'Trade Log'!$C$4:$C$503,"LONG"))</f>
        <v/>
      </c>
      <c r="C159" s="21">
        <f>IF($A159="","",SUMIFS('Trade Log'!$I$4:$I$503,'Trade Log'!$G$4:$G$503,$A159,'Trade Log'!$C$4:$C$503,"SHORT"))</f>
        <v/>
      </c>
      <c r="D159" s="21">
        <f>IF($A159="","",$B159+$C159)</f>
        <v/>
      </c>
      <c r="E159" s="21">
        <f>IF($A159="","",SUMIFS('Trade Log'!$L$4:$L$503,'Trade Log'!$G$4:$G$503,$A159,'Trade Log'!$C$4:$C$503,"LONG"))</f>
        <v/>
      </c>
      <c r="F159" s="21">
        <f>IF($A159="","",SUMIFS('Trade Log'!$L$4:$L$503,'Trade Log'!$G$4:$G$503,$A159,'Trade Log'!$C$4:$C$503,"SHORT"))</f>
        <v/>
      </c>
      <c r="G159" s="21">
        <f>IF($A159="","",$E159+$F159)</f>
        <v/>
      </c>
    </row>
    <row r="160">
      <c r="A160" s="28">
        <f>IF(A159="","",A159+1)</f>
        <v/>
      </c>
      <c r="B160" s="21">
        <f>IF($A160="","",SUMIFS('Trade Log'!$I$4:$I$503,'Trade Log'!$G$4:$G$503,$A160,'Trade Log'!$C$4:$C$503,"LONG"))</f>
        <v/>
      </c>
      <c r="C160" s="21">
        <f>IF($A160="","",SUMIFS('Trade Log'!$I$4:$I$503,'Trade Log'!$G$4:$G$503,$A160,'Trade Log'!$C$4:$C$503,"SHORT"))</f>
        <v/>
      </c>
      <c r="D160" s="21">
        <f>IF($A160="","",$B160+$C160)</f>
        <v/>
      </c>
      <c r="E160" s="21">
        <f>IF($A160="","",SUMIFS('Trade Log'!$L$4:$L$503,'Trade Log'!$G$4:$G$503,$A160,'Trade Log'!$C$4:$C$503,"LONG"))</f>
        <v/>
      </c>
      <c r="F160" s="21">
        <f>IF($A160="","",SUMIFS('Trade Log'!$L$4:$L$503,'Trade Log'!$G$4:$G$503,$A160,'Trade Log'!$C$4:$C$503,"SHORT"))</f>
        <v/>
      </c>
      <c r="G160" s="21">
        <f>IF($A160="","",$E160+$F160)</f>
        <v/>
      </c>
    </row>
    <row r="161">
      <c r="A161" s="28">
        <f>IF(A160="","",A160+1)</f>
        <v/>
      </c>
      <c r="B161" s="21">
        <f>IF($A161="","",SUMIFS('Trade Log'!$I$4:$I$503,'Trade Log'!$G$4:$G$503,$A161,'Trade Log'!$C$4:$C$503,"LONG"))</f>
        <v/>
      </c>
      <c r="C161" s="21">
        <f>IF($A161="","",SUMIFS('Trade Log'!$I$4:$I$503,'Trade Log'!$G$4:$G$503,$A161,'Trade Log'!$C$4:$C$503,"SHORT"))</f>
        <v/>
      </c>
      <c r="D161" s="21">
        <f>IF($A161="","",$B161+$C161)</f>
        <v/>
      </c>
      <c r="E161" s="21">
        <f>IF($A161="","",SUMIFS('Trade Log'!$L$4:$L$503,'Trade Log'!$G$4:$G$503,$A161,'Trade Log'!$C$4:$C$503,"LONG"))</f>
        <v/>
      </c>
      <c r="F161" s="21">
        <f>IF($A161="","",SUMIFS('Trade Log'!$L$4:$L$503,'Trade Log'!$G$4:$G$503,$A161,'Trade Log'!$C$4:$C$503,"SHORT"))</f>
        <v/>
      </c>
      <c r="G161" s="21">
        <f>IF($A161="","",$E161+$F161)</f>
        <v/>
      </c>
    </row>
    <row r="162">
      <c r="A162" s="28">
        <f>IF(A161="","",A161+1)</f>
        <v/>
      </c>
      <c r="B162" s="21">
        <f>IF($A162="","",SUMIFS('Trade Log'!$I$4:$I$503,'Trade Log'!$G$4:$G$503,$A162,'Trade Log'!$C$4:$C$503,"LONG"))</f>
        <v/>
      </c>
      <c r="C162" s="21">
        <f>IF($A162="","",SUMIFS('Trade Log'!$I$4:$I$503,'Trade Log'!$G$4:$G$503,$A162,'Trade Log'!$C$4:$C$503,"SHORT"))</f>
        <v/>
      </c>
      <c r="D162" s="21">
        <f>IF($A162="","",$B162+$C162)</f>
        <v/>
      </c>
      <c r="E162" s="21">
        <f>IF($A162="","",SUMIFS('Trade Log'!$L$4:$L$503,'Trade Log'!$G$4:$G$503,$A162,'Trade Log'!$C$4:$C$503,"LONG"))</f>
        <v/>
      </c>
      <c r="F162" s="21">
        <f>IF($A162="","",SUMIFS('Trade Log'!$L$4:$L$503,'Trade Log'!$G$4:$G$503,$A162,'Trade Log'!$C$4:$C$503,"SHORT"))</f>
        <v/>
      </c>
      <c r="G162" s="21">
        <f>IF($A162="","",$E162+$F162)</f>
        <v/>
      </c>
    </row>
    <row r="163">
      <c r="A163" s="28">
        <f>IF(A162="","",A162+1)</f>
        <v/>
      </c>
      <c r="B163" s="21">
        <f>IF($A163="","",SUMIFS('Trade Log'!$I$4:$I$503,'Trade Log'!$G$4:$G$503,$A163,'Trade Log'!$C$4:$C$503,"LONG"))</f>
        <v/>
      </c>
      <c r="C163" s="21">
        <f>IF($A163="","",SUMIFS('Trade Log'!$I$4:$I$503,'Trade Log'!$G$4:$G$503,$A163,'Trade Log'!$C$4:$C$503,"SHORT"))</f>
        <v/>
      </c>
      <c r="D163" s="21">
        <f>IF($A163="","",$B163+$C163)</f>
        <v/>
      </c>
      <c r="E163" s="21">
        <f>IF($A163="","",SUMIFS('Trade Log'!$L$4:$L$503,'Trade Log'!$G$4:$G$503,$A163,'Trade Log'!$C$4:$C$503,"LONG"))</f>
        <v/>
      </c>
      <c r="F163" s="21">
        <f>IF($A163="","",SUMIFS('Trade Log'!$L$4:$L$503,'Trade Log'!$G$4:$G$503,$A163,'Trade Log'!$C$4:$C$503,"SHORT"))</f>
        <v/>
      </c>
      <c r="G163" s="21">
        <f>IF($A163="","",$E163+$F163)</f>
        <v/>
      </c>
    </row>
    <row r="164">
      <c r="A164" s="28">
        <f>IF(A163="","",A163+1)</f>
        <v/>
      </c>
      <c r="B164" s="21">
        <f>IF($A164="","",SUMIFS('Trade Log'!$I$4:$I$503,'Trade Log'!$G$4:$G$503,$A164,'Trade Log'!$C$4:$C$503,"LONG"))</f>
        <v/>
      </c>
      <c r="C164" s="21">
        <f>IF($A164="","",SUMIFS('Trade Log'!$I$4:$I$503,'Trade Log'!$G$4:$G$503,$A164,'Trade Log'!$C$4:$C$503,"SHORT"))</f>
        <v/>
      </c>
      <c r="D164" s="21">
        <f>IF($A164="","",$B164+$C164)</f>
        <v/>
      </c>
      <c r="E164" s="21">
        <f>IF($A164="","",SUMIFS('Trade Log'!$L$4:$L$503,'Trade Log'!$G$4:$G$503,$A164,'Trade Log'!$C$4:$C$503,"LONG"))</f>
        <v/>
      </c>
      <c r="F164" s="21">
        <f>IF($A164="","",SUMIFS('Trade Log'!$L$4:$L$503,'Trade Log'!$G$4:$G$503,$A164,'Trade Log'!$C$4:$C$503,"SHORT"))</f>
        <v/>
      </c>
      <c r="G164" s="21">
        <f>IF($A164="","",$E164+$F164)</f>
        <v/>
      </c>
    </row>
    <row r="165">
      <c r="A165" s="28">
        <f>IF(A164="","",A164+1)</f>
        <v/>
      </c>
      <c r="B165" s="21">
        <f>IF($A165="","",SUMIFS('Trade Log'!$I$4:$I$503,'Trade Log'!$G$4:$G$503,$A165,'Trade Log'!$C$4:$C$503,"LONG"))</f>
        <v/>
      </c>
      <c r="C165" s="21">
        <f>IF($A165="","",SUMIFS('Trade Log'!$I$4:$I$503,'Trade Log'!$G$4:$G$503,$A165,'Trade Log'!$C$4:$C$503,"SHORT"))</f>
        <v/>
      </c>
      <c r="D165" s="21">
        <f>IF($A165="","",$B165+$C165)</f>
        <v/>
      </c>
      <c r="E165" s="21">
        <f>IF($A165="","",SUMIFS('Trade Log'!$L$4:$L$503,'Trade Log'!$G$4:$G$503,$A165,'Trade Log'!$C$4:$C$503,"LONG"))</f>
        <v/>
      </c>
      <c r="F165" s="21">
        <f>IF($A165="","",SUMIFS('Trade Log'!$L$4:$L$503,'Trade Log'!$G$4:$G$503,$A165,'Trade Log'!$C$4:$C$503,"SHORT"))</f>
        <v/>
      </c>
      <c r="G165" s="21">
        <f>IF($A165="","",$E165+$F165)</f>
        <v/>
      </c>
    </row>
    <row r="166">
      <c r="A166" s="28">
        <f>IF(A165="","",A165+1)</f>
        <v/>
      </c>
      <c r="B166" s="21">
        <f>IF($A166="","",SUMIFS('Trade Log'!$I$4:$I$503,'Trade Log'!$G$4:$G$503,$A166,'Trade Log'!$C$4:$C$503,"LONG"))</f>
        <v/>
      </c>
      <c r="C166" s="21">
        <f>IF($A166="","",SUMIFS('Trade Log'!$I$4:$I$503,'Trade Log'!$G$4:$G$503,$A166,'Trade Log'!$C$4:$C$503,"SHORT"))</f>
        <v/>
      </c>
      <c r="D166" s="21">
        <f>IF($A166="","",$B166+$C166)</f>
        <v/>
      </c>
      <c r="E166" s="21">
        <f>IF($A166="","",SUMIFS('Trade Log'!$L$4:$L$503,'Trade Log'!$G$4:$G$503,$A166,'Trade Log'!$C$4:$C$503,"LONG"))</f>
        <v/>
      </c>
      <c r="F166" s="21">
        <f>IF($A166="","",SUMIFS('Trade Log'!$L$4:$L$503,'Trade Log'!$G$4:$G$503,$A166,'Trade Log'!$C$4:$C$503,"SHORT"))</f>
        <v/>
      </c>
      <c r="G166" s="21">
        <f>IF($A166="","",$E166+$F166)</f>
        <v/>
      </c>
    </row>
    <row r="167">
      <c r="A167" s="28">
        <f>IF(A166="","",A166+1)</f>
        <v/>
      </c>
      <c r="B167" s="21">
        <f>IF($A167="","",SUMIFS('Trade Log'!$I$4:$I$503,'Trade Log'!$G$4:$G$503,$A167,'Trade Log'!$C$4:$C$503,"LONG"))</f>
        <v/>
      </c>
      <c r="C167" s="21">
        <f>IF($A167="","",SUMIFS('Trade Log'!$I$4:$I$503,'Trade Log'!$G$4:$G$503,$A167,'Trade Log'!$C$4:$C$503,"SHORT"))</f>
        <v/>
      </c>
      <c r="D167" s="21">
        <f>IF($A167="","",$B167+$C167)</f>
        <v/>
      </c>
      <c r="E167" s="21">
        <f>IF($A167="","",SUMIFS('Trade Log'!$L$4:$L$503,'Trade Log'!$G$4:$G$503,$A167,'Trade Log'!$C$4:$C$503,"LONG"))</f>
        <v/>
      </c>
      <c r="F167" s="21">
        <f>IF($A167="","",SUMIFS('Trade Log'!$L$4:$L$503,'Trade Log'!$G$4:$G$503,$A167,'Trade Log'!$C$4:$C$503,"SHORT"))</f>
        <v/>
      </c>
      <c r="G167" s="21">
        <f>IF($A167="","",$E167+$F167)</f>
        <v/>
      </c>
    </row>
    <row r="168">
      <c r="A168" s="28">
        <f>IF(A167="","",A167+1)</f>
        <v/>
      </c>
      <c r="B168" s="21">
        <f>IF($A168="","",SUMIFS('Trade Log'!$I$4:$I$503,'Trade Log'!$G$4:$G$503,$A168,'Trade Log'!$C$4:$C$503,"LONG"))</f>
        <v/>
      </c>
      <c r="C168" s="21">
        <f>IF($A168="","",SUMIFS('Trade Log'!$I$4:$I$503,'Trade Log'!$G$4:$G$503,$A168,'Trade Log'!$C$4:$C$503,"SHORT"))</f>
        <v/>
      </c>
      <c r="D168" s="21">
        <f>IF($A168="","",$B168+$C168)</f>
        <v/>
      </c>
      <c r="E168" s="21">
        <f>IF($A168="","",SUMIFS('Trade Log'!$L$4:$L$503,'Trade Log'!$G$4:$G$503,$A168,'Trade Log'!$C$4:$C$503,"LONG"))</f>
        <v/>
      </c>
      <c r="F168" s="21">
        <f>IF($A168="","",SUMIFS('Trade Log'!$L$4:$L$503,'Trade Log'!$G$4:$G$503,$A168,'Trade Log'!$C$4:$C$503,"SHORT"))</f>
        <v/>
      </c>
      <c r="G168" s="21">
        <f>IF($A168="","",$E168+$F168)</f>
        <v/>
      </c>
    </row>
    <row r="169">
      <c r="A169" s="28">
        <f>IF(A168="","",A168+1)</f>
        <v/>
      </c>
      <c r="B169" s="21">
        <f>IF($A169="","",SUMIFS('Trade Log'!$I$4:$I$503,'Trade Log'!$G$4:$G$503,$A169,'Trade Log'!$C$4:$C$503,"LONG"))</f>
        <v/>
      </c>
      <c r="C169" s="21">
        <f>IF($A169="","",SUMIFS('Trade Log'!$I$4:$I$503,'Trade Log'!$G$4:$G$503,$A169,'Trade Log'!$C$4:$C$503,"SHORT"))</f>
        <v/>
      </c>
      <c r="D169" s="21">
        <f>IF($A169="","",$B169+$C169)</f>
        <v/>
      </c>
      <c r="E169" s="21">
        <f>IF($A169="","",SUMIFS('Trade Log'!$L$4:$L$503,'Trade Log'!$G$4:$G$503,$A169,'Trade Log'!$C$4:$C$503,"LONG"))</f>
        <v/>
      </c>
      <c r="F169" s="21">
        <f>IF($A169="","",SUMIFS('Trade Log'!$L$4:$L$503,'Trade Log'!$G$4:$G$503,$A169,'Trade Log'!$C$4:$C$503,"SHORT"))</f>
        <v/>
      </c>
      <c r="G169" s="21">
        <f>IF($A169="","",$E169+$F169)</f>
        <v/>
      </c>
    </row>
    <row r="170">
      <c r="A170" s="28">
        <f>IF(A169="","",A169+1)</f>
        <v/>
      </c>
      <c r="B170" s="21">
        <f>IF($A170="","",SUMIFS('Trade Log'!$I$4:$I$503,'Trade Log'!$G$4:$G$503,$A170,'Trade Log'!$C$4:$C$503,"LONG"))</f>
        <v/>
      </c>
      <c r="C170" s="21">
        <f>IF($A170="","",SUMIFS('Trade Log'!$I$4:$I$503,'Trade Log'!$G$4:$G$503,$A170,'Trade Log'!$C$4:$C$503,"SHORT"))</f>
        <v/>
      </c>
      <c r="D170" s="21">
        <f>IF($A170="","",$B170+$C170)</f>
        <v/>
      </c>
      <c r="E170" s="21">
        <f>IF($A170="","",SUMIFS('Trade Log'!$L$4:$L$503,'Trade Log'!$G$4:$G$503,$A170,'Trade Log'!$C$4:$C$503,"LONG"))</f>
        <v/>
      </c>
      <c r="F170" s="21">
        <f>IF($A170="","",SUMIFS('Trade Log'!$L$4:$L$503,'Trade Log'!$G$4:$G$503,$A170,'Trade Log'!$C$4:$C$503,"SHORT"))</f>
        <v/>
      </c>
      <c r="G170" s="21">
        <f>IF($A170="","",$E170+$F170)</f>
        <v/>
      </c>
    </row>
    <row r="171">
      <c r="A171" s="28">
        <f>IF(A170="","",A170+1)</f>
        <v/>
      </c>
      <c r="B171" s="21">
        <f>IF($A171="","",SUMIFS('Trade Log'!$I$4:$I$503,'Trade Log'!$G$4:$G$503,$A171,'Trade Log'!$C$4:$C$503,"LONG"))</f>
        <v/>
      </c>
      <c r="C171" s="21">
        <f>IF($A171="","",SUMIFS('Trade Log'!$I$4:$I$503,'Trade Log'!$G$4:$G$503,$A171,'Trade Log'!$C$4:$C$503,"SHORT"))</f>
        <v/>
      </c>
      <c r="D171" s="21">
        <f>IF($A171="","",$B171+$C171)</f>
        <v/>
      </c>
      <c r="E171" s="21">
        <f>IF($A171="","",SUMIFS('Trade Log'!$L$4:$L$503,'Trade Log'!$G$4:$G$503,$A171,'Trade Log'!$C$4:$C$503,"LONG"))</f>
        <v/>
      </c>
      <c r="F171" s="21">
        <f>IF($A171="","",SUMIFS('Trade Log'!$L$4:$L$503,'Trade Log'!$G$4:$G$503,$A171,'Trade Log'!$C$4:$C$503,"SHORT"))</f>
        <v/>
      </c>
      <c r="G171" s="21">
        <f>IF($A171="","",$E171+$F171)</f>
        <v/>
      </c>
    </row>
    <row r="172">
      <c r="A172" s="28">
        <f>IF(A171="","",A171+1)</f>
        <v/>
      </c>
      <c r="B172" s="21">
        <f>IF($A172="","",SUMIFS('Trade Log'!$I$4:$I$503,'Trade Log'!$G$4:$G$503,$A172,'Trade Log'!$C$4:$C$503,"LONG"))</f>
        <v/>
      </c>
      <c r="C172" s="21">
        <f>IF($A172="","",SUMIFS('Trade Log'!$I$4:$I$503,'Trade Log'!$G$4:$G$503,$A172,'Trade Log'!$C$4:$C$503,"SHORT"))</f>
        <v/>
      </c>
      <c r="D172" s="21">
        <f>IF($A172="","",$B172+$C172)</f>
        <v/>
      </c>
      <c r="E172" s="21">
        <f>IF($A172="","",SUMIFS('Trade Log'!$L$4:$L$503,'Trade Log'!$G$4:$G$503,$A172,'Trade Log'!$C$4:$C$503,"LONG"))</f>
        <v/>
      </c>
      <c r="F172" s="21">
        <f>IF($A172="","",SUMIFS('Trade Log'!$L$4:$L$503,'Trade Log'!$G$4:$G$503,$A172,'Trade Log'!$C$4:$C$503,"SHORT"))</f>
        <v/>
      </c>
      <c r="G172" s="21">
        <f>IF($A172="","",$E172+$F172)</f>
        <v/>
      </c>
    </row>
    <row r="173">
      <c r="A173" s="28">
        <f>IF(A172="","",A172+1)</f>
        <v/>
      </c>
      <c r="B173" s="21">
        <f>IF($A173="","",SUMIFS('Trade Log'!$I$4:$I$503,'Trade Log'!$G$4:$G$503,$A173,'Trade Log'!$C$4:$C$503,"LONG"))</f>
        <v/>
      </c>
      <c r="C173" s="21">
        <f>IF($A173="","",SUMIFS('Trade Log'!$I$4:$I$503,'Trade Log'!$G$4:$G$503,$A173,'Trade Log'!$C$4:$C$503,"SHORT"))</f>
        <v/>
      </c>
      <c r="D173" s="21">
        <f>IF($A173="","",$B173+$C173)</f>
        <v/>
      </c>
      <c r="E173" s="21">
        <f>IF($A173="","",SUMIFS('Trade Log'!$L$4:$L$503,'Trade Log'!$G$4:$G$503,$A173,'Trade Log'!$C$4:$C$503,"LONG"))</f>
        <v/>
      </c>
      <c r="F173" s="21">
        <f>IF($A173="","",SUMIFS('Trade Log'!$L$4:$L$503,'Trade Log'!$G$4:$G$503,$A173,'Trade Log'!$C$4:$C$503,"SHORT"))</f>
        <v/>
      </c>
      <c r="G173" s="21">
        <f>IF($A173="","",$E173+$F173)</f>
        <v/>
      </c>
    </row>
    <row r="174">
      <c r="A174" s="28">
        <f>IF(A173="","",A173+1)</f>
        <v/>
      </c>
      <c r="B174" s="21">
        <f>IF($A174="","",SUMIFS('Trade Log'!$I$4:$I$503,'Trade Log'!$G$4:$G$503,$A174,'Trade Log'!$C$4:$C$503,"LONG"))</f>
        <v/>
      </c>
      <c r="C174" s="21">
        <f>IF($A174="","",SUMIFS('Trade Log'!$I$4:$I$503,'Trade Log'!$G$4:$G$503,$A174,'Trade Log'!$C$4:$C$503,"SHORT"))</f>
        <v/>
      </c>
      <c r="D174" s="21">
        <f>IF($A174="","",$B174+$C174)</f>
        <v/>
      </c>
      <c r="E174" s="21">
        <f>IF($A174="","",SUMIFS('Trade Log'!$L$4:$L$503,'Trade Log'!$G$4:$G$503,$A174,'Trade Log'!$C$4:$C$503,"LONG"))</f>
        <v/>
      </c>
      <c r="F174" s="21">
        <f>IF($A174="","",SUMIFS('Trade Log'!$L$4:$L$503,'Trade Log'!$G$4:$G$503,$A174,'Trade Log'!$C$4:$C$503,"SHORT"))</f>
        <v/>
      </c>
      <c r="G174" s="21">
        <f>IF($A174="","",$E174+$F174)</f>
        <v/>
      </c>
    </row>
    <row r="175">
      <c r="A175" s="28">
        <f>IF(A174="","",A174+1)</f>
        <v/>
      </c>
      <c r="B175" s="21">
        <f>IF($A175="","",SUMIFS('Trade Log'!$I$4:$I$503,'Trade Log'!$G$4:$G$503,$A175,'Trade Log'!$C$4:$C$503,"LONG"))</f>
        <v/>
      </c>
      <c r="C175" s="21">
        <f>IF($A175="","",SUMIFS('Trade Log'!$I$4:$I$503,'Trade Log'!$G$4:$G$503,$A175,'Trade Log'!$C$4:$C$503,"SHORT"))</f>
        <v/>
      </c>
      <c r="D175" s="21">
        <f>IF($A175="","",$B175+$C175)</f>
        <v/>
      </c>
      <c r="E175" s="21">
        <f>IF($A175="","",SUMIFS('Trade Log'!$L$4:$L$503,'Trade Log'!$G$4:$G$503,$A175,'Trade Log'!$C$4:$C$503,"LONG"))</f>
        <v/>
      </c>
      <c r="F175" s="21">
        <f>IF($A175="","",SUMIFS('Trade Log'!$L$4:$L$503,'Trade Log'!$G$4:$G$503,$A175,'Trade Log'!$C$4:$C$503,"SHORT"))</f>
        <v/>
      </c>
      <c r="G175" s="21">
        <f>IF($A175="","",$E175+$F175)</f>
        <v/>
      </c>
    </row>
    <row r="176">
      <c r="A176" s="28">
        <f>IF(A175="","",A175+1)</f>
        <v/>
      </c>
      <c r="B176" s="21">
        <f>IF($A176="","",SUMIFS('Trade Log'!$I$4:$I$503,'Trade Log'!$G$4:$G$503,$A176,'Trade Log'!$C$4:$C$503,"LONG"))</f>
        <v/>
      </c>
      <c r="C176" s="21">
        <f>IF($A176="","",SUMIFS('Trade Log'!$I$4:$I$503,'Trade Log'!$G$4:$G$503,$A176,'Trade Log'!$C$4:$C$503,"SHORT"))</f>
        <v/>
      </c>
      <c r="D176" s="21">
        <f>IF($A176="","",$B176+$C176)</f>
        <v/>
      </c>
      <c r="E176" s="21">
        <f>IF($A176="","",SUMIFS('Trade Log'!$L$4:$L$503,'Trade Log'!$G$4:$G$503,$A176,'Trade Log'!$C$4:$C$503,"LONG"))</f>
        <v/>
      </c>
      <c r="F176" s="21">
        <f>IF($A176="","",SUMIFS('Trade Log'!$L$4:$L$503,'Trade Log'!$G$4:$G$503,$A176,'Trade Log'!$C$4:$C$503,"SHORT"))</f>
        <v/>
      </c>
      <c r="G176" s="21">
        <f>IF($A176="","",$E176+$F176)</f>
        <v/>
      </c>
    </row>
    <row r="177">
      <c r="A177" s="28">
        <f>IF(A176="","",A176+1)</f>
        <v/>
      </c>
      <c r="B177" s="21">
        <f>IF($A177="","",SUMIFS('Trade Log'!$I$4:$I$503,'Trade Log'!$G$4:$G$503,$A177,'Trade Log'!$C$4:$C$503,"LONG"))</f>
        <v/>
      </c>
      <c r="C177" s="21">
        <f>IF($A177="","",SUMIFS('Trade Log'!$I$4:$I$503,'Trade Log'!$G$4:$G$503,$A177,'Trade Log'!$C$4:$C$503,"SHORT"))</f>
        <v/>
      </c>
      <c r="D177" s="21">
        <f>IF($A177="","",$B177+$C177)</f>
        <v/>
      </c>
      <c r="E177" s="21">
        <f>IF($A177="","",SUMIFS('Trade Log'!$L$4:$L$503,'Trade Log'!$G$4:$G$503,$A177,'Trade Log'!$C$4:$C$503,"LONG"))</f>
        <v/>
      </c>
      <c r="F177" s="21">
        <f>IF($A177="","",SUMIFS('Trade Log'!$L$4:$L$503,'Trade Log'!$G$4:$G$503,$A177,'Trade Log'!$C$4:$C$503,"SHORT"))</f>
        <v/>
      </c>
      <c r="G177" s="21">
        <f>IF($A177="","",$E177+$F177)</f>
        <v/>
      </c>
    </row>
    <row r="178">
      <c r="A178" s="28">
        <f>IF(A177="","",A177+1)</f>
        <v/>
      </c>
      <c r="B178" s="21">
        <f>IF($A178="","",SUMIFS('Trade Log'!$I$4:$I$503,'Trade Log'!$G$4:$G$503,$A178,'Trade Log'!$C$4:$C$503,"LONG"))</f>
        <v/>
      </c>
      <c r="C178" s="21">
        <f>IF($A178="","",SUMIFS('Trade Log'!$I$4:$I$503,'Trade Log'!$G$4:$G$503,$A178,'Trade Log'!$C$4:$C$503,"SHORT"))</f>
        <v/>
      </c>
      <c r="D178" s="21">
        <f>IF($A178="","",$B178+$C178)</f>
        <v/>
      </c>
      <c r="E178" s="21">
        <f>IF($A178="","",SUMIFS('Trade Log'!$L$4:$L$503,'Trade Log'!$G$4:$G$503,$A178,'Trade Log'!$C$4:$C$503,"LONG"))</f>
        <v/>
      </c>
      <c r="F178" s="21">
        <f>IF($A178="","",SUMIFS('Trade Log'!$L$4:$L$503,'Trade Log'!$G$4:$G$503,$A178,'Trade Log'!$C$4:$C$503,"SHORT"))</f>
        <v/>
      </c>
      <c r="G178" s="21">
        <f>IF($A178="","",$E178+$F178)</f>
        <v/>
      </c>
    </row>
    <row r="179">
      <c r="A179" s="28">
        <f>IF(A178="","",A178+1)</f>
        <v/>
      </c>
      <c r="B179" s="21">
        <f>IF($A179="","",SUMIFS('Trade Log'!$I$4:$I$503,'Trade Log'!$G$4:$G$503,$A179,'Trade Log'!$C$4:$C$503,"LONG"))</f>
        <v/>
      </c>
      <c r="C179" s="21">
        <f>IF($A179="","",SUMIFS('Trade Log'!$I$4:$I$503,'Trade Log'!$G$4:$G$503,$A179,'Trade Log'!$C$4:$C$503,"SHORT"))</f>
        <v/>
      </c>
      <c r="D179" s="21">
        <f>IF($A179="","",$B179+$C179)</f>
        <v/>
      </c>
      <c r="E179" s="21">
        <f>IF($A179="","",SUMIFS('Trade Log'!$L$4:$L$503,'Trade Log'!$G$4:$G$503,$A179,'Trade Log'!$C$4:$C$503,"LONG"))</f>
        <v/>
      </c>
      <c r="F179" s="21">
        <f>IF($A179="","",SUMIFS('Trade Log'!$L$4:$L$503,'Trade Log'!$G$4:$G$503,$A179,'Trade Log'!$C$4:$C$503,"SHORT"))</f>
        <v/>
      </c>
      <c r="G179" s="21">
        <f>IF($A179="","",$E179+$F179)</f>
        <v/>
      </c>
    </row>
    <row r="180">
      <c r="A180" s="28">
        <f>IF(A179="","",A179+1)</f>
        <v/>
      </c>
      <c r="B180" s="21">
        <f>IF($A180="","",SUMIFS('Trade Log'!$I$4:$I$503,'Trade Log'!$G$4:$G$503,$A180,'Trade Log'!$C$4:$C$503,"LONG"))</f>
        <v/>
      </c>
      <c r="C180" s="21">
        <f>IF($A180="","",SUMIFS('Trade Log'!$I$4:$I$503,'Trade Log'!$G$4:$G$503,$A180,'Trade Log'!$C$4:$C$503,"SHORT"))</f>
        <v/>
      </c>
      <c r="D180" s="21">
        <f>IF($A180="","",$B180+$C180)</f>
        <v/>
      </c>
      <c r="E180" s="21">
        <f>IF($A180="","",SUMIFS('Trade Log'!$L$4:$L$503,'Trade Log'!$G$4:$G$503,$A180,'Trade Log'!$C$4:$C$503,"LONG"))</f>
        <v/>
      </c>
      <c r="F180" s="21">
        <f>IF($A180="","",SUMIFS('Trade Log'!$L$4:$L$503,'Trade Log'!$G$4:$G$503,$A180,'Trade Log'!$C$4:$C$503,"SHORT"))</f>
        <v/>
      </c>
      <c r="G180" s="21">
        <f>IF($A180="","",$E180+$F180)</f>
        <v/>
      </c>
    </row>
    <row r="181">
      <c r="A181" s="28">
        <f>IF(A180="","",A180+1)</f>
        <v/>
      </c>
      <c r="B181" s="21">
        <f>IF($A181="","",SUMIFS('Trade Log'!$I$4:$I$503,'Trade Log'!$G$4:$G$503,$A181,'Trade Log'!$C$4:$C$503,"LONG"))</f>
        <v/>
      </c>
      <c r="C181" s="21">
        <f>IF($A181="","",SUMIFS('Trade Log'!$I$4:$I$503,'Trade Log'!$G$4:$G$503,$A181,'Trade Log'!$C$4:$C$503,"SHORT"))</f>
        <v/>
      </c>
      <c r="D181" s="21">
        <f>IF($A181="","",$B181+$C181)</f>
        <v/>
      </c>
      <c r="E181" s="21">
        <f>IF($A181="","",SUMIFS('Trade Log'!$L$4:$L$503,'Trade Log'!$G$4:$G$503,$A181,'Trade Log'!$C$4:$C$503,"LONG"))</f>
        <v/>
      </c>
      <c r="F181" s="21">
        <f>IF($A181="","",SUMIFS('Trade Log'!$L$4:$L$503,'Trade Log'!$G$4:$G$503,$A181,'Trade Log'!$C$4:$C$503,"SHORT"))</f>
        <v/>
      </c>
      <c r="G181" s="21">
        <f>IF($A181="","",$E181+$F181)</f>
        <v/>
      </c>
    </row>
    <row r="182">
      <c r="A182" s="28">
        <f>IF(A181="","",A181+1)</f>
        <v/>
      </c>
      <c r="B182" s="21">
        <f>IF($A182="","",SUMIFS('Trade Log'!$I$4:$I$503,'Trade Log'!$G$4:$G$503,$A182,'Trade Log'!$C$4:$C$503,"LONG"))</f>
        <v/>
      </c>
      <c r="C182" s="21">
        <f>IF($A182="","",SUMIFS('Trade Log'!$I$4:$I$503,'Trade Log'!$G$4:$G$503,$A182,'Trade Log'!$C$4:$C$503,"SHORT"))</f>
        <v/>
      </c>
      <c r="D182" s="21">
        <f>IF($A182="","",$B182+$C182)</f>
        <v/>
      </c>
      <c r="E182" s="21">
        <f>IF($A182="","",SUMIFS('Trade Log'!$L$4:$L$503,'Trade Log'!$G$4:$G$503,$A182,'Trade Log'!$C$4:$C$503,"LONG"))</f>
        <v/>
      </c>
      <c r="F182" s="21">
        <f>IF($A182="","",SUMIFS('Trade Log'!$L$4:$L$503,'Trade Log'!$G$4:$G$503,$A182,'Trade Log'!$C$4:$C$503,"SHORT"))</f>
        <v/>
      </c>
      <c r="G182" s="21">
        <f>IF($A182="","",$E182+$F182)</f>
        <v/>
      </c>
    </row>
    <row r="183">
      <c r="A183" s="28">
        <f>IF(A182="","",A182+1)</f>
        <v/>
      </c>
      <c r="B183" s="21">
        <f>IF($A183="","",SUMIFS('Trade Log'!$I$4:$I$503,'Trade Log'!$G$4:$G$503,$A183,'Trade Log'!$C$4:$C$503,"LONG"))</f>
        <v/>
      </c>
      <c r="C183" s="21">
        <f>IF($A183="","",SUMIFS('Trade Log'!$I$4:$I$503,'Trade Log'!$G$4:$G$503,$A183,'Trade Log'!$C$4:$C$503,"SHORT"))</f>
        <v/>
      </c>
      <c r="D183" s="21">
        <f>IF($A183="","",$B183+$C183)</f>
        <v/>
      </c>
      <c r="E183" s="21">
        <f>IF($A183="","",SUMIFS('Trade Log'!$L$4:$L$503,'Trade Log'!$G$4:$G$503,$A183,'Trade Log'!$C$4:$C$503,"LONG"))</f>
        <v/>
      </c>
      <c r="F183" s="21">
        <f>IF($A183="","",SUMIFS('Trade Log'!$L$4:$L$503,'Trade Log'!$G$4:$G$503,$A183,'Trade Log'!$C$4:$C$503,"SHORT"))</f>
        <v/>
      </c>
      <c r="G183" s="21">
        <f>IF($A183="","",$E183+$F183)</f>
        <v/>
      </c>
    </row>
    <row r="184">
      <c r="A184" s="28">
        <f>IF(A183="","",A183+1)</f>
        <v/>
      </c>
      <c r="B184" s="21">
        <f>IF($A184="","",SUMIFS('Trade Log'!$I$4:$I$503,'Trade Log'!$G$4:$G$503,$A184,'Trade Log'!$C$4:$C$503,"LONG"))</f>
        <v/>
      </c>
      <c r="C184" s="21">
        <f>IF($A184="","",SUMIFS('Trade Log'!$I$4:$I$503,'Trade Log'!$G$4:$G$503,$A184,'Trade Log'!$C$4:$C$503,"SHORT"))</f>
        <v/>
      </c>
      <c r="D184" s="21">
        <f>IF($A184="","",$B184+$C184)</f>
        <v/>
      </c>
      <c r="E184" s="21">
        <f>IF($A184="","",SUMIFS('Trade Log'!$L$4:$L$503,'Trade Log'!$G$4:$G$503,$A184,'Trade Log'!$C$4:$C$503,"LONG"))</f>
        <v/>
      </c>
      <c r="F184" s="21">
        <f>IF($A184="","",SUMIFS('Trade Log'!$L$4:$L$503,'Trade Log'!$G$4:$G$503,$A184,'Trade Log'!$C$4:$C$503,"SHORT"))</f>
        <v/>
      </c>
      <c r="G184" s="21">
        <f>IF($A184="","",$E184+$F184)</f>
        <v/>
      </c>
    </row>
    <row r="185">
      <c r="A185" s="28">
        <f>IF(A184="","",A184+1)</f>
        <v/>
      </c>
      <c r="B185" s="21">
        <f>IF($A185="","",SUMIFS('Trade Log'!$I$4:$I$503,'Trade Log'!$G$4:$G$503,$A185,'Trade Log'!$C$4:$C$503,"LONG"))</f>
        <v/>
      </c>
      <c r="C185" s="21">
        <f>IF($A185="","",SUMIFS('Trade Log'!$I$4:$I$503,'Trade Log'!$G$4:$G$503,$A185,'Trade Log'!$C$4:$C$503,"SHORT"))</f>
        <v/>
      </c>
      <c r="D185" s="21">
        <f>IF($A185="","",$B185+$C185)</f>
        <v/>
      </c>
      <c r="E185" s="21">
        <f>IF($A185="","",SUMIFS('Trade Log'!$L$4:$L$503,'Trade Log'!$G$4:$G$503,$A185,'Trade Log'!$C$4:$C$503,"LONG"))</f>
        <v/>
      </c>
      <c r="F185" s="21">
        <f>IF($A185="","",SUMIFS('Trade Log'!$L$4:$L$503,'Trade Log'!$G$4:$G$503,$A185,'Trade Log'!$C$4:$C$503,"SHORT"))</f>
        <v/>
      </c>
      <c r="G185" s="21">
        <f>IF($A185="","",$E185+$F185)</f>
        <v/>
      </c>
    </row>
    <row r="186">
      <c r="A186" s="28">
        <f>IF(A185="","",A185+1)</f>
        <v/>
      </c>
      <c r="B186" s="21">
        <f>IF($A186="","",SUMIFS('Trade Log'!$I$4:$I$503,'Trade Log'!$G$4:$G$503,$A186,'Trade Log'!$C$4:$C$503,"LONG"))</f>
        <v/>
      </c>
      <c r="C186" s="21">
        <f>IF($A186="","",SUMIFS('Trade Log'!$I$4:$I$503,'Trade Log'!$G$4:$G$503,$A186,'Trade Log'!$C$4:$C$503,"SHORT"))</f>
        <v/>
      </c>
      <c r="D186" s="21">
        <f>IF($A186="","",$B186+$C186)</f>
        <v/>
      </c>
      <c r="E186" s="21">
        <f>IF($A186="","",SUMIFS('Trade Log'!$L$4:$L$503,'Trade Log'!$G$4:$G$503,$A186,'Trade Log'!$C$4:$C$503,"LONG"))</f>
        <v/>
      </c>
      <c r="F186" s="21">
        <f>IF($A186="","",SUMIFS('Trade Log'!$L$4:$L$503,'Trade Log'!$G$4:$G$503,$A186,'Trade Log'!$C$4:$C$503,"SHORT"))</f>
        <v/>
      </c>
      <c r="G186" s="21">
        <f>IF($A186="","",$E186+$F186)</f>
        <v/>
      </c>
    </row>
    <row r="187">
      <c r="A187" s="28">
        <f>IF(A186="","",A186+1)</f>
        <v/>
      </c>
      <c r="B187" s="21">
        <f>IF($A187="","",SUMIFS('Trade Log'!$I$4:$I$503,'Trade Log'!$G$4:$G$503,$A187,'Trade Log'!$C$4:$C$503,"LONG"))</f>
        <v/>
      </c>
      <c r="C187" s="21">
        <f>IF($A187="","",SUMIFS('Trade Log'!$I$4:$I$503,'Trade Log'!$G$4:$G$503,$A187,'Trade Log'!$C$4:$C$503,"SHORT"))</f>
        <v/>
      </c>
      <c r="D187" s="21">
        <f>IF($A187="","",$B187+$C187)</f>
        <v/>
      </c>
      <c r="E187" s="21">
        <f>IF($A187="","",SUMIFS('Trade Log'!$L$4:$L$503,'Trade Log'!$G$4:$G$503,$A187,'Trade Log'!$C$4:$C$503,"LONG"))</f>
        <v/>
      </c>
      <c r="F187" s="21">
        <f>IF($A187="","",SUMIFS('Trade Log'!$L$4:$L$503,'Trade Log'!$G$4:$G$503,$A187,'Trade Log'!$C$4:$C$503,"SHORT"))</f>
        <v/>
      </c>
      <c r="G187" s="21">
        <f>IF($A187="","",$E187+$F187)</f>
        <v/>
      </c>
    </row>
    <row r="188">
      <c r="A188" s="28">
        <f>IF(A187="","",A187+1)</f>
        <v/>
      </c>
      <c r="B188" s="21">
        <f>IF($A188="","",SUMIFS('Trade Log'!$I$4:$I$503,'Trade Log'!$G$4:$G$503,$A188,'Trade Log'!$C$4:$C$503,"LONG"))</f>
        <v/>
      </c>
      <c r="C188" s="21">
        <f>IF($A188="","",SUMIFS('Trade Log'!$I$4:$I$503,'Trade Log'!$G$4:$G$503,$A188,'Trade Log'!$C$4:$C$503,"SHORT"))</f>
        <v/>
      </c>
      <c r="D188" s="21">
        <f>IF($A188="","",$B188+$C188)</f>
        <v/>
      </c>
      <c r="E188" s="21">
        <f>IF($A188="","",SUMIFS('Trade Log'!$L$4:$L$503,'Trade Log'!$G$4:$G$503,$A188,'Trade Log'!$C$4:$C$503,"LONG"))</f>
        <v/>
      </c>
      <c r="F188" s="21">
        <f>IF($A188="","",SUMIFS('Trade Log'!$L$4:$L$503,'Trade Log'!$G$4:$G$503,$A188,'Trade Log'!$C$4:$C$503,"SHORT"))</f>
        <v/>
      </c>
      <c r="G188" s="21">
        <f>IF($A188="","",$E188+$F188)</f>
        <v/>
      </c>
    </row>
    <row r="189">
      <c r="A189" s="28">
        <f>IF(A188="","",A188+1)</f>
        <v/>
      </c>
      <c r="B189" s="21">
        <f>IF($A189="","",SUMIFS('Trade Log'!$I$4:$I$503,'Trade Log'!$G$4:$G$503,$A189,'Trade Log'!$C$4:$C$503,"LONG"))</f>
        <v/>
      </c>
      <c r="C189" s="21">
        <f>IF($A189="","",SUMIFS('Trade Log'!$I$4:$I$503,'Trade Log'!$G$4:$G$503,$A189,'Trade Log'!$C$4:$C$503,"SHORT"))</f>
        <v/>
      </c>
      <c r="D189" s="21">
        <f>IF($A189="","",$B189+$C189)</f>
        <v/>
      </c>
      <c r="E189" s="21">
        <f>IF($A189="","",SUMIFS('Trade Log'!$L$4:$L$503,'Trade Log'!$G$4:$G$503,$A189,'Trade Log'!$C$4:$C$503,"LONG"))</f>
        <v/>
      </c>
      <c r="F189" s="21">
        <f>IF($A189="","",SUMIFS('Trade Log'!$L$4:$L$503,'Trade Log'!$G$4:$G$503,$A189,'Trade Log'!$C$4:$C$503,"SHORT"))</f>
        <v/>
      </c>
      <c r="G189" s="21">
        <f>IF($A189="","",$E189+$F189)</f>
        <v/>
      </c>
    </row>
    <row r="190">
      <c r="A190" s="28">
        <f>IF(A189="","",A189+1)</f>
        <v/>
      </c>
      <c r="B190" s="21">
        <f>IF($A190="","",SUMIFS('Trade Log'!$I$4:$I$503,'Trade Log'!$G$4:$G$503,$A190,'Trade Log'!$C$4:$C$503,"LONG"))</f>
        <v/>
      </c>
      <c r="C190" s="21">
        <f>IF($A190="","",SUMIFS('Trade Log'!$I$4:$I$503,'Trade Log'!$G$4:$G$503,$A190,'Trade Log'!$C$4:$C$503,"SHORT"))</f>
        <v/>
      </c>
      <c r="D190" s="21">
        <f>IF($A190="","",$B190+$C190)</f>
        <v/>
      </c>
      <c r="E190" s="21">
        <f>IF($A190="","",SUMIFS('Trade Log'!$L$4:$L$503,'Trade Log'!$G$4:$G$503,$A190,'Trade Log'!$C$4:$C$503,"LONG"))</f>
        <v/>
      </c>
      <c r="F190" s="21">
        <f>IF($A190="","",SUMIFS('Trade Log'!$L$4:$L$503,'Trade Log'!$G$4:$G$503,$A190,'Trade Log'!$C$4:$C$503,"SHORT"))</f>
        <v/>
      </c>
      <c r="G190" s="21">
        <f>IF($A190="","",$E190+$F190)</f>
        <v/>
      </c>
    </row>
    <row r="191">
      <c r="A191" s="28">
        <f>IF(A190="","",A190+1)</f>
        <v/>
      </c>
      <c r="B191" s="21">
        <f>IF($A191="","",SUMIFS('Trade Log'!$I$4:$I$503,'Trade Log'!$G$4:$G$503,$A191,'Trade Log'!$C$4:$C$503,"LONG"))</f>
        <v/>
      </c>
      <c r="C191" s="21">
        <f>IF($A191="","",SUMIFS('Trade Log'!$I$4:$I$503,'Trade Log'!$G$4:$G$503,$A191,'Trade Log'!$C$4:$C$503,"SHORT"))</f>
        <v/>
      </c>
      <c r="D191" s="21">
        <f>IF($A191="","",$B191+$C191)</f>
        <v/>
      </c>
      <c r="E191" s="21">
        <f>IF($A191="","",SUMIFS('Trade Log'!$L$4:$L$503,'Trade Log'!$G$4:$G$503,$A191,'Trade Log'!$C$4:$C$503,"LONG"))</f>
        <v/>
      </c>
      <c r="F191" s="21">
        <f>IF($A191="","",SUMIFS('Trade Log'!$L$4:$L$503,'Trade Log'!$G$4:$G$503,$A191,'Trade Log'!$C$4:$C$503,"SHORT"))</f>
        <v/>
      </c>
      <c r="G191" s="21">
        <f>IF($A191="","",$E191+$F191)</f>
        <v/>
      </c>
    </row>
    <row r="192">
      <c r="A192" s="28">
        <f>IF(A191="","",A191+1)</f>
        <v/>
      </c>
      <c r="B192" s="21">
        <f>IF($A192="","",SUMIFS('Trade Log'!$I$4:$I$503,'Trade Log'!$G$4:$G$503,$A192,'Trade Log'!$C$4:$C$503,"LONG"))</f>
        <v/>
      </c>
      <c r="C192" s="21">
        <f>IF($A192="","",SUMIFS('Trade Log'!$I$4:$I$503,'Trade Log'!$G$4:$G$503,$A192,'Trade Log'!$C$4:$C$503,"SHORT"))</f>
        <v/>
      </c>
      <c r="D192" s="21">
        <f>IF($A192="","",$B192+$C192)</f>
        <v/>
      </c>
      <c r="E192" s="21">
        <f>IF($A192="","",SUMIFS('Trade Log'!$L$4:$L$503,'Trade Log'!$G$4:$G$503,$A192,'Trade Log'!$C$4:$C$503,"LONG"))</f>
        <v/>
      </c>
      <c r="F192" s="21">
        <f>IF($A192="","",SUMIFS('Trade Log'!$L$4:$L$503,'Trade Log'!$G$4:$G$503,$A192,'Trade Log'!$C$4:$C$503,"SHORT"))</f>
        <v/>
      </c>
      <c r="G192" s="21">
        <f>IF($A192="","",$E192+$F192)</f>
        <v/>
      </c>
    </row>
    <row r="193">
      <c r="A193" s="28">
        <f>IF(A192="","",A192+1)</f>
        <v/>
      </c>
      <c r="B193" s="21">
        <f>IF($A193="","",SUMIFS('Trade Log'!$I$4:$I$503,'Trade Log'!$G$4:$G$503,$A193,'Trade Log'!$C$4:$C$503,"LONG"))</f>
        <v/>
      </c>
      <c r="C193" s="21">
        <f>IF($A193="","",SUMIFS('Trade Log'!$I$4:$I$503,'Trade Log'!$G$4:$G$503,$A193,'Trade Log'!$C$4:$C$503,"SHORT"))</f>
        <v/>
      </c>
      <c r="D193" s="21">
        <f>IF($A193="","",$B193+$C193)</f>
        <v/>
      </c>
      <c r="E193" s="21">
        <f>IF($A193="","",SUMIFS('Trade Log'!$L$4:$L$503,'Trade Log'!$G$4:$G$503,$A193,'Trade Log'!$C$4:$C$503,"LONG"))</f>
        <v/>
      </c>
      <c r="F193" s="21">
        <f>IF($A193="","",SUMIFS('Trade Log'!$L$4:$L$503,'Trade Log'!$G$4:$G$503,$A193,'Trade Log'!$C$4:$C$503,"SHORT"))</f>
        <v/>
      </c>
      <c r="G193" s="21">
        <f>IF($A193="","",$E193+$F193)</f>
        <v/>
      </c>
    </row>
    <row r="194">
      <c r="A194" s="28">
        <f>IF(A193="","",A193+1)</f>
        <v/>
      </c>
      <c r="B194" s="21">
        <f>IF($A194="","",SUMIFS('Trade Log'!$I$4:$I$503,'Trade Log'!$G$4:$G$503,$A194,'Trade Log'!$C$4:$C$503,"LONG"))</f>
        <v/>
      </c>
      <c r="C194" s="21">
        <f>IF($A194="","",SUMIFS('Trade Log'!$I$4:$I$503,'Trade Log'!$G$4:$G$503,$A194,'Trade Log'!$C$4:$C$503,"SHORT"))</f>
        <v/>
      </c>
      <c r="D194" s="21">
        <f>IF($A194="","",$B194+$C194)</f>
        <v/>
      </c>
      <c r="E194" s="21">
        <f>IF($A194="","",SUMIFS('Trade Log'!$L$4:$L$503,'Trade Log'!$G$4:$G$503,$A194,'Trade Log'!$C$4:$C$503,"LONG"))</f>
        <v/>
      </c>
      <c r="F194" s="21">
        <f>IF($A194="","",SUMIFS('Trade Log'!$L$4:$L$503,'Trade Log'!$G$4:$G$503,$A194,'Trade Log'!$C$4:$C$503,"SHORT"))</f>
        <v/>
      </c>
      <c r="G194" s="21">
        <f>IF($A194="","",$E194+$F194)</f>
        <v/>
      </c>
    </row>
    <row r="195">
      <c r="A195" s="28">
        <f>IF(A194="","",A194+1)</f>
        <v/>
      </c>
      <c r="B195" s="21">
        <f>IF($A195="","",SUMIFS('Trade Log'!$I$4:$I$503,'Trade Log'!$G$4:$G$503,$A195,'Trade Log'!$C$4:$C$503,"LONG"))</f>
        <v/>
      </c>
      <c r="C195" s="21">
        <f>IF($A195="","",SUMIFS('Trade Log'!$I$4:$I$503,'Trade Log'!$G$4:$G$503,$A195,'Trade Log'!$C$4:$C$503,"SHORT"))</f>
        <v/>
      </c>
      <c r="D195" s="21">
        <f>IF($A195="","",$B195+$C195)</f>
        <v/>
      </c>
      <c r="E195" s="21">
        <f>IF($A195="","",SUMIFS('Trade Log'!$L$4:$L$503,'Trade Log'!$G$4:$G$503,$A195,'Trade Log'!$C$4:$C$503,"LONG"))</f>
        <v/>
      </c>
      <c r="F195" s="21">
        <f>IF($A195="","",SUMIFS('Trade Log'!$L$4:$L$503,'Trade Log'!$G$4:$G$503,$A195,'Trade Log'!$C$4:$C$503,"SHORT"))</f>
        <v/>
      </c>
      <c r="G195" s="21">
        <f>IF($A195="","",$E195+$F195)</f>
        <v/>
      </c>
    </row>
    <row r="196">
      <c r="A196" s="28">
        <f>IF(A195="","",A195+1)</f>
        <v/>
      </c>
      <c r="B196" s="21">
        <f>IF($A196="","",SUMIFS('Trade Log'!$I$4:$I$503,'Trade Log'!$G$4:$G$503,$A196,'Trade Log'!$C$4:$C$503,"LONG"))</f>
        <v/>
      </c>
      <c r="C196" s="21">
        <f>IF($A196="","",SUMIFS('Trade Log'!$I$4:$I$503,'Trade Log'!$G$4:$G$503,$A196,'Trade Log'!$C$4:$C$503,"SHORT"))</f>
        <v/>
      </c>
      <c r="D196" s="21">
        <f>IF($A196="","",$B196+$C196)</f>
        <v/>
      </c>
      <c r="E196" s="21">
        <f>IF($A196="","",SUMIFS('Trade Log'!$L$4:$L$503,'Trade Log'!$G$4:$G$503,$A196,'Trade Log'!$C$4:$C$503,"LONG"))</f>
        <v/>
      </c>
      <c r="F196" s="21">
        <f>IF($A196="","",SUMIFS('Trade Log'!$L$4:$L$503,'Trade Log'!$G$4:$G$503,$A196,'Trade Log'!$C$4:$C$503,"SHORT"))</f>
        <v/>
      </c>
      <c r="G196" s="21">
        <f>IF($A196="","",$E196+$F196)</f>
        <v/>
      </c>
    </row>
    <row r="197">
      <c r="A197" s="28">
        <f>IF(A196="","",A196+1)</f>
        <v/>
      </c>
      <c r="B197" s="21">
        <f>IF($A197="","",SUMIFS('Trade Log'!$I$4:$I$503,'Trade Log'!$G$4:$G$503,$A197,'Trade Log'!$C$4:$C$503,"LONG"))</f>
        <v/>
      </c>
      <c r="C197" s="21">
        <f>IF($A197="","",SUMIFS('Trade Log'!$I$4:$I$503,'Trade Log'!$G$4:$G$503,$A197,'Trade Log'!$C$4:$C$503,"SHORT"))</f>
        <v/>
      </c>
      <c r="D197" s="21">
        <f>IF($A197="","",$B197+$C197)</f>
        <v/>
      </c>
      <c r="E197" s="21">
        <f>IF($A197="","",SUMIFS('Trade Log'!$L$4:$L$503,'Trade Log'!$G$4:$G$503,$A197,'Trade Log'!$C$4:$C$503,"LONG"))</f>
        <v/>
      </c>
      <c r="F197" s="21">
        <f>IF($A197="","",SUMIFS('Trade Log'!$L$4:$L$503,'Trade Log'!$G$4:$G$503,$A197,'Trade Log'!$C$4:$C$503,"SHORT"))</f>
        <v/>
      </c>
      <c r="G197" s="21">
        <f>IF($A197="","",$E197+$F197)</f>
        <v/>
      </c>
    </row>
    <row r="198">
      <c r="A198" s="28">
        <f>IF(A197="","",A197+1)</f>
        <v/>
      </c>
      <c r="B198" s="21">
        <f>IF($A198="","",SUMIFS('Trade Log'!$I$4:$I$503,'Trade Log'!$G$4:$G$503,$A198,'Trade Log'!$C$4:$C$503,"LONG"))</f>
        <v/>
      </c>
      <c r="C198" s="21">
        <f>IF($A198="","",SUMIFS('Trade Log'!$I$4:$I$503,'Trade Log'!$G$4:$G$503,$A198,'Trade Log'!$C$4:$C$503,"SHORT"))</f>
        <v/>
      </c>
      <c r="D198" s="21">
        <f>IF($A198="","",$B198+$C198)</f>
        <v/>
      </c>
      <c r="E198" s="21">
        <f>IF($A198="","",SUMIFS('Trade Log'!$L$4:$L$503,'Trade Log'!$G$4:$G$503,$A198,'Trade Log'!$C$4:$C$503,"LONG"))</f>
        <v/>
      </c>
      <c r="F198" s="21">
        <f>IF($A198="","",SUMIFS('Trade Log'!$L$4:$L$503,'Trade Log'!$G$4:$G$503,$A198,'Trade Log'!$C$4:$C$503,"SHORT"))</f>
        <v/>
      </c>
      <c r="G198" s="21">
        <f>IF($A198="","",$E198+$F198)</f>
        <v/>
      </c>
    </row>
    <row r="199">
      <c r="A199" s="28">
        <f>IF(A198="","",A198+1)</f>
        <v/>
      </c>
      <c r="B199" s="21">
        <f>IF($A199="","",SUMIFS('Trade Log'!$I$4:$I$503,'Trade Log'!$G$4:$G$503,$A199,'Trade Log'!$C$4:$C$503,"LONG"))</f>
        <v/>
      </c>
      <c r="C199" s="21">
        <f>IF($A199="","",SUMIFS('Trade Log'!$I$4:$I$503,'Trade Log'!$G$4:$G$503,$A199,'Trade Log'!$C$4:$C$503,"SHORT"))</f>
        <v/>
      </c>
      <c r="D199" s="21">
        <f>IF($A199="","",$B199+$C199)</f>
        <v/>
      </c>
      <c r="E199" s="21">
        <f>IF($A199="","",SUMIFS('Trade Log'!$L$4:$L$503,'Trade Log'!$G$4:$G$503,$A199,'Trade Log'!$C$4:$C$503,"LONG"))</f>
        <v/>
      </c>
      <c r="F199" s="21">
        <f>IF($A199="","",SUMIFS('Trade Log'!$L$4:$L$503,'Trade Log'!$G$4:$G$503,$A199,'Trade Log'!$C$4:$C$503,"SHORT"))</f>
        <v/>
      </c>
      <c r="G199" s="21">
        <f>IF($A199="","",$E199+$F199)</f>
        <v/>
      </c>
    </row>
    <row r="200">
      <c r="A200" s="28">
        <f>IF(A199="","",A199+1)</f>
        <v/>
      </c>
      <c r="B200" s="21">
        <f>IF($A200="","",SUMIFS('Trade Log'!$I$4:$I$503,'Trade Log'!$G$4:$G$503,$A200,'Trade Log'!$C$4:$C$503,"LONG"))</f>
        <v/>
      </c>
      <c r="C200" s="21">
        <f>IF($A200="","",SUMIFS('Trade Log'!$I$4:$I$503,'Trade Log'!$G$4:$G$503,$A200,'Trade Log'!$C$4:$C$503,"SHORT"))</f>
        <v/>
      </c>
      <c r="D200" s="21">
        <f>IF($A200="","",$B200+$C200)</f>
        <v/>
      </c>
      <c r="E200" s="21">
        <f>IF($A200="","",SUMIFS('Trade Log'!$L$4:$L$503,'Trade Log'!$G$4:$G$503,$A200,'Trade Log'!$C$4:$C$503,"LONG"))</f>
        <v/>
      </c>
      <c r="F200" s="21">
        <f>IF($A200="","",SUMIFS('Trade Log'!$L$4:$L$503,'Trade Log'!$G$4:$G$503,$A200,'Trade Log'!$C$4:$C$503,"SHORT"))</f>
        <v/>
      </c>
      <c r="G200" s="21">
        <f>IF($A200="","",$E200+$F200)</f>
        <v/>
      </c>
    </row>
    <row r="201">
      <c r="A201" s="28">
        <f>IF(A200="","",A200+1)</f>
        <v/>
      </c>
      <c r="B201" s="21">
        <f>IF($A201="","",SUMIFS('Trade Log'!$I$4:$I$503,'Trade Log'!$G$4:$G$503,$A201,'Trade Log'!$C$4:$C$503,"LONG"))</f>
        <v/>
      </c>
      <c r="C201" s="21">
        <f>IF($A201="","",SUMIFS('Trade Log'!$I$4:$I$503,'Trade Log'!$G$4:$G$503,$A201,'Trade Log'!$C$4:$C$503,"SHORT"))</f>
        <v/>
      </c>
      <c r="D201" s="21">
        <f>IF($A201="","",$B201+$C201)</f>
        <v/>
      </c>
      <c r="E201" s="21">
        <f>IF($A201="","",SUMIFS('Trade Log'!$L$4:$L$503,'Trade Log'!$G$4:$G$503,$A201,'Trade Log'!$C$4:$C$503,"LONG"))</f>
        <v/>
      </c>
      <c r="F201" s="21">
        <f>IF($A201="","",SUMIFS('Trade Log'!$L$4:$L$503,'Trade Log'!$G$4:$G$503,$A201,'Trade Log'!$C$4:$C$503,"SHORT"))</f>
        <v/>
      </c>
      <c r="G201" s="21">
        <f>IF($A201="","",$E201+$F201)</f>
        <v/>
      </c>
    </row>
    <row r="202">
      <c r="A202" s="28">
        <f>IF(A201="","",A201+1)</f>
        <v/>
      </c>
      <c r="B202" s="21">
        <f>IF($A202="","",SUMIFS('Trade Log'!$I$4:$I$503,'Trade Log'!$G$4:$G$503,$A202,'Trade Log'!$C$4:$C$503,"LONG"))</f>
        <v/>
      </c>
      <c r="C202" s="21">
        <f>IF($A202="","",SUMIFS('Trade Log'!$I$4:$I$503,'Trade Log'!$G$4:$G$503,$A202,'Trade Log'!$C$4:$C$503,"SHORT"))</f>
        <v/>
      </c>
      <c r="D202" s="21">
        <f>IF($A202="","",$B202+$C202)</f>
        <v/>
      </c>
      <c r="E202" s="21">
        <f>IF($A202="","",SUMIFS('Trade Log'!$L$4:$L$503,'Trade Log'!$G$4:$G$503,$A202,'Trade Log'!$C$4:$C$503,"LONG"))</f>
        <v/>
      </c>
      <c r="F202" s="21">
        <f>IF($A202="","",SUMIFS('Trade Log'!$L$4:$L$503,'Trade Log'!$G$4:$G$503,$A202,'Trade Log'!$C$4:$C$503,"SHORT"))</f>
        <v/>
      </c>
      <c r="G202" s="21">
        <f>IF($A202="","",$E202+$F202)</f>
        <v/>
      </c>
    </row>
    <row r="203">
      <c r="A203" s="28">
        <f>IF(A202="","",A202+1)</f>
        <v/>
      </c>
      <c r="B203" s="21">
        <f>IF($A203="","",SUMIFS('Trade Log'!$I$4:$I$503,'Trade Log'!$G$4:$G$503,$A203,'Trade Log'!$C$4:$C$503,"LONG"))</f>
        <v/>
      </c>
      <c r="C203" s="21">
        <f>IF($A203="","",SUMIFS('Trade Log'!$I$4:$I$503,'Trade Log'!$G$4:$G$503,$A203,'Trade Log'!$C$4:$C$503,"SHORT"))</f>
        <v/>
      </c>
      <c r="D203" s="21">
        <f>IF($A203="","",$B203+$C203)</f>
        <v/>
      </c>
      <c r="E203" s="21">
        <f>IF($A203="","",SUMIFS('Trade Log'!$L$4:$L$503,'Trade Log'!$G$4:$G$503,$A203,'Trade Log'!$C$4:$C$503,"LONG"))</f>
        <v/>
      </c>
      <c r="F203" s="21">
        <f>IF($A203="","",SUMIFS('Trade Log'!$L$4:$L$503,'Trade Log'!$G$4:$G$503,$A203,'Trade Log'!$C$4:$C$503,"SHORT"))</f>
        <v/>
      </c>
      <c r="G203" s="21">
        <f>IF($A203="","",$E203+$F203)</f>
        <v/>
      </c>
    </row>
    <row r="204">
      <c r="A204" s="28">
        <f>IF(A203="","",A203+1)</f>
        <v/>
      </c>
      <c r="B204" s="21">
        <f>IF($A204="","",SUMIFS('Trade Log'!$I$4:$I$503,'Trade Log'!$G$4:$G$503,$A204,'Trade Log'!$C$4:$C$503,"LONG"))</f>
        <v/>
      </c>
      <c r="C204" s="21">
        <f>IF($A204="","",SUMIFS('Trade Log'!$I$4:$I$503,'Trade Log'!$G$4:$G$503,$A204,'Trade Log'!$C$4:$C$503,"SHORT"))</f>
        <v/>
      </c>
      <c r="D204" s="21">
        <f>IF($A204="","",$B204+$C204)</f>
        <v/>
      </c>
      <c r="E204" s="21">
        <f>IF($A204="","",SUMIFS('Trade Log'!$L$4:$L$503,'Trade Log'!$G$4:$G$503,$A204,'Trade Log'!$C$4:$C$503,"LONG"))</f>
        <v/>
      </c>
      <c r="F204" s="21">
        <f>IF($A204="","",SUMIFS('Trade Log'!$L$4:$L$503,'Trade Log'!$G$4:$G$503,$A204,'Trade Log'!$C$4:$C$503,"SHORT"))</f>
        <v/>
      </c>
      <c r="G204" s="21">
        <f>IF($A204="","",$E204+$F204)</f>
        <v/>
      </c>
    </row>
    <row r="205">
      <c r="A205" s="28">
        <f>IF(A204="","",A204+1)</f>
        <v/>
      </c>
      <c r="B205" s="21">
        <f>IF($A205="","",SUMIFS('Trade Log'!$I$4:$I$503,'Trade Log'!$G$4:$G$503,$A205,'Trade Log'!$C$4:$C$503,"LONG"))</f>
        <v/>
      </c>
      <c r="C205" s="21">
        <f>IF($A205="","",SUMIFS('Trade Log'!$I$4:$I$503,'Trade Log'!$G$4:$G$503,$A205,'Trade Log'!$C$4:$C$503,"SHORT"))</f>
        <v/>
      </c>
      <c r="D205" s="21">
        <f>IF($A205="","",$B205+$C205)</f>
        <v/>
      </c>
      <c r="E205" s="21">
        <f>IF($A205="","",SUMIFS('Trade Log'!$L$4:$L$503,'Trade Log'!$G$4:$G$503,$A205,'Trade Log'!$C$4:$C$503,"LONG"))</f>
        <v/>
      </c>
      <c r="F205" s="21">
        <f>IF($A205="","",SUMIFS('Trade Log'!$L$4:$L$503,'Trade Log'!$G$4:$G$503,$A205,'Trade Log'!$C$4:$C$503,"SHORT"))</f>
        <v/>
      </c>
      <c r="G205" s="21">
        <f>IF($A205="","",$E205+$F205)</f>
        <v/>
      </c>
    </row>
    <row r="206">
      <c r="A206" s="28">
        <f>IF(A205="","",A205+1)</f>
        <v/>
      </c>
      <c r="B206" s="21">
        <f>IF($A206="","",SUMIFS('Trade Log'!$I$4:$I$503,'Trade Log'!$G$4:$G$503,$A206,'Trade Log'!$C$4:$C$503,"LONG"))</f>
        <v/>
      </c>
      <c r="C206" s="21">
        <f>IF($A206="","",SUMIFS('Trade Log'!$I$4:$I$503,'Trade Log'!$G$4:$G$503,$A206,'Trade Log'!$C$4:$C$503,"SHORT"))</f>
        <v/>
      </c>
      <c r="D206" s="21">
        <f>IF($A206="","",$B206+$C206)</f>
        <v/>
      </c>
      <c r="E206" s="21">
        <f>IF($A206="","",SUMIFS('Trade Log'!$L$4:$L$503,'Trade Log'!$G$4:$G$503,$A206,'Trade Log'!$C$4:$C$503,"LONG"))</f>
        <v/>
      </c>
      <c r="F206" s="21">
        <f>IF($A206="","",SUMIFS('Trade Log'!$L$4:$L$503,'Trade Log'!$G$4:$G$503,$A206,'Trade Log'!$C$4:$C$503,"SHORT"))</f>
        <v/>
      </c>
      <c r="G206" s="21">
        <f>IF($A206="","",$E206+$F206)</f>
        <v/>
      </c>
    </row>
    <row r="207">
      <c r="A207" s="28">
        <f>IF(A206="","",A206+1)</f>
        <v/>
      </c>
      <c r="B207" s="21">
        <f>IF($A207="","",SUMIFS('Trade Log'!$I$4:$I$503,'Trade Log'!$G$4:$G$503,$A207,'Trade Log'!$C$4:$C$503,"LONG"))</f>
        <v/>
      </c>
      <c r="C207" s="21">
        <f>IF($A207="","",SUMIFS('Trade Log'!$I$4:$I$503,'Trade Log'!$G$4:$G$503,$A207,'Trade Log'!$C$4:$C$503,"SHORT"))</f>
        <v/>
      </c>
      <c r="D207" s="21">
        <f>IF($A207="","",$B207+$C207)</f>
        <v/>
      </c>
      <c r="E207" s="21">
        <f>IF($A207="","",SUMIFS('Trade Log'!$L$4:$L$503,'Trade Log'!$G$4:$G$503,$A207,'Trade Log'!$C$4:$C$503,"LONG"))</f>
        <v/>
      </c>
      <c r="F207" s="21">
        <f>IF($A207="","",SUMIFS('Trade Log'!$L$4:$L$503,'Trade Log'!$G$4:$G$503,$A207,'Trade Log'!$C$4:$C$503,"SHORT"))</f>
        <v/>
      </c>
      <c r="G207" s="21">
        <f>IF($A207="","",$E207+$F207)</f>
        <v/>
      </c>
    </row>
    <row r="208">
      <c r="A208" s="28">
        <f>IF(A207="","",A207+1)</f>
        <v/>
      </c>
      <c r="B208" s="21">
        <f>IF($A208="","",SUMIFS('Trade Log'!$I$4:$I$503,'Trade Log'!$G$4:$G$503,$A208,'Trade Log'!$C$4:$C$503,"LONG"))</f>
        <v/>
      </c>
      <c r="C208" s="21">
        <f>IF($A208="","",SUMIFS('Trade Log'!$I$4:$I$503,'Trade Log'!$G$4:$G$503,$A208,'Trade Log'!$C$4:$C$503,"SHORT"))</f>
        <v/>
      </c>
      <c r="D208" s="21">
        <f>IF($A208="","",$B208+$C208)</f>
        <v/>
      </c>
      <c r="E208" s="21">
        <f>IF($A208="","",SUMIFS('Trade Log'!$L$4:$L$503,'Trade Log'!$G$4:$G$503,$A208,'Trade Log'!$C$4:$C$503,"LONG"))</f>
        <v/>
      </c>
      <c r="F208" s="21">
        <f>IF($A208="","",SUMIFS('Trade Log'!$L$4:$L$503,'Trade Log'!$G$4:$G$503,$A208,'Trade Log'!$C$4:$C$503,"SHORT"))</f>
        <v/>
      </c>
      <c r="G208" s="21">
        <f>IF($A208="","",$E208+$F208)</f>
        <v/>
      </c>
    </row>
    <row r="209">
      <c r="A209" s="28">
        <f>IF(A208="","",A208+1)</f>
        <v/>
      </c>
      <c r="B209" s="21">
        <f>IF($A209="","",SUMIFS('Trade Log'!$I$4:$I$503,'Trade Log'!$G$4:$G$503,$A209,'Trade Log'!$C$4:$C$503,"LONG"))</f>
        <v/>
      </c>
      <c r="C209" s="21">
        <f>IF($A209="","",SUMIFS('Trade Log'!$I$4:$I$503,'Trade Log'!$G$4:$G$503,$A209,'Trade Log'!$C$4:$C$503,"SHORT"))</f>
        <v/>
      </c>
      <c r="D209" s="21">
        <f>IF($A209="","",$B209+$C209)</f>
        <v/>
      </c>
      <c r="E209" s="21">
        <f>IF($A209="","",SUMIFS('Trade Log'!$L$4:$L$503,'Trade Log'!$G$4:$G$503,$A209,'Trade Log'!$C$4:$C$503,"LONG"))</f>
        <v/>
      </c>
      <c r="F209" s="21">
        <f>IF($A209="","",SUMIFS('Trade Log'!$L$4:$L$503,'Trade Log'!$G$4:$G$503,$A209,'Trade Log'!$C$4:$C$503,"SHORT"))</f>
        <v/>
      </c>
      <c r="G209" s="21">
        <f>IF($A209="","",$E209+$F209)</f>
        <v/>
      </c>
    </row>
    <row r="210">
      <c r="A210" s="28">
        <f>IF(A209="","",A209+1)</f>
        <v/>
      </c>
      <c r="B210" s="21">
        <f>IF($A210="","",SUMIFS('Trade Log'!$I$4:$I$503,'Trade Log'!$G$4:$G$503,$A210,'Trade Log'!$C$4:$C$503,"LONG"))</f>
        <v/>
      </c>
      <c r="C210" s="21">
        <f>IF($A210="","",SUMIFS('Trade Log'!$I$4:$I$503,'Trade Log'!$G$4:$G$503,$A210,'Trade Log'!$C$4:$C$503,"SHORT"))</f>
        <v/>
      </c>
      <c r="D210" s="21">
        <f>IF($A210="","",$B210+$C210)</f>
        <v/>
      </c>
      <c r="E210" s="21">
        <f>IF($A210="","",SUMIFS('Trade Log'!$L$4:$L$503,'Trade Log'!$G$4:$G$503,$A210,'Trade Log'!$C$4:$C$503,"LONG"))</f>
        <v/>
      </c>
      <c r="F210" s="21">
        <f>IF($A210="","",SUMIFS('Trade Log'!$L$4:$L$503,'Trade Log'!$G$4:$G$503,$A210,'Trade Log'!$C$4:$C$503,"SHORT"))</f>
        <v/>
      </c>
      <c r="G210" s="21">
        <f>IF($A210="","",$E210+$F210)</f>
        <v/>
      </c>
    </row>
    <row r="211">
      <c r="A211" s="28">
        <f>IF(A210="","",A210+1)</f>
        <v/>
      </c>
      <c r="B211" s="21">
        <f>IF($A211="","",SUMIFS('Trade Log'!$I$4:$I$503,'Trade Log'!$G$4:$G$503,$A211,'Trade Log'!$C$4:$C$503,"LONG"))</f>
        <v/>
      </c>
      <c r="C211" s="21">
        <f>IF($A211="","",SUMIFS('Trade Log'!$I$4:$I$503,'Trade Log'!$G$4:$G$503,$A211,'Trade Log'!$C$4:$C$503,"SHORT"))</f>
        <v/>
      </c>
      <c r="D211" s="21">
        <f>IF($A211="","",$B211+$C211)</f>
        <v/>
      </c>
      <c r="E211" s="21">
        <f>IF($A211="","",SUMIFS('Trade Log'!$L$4:$L$503,'Trade Log'!$G$4:$G$503,$A211,'Trade Log'!$C$4:$C$503,"LONG"))</f>
        <v/>
      </c>
      <c r="F211" s="21">
        <f>IF($A211="","",SUMIFS('Trade Log'!$L$4:$L$503,'Trade Log'!$G$4:$G$503,$A211,'Trade Log'!$C$4:$C$503,"SHORT"))</f>
        <v/>
      </c>
      <c r="G211" s="21">
        <f>IF($A211="","",$E211+$F211)</f>
        <v/>
      </c>
    </row>
    <row r="212">
      <c r="A212" s="28">
        <f>IF(A211="","",A211+1)</f>
        <v/>
      </c>
      <c r="B212" s="21">
        <f>IF($A212="","",SUMIFS('Trade Log'!$I$4:$I$503,'Trade Log'!$G$4:$G$503,$A212,'Trade Log'!$C$4:$C$503,"LONG"))</f>
        <v/>
      </c>
      <c r="C212" s="21">
        <f>IF($A212="","",SUMIFS('Trade Log'!$I$4:$I$503,'Trade Log'!$G$4:$G$503,$A212,'Trade Log'!$C$4:$C$503,"SHORT"))</f>
        <v/>
      </c>
      <c r="D212" s="21">
        <f>IF($A212="","",$B212+$C212)</f>
        <v/>
      </c>
      <c r="E212" s="21">
        <f>IF($A212="","",SUMIFS('Trade Log'!$L$4:$L$503,'Trade Log'!$G$4:$G$503,$A212,'Trade Log'!$C$4:$C$503,"LONG"))</f>
        <v/>
      </c>
      <c r="F212" s="21">
        <f>IF($A212="","",SUMIFS('Trade Log'!$L$4:$L$503,'Trade Log'!$G$4:$G$503,$A212,'Trade Log'!$C$4:$C$503,"SHORT"))</f>
        <v/>
      </c>
      <c r="G212" s="21">
        <f>IF($A212="","",$E212+$F212)</f>
        <v/>
      </c>
    </row>
    <row r="213">
      <c r="A213" s="28">
        <f>IF(A212="","",A212+1)</f>
        <v/>
      </c>
      <c r="B213" s="21">
        <f>IF($A213="","",SUMIFS('Trade Log'!$I$4:$I$503,'Trade Log'!$G$4:$G$503,$A213,'Trade Log'!$C$4:$C$503,"LONG"))</f>
        <v/>
      </c>
      <c r="C213" s="21">
        <f>IF($A213="","",SUMIFS('Trade Log'!$I$4:$I$503,'Trade Log'!$G$4:$G$503,$A213,'Trade Log'!$C$4:$C$503,"SHORT"))</f>
        <v/>
      </c>
      <c r="D213" s="21">
        <f>IF($A213="","",$B213+$C213)</f>
        <v/>
      </c>
      <c r="E213" s="21">
        <f>IF($A213="","",SUMIFS('Trade Log'!$L$4:$L$503,'Trade Log'!$G$4:$G$503,$A213,'Trade Log'!$C$4:$C$503,"LONG"))</f>
        <v/>
      </c>
      <c r="F213" s="21">
        <f>IF($A213="","",SUMIFS('Trade Log'!$L$4:$L$503,'Trade Log'!$G$4:$G$503,$A213,'Trade Log'!$C$4:$C$503,"SHORT"))</f>
        <v/>
      </c>
      <c r="G213" s="21">
        <f>IF($A213="","",$E213+$F213)</f>
        <v/>
      </c>
    </row>
    <row r="214">
      <c r="A214" s="28">
        <f>IF(A213="","",A213+1)</f>
        <v/>
      </c>
      <c r="B214" s="21">
        <f>IF($A214="","",SUMIFS('Trade Log'!$I$4:$I$503,'Trade Log'!$G$4:$G$503,$A214,'Trade Log'!$C$4:$C$503,"LONG"))</f>
        <v/>
      </c>
      <c r="C214" s="21">
        <f>IF($A214="","",SUMIFS('Trade Log'!$I$4:$I$503,'Trade Log'!$G$4:$G$503,$A214,'Trade Log'!$C$4:$C$503,"SHORT"))</f>
        <v/>
      </c>
      <c r="D214" s="21">
        <f>IF($A214="","",$B214+$C214)</f>
        <v/>
      </c>
      <c r="E214" s="21">
        <f>IF($A214="","",SUMIFS('Trade Log'!$L$4:$L$503,'Trade Log'!$G$4:$G$503,$A214,'Trade Log'!$C$4:$C$503,"LONG"))</f>
        <v/>
      </c>
      <c r="F214" s="21">
        <f>IF($A214="","",SUMIFS('Trade Log'!$L$4:$L$503,'Trade Log'!$G$4:$G$503,$A214,'Trade Log'!$C$4:$C$503,"SHORT"))</f>
        <v/>
      </c>
      <c r="G214" s="21">
        <f>IF($A214="","",$E214+$F214)</f>
        <v/>
      </c>
    </row>
    <row r="215">
      <c r="A215" s="28">
        <f>IF(A214="","",A214+1)</f>
        <v/>
      </c>
      <c r="B215" s="21">
        <f>IF($A215="","",SUMIFS('Trade Log'!$I$4:$I$503,'Trade Log'!$G$4:$G$503,$A215,'Trade Log'!$C$4:$C$503,"LONG"))</f>
        <v/>
      </c>
      <c r="C215" s="21">
        <f>IF($A215="","",SUMIFS('Trade Log'!$I$4:$I$503,'Trade Log'!$G$4:$G$503,$A215,'Trade Log'!$C$4:$C$503,"SHORT"))</f>
        <v/>
      </c>
      <c r="D215" s="21">
        <f>IF($A215="","",$B215+$C215)</f>
        <v/>
      </c>
      <c r="E215" s="21">
        <f>IF($A215="","",SUMIFS('Trade Log'!$L$4:$L$503,'Trade Log'!$G$4:$G$503,$A215,'Trade Log'!$C$4:$C$503,"LONG"))</f>
        <v/>
      </c>
      <c r="F215" s="21">
        <f>IF($A215="","",SUMIFS('Trade Log'!$L$4:$L$503,'Trade Log'!$G$4:$G$503,$A215,'Trade Log'!$C$4:$C$503,"SHORT"))</f>
        <v/>
      </c>
      <c r="G215" s="21">
        <f>IF($A215="","",$E215+$F215)</f>
        <v/>
      </c>
    </row>
    <row r="216">
      <c r="A216" s="28">
        <f>IF(A215="","",A215+1)</f>
        <v/>
      </c>
      <c r="B216" s="21">
        <f>IF($A216="","",SUMIFS('Trade Log'!$I$4:$I$503,'Trade Log'!$G$4:$G$503,$A216,'Trade Log'!$C$4:$C$503,"LONG"))</f>
        <v/>
      </c>
      <c r="C216" s="21">
        <f>IF($A216="","",SUMIFS('Trade Log'!$I$4:$I$503,'Trade Log'!$G$4:$G$503,$A216,'Trade Log'!$C$4:$C$503,"SHORT"))</f>
        <v/>
      </c>
      <c r="D216" s="21">
        <f>IF($A216="","",$B216+$C216)</f>
        <v/>
      </c>
      <c r="E216" s="21">
        <f>IF($A216="","",SUMIFS('Trade Log'!$L$4:$L$503,'Trade Log'!$G$4:$G$503,$A216,'Trade Log'!$C$4:$C$503,"LONG"))</f>
        <v/>
      </c>
      <c r="F216" s="21">
        <f>IF($A216="","",SUMIFS('Trade Log'!$L$4:$L$503,'Trade Log'!$G$4:$G$503,$A216,'Trade Log'!$C$4:$C$503,"SHORT"))</f>
        <v/>
      </c>
      <c r="G216" s="21">
        <f>IF($A216="","",$E216+$F216)</f>
        <v/>
      </c>
    </row>
    <row r="217">
      <c r="A217" s="28">
        <f>IF(A216="","",A216+1)</f>
        <v/>
      </c>
      <c r="B217" s="21">
        <f>IF($A217="","",SUMIFS('Trade Log'!$I$4:$I$503,'Trade Log'!$G$4:$G$503,$A217,'Trade Log'!$C$4:$C$503,"LONG"))</f>
        <v/>
      </c>
      <c r="C217" s="21">
        <f>IF($A217="","",SUMIFS('Trade Log'!$I$4:$I$503,'Trade Log'!$G$4:$G$503,$A217,'Trade Log'!$C$4:$C$503,"SHORT"))</f>
        <v/>
      </c>
      <c r="D217" s="21">
        <f>IF($A217="","",$B217+$C217)</f>
        <v/>
      </c>
      <c r="E217" s="21">
        <f>IF($A217="","",SUMIFS('Trade Log'!$L$4:$L$503,'Trade Log'!$G$4:$G$503,$A217,'Trade Log'!$C$4:$C$503,"LONG"))</f>
        <v/>
      </c>
      <c r="F217" s="21">
        <f>IF($A217="","",SUMIFS('Trade Log'!$L$4:$L$503,'Trade Log'!$G$4:$G$503,$A217,'Trade Log'!$C$4:$C$503,"SHORT"))</f>
        <v/>
      </c>
      <c r="G217" s="21">
        <f>IF($A217="","",$E217+$F217)</f>
        <v/>
      </c>
    </row>
    <row r="218">
      <c r="A218" s="28">
        <f>IF(A217="","",A217+1)</f>
        <v/>
      </c>
      <c r="B218" s="21">
        <f>IF($A218="","",SUMIFS('Trade Log'!$I$4:$I$503,'Trade Log'!$G$4:$G$503,$A218,'Trade Log'!$C$4:$C$503,"LONG"))</f>
        <v/>
      </c>
      <c r="C218" s="21">
        <f>IF($A218="","",SUMIFS('Trade Log'!$I$4:$I$503,'Trade Log'!$G$4:$G$503,$A218,'Trade Log'!$C$4:$C$503,"SHORT"))</f>
        <v/>
      </c>
      <c r="D218" s="21">
        <f>IF($A218="","",$B218+$C218)</f>
        <v/>
      </c>
      <c r="E218" s="21">
        <f>IF($A218="","",SUMIFS('Trade Log'!$L$4:$L$503,'Trade Log'!$G$4:$G$503,$A218,'Trade Log'!$C$4:$C$503,"LONG"))</f>
        <v/>
      </c>
      <c r="F218" s="21">
        <f>IF($A218="","",SUMIFS('Trade Log'!$L$4:$L$503,'Trade Log'!$G$4:$G$503,$A218,'Trade Log'!$C$4:$C$503,"SHORT"))</f>
        <v/>
      </c>
      <c r="G218" s="21">
        <f>IF($A218="","",$E218+$F218)</f>
        <v/>
      </c>
    </row>
    <row r="219">
      <c r="A219" s="28">
        <f>IF(A218="","",A218+1)</f>
        <v/>
      </c>
      <c r="B219" s="21">
        <f>IF($A219="","",SUMIFS('Trade Log'!$I$4:$I$503,'Trade Log'!$G$4:$G$503,$A219,'Trade Log'!$C$4:$C$503,"LONG"))</f>
        <v/>
      </c>
      <c r="C219" s="21">
        <f>IF($A219="","",SUMIFS('Trade Log'!$I$4:$I$503,'Trade Log'!$G$4:$G$503,$A219,'Trade Log'!$C$4:$C$503,"SHORT"))</f>
        <v/>
      </c>
      <c r="D219" s="21">
        <f>IF($A219="","",$B219+$C219)</f>
        <v/>
      </c>
      <c r="E219" s="21">
        <f>IF($A219="","",SUMIFS('Trade Log'!$L$4:$L$503,'Trade Log'!$G$4:$G$503,$A219,'Trade Log'!$C$4:$C$503,"LONG"))</f>
        <v/>
      </c>
      <c r="F219" s="21">
        <f>IF($A219="","",SUMIFS('Trade Log'!$L$4:$L$503,'Trade Log'!$G$4:$G$503,$A219,'Trade Log'!$C$4:$C$503,"SHORT"))</f>
        <v/>
      </c>
      <c r="G219" s="21">
        <f>IF($A219="","",$E219+$F219)</f>
        <v/>
      </c>
    </row>
    <row r="220">
      <c r="A220" s="28">
        <f>IF(A219="","",A219+1)</f>
        <v/>
      </c>
      <c r="B220" s="21">
        <f>IF($A220="","",SUMIFS('Trade Log'!$I$4:$I$503,'Trade Log'!$G$4:$G$503,$A220,'Trade Log'!$C$4:$C$503,"LONG"))</f>
        <v/>
      </c>
      <c r="C220" s="21">
        <f>IF($A220="","",SUMIFS('Trade Log'!$I$4:$I$503,'Trade Log'!$G$4:$G$503,$A220,'Trade Log'!$C$4:$C$503,"SHORT"))</f>
        <v/>
      </c>
      <c r="D220" s="21">
        <f>IF($A220="","",$B220+$C220)</f>
        <v/>
      </c>
      <c r="E220" s="21">
        <f>IF($A220="","",SUMIFS('Trade Log'!$L$4:$L$503,'Trade Log'!$G$4:$G$503,$A220,'Trade Log'!$C$4:$C$503,"LONG"))</f>
        <v/>
      </c>
      <c r="F220" s="21">
        <f>IF($A220="","",SUMIFS('Trade Log'!$L$4:$L$503,'Trade Log'!$G$4:$G$503,$A220,'Trade Log'!$C$4:$C$503,"SHORT"))</f>
        <v/>
      </c>
      <c r="G220" s="21">
        <f>IF($A220="","",$E220+$F220)</f>
        <v/>
      </c>
    </row>
    <row r="221">
      <c r="A221" s="28">
        <f>IF(A220="","",A220+1)</f>
        <v/>
      </c>
      <c r="B221" s="21">
        <f>IF($A221="","",SUMIFS('Trade Log'!$I$4:$I$503,'Trade Log'!$G$4:$G$503,$A221,'Trade Log'!$C$4:$C$503,"LONG"))</f>
        <v/>
      </c>
      <c r="C221" s="21">
        <f>IF($A221="","",SUMIFS('Trade Log'!$I$4:$I$503,'Trade Log'!$G$4:$G$503,$A221,'Trade Log'!$C$4:$C$503,"SHORT"))</f>
        <v/>
      </c>
      <c r="D221" s="21">
        <f>IF($A221="","",$B221+$C221)</f>
        <v/>
      </c>
      <c r="E221" s="21">
        <f>IF($A221="","",SUMIFS('Trade Log'!$L$4:$L$503,'Trade Log'!$G$4:$G$503,$A221,'Trade Log'!$C$4:$C$503,"LONG"))</f>
        <v/>
      </c>
      <c r="F221" s="21">
        <f>IF($A221="","",SUMIFS('Trade Log'!$L$4:$L$503,'Trade Log'!$G$4:$G$503,$A221,'Trade Log'!$C$4:$C$503,"SHORT"))</f>
        <v/>
      </c>
      <c r="G221" s="21">
        <f>IF($A221="","",$E221+$F221)</f>
        <v/>
      </c>
    </row>
    <row r="222">
      <c r="A222" s="28">
        <f>IF(A221="","",A221+1)</f>
        <v/>
      </c>
      <c r="B222" s="21">
        <f>IF($A222="","",SUMIFS('Trade Log'!$I$4:$I$503,'Trade Log'!$G$4:$G$503,$A222,'Trade Log'!$C$4:$C$503,"LONG"))</f>
        <v/>
      </c>
      <c r="C222" s="21">
        <f>IF($A222="","",SUMIFS('Trade Log'!$I$4:$I$503,'Trade Log'!$G$4:$G$503,$A222,'Trade Log'!$C$4:$C$503,"SHORT"))</f>
        <v/>
      </c>
      <c r="D222" s="21">
        <f>IF($A222="","",$B222+$C222)</f>
        <v/>
      </c>
      <c r="E222" s="21">
        <f>IF($A222="","",SUMIFS('Trade Log'!$L$4:$L$503,'Trade Log'!$G$4:$G$503,$A222,'Trade Log'!$C$4:$C$503,"LONG"))</f>
        <v/>
      </c>
      <c r="F222" s="21">
        <f>IF($A222="","",SUMIFS('Trade Log'!$L$4:$L$503,'Trade Log'!$G$4:$G$503,$A222,'Trade Log'!$C$4:$C$503,"SHORT"))</f>
        <v/>
      </c>
      <c r="G222" s="21">
        <f>IF($A222="","",$E222+$F222)</f>
        <v/>
      </c>
    </row>
    <row r="223">
      <c r="A223" s="28">
        <f>IF(A222="","",A222+1)</f>
        <v/>
      </c>
      <c r="B223" s="21">
        <f>IF($A223="","",SUMIFS('Trade Log'!$I$4:$I$503,'Trade Log'!$G$4:$G$503,$A223,'Trade Log'!$C$4:$C$503,"LONG"))</f>
        <v/>
      </c>
      <c r="C223" s="21">
        <f>IF($A223="","",SUMIFS('Trade Log'!$I$4:$I$503,'Trade Log'!$G$4:$G$503,$A223,'Trade Log'!$C$4:$C$503,"SHORT"))</f>
        <v/>
      </c>
      <c r="D223" s="21">
        <f>IF($A223="","",$B223+$C223)</f>
        <v/>
      </c>
      <c r="E223" s="21">
        <f>IF($A223="","",SUMIFS('Trade Log'!$L$4:$L$503,'Trade Log'!$G$4:$G$503,$A223,'Trade Log'!$C$4:$C$503,"LONG"))</f>
        <v/>
      </c>
      <c r="F223" s="21">
        <f>IF($A223="","",SUMIFS('Trade Log'!$L$4:$L$503,'Trade Log'!$G$4:$G$503,$A223,'Trade Log'!$C$4:$C$503,"SHORT"))</f>
        <v/>
      </c>
      <c r="G223" s="21">
        <f>IF($A223="","",$E223+$F223)</f>
        <v/>
      </c>
    </row>
    <row r="224">
      <c r="A224" s="28">
        <f>IF(A223="","",A223+1)</f>
        <v/>
      </c>
      <c r="B224" s="21">
        <f>IF($A224="","",SUMIFS('Trade Log'!$I$4:$I$503,'Trade Log'!$G$4:$G$503,$A224,'Trade Log'!$C$4:$C$503,"LONG"))</f>
        <v/>
      </c>
      <c r="C224" s="21">
        <f>IF($A224="","",SUMIFS('Trade Log'!$I$4:$I$503,'Trade Log'!$G$4:$G$503,$A224,'Trade Log'!$C$4:$C$503,"SHORT"))</f>
        <v/>
      </c>
      <c r="D224" s="21">
        <f>IF($A224="","",$B224+$C224)</f>
        <v/>
      </c>
      <c r="E224" s="21">
        <f>IF($A224="","",SUMIFS('Trade Log'!$L$4:$L$503,'Trade Log'!$G$4:$G$503,$A224,'Trade Log'!$C$4:$C$503,"LONG"))</f>
        <v/>
      </c>
      <c r="F224" s="21">
        <f>IF($A224="","",SUMIFS('Trade Log'!$L$4:$L$503,'Trade Log'!$G$4:$G$503,$A224,'Trade Log'!$C$4:$C$503,"SHORT"))</f>
        <v/>
      </c>
      <c r="G224" s="21">
        <f>IF($A224="","",$E224+$F224)</f>
        <v/>
      </c>
    </row>
    <row r="225">
      <c r="A225" s="28">
        <f>IF(A224="","",A224+1)</f>
        <v/>
      </c>
      <c r="B225" s="21">
        <f>IF($A225="","",SUMIFS('Trade Log'!$I$4:$I$503,'Trade Log'!$G$4:$G$503,$A225,'Trade Log'!$C$4:$C$503,"LONG"))</f>
        <v/>
      </c>
      <c r="C225" s="21">
        <f>IF($A225="","",SUMIFS('Trade Log'!$I$4:$I$503,'Trade Log'!$G$4:$G$503,$A225,'Trade Log'!$C$4:$C$503,"SHORT"))</f>
        <v/>
      </c>
      <c r="D225" s="21">
        <f>IF($A225="","",$B225+$C225)</f>
        <v/>
      </c>
      <c r="E225" s="21">
        <f>IF($A225="","",SUMIFS('Trade Log'!$L$4:$L$503,'Trade Log'!$G$4:$G$503,$A225,'Trade Log'!$C$4:$C$503,"LONG"))</f>
        <v/>
      </c>
      <c r="F225" s="21">
        <f>IF($A225="","",SUMIFS('Trade Log'!$L$4:$L$503,'Trade Log'!$G$4:$G$503,$A225,'Trade Log'!$C$4:$C$503,"SHORT"))</f>
        <v/>
      </c>
      <c r="G225" s="21">
        <f>IF($A225="","",$E225+$F225)</f>
        <v/>
      </c>
    </row>
    <row r="226">
      <c r="A226" s="28">
        <f>IF(A225="","",A225+1)</f>
        <v/>
      </c>
      <c r="B226" s="21">
        <f>IF($A226="","",SUMIFS('Trade Log'!$I$4:$I$503,'Trade Log'!$G$4:$G$503,$A226,'Trade Log'!$C$4:$C$503,"LONG"))</f>
        <v/>
      </c>
      <c r="C226" s="21">
        <f>IF($A226="","",SUMIFS('Trade Log'!$I$4:$I$503,'Trade Log'!$G$4:$G$503,$A226,'Trade Log'!$C$4:$C$503,"SHORT"))</f>
        <v/>
      </c>
      <c r="D226" s="21">
        <f>IF($A226="","",$B226+$C226)</f>
        <v/>
      </c>
      <c r="E226" s="21">
        <f>IF($A226="","",SUMIFS('Trade Log'!$L$4:$L$503,'Trade Log'!$G$4:$G$503,$A226,'Trade Log'!$C$4:$C$503,"LONG"))</f>
        <v/>
      </c>
      <c r="F226" s="21">
        <f>IF($A226="","",SUMIFS('Trade Log'!$L$4:$L$503,'Trade Log'!$G$4:$G$503,$A226,'Trade Log'!$C$4:$C$503,"SHORT"))</f>
        <v/>
      </c>
      <c r="G226" s="21">
        <f>IF($A226="","",$E226+$F226)</f>
        <v/>
      </c>
    </row>
    <row r="227">
      <c r="A227" s="28">
        <f>IF(A226="","",A226+1)</f>
        <v/>
      </c>
      <c r="B227" s="21">
        <f>IF($A227="","",SUMIFS('Trade Log'!$I$4:$I$503,'Trade Log'!$G$4:$G$503,$A227,'Trade Log'!$C$4:$C$503,"LONG"))</f>
        <v/>
      </c>
      <c r="C227" s="21">
        <f>IF($A227="","",SUMIFS('Trade Log'!$I$4:$I$503,'Trade Log'!$G$4:$G$503,$A227,'Trade Log'!$C$4:$C$503,"SHORT"))</f>
        <v/>
      </c>
      <c r="D227" s="21">
        <f>IF($A227="","",$B227+$C227)</f>
        <v/>
      </c>
      <c r="E227" s="21">
        <f>IF($A227="","",SUMIFS('Trade Log'!$L$4:$L$503,'Trade Log'!$G$4:$G$503,$A227,'Trade Log'!$C$4:$C$503,"LONG"))</f>
        <v/>
      </c>
      <c r="F227" s="21">
        <f>IF($A227="","",SUMIFS('Trade Log'!$L$4:$L$503,'Trade Log'!$G$4:$G$503,$A227,'Trade Log'!$C$4:$C$503,"SHORT"))</f>
        <v/>
      </c>
      <c r="G227" s="21">
        <f>IF($A227="","",$E227+$F227)</f>
        <v/>
      </c>
    </row>
    <row r="228">
      <c r="A228" s="28">
        <f>IF(A227="","",A227+1)</f>
        <v/>
      </c>
      <c r="B228" s="21">
        <f>IF($A228="","",SUMIFS('Trade Log'!$I$4:$I$503,'Trade Log'!$G$4:$G$503,$A228,'Trade Log'!$C$4:$C$503,"LONG"))</f>
        <v/>
      </c>
      <c r="C228" s="21">
        <f>IF($A228="","",SUMIFS('Trade Log'!$I$4:$I$503,'Trade Log'!$G$4:$G$503,$A228,'Trade Log'!$C$4:$C$503,"SHORT"))</f>
        <v/>
      </c>
      <c r="D228" s="21">
        <f>IF($A228="","",$B228+$C228)</f>
        <v/>
      </c>
      <c r="E228" s="21">
        <f>IF($A228="","",SUMIFS('Trade Log'!$L$4:$L$503,'Trade Log'!$G$4:$G$503,$A228,'Trade Log'!$C$4:$C$503,"LONG"))</f>
        <v/>
      </c>
      <c r="F228" s="21">
        <f>IF($A228="","",SUMIFS('Trade Log'!$L$4:$L$503,'Trade Log'!$G$4:$G$503,$A228,'Trade Log'!$C$4:$C$503,"SHORT"))</f>
        <v/>
      </c>
      <c r="G228" s="21">
        <f>IF($A228="","",$E228+$F228)</f>
        <v/>
      </c>
    </row>
    <row r="229">
      <c r="A229" s="28">
        <f>IF(A228="","",A228+1)</f>
        <v/>
      </c>
      <c r="B229" s="21">
        <f>IF($A229="","",SUMIFS('Trade Log'!$I$4:$I$503,'Trade Log'!$G$4:$G$503,$A229,'Trade Log'!$C$4:$C$503,"LONG"))</f>
        <v/>
      </c>
      <c r="C229" s="21">
        <f>IF($A229="","",SUMIFS('Trade Log'!$I$4:$I$503,'Trade Log'!$G$4:$G$503,$A229,'Trade Log'!$C$4:$C$503,"SHORT"))</f>
        <v/>
      </c>
      <c r="D229" s="21">
        <f>IF($A229="","",$B229+$C229)</f>
        <v/>
      </c>
      <c r="E229" s="21">
        <f>IF($A229="","",SUMIFS('Trade Log'!$L$4:$L$503,'Trade Log'!$G$4:$G$503,$A229,'Trade Log'!$C$4:$C$503,"LONG"))</f>
        <v/>
      </c>
      <c r="F229" s="21">
        <f>IF($A229="","",SUMIFS('Trade Log'!$L$4:$L$503,'Trade Log'!$G$4:$G$503,$A229,'Trade Log'!$C$4:$C$503,"SHORT"))</f>
        <v/>
      </c>
      <c r="G229" s="21">
        <f>IF($A229="","",$E229+$F229)</f>
        <v/>
      </c>
    </row>
    <row r="230">
      <c r="A230" s="28">
        <f>IF(A229="","",A229+1)</f>
        <v/>
      </c>
      <c r="B230" s="21">
        <f>IF($A230="","",SUMIFS('Trade Log'!$I$4:$I$503,'Trade Log'!$G$4:$G$503,$A230,'Trade Log'!$C$4:$C$503,"LONG"))</f>
        <v/>
      </c>
      <c r="C230" s="21">
        <f>IF($A230="","",SUMIFS('Trade Log'!$I$4:$I$503,'Trade Log'!$G$4:$G$503,$A230,'Trade Log'!$C$4:$C$503,"SHORT"))</f>
        <v/>
      </c>
      <c r="D230" s="21">
        <f>IF($A230="","",$B230+$C230)</f>
        <v/>
      </c>
      <c r="E230" s="21">
        <f>IF($A230="","",SUMIFS('Trade Log'!$L$4:$L$503,'Trade Log'!$G$4:$G$503,$A230,'Trade Log'!$C$4:$C$503,"LONG"))</f>
        <v/>
      </c>
      <c r="F230" s="21">
        <f>IF($A230="","",SUMIFS('Trade Log'!$L$4:$L$503,'Trade Log'!$G$4:$G$503,$A230,'Trade Log'!$C$4:$C$503,"SHORT"))</f>
        <v/>
      </c>
      <c r="G230" s="21">
        <f>IF($A230="","",$E230+$F230)</f>
        <v/>
      </c>
    </row>
    <row r="231">
      <c r="A231" s="28">
        <f>IF(A230="","",A230+1)</f>
        <v/>
      </c>
      <c r="B231" s="21">
        <f>IF($A231="","",SUMIFS('Trade Log'!$I$4:$I$503,'Trade Log'!$G$4:$G$503,$A231,'Trade Log'!$C$4:$C$503,"LONG"))</f>
        <v/>
      </c>
      <c r="C231" s="21">
        <f>IF($A231="","",SUMIFS('Trade Log'!$I$4:$I$503,'Trade Log'!$G$4:$G$503,$A231,'Trade Log'!$C$4:$C$503,"SHORT"))</f>
        <v/>
      </c>
      <c r="D231" s="21">
        <f>IF($A231="","",$B231+$C231)</f>
        <v/>
      </c>
      <c r="E231" s="21">
        <f>IF($A231="","",SUMIFS('Trade Log'!$L$4:$L$503,'Trade Log'!$G$4:$G$503,$A231,'Trade Log'!$C$4:$C$503,"LONG"))</f>
        <v/>
      </c>
      <c r="F231" s="21">
        <f>IF($A231="","",SUMIFS('Trade Log'!$L$4:$L$503,'Trade Log'!$G$4:$G$503,$A231,'Trade Log'!$C$4:$C$503,"SHORT"))</f>
        <v/>
      </c>
      <c r="G231" s="21">
        <f>IF($A231="","",$E231+$F231)</f>
        <v/>
      </c>
    </row>
    <row r="232">
      <c r="A232" s="28">
        <f>IF(A231="","",A231+1)</f>
        <v/>
      </c>
      <c r="B232" s="21">
        <f>IF($A232="","",SUMIFS('Trade Log'!$I$4:$I$503,'Trade Log'!$G$4:$G$503,$A232,'Trade Log'!$C$4:$C$503,"LONG"))</f>
        <v/>
      </c>
      <c r="C232" s="21">
        <f>IF($A232="","",SUMIFS('Trade Log'!$I$4:$I$503,'Trade Log'!$G$4:$G$503,$A232,'Trade Log'!$C$4:$C$503,"SHORT"))</f>
        <v/>
      </c>
      <c r="D232" s="21">
        <f>IF($A232="","",$B232+$C232)</f>
        <v/>
      </c>
      <c r="E232" s="21">
        <f>IF($A232="","",SUMIFS('Trade Log'!$L$4:$L$503,'Trade Log'!$G$4:$G$503,$A232,'Trade Log'!$C$4:$C$503,"LONG"))</f>
        <v/>
      </c>
      <c r="F232" s="21">
        <f>IF($A232="","",SUMIFS('Trade Log'!$L$4:$L$503,'Trade Log'!$G$4:$G$503,$A232,'Trade Log'!$C$4:$C$503,"SHORT"))</f>
        <v/>
      </c>
      <c r="G232" s="21">
        <f>IF($A232="","",$E232+$F232)</f>
        <v/>
      </c>
    </row>
    <row r="233">
      <c r="A233" s="28">
        <f>IF(A232="","",A232+1)</f>
        <v/>
      </c>
      <c r="B233" s="21">
        <f>IF($A233="","",SUMIFS('Trade Log'!$I$4:$I$503,'Trade Log'!$G$4:$G$503,$A233,'Trade Log'!$C$4:$C$503,"LONG"))</f>
        <v/>
      </c>
      <c r="C233" s="21">
        <f>IF($A233="","",SUMIFS('Trade Log'!$I$4:$I$503,'Trade Log'!$G$4:$G$503,$A233,'Trade Log'!$C$4:$C$503,"SHORT"))</f>
        <v/>
      </c>
      <c r="D233" s="21">
        <f>IF($A233="","",$B233+$C233)</f>
        <v/>
      </c>
      <c r="E233" s="21">
        <f>IF($A233="","",SUMIFS('Trade Log'!$L$4:$L$503,'Trade Log'!$G$4:$G$503,$A233,'Trade Log'!$C$4:$C$503,"LONG"))</f>
        <v/>
      </c>
      <c r="F233" s="21">
        <f>IF($A233="","",SUMIFS('Trade Log'!$L$4:$L$503,'Trade Log'!$G$4:$G$503,$A233,'Trade Log'!$C$4:$C$503,"SHORT"))</f>
        <v/>
      </c>
      <c r="G233" s="21">
        <f>IF($A233="","",$E233+$F233)</f>
        <v/>
      </c>
    </row>
    <row r="234">
      <c r="A234" s="28">
        <f>IF(A233="","",A233+1)</f>
        <v/>
      </c>
      <c r="B234" s="21">
        <f>IF($A234="","",SUMIFS('Trade Log'!$I$4:$I$503,'Trade Log'!$G$4:$G$503,$A234,'Trade Log'!$C$4:$C$503,"LONG"))</f>
        <v/>
      </c>
      <c r="C234" s="21">
        <f>IF($A234="","",SUMIFS('Trade Log'!$I$4:$I$503,'Trade Log'!$G$4:$G$503,$A234,'Trade Log'!$C$4:$C$503,"SHORT"))</f>
        <v/>
      </c>
      <c r="D234" s="21">
        <f>IF($A234="","",$B234+$C234)</f>
        <v/>
      </c>
      <c r="E234" s="21">
        <f>IF($A234="","",SUMIFS('Trade Log'!$L$4:$L$503,'Trade Log'!$G$4:$G$503,$A234,'Trade Log'!$C$4:$C$503,"LONG"))</f>
        <v/>
      </c>
      <c r="F234" s="21">
        <f>IF($A234="","",SUMIFS('Trade Log'!$L$4:$L$503,'Trade Log'!$G$4:$G$503,$A234,'Trade Log'!$C$4:$C$503,"SHORT"))</f>
        <v/>
      </c>
      <c r="G234" s="21">
        <f>IF($A234="","",$E234+$F234)</f>
        <v/>
      </c>
    </row>
    <row r="235">
      <c r="A235" s="28">
        <f>IF(A234="","",A234+1)</f>
        <v/>
      </c>
      <c r="B235" s="21">
        <f>IF($A235="","",SUMIFS('Trade Log'!$I$4:$I$503,'Trade Log'!$G$4:$G$503,$A235,'Trade Log'!$C$4:$C$503,"LONG"))</f>
        <v/>
      </c>
      <c r="C235" s="21">
        <f>IF($A235="","",SUMIFS('Trade Log'!$I$4:$I$503,'Trade Log'!$G$4:$G$503,$A235,'Trade Log'!$C$4:$C$503,"SHORT"))</f>
        <v/>
      </c>
      <c r="D235" s="21">
        <f>IF($A235="","",$B235+$C235)</f>
        <v/>
      </c>
      <c r="E235" s="21">
        <f>IF($A235="","",SUMIFS('Trade Log'!$L$4:$L$503,'Trade Log'!$G$4:$G$503,$A235,'Trade Log'!$C$4:$C$503,"LONG"))</f>
        <v/>
      </c>
      <c r="F235" s="21">
        <f>IF($A235="","",SUMIFS('Trade Log'!$L$4:$L$503,'Trade Log'!$G$4:$G$503,$A235,'Trade Log'!$C$4:$C$503,"SHORT"))</f>
        <v/>
      </c>
      <c r="G235" s="21">
        <f>IF($A235="","",$E235+$F235)</f>
        <v/>
      </c>
    </row>
    <row r="236">
      <c r="A236" s="28">
        <f>IF(A235="","",A235+1)</f>
        <v/>
      </c>
      <c r="B236" s="21">
        <f>IF($A236="","",SUMIFS('Trade Log'!$I$4:$I$503,'Trade Log'!$G$4:$G$503,$A236,'Trade Log'!$C$4:$C$503,"LONG"))</f>
        <v/>
      </c>
      <c r="C236" s="21">
        <f>IF($A236="","",SUMIFS('Trade Log'!$I$4:$I$503,'Trade Log'!$G$4:$G$503,$A236,'Trade Log'!$C$4:$C$503,"SHORT"))</f>
        <v/>
      </c>
      <c r="D236" s="21">
        <f>IF($A236="","",$B236+$C236)</f>
        <v/>
      </c>
      <c r="E236" s="21">
        <f>IF($A236="","",SUMIFS('Trade Log'!$L$4:$L$503,'Trade Log'!$G$4:$G$503,$A236,'Trade Log'!$C$4:$C$503,"LONG"))</f>
        <v/>
      </c>
      <c r="F236" s="21">
        <f>IF($A236="","",SUMIFS('Trade Log'!$L$4:$L$503,'Trade Log'!$G$4:$G$503,$A236,'Trade Log'!$C$4:$C$503,"SHORT"))</f>
        <v/>
      </c>
      <c r="G236" s="21">
        <f>IF($A236="","",$E236+$F236)</f>
        <v/>
      </c>
    </row>
    <row r="237">
      <c r="A237" s="28">
        <f>IF(A236="","",A236+1)</f>
        <v/>
      </c>
      <c r="B237" s="21">
        <f>IF($A237="","",SUMIFS('Trade Log'!$I$4:$I$503,'Trade Log'!$G$4:$G$503,$A237,'Trade Log'!$C$4:$C$503,"LONG"))</f>
        <v/>
      </c>
      <c r="C237" s="21">
        <f>IF($A237="","",SUMIFS('Trade Log'!$I$4:$I$503,'Trade Log'!$G$4:$G$503,$A237,'Trade Log'!$C$4:$C$503,"SHORT"))</f>
        <v/>
      </c>
      <c r="D237" s="21">
        <f>IF($A237="","",$B237+$C237)</f>
        <v/>
      </c>
      <c r="E237" s="21">
        <f>IF($A237="","",SUMIFS('Trade Log'!$L$4:$L$503,'Trade Log'!$G$4:$G$503,$A237,'Trade Log'!$C$4:$C$503,"LONG"))</f>
        <v/>
      </c>
      <c r="F237" s="21">
        <f>IF($A237="","",SUMIFS('Trade Log'!$L$4:$L$503,'Trade Log'!$G$4:$G$503,$A237,'Trade Log'!$C$4:$C$503,"SHORT"))</f>
        <v/>
      </c>
      <c r="G237" s="21">
        <f>IF($A237="","",$E237+$F237)</f>
        <v/>
      </c>
    </row>
    <row r="238">
      <c r="A238" s="28">
        <f>IF(A237="","",A237+1)</f>
        <v/>
      </c>
      <c r="B238" s="21">
        <f>IF($A238="","",SUMIFS('Trade Log'!$I$4:$I$503,'Trade Log'!$G$4:$G$503,$A238,'Trade Log'!$C$4:$C$503,"LONG"))</f>
        <v/>
      </c>
      <c r="C238" s="21">
        <f>IF($A238="","",SUMIFS('Trade Log'!$I$4:$I$503,'Trade Log'!$G$4:$G$503,$A238,'Trade Log'!$C$4:$C$503,"SHORT"))</f>
        <v/>
      </c>
      <c r="D238" s="21">
        <f>IF($A238="","",$B238+$C238)</f>
        <v/>
      </c>
      <c r="E238" s="21">
        <f>IF($A238="","",SUMIFS('Trade Log'!$L$4:$L$503,'Trade Log'!$G$4:$G$503,$A238,'Trade Log'!$C$4:$C$503,"LONG"))</f>
        <v/>
      </c>
      <c r="F238" s="21">
        <f>IF($A238="","",SUMIFS('Trade Log'!$L$4:$L$503,'Trade Log'!$G$4:$G$503,$A238,'Trade Log'!$C$4:$C$503,"SHORT"))</f>
        <v/>
      </c>
      <c r="G238" s="21">
        <f>IF($A238="","",$E238+$F238)</f>
        <v/>
      </c>
    </row>
    <row r="239">
      <c r="A239" s="28">
        <f>IF(A238="","",A238+1)</f>
        <v/>
      </c>
      <c r="B239" s="21">
        <f>IF($A239="","",SUMIFS('Trade Log'!$I$4:$I$503,'Trade Log'!$G$4:$G$503,$A239,'Trade Log'!$C$4:$C$503,"LONG"))</f>
        <v/>
      </c>
      <c r="C239" s="21">
        <f>IF($A239="","",SUMIFS('Trade Log'!$I$4:$I$503,'Trade Log'!$G$4:$G$503,$A239,'Trade Log'!$C$4:$C$503,"SHORT"))</f>
        <v/>
      </c>
      <c r="D239" s="21">
        <f>IF($A239="","",$B239+$C239)</f>
        <v/>
      </c>
      <c r="E239" s="21">
        <f>IF($A239="","",SUMIFS('Trade Log'!$L$4:$L$503,'Trade Log'!$G$4:$G$503,$A239,'Trade Log'!$C$4:$C$503,"LONG"))</f>
        <v/>
      </c>
      <c r="F239" s="21">
        <f>IF($A239="","",SUMIFS('Trade Log'!$L$4:$L$503,'Trade Log'!$G$4:$G$503,$A239,'Trade Log'!$C$4:$C$503,"SHORT"))</f>
        <v/>
      </c>
      <c r="G239" s="21">
        <f>IF($A239="","",$E239+$F239)</f>
        <v/>
      </c>
    </row>
    <row r="240">
      <c r="A240" s="28">
        <f>IF(A239="","",A239+1)</f>
        <v/>
      </c>
      <c r="B240" s="21">
        <f>IF($A240="","",SUMIFS('Trade Log'!$I$4:$I$503,'Trade Log'!$G$4:$G$503,$A240,'Trade Log'!$C$4:$C$503,"LONG"))</f>
        <v/>
      </c>
      <c r="C240" s="21">
        <f>IF($A240="","",SUMIFS('Trade Log'!$I$4:$I$503,'Trade Log'!$G$4:$G$503,$A240,'Trade Log'!$C$4:$C$503,"SHORT"))</f>
        <v/>
      </c>
      <c r="D240" s="21">
        <f>IF($A240="","",$B240+$C240)</f>
        <v/>
      </c>
      <c r="E240" s="21">
        <f>IF($A240="","",SUMIFS('Trade Log'!$L$4:$L$503,'Trade Log'!$G$4:$G$503,$A240,'Trade Log'!$C$4:$C$503,"LONG"))</f>
        <v/>
      </c>
      <c r="F240" s="21">
        <f>IF($A240="","",SUMIFS('Trade Log'!$L$4:$L$503,'Trade Log'!$G$4:$G$503,$A240,'Trade Log'!$C$4:$C$503,"SHORT"))</f>
        <v/>
      </c>
      <c r="G240" s="21">
        <f>IF($A240="","",$E240+$F240)</f>
        <v/>
      </c>
    </row>
    <row r="241">
      <c r="A241" s="28">
        <f>IF(A240="","",A240+1)</f>
        <v/>
      </c>
      <c r="B241" s="21">
        <f>IF($A241="","",SUMIFS('Trade Log'!$I$4:$I$503,'Trade Log'!$G$4:$G$503,$A241,'Trade Log'!$C$4:$C$503,"LONG"))</f>
        <v/>
      </c>
      <c r="C241" s="21">
        <f>IF($A241="","",SUMIFS('Trade Log'!$I$4:$I$503,'Trade Log'!$G$4:$G$503,$A241,'Trade Log'!$C$4:$C$503,"SHORT"))</f>
        <v/>
      </c>
      <c r="D241" s="21">
        <f>IF($A241="","",$B241+$C241)</f>
        <v/>
      </c>
      <c r="E241" s="21">
        <f>IF($A241="","",SUMIFS('Trade Log'!$L$4:$L$503,'Trade Log'!$G$4:$G$503,$A241,'Trade Log'!$C$4:$C$503,"LONG"))</f>
        <v/>
      </c>
      <c r="F241" s="21">
        <f>IF($A241="","",SUMIFS('Trade Log'!$L$4:$L$503,'Trade Log'!$G$4:$G$503,$A241,'Trade Log'!$C$4:$C$503,"SHORT"))</f>
        <v/>
      </c>
      <c r="G241" s="21">
        <f>IF($A241="","",$E241+$F241)</f>
        <v/>
      </c>
    </row>
    <row r="242">
      <c r="A242" s="28">
        <f>IF(A241="","",A241+1)</f>
        <v/>
      </c>
      <c r="B242" s="21">
        <f>IF($A242="","",SUMIFS('Trade Log'!$I$4:$I$503,'Trade Log'!$G$4:$G$503,$A242,'Trade Log'!$C$4:$C$503,"LONG"))</f>
        <v/>
      </c>
      <c r="C242" s="21">
        <f>IF($A242="","",SUMIFS('Trade Log'!$I$4:$I$503,'Trade Log'!$G$4:$G$503,$A242,'Trade Log'!$C$4:$C$503,"SHORT"))</f>
        <v/>
      </c>
      <c r="D242" s="21">
        <f>IF($A242="","",$B242+$C242)</f>
        <v/>
      </c>
      <c r="E242" s="21">
        <f>IF($A242="","",SUMIFS('Trade Log'!$L$4:$L$503,'Trade Log'!$G$4:$G$503,$A242,'Trade Log'!$C$4:$C$503,"LONG"))</f>
        <v/>
      </c>
      <c r="F242" s="21">
        <f>IF($A242="","",SUMIFS('Trade Log'!$L$4:$L$503,'Trade Log'!$G$4:$G$503,$A242,'Trade Log'!$C$4:$C$503,"SHORT"))</f>
        <v/>
      </c>
      <c r="G242" s="21">
        <f>IF($A242="","",$E242+$F242)</f>
        <v/>
      </c>
    </row>
    <row r="243">
      <c r="A243" s="28">
        <f>IF(A242="","",A242+1)</f>
        <v/>
      </c>
      <c r="B243" s="21">
        <f>IF($A243="","",SUMIFS('Trade Log'!$I$4:$I$503,'Trade Log'!$G$4:$G$503,$A243,'Trade Log'!$C$4:$C$503,"LONG"))</f>
        <v/>
      </c>
      <c r="C243" s="21">
        <f>IF($A243="","",SUMIFS('Trade Log'!$I$4:$I$503,'Trade Log'!$G$4:$G$503,$A243,'Trade Log'!$C$4:$C$503,"SHORT"))</f>
        <v/>
      </c>
      <c r="D243" s="21">
        <f>IF($A243="","",$B243+$C243)</f>
        <v/>
      </c>
      <c r="E243" s="21">
        <f>IF($A243="","",SUMIFS('Trade Log'!$L$4:$L$503,'Trade Log'!$G$4:$G$503,$A243,'Trade Log'!$C$4:$C$503,"LONG"))</f>
        <v/>
      </c>
      <c r="F243" s="21">
        <f>IF($A243="","",SUMIFS('Trade Log'!$L$4:$L$503,'Trade Log'!$G$4:$G$503,$A243,'Trade Log'!$C$4:$C$503,"SHORT"))</f>
        <v/>
      </c>
      <c r="G243" s="21">
        <f>IF($A243="","",$E243+$F243)</f>
        <v/>
      </c>
    </row>
    <row r="244">
      <c r="A244" s="28">
        <f>IF(A243="","",A243+1)</f>
        <v/>
      </c>
      <c r="B244" s="21">
        <f>IF($A244="","",SUMIFS('Trade Log'!$I$4:$I$503,'Trade Log'!$G$4:$G$503,$A244,'Trade Log'!$C$4:$C$503,"LONG"))</f>
        <v/>
      </c>
      <c r="C244" s="21">
        <f>IF($A244="","",SUMIFS('Trade Log'!$I$4:$I$503,'Trade Log'!$G$4:$G$503,$A244,'Trade Log'!$C$4:$C$503,"SHORT"))</f>
        <v/>
      </c>
      <c r="D244" s="21">
        <f>IF($A244="","",$B244+$C244)</f>
        <v/>
      </c>
      <c r="E244" s="21">
        <f>IF($A244="","",SUMIFS('Trade Log'!$L$4:$L$503,'Trade Log'!$G$4:$G$503,$A244,'Trade Log'!$C$4:$C$503,"LONG"))</f>
        <v/>
      </c>
      <c r="F244" s="21">
        <f>IF($A244="","",SUMIFS('Trade Log'!$L$4:$L$503,'Trade Log'!$G$4:$G$503,$A244,'Trade Log'!$C$4:$C$503,"SHORT"))</f>
        <v/>
      </c>
      <c r="G244" s="21">
        <f>IF($A244="","",$E244+$F244)</f>
        <v/>
      </c>
    </row>
    <row r="245">
      <c r="A245" s="28">
        <f>IF(A244="","",A244+1)</f>
        <v/>
      </c>
      <c r="B245" s="21">
        <f>IF($A245="","",SUMIFS('Trade Log'!$I$4:$I$503,'Trade Log'!$G$4:$G$503,$A245,'Trade Log'!$C$4:$C$503,"LONG"))</f>
        <v/>
      </c>
      <c r="C245" s="21">
        <f>IF($A245="","",SUMIFS('Trade Log'!$I$4:$I$503,'Trade Log'!$G$4:$G$503,$A245,'Trade Log'!$C$4:$C$503,"SHORT"))</f>
        <v/>
      </c>
      <c r="D245" s="21">
        <f>IF($A245="","",$B245+$C245)</f>
        <v/>
      </c>
      <c r="E245" s="21">
        <f>IF($A245="","",SUMIFS('Trade Log'!$L$4:$L$503,'Trade Log'!$G$4:$G$503,$A245,'Trade Log'!$C$4:$C$503,"LONG"))</f>
        <v/>
      </c>
      <c r="F245" s="21">
        <f>IF($A245="","",SUMIFS('Trade Log'!$L$4:$L$503,'Trade Log'!$G$4:$G$503,$A245,'Trade Log'!$C$4:$C$503,"SHORT"))</f>
        <v/>
      </c>
      <c r="G245" s="21">
        <f>IF($A245="","",$E245+$F245)</f>
        <v/>
      </c>
    </row>
    <row r="246">
      <c r="A246" s="28">
        <f>IF(A245="","",A245+1)</f>
        <v/>
      </c>
      <c r="B246" s="21">
        <f>IF($A246="","",SUMIFS('Trade Log'!$I$4:$I$503,'Trade Log'!$G$4:$G$503,$A246,'Trade Log'!$C$4:$C$503,"LONG"))</f>
        <v/>
      </c>
      <c r="C246" s="21">
        <f>IF($A246="","",SUMIFS('Trade Log'!$I$4:$I$503,'Trade Log'!$G$4:$G$503,$A246,'Trade Log'!$C$4:$C$503,"SHORT"))</f>
        <v/>
      </c>
      <c r="D246" s="21">
        <f>IF($A246="","",$B246+$C246)</f>
        <v/>
      </c>
      <c r="E246" s="21">
        <f>IF($A246="","",SUMIFS('Trade Log'!$L$4:$L$503,'Trade Log'!$G$4:$G$503,$A246,'Trade Log'!$C$4:$C$503,"LONG"))</f>
        <v/>
      </c>
      <c r="F246" s="21">
        <f>IF($A246="","",SUMIFS('Trade Log'!$L$4:$L$503,'Trade Log'!$G$4:$G$503,$A246,'Trade Log'!$C$4:$C$503,"SHORT"))</f>
        <v/>
      </c>
      <c r="G246" s="21">
        <f>IF($A246="","",$E246+$F246)</f>
        <v/>
      </c>
    </row>
    <row r="247">
      <c r="A247" s="28">
        <f>IF(A246="","",A246+1)</f>
        <v/>
      </c>
      <c r="B247" s="21">
        <f>IF($A247="","",SUMIFS('Trade Log'!$I$4:$I$503,'Trade Log'!$G$4:$G$503,$A247,'Trade Log'!$C$4:$C$503,"LONG"))</f>
        <v/>
      </c>
      <c r="C247" s="21">
        <f>IF($A247="","",SUMIFS('Trade Log'!$I$4:$I$503,'Trade Log'!$G$4:$G$503,$A247,'Trade Log'!$C$4:$C$503,"SHORT"))</f>
        <v/>
      </c>
      <c r="D247" s="21">
        <f>IF($A247="","",$B247+$C247)</f>
        <v/>
      </c>
      <c r="E247" s="21">
        <f>IF($A247="","",SUMIFS('Trade Log'!$L$4:$L$503,'Trade Log'!$G$4:$G$503,$A247,'Trade Log'!$C$4:$C$503,"LONG"))</f>
        <v/>
      </c>
      <c r="F247" s="21">
        <f>IF($A247="","",SUMIFS('Trade Log'!$L$4:$L$503,'Trade Log'!$G$4:$G$503,$A247,'Trade Log'!$C$4:$C$503,"SHORT"))</f>
        <v/>
      </c>
      <c r="G247" s="21">
        <f>IF($A247="","",$E247+$F247)</f>
        <v/>
      </c>
    </row>
    <row r="248">
      <c r="A248" s="28">
        <f>IF(A247="","",A247+1)</f>
        <v/>
      </c>
      <c r="B248" s="21">
        <f>IF($A248="","",SUMIFS('Trade Log'!$I$4:$I$503,'Trade Log'!$G$4:$G$503,$A248,'Trade Log'!$C$4:$C$503,"LONG"))</f>
        <v/>
      </c>
      <c r="C248" s="21">
        <f>IF($A248="","",SUMIFS('Trade Log'!$I$4:$I$503,'Trade Log'!$G$4:$G$503,$A248,'Trade Log'!$C$4:$C$503,"SHORT"))</f>
        <v/>
      </c>
      <c r="D248" s="21">
        <f>IF($A248="","",$B248+$C248)</f>
        <v/>
      </c>
      <c r="E248" s="21">
        <f>IF($A248="","",SUMIFS('Trade Log'!$L$4:$L$503,'Trade Log'!$G$4:$G$503,$A248,'Trade Log'!$C$4:$C$503,"LONG"))</f>
        <v/>
      </c>
      <c r="F248" s="21">
        <f>IF($A248="","",SUMIFS('Trade Log'!$L$4:$L$503,'Trade Log'!$G$4:$G$503,$A248,'Trade Log'!$C$4:$C$503,"SHORT"))</f>
        <v/>
      </c>
      <c r="G248" s="21">
        <f>IF($A248="","",$E248+$F248)</f>
        <v/>
      </c>
    </row>
    <row r="249">
      <c r="A249" s="28">
        <f>IF(A248="","",A248+1)</f>
        <v/>
      </c>
      <c r="B249" s="21">
        <f>IF($A249="","",SUMIFS('Trade Log'!$I$4:$I$503,'Trade Log'!$G$4:$G$503,$A249,'Trade Log'!$C$4:$C$503,"LONG"))</f>
        <v/>
      </c>
      <c r="C249" s="21">
        <f>IF($A249="","",SUMIFS('Trade Log'!$I$4:$I$503,'Trade Log'!$G$4:$G$503,$A249,'Trade Log'!$C$4:$C$503,"SHORT"))</f>
        <v/>
      </c>
      <c r="D249" s="21">
        <f>IF($A249="","",$B249+$C249)</f>
        <v/>
      </c>
      <c r="E249" s="21">
        <f>IF($A249="","",SUMIFS('Trade Log'!$L$4:$L$503,'Trade Log'!$G$4:$G$503,$A249,'Trade Log'!$C$4:$C$503,"LONG"))</f>
        <v/>
      </c>
      <c r="F249" s="21">
        <f>IF($A249="","",SUMIFS('Trade Log'!$L$4:$L$503,'Trade Log'!$G$4:$G$503,$A249,'Trade Log'!$C$4:$C$503,"SHORT"))</f>
        <v/>
      </c>
      <c r="G249" s="21">
        <f>IF($A249="","",$E249+$F249)</f>
        <v/>
      </c>
    </row>
    <row r="250">
      <c r="A250" s="28">
        <f>IF(A249="","",A249+1)</f>
        <v/>
      </c>
      <c r="B250" s="21">
        <f>IF($A250="","",SUMIFS('Trade Log'!$I$4:$I$503,'Trade Log'!$G$4:$G$503,$A250,'Trade Log'!$C$4:$C$503,"LONG"))</f>
        <v/>
      </c>
      <c r="C250" s="21">
        <f>IF($A250="","",SUMIFS('Trade Log'!$I$4:$I$503,'Trade Log'!$G$4:$G$503,$A250,'Trade Log'!$C$4:$C$503,"SHORT"))</f>
        <v/>
      </c>
      <c r="D250" s="21">
        <f>IF($A250="","",$B250+$C250)</f>
        <v/>
      </c>
      <c r="E250" s="21">
        <f>IF($A250="","",SUMIFS('Trade Log'!$L$4:$L$503,'Trade Log'!$G$4:$G$503,$A250,'Trade Log'!$C$4:$C$503,"LONG"))</f>
        <v/>
      </c>
      <c r="F250" s="21">
        <f>IF($A250="","",SUMIFS('Trade Log'!$L$4:$L$503,'Trade Log'!$G$4:$G$503,$A250,'Trade Log'!$C$4:$C$503,"SHORT"))</f>
        <v/>
      </c>
      <c r="G250" s="21">
        <f>IF($A250="","",$E250+$F250)</f>
        <v/>
      </c>
    </row>
    <row r="251">
      <c r="A251" s="28">
        <f>IF(A250="","",A250+1)</f>
        <v/>
      </c>
      <c r="B251" s="21">
        <f>IF($A251="","",SUMIFS('Trade Log'!$I$4:$I$503,'Trade Log'!$G$4:$G$503,$A251,'Trade Log'!$C$4:$C$503,"LONG"))</f>
        <v/>
      </c>
      <c r="C251" s="21">
        <f>IF($A251="","",SUMIFS('Trade Log'!$I$4:$I$503,'Trade Log'!$G$4:$G$503,$A251,'Trade Log'!$C$4:$C$503,"SHORT"))</f>
        <v/>
      </c>
      <c r="D251" s="21">
        <f>IF($A251="","",$B251+$C251)</f>
        <v/>
      </c>
      <c r="E251" s="21">
        <f>IF($A251="","",SUMIFS('Trade Log'!$L$4:$L$503,'Trade Log'!$G$4:$G$503,$A251,'Trade Log'!$C$4:$C$503,"LONG"))</f>
        <v/>
      </c>
      <c r="F251" s="21">
        <f>IF($A251="","",SUMIFS('Trade Log'!$L$4:$L$503,'Trade Log'!$G$4:$G$503,$A251,'Trade Log'!$C$4:$C$503,"SHORT"))</f>
        <v/>
      </c>
      <c r="G251" s="21">
        <f>IF($A251="","",$E251+$F251)</f>
        <v/>
      </c>
    </row>
    <row r="252">
      <c r="A252" s="28">
        <f>IF(A251="","",A251+1)</f>
        <v/>
      </c>
      <c r="B252" s="21">
        <f>IF($A252="","",SUMIFS('Trade Log'!$I$4:$I$503,'Trade Log'!$G$4:$G$503,$A252,'Trade Log'!$C$4:$C$503,"LONG"))</f>
        <v/>
      </c>
      <c r="C252" s="21">
        <f>IF($A252="","",SUMIFS('Trade Log'!$I$4:$I$503,'Trade Log'!$G$4:$G$503,$A252,'Trade Log'!$C$4:$C$503,"SHORT"))</f>
        <v/>
      </c>
      <c r="D252" s="21">
        <f>IF($A252="","",$B252+$C252)</f>
        <v/>
      </c>
      <c r="E252" s="21">
        <f>IF($A252="","",SUMIFS('Trade Log'!$L$4:$L$503,'Trade Log'!$G$4:$G$503,$A252,'Trade Log'!$C$4:$C$503,"LONG"))</f>
        <v/>
      </c>
      <c r="F252" s="21">
        <f>IF($A252="","",SUMIFS('Trade Log'!$L$4:$L$503,'Trade Log'!$G$4:$G$503,$A252,'Trade Log'!$C$4:$C$503,"SHORT"))</f>
        <v/>
      </c>
      <c r="G252" s="21">
        <f>IF($A252="","",$E252+$F252)</f>
        <v/>
      </c>
    </row>
    <row r="253">
      <c r="A253" s="28">
        <f>IF(A252="","",A252+1)</f>
        <v/>
      </c>
      <c r="B253" s="21">
        <f>IF($A253="","",SUMIFS('Trade Log'!$I$4:$I$503,'Trade Log'!$G$4:$G$503,$A253,'Trade Log'!$C$4:$C$503,"LONG"))</f>
        <v/>
      </c>
      <c r="C253" s="21">
        <f>IF($A253="","",SUMIFS('Trade Log'!$I$4:$I$503,'Trade Log'!$G$4:$G$503,$A253,'Trade Log'!$C$4:$C$503,"SHORT"))</f>
        <v/>
      </c>
      <c r="D253" s="21">
        <f>IF($A253="","",$B253+$C253)</f>
        <v/>
      </c>
      <c r="E253" s="21">
        <f>IF($A253="","",SUMIFS('Trade Log'!$L$4:$L$503,'Trade Log'!$G$4:$G$503,$A253,'Trade Log'!$C$4:$C$503,"LONG"))</f>
        <v/>
      </c>
      <c r="F253" s="21">
        <f>IF($A253="","",SUMIFS('Trade Log'!$L$4:$L$503,'Trade Log'!$G$4:$G$503,$A253,'Trade Log'!$C$4:$C$503,"SHORT"))</f>
        <v/>
      </c>
      <c r="G253" s="21">
        <f>IF($A253="","",$E253+$F253)</f>
        <v/>
      </c>
    </row>
    <row r="254">
      <c r="A254" s="28">
        <f>IF(A253="","",A253+1)</f>
        <v/>
      </c>
      <c r="B254" s="21">
        <f>IF($A254="","",SUMIFS('Trade Log'!$I$4:$I$503,'Trade Log'!$G$4:$G$503,$A254,'Trade Log'!$C$4:$C$503,"LONG"))</f>
        <v/>
      </c>
      <c r="C254" s="21">
        <f>IF($A254="","",SUMIFS('Trade Log'!$I$4:$I$503,'Trade Log'!$G$4:$G$503,$A254,'Trade Log'!$C$4:$C$503,"SHORT"))</f>
        <v/>
      </c>
      <c r="D254" s="21">
        <f>IF($A254="","",$B254+$C254)</f>
        <v/>
      </c>
      <c r="E254" s="21">
        <f>IF($A254="","",SUMIFS('Trade Log'!$L$4:$L$503,'Trade Log'!$G$4:$G$503,$A254,'Trade Log'!$C$4:$C$503,"LONG"))</f>
        <v/>
      </c>
      <c r="F254" s="21">
        <f>IF($A254="","",SUMIFS('Trade Log'!$L$4:$L$503,'Trade Log'!$G$4:$G$503,$A254,'Trade Log'!$C$4:$C$503,"SHORT"))</f>
        <v/>
      </c>
      <c r="G254" s="21">
        <f>IF($A254="","",$E254+$F254)</f>
        <v/>
      </c>
    </row>
    <row r="255">
      <c r="A255" s="28">
        <f>IF(A254="","",A254+1)</f>
        <v/>
      </c>
      <c r="B255" s="21">
        <f>IF($A255="","",SUMIFS('Trade Log'!$I$4:$I$503,'Trade Log'!$G$4:$G$503,$A255,'Trade Log'!$C$4:$C$503,"LONG"))</f>
        <v/>
      </c>
      <c r="C255" s="21">
        <f>IF($A255="","",SUMIFS('Trade Log'!$I$4:$I$503,'Trade Log'!$G$4:$G$503,$A255,'Trade Log'!$C$4:$C$503,"SHORT"))</f>
        <v/>
      </c>
      <c r="D255" s="21">
        <f>IF($A255="","",$B255+$C255)</f>
        <v/>
      </c>
      <c r="E255" s="21">
        <f>IF($A255="","",SUMIFS('Trade Log'!$L$4:$L$503,'Trade Log'!$G$4:$G$503,$A255,'Trade Log'!$C$4:$C$503,"LONG"))</f>
        <v/>
      </c>
      <c r="F255" s="21">
        <f>IF($A255="","",SUMIFS('Trade Log'!$L$4:$L$503,'Trade Log'!$G$4:$G$503,$A255,'Trade Log'!$C$4:$C$503,"SHORT"))</f>
        <v/>
      </c>
      <c r="G255" s="21">
        <f>IF($A255="","",$E255+$F255)</f>
        <v/>
      </c>
    </row>
    <row r="256">
      <c r="A256" s="28">
        <f>IF(A255="","",A255+1)</f>
        <v/>
      </c>
      <c r="B256" s="21">
        <f>IF($A256="","",SUMIFS('Trade Log'!$I$4:$I$503,'Trade Log'!$G$4:$G$503,$A256,'Trade Log'!$C$4:$C$503,"LONG"))</f>
        <v/>
      </c>
      <c r="C256" s="21">
        <f>IF($A256="","",SUMIFS('Trade Log'!$I$4:$I$503,'Trade Log'!$G$4:$G$503,$A256,'Trade Log'!$C$4:$C$503,"SHORT"))</f>
        <v/>
      </c>
      <c r="D256" s="21">
        <f>IF($A256="","",$B256+$C256)</f>
        <v/>
      </c>
      <c r="E256" s="21">
        <f>IF($A256="","",SUMIFS('Trade Log'!$L$4:$L$503,'Trade Log'!$G$4:$G$503,$A256,'Trade Log'!$C$4:$C$503,"LONG"))</f>
        <v/>
      </c>
      <c r="F256" s="21">
        <f>IF($A256="","",SUMIFS('Trade Log'!$L$4:$L$503,'Trade Log'!$G$4:$G$503,$A256,'Trade Log'!$C$4:$C$503,"SHORT"))</f>
        <v/>
      </c>
      <c r="G256" s="21">
        <f>IF($A256="","",$E256+$F256)</f>
        <v/>
      </c>
    </row>
    <row r="257">
      <c r="A257" s="28">
        <f>IF(A256="","",A256+1)</f>
        <v/>
      </c>
      <c r="B257" s="21">
        <f>IF($A257="","",SUMIFS('Trade Log'!$I$4:$I$503,'Trade Log'!$G$4:$G$503,$A257,'Trade Log'!$C$4:$C$503,"LONG"))</f>
        <v/>
      </c>
      <c r="C257" s="21">
        <f>IF($A257="","",SUMIFS('Trade Log'!$I$4:$I$503,'Trade Log'!$G$4:$G$503,$A257,'Trade Log'!$C$4:$C$503,"SHORT"))</f>
        <v/>
      </c>
      <c r="D257" s="21">
        <f>IF($A257="","",$B257+$C257)</f>
        <v/>
      </c>
      <c r="E257" s="21">
        <f>IF($A257="","",SUMIFS('Trade Log'!$L$4:$L$503,'Trade Log'!$G$4:$G$503,$A257,'Trade Log'!$C$4:$C$503,"LONG"))</f>
        <v/>
      </c>
      <c r="F257" s="21">
        <f>IF($A257="","",SUMIFS('Trade Log'!$L$4:$L$503,'Trade Log'!$G$4:$G$503,$A257,'Trade Log'!$C$4:$C$503,"SHORT"))</f>
        <v/>
      </c>
      <c r="G257" s="21">
        <f>IF($A257="","",$E257+$F257)</f>
        <v/>
      </c>
    </row>
    <row r="258">
      <c r="A258" s="28">
        <f>IF(A257="","",A257+1)</f>
        <v/>
      </c>
      <c r="B258" s="21">
        <f>IF($A258="","",SUMIFS('Trade Log'!$I$4:$I$503,'Trade Log'!$G$4:$G$503,$A258,'Trade Log'!$C$4:$C$503,"LONG"))</f>
        <v/>
      </c>
      <c r="C258" s="21">
        <f>IF($A258="","",SUMIFS('Trade Log'!$I$4:$I$503,'Trade Log'!$G$4:$G$503,$A258,'Trade Log'!$C$4:$C$503,"SHORT"))</f>
        <v/>
      </c>
      <c r="D258" s="21">
        <f>IF($A258="","",$B258+$C258)</f>
        <v/>
      </c>
      <c r="E258" s="21">
        <f>IF($A258="","",SUMIFS('Trade Log'!$L$4:$L$503,'Trade Log'!$G$4:$G$503,$A258,'Trade Log'!$C$4:$C$503,"LONG"))</f>
        <v/>
      </c>
      <c r="F258" s="21">
        <f>IF($A258="","",SUMIFS('Trade Log'!$L$4:$L$503,'Trade Log'!$G$4:$G$503,$A258,'Trade Log'!$C$4:$C$503,"SHORT"))</f>
        <v/>
      </c>
      <c r="G258" s="21">
        <f>IF($A258="","",$E258+$F258)</f>
        <v/>
      </c>
    </row>
    <row r="259">
      <c r="A259" s="28">
        <f>IF(A258="","",A258+1)</f>
        <v/>
      </c>
      <c r="B259" s="21">
        <f>IF($A259="","",SUMIFS('Trade Log'!$I$4:$I$503,'Trade Log'!$G$4:$G$503,$A259,'Trade Log'!$C$4:$C$503,"LONG"))</f>
        <v/>
      </c>
      <c r="C259" s="21">
        <f>IF($A259="","",SUMIFS('Trade Log'!$I$4:$I$503,'Trade Log'!$G$4:$G$503,$A259,'Trade Log'!$C$4:$C$503,"SHORT"))</f>
        <v/>
      </c>
      <c r="D259" s="21">
        <f>IF($A259="","",$B259+$C259)</f>
        <v/>
      </c>
      <c r="E259" s="21">
        <f>IF($A259="","",SUMIFS('Trade Log'!$L$4:$L$503,'Trade Log'!$G$4:$G$503,$A259,'Trade Log'!$C$4:$C$503,"LONG"))</f>
        <v/>
      </c>
      <c r="F259" s="21">
        <f>IF($A259="","",SUMIFS('Trade Log'!$L$4:$L$503,'Trade Log'!$G$4:$G$503,$A259,'Trade Log'!$C$4:$C$503,"SHORT"))</f>
        <v/>
      </c>
      <c r="G259" s="21">
        <f>IF($A259="","",$E259+$F259)</f>
        <v/>
      </c>
    </row>
    <row r="260">
      <c r="A260" s="28">
        <f>IF(A259="","",A259+1)</f>
        <v/>
      </c>
      <c r="B260" s="21">
        <f>IF($A260="","",SUMIFS('Trade Log'!$I$4:$I$503,'Trade Log'!$G$4:$G$503,$A260,'Trade Log'!$C$4:$C$503,"LONG"))</f>
        <v/>
      </c>
      <c r="C260" s="21">
        <f>IF($A260="","",SUMIFS('Trade Log'!$I$4:$I$503,'Trade Log'!$G$4:$G$503,$A260,'Trade Log'!$C$4:$C$503,"SHORT"))</f>
        <v/>
      </c>
      <c r="D260" s="21">
        <f>IF($A260="","",$B260+$C260)</f>
        <v/>
      </c>
      <c r="E260" s="21">
        <f>IF($A260="","",SUMIFS('Trade Log'!$L$4:$L$503,'Trade Log'!$G$4:$G$503,$A260,'Trade Log'!$C$4:$C$503,"LONG"))</f>
        <v/>
      </c>
      <c r="F260" s="21">
        <f>IF($A260="","",SUMIFS('Trade Log'!$L$4:$L$503,'Trade Log'!$G$4:$G$503,$A260,'Trade Log'!$C$4:$C$503,"SHORT"))</f>
        <v/>
      </c>
      <c r="G260" s="21">
        <f>IF($A260="","",$E260+$F260)</f>
        <v/>
      </c>
    </row>
    <row r="261">
      <c r="A261" s="28">
        <f>IF(A260="","",A260+1)</f>
        <v/>
      </c>
      <c r="B261" s="21">
        <f>IF($A261="","",SUMIFS('Trade Log'!$I$4:$I$503,'Trade Log'!$G$4:$G$503,$A261,'Trade Log'!$C$4:$C$503,"LONG"))</f>
        <v/>
      </c>
      <c r="C261" s="21">
        <f>IF($A261="","",SUMIFS('Trade Log'!$I$4:$I$503,'Trade Log'!$G$4:$G$503,$A261,'Trade Log'!$C$4:$C$503,"SHORT"))</f>
        <v/>
      </c>
      <c r="D261" s="21">
        <f>IF($A261="","",$B261+$C261)</f>
        <v/>
      </c>
      <c r="E261" s="21">
        <f>IF($A261="","",SUMIFS('Trade Log'!$L$4:$L$503,'Trade Log'!$G$4:$G$503,$A261,'Trade Log'!$C$4:$C$503,"LONG"))</f>
        <v/>
      </c>
      <c r="F261" s="21">
        <f>IF($A261="","",SUMIFS('Trade Log'!$L$4:$L$503,'Trade Log'!$G$4:$G$503,$A261,'Trade Log'!$C$4:$C$503,"SHORT"))</f>
        <v/>
      </c>
      <c r="G261" s="21">
        <f>IF($A261="","",$E261+$F261)</f>
        <v/>
      </c>
    </row>
    <row r="262">
      <c r="A262" s="28">
        <f>IF(A261="","",A261+1)</f>
        <v/>
      </c>
      <c r="B262" s="21">
        <f>IF($A262="","",SUMIFS('Trade Log'!$I$4:$I$503,'Trade Log'!$G$4:$G$503,$A262,'Trade Log'!$C$4:$C$503,"LONG"))</f>
        <v/>
      </c>
      <c r="C262" s="21">
        <f>IF($A262="","",SUMIFS('Trade Log'!$I$4:$I$503,'Trade Log'!$G$4:$G$503,$A262,'Trade Log'!$C$4:$C$503,"SHORT"))</f>
        <v/>
      </c>
      <c r="D262" s="21">
        <f>IF($A262="","",$B262+$C262)</f>
        <v/>
      </c>
      <c r="E262" s="21">
        <f>IF($A262="","",SUMIFS('Trade Log'!$L$4:$L$503,'Trade Log'!$G$4:$G$503,$A262,'Trade Log'!$C$4:$C$503,"LONG"))</f>
        <v/>
      </c>
      <c r="F262" s="21">
        <f>IF($A262="","",SUMIFS('Trade Log'!$L$4:$L$503,'Trade Log'!$G$4:$G$503,$A262,'Trade Log'!$C$4:$C$503,"SHORT"))</f>
        <v/>
      </c>
      <c r="G262" s="21">
        <f>IF($A262="","",$E262+$F262)</f>
        <v/>
      </c>
    </row>
    <row r="263">
      <c r="A263" s="28">
        <f>IF(A262="","",A262+1)</f>
        <v/>
      </c>
      <c r="B263" s="21">
        <f>IF($A263="","",SUMIFS('Trade Log'!$I$4:$I$503,'Trade Log'!$G$4:$G$503,$A263,'Trade Log'!$C$4:$C$503,"LONG"))</f>
        <v/>
      </c>
      <c r="C263" s="21">
        <f>IF($A263="","",SUMIFS('Trade Log'!$I$4:$I$503,'Trade Log'!$G$4:$G$503,$A263,'Trade Log'!$C$4:$C$503,"SHORT"))</f>
        <v/>
      </c>
      <c r="D263" s="21">
        <f>IF($A263="","",$B263+$C263)</f>
        <v/>
      </c>
      <c r="E263" s="21">
        <f>IF($A263="","",SUMIFS('Trade Log'!$L$4:$L$503,'Trade Log'!$G$4:$G$503,$A263,'Trade Log'!$C$4:$C$503,"LONG"))</f>
        <v/>
      </c>
      <c r="F263" s="21">
        <f>IF($A263="","",SUMIFS('Trade Log'!$L$4:$L$503,'Trade Log'!$G$4:$G$503,$A263,'Trade Log'!$C$4:$C$503,"SHORT"))</f>
        <v/>
      </c>
      <c r="G263" s="21">
        <f>IF($A263="","",$E263+$F263)</f>
        <v/>
      </c>
    </row>
    <row r="264">
      <c r="A264" s="28">
        <f>IF(A263="","",A263+1)</f>
        <v/>
      </c>
      <c r="B264" s="21">
        <f>IF($A264="","",SUMIFS('Trade Log'!$I$4:$I$503,'Trade Log'!$G$4:$G$503,$A264,'Trade Log'!$C$4:$C$503,"LONG"))</f>
        <v/>
      </c>
      <c r="C264" s="21">
        <f>IF($A264="","",SUMIFS('Trade Log'!$I$4:$I$503,'Trade Log'!$G$4:$G$503,$A264,'Trade Log'!$C$4:$C$503,"SHORT"))</f>
        <v/>
      </c>
      <c r="D264" s="21">
        <f>IF($A264="","",$B264+$C264)</f>
        <v/>
      </c>
      <c r="E264" s="21">
        <f>IF($A264="","",SUMIFS('Trade Log'!$L$4:$L$503,'Trade Log'!$G$4:$G$503,$A264,'Trade Log'!$C$4:$C$503,"LONG"))</f>
        <v/>
      </c>
      <c r="F264" s="21">
        <f>IF($A264="","",SUMIFS('Trade Log'!$L$4:$L$503,'Trade Log'!$G$4:$G$503,$A264,'Trade Log'!$C$4:$C$503,"SHORT"))</f>
        <v/>
      </c>
      <c r="G264" s="21">
        <f>IF($A264="","",$E264+$F264)</f>
        <v/>
      </c>
    </row>
    <row r="265">
      <c r="A265" s="28">
        <f>IF(A264="","",A264+1)</f>
        <v/>
      </c>
      <c r="B265" s="21">
        <f>IF($A265="","",SUMIFS('Trade Log'!$I$4:$I$503,'Trade Log'!$G$4:$G$503,$A265,'Trade Log'!$C$4:$C$503,"LONG"))</f>
        <v/>
      </c>
      <c r="C265" s="21">
        <f>IF($A265="","",SUMIFS('Trade Log'!$I$4:$I$503,'Trade Log'!$G$4:$G$503,$A265,'Trade Log'!$C$4:$C$503,"SHORT"))</f>
        <v/>
      </c>
      <c r="D265" s="21">
        <f>IF($A265="","",$B265+$C265)</f>
        <v/>
      </c>
      <c r="E265" s="21">
        <f>IF($A265="","",SUMIFS('Trade Log'!$L$4:$L$503,'Trade Log'!$G$4:$G$503,$A265,'Trade Log'!$C$4:$C$503,"LONG"))</f>
        <v/>
      </c>
      <c r="F265" s="21">
        <f>IF($A265="","",SUMIFS('Trade Log'!$L$4:$L$503,'Trade Log'!$G$4:$G$503,$A265,'Trade Log'!$C$4:$C$503,"SHORT"))</f>
        <v/>
      </c>
      <c r="G265" s="21">
        <f>IF($A265="","",$E265+$F265)</f>
        <v/>
      </c>
    </row>
    <row r="266">
      <c r="A266" s="28">
        <f>IF(A265="","",A265+1)</f>
        <v/>
      </c>
      <c r="B266" s="21">
        <f>IF($A266="","",SUMIFS('Trade Log'!$I$4:$I$503,'Trade Log'!$G$4:$G$503,$A266,'Trade Log'!$C$4:$C$503,"LONG"))</f>
        <v/>
      </c>
      <c r="C266" s="21">
        <f>IF($A266="","",SUMIFS('Trade Log'!$I$4:$I$503,'Trade Log'!$G$4:$G$503,$A266,'Trade Log'!$C$4:$C$503,"SHORT"))</f>
        <v/>
      </c>
      <c r="D266" s="21">
        <f>IF($A266="","",$B266+$C266)</f>
        <v/>
      </c>
      <c r="E266" s="21">
        <f>IF($A266="","",SUMIFS('Trade Log'!$L$4:$L$503,'Trade Log'!$G$4:$G$503,$A266,'Trade Log'!$C$4:$C$503,"LONG"))</f>
        <v/>
      </c>
      <c r="F266" s="21">
        <f>IF($A266="","",SUMIFS('Trade Log'!$L$4:$L$503,'Trade Log'!$G$4:$G$503,$A266,'Trade Log'!$C$4:$C$503,"SHORT"))</f>
        <v/>
      </c>
      <c r="G266" s="21">
        <f>IF($A266="","",$E266+$F266)</f>
        <v/>
      </c>
    </row>
    <row r="267">
      <c r="A267" s="28">
        <f>IF(A266="","",A266+1)</f>
        <v/>
      </c>
      <c r="B267" s="21">
        <f>IF($A267="","",SUMIFS('Trade Log'!$I$4:$I$503,'Trade Log'!$G$4:$G$503,$A267,'Trade Log'!$C$4:$C$503,"LONG"))</f>
        <v/>
      </c>
      <c r="C267" s="21">
        <f>IF($A267="","",SUMIFS('Trade Log'!$I$4:$I$503,'Trade Log'!$G$4:$G$503,$A267,'Trade Log'!$C$4:$C$503,"SHORT"))</f>
        <v/>
      </c>
      <c r="D267" s="21">
        <f>IF($A267="","",$B267+$C267)</f>
        <v/>
      </c>
      <c r="E267" s="21">
        <f>IF($A267="","",SUMIFS('Trade Log'!$L$4:$L$503,'Trade Log'!$G$4:$G$503,$A267,'Trade Log'!$C$4:$C$503,"LONG"))</f>
        <v/>
      </c>
      <c r="F267" s="21">
        <f>IF($A267="","",SUMIFS('Trade Log'!$L$4:$L$503,'Trade Log'!$G$4:$G$503,$A267,'Trade Log'!$C$4:$C$503,"SHORT"))</f>
        <v/>
      </c>
      <c r="G267" s="21">
        <f>IF($A267="","",$E267+$F267)</f>
        <v/>
      </c>
    </row>
    <row r="268">
      <c r="A268" s="28">
        <f>IF(A267="","",A267+1)</f>
        <v/>
      </c>
      <c r="B268" s="21">
        <f>IF($A268="","",SUMIFS('Trade Log'!$I$4:$I$503,'Trade Log'!$G$4:$G$503,$A268,'Trade Log'!$C$4:$C$503,"LONG"))</f>
        <v/>
      </c>
      <c r="C268" s="21">
        <f>IF($A268="","",SUMIFS('Trade Log'!$I$4:$I$503,'Trade Log'!$G$4:$G$503,$A268,'Trade Log'!$C$4:$C$503,"SHORT"))</f>
        <v/>
      </c>
      <c r="D268" s="21">
        <f>IF($A268="","",$B268+$C268)</f>
        <v/>
      </c>
      <c r="E268" s="21">
        <f>IF($A268="","",SUMIFS('Trade Log'!$L$4:$L$503,'Trade Log'!$G$4:$G$503,$A268,'Trade Log'!$C$4:$C$503,"LONG"))</f>
        <v/>
      </c>
      <c r="F268" s="21">
        <f>IF($A268="","",SUMIFS('Trade Log'!$L$4:$L$503,'Trade Log'!$G$4:$G$503,$A268,'Trade Log'!$C$4:$C$503,"SHORT"))</f>
        <v/>
      </c>
      <c r="G268" s="21">
        <f>IF($A268="","",$E268+$F268)</f>
        <v/>
      </c>
    </row>
    <row r="269">
      <c r="A269" s="28">
        <f>IF(A268="","",A268+1)</f>
        <v/>
      </c>
      <c r="B269" s="21">
        <f>IF($A269="","",SUMIFS('Trade Log'!$I$4:$I$503,'Trade Log'!$G$4:$G$503,$A269,'Trade Log'!$C$4:$C$503,"LONG"))</f>
        <v/>
      </c>
      <c r="C269" s="21">
        <f>IF($A269="","",SUMIFS('Trade Log'!$I$4:$I$503,'Trade Log'!$G$4:$G$503,$A269,'Trade Log'!$C$4:$C$503,"SHORT"))</f>
        <v/>
      </c>
      <c r="D269" s="21">
        <f>IF($A269="","",$B269+$C269)</f>
        <v/>
      </c>
      <c r="E269" s="21">
        <f>IF($A269="","",SUMIFS('Trade Log'!$L$4:$L$503,'Trade Log'!$G$4:$G$503,$A269,'Trade Log'!$C$4:$C$503,"LONG"))</f>
        <v/>
      </c>
      <c r="F269" s="21">
        <f>IF($A269="","",SUMIFS('Trade Log'!$L$4:$L$503,'Trade Log'!$G$4:$G$503,$A269,'Trade Log'!$C$4:$C$503,"SHORT"))</f>
        <v/>
      </c>
      <c r="G269" s="21">
        <f>IF($A269="","",$E269+$F269)</f>
        <v/>
      </c>
    </row>
    <row r="270">
      <c r="A270" s="28">
        <f>IF(A269="","",A269+1)</f>
        <v/>
      </c>
      <c r="B270" s="21">
        <f>IF($A270="","",SUMIFS('Trade Log'!$I$4:$I$503,'Trade Log'!$G$4:$G$503,$A270,'Trade Log'!$C$4:$C$503,"LONG"))</f>
        <v/>
      </c>
      <c r="C270" s="21">
        <f>IF($A270="","",SUMIFS('Trade Log'!$I$4:$I$503,'Trade Log'!$G$4:$G$503,$A270,'Trade Log'!$C$4:$C$503,"SHORT"))</f>
        <v/>
      </c>
      <c r="D270" s="21">
        <f>IF($A270="","",$B270+$C270)</f>
        <v/>
      </c>
      <c r="E270" s="21">
        <f>IF($A270="","",SUMIFS('Trade Log'!$L$4:$L$503,'Trade Log'!$G$4:$G$503,$A270,'Trade Log'!$C$4:$C$503,"LONG"))</f>
        <v/>
      </c>
      <c r="F270" s="21">
        <f>IF($A270="","",SUMIFS('Trade Log'!$L$4:$L$503,'Trade Log'!$G$4:$G$503,$A270,'Trade Log'!$C$4:$C$503,"SHORT"))</f>
        <v/>
      </c>
      <c r="G270" s="21">
        <f>IF($A270="","",$E270+$F270)</f>
        <v/>
      </c>
    </row>
    <row r="271">
      <c r="A271" s="28">
        <f>IF(A270="","",A270+1)</f>
        <v/>
      </c>
      <c r="B271" s="21">
        <f>IF($A271="","",SUMIFS('Trade Log'!$I$4:$I$503,'Trade Log'!$G$4:$G$503,$A271,'Trade Log'!$C$4:$C$503,"LONG"))</f>
        <v/>
      </c>
      <c r="C271" s="21">
        <f>IF($A271="","",SUMIFS('Trade Log'!$I$4:$I$503,'Trade Log'!$G$4:$G$503,$A271,'Trade Log'!$C$4:$C$503,"SHORT"))</f>
        <v/>
      </c>
      <c r="D271" s="21">
        <f>IF($A271="","",$B271+$C271)</f>
        <v/>
      </c>
      <c r="E271" s="21">
        <f>IF($A271="","",SUMIFS('Trade Log'!$L$4:$L$503,'Trade Log'!$G$4:$G$503,$A271,'Trade Log'!$C$4:$C$503,"LONG"))</f>
        <v/>
      </c>
      <c r="F271" s="21">
        <f>IF($A271="","",SUMIFS('Trade Log'!$L$4:$L$503,'Trade Log'!$G$4:$G$503,$A271,'Trade Log'!$C$4:$C$503,"SHORT"))</f>
        <v/>
      </c>
      <c r="G271" s="21">
        <f>IF($A271="","",$E271+$F271)</f>
        <v/>
      </c>
    </row>
    <row r="272">
      <c r="A272" s="28">
        <f>IF(A271="","",A271+1)</f>
        <v/>
      </c>
      <c r="B272" s="21">
        <f>IF($A272="","",SUMIFS('Trade Log'!$I$4:$I$503,'Trade Log'!$G$4:$G$503,$A272,'Trade Log'!$C$4:$C$503,"LONG"))</f>
        <v/>
      </c>
      <c r="C272" s="21">
        <f>IF($A272="","",SUMIFS('Trade Log'!$I$4:$I$503,'Trade Log'!$G$4:$G$503,$A272,'Trade Log'!$C$4:$C$503,"SHORT"))</f>
        <v/>
      </c>
      <c r="D272" s="21">
        <f>IF($A272="","",$B272+$C272)</f>
        <v/>
      </c>
      <c r="E272" s="21">
        <f>IF($A272="","",SUMIFS('Trade Log'!$L$4:$L$503,'Trade Log'!$G$4:$G$503,$A272,'Trade Log'!$C$4:$C$503,"LONG"))</f>
        <v/>
      </c>
      <c r="F272" s="21">
        <f>IF($A272="","",SUMIFS('Trade Log'!$L$4:$L$503,'Trade Log'!$G$4:$G$503,$A272,'Trade Log'!$C$4:$C$503,"SHORT"))</f>
        <v/>
      </c>
      <c r="G272" s="21">
        <f>IF($A272="","",$E272+$F272)</f>
        <v/>
      </c>
    </row>
    <row r="273">
      <c r="A273" s="28">
        <f>IF(A272="","",A272+1)</f>
        <v/>
      </c>
      <c r="B273" s="21">
        <f>IF($A273="","",SUMIFS('Trade Log'!$I$4:$I$503,'Trade Log'!$G$4:$G$503,$A273,'Trade Log'!$C$4:$C$503,"LONG"))</f>
        <v/>
      </c>
      <c r="C273" s="21">
        <f>IF($A273="","",SUMIFS('Trade Log'!$I$4:$I$503,'Trade Log'!$G$4:$G$503,$A273,'Trade Log'!$C$4:$C$503,"SHORT"))</f>
        <v/>
      </c>
      <c r="D273" s="21">
        <f>IF($A273="","",$B273+$C273)</f>
        <v/>
      </c>
      <c r="E273" s="21">
        <f>IF($A273="","",SUMIFS('Trade Log'!$L$4:$L$503,'Trade Log'!$G$4:$G$503,$A273,'Trade Log'!$C$4:$C$503,"LONG"))</f>
        <v/>
      </c>
      <c r="F273" s="21">
        <f>IF($A273="","",SUMIFS('Trade Log'!$L$4:$L$503,'Trade Log'!$G$4:$G$503,$A273,'Trade Log'!$C$4:$C$503,"SHORT"))</f>
        <v/>
      </c>
      <c r="G273" s="21">
        <f>IF($A273="","",$E273+$F273)</f>
        <v/>
      </c>
    </row>
    <row r="274">
      <c r="A274" s="28">
        <f>IF(A273="","",A273+1)</f>
        <v/>
      </c>
      <c r="B274" s="21">
        <f>IF($A274="","",SUMIFS('Trade Log'!$I$4:$I$503,'Trade Log'!$G$4:$G$503,$A274,'Trade Log'!$C$4:$C$503,"LONG"))</f>
        <v/>
      </c>
      <c r="C274" s="21">
        <f>IF($A274="","",SUMIFS('Trade Log'!$I$4:$I$503,'Trade Log'!$G$4:$G$503,$A274,'Trade Log'!$C$4:$C$503,"SHORT"))</f>
        <v/>
      </c>
      <c r="D274" s="21">
        <f>IF($A274="","",$B274+$C274)</f>
        <v/>
      </c>
      <c r="E274" s="21">
        <f>IF($A274="","",SUMIFS('Trade Log'!$L$4:$L$503,'Trade Log'!$G$4:$G$503,$A274,'Trade Log'!$C$4:$C$503,"LONG"))</f>
        <v/>
      </c>
      <c r="F274" s="21">
        <f>IF($A274="","",SUMIFS('Trade Log'!$L$4:$L$503,'Trade Log'!$G$4:$G$503,$A274,'Trade Log'!$C$4:$C$503,"SHORT"))</f>
        <v/>
      </c>
      <c r="G274" s="21">
        <f>IF($A274="","",$E274+$F274)</f>
        <v/>
      </c>
    </row>
    <row r="275">
      <c r="A275" s="28">
        <f>IF(A274="","",A274+1)</f>
        <v/>
      </c>
      <c r="B275" s="21">
        <f>IF($A275="","",SUMIFS('Trade Log'!$I$4:$I$503,'Trade Log'!$G$4:$G$503,$A275,'Trade Log'!$C$4:$C$503,"LONG"))</f>
        <v/>
      </c>
      <c r="C275" s="21">
        <f>IF($A275="","",SUMIFS('Trade Log'!$I$4:$I$503,'Trade Log'!$G$4:$G$503,$A275,'Trade Log'!$C$4:$C$503,"SHORT"))</f>
        <v/>
      </c>
      <c r="D275" s="21">
        <f>IF($A275="","",$B275+$C275)</f>
        <v/>
      </c>
      <c r="E275" s="21">
        <f>IF($A275="","",SUMIFS('Trade Log'!$L$4:$L$503,'Trade Log'!$G$4:$G$503,$A275,'Trade Log'!$C$4:$C$503,"LONG"))</f>
        <v/>
      </c>
      <c r="F275" s="21">
        <f>IF($A275="","",SUMIFS('Trade Log'!$L$4:$L$503,'Trade Log'!$G$4:$G$503,$A275,'Trade Log'!$C$4:$C$503,"SHORT"))</f>
        <v/>
      </c>
      <c r="G275" s="21">
        <f>IF($A275="","",$E275+$F275)</f>
        <v/>
      </c>
    </row>
    <row r="276">
      <c r="A276" s="28">
        <f>IF(A275="","",A275+1)</f>
        <v/>
      </c>
      <c r="B276" s="21">
        <f>IF($A276="","",SUMIFS('Trade Log'!$I$4:$I$503,'Trade Log'!$G$4:$G$503,$A276,'Trade Log'!$C$4:$C$503,"LONG"))</f>
        <v/>
      </c>
      <c r="C276" s="21">
        <f>IF($A276="","",SUMIFS('Trade Log'!$I$4:$I$503,'Trade Log'!$G$4:$G$503,$A276,'Trade Log'!$C$4:$C$503,"SHORT"))</f>
        <v/>
      </c>
      <c r="D276" s="21">
        <f>IF($A276="","",$B276+$C276)</f>
        <v/>
      </c>
      <c r="E276" s="21">
        <f>IF($A276="","",SUMIFS('Trade Log'!$L$4:$L$503,'Trade Log'!$G$4:$G$503,$A276,'Trade Log'!$C$4:$C$503,"LONG"))</f>
        <v/>
      </c>
      <c r="F276" s="21">
        <f>IF($A276="","",SUMIFS('Trade Log'!$L$4:$L$503,'Trade Log'!$G$4:$G$503,$A276,'Trade Log'!$C$4:$C$503,"SHORT"))</f>
        <v/>
      </c>
      <c r="G276" s="21">
        <f>IF($A276="","",$E276+$F276)</f>
        <v/>
      </c>
    </row>
    <row r="277">
      <c r="A277" s="28">
        <f>IF(A276="","",A276+1)</f>
        <v/>
      </c>
      <c r="B277" s="21">
        <f>IF($A277="","",SUMIFS('Trade Log'!$I$4:$I$503,'Trade Log'!$G$4:$G$503,$A277,'Trade Log'!$C$4:$C$503,"LONG"))</f>
        <v/>
      </c>
      <c r="C277" s="21">
        <f>IF($A277="","",SUMIFS('Trade Log'!$I$4:$I$503,'Trade Log'!$G$4:$G$503,$A277,'Trade Log'!$C$4:$C$503,"SHORT"))</f>
        <v/>
      </c>
      <c r="D277" s="21">
        <f>IF($A277="","",$B277+$C277)</f>
        <v/>
      </c>
      <c r="E277" s="21">
        <f>IF($A277="","",SUMIFS('Trade Log'!$L$4:$L$503,'Trade Log'!$G$4:$G$503,$A277,'Trade Log'!$C$4:$C$503,"LONG"))</f>
        <v/>
      </c>
      <c r="F277" s="21">
        <f>IF($A277="","",SUMIFS('Trade Log'!$L$4:$L$503,'Trade Log'!$G$4:$G$503,$A277,'Trade Log'!$C$4:$C$503,"SHORT"))</f>
        <v/>
      </c>
      <c r="G277" s="21">
        <f>IF($A277="","",$E277+$F277)</f>
        <v/>
      </c>
    </row>
    <row r="278">
      <c r="A278" s="28">
        <f>IF(A277="","",A277+1)</f>
        <v/>
      </c>
      <c r="B278" s="21">
        <f>IF($A278="","",SUMIFS('Trade Log'!$I$4:$I$503,'Trade Log'!$G$4:$G$503,$A278,'Trade Log'!$C$4:$C$503,"LONG"))</f>
        <v/>
      </c>
      <c r="C278" s="21">
        <f>IF($A278="","",SUMIFS('Trade Log'!$I$4:$I$503,'Trade Log'!$G$4:$G$503,$A278,'Trade Log'!$C$4:$C$503,"SHORT"))</f>
        <v/>
      </c>
      <c r="D278" s="21">
        <f>IF($A278="","",$B278+$C278)</f>
        <v/>
      </c>
      <c r="E278" s="21">
        <f>IF($A278="","",SUMIFS('Trade Log'!$L$4:$L$503,'Trade Log'!$G$4:$G$503,$A278,'Trade Log'!$C$4:$C$503,"LONG"))</f>
        <v/>
      </c>
      <c r="F278" s="21">
        <f>IF($A278="","",SUMIFS('Trade Log'!$L$4:$L$503,'Trade Log'!$G$4:$G$503,$A278,'Trade Log'!$C$4:$C$503,"SHORT"))</f>
        <v/>
      </c>
      <c r="G278" s="21">
        <f>IF($A278="","",$E278+$F278)</f>
        <v/>
      </c>
    </row>
    <row r="279">
      <c r="A279" s="28">
        <f>IF(A278="","",A278+1)</f>
        <v/>
      </c>
      <c r="B279" s="21">
        <f>IF($A279="","",SUMIFS('Trade Log'!$I$4:$I$503,'Trade Log'!$G$4:$G$503,$A279,'Trade Log'!$C$4:$C$503,"LONG"))</f>
        <v/>
      </c>
      <c r="C279" s="21">
        <f>IF($A279="","",SUMIFS('Trade Log'!$I$4:$I$503,'Trade Log'!$G$4:$G$503,$A279,'Trade Log'!$C$4:$C$503,"SHORT"))</f>
        <v/>
      </c>
      <c r="D279" s="21">
        <f>IF($A279="","",$B279+$C279)</f>
        <v/>
      </c>
      <c r="E279" s="21">
        <f>IF($A279="","",SUMIFS('Trade Log'!$L$4:$L$503,'Trade Log'!$G$4:$G$503,$A279,'Trade Log'!$C$4:$C$503,"LONG"))</f>
        <v/>
      </c>
      <c r="F279" s="21">
        <f>IF($A279="","",SUMIFS('Trade Log'!$L$4:$L$503,'Trade Log'!$G$4:$G$503,$A279,'Trade Log'!$C$4:$C$503,"SHORT"))</f>
        <v/>
      </c>
      <c r="G279" s="21">
        <f>IF($A279="","",$E279+$F279)</f>
        <v/>
      </c>
    </row>
    <row r="280">
      <c r="A280" s="28">
        <f>IF(A279="","",A279+1)</f>
        <v/>
      </c>
      <c r="B280" s="21">
        <f>IF($A280="","",SUMIFS('Trade Log'!$I$4:$I$503,'Trade Log'!$G$4:$G$503,$A280,'Trade Log'!$C$4:$C$503,"LONG"))</f>
        <v/>
      </c>
      <c r="C280" s="21">
        <f>IF($A280="","",SUMIFS('Trade Log'!$I$4:$I$503,'Trade Log'!$G$4:$G$503,$A280,'Trade Log'!$C$4:$C$503,"SHORT"))</f>
        <v/>
      </c>
      <c r="D280" s="21">
        <f>IF($A280="","",$B280+$C280)</f>
        <v/>
      </c>
      <c r="E280" s="21">
        <f>IF($A280="","",SUMIFS('Trade Log'!$L$4:$L$503,'Trade Log'!$G$4:$G$503,$A280,'Trade Log'!$C$4:$C$503,"LONG"))</f>
        <v/>
      </c>
      <c r="F280" s="21">
        <f>IF($A280="","",SUMIFS('Trade Log'!$L$4:$L$503,'Trade Log'!$G$4:$G$503,$A280,'Trade Log'!$C$4:$C$503,"SHORT"))</f>
        <v/>
      </c>
      <c r="G280" s="21">
        <f>IF($A280="","",$E280+$F280)</f>
        <v/>
      </c>
    </row>
    <row r="281">
      <c r="A281" s="28">
        <f>IF(A280="","",A280+1)</f>
        <v/>
      </c>
      <c r="B281" s="21">
        <f>IF($A281="","",SUMIFS('Trade Log'!$I$4:$I$503,'Trade Log'!$G$4:$G$503,$A281,'Trade Log'!$C$4:$C$503,"LONG"))</f>
        <v/>
      </c>
      <c r="C281" s="21">
        <f>IF($A281="","",SUMIFS('Trade Log'!$I$4:$I$503,'Trade Log'!$G$4:$G$503,$A281,'Trade Log'!$C$4:$C$503,"SHORT"))</f>
        <v/>
      </c>
      <c r="D281" s="21">
        <f>IF($A281="","",$B281+$C281)</f>
        <v/>
      </c>
      <c r="E281" s="21">
        <f>IF($A281="","",SUMIFS('Trade Log'!$L$4:$L$503,'Trade Log'!$G$4:$G$503,$A281,'Trade Log'!$C$4:$C$503,"LONG"))</f>
        <v/>
      </c>
      <c r="F281" s="21">
        <f>IF($A281="","",SUMIFS('Trade Log'!$L$4:$L$503,'Trade Log'!$G$4:$G$503,$A281,'Trade Log'!$C$4:$C$503,"SHORT"))</f>
        <v/>
      </c>
      <c r="G281" s="21">
        <f>IF($A281="","",$E281+$F281)</f>
        <v/>
      </c>
    </row>
    <row r="282">
      <c r="A282" s="28">
        <f>IF(A281="","",A281+1)</f>
        <v/>
      </c>
      <c r="B282" s="21">
        <f>IF($A282="","",SUMIFS('Trade Log'!$I$4:$I$503,'Trade Log'!$G$4:$G$503,$A282,'Trade Log'!$C$4:$C$503,"LONG"))</f>
        <v/>
      </c>
      <c r="C282" s="21">
        <f>IF($A282="","",SUMIFS('Trade Log'!$I$4:$I$503,'Trade Log'!$G$4:$G$503,$A282,'Trade Log'!$C$4:$C$503,"SHORT"))</f>
        <v/>
      </c>
      <c r="D282" s="21">
        <f>IF($A282="","",$B282+$C282)</f>
        <v/>
      </c>
      <c r="E282" s="21">
        <f>IF($A282="","",SUMIFS('Trade Log'!$L$4:$L$503,'Trade Log'!$G$4:$G$503,$A282,'Trade Log'!$C$4:$C$503,"LONG"))</f>
        <v/>
      </c>
      <c r="F282" s="21">
        <f>IF($A282="","",SUMIFS('Trade Log'!$L$4:$L$503,'Trade Log'!$G$4:$G$503,$A282,'Trade Log'!$C$4:$C$503,"SHORT"))</f>
        <v/>
      </c>
      <c r="G282" s="21">
        <f>IF($A282="","",$E282+$F282)</f>
        <v/>
      </c>
    </row>
    <row r="283">
      <c r="A283" s="28">
        <f>IF(A282="","",A282+1)</f>
        <v/>
      </c>
      <c r="B283" s="21">
        <f>IF($A283="","",SUMIFS('Trade Log'!$I$4:$I$503,'Trade Log'!$G$4:$G$503,$A283,'Trade Log'!$C$4:$C$503,"LONG"))</f>
        <v/>
      </c>
      <c r="C283" s="21">
        <f>IF($A283="","",SUMIFS('Trade Log'!$I$4:$I$503,'Trade Log'!$G$4:$G$503,$A283,'Trade Log'!$C$4:$C$503,"SHORT"))</f>
        <v/>
      </c>
      <c r="D283" s="21">
        <f>IF($A283="","",$B283+$C283)</f>
        <v/>
      </c>
      <c r="E283" s="21">
        <f>IF($A283="","",SUMIFS('Trade Log'!$L$4:$L$503,'Trade Log'!$G$4:$G$503,$A283,'Trade Log'!$C$4:$C$503,"LONG"))</f>
        <v/>
      </c>
      <c r="F283" s="21">
        <f>IF($A283="","",SUMIFS('Trade Log'!$L$4:$L$503,'Trade Log'!$G$4:$G$503,$A283,'Trade Log'!$C$4:$C$503,"SHORT"))</f>
        <v/>
      </c>
      <c r="G283" s="21">
        <f>IF($A283="","",$E283+$F283)</f>
        <v/>
      </c>
    </row>
    <row r="284">
      <c r="A284" s="28">
        <f>IF(A283="","",A283+1)</f>
        <v/>
      </c>
      <c r="B284" s="21">
        <f>IF($A284="","",SUMIFS('Trade Log'!$I$4:$I$503,'Trade Log'!$G$4:$G$503,$A284,'Trade Log'!$C$4:$C$503,"LONG"))</f>
        <v/>
      </c>
      <c r="C284" s="21">
        <f>IF($A284="","",SUMIFS('Trade Log'!$I$4:$I$503,'Trade Log'!$G$4:$G$503,$A284,'Trade Log'!$C$4:$C$503,"SHORT"))</f>
        <v/>
      </c>
      <c r="D284" s="21">
        <f>IF($A284="","",$B284+$C284)</f>
        <v/>
      </c>
      <c r="E284" s="21">
        <f>IF($A284="","",SUMIFS('Trade Log'!$L$4:$L$503,'Trade Log'!$G$4:$G$503,$A284,'Trade Log'!$C$4:$C$503,"LONG"))</f>
        <v/>
      </c>
      <c r="F284" s="21">
        <f>IF($A284="","",SUMIFS('Trade Log'!$L$4:$L$503,'Trade Log'!$G$4:$G$503,$A284,'Trade Log'!$C$4:$C$503,"SHORT"))</f>
        <v/>
      </c>
      <c r="G284" s="21">
        <f>IF($A284="","",$E284+$F284)</f>
        <v/>
      </c>
    </row>
    <row r="285">
      <c r="A285" s="28">
        <f>IF(A284="","",A284+1)</f>
        <v/>
      </c>
      <c r="B285" s="21">
        <f>IF($A285="","",SUMIFS('Trade Log'!$I$4:$I$503,'Trade Log'!$G$4:$G$503,$A285,'Trade Log'!$C$4:$C$503,"LONG"))</f>
        <v/>
      </c>
      <c r="C285" s="21">
        <f>IF($A285="","",SUMIFS('Trade Log'!$I$4:$I$503,'Trade Log'!$G$4:$G$503,$A285,'Trade Log'!$C$4:$C$503,"SHORT"))</f>
        <v/>
      </c>
      <c r="D285" s="21">
        <f>IF($A285="","",$B285+$C285)</f>
        <v/>
      </c>
      <c r="E285" s="21">
        <f>IF($A285="","",SUMIFS('Trade Log'!$L$4:$L$503,'Trade Log'!$G$4:$G$503,$A285,'Trade Log'!$C$4:$C$503,"LONG"))</f>
        <v/>
      </c>
      <c r="F285" s="21">
        <f>IF($A285="","",SUMIFS('Trade Log'!$L$4:$L$503,'Trade Log'!$G$4:$G$503,$A285,'Trade Log'!$C$4:$C$503,"SHORT"))</f>
        <v/>
      </c>
      <c r="G285" s="21">
        <f>IF($A285="","",$E285+$F285)</f>
        <v/>
      </c>
    </row>
    <row r="286">
      <c r="A286" s="28">
        <f>IF(A285="","",A285+1)</f>
        <v/>
      </c>
      <c r="B286" s="21">
        <f>IF($A286="","",SUMIFS('Trade Log'!$I$4:$I$503,'Trade Log'!$G$4:$G$503,$A286,'Trade Log'!$C$4:$C$503,"LONG"))</f>
        <v/>
      </c>
      <c r="C286" s="21">
        <f>IF($A286="","",SUMIFS('Trade Log'!$I$4:$I$503,'Trade Log'!$G$4:$G$503,$A286,'Trade Log'!$C$4:$C$503,"SHORT"))</f>
        <v/>
      </c>
      <c r="D286" s="21">
        <f>IF($A286="","",$B286+$C286)</f>
        <v/>
      </c>
      <c r="E286" s="21">
        <f>IF($A286="","",SUMIFS('Trade Log'!$L$4:$L$503,'Trade Log'!$G$4:$G$503,$A286,'Trade Log'!$C$4:$C$503,"LONG"))</f>
        <v/>
      </c>
      <c r="F286" s="21">
        <f>IF($A286="","",SUMIFS('Trade Log'!$L$4:$L$503,'Trade Log'!$G$4:$G$503,$A286,'Trade Log'!$C$4:$C$503,"SHORT"))</f>
        <v/>
      </c>
      <c r="G286" s="21">
        <f>IF($A286="","",$E286+$F286)</f>
        <v/>
      </c>
    </row>
    <row r="287">
      <c r="A287" s="28">
        <f>IF(A286="","",A286+1)</f>
        <v/>
      </c>
      <c r="B287" s="21">
        <f>IF($A287="","",SUMIFS('Trade Log'!$I$4:$I$503,'Trade Log'!$G$4:$G$503,$A287,'Trade Log'!$C$4:$C$503,"LONG"))</f>
        <v/>
      </c>
      <c r="C287" s="21">
        <f>IF($A287="","",SUMIFS('Trade Log'!$I$4:$I$503,'Trade Log'!$G$4:$G$503,$A287,'Trade Log'!$C$4:$C$503,"SHORT"))</f>
        <v/>
      </c>
      <c r="D287" s="21">
        <f>IF($A287="","",$B287+$C287)</f>
        <v/>
      </c>
      <c r="E287" s="21">
        <f>IF($A287="","",SUMIFS('Trade Log'!$L$4:$L$503,'Trade Log'!$G$4:$G$503,$A287,'Trade Log'!$C$4:$C$503,"LONG"))</f>
        <v/>
      </c>
      <c r="F287" s="21">
        <f>IF($A287="","",SUMIFS('Trade Log'!$L$4:$L$503,'Trade Log'!$G$4:$G$503,$A287,'Trade Log'!$C$4:$C$503,"SHORT"))</f>
        <v/>
      </c>
      <c r="G287" s="21">
        <f>IF($A287="","",$E287+$F287)</f>
        <v/>
      </c>
    </row>
    <row r="288">
      <c r="A288" s="28">
        <f>IF(A287="","",A287+1)</f>
        <v/>
      </c>
      <c r="B288" s="21">
        <f>IF($A288="","",SUMIFS('Trade Log'!$I$4:$I$503,'Trade Log'!$G$4:$G$503,$A288,'Trade Log'!$C$4:$C$503,"LONG"))</f>
        <v/>
      </c>
      <c r="C288" s="21">
        <f>IF($A288="","",SUMIFS('Trade Log'!$I$4:$I$503,'Trade Log'!$G$4:$G$503,$A288,'Trade Log'!$C$4:$C$503,"SHORT"))</f>
        <v/>
      </c>
      <c r="D288" s="21">
        <f>IF($A288="","",$B288+$C288)</f>
        <v/>
      </c>
      <c r="E288" s="21">
        <f>IF($A288="","",SUMIFS('Trade Log'!$L$4:$L$503,'Trade Log'!$G$4:$G$503,$A288,'Trade Log'!$C$4:$C$503,"LONG"))</f>
        <v/>
      </c>
      <c r="F288" s="21">
        <f>IF($A288="","",SUMIFS('Trade Log'!$L$4:$L$503,'Trade Log'!$G$4:$G$503,$A288,'Trade Log'!$C$4:$C$503,"SHORT"))</f>
        <v/>
      </c>
      <c r="G288" s="21">
        <f>IF($A288="","",$E288+$F288)</f>
        <v/>
      </c>
    </row>
    <row r="289">
      <c r="A289" s="28">
        <f>IF(A288="","",A288+1)</f>
        <v/>
      </c>
      <c r="B289" s="21">
        <f>IF($A289="","",SUMIFS('Trade Log'!$I$4:$I$503,'Trade Log'!$G$4:$G$503,$A289,'Trade Log'!$C$4:$C$503,"LONG"))</f>
        <v/>
      </c>
      <c r="C289" s="21">
        <f>IF($A289="","",SUMIFS('Trade Log'!$I$4:$I$503,'Trade Log'!$G$4:$G$503,$A289,'Trade Log'!$C$4:$C$503,"SHORT"))</f>
        <v/>
      </c>
      <c r="D289" s="21">
        <f>IF($A289="","",$B289+$C289)</f>
        <v/>
      </c>
      <c r="E289" s="21">
        <f>IF($A289="","",SUMIFS('Trade Log'!$L$4:$L$503,'Trade Log'!$G$4:$G$503,$A289,'Trade Log'!$C$4:$C$503,"LONG"))</f>
        <v/>
      </c>
      <c r="F289" s="21">
        <f>IF($A289="","",SUMIFS('Trade Log'!$L$4:$L$503,'Trade Log'!$G$4:$G$503,$A289,'Trade Log'!$C$4:$C$503,"SHORT"))</f>
        <v/>
      </c>
      <c r="G289" s="21">
        <f>IF($A289="","",$E289+$F289)</f>
        <v/>
      </c>
    </row>
    <row r="290">
      <c r="A290" s="28">
        <f>IF(A289="","",A289+1)</f>
        <v/>
      </c>
      <c r="B290" s="21">
        <f>IF($A290="","",SUMIFS('Trade Log'!$I$4:$I$503,'Trade Log'!$G$4:$G$503,$A290,'Trade Log'!$C$4:$C$503,"LONG"))</f>
        <v/>
      </c>
      <c r="C290" s="21">
        <f>IF($A290="","",SUMIFS('Trade Log'!$I$4:$I$503,'Trade Log'!$G$4:$G$503,$A290,'Trade Log'!$C$4:$C$503,"SHORT"))</f>
        <v/>
      </c>
      <c r="D290" s="21">
        <f>IF($A290="","",$B290+$C290)</f>
        <v/>
      </c>
      <c r="E290" s="21">
        <f>IF($A290="","",SUMIFS('Trade Log'!$L$4:$L$503,'Trade Log'!$G$4:$G$503,$A290,'Trade Log'!$C$4:$C$503,"LONG"))</f>
        <v/>
      </c>
      <c r="F290" s="21">
        <f>IF($A290="","",SUMIFS('Trade Log'!$L$4:$L$503,'Trade Log'!$G$4:$G$503,$A290,'Trade Log'!$C$4:$C$503,"SHORT"))</f>
        <v/>
      </c>
      <c r="G290" s="21">
        <f>IF($A290="","",$E290+$F290)</f>
        <v/>
      </c>
    </row>
    <row r="291">
      <c r="A291" s="28">
        <f>IF(A290="","",A290+1)</f>
        <v/>
      </c>
      <c r="B291" s="21">
        <f>IF($A291="","",SUMIFS('Trade Log'!$I$4:$I$503,'Trade Log'!$G$4:$G$503,$A291,'Trade Log'!$C$4:$C$503,"LONG"))</f>
        <v/>
      </c>
      <c r="C291" s="21">
        <f>IF($A291="","",SUMIFS('Trade Log'!$I$4:$I$503,'Trade Log'!$G$4:$G$503,$A291,'Trade Log'!$C$4:$C$503,"SHORT"))</f>
        <v/>
      </c>
      <c r="D291" s="21">
        <f>IF($A291="","",$B291+$C291)</f>
        <v/>
      </c>
      <c r="E291" s="21">
        <f>IF($A291="","",SUMIFS('Trade Log'!$L$4:$L$503,'Trade Log'!$G$4:$G$503,$A291,'Trade Log'!$C$4:$C$503,"LONG"))</f>
        <v/>
      </c>
      <c r="F291" s="21">
        <f>IF($A291="","",SUMIFS('Trade Log'!$L$4:$L$503,'Trade Log'!$G$4:$G$503,$A291,'Trade Log'!$C$4:$C$503,"SHORT"))</f>
        <v/>
      </c>
      <c r="G291" s="21">
        <f>IF($A291="","",$E291+$F291)</f>
        <v/>
      </c>
    </row>
    <row r="292">
      <c r="A292" s="28">
        <f>IF(A291="","",A291+1)</f>
        <v/>
      </c>
      <c r="B292" s="21">
        <f>IF($A292="","",SUMIFS('Trade Log'!$I$4:$I$503,'Trade Log'!$G$4:$G$503,$A292,'Trade Log'!$C$4:$C$503,"LONG"))</f>
        <v/>
      </c>
      <c r="C292" s="21">
        <f>IF($A292="","",SUMIFS('Trade Log'!$I$4:$I$503,'Trade Log'!$G$4:$G$503,$A292,'Trade Log'!$C$4:$C$503,"SHORT"))</f>
        <v/>
      </c>
      <c r="D292" s="21">
        <f>IF($A292="","",$B292+$C292)</f>
        <v/>
      </c>
      <c r="E292" s="21">
        <f>IF($A292="","",SUMIFS('Trade Log'!$L$4:$L$503,'Trade Log'!$G$4:$G$503,$A292,'Trade Log'!$C$4:$C$503,"LONG"))</f>
        <v/>
      </c>
      <c r="F292" s="21">
        <f>IF($A292="","",SUMIFS('Trade Log'!$L$4:$L$503,'Trade Log'!$G$4:$G$503,$A292,'Trade Log'!$C$4:$C$503,"SHORT"))</f>
        <v/>
      </c>
      <c r="G292" s="21">
        <f>IF($A292="","",$E292+$F292)</f>
        <v/>
      </c>
    </row>
    <row r="293">
      <c r="A293" s="28">
        <f>IF(A292="","",A292+1)</f>
        <v/>
      </c>
      <c r="B293" s="21">
        <f>IF($A293="","",SUMIFS('Trade Log'!$I$4:$I$503,'Trade Log'!$G$4:$G$503,$A293,'Trade Log'!$C$4:$C$503,"LONG"))</f>
        <v/>
      </c>
      <c r="C293" s="21">
        <f>IF($A293="","",SUMIFS('Trade Log'!$I$4:$I$503,'Trade Log'!$G$4:$G$503,$A293,'Trade Log'!$C$4:$C$503,"SHORT"))</f>
        <v/>
      </c>
      <c r="D293" s="21">
        <f>IF($A293="","",$B293+$C293)</f>
        <v/>
      </c>
      <c r="E293" s="21">
        <f>IF($A293="","",SUMIFS('Trade Log'!$L$4:$L$503,'Trade Log'!$G$4:$G$503,$A293,'Trade Log'!$C$4:$C$503,"LONG"))</f>
        <v/>
      </c>
      <c r="F293" s="21">
        <f>IF($A293="","",SUMIFS('Trade Log'!$L$4:$L$503,'Trade Log'!$G$4:$G$503,$A293,'Trade Log'!$C$4:$C$503,"SHORT"))</f>
        <v/>
      </c>
      <c r="G293" s="21">
        <f>IF($A293="","",$E293+$F293)</f>
        <v/>
      </c>
    </row>
    <row r="294">
      <c r="A294" s="28">
        <f>IF(A293="","",A293+1)</f>
        <v/>
      </c>
      <c r="B294" s="21">
        <f>IF($A294="","",SUMIFS('Trade Log'!$I$4:$I$503,'Trade Log'!$G$4:$G$503,$A294,'Trade Log'!$C$4:$C$503,"LONG"))</f>
        <v/>
      </c>
      <c r="C294" s="21">
        <f>IF($A294="","",SUMIFS('Trade Log'!$I$4:$I$503,'Trade Log'!$G$4:$G$503,$A294,'Trade Log'!$C$4:$C$503,"SHORT"))</f>
        <v/>
      </c>
      <c r="D294" s="21">
        <f>IF($A294="","",$B294+$C294)</f>
        <v/>
      </c>
      <c r="E294" s="21">
        <f>IF($A294="","",SUMIFS('Trade Log'!$L$4:$L$503,'Trade Log'!$G$4:$G$503,$A294,'Trade Log'!$C$4:$C$503,"LONG"))</f>
        <v/>
      </c>
      <c r="F294" s="21">
        <f>IF($A294="","",SUMIFS('Trade Log'!$L$4:$L$503,'Trade Log'!$G$4:$G$503,$A294,'Trade Log'!$C$4:$C$503,"SHORT"))</f>
        <v/>
      </c>
      <c r="G294" s="21">
        <f>IF($A294="","",$E294+$F294)</f>
        <v/>
      </c>
    </row>
    <row r="295">
      <c r="A295" s="28">
        <f>IF(A294="","",A294+1)</f>
        <v/>
      </c>
      <c r="B295" s="21">
        <f>IF($A295="","",SUMIFS('Trade Log'!$I$4:$I$503,'Trade Log'!$G$4:$G$503,$A295,'Trade Log'!$C$4:$C$503,"LONG"))</f>
        <v/>
      </c>
      <c r="C295" s="21">
        <f>IF($A295="","",SUMIFS('Trade Log'!$I$4:$I$503,'Trade Log'!$G$4:$G$503,$A295,'Trade Log'!$C$4:$C$503,"SHORT"))</f>
        <v/>
      </c>
      <c r="D295" s="21">
        <f>IF($A295="","",$B295+$C295)</f>
        <v/>
      </c>
      <c r="E295" s="21">
        <f>IF($A295="","",SUMIFS('Trade Log'!$L$4:$L$503,'Trade Log'!$G$4:$G$503,$A295,'Trade Log'!$C$4:$C$503,"LONG"))</f>
        <v/>
      </c>
      <c r="F295" s="21">
        <f>IF($A295="","",SUMIFS('Trade Log'!$L$4:$L$503,'Trade Log'!$G$4:$G$503,$A295,'Trade Log'!$C$4:$C$503,"SHORT"))</f>
        <v/>
      </c>
      <c r="G295" s="21">
        <f>IF($A295="","",$E295+$F295)</f>
        <v/>
      </c>
    </row>
    <row r="296">
      <c r="A296" s="28">
        <f>IF(A295="","",A295+1)</f>
        <v/>
      </c>
      <c r="B296" s="21">
        <f>IF($A296="","",SUMIFS('Trade Log'!$I$4:$I$503,'Trade Log'!$G$4:$G$503,$A296,'Trade Log'!$C$4:$C$503,"LONG"))</f>
        <v/>
      </c>
      <c r="C296" s="21">
        <f>IF($A296="","",SUMIFS('Trade Log'!$I$4:$I$503,'Trade Log'!$G$4:$G$503,$A296,'Trade Log'!$C$4:$C$503,"SHORT"))</f>
        <v/>
      </c>
      <c r="D296" s="21">
        <f>IF($A296="","",$B296+$C296)</f>
        <v/>
      </c>
      <c r="E296" s="21">
        <f>IF($A296="","",SUMIFS('Trade Log'!$L$4:$L$503,'Trade Log'!$G$4:$G$503,$A296,'Trade Log'!$C$4:$C$503,"LONG"))</f>
        <v/>
      </c>
      <c r="F296" s="21">
        <f>IF($A296="","",SUMIFS('Trade Log'!$L$4:$L$503,'Trade Log'!$G$4:$G$503,$A296,'Trade Log'!$C$4:$C$503,"SHORT"))</f>
        <v/>
      </c>
      <c r="G296" s="21">
        <f>IF($A296="","",$E296+$F296)</f>
        <v/>
      </c>
    </row>
    <row r="297">
      <c r="A297" s="28">
        <f>IF(A296="","",A296+1)</f>
        <v/>
      </c>
      <c r="B297" s="21">
        <f>IF($A297="","",SUMIFS('Trade Log'!$I$4:$I$503,'Trade Log'!$G$4:$G$503,$A297,'Trade Log'!$C$4:$C$503,"LONG"))</f>
        <v/>
      </c>
      <c r="C297" s="21">
        <f>IF($A297="","",SUMIFS('Trade Log'!$I$4:$I$503,'Trade Log'!$G$4:$G$503,$A297,'Trade Log'!$C$4:$C$503,"SHORT"))</f>
        <v/>
      </c>
      <c r="D297" s="21">
        <f>IF($A297="","",$B297+$C297)</f>
        <v/>
      </c>
      <c r="E297" s="21">
        <f>IF($A297="","",SUMIFS('Trade Log'!$L$4:$L$503,'Trade Log'!$G$4:$G$503,$A297,'Trade Log'!$C$4:$C$503,"LONG"))</f>
        <v/>
      </c>
      <c r="F297" s="21">
        <f>IF($A297="","",SUMIFS('Trade Log'!$L$4:$L$503,'Trade Log'!$G$4:$G$503,$A297,'Trade Log'!$C$4:$C$503,"SHORT"))</f>
        <v/>
      </c>
      <c r="G297" s="21">
        <f>IF($A297="","",$E297+$F297)</f>
        <v/>
      </c>
    </row>
    <row r="298">
      <c r="A298" s="28">
        <f>IF(A297="","",A297+1)</f>
        <v/>
      </c>
      <c r="B298" s="21">
        <f>IF($A298="","",SUMIFS('Trade Log'!$I$4:$I$503,'Trade Log'!$G$4:$G$503,$A298,'Trade Log'!$C$4:$C$503,"LONG"))</f>
        <v/>
      </c>
      <c r="C298" s="21">
        <f>IF($A298="","",SUMIFS('Trade Log'!$I$4:$I$503,'Trade Log'!$G$4:$G$503,$A298,'Trade Log'!$C$4:$C$503,"SHORT"))</f>
        <v/>
      </c>
      <c r="D298" s="21">
        <f>IF($A298="","",$B298+$C298)</f>
        <v/>
      </c>
      <c r="E298" s="21">
        <f>IF($A298="","",SUMIFS('Trade Log'!$L$4:$L$503,'Trade Log'!$G$4:$G$503,$A298,'Trade Log'!$C$4:$C$503,"LONG"))</f>
        <v/>
      </c>
      <c r="F298" s="21">
        <f>IF($A298="","",SUMIFS('Trade Log'!$L$4:$L$503,'Trade Log'!$G$4:$G$503,$A298,'Trade Log'!$C$4:$C$503,"SHORT"))</f>
        <v/>
      </c>
      <c r="G298" s="21">
        <f>IF($A298="","",$E298+$F298)</f>
        <v/>
      </c>
    </row>
    <row r="299">
      <c r="A299" s="28">
        <f>IF(A298="","",A298+1)</f>
        <v/>
      </c>
      <c r="B299" s="21">
        <f>IF($A299="","",SUMIFS('Trade Log'!$I$4:$I$503,'Trade Log'!$G$4:$G$503,$A299,'Trade Log'!$C$4:$C$503,"LONG"))</f>
        <v/>
      </c>
      <c r="C299" s="21">
        <f>IF($A299="","",SUMIFS('Trade Log'!$I$4:$I$503,'Trade Log'!$G$4:$G$503,$A299,'Trade Log'!$C$4:$C$503,"SHORT"))</f>
        <v/>
      </c>
      <c r="D299" s="21">
        <f>IF($A299="","",$B299+$C299)</f>
        <v/>
      </c>
      <c r="E299" s="21">
        <f>IF($A299="","",SUMIFS('Trade Log'!$L$4:$L$503,'Trade Log'!$G$4:$G$503,$A299,'Trade Log'!$C$4:$C$503,"LONG"))</f>
        <v/>
      </c>
      <c r="F299" s="21">
        <f>IF($A299="","",SUMIFS('Trade Log'!$L$4:$L$503,'Trade Log'!$G$4:$G$503,$A299,'Trade Log'!$C$4:$C$503,"SHORT"))</f>
        <v/>
      </c>
      <c r="G299" s="21">
        <f>IF($A299="","",$E299+$F299)</f>
        <v/>
      </c>
    </row>
    <row r="300">
      <c r="A300" s="28">
        <f>IF(A299="","",A299+1)</f>
        <v/>
      </c>
      <c r="B300" s="21">
        <f>IF($A300="","",SUMIFS('Trade Log'!$I$4:$I$503,'Trade Log'!$G$4:$G$503,$A300,'Trade Log'!$C$4:$C$503,"LONG"))</f>
        <v/>
      </c>
      <c r="C300" s="21">
        <f>IF($A300="","",SUMIFS('Trade Log'!$I$4:$I$503,'Trade Log'!$G$4:$G$503,$A300,'Trade Log'!$C$4:$C$503,"SHORT"))</f>
        <v/>
      </c>
      <c r="D300" s="21">
        <f>IF($A300="","",$B300+$C300)</f>
        <v/>
      </c>
      <c r="E300" s="21">
        <f>IF($A300="","",SUMIFS('Trade Log'!$L$4:$L$503,'Trade Log'!$G$4:$G$503,$A300,'Trade Log'!$C$4:$C$503,"LONG"))</f>
        <v/>
      </c>
      <c r="F300" s="21">
        <f>IF($A300="","",SUMIFS('Trade Log'!$L$4:$L$503,'Trade Log'!$G$4:$G$503,$A300,'Trade Log'!$C$4:$C$503,"SHORT"))</f>
        <v/>
      </c>
      <c r="G300" s="21">
        <f>IF($A300="","",$E300+$F300)</f>
        <v/>
      </c>
    </row>
    <row r="301">
      <c r="A301" s="28">
        <f>IF(A300="","",A300+1)</f>
        <v/>
      </c>
      <c r="B301" s="21">
        <f>IF($A301="","",SUMIFS('Trade Log'!$I$4:$I$503,'Trade Log'!$G$4:$G$503,$A301,'Trade Log'!$C$4:$C$503,"LONG"))</f>
        <v/>
      </c>
      <c r="C301" s="21">
        <f>IF($A301="","",SUMIFS('Trade Log'!$I$4:$I$503,'Trade Log'!$G$4:$G$503,$A301,'Trade Log'!$C$4:$C$503,"SHORT"))</f>
        <v/>
      </c>
      <c r="D301" s="21">
        <f>IF($A301="","",$B301+$C301)</f>
        <v/>
      </c>
      <c r="E301" s="21">
        <f>IF($A301="","",SUMIFS('Trade Log'!$L$4:$L$503,'Trade Log'!$G$4:$G$503,$A301,'Trade Log'!$C$4:$C$503,"LONG"))</f>
        <v/>
      </c>
      <c r="F301" s="21">
        <f>IF($A301="","",SUMIFS('Trade Log'!$L$4:$L$503,'Trade Log'!$G$4:$G$503,$A301,'Trade Log'!$C$4:$C$503,"SHORT"))</f>
        <v/>
      </c>
      <c r="G301" s="21">
        <f>IF($A301="","",$E301+$F301)</f>
        <v/>
      </c>
    </row>
    <row r="302">
      <c r="A302" s="28">
        <f>IF(A301="","",A301+1)</f>
        <v/>
      </c>
      <c r="B302" s="21">
        <f>IF($A302="","",SUMIFS('Trade Log'!$I$4:$I$503,'Trade Log'!$G$4:$G$503,$A302,'Trade Log'!$C$4:$C$503,"LONG"))</f>
        <v/>
      </c>
      <c r="C302" s="21">
        <f>IF($A302="","",SUMIFS('Trade Log'!$I$4:$I$503,'Trade Log'!$G$4:$G$503,$A302,'Trade Log'!$C$4:$C$503,"SHORT"))</f>
        <v/>
      </c>
      <c r="D302" s="21">
        <f>IF($A302="","",$B302+$C302)</f>
        <v/>
      </c>
      <c r="E302" s="21">
        <f>IF($A302="","",SUMIFS('Trade Log'!$L$4:$L$503,'Trade Log'!$G$4:$G$503,$A302,'Trade Log'!$C$4:$C$503,"LONG"))</f>
        <v/>
      </c>
      <c r="F302" s="21">
        <f>IF($A302="","",SUMIFS('Trade Log'!$L$4:$L$503,'Trade Log'!$G$4:$G$503,$A302,'Trade Log'!$C$4:$C$503,"SHORT"))</f>
        <v/>
      </c>
      <c r="G302" s="21">
        <f>IF($A302="","",$E302+$F302)</f>
        <v/>
      </c>
    </row>
    <row r="303">
      <c r="A303" s="28">
        <f>IF(A302="","",A302+1)</f>
        <v/>
      </c>
      <c r="B303" s="21">
        <f>IF($A303="","",SUMIFS('Trade Log'!$I$4:$I$503,'Trade Log'!$G$4:$G$503,$A303,'Trade Log'!$C$4:$C$503,"LONG"))</f>
        <v/>
      </c>
      <c r="C303" s="21">
        <f>IF($A303="","",SUMIFS('Trade Log'!$I$4:$I$503,'Trade Log'!$G$4:$G$503,$A303,'Trade Log'!$C$4:$C$503,"SHORT"))</f>
        <v/>
      </c>
      <c r="D303" s="21">
        <f>IF($A303="","",$B303+$C303)</f>
        <v/>
      </c>
      <c r="E303" s="21">
        <f>IF($A303="","",SUMIFS('Trade Log'!$L$4:$L$503,'Trade Log'!$G$4:$G$503,$A303,'Trade Log'!$C$4:$C$503,"LONG"))</f>
        <v/>
      </c>
      <c r="F303" s="21">
        <f>IF($A303="","",SUMIFS('Trade Log'!$L$4:$L$503,'Trade Log'!$G$4:$G$503,$A303,'Trade Log'!$C$4:$C$503,"SHORT"))</f>
        <v/>
      </c>
      <c r="G303" s="21">
        <f>IF($A303="","",$E303+$F303)</f>
        <v/>
      </c>
    </row>
    <row r="304">
      <c r="A304" s="28">
        <f>IF(A303="","",A303+1)</f>
        <v/>
      </c>
      <c r="B304" s="21">
        <f>IF($A304="","",SUMIFS('Trade Log'!$I$4:$I$503,'Trade Log'!$G$4:$G$503,$A304,'Trade Log'!$C$4:$C$503,"LONG"))</f>
        <v/>
      </c>
      <c r="C304" s="21">
        <f>IF($A304="","",SUMIFS('Trade Log'!$I$4:$I$503,'Trade Log'!$G$4:$G$503,$A304,'Trade Log'!$C$4:$C$503,"SHORT"))</f>
        <v/>
      </c>
      <c r="D304" s="21">
        <f>IF($A304="","",$B304+$C304)</f>
        <v/>
      </c>
      <c r="E304" s="21">
        <f>IF($A304="","",SUMIFS('Trade Log'!$L$4:$L$503,'Trade Log'!$G$4:$G$503,$A304,'Trade Log'!$C$4:$C$503,"LONG"))</f>
        <v/>
      </c>
      <c r="F304" s="21">
        <f>IF($A304="","",SUMIFS('Trade Log'!$L$4:$L$503,'Trade Log'!$G$4:$G$503,$A304,'Trade Log'!$C$4:$C$503,"SHORT"))</f>
        <v/>
      </c>
      <c r="G304" s="21">
        <f>IF($A304="","",$E304+$F304)</f>
        <v/>
      </c>
    </row>
    <row r="305">
      <c r="A305" s="28">
        <f>IF(A304="","",A304+1)</f>
        <v/>
      </c>
      <c r="B305" s="21">
        <f>IF($A305="","",SUMIFS('Trade Log'!$I$4:$I$503,'Trade Log'!$G$4:$G$503,$A305,'Trade Log'!$C$4:$C$503,"LONG"))</f>
        <v/>
      </c>
      <c r="C305" s="21">
        <f>IF($A305="","",SUMIFS('Trade Log'!$I$4:$I$503,'Trade Log'!$G$4:$G$503,$A305,'Trade Log'!$C$4:$C$503,"SHORT"))</f>
        <v/>
      </c>
      <c r="D305" s="21">
        <f>IF($A305="","",$B305+$C305)</f>
        <v/>
      </c>
      <c r="E305" s="21">
        <f>IF($A305="","",SUMIFS('Trade Log'!$L$4:$L$503,'Trade Log'!$G$4:$G$503,$A305,'Trade Log'!$C$4:$C$503,"LONG"))</f>
        <v/>
      </c>
      <c r="F305" s="21">
        <f>IF($A305="","",SUMIFS('Trade Log'!$L$4:$L$503,'Trade Log'!$G$4:$G$503,$A305,'Trade Log'!$C$4:$C$503,"SHORT"))</f>
        <v/>
      </c>
      <c r="G305" s="21">
        <f>IF($A305="","",$E305+$F305)</f>
        <v/>
      </c>
    </row>
    <row r="306">
      <c r="A306" s="28">
        <f>IF(A305="","",A305+1)</f>
        <v/>
      </c>
      <c r="B306" s="21">
        <f>IF($A306="","",SUMIFS('Trade Log'!$I$4:$I$503,'Trade Log'!$G$4:$G$503,$A306,'Trade Log'!$C$4:$C$503,"LONG"))</f>
        <v/>
      </c>
      <c r="C306" s="21">
        <f>IF($A306="","",SUMIFS('Trade Log'!$I$4:$I$503,'Trade Log'!$G$4:$G$503,$A306,'Trade Log'!$C$4:$C$503,"SHORT"))</f>
        <v/>
      </c>
      <c r="D306" s="21">
        <f>IF($A306="","",$B306+$C306)</f>
        <v/>
      </c>
      <c r="E306" s="21">
        <f>IF($A306="","",SUMIFS('Trade Log'!$L$4:$L$503,'Trade Log'!$G$4:$G$503,$A306,'Trade Log'!$C$4:$C$503,"LONG"))</f>
        <v/>
      </c>
      <c r="F306" s="21">
        <f>IF($A306="","",SUMIFS('Trade Log'!$L$4:$L$503,'Trade Log'!$G$4:$G$503,$A306,'Trade Log'!$C$4:$C$503,"SHORT"))</f>
        <v/>
      </c>
      <c r="G306" s="21">
        <f>IF($A306="","",$E306+$F306)</f>
        <v/>
      </c>
    </row>
    <row r="307">
      <c r="A307" s="28">
        <f>IF(A306="","",A306+1)</f>
        <v/>
      </c>
      <c r="B307" s="21">
        <f>IF($A307="","",SUMIFS('Trade Log'!$I$4:$I$503,'Trade Log'!$G$4:$G$503,$A307,'Trade Log'!$C$4:$C$503,"LONG"))</f>
        <v/>
      </c>
      <c r="C307" s="21">
        <f>IF($A307="","",SUMIFS('Trade Log'!$I$4:$I$503,'Trade Log'!$G$4:$G$503,$A307,'Trade Log'!$C$4:$C$503,"SHORT"))</f>
        <v/>
      </c>
      <c r="D307" s="21">
        <f>IF($A307="","",$B307+$C307)</f>
        <v/>
      </c>
      <c r="E307" s="21">
        <f>IF($A307="","",SUMIFS('Trade Log'!$L$4:$L$503,'Trade Log'!$G$4:$G$503,$A307,'Trade Log'!$C$4:$C$503,"LONG"))</f>
        <v/>
      </c>
      <c r="F307" s="21">
        <f>IF($A307="","",SUMIFS('Trade Log'!$L$4:$L$503,'Trade Log'!$G$4:$G$503,$A307,'Trade Log'!$C$4:$C$503,"SHORT"))</f>
        <v/>
      </c>
      <c r="G307" s="21">
        <f>IF($A307="","",$E307+$F307)</f>
        <v/>
      </c>
    </row>
    <row r="308">
      <c r="A308" s="28">
        <f>IF(A307="","",A307+1)</f>
        <v/>
      </c>
      <c r="B308" s="21">
        <f>IF($A308="","",SUMIFS('Trade Log'!$I$4:$I$503,'Trade Log'!$G$4:$G$503,$A308,'Trade Log'!$C$4:$C$503,"LONG"))</f>
        <v/>
      </c>
      <c r="C308" s="21">
        <f>IF($A308="","",SUMIFS('Trade Log'!$I$4:$I$503,'Trade Log'!$G$4:$G$503,$A308,'Trade Log'!$C$4:$C$503,"SHORT"))</f>
        <v/>
      </c>
      <c r="D308" s="21">
        <f>IF($A308="","",$B308+$C308)</f>
        <v/>
      </c>
      <c r="E308" s="21">
        <f>IF($A308="","",SUMIFS('Trade Log'!$L$4:$L$503,'Trade Log'!$G$4:$G$503,$A308,'Trade Log'!$C$4:$C$503,"LONG"))</f>
        <v/>
      </c>
      <c r="F308" s="21">
        <f>IF($A308="","",SUMIFS('Trade Log'!$L$4:$L$503,'Trade Log'!$G$4:$G$503,$A308,'Trade Log'!$C$4:$C$503,"SHORT"))</f>
        <v/>
      </c>
      <c r="G308" s="21">
        <f>IF($A308="","",$E308+$F308)</f>
        <v/>
      </c>
    </row>
    <row r="309">
      <c r="A309" s="28">
        <f>IF(A308="","",A308+1)</f>
        <v/>
      </c>
      <c r="B309" s="21">
        <f>IF($A309="","",SUMIFS('Trade Log'!$I$4:$I$503,'Trade Log'!$G$4:$G$503,$A309,'Trade Log'!$C$4:$C$503,"LONG"))</f>
        <v/>
      </c>
      <c r="C309" s="21">
        <f>IF($A309="","",SUMIFS('Trade Log'!$I$4:$I$503,'Trade Log'!$G$4:$G$503,$A309,'Trade Log'!$C$4:$C$503,"SHORT"))</f>
        <v/>
      </c>
      <c r="D309" s="21">
        <f>IF($A309="","",$B309+$C309)</f>
        <v/>
      </c>
      <c r="E309" s="21">
        <f>IF($A309="","",SUMIFS('Trade Log'!$L$4:$L$503,'Trade Log'!$G$4:$G$503,$A309,'Trade Log'!$C$4:$C$503,"LONG"))</f>
        <v/>
      </c>
      <c r="F309" s="21">
        <f>IF($A309="","",SUMIFS('Trade Log'!$L$4:$L$503,'Trade Log'!$G$4:$G$503,$A309,'Trade Log'!$C$4:$C$503,"SHORT"))</f>
        <v/>
      </c>
      <c r="G309" s="21">
        <f>IF($A309="","",$E309+$F309)</f>
        <v/>
      </c>
    </row>
    <row r="310">
      <c r="A310" s="28">
        <f>IF(A309="","",A309+1)</f>
        <v/>
      </c>
      <c r="B310" s="21">
        <f>IF($A310="","",SUMIFS('Trade Log'!$I$4:$I$503,'Trade Log'!$G$4:$G$503,$A310,'Trade Log'!$C$4:$C$503,"LONG"))</f>
        <v/>
      </c>
      <c r="C310" s="21">
        <f>IF($A310="","",SUMIFS('Trade Log'!$I$4:$I$503,'Trade Log'!$G$4:$G$503,$A310,'Trade Log'!$C$4:$C$503,"SHORT"))</f>
        <v/>
      </c>
      <c r="D310" s="21">
        <f>IF($A310="","",$B310+$C310)</f>
        <v/>
      </c>
      <c r="E310" s="21">
        <f>IF($A310="","",SUMIFS('Trade Log'!$L$4:$L$503,'Trade Log'!$G$4:$G$503,$A310,'Trade Log'!$C$4:$C$503,"LONG"))</f>
        <v/>
      </c>
      <c r="F310" s="21">
        <f>IF($A310="","",SUMIFS('Trade Log'!$L$4:$L$503,'Trade Log'!$G$4:$G$503,$A310,'Trade Log'!$C$4:$C$503,"SHORT"))</f>
        <v/>
      </c>
      <c r="G310" s="21">
        <f>IF($A310="","",$E310+$F310)</f>
        <v/>
      </c>
    </row>
    <row r="311">
      <c r="A311" s="28">
        <f>IF(A310="","",A310+1)</f>
        <v/>
      </c>
      <c r="B311" s="21">
        <f>IF($A311="","",SUMIFS('Trade Log'!$I$4:$I$503,'Trade Log'!$G$4:$G$503,$A311,'Trade Log'!$C$4:$C$503,"LONG"))</f>
        <v/>
      </c>
      <c r="C311" s="21">
        <f>IF($A311="","",SUMIFS('Trade Log'!$I$4:$I$503,'Trade Log'!$G$4:$G$503,$A311,'Trade Log'!$C$4:$C$503,"SHORT"))</f>
        <v/>
      </c>
      <c r="D311" s="21">
        <f>IF($A311="","",$B311+$C311)</f>
        <v/>
      </c>
      <c r="E311" s="21">
        <f>IF($A311="","",SUMIFS('Trade Log'!$L$4:$L$503,'Trade Log'!$G$4:$G$503,$A311,'Trade Log'!$C$4:$C$503,"LONG"))</f>
        <v/>
      </c>
      <c r="F311" s="21">
        <f>IF($A311="","",SUMIFS('Trade Log'!$L$4:$L$503,'Trade Log'!$G$4:$G$503,$A311,'Trade Log'!$C$4:$C$503,"SHORT"))</f>
        <v/>
      </c>
      <c r="G311" s="21">
        <f>IF($A311="","",$E311+$F311)</f>
        <v/>
      </c>
    </row>
    <row r="312">
      <c r="A312" s="28">
        <f>IF(A311="","",A311+1)</f>
        <v/>
      </c>
      <c r="B312" s="21">
        <f>IF($A312="","",SUMIFS('Trade Log'!$I$4:$I$503,'Trade Log'!$G$4:$G$503,$A312,'Trade Log'!$C$4:$C$503,"LONG"))</f>
        <v/>
      </c>
      <c r="C312" s="21">
        <f>IF($A312="","",SUMIFS('Trade Log'!$I$4:$I$503,'Trade Log'!$G$4:$G$503,$A312,'Trade Log'!$C$4:$C$503,"SHORT"))</f>
        <v/>
      </c>
      <c r="D312" s="21">
        <f>IF($A312="","",$B312+$C312)</f>
        <v/>
      </c>
      <c r="E312" s="21">
        <f>IF($A312="","",SUMIFS('Trade Log'!$L$4:$L$503,'Trade Log'!$G$4:$G$503,$A312,'Trade Log'!$C$4:$C$503,"LONG"))</f>
        <v/>
      </c>
      <c r="F312" s="21">
        <f>IF($A312="","",SUMIFS('Trade Log'!$L$4:$L$503,'Trade Log'!$G$4:$G$503,$A312,'Trade Log'!$C$4:$C$503,"SHORT"))</f>
        <v/>
      </c>
      <c r="G312" s="21">
        <f>IF($A312="","",$E312+$F312)</f>
        <v/>
      </c>
    </row>
    <row r="313">
      <c r="A313" s="28">
        <f>IF(A312="","",A312+1)</f>
        <v/>
      </c>
      <c r="B313" s="21">
        <f>IF($A313="","",SUMIFS('Trade Log'!$I$4:$I$503,'Trade Log'!$G$4:$G$503,$A313,'Trade Log'!$C$4:$C$503,"LONG"))</f>
        <v/>
      </c>
      <c r="C313" s="21">
        <f>IF($A313="","",SUMIFS('Trade Log'!$I$4:$I$503,'Trade Log'!$G$4:$G$503,$A313,'Trade Log'!$C$4:$C$503,"SHORT"))</f>
        <v/>
      </c>
      <c r="D313" s="21">
        <f>IF($A313="","",$B313+$C313)</f>
        <v/>
      </c>
      <c r="E313" s="21">
        <f>IF($A313="","",SUMIFS('Trade Log'!$L$4:$L$503,'Trade Log'!$G$4:$G$503,$A313,'Trade Log'!$C$4:$C$503,"LONG"))</f>
        <v/>
      </c>
      <c r="F313" s="21">
        <f>IF($A313="","",SUMIFS('Trade Log'!$L$4:$L$503,'Trade Log'!$G$4:$G$503,$A313,'Trade Log'!$C$4:$C$503,"SHORT"))</f>
        <v/>
      </c>
      <c r="G313" s="21">
        <f>IF($A313="","",$E313+$F313)</f>
        <v/>
      </c>
    </row>
    <row r="314">
      <c r="A314" s="28">
        <f>IF(A313="","",A313+1)</f>
        <v/>
      </c>
      <c r="B314" s="21">
        <f>IF($A314="","",SUMIFS('Trade Log'!$I$4:$I$503,'Trade Log'!$G$4:$G$503,$A314,'Trade Log'!$C$4:$C$503,"LONG"))</f>
        <v/>
      </c>
      <c r="C314" s="21">
        <f>IF($A314="","",SUMIFS('Trade Log'!$I$4:$I$503,'Trade Log'!$G$4:$G$503,$A314,'Trade Log'!$C$4:$C$503,"SHORT"))</f>
        <v/>
      </c>
      <c r="D314" s="21">
        <f>IF($A314="","",$B314+$C314)</f>
        <v/>
      </c>
      <c r="E314" s="21">
        <f>IF($A314="","",SUMIFS('Trade Log'!$L$4:$L$503,'Trade Log'!$G$4:$G$503,$A314,'Trade Log'!$C$4:$C$503,"LONG"))</f>
        <v/>
      </c>
      <c r="F314" s="21">
        <f>IF($A314="","",SUMIFS('Trade Log'!$L$4:$L$503,'Trade Log'!$G$4:$G$503,$A314,'Trade Log'!$C$4:$C$503,"SHORT"))</f>
        <v/>
      </c>
      <c r="G314" s="21">
        <f>IF($A314="","",$E314+$F314)</f>
        <v/>
      </c>
    </row>
    <row r="315">
      <c r="A315" s="28">
        <f>IF(A314="","",A314+1)</f>
        <v/>
      </c>
      <c r="B315" s="21">
        <f>IF($A315="","",SUMIFS('Trade Log'!$I$4:$I$503,'Trade Log'!$G$4:$G$503,$A315,'Trade Log'!$C$4:$C$503,"LONG"))</f>
        <v/>
      </c>
      <c r="C315" s="21">
        <f>IF($A315="","",SUMIFS('Trade Log'!$I$4:$I$503,'Trade Log'!$G$4:$G$503,$A315,'Trade Log'!$C$4:$C$503,"SHORT"))</f>
        <v/>
      </c>
      <c r="D315" s="21">
        <f>IF($A315="","",$B315+$C315)</f>
        <v/>
      </c>
      <c r="E315" s="21">
        <f>IF($A315="","",SUMIFS('Trade Log'!$L$4:$L$503,'Trade Log'!$G$4:$G$503,$A315,'Trade Log'!$C$4:$C$503,"LONG"))</f>
        <v/>
      </c>
      <c r="F315" s="21">
        <f>IF($A315="","",SUMIFS('Trade Log'!$L$4:$L$503,'Trade Log'!$G$4:$G$503,$A315,'Trade Log'!$C$4:$C$503,"SHORT"))</f>
        <v/>
      </c>
      <c r="G315" s="21">
        <f>IF($A315="","",$E315+$F315)</f>
        <v/>
      </c>
    </row>
    <row r="316">
      <c r="A316" s="28">
        <f>IF(A315="","",A315+1)</f>
        <v/>
      </c>
      <c r="B316" s="21">
        <f>IF($A316="","",SUMIFS('Trade Log'!$I$4:$I$503,'Trade Log'!$G$4:$G$503,$A316,'Trade Log'!$C$4:$C$503,"LONG"))</f>
        <v/>
      </c>
      <c r="C316" s="21">
        <f>IF($A316="","",SUMIFS('Trade Log'!$I$4:$I$503,'Trade Log'!$G$4:$G$503,$A316,'Trade Log'!$C$4:$C$503,"SHORT"))</f>
        <v/>
      </c>
      <c r="D316" s="21">
        <f>IF($A316="","",$B316+$C316)</f>
        <v/>
      </c>
      <c r="E316" s="21">
        <f>IF($A316="","",SUMIFS('Trade Log'!$L$4:$L$503,'Trade Log'!$G$4:$G$503,$A316,'Trade Log'!$C$4:$C$503,"LONG"))</f>
        <v/>
      </c>
      <c r="F316" s="21">
        <f>IF($A316="","",SUMIFS('Trade Log'!$L$4:$L$503,'Trade Log'!$G$4:$G$503,$A316,'Trade Log'!$C$4:$C$503,"SHORT"))</f>
        <v/>
      </c>
      <c r="G316" s="21">
        <f>IF($A316="","",$E316+$F316)</f>
        <v/>
      </c>
    </row>
    <row r="317">
      <c r="A317" s="28">
        <f>IF(A316="","",A316+1)</f>
        <v/>
      </c>
      <c r="B317" s="21">
        <f>IF($A317="","",SUMIFS('Trade Log'!$I$4:$I$503,'Trade Log'!$G$4:$G$503,$A317,'Trade Log'!$C$4:$C$503,"LONG"))</f>
        <v/>
      </c>
      <c r="C317" s="21">
        <f>IF($A317="","",SUMIFS('Trade Log'!$I$4:$I$503,'Trade Log'!$G$4:$G$503,$A317,'Trade Log'!$C$4:$C$503,"SHORT"))</f>
        <v/>
      </c>
      <c r="D317" s="21">
        <f>IF($A317="","",$B317+$C317)</f>
        <v/>
      </c>
      <c r="E317" s="21">
        <f>IF($A317="","",SUMIFS('Trade Log'!$L$4:$L$503,'Trade Log'!$G$4:$G$503,$A317,'Trade Log'!$C$4:$C$503,"LONG"))</f>
        <v/>
      </c>
      <c r="F317" s="21">
        <f>IF($A317="","",SUMIFS('Trade Log'!$L$4:$L$503,'Trade Log'!$G$4:$G$503,$A317,'Trade Log'!$C$4:$C$503,"SHORT"))</f>
        <v/>
      </c>
      <c r="G317" s="21">
        <f>IF($A317="","",$E317+$F317)</f>
        <v/>
      </c>
    </row>
    <row r="318">
      <c r="A318" s="28">
        <f>IF(A317="","",A317+1)</f>
        <v/>
      </c>
      <c r="B318" s="21">
        <f>IF($A318="","",SUMIFS('Trade Log'!$I$4:$I$503,'Trade Log'!$G$4:$G$503,$A318,'Trade Log'!$C$4:$C$503,"LONG"))</f>
        <v/>
      </c>
      <c r="C318" s="21">
        <f>IF($A318="","",SUMIFS('Trade Log'!$I$4:$I$503,'Trade Log'!$G$4:$G$503,$A318,'Trade Log'!$C$4:$C$503,"SHORT"))</f>
        <v/>
      </c>
      <c r="D318" s="21">
        <f>IF($A318="","",$B318+$C318)</f>
        <v/>
      </c>
      <c r="E318" s="21">
        <f>IF($A318="","",SUMIFS('Trade Log'!$L$4:$L$503,'Trade Log'!$G$4:$G$503,$A318,'Trade Log'!$C$4:$C$503,"LONG"))</f>
        <v/>
      </c>
      <c r="F318" s="21">
        <f>IF($A318="","",SUMIFS('Trade Log'!$L$4:$L$503,'Trade Log'!$G$4:$G$503,$A318,'Trade Log'!$C$4:$C$503,"SHORT"))</f>
        <v/>
      </c>
      <c r="G318" s="21">
        <f>IF($A318="","",$E318+$F318)</f>
        <v/>
      </c>
    </row>
    <row r="319">
      <c r="A319" s="28">
        <f>IF(A318="","",A318+1)</f>
        <v/>
      </c>
      <c r="B319" s="21">
        <f>IF($A319="","",SUMIFS('Trade Log'!$I$4:$I$503,'Trade Log'!$G$4:$G$503,$A319,'Trade Log'!$C$4:$C$503,"LONG"))</f>
        <v/>
      </c>
      <c r="C319" s="21">
        <f>IF($A319="","",SUMIFS('Trade Log'!$I$4:$I$503,'Trade Log'!$G$4:$G$503,$A319,'Trade Log'!$C$4:$C$503,"SHORT"))</f>
        <v/>
      </c>
      <c r="D319" s="21">
        <f>IF($A319="","",$B319+$C319)</f>
        <v/>
      </c>
      <c r="E319" s="21">
        <f>IF($A319="","",SUMIFS('Trade Log'!$L$4:$L$503,'Trade Log'!$G$4:$G$503,$A319,'Trade Log'!$C$4:$C$503,"LONG"))</f>
        <v/>
      </c>
      <c r="F319" s="21">
        <f>IF($A319="","",SUMIFS('Trade Log'!$L$4:$L$503,'Trade Log'!$G$4:$G$503,$A319,'Trade Log'!$C$4:$C$503,"SHORT"))</f>
        <v/>
      </c>
      <c r="G319" s="21">
        <f>IF($A319="","",$E319+$F319)</f>
        <v/>
      </c>
    </row>
    <row r="320">
      <c r="A320" s="28">
        <f>IF(A319="","",A319+1)</f>
        <v/>
      </c>
      <c r="B320" s="21">
        <f>IF($A320="","",SUMIFS('Trade Log'!$I$4:$I$503,'Trade Log'!$G$4:$G$503,$A320,'Trade Log'!$C$4:$C$503,"LONG"))</f>
        <v/>
      </c>
      <c r="C320" s="21">
        <f>IF($A320="","",SUMIFS('Trade Log'!$I$4:$I$503,'Trade Log'!$G$4:$G$503,$A320,'Trade Log'!$C$4:$C$503,"SHORT"))</f>
        <v/>
      </c>
      <c r="D320" s="21">
        <f>IF($A320="","",$B320+$C320)</f>
        <v/>
      </c>
      <c r="E320" s="21">
        <f>IF($A320="","",SUMIFS('Trade Log'!$L$4:$L$503,'Trade Log'!$G$4:$G$503,$A320,'Trade Log'!$C$4:$C$503,"LONG"))</f>
        <v/>
      </c>
      <c r="F320" s="21">
        <f>IF($A320="","",SUMIFS('Trade Log'!$L$4:$L$503,'Trade Log'!$G$4:$G$503,$A320,'Trade Log'!$C$4:$C$503,"SHORT"))</f>
        <v/>
      </c>
      <c r="G320" s="21">
        <f>IF($A320="","",$E320+$F320)</f>
        <v/>
      </c>
    </row>
    <row r="321">
      <c r="A321" s="28">
        <f>IF(A320="","",A320+1)</f>
        <v/>
      </c>
      <c r="B321" s="21">
        <f>IF($A321="","",SUMIFS('Trade Log'!$I$4:$I$503,'Trade Log'!$G$4:$G$503,$A321,'Trade Log'!$C$4:$C$503,"LONG"))</f>
        <v/>
      </c>
      <c r="C321" s="21">
        <f>IF($A321="","",SUMIFS('Trade Log'!$I$4:$I$503,'Trade Log'!$G$4:$G$503,$A321,'Trade Log'!$C$4:$C$503,"SHORT"))</f>
        <v/>
      </c>
      <c r="D321" s="21">
        <f>IF($A321="","",$B321+$C321)</f>
        <v/>
      </c>
      <c r="E321" s="21">
        <f>IF($A321="","",SUMIFS('Trade Log'!$L$4:$L$503,'Trade Log'!$G$4:$G$503,$A321,'Trade Log'!$C$4:$C$503,"LONG"))</f>
        <v/>
      </c>
      <c r="F321" s="21">
        <f>IF($A321="","",SUMIFS('Trade Log'!$L$4:$L$503,'Trade Log'!$G$4:$G$503,$A321,'Trade Log'!$C$4:$C$503,"SHORT"))</f>
        <v/>
      </c>
      <c r="G321" s="21">
        <f>IF($A321="","",$E321+$F321)</f>
        <v/>
      </c>
    </row>
    <row r="322">
      <c r="A322" s="28">
        <f>IF(A321="","",A321+1)</f>
        <v/>
      </c>
      <c r="B322" s="21">
        <f>IF($A322="","",SUMIFS('Trade Log'!$I$4:$I$503,'Trade Log'!$G$4:$G$503,$A322,'Trade Log'!$C$4:$C$503,"LONG"))</f>
        <v/>
      </c>
      <c r="C322" s="21">
        <f>IF($A322="","",SUMIFS('Trade Log'!$I$4:$I$503,'Trade Log'!$G$4:$G$503,$A322,'Trade Log'!$C$4:$C$503,"SHORT"))</f>
        <v/>
      </c>
      <c r="D322" s="21">
        <f>IF($A322="","",$B322+$C322)</f>
        <v/>
      </c>
      <c r="E322" s="21">
        <f>IF($A322="","",SUMIFS('Trade Log'!$L$4:$L$503,'Trade Log'!$G$4:$G$503,$A322,'Trade Log'!$C$4:$C$503,"LONG"))</f>
        <v/>
      </c>
      <c r="F322" s="21">
        <f>IF($A322="","",SUMIFS('Trade Log'!$L$4:$L$503,'Trade Log'!$G$4:$G$503,$A322,'Trade Log'!$C$4:$C$503,"SHORT"))</f>
        <v/>
      </c>
      <c r="G322" s="21">
        <f>IF($A322="","",$E322+$F322)</f>
        <v/>
      </c>
    </row>
    <row r="323">
      <c r="A323" s="28">
        <f>IF(A322="","",A322+1)</f>
        <v/>
      </c>
      <c r="B323" s="21">
        <f>IF($A323="","",SUMIFS('Trade Log'!$I$4:$I$503,'Trade Log'!$G$4:$G$503,$A323,'Trade Log'!$C$4:$C$503,"LONG"))</f>
        <v/>
      </c>
      <c r="C323" s="21">
        <f>IF($A323="","",SUMIFS('Trade Log'!$I$4:$I$503,'Trade Log'!$G$4:$G$503,$A323,'Trade Log'!$C$4:$C$503,"SHORT"))</f>
        <v/>
      </c>
      <c r="D323" s="21">
        <f>IF($A323="","",$B323+$C323)</f>
        <v/>
      </c>
      <c r="E323" s="21">
        <f>IF($A323="","",SUMIFS('Trade Log'!$L$4:$L$503,'Trade Log'!$G$4:$G$503,$A323,'Trade Log'!$C$4:$C$503,"LONG"))</f>
        <v/>
      </c>
      <c r="F323" s="21">
        <f>IF($A323="","",SUMIFS('Trade Log'!$L$4:$L$503,'Trade Log'!$G$4:$G$503,$A323,'Trade Log'!$C$4:$C$503,"SHORT"))</f>
        <v/>
      </c>
      <c r="G323" s="21">
        <f>IF($A323="","",$E323+$F323)</f>
        <v/>
      </c>
    </row>
    <row r="324">
      <c r="A324" s="28">
        <f>IF(A323="","",A323+1)</f>
        <v/>
      </c>
      <c r="B324" s="21">
        <f>IF($A324="","",SUMIFS('Trade Log'!$I$4:$I$503,'Trade Log'!$G$4:$G$503,$A324,'Trade Log'!$C$4:$C$503,"LONG"))</f>
        <v/>
      </c>
      <c r="C324" s="21">
        <f>IF($A324="","",SUMIFS('Trade Log'!$I$4:$I$503,'Trade Log'!$G$4:$G$503,$A324,'Trade Log'!$C$4:$C$503,"SHORT"))</f>
        <v/>
      </c>
      <c r="D324" s="21">
        <f>IF($A324="","",$B324+$C324)</f>
        <v/>
      </c>
      <c r="E324" s="21">
        <f>IF($A324="","",SUMIFS('Trade Log'!$L$4:$L$503,'Trade Log'!$G$4:$G$503,$A324,'Trade Log'!$C$4:$C$503,"LONG"))</f>
        <v/>
      </c>
      <c r="F324" s="21">
        <f>IF($A324="","",SUMIFS('Trade Log'!$L$4:$L$503,'Trade Log'!$G$4:$G$503,$A324,'Trade Log'!$C$4:$C$503,"SHORT"))</f>
        <v/>
      </c>
      <c r="G324" s="21">
        <f>IF($A324="","",$E324+$F324)</f>
        <v/>
      </c>
    </row>
    <row r="325">
      <c r="A325" s="28">
        <f>IF(A324="","",A324+1)</f>
        <v/>
      </c>
      <c r="B325" s="21">
        <f>IF($A325="","",SUMIFS('Trade Log'!$I$4:$I$503,'Trade Log'!$G$4:$G$503,$A325,'Trade Log'!$C$4:$C$503,"LONG"))</f>
        <v/>
      </c>
      <c r="C325" s="21">
        <f>IF($A325="","",SUMIFS('Trade Log'!$I$4:$I$503,'Trade Log'!$G$4:$G$503,$A325,'Trade Log'!$C$4:$C$503,"SHORT"))</f>
        <v/>
      </c>
      <c r="D325" s="21">
        <f>IF($A325="","",$B325+$C325)</f>
        <v/>
      </c>
      <c r="E325" s="21">
        <f>IF($A325="","",SUMIFS('Trade Log'!$L$4:$L$503,'Trade Log'!$G$4:$G$503,$A325,'Trade Log'!$C$4:$C$503,"LONG"))</f>
        <v/>
      </c>
      <c r="F325" s="21">
        <f>IF($A325="","",SUMIFS('Trade Log'!$L$4:$L$503,'Trade Log'!$G$4:$G$503,$A325,'Trade Log'!$C$4:$C$503,"SHORT"))</f>
        <v/>
      </c>
      <c r="G325" s="21">
        <f>IF($A325="","",$E325+$F325)</f>
        <v/>
      </c>
    </row>
    <row r="326">
      <c r="A326" s="28">
        <f>IF(A325="","",A325+1)</f>
        <v/>
      </c>
      <c r="B326" s="21">
        <f>IF($A326="","",SUMIFS('Trade Log'!$I$4:$I$503,'Trade Log'!$G$4:$G$503,$A326,'Trade Log'!$C$4:$C$503,"LONG"))</f>
        <v/>
      </c>
      <c r="C326" s="21">
        <f>IF($A326="","",SUMIFS('Trade Log'!$I$4:$I$503,'Trade Log'!$G$4:$G$503,$A326,'Trade Log'!$C$4:$C$503,"SHORT"))</f>
        <v/>
      </c>
      <c r="D326" s="21">
        <f>IF($A326="","",$B326+$C326)</f>
        <v/>
      </c>
      <c r="E326" s="21">
        <f>IF($A326="","",SUMIFS('Trade Log'!$L$4:$L$503,'Trade Log'!$G$4:$G$503,$A326,'Trade Log'!$C$4:$C$503,"LONG"))</f>
        <v/>
      </c>
      <c r="F326" s="21">
        <f>IF($A326="","",SUMIFS('Trade Log'!$L$4:$L$503,'Trade Log'!$G$4:$G$503,$A326,'Trade Log'!$C$4:$C$503,"SHORT"))</f>
        <v/>
      </c>
      <c r="G326" s="21">
        <f>IF($A326="","",$E326+$F326)</f>
        <v/>
      </c>
    </row>
    <row r="327">
      <c r="A327" s="28">
        <f>IF(A326="","",A326+1)</f>
        <v/>
      </c>
      <c r="B327" s="21">
        <f>IF($A327="","",SUMIFS('Trade Log'!$I$4:$I$503,'Trade Log'!$G$4:$G$503,$A327,'Trade Log'!$C$4:$C$503,"LONG"))</f>
        <v/>
      </c>
      <c r="C327" s="21">
        <f>IF($A327="","",SUMIFS('Trade Log'!$I$4:$I$503,'Trade Log'!$G$4:$G$503,$A327,'Trade Log'!$C$4:$C$503,"SHORT"))</f>
        <v/>
      </c>
      <c r="D327" s="21">
        <f>IF($A327="","",$B327+$C327)</f>
        <v/>
      </c>
      <c r="E327" s="21">
        <f>IF($A327="","",SUMIFS('Trade Log'!$L$4:$L$503,'Trade Log'!$G$4:$G$503,$A327,'Trade Log'!$C$4:$C$503,"LONG"))</f>
        <v/>
      </c>
      <c r="F327" s="21">
        <f>IF($A327="","",SUMIFS('Trade Log'!$L$4:$L$503,'Trade Log'!$G$4:$G$503,$A327,'Trade Log'!$C$4:$C$503,"SHORT"))</f>
        <v/>
      </c>
      <c r="G327" s="21">
        <f>IF($A327="","",$E327+$F327)</f>
        <v/>
      </c>
    </row>
    <row r="328">
      <c r="A328" s="28">
        <f>IF(A327="","",A327+1)</f>
        <v/>
      </c>
      <c r="B328" s="21">
        <f>IF($A328="","",SUMIFS('Trade Log'!$I$4:$I$503,'Trade Log'!$G$4:$G$503,$A328,'Trade Log'!$C$4:$C$503,"LONG"))</f>
        <v/>
      </c>
      <c r="C328" s="21">
        <f>IF($A328="","",SUMIFS('Trade Log'!$I$4:$I$503,'Trade Log'!$G$4:$G$503,$A328,'Trade Log'!$C$4:$C$503,"SHORT"))</f>
        <v/>
      </c>
      <c r="D328" s="21">
        <f>IF($A328="","",$B328+$C328)</f>
        <v/>
      </c>
      <c r="E328" s="21">
        <f>IF($A328="","",SUMIFS('Trade Log'!$L$4:$L$503,'Trade Log'!$G$4:$G$503,$A328,'Trade Log'!$C$4:$C$503,"LONG"))</f>
        <v/>
      </c>
      <c r="F328" s="21">
        <f>IF($A328="","",SUMIFS('Trade Log'!$L$4:$L$503,'Trade Log'!$G$4:$G$503,$A328,'Trade Log'!$C$4:$C$503,"SHORT"))</f>
        <v/>
      </c>
      <c r="G328" s="21">
        <f>IF($A328="","",$E328+$F328)</f>
        <v/>
      </c>
    </row>
    <row r="329">
      <c r="A329" s="28">
        <f>IF(A328="","",A328+1)</f>
        <v/>
      </c>
      <c r="B329" s="21">
        <f>IF($A329="","",SUMIFS('Trade Log'!$I$4:$I$503,'Trade Log'!$G$4:$G$503,$A329,'Trade Log'!$C$4:$C$503,"LONG"))</f>
        <v/>
      </c>
      <c r="C329" s="21">
        <f>IF($A329="","",SUMIFS('Trade Log'!$I$4:$I$503,'Trade Log'!$G$4:$G$503,$A329,'Trade Log'!$C$4:$C$503,"SHORT"))</f>
        <v/>
      </c>
      <c r="D329" s="21">
        <f>IF($A329="","",$B329+$C329)</f>
        <v/>
      </c>
      <c r="E329" s="21">
        <f>IF($A329="","",SUMIFS('Trade Log'!$L$4:$L$503,'Trade Log'!$G$4:$G$503,$A329,'Trade Log'!$C$4:$C$503,"LONG"))</f>
        <v/>
      </c>
      <c r="F329" s="21">
        <f>IF($A329="","",SUMIFS('Trade Log'!$L$4:$L$503,'Trade Log'!$G$4:$G$503,$A329,'Trade Log'!$C$4:$C$503,"SHORT"))</f>
        <v/>
      </c>
      <c r="G329" s="21">
        <f>IF($A329="","",$E329+$F329)</f>
        <v/>
      </c>
    </row>
    <row r="330">
      <c r="A330" s="28">
        <f>IF(A329="","",A329+1)</f>
        <v/>
      </c>
      <c r="B330" s="21">
        <f>IF($A330="","",SUMIFS('Trade Log'!$I$4:$I$503,'Trade Log'!$G$4:$G$503,$A330,'Trade Log'!$C$4:$C$503,"LONG"))</f>
        <v/>
      </c>
      <c r="C330" s="21">
        <f>IF($A330="","",SUMIFS('Trade Log'!$I$4:$I$503,'Trade Log'!$G$4:$G$503,$A330,'Trade Log'!$C$4:$C$503,"SHORT"))</f>
        <v/>
      </c>
      <c r="D330" s="21">
        <f>IF($A330="","",$B330+$C330)</f>
        <v/>
      </c>
      <c r="E330" s="21">
        <f>IF($A330="","",SUMIFS('Trade Log'!$L$4:$L$503,'Trade Log'!$G$4:$G$503,$A330,'Trade Log'!$C$4:$C$503,"LONG"))</f>
        <v/>
      </c>
      <c r="F330" s="21">
        <f>IF($A330="","",SUMIFS('Trade Log'!$L$4:$L$503,'Trade Log'!$G$4:$G$503,$A330,'Trade Log'!$C$4:$C$503,"SHORT"))</f>
        <v/>
      </c>
      <c r="G330" s="21">
        <f>IF($A330="","",$E330+$F330)</f>
        <v/>
      </c>
    </row>
    <row r="331">
      <c r="A331" s="28">
        <f>IF(A330="","",A330+1)</f>
        <v/>
      </c>
      <c r="B331" s="21">
        <f>IF($A331="","",SUMIFS('Trade Log'!$I$4:$I$503,'Trade Log'!$G$4:$G$503,$A331,'Trade Log'!$C$4:$C$503,"LONG"))</f>
        <v/>
      </c>
      <c r="C331" s="21">
        <f>IF($A331="","",SUMIFS('Trade Log'!$I$4:$I$503,'Trade Log'!$G$4:$G$503,$A331,'Trade Log'!$C$4:$C$503,"SHORT"))</f>
        <v/>
      </c>
      <c r="D331" s="21">
        <f>IF($A331="","",$B331+$C331)</f>
        <v/>
      </c>
      <c r="E331" s="21">
        <f>IF($A331="","",SUMIFS('Trade Log'!$L$4:$L$503,'Trade Log'!$G$4:$G$503,$A331,'Trade Log'!$C$4:$C$503,"LONG"))</f>
        <v/>
      </c>
      <c r="F331" s="21">
        <f>IF($A331="","",SUMIFS('Trade Log'!$L$4:$L$503,'Trade Log'!$G$4:$G$503,$A331,'Trade Log'!$C$4:$C$503,"SHORT"))</f>
        <v/>
      </c>
      <c r="G331" s="21">
        <f>IF($A331="","",$E331+$F331)</f>
        <v/>
      </c>
    </row>
    <row r="332">
      <c r="A332" s="28">
        <f>IF(A331="","",A331+1)</f>
        <v/>
      </c>
      <c r="B332" s="21">
        <f>IF($A332="","",SUMIFS('Trade Log'!$I$4:$I$503,'Trade Log'!$G$4:$G$503,$A332,'Trade Log'!$C$4:$C$503,"LONG"))</f>
        <v/>
      </c>
      <c r="C332" s="21">
        <f>IF($A332="","",SUMIFS('Trade Log'!$I$4:$I$503,'Trade Log'!$G$4:$G$503,$A332,'Trade Log'!$C$4:$C$503,"SHORT"))</f>
        <v/>
      </c>
      <c r="D332" s="21">
        <f>IF($A332="","",$B332+$C332)</f>
        <v/>
      </c>
      <c r="E332" s="21">
        <f>IF($A332="","",SUMIFS('Trade Log'!$L$4:$L$503,'Trade Log'!$G$4:$G$503,$A332,'Trade Log'!$C$4:$C$503,"LONG"))</f>
        <v/>
      </c>
      <c r="F332" s="21">
        <f>IF($A332="","",SUMIFS('Trade Log'!$L$4:$L$503,'Trade Log'!$G$4:$G$503,$A332,'Trade Log'!$C$4:$C$503,"SHORT"))</f>
        <v/>
      </c>
      <c r="G332" s="21">
        <f>IF($A332="","",$E332+$F332)</f>
        <v/>
      </c>
    </row>
    <row r="333">
      <c r="A333" s="28">
        <f>IF(A332="","",A332+1)</f>
        <v/>
      </c>
      <c r="B333" s="21">
        <f>IF($A333="","",SUMIFS('Trade Log'!$I$4:$I$503,'Trade Log'!$G$4:$G$503,$A333,'Trade Log'!$C$4:$C$503,"LONG"))</f>
        <v/>
      </c>
      <c r="C333" s="21">
        <f>IF($A333="","",SUMIFS('Trade Log'!$I$4:$I$503,'Trade Log'!$G$4:$G$503,$A333,'Trade Log'!$C$4:$C$503,"SHORT"))</f>
        <v/>
      </c>
      <c r="D333" s="21">
        <f>IF($A333="","",$B333+$C333)</f>
        <v/>
      </c>
      <c r="E333" s="21">
        <f>IF($A333="","",SUMIFS('Trade Log'!$L$4:$L$503,'Trade Log'!$G$4:$G$503,$A333,'Trade Log'!$C$4:$C$503,"LONG"))</f>
        <v/>
      </c>
      <c r="F333" s="21">
        <f>IF($A333="","",SUMIFS('Trade Log'!$L$4:$L$503,'Trade Log'!$G$4:$G$503,$A333,'Trade Log'!$C$4:$C$503,"SHORT"))</f>
        <v/>
      </c>
      <c r="G333" s="21">
        <f>IF($A333="","",$E333+$F333)</f>
        <v/>
      </c>
    </row>
    <row r="334">
      <c r="A334" s="28">
        <f>IF(A333="","",A333+1)</f>
        <v/>
      </c>
      <c r="B334" s="21">
        <f>IF($A334="","",SUMIFS('Trade Log'!$I$4:$I$503,'Trade Log'!$G$4:$G$503,$A334,'Trade Log'!$C$4:$C$503,"LONG"))</f>
        <v/>
      </c>
      <c r="C334" s="21">
        <f>IF($A334="","",SUMIFS('Trade Log'!$I$4:$I$503,'Trade Log'!$G$4:$G$503,$A334,'Trade Log'!$C$4:$C$503,"SHORT"))</f>
        <v/>
      </c>
      <c r="D334" s="21">
        <f>IF($A334="","",$B334+$C334)</f>
        <v/>
      </c>
      <c r="E334" s="21">
        <f>IF($A334="","",SUMIFS('Trade Log'!$L$4:$L$503,'Trade Log'!$G$4:$G$503,$A334,'Trade Log'!$C$4:$C$503,"LONG"))</f>
        <v/>
      </c>
      <c r="F334" s="21">
        <f>IF($A334="","",SUMIFS('Trade Log'!$L$4:$L$503,'Trade Log'!$G$4:$G$503,$A334,'Trade Log'!$C$4:$C$503,"SHORT"))</f>
        <v/>
      </c>
      <c r="G334" s="21">
        <f>IF($A334="","",$E334+$F334)</f>
        <v/>
      </c>
    </row>
    <row r="335">
      <c r="A335" s="28">
        <f>IF(A334="","",A334+1)</f>
        <v/>
      </c>
      <c r="B335" s="21">
        <f>IF($A335="","",SUMIFS('Trade Log'!$I$4:$I$503,'Trade Log'!$G$4:$G$503,$A335,'Trade Log'!$C$4:$C$503,"LONG"))</f>
        <v/>
      </c>
      <c r="C335" s="21">
        <f>IF($A335="","",SUMIFS('Trade Log'!$I$4:$I$503,'Trade Log'!$G$4:$G$503,$A335,'Trade Log'!$C$4:$C$503,"SHORT"))</f>
        <v/>
      </c>
      <c r="D335" s="21">
        <f>IF($A335="","",$B335+$C335)</f>
        <v/>
      </c>
      <c r="E335" s="21">
        <f>IF($A335="","",SUMIFS('Trade Log'!$L$4:$L$503,'Trade Log'!$G$4:$G$503,$A335,'Trade Log'!$C$4:$C$503,"LONG"))</f>
        <v/>
      </c>
      <c r="F335" s="21">
        <f>IF($A335="","",SUMIFS('Trade Log'!$L$4:$L$503,'Trade Log'!$G$4:$G$503,$A335,'Trade Log'!$C$4:$C$503,"SHORT"))</f>
        <v/>
      </c>
      <c r="G335" s="21">
        <f>IF($A335="","",$E335+$F335)</f>
        <v/>
      </c>
    </row>
    <row r="336">
      <c r="A336" s="28">
        <f>IF(A335="","",A335+1)</f>
        <v/>
      </c>
      <c r="B336" s="21">
        <f>IF($A336="","",SUMIFS('Trade Log'!$I$4:$I$503,'Trade Log'!$G$4:$G$503,$A336,'Trade Log'!$C$4:$C$503,"LONG"))</f>
        <v/>
      </c>
      <c r="C336" s="21">
        <f>IF($A336="","",SUMIFS('Trade Log'!$I$4:$I$503,'Trade Log'!$G$4:$G$503,$A336,'Trade Log'!$C$4:$C$503,"SHORT"))</f>
        <v/>
      </c>
      <c r="D336" s="21">
        <f>IF($A336="","",$B336+$C336)</f>
        <v/>
      </c>
      <c r="E336" s="21">
        <f>IF($A336="","",SUMIFS('Trade Log'!$L$4:$L$503,'Trade Log'!$G$4:$G$503,$A336,'Trade Log'!$C$4:$C$503,"LONG"))</f>
        <v/>
      </c>
      <c r="F336" s="21">
        <f>IF($A336="","",SUMIFS('Trade Log'!$L$4:$L$503,'Trade Log'!$G$4:$G$503,$A336,'Trade Log'!$C$4:$C$503,"SHORT"))</f>
        <v/>
      </c>
      <c r="G336" s="21">
        <f>IF($A336="","",$E336+$F336)</f>
        <v/>
      </c>
    </row>
    <row r="337">
      <c r="A337" s="28">
        <f>IF(A336="","",A336+1)</f>
        <v/>
      </c>
      <c r="B337" s="21">
        <f>IF($A337="","",SUMIFS('Trade Log'!$I$4:$I$503,'Trade Log'!$G$4:$G$503,$A337,'Trade Log'!$C$4:$C$503,"LONG"))</f>
        <v/>
      </c>
      <c r="C337" s="21">
        <f>IF($A337="","",SUMIFS('Trade Log'!$I$4:$I$503,'Trade Log'!$G$4:$G$503,$A337,'Trade Log'!$C$4:$C$503,"SHORT"))</f>
        <v/>
      </c>
      <c r="D337" s="21">
        <f>IF($A337="","",$B337+$C337)</f>
        <v/>
      </c>
      <c r="E337" s="21">
        <f>IF($A337="","",SUMIFS('Trade Log'!$L$4:$L$503,'Trade Log'!$G$4:$G$503,$A337,'Trade Log'!$C$4:$C$503,"LONG"))</f>
        <v/>
      </c>
      <c r="F337" s="21">
        <f>IF($A337="","",SUMIFS('Trade Log'!$L$4:$L$503,'Trade Log'!$G$4:$G$503,$A337,'Trade Log'!$C$4:$C$503,"SHORT"))</f>
        <v/>
      </c>
      <c r="G337" s="21">
        <f>IF($A337="","",$E337+$F337)</f>
        <v/>
      </c>
    </row>
    <row r="338">
      <c r="A338" s="28">
        <f>IF(A337="","",A337+1)</f>
        <v/>
      </c>
      <c r="B338" s="21">
        <f>IF($A338="","",SUMIFS('Trade Log'!$I$4:$I$503,'Trade Log'!$G$4:$G$503,$A338,'Trade Log'!$C$4:$C$503,"LONG"))</f>
        <v/>
      </c>
      <c r="C338" s="21">
        <f>IF($A338="","",SUMIFS('Trade Log'!$I$4:$I$503,'Trade Log'!$G$4:$G$503,$A338,'Trade Log'!$C$4:$C$503,"SHORT"))</f>
        <v/>
      </c>
      <c r="D338" s="21">
        <f>IF($A338="","",$B338+$C338)</f>
        <v/>
      </c>
      <c r="E338" s="21">
        <f>IF($A338="","",SUMIFS('Trade Log'!$L$4:$L$503,'Trade Log'!$G$4:$G$503,$A338,'Trade Log'!$C$4:$C$503,"LONG"))</f>
        <v/>
      </c>
      <c r="F338" s="21">
        <f>IF($A338="","",SUMIFS('Trade Log'!$L$4:$L$503,'Trade Log'!$G$4:$G$503,$A338,'Trade Log'!$C$4:$C$503,"SHORT"))</f>
        <v/>
      </c>
      <c r="G338" s="21">
        <f>IF($A338="","",$E338+$F338)</f>
        <v/>
      </c>
    </row>
    <row r="339">
      <c r="A339" s="28">
        <f>IF(A338="","",A338+1)</f>
        <v/>
      </c>
      <c r="B339" s="21">
        <f>IF($A339="","",SUMIFS('Trade Log'!$I$4:$I$503,'Trade Log'!$G$4:$G$503,$A339,'Trade Log'!$C$4:$C$503,"LONG"))</f>
        <v/>
      </c>
      <c r="C339" s="21">
        <f>IF($A339="","",SUMIFS('Trade Log'!$I$4:$I$503,'Trade Log'!$G$4:$G$503,$A339,'Trade Log'!$C$4:$C$503,"SHORT"))</f>
        <v/>
      </c>
      <c r="D339" s="21">
        <f>IF($A339="","",$B339+$C339)</f>
        <v/>
      </c>
      <c r="E339" s="21">
        <f>IF($A339="","",SUMIFS('Trade Log'!$L$4:$L$503,'Trade Log'!$G$4:$G$503,$A339,'Trade Log'!$C$4:$C$503,"LONG"))</f>
        <v/>
      </c>
      <c r="F339" s="21">
        <f>IF($A339="","",SUMIFS('Trade Log'!$L$4:$L$503,'Trade Log'!$G$4:$G$503,$A339,'Trade Log'!$C$4:$C$503,"SHORT"))</f>
        <v/>
      </c>
      <c r="G339" s="21">
        <f>IF($A339="","",$E339+$F339)</f>
        <v/>
      </c>
    </row>
    <row r="340">
      <c r="A340" s="28">
        <f>IF(A339="","",A339+1)</f>
        <v/>
      </c>
      <c r="B340" s="21">
        <f>IF($A340="","",SUMIFS('Trade Log'!$I$4:$I$503,'Trade Log'!$G$4:$G$503,$A340,'Trade Log'!$C$4:$C$503,"LONG"))</f>
        <v/>
      </c>
      <c r="C340" s="21">
        <f>IF($A340="","",SUMIFS('Trade Log'!$I$4:$I$503,'Trade Log'!$G$4:$G$503,$A340,'Trade Log'!$C$4:$C$503,"SHORT"))</f>
        <v/>
      </c>
      <c r="D340" s="21">
        <f>IF($A340="","",$B340+$C340)</f>
        <v/>
      </c>
      <c r="E340" s="21">
        <f>IF($A340="","",SUMIFS('Trade Log'!$L$4:$L$503,'Trade Log'!$G$4:$G$503,$A340,'Trade Log'!$C$4:$C$503,"LONG"))</f>
        <v/>
      </c>
      <c r="F340" s="21">
        <f>IF($A340="","",SUMIFS('Trade Log'!$L$4:$L$503,'Trade Log'!$G$4:$G$503,$A340,'Trade Log'!$C$4:$C$503,"SHORT"))</f>
        <v/>
      </c>
      <c r="G340" s="21">
        <f>IF($A340="","",$E340+$F340)</f>
        <v/>
      </c>
    </row>
    <row r="341">
      <c r="A341" s="28">
        <f>IF(A340="","",A340+1)</f>
        <v/>
      </c>
      <c r="B341" s="21">
        <f>IF($A341="","",SUMIFS('Trade Log'!$I$4:$I$503,'Trade Log'!$G$4:$G$503,$A341,'Trade Log'!$C$4:$C$503,"LONG"))</f>
        <v/>
      </c>
      <c r="C341" s="21">
        <f>IF($A341="","",SUMIFS('Trade Log'!$I$4:$I$503,'Trade Log'!$G$4:$G$503,$A341,'Trade Log'!$C$4:$C$503,"SHORT"))</f>
        <v/>
      </c>
      <c r="D341" s="21">
        <f>IF($A341="","",$B341+$C341)</f>
        <v/>
      </c>
      <c r="E341" s="21">
        <f>IF($A341="","",SUMIFS('Trade Log'!$L$4:$L$503,'Trade Log'!$G$4:$G$503,$A341,'Trade Log'!$C$4:$C$503,"LONG"))</f>
        <v/>
      </c>
      <c r="F341" s="21">
        <f>IF($A341="","",SUMIFS('Trade Log'!$L$4:$L$503,'Trade Log'!$G$4:$G$503,$A341,'Trade Log'!$C$4:$C$503,"SHORT"))</f>
        <v/>
      </c>
      <c r="G341" s="21">
        <f>IF($A341="","",$E341+$F341)</f>
        <v/>
      </c>
    </row>
    <row r="342">
      <c r="A342" s="28">
        <f>IF(A341="","",A341+1)</f>
        <v/>
      </c>
      <c r="B342" s="21">
        <f>IF($A342="","",SUMIFS('Trade Log'!$I$4:$I$503,'Trade Log'!$G$4:$G$503,$A342,'Trade Log'!$C$4:$C$503,"LONG"))</f>
        <v/>
      </c>
      <c r="C342" s="21">
        <f>IF($A342="","",SUMIFS('Trade Log'!$I$4:$I$503,'Trade Log'!$G$4:$G$503,$A342,'Trade Log'!$C$4:$C$503,"SHORT"))</f>
        <v/>
      </c>
      <c r="D342" s="21">
        <f>IF($A342="","",$B342+$C342)</f>
        <v/>
      </c>
      <c r="E342" s="21">
        <f>IF($A342="","",SUMIFS('Trade Log'!$L$4:$L$503,'Trade Log'!$G$4:$G$503,$A342,'Trade Log'!$C$4:$C$503,"LONG"))</f>
        <v/>
      </c>
      <c r="F342" s="21">
        <f>IF($A342="","",SUMIFS('Trade Log'!$L$4:$L$503,'Trade Log'!$G$4:$G$503,$A342,'Trade Log'!$C$4:$C$503,"SHORT"))</f>
        <v/>
      </c>
      <c r="G342" s="21">
        <f>IF($A342="","",$E342+$F342)</f>
        <v/>
      </c>
    </row>
    <row r="343">
      <c r="A343" s="28">
        <f>IF(A342="","",A342+1)</f>
        <v/>
      </c>
      <c r="B343" s="21">
        <f>IF($A343="","",SUMIFS('Trade Log'!$I$4:$I$503,'Trade Log'!$G$4:$G$503,$A343,'Trade Log'!$C$4:$C$503,"LONG"))</f>
        <v/>
      </c>
      <c r="C343" s="21">
        <f>IF($A343="","",SUMIFS('Trade Log'!$I$4:$I$503,'Trade Log'!$G$4:$G$503,$A343,'Trade Log'!$C$4:$C$503,"SHORT"))</f>
        <v/>
      </c>
      <c r="D343" s="21">
        <f>IF($A343="","",$B343+$C343)</f>
        <v/>
      </c>
      <c r="E343" s="21">
        <f>IF($A343="","",SUMIFS('Trade Log'!$L$4:$L$503,'Trade Log'!$G$4:$G$503,$A343,'Trade Log'!$C$4:$C$503,"LONG"))</f>
        <v/>
      </c>
      <c r="F343" s="21">
        <f>IF($A343="","",SUMIFS('Trade Log'!$L$4:$L$503,'Trade Log'!$G$4:$G$503,$A343,'Trade Log'!$C$4:$C$503,"SHORT"))</f>
        <v/>
      </c>
      <c r="G343" s="21">
        <f>IF($A343="","",$E343+$F343)</f>
        <v/>
      </c>
    </row>
    <row r="344">
      <c r="A344" s="28">
        <f>IF(A343="","",A343+1)</f>
        <v/>
      </c>
      <c r="B344" s="21">
        <f>IF($A344="","",SUMIFS('Trade Log'!$I$4:$I$503,'Trade Log'!$G$4:$G$503,$A344,'Trade Log'!$C$4:$C$503,"LONG"))</f>
        <v/>
      </c>
      <c r="C344" s="21">
        <f>IF($A344="","",SUMIFS('Trade Log'!$I$4:$I$503,'Trade Log'!$G$4:$G$503,$A344,'Trade Log'!$C$4:$C$503,"SHORT"))</f>
        <v/>
      </c>
      <c r="D344" s="21">
        <f>IF($A344="","",$B344+$C344)</f>
        <v/>
      </c>
      <c r="E344" s="21">
        <f>IF($A344="","",SUMIFS('Trade Log'!$L$4:$L$503,'Trade Log'!$G$4:$G$503,$A344,'Trade Log'!$C$4:$C$503,"LONG"))</f>
        <v/>
      </c>
      <c r="F344" s="21">
        <f>IF($A344="","",SUMIFS('Trade Log'!$L$4:$L$503,'Trade Log'!$G$4:$G$503,$A344,'Trade Log'!$C$4:$C$503,"SHORT"))</f>
        <v/>
      </c>
      <c r="G344" s="21">
        <f>IF($A344="","",$E344+$F344)</f>
        <v/>
      </c>
    </row>
    <row r="345">
      <c r="A345" s="28">
        <f>IF(A344="","",A344+1)</f>
        <v/>
      </c>
      <c r="B345" s="21">
        <f>IF($A345="","",SUMIFS('Trade Log'!$I$4:$I$503,'Trade Log'!$G$4:$G$503,$A345,'Trade Log'!$C$4:$C$503,"LONG"))</f>
        <v/>
      </c>
      <c r="C345" s="21">
        <f>IF($A345="","",SUMIFS('Trade Log'!$I$4:$I$503,'Trade Log'!$G$4:$G$503,$A345,'Trade Log'!$C$4:$C$503,"SHORT"))</f>
        <v/>
      </c>
      <c r="D345" s="21">
        <f>IF($A345="","",$B345+$C345)</f>
        <v/>
      </c>
      <c r="E345" s="21">
        <f>IF($A345="","",SUMIFS('Trade Log'!$L$4:$L$503,'Trade Log'!$G$4:$G$503,$A345,'Trade Log'!$C$4:$C$503,"LONG"))</f>
        <v/>
      </c>
      <c r="F345" s="21">
        <f>IF($A345="","",SUMIFS('Trade Log'!$L$4:$L$503,'Trade Log'!$G$4:$G$503,$A345,'Trade Log'!$C$4:$C$503,"SHORT"))</f>
        <v/>
      </c>
      <c r="G345" s="21">
        <f>IF($A345="","",$E345+$F345)</f>
        <v/>
      </c>
    </row>
    <row r="346">
      <c r="A346" s="28">
        <f>IF(A345="","",A345+1)</f>
        <v/>
      </c>
      <c r="B346" s="21">
        <f>IF($A346="","",SUMIFS('Trade Log'!$I$4:$I$503,'Trade Log'!$G$4:$G$503,$A346,'Trade Log'!$C$4:$C$503,"LONG"))</f>
        <v/>
      </c>
      <c r="C346" s="21">
        <f>IF($A346="","",SUMIFS('Trade Log'!$I$4:$I$503,'Trade Log'!$G$4:$G$503,$A346,'Trade Log'!$C$4:$C$503,"SHORT"))</f>
        <v/>
      </c>
      <c r="D346" s="21">
        <f>IF($A346="","",$B346+$C346)</f>
        <v/>
      </c>
      <c r="E346" s="21">
        <f>IF($A346="","",SUMIFS('Trade Log'!$L$4:$L$503,'Trade Log'!$G$4:$G$503,$A346,'Trade Log'!$C$4:$C$503,"LONG"))</f>
        <v/>
      </c>
      <c r="F346" s="21">
        <f>IF($A346="","",SUMIFS('Trade Log'!$L$4:$L$503,'Trade Log'!$G$4:$G$503,$A346,'Trade Log'!$C$4:$C$503,"SHORT"))</f>
        <v/>
      </c>
      <c r="G346" s="21">
        <f>IF($A346="","",$E346+$F346)</f>
        <v/>
      </c>
    </row>
    <row r="347">
      <c r="A347" s="28">
        <f>IF(A346="","",A346+1)</f>
        <v/>
      </c>
      <c r="B347" s="21">
        <f>IF($A347="","",SUMIFS('Trade Log'!$I$4:$I$503,'Trade Log'!$G$4:$G$503,$A347,'Trade Log'!$C$4:$C$503,"LONG"))</f>
        <v/>
      </c>
      <c r="C347" s="21">
        <f>IF($A347="","",SUMIFS('Trade Log'!$I$4:$I$503,'Trade Log'!$G$4:$G$503,$A347,'Trade Log'!$C$4:$C$503,"SHORT"))</f>
        <v/>
      </c>
      <c r="D347" s="21">
        <f>IF($A347="","",$B347+$C347)</f>
        <v/>
      </c>
      <c r="E347" s="21">
        <f>IF($A347="","",SUMIFS('Trade Log'!$L$4:$L$503,'Trade Log'!$G$4:$G$503,$A347,'Trade Log'!$C$4:$C$503,"LONG"))</f>
        <v/>
      </c>
      <c r="F347" s="21">
        <f>IF($A347="","",SUMIFS('Trade Log'!$L$4:$L$503,'Trade Log'!$G$4:$G$503,$A347,'Trade Log'!$C$4:$C$503,"SHORT"))</f>
        <v/>
      </c>
      <c r="G347" s="21">
        <f>IF($A347="","",$E347+$F347)</f>
        <v/>
      </c>
    </row>
    <row r="348">
      <c r="A348" s="28">
        <f>IF(A347="","",A347+1)</f>
        <v/>
      </c>
      <c r="B348" s="21">
        <f>IF($A348="","",SUMIFS('Trade Log'!$I$4:$I$503,'Trade Log'!$G$4:$G$503,$A348,'Trade Log'!$C$4:$C$503,"LONG"))</f>
        <v/>
      </c>
      <c r="C348" s="21">
        <f>IF($A348="","",SUMIFS('Trade Log'!$I$4:$I$503,'Trade Log'!$G$4:$G$503,$A348,'Trade Log'!$C$4:$C$503,"SHORT"))</f>
        <v/>
      </c>
      <c r="D348" s="21">
        <f>IF($A348="","",$B348+$C348)</f>
        <v/>
      </c>
      <c r="E348" s="21">
        <f>IF($A348="","",SUMIFS('Trade Log'!$L$4:$L$503,'Trade Log'!$G$4:$G$503,$A348,'Trade Log'!$C$4:$C$503,"LONG"))</f>
        <v/>
      </c>
      <c r="F348" s="21">
        <f>IF($A348="","",SUMIFS('Trade Log'!$L$4:$L$503,'Trade Log'!$G$4:$G$503,$A348,'Trade Log'!$C$4:$C$503,"SHORT"))</f>
        <v/>
      </c>
      <c r="G348" s="21">
        <f>IF($A348="","",$E348+$F348)</f>
        <v/>
      </c>
    </row>
    <row r="349">
      <c r="A349" s="28">
        <f>IF(A348="","",A348+1)</f>
        <v/>
      </c>
      <c r="B349" s="21">
        <f>IF($A349="","",SUMIFS('Trade Log'!$I$4:$I$503,'Trade Log'!$G$4:$G$503,$A349,'Trade Log'!$C$4:$C$503,"LONG"))</f>
        <v/>
      </c>
      <c r="C349" s="21">
        <f>IF($A349="","",SUMIFS('Trade Log'!$I$4:$I$503,'Trade Log'!$G$4:$G$503,$A349,'Trade Log'!$C$4:$C$503,"SHORT"))</f>
        <v/>
      </c>
      <c r="D349" s="21">
        <f>IF($A349="","",$B349+$C349)</f>
        <v/>
      </c>
      <c r="E349" s="21">
        <f>IF($A349="","",SUMIFS('Trade Log'!$L$4:$L$503,'Trade Log'!$G$4:$G$503,$A349,'Trade Log'!$C$4:$C$503,"LONG"))</f>
        <v/>
      </c>
      <c r="F349" s="21">
        <f>IF($A349="","",SUMIFS('Trade Log'!$L$4:$L$503,'Trade Log'!$G$4:$G$503,$A349,'Trade Log'!$C$4:$C$503,"SHORT"))</f>
        <v/>
      </c>
      <c r="G349" s="21">
        <f>IF($A349="","",$E349+$F349)</f>
        <v/>
      </c>
    </row>
    <row r="350">
      <c r="A350" s="28">
        <f>IF(A349="","",A349+1)</f>
        <v/>
      </c>
      <c r="B350" s="21">
        <f>IF($A350="","",SUMIFS('Trade Log'!$I$4:$I$503,'Trade Log'!$G$4:$G$503,$A350,'Trade Log'!$C$4:$C$503,"LONG"))</f>
        <v/>
      </c>
      <c r="C350" s="21">
        <f>IF($A350="","",SUMIFS('Trade Log'!$I$4:$I$503,'Trade Log'!$G$4:$G$503,$A350,'Trade Log'!$C$4:$C$503,"SHORT"))</f>
        <v/>
      </c>
      <c r="D350" s="21">
        <f>IF($A350="","",$B350+$C350)</f>
        <v/>
      </c>
      <c r="E350" s="21">
        <f>IF($A350="","",SUMIFS('Trade Log'!$L$4:$L$503,'Trade Log'!$G$4:$G$503,$A350,'Trade Log'!$C$4:$C$503,"LONG"))</f>
        <v/>
      </c>
      <c r="F350" s="21">
        <f>IF($A350="","",SUMIFS('Trade Log'!$L$4:$L$503,'Trade Log'!$G$4:$G$503,$A350,'Trade Log'!$C$4:$C$503,"SHORT"))</f>
        <v/>
      </c>
      <c r="G350" s="21">
        <f>IF($A350="","",$E350+$F350)</f>
        <v/>
      </c>
    </row>
    <row r="351">
      <c r="A351" s="28">
        <f>IF(A350="","",A350+1)</f>
        <v/>
      </c>
      <c r="B351" s="21">
        <f>IF($A351="","",SUMIFS('Trade Log'!$I$4:$I$503,'Trade Log'!$G$4:$G$503,$A351,'Trade Log'!$C$4:$C$503,"LONG"))</f>
        <v/>
      </c>
      <c r="C351" s="21">
        <f>IF($A351="","",SUMIFS('Trade Log'!$I$4:$I$503,'Trade Log'!$G$4:$G$503,$A351,'Trade Log'!$C$4:$C$503,"SHORT"))</f>
        <v/>
      </c>
      <c r="D351" s="21">
        <f>IF($A351="","",$B351+$C351)</f>
        <v/>
      </c>
      <c r="E351" s="21">
        <f>IF($A351="","",SUMIFS('Trade Log'!$L$4:$L$503,'Trade Log'!$G$4:$G$503,$A351,'Trade Log'!$C$4:$C$503,"LONG"))</f>
        <v/>
      </c>
      <c r="F351" s="21">
        <f>IF($A351="","",SUMIFS('Trade Log'!$L$4:$L$503,'Trade Log'!$G$4:$G$503,$A351,'Trade Log'!$C$4:$C$503,"SHORT"))</f>
        <v/>
      </c>
      <c r="G351" s="21">
        <f>IF($A351="","",$E351+$F351)</f>
        <v/>
      </c>
    </row>
    <row r="352">
      <c r="A352" s="28">
        <f>IF(A351="","",A351+1)</f>
        <v/>
      </c>
      <c r="B352" s="21">
        <f>IF($A352="","",SUMIFS('Trade Log'!$I$4:$I$503,'Trade Log'!$G$4:$G$503,$A352,'Trade Log'!$C$4:$C$503,"LONG"))</f>
        <v/>
      </c>
      <c r="C352" s="21">
        <f>IF($A352="","",SUMIFS('Trade Log'!$I$4:$I$503,'Trade Log'!$G$4:$G$503,$A352,'Trade Log'!$C$4:$C$503,"SHORT"))</f>
        <v/>
      </c>
      <c r="D352" s="21">
        <f>IF($A352="","",$B352+$C352)</f>
        <v/>
      </c>
      <c r="E352" s="21">
        <f>IF($A352="","",SUMIFS('Trade Log'!$L$4:$L$503,'Trade Log'!$G$4:$G$503,$A352,'Trade Log'!$C$4:$C$503,"LONG"))</f>
        <v/>
      </c>
      <c r="F352" s="21">
        <f>IF($A352="","",SUMIFS('Trade Log'!$L$4:$L$503,'Trade Log'!$G$4:$G$503,$A352,'Trade Log'!$C$4:$C$503,"SHORT"))</f>
        <v/>
      </c>
      <c r="G352" s="21">
        <f>IF($A352="","",$E352+$F352)</f>
        <v/>
      </c>
    </row>
    <row r="353">
      <c r="A353" s="28">
        <f>IF(A352="","",A352+1)</f>
        <v/>
      </c>
      <c r="B353" s="21">
        <f>IF($A353="","",SUMIFS('Trade Log'!$I$4:$I$503,'Trade Log'!$G$4:$G$503,$A353,'Trade Log'!$C$4:$C$503,"LONG"))</f>
        <v/>
      </c>
      <c r="C353" s="21">
        <f>IF($A353="","",SUMIFS('Trade Log'!$I$4:$I$503,'Trade Log'!$G$4:$G$503,$A353,'Trade Log'!$C$4:$C$503,"SHORT"))</f>
        <v/>
      </c>
      <c r="D353" s="21">
        <f>IF($A353="","",$B353+$C353)</f>
        <v/>
      </c>
      <c r="E353" s="21">
        <f>IF($A353="","",SUMIFS('Trade Log'!$L$4:$L$503,'Trade Log'!$G$4:$G$503,$A353,'Trade Log'!$C$4:$C$503,"LONG"))</f>
        <v/>
      </c>
      <c r="F353" s="21">
        <f>IF($A353="","",SUMIFS('Trade Log'!$L$4:$L$503,'Trade Log'!$G$4:$G$503,$A353,'Trade Log'!$C$4:$C$503,"SHORT"))</f>
        <v/>
      </c>
      <c r="G353" s="21">
        <f>IF($A353="","",$E353+$F353)</f>
        <v/>
      </c>
    </row>
    <row r="354">
      <c r="A354" s="28">
        <f>IF(A353="","",A353+1)</f>
        <v/>
      </c>
      <c r="B354" s="21">
        <f>IF($A354="","",SUMIFS('Trade Log'!$I$4:$I$503,'Trade Log'!$G$4:$G$503,$A354,'Trade Log'!$C$4:$C$503,"LONG"))</f>
        <v/>
      </c>
      <c r="C354" s="21">
        <f>IF($A354="","",SUMIFS('Trade Log'!$I$4:$I$503,'Trade Log'!$G$4:$G$503,$A354,'Trade Log'!$C$4:$C$503,"SHORT"))</f>
        <v/>
      </c>
      <c r="D354" s="21">
        <f>IF($A354="","",$B354+$C354)</f>
        <v/>
      </c>
      <c r="E354" s="21">
        <f>IF($A354="","",SUMIFS('Trade Log'!$L$4:$L$503,'Trade Log'!$G$4:$G$503,$A354,'Trade Log'!$C$4:$C$503,"LONG"))</f>
        <v/>
      </c>
      <c r="F354" s="21">
        <f>IF($A354="","",SUMIFS('Trade Log'!$L$4:$L$503,'Trade Log'!$G$4:$G$503,$A354,'Trade Log'!$C$4:$C$503,"SHORT"))</f>
        <v/>
      </c>
      <c r="G354" s="21">
        <f>IF($A354="","",$E354+$F354)</f>
        <v/>
      </c>
    </row>
    <row r="355">
      <c r="A355" s="28">
        <f>IF(A354="","",A354+1)</f>
        <v/>
      </c>
      <c r="B355" s="21">
        <f>IF($A355="","",SUMIFS('Trade Log'!$I$4:$I$503,'Trade Log'!$G$4:$G$503,$A355,'Trade Log'!$C$4:$C$503,"LONG"))</f>
        <v/>
      </c>
      <c r="C355" s="21">
        <f>IF($A355="","",SUMIFS('Trade Log'!$I$4:$I$503,'Trade Log'!$G$4:$G$503,$A355,'Trade Log'!$C$4:$C$503,"SHORT"))</f>
        <v/>
      </c>
      <c r="D355" s="21">
        <f>IF($A355="","",$B355+$C355)</f>
        <v/>
      </c>
      <c r="E355" s="21">
        <f>IF($A355="","",SUMIFS('Trade Log'!$L$4:$L$503,'Trade Log'!$G$4:$G$503,$A355,'Trade Log'!$C$4:$C$503,"LONG"))</f>
        <v/>
      </c>
      <c r="F355" s="21">
        <f>IF($A355="","",SUMIFS('Trade Log'!$L$4:$L$503,'Trade Log'!$G$4:$G$503,$A355,'Trade Log'!$C$4:$C$503,"SHORT"))</f>
        <v/>
      </c>
      <c r="G355" s="21">
        <f>IF($A355="","",$E355+$F355)</f>
        <v/>
      </c>
    </row>
    <row r="356">
      <c r="A356" s="28">
        <f>IF(A355="","",A355+1)</f>
        <v/>
      </c>
      <c r="B356" s="21">
        <f>IF($A356="","",SUMIFS('Trade Log'!$I$4:$I$503,'Trade Log'!$G$4:$G$503,$A356,'Trade Log'!$C$4:$C$503,"LONG"))</f>
        <v/>
      </c>
      <c r="C356" s="21">
        <f>IF($A356="","",SUMIFS('Trade Log'!$I$4:$I$503,'Trade Log'!$G$4:$G$503,$A356,'Trade Log'!$C$4:$C$503,"SHORT"))</f>
        <v/>
      </c>
      <c r="D356" s="21">
        <f>IF($A356="","",$B356+$C356)</f>
        <v/>
      </c>
      <c r="E356" s="21">
        <f>IF($A356="","",SUMIFS('Trade Log'!$L$4:$L$503,'Trade Log'!$G$4:$G$503,$A356,'Trade Log'!$C$4:$C$503,"LONG"))</f>
        <v/>
      </c>
      <c r="F356" s="21">
        <f>IF($A356="","",SUMIFS('Trade Log'!$L$4:$L$503,'Trade Log'!$G$4:$G$503,$A356,'Trade Log'!$C$4:$C$503,"SHORT"))</f>
        <v/>
      </c>
      <c r="G356" s="21">
        <f>IF($A356="","",$E356+$F356)</f>
        <v/>
      </c>
    </row>
    <row r="357">
      <c r="A357" s="28">
        <f>IF(A356="","",A356+1)</f>
        <v/>
      </c>
      <c r="B357" s="21">
        <f>IF($A357="","",SUMIFS('Trade Log'!$I$4:$I$503,'Trade Log'!$G$4:$G$503,$A357,'Trade Log'!$C$4:$C$503,"LONG"))</f>
        <v/>
      </c>
      <c r="C357" s="21">
        <f>IF($A357="","",SUMIFS('Trade Log'!$I$4:$I$503,'Trade Log'!$G$4:$G$503,$A357,'Trade Log'!$C$4:$C$503,"SHORT"))</f>
        <v/>
      </c>
      <c r="D357" s="21">
        <f>IF($A357="","",$B357+$C357)</f>
        <v/>
      </c>
      <c r="E357" s="21">
        <f>IF($A357="","",SUMIFS('Trade Log'!$L$4:$L$503,'Trade Log'!$G$4:$G$503,$A357,'Trade Log'!$C$4:$C$503,"LONG"))</f>
        <v/>
      </c>
      <c r="F357" s="21">
        <f>IF($A357="","",SUMIFS('Trade Log'!$L$4:$L$503,'Trade Log'!$G$4:$G$503,$A357,'Trade Log'!$C$4:$C$503,"SHORT"))</f>
        <v/>
      </c>
      <c r="G357" s="21">
        <f>IF($A357="","",$E357+$F357)</f>
        <v/>
      </c>
    </row>
    <row r="358">
      <c r="A358" s="28">
        <f>IF(A357="","",A357+1)</f>
        <v/>
      </c>
      <c r="B358" s="21">
        <f>IF($A358="","",SUMIFS('Trade Log'!$I$4:$I$503,'Trade Log'!$G$4:$G$503,$A358,'Trade Log'!$C$4:$C$503,"LONG"))</f>
        <v/>
      </c>
      <c r="C358" s="21">
        <f>IF($A358="","",SUMIFS('Trade Log'!$I$4:$I$503,'Trade Log'!$G$4:$G$503,$A358,'Trade Log'!$C$4:$C$503,"SHORT"))</f>
        <v/>
      </c>
      <c r="D358" s="21">
        <f>IF($A358="","",$B358+$C358)</f>
        <v/>
      </c>
      <c r="E358" s="21">
        <f>IF($A358="","",SUMIFS('Trade Log'!$L$4:$L$503,'Trade Log'!$G$4:$G$503,$A358,'Trade Log'!$C$4:$C$503,"LONG"))</f>
        <v/>
      </c>
      <c r="F358" s="21">
        <f>IF($A358="","",SUMIFS('Trade Log'!$L$4:$L$503,'Trade Log'!$G$4:$G$503,$A358,'Trade Log'!$C$4:$C$503,"SHORT"))</f>
        <v/>
      </c>
      <c r="G358" s="21">
        <f>IF($A358="","",$E358+$F358)</f>
        <v/>
      </c>
    </row>
    <row r="359">
      <c r="A359" s="28">
        <f>IF(A358="","",A358+1)</f>
        <v/>
      </c>
      <c r="B359" s="21">
        <f>IF($A359="","",SUMIFS('Trade Log'!$I$4:$I$503,'Trade Log'!$G$4:$G$503,$A359,'Trade Log'!$C$4:$C$503,"LONG"))</f>
        <v/>
      </c>
      <c r="C359" s="21">
        <f>IF($A359="","",SUMIFS('Trade Log'!$I$4:$I$503,'Trade Log'!$G$4:$G$503,$A359,'Trade Log'!$C$4:$C$503,"SHORT"))</f>
        <v/>
      </c>
      <c r="D359" s="21">
        <f>IF($A359="","",$B359+$C359)</f>
        <v/>
      </c>
      <c r="E359" s="21">
        <f>IF($A359="","",SUMIFS('Trade Log'!$L$4:$L$503,'Trade Log'!$G$4:$G$503,$A359,'Trade Log'!$C$4:$C$503,"LONG"))</f>
        <v/>
      </c>
      <c r="F359" s="21">
        <f>IF($A359="","",SUMIFS('Trade Log'!$L$4:$L$503,'Trade Log'!$G$4:$G$503,$A359,'Trade Log'!$C$4:$C$503,"SHORT"))</f>
        <v/>
      </c>
      <c r="G359" s="21">
        <f>IF($A359="","",$E359+$F359)</f>
        <v/>
      </c>
    </row>
    <row r="360">
      <c r="A360" s="28">
        <f>IF(A359="","",A359+1)</f>
        <v/>
      </c>
      <c r="B360" s="21">
        <f>IF($A360="","",SUMIFS('Trade Log'!$I$4:$I$503,'Trade Log'!$G$4:$G$503,$A360,'Trade Log'!$C$4:$C$503,"LONG"))</f>
        <v/>
      </c>
      <c r="C360" s="21">
        <f>IF($A360="","",SUMIFS('Trade Log'!$I$4:$I$503,'Trade Log'!$G$4:$G$503,$A360,'Trade Log'!$C$4:$C$503,"SHORT"))</f>
        <v/>
      </c>
      <c r="D360" s="21">
        <f>IF($A360="","",$B360+$C360)</f>
        <v/>
      </c>
      <c r="E360" s="21">
        <f>IF($A360="","",SUMIFS('Trade Log'!$L$4:$L$503,'Trade Log'!$G$4:$G$503,$A360,'Trade Log'!$C$4:$C$503,"LONG"))</f>
        <v/>
      </c>
      <c r="F360" s="21">
        <f>IF($A360="","",SUMIFS('Trade Log'!$L$4:$L$503,'Trade Log'!$G$4:$G$503,$A360,'Trade Log'!$C$4:$C$503,"SHORT"))</f>
        <v/>
      </c>
      <c r="G360" s="21">
        <f>IF($A360="","",$E360+$F360)</f>
        <v/>
      </c>
    </row>
    <row r="361">
      <c r="A361" s="28">
        <f>IF(A360="","",A360+1)</f>
        <v/>
      </c>
      <c r="B361" s="21">
        <f>IF($A361="","",SUMIFS('Trade Log'!$I$4:$I$503,'Trade Log'!$G$4:$G$503,$A361,'Trade Log'!$C$4:$C$503,"LONG"))</f>
        <v/>
      </c>
      <c r="C361" s="21">
        <f>IF($A361="","",SUMIFS('Trade Log'!$I$4:$I$503,'Trade Log'!$G$4:$G$503,$A361,'Trade Log'!$C$4:$C$503,"SHORT"))</f>
        <v/>
      </c>
      <c r="D361" s="21">
        <f>IF($A361="","",$B361+$C361)</f>
        <v/>
      </c>
      <c r="E361" s="21">
        <f>IF($A361="","",SUMIFS('Trade Log'!$L$4:$L$503,'Trade Log'!$G$4:$G$503,$A361,'Trade Log'!$C$4:$C$503,"LONG"))</f>
        <v/>
      </c>
      <c r="F361" s="21">
        <f>IF($A361="","",SUMIFS('Trade Log'!$L$4:$L$503,'Trade Log'!$G$4:$G$503,$A361,'Trade Log'!$C$4:$C$503,"SHORT"))</f>
        <v/>
      </c>
      <c r="G361" s="21">
        <f>IF($A361="","",$E361+$F361)</f>
        <v/>
      </c>
    </row>
    <row r="362">
      <c r="A362" s="28">
        <f>IF(A361="","",A361+1)</f>
        <v/>
      </c>
      <c r="B362" s="21">
        <f>IF($A362="","",SUMIFS('Trade Log'!$I$4:$I$503,'Trade Log'!$G$4:$G$503,$A362,'Trade Log'!$C$4:$C$503,"LONG"))</f>
        <v/>
      </c>
      <c r="C362" s="21">
        <f>IF($A362="","",SUMIFS('Trade Log'!$I$4:$I$503,'Trade Log'!$G$4:$G$503,$A362,'Trade Log'!$C$4:$C$503,"SHORT"))</f>
        <v/>
      </c>
      <c r="D362" s="21">
        <f>IF($A362="","",$B362+$C362)</f>
        <v/>
      </c>
      <c r="E362" s="21">
        <f>IF($A362="","",SUMIFS('Trade Log'!$L$4:$L$503,'Trade Log'!$G$4:$G$503,$A362,'Trade Log'!$C$4:$C$503,"LONG"))</f>
        <v/>
      </c>
      <c r="F362" s="21">
        <f>IF($A362="","",SUMIFS('Trade Log'!$L$4:$L$503,'Trade Log'!$G$4:$G$503,$A362,'Trade Log'!$C$4:$C$503,"SHORT"))</f>
        <v/>
      </c>
      <c r="G362" s="21">
        <f>IF($A362="","",$E362+$F362)</f>
        <v/>
      </c>
    </row>
    <row r="363">
      <c r="A363" s="28">
        <f>IF(A362="","",A362+1)</f>
        <v/>
      </c>
      <c r="B363" s="21">
        <f>IF($A363="","",SUMIFS('Trade Log'!$I$4:$I$503,'Trade Log'!$G$4:$G$503,$A363,'Trade Log'!$C$4:$C$503,"LONG"))</f>
        <v/>
      </c>
      <c r="C363" s="21">
        <f>IF($A363="","",SUMIFS('Trade Log'!$I$4:$I$503,'Trade Log'!$G$4:$G$503,$A363,'Trade Log'!$C$4:$C$503,"SHORT"))</f>
        <v/>
      </c>
      <c r="D363" s="21">
        <f>IF($A363="","",$B363+$C363)</f>
        <v/>
      </c>
      <c r="E363" s="21">
        <f>IF($A363="","",SUMIFS('Trade Log'!$L$4:$L$503,'Trade Log'!$G$4:$G$503,$A363,'Trade Log'!$C$4:$C$503,"LONG"))</f>
        <v/>
      </c>
      <c r="F363" s="21">
        <f>IF($A363="","",SUMIFS('Trade Log'!$L$4:$L$503,'Trade Log'!$G$4:$G$503,$A363,'Trade Log'!$C$4:$C$503,"SHORT"))</f>
        <v/>
      </c>
      <c r="G363" s="21">
        <f>IF($A363="","",$E363+$F363)</f>
        <v/>
      </c>
    </row>
    <row r="364">
      <c r="A364" s="28">
        <f>IF(A363="","",A363+1)</f>
        <v/>
      </c>
      <c r="B364" s="21">
        <f>IF($A364="","",SUMIFS('Trade Log'!$I$4:$I$503,'Trade Log'!$G$4:$G$503,$A364,'Trade Log'!$C$4:$C$503,"LONG"))</f>
        <v/>
      </c>
      <c r="C364" s="21">
        <f>IF($A364="","",SUMIFS('Trade Log'!$I$4:$I$503,'Trade Log'!$G$4:$G$503,$A364,'Trade Log'!$C$4:$C$503,"SHORT"))</f>
        <v/>
      </c>
      <c r="D364" s="21">
        <f>IF($A364="","",$B364+$C364)</f>
        <v/>
      </c>
      <c r="E364" s="21">
        <f>IF($A364="","",SUMIFS('Trade Log'!$L$4:$L$503,'Trade Log'!$G$4:$G$503,$A364,'Trade Log'!$C$4:$C$503,"LONG"))</f>
        <v/>
      </c>
      <c r="F364" s="21">
        <f>IF($A364="","",SUMIFS('Trade Log'!$L$4:$L$503,'Trade Log'!$G$4:$G$503,$A364,'Trade Log'!$C$4:$C$503,"SHORT"))</f>
        <v/>
      </c>
      <c r="G364" s="21">
        <f>IF($A364="","",$E364+$F364)</f>
        <v/>
      </c>
    </row>
    <row r="365">
      <c r="A365" s="28">
        <f>IF(A364="","",A364+1)</f>
        <v/>
      </c>
      <c r="B365" s="21">
        <f>IF($A365="","",SUMIFS('Trade Log'!$I$4:$I$503,'Trade Log'!$G$4:$G$503,$A365,'Trade Log'!$C$4:$C$503,"LONG"))</f>
        <v/>
      </c>
      <c r="C365" s="21">
        <f>IF($A365="","",SUMIFS('Trade Log'!$I$4:$I$503,'Trade Log'!$G$4:$G$503,$A365,'Trade Log'!$C$4:$C$503,"SHORT"))</f>
        <v/>
      </c>
      <c r="D365" s="21">
        <f>IF($A365="","",$B365+$C365)</f>
        <v/>
      </c>
      <c r="E365" s="21">
        <f>IF($A365="","",SUMIFS('Trade Log'!$L$4:$L$503,'Trade Log'!$G$4:$G$503,$A365,'Trade Log'!$C$4:$C$503,"LONG"))</f>
        <v/>
      </c>
      <c r="F365" s="21">
        <f>IF($A365="","",SUMIFS('Trade Log'!$L$4:$L$503,'Trade Log'!$G$4:$G$503,$A365,'Trade Log'!$C$4:$C$503,"SHORT"))</f>
        <v/>
      </c>
      <c r="G365" s="21">
        <f>IF($A365="","",$E365+$F365)</f>
        <v/>
      </c>
    </row>
    <row r="366">
      <c r="A366" s="28">
        <f>IF(A365="","",A365+1)</f>
        <v/>
      </c>
      <c r="B366" s="21">
        <f>IF($A366="","",SUMIFS('Trade Log'!$I$4:$I$503,'Trade Log'!$G$4:$G$503,$A366,'Trade Log'!$C$4:$C$503,"LONG"))</f>
        <v/>
      </c>
      <c r="C366" s="21">
        <f>IF($A366="","",SUMIFS('Trade Log'!$I$4:$I$503,'Trade Log'!$G$4:$G$503,$A366,'Trade Log'!$C$4:$C$503,"SHORT"))</f>
        <v/>
      </c>
      <c r="D366" s="21">
        <f>IF($A366="","",$B366+$C366)</f>
        <v/>
      </c>
      <c r="E366" s="21">
        <f>IF($A366="","",SUMIFS('Trade Log'!$L$4:$L$503,'Trade Log'!$G$4:$G$503,$A366,'Trade Log'!$C$4:$C$503,"LONG"))</f>
        <v/>
      </c>
      <c r="F366" s="21">
        <f>IF($A366="","",SUMIFS('Trade Log'!$L$4:$L$503,'Trade Log'!$G$4:$G$503,$A366,'Trade Log'!$C$4:$C$503,"SHORT"))</f>
        <v/>
      </c>
      <c r="G366" s="21">
        <f>IF($A366="","",$E366+$F366)</f>
        <v/>
      </c>
    </row>
    <row r="367">
      <c r="A367" s="28">
        <f>IF(A366="","",A366+1)</f>
        <v/>
      </c>
      <c r="B367" s="21">
        <f>IF($A367="","",SUMIFS('Trade Log'!$I$4:$I$503,'Trade Log'!$G$4:$G$503,$A367,'Trade Log'!$C$4:$C$503,"LONG"))</f>
        <v/>
      </c>
      <c r="C367" s="21">
        <f>IF($A367="","",SUMIFS('Trade Log'!$I$4:$I$503,'Trade Log'!$G$4:$G$503,$A367,'Trade Log'!$C$4:$C$503,"SHORT"))</f>
        <v/>
      </c>
      <c r="D367" s="21">
        <f>IF($A367="","",$B367+$C367)</f>
        <v/>
      </c>
      <c r="E367" s="21">
        <f>IF($A367="","",SUMIFS('Trade Log'!$L$4:$L$503,'Trade Log'!$G$4:$G$503,$A367,'Trade Log'!$C$4:$C$503,"LONG"))</f>
        <v/>
      </c>
      <c r="F367" s="21">
        <f>IF($A367="","",SUMIFS('Trade Log'!$L$4:$L$503,'Trade Log'!$G$4:$G$503,$A367,'Trade Log'!$C$4:$C$503,"SHORT"))</f>
        <v/>
      </c>
      <c r="G367" s="21">
        <f>IF($A367="","",$E367+$F367)</f>
        <v/>
      </c>
    </row>
    <row r="368">
      <c r="A368" s="28">
        <f>IF(A367="","",A367+1)</f>
        <v/>
      </c>
      <c r="B368" s="21">
        <f>IF($A368="","",SUMIFS('Trade Log'!$I$4:$I$503,'Trade Log'!$G$4:$G$503,$A368,'Trade Log'!$C$4:$C$503,"LONG"))</f>
        <v/>
      </c>
      <c r="C368" s="21">
        <f>IF($A368="","",SUMIFS('Trade Log'!$I$4:$I$503,'Trade Log'!$G$4:$G$503,$A368,'Trade Log'!$C$4:$C$503,"SHORT"))</f>
        <v/>
      </c>
      <c r="D368" s="21">
        <f>IF($A368="","",$B368+$C368)</f>
        <v/>
      </c>
      <c r="E368" s="21">
        <f>IF($A368="","",SUMIFS('Trade Log'!$L$4:$L$503,'Trade Log'!$G$4:$G$503,$A368,'Trade Log'!$C$4:$C$503,"LONG"))</f>
        <v/>
      </c>
      <c r="F368" s="21">
        <f>IF($A368="","",SUMIFS('Trade Log'!$L$4:$L$503,'Trade Log'!$G$4:$G$503,$A368,'Trade Log'!$C$4:$C$503,"SHORT"))</f>
        <v/>
      </c>
      <c r="G368" s="21">
        <f>IF($A368="","",$E368+$F368)</f>
        <v/>
      </c>
    </row>
    <row r="369">
      <c r="A369" s="28">
        <f>IF(A368="","",A368+1)</f>
        <v/>
      </c>
      <c r="B369" s="21">
        <f>IF($A369="","",SUMIFS('Trade Log'!$I$4:$I$503,'Trade Log'!$G$4:$G$503,$A369,'Trade Log'!$C$4:$C$503,"LONG"))</f>
        <v/>
      </c>
      <c r="C369" s="21">
        <f>IF($A369="","",SUMIFS('Trade Log'!$I$4:$I$503,'Trade Log'!$G$4:$G$503,$A369,'Trade Log'!$C$4:$C$503,"SHORT"))</f>
        <v/>
      </c>
      <c r="D369" s="21">
        <f>IF($A369="","",$B369+$C369)</f>
        <v/>
      </c>
      <c r="E369" s="21">
        <f>IF($A369="","",SUMIFS('Trade Log'!$L$4:$L$503,'Trade Log'!$G$4:$G$503,$A369,'Trade Log'!$C$4:$C$503,"LONG"))</f>
        <v/>
      </c>
      <c r="F369" s="21">
        <f>IF($A369="","",SUMIFS('Trade Log'!$L$4:$L$503,'Trade Log'!$G$4:$G$503,$A369,'Trade Log'!$C$4:$C$503,"SHORT"))</f>
        <v/>
      </c>
      <c r="G369" s="21">
        <f>IF($A369="","",$E369+$F369)</f>
        <v/>
      </c>
    </row>
    <row r="370">
      <c r="A370" s="28">
        <f>IF(A369="","",A369+1)</f>
        <v/>
      </c>
      <c r="B370" s="21">
        <f>IF($A370="","",SUMIFS('Trade Log'!$I$4:$I$503,'Trade Log'!$G$4:$G$503,$A370,'Trade Log'!$C$4:$C$503,"LONG"))</f>
        <v/>
      </c>
      <c r="C370" s="21">
        <f>IF($A370="","",SUMIFS('Trade Log'!$I$4:$I$503,'Trade Log'!$G$4:$G$503,$A370,'Trade Log'!$C$4:$C$503,"SHORT"))</f>
        <v/>
      </c>
      <c r="D370" s="21">
        <f>IF($A370="","",$B370+$C370)</f>
        <v/>
      </c>
      <c r="E370" s="21">
        <f>IF($A370="","",SUMIFS('Trade Log'!$L$4:$L$503,'Trade Log'!$G$4:$G$503,$A370,'Trade Log'!$C$4:$C$503,"LONG"))</f>
        <v/>
      </c>
      <c r="F370" s="21">
        <f>IF($A370="","",SUMIFS('Trade Log'!$L$4:$L$503,'Trade Log'!$G$4:$G$503,$A370,'Trade Log'!$C$4:$C$503,"SHORT"))</f>
        <v/>
      </c>
      <c r="G370" s="21">
        <f>IF($A370="","",$E370+$F370)</f>
        <v/>
      </c>
    </row>
    <row r="371">
      <c r="A371" s="28">
        <f>IF(A370="","",A370+1)</f>
        <v/>
      </c>
      <c r="B371" s="21">
        <f>IF($A371="","",SUMIFS('Trade Log'!$I$4:$I$503,'Trade Log'!$G$4:$G$503,$A371,'Trade Log'!$C$4:$C$503,"LONG"))</f>
        <v/>
      </c>
      <c r="C371" s="21">
        <f>IF($A371="","",SUMIFS('Trade Log'!$I$4:$I$503,'Trade Log'!$G$4:$G$503,$A371,'Trade Log'!$C$4:$C$503,"SHORT"))</f>
        <v/>
      </c>
      <c r="D371" s="21">
        <f>IF($A371="","",$B371+$C371)</f>
        <v/>
      </c>
      <c r="E371" s="21">
        <f>IF($A371="","",SUMIFS('Trade Log'!$L$4:$L$503,'Trade Log'!$G$4:$G$503,$A371,'Trade Log'!$C$4:$C$503,"LONG"))</f>
        <v/>
      </c>
      <c r="F371" s="21">
        <f>IF($A371="","",SUMIFS('Trade Log'!$L$4:$L$503,'Trade Log'!$G$4:$G$503,$A371,'Trade Log'!$C$4:$C$503,"SHORT"))</f>
        <v/>
      </c>
      <c r="G371" s="21">
        <f>IF($A371="","",$E371+$F371)</f>
        <v/>
      </c>
    </row>
    <row r="372">
      <c r="A372" s="28">
        <f>IF(A371="","",A371+1)</f>
        <v/>
      </c>
      <c r="B372" s="21">
        <f>IF($A372="","",SUMIFS('Trade Log'!$I$4:$I$503,'Trade Log'!$G$4:$G$503,$A372,'Trade Log'!$C$4:$C$503,"LONG"))</f>
        <v/>
      </c>
      <c r="C372" s="21">
        <f>IF($A372="","",SUMIFS('Trade Log'!$I$4:$I$503,'Trade Log'!$G$4:$G$503,$A372,'Trade Log'!$C$4:$C$503,"SHORT"))</f>
        <v/>
      </c>
      <c r="D372" s="21">
        <f>IF($A372="","",$B372+$C372)</f>
        <v/>
      </c>
      <c r="E372" s="21">
        <f>IF($A372="","",SUMIFS('Trade Log'!$L$4:$L$503,'Trade Log'!$G$4:$G$503,$A372,'Trade Log'!$C$4:$C$503,"LONG"))</f>
        <v/>
      </c>
      <c r="F372" s="21">
        <f>IF($A372="","",SUMIFS('Trade Log'!$L$4:$L$503,'Trade Log'!$G$4:$G$503,$A372,'Trade Log'!$C$4:$C$503,"SHORT"))</f>
        <v/>
      </c>
      <c r="G372" s="21">
        <f>IF($A372="","",$E372+$F372)</f>
        <v/>
      </c>
    </row>
    <row r="373">
      <c r="A373" s="28">
        <f>IF(A372="","",A372+1)</f>
        <v/>
      </c>
      <c r="B373" s="21">
        <f>IF($A373="","",SUMIFS('Trade Log'!$I$4:$I$503,'Trade Log'!$G$4:$G$503,$A373,'Trade Log'!$C$4:$C$503,"LONG"))</f>
        <v/>
      </c>
      <c r="C373" s="21">
        <f>IF($A373="","",SUMIFS('Trade Log'!$I$4:$I$503,'Trade Log'!$G$4:$G$503,$A373,'Trade Log'!$C$4:$C$503,"SHORT"))</f>
        <v/>
      </c>
      <c r="D373" s="21">
        <f>IF($A373="","",$B373+$C373)</f>
        <v/>
      </c>
      <c r="E373" s="21">
        <f>IF($A373="","",SUMIFS('Trade Log'!$L$4:$L$503,'Trade Log'!$G$4:$G$503,$A373,'Trade Log'!$C$4:$C$503,"LONG"))</f>
        <v/>
      </c>
      <c r="F373" s="21">
        <f>IF($A373="","",SUMIFS('Trade Log'!$L$4:$L$503,'Trade Log'!$G$4:$G$503,$A373,'Trade Log'!$C$4:$C$503,"SHORT"))</f>
        <v/>
      </c>
      <c r="G373" s="21">
        <f>IF($A373="","",$E373+$F373)</f>
        <v/>
      </c>
    </row>
    <row r="374">
      <c r="A374" s="28">
        <f>IF(A373="","",A373+1)</f>
        <v/>
      </c>
      <c r="B374" s="21">
        <f>IF($A374="","",SUMIFS('Trade Log'!$I$4:$I$503,'Trade Log'!$G$4:$G$503,$A374,'Trade Log'!$C$4:$C$503,"LONG"))</f>
        <v/>
      </c>
      <c r="C374" s="21">
        <f>IF($A374="","",SUMIFS('Trade Log'!$I$4:$I$503,'Trade Log'!$G$4:$G$503,$A374,'Trade Log'!$C$4:$C$503,"SHORT"))</f>
        <v/>
      </c>
      <c r="D374" s="21">
        <f>IF($A374="","",$B374+$C374)</f>
        <v/>
      </c>
      <c r="E374" s="21">
        <f>IF($A374="","",SUMIFS('Trade Log'!$L$4:$L$503,'Trade Log'!$G$4:$G$503,$A374,'Trade Log'!$C$4:$C$503,"LONG"))</f>
        <v/>
      </c>
      <c r="F374" s="21">
        <f>IF($A374="","",SUMIFS('Trade Log'!$L$4:$L$503,'Trade Log'!$G$4:$G$503,$A374,'Trade Log'!$C$4:$C$503,"SHORT"))</f>
        <v/>
      </c>
      <c r="G374" s="21">
        <f>IF($A374="","",$E374+$F374)</f>
        <v/>
      </c>
    </row>
    <row r="375">
      <c r="A375" s="28">
        <f>IF(A374="","",A374+1)</f>
        <v/>
      </c>
      <c r="B375" s="21">
        <f>IF($A375="","",SUMIFS('Trade Log'!$I$4:$I$503,'Trade Log'!$G$4:$G$503,$A375,'Trade Log'!$C$4:$C$503,"LONG"))</f>
        <v/>
      </c>
      <c r="C375" s="21">
        <f>IF($A375="","",SUMIFS('Trade Log'!$I$4:$I$503,'Trade Log'!$G$4:$G$503,$A375,'Trade Log'!$C$4:$C$503,"SHORT"))</f>
        <v/>
      </c>
      <c r="D375" s="21">
        <f>IF($A375="","",$B375+$C375)</f>
        <v/>
      </c>
      <c r="E375" s="21">
        <f>IF($A375="","",SUMIFS('Trade Log'!$L$4:$L$503,'Trade Log'!$G$4:$G$503,$A375,'Trade Log'!$C$4:$C$503,"LONG"))</f>
        <v/>
      </c>
      <c r="F375" s="21">
        <f>IF($A375="","",SUMIFS('Trade Log'!$L$4:$L$503,'Trade Log'!$G$4:$G$503,$A375,'Trade Log'!$C$4:$C$503,"SHORT"))</f>
        <v/>
      </c>
      <c r="G375" s="21">
        <f>IF($A375="","",$E375+$F375)</f>
        <v/>
      </c>
    </row>
    <row r="376">
      <c r="A376" s="28">
        <f>IF(A375="","",A375+1)</f>
        <v/>
      </c>
      <c r="B376" s="21">
        <f>IF($A376="","",SUMIFS('Trade Log'!$I$4:$I$503,'Trade Log'!$G$4:$G$503,$A376,'Trade Log'!$C$4:$C$503,"LONG"))</f>
        <v/>
      </c>
      <c r="C376" s="21">
        <f>IF($A376="","",SUMIFS('Trade Log'!$I$4:$I$503,'Trade Log'!$G$4:$G$503,$A376,'Trade Log'!$C$4:$C$503,"SHORT"))</f>
        <v/>
      </c>
      <c r="D376" s="21">
        <f>IF($A376="","",$B376+$C376)</f>
        <v/>
      </c>
      <c r="E376" s="21">
        <f>IF($A376="","",SUMIFS('Trade Log'!$L$4:$L$503,'Trade Log'!$G$4:$G$503,$A376,'Trade Log'!$C$4:$C$503,"LONG"))</f>
        <v/>
      </c>
      <c r="F376" s="21">
        <f>IF($A376="","",SUMIFS('Trade Log'!$L$4:$L$503,'Trade Log'!$G$4:$G$503,$A376,'Trade Log'!$C$4:$C$503,"SHORT"))</f>
        <v/>
      </c>
      <c r="G376" s="21">
        <f>IF($A376="","",$E376+$F376)</f>
        <v/>
      </c>
    </row>
    <row r="377">
      <c r="A377" s="28">
        <f>IF(A376="","",A376+1)</f>
        <v/>
      </c>
      <c r="B377" s="21">
        <f>IF($A377="","",SUMIFS('Trade Log'!$I$4:$I$503,'Trade Log'!$G$4:$G$503,$A377,'Trade Log'!$C$4:$C$503,"LONG"))</f>
        <v/>
      </c>
      <c r="C377" s="21">
        <f>IF($A377="","",SUMIFS('Trade Log'!$I$4:$I$503,'Trade Log'!$G$4:$G$503,$A377,'Trade Log'!$C$4:$C$503,"SHORT"))</f>
        <v/>
      </c>
      <c r="D377" s="21">
        <f>IF($A377="","",$B377+$C377)</f>
        <v/>
      </c>
      <c r="E377" s="21">
        <f>IF($A377="","",SUMIFS('Trade Log'!$L$4:$L$503,'Trade Log'!$G$4:$G$503,$A377,'Trade Log'!$C$4:$C$503,"LONG"))</f>
        <v/>
      </c>
      <c r="F377" s="21">
        <f>IF($A377="","",SUMIFS('Trade Log'!$L$4:$L$503,'Trade Log'!$G$4:$G$503,$A377,'Trade Log'!$C$4:$C$503,"SHORT"))</f>
        <v/>
      </c>
      <c r="G377" s="21">
        <f>IF($A377="","",$E377+$F377)</f>
        <v/>
      </c>
    </row>
    <row r="378">
      <c r="A378" s="28">
        <f>IF(A377="","",A377+1)</f>
        <v/>
      </c>
      <c r="B378" s="21">
        <f>IF($A378="","",SUMIFS('Trade Log'!$I$4:$I$503,'Trade Log'!$G$4:$G$503,$A378,'Trade Log'!$C$4:$C$503,"LONG"))</f>
        <v/>
      </c>
      <c r="C378" s="21">
        <f>IF($A378="","",SUMIFS('Trade Log'!$I$4:$I$503,'Trade Log'!$G$4:$G$503,$A378,'Trade Log'!$C$4:$C$503,"SHORT"))</f>
        <v/>
      </c>
      <c r="D378" s="21">
        <f>IF($A378="","",$B378+$C378)</f>
        <v/>
      </c>
      <c r="E378" s="21">
        <f>IF($A378="","",SUMIFS('Trade Log'!$L$4:$L$503,'Trade Log'!$G$4:$G$503,$A378,'Trade Log'!$C$4:$C$503,"LONG"))</f>
        <v/>
      </c>
      <c r="F378" s="21">
        <f>IF($A378="","",SUMIFS('Trade Log'!$L$4:$L$503,'Trade Log'!$G$4:$G$503,$A378,'Trade Log'!$C$4:$C$503,"SHORT"))</f>
        <v/>
      </c>
      <c r="G378" s="21">
        <f>IF($A378="","",$E378+$F378)</f>
        <v/>
      </c>
    </row>
    <row r="379">
      <c r="A379" s="28">
        <f>IF(A378="","",A378+1)</f>
        <v/>
      </c>
      <c r="B379" s="21">
        <f>IF($A379="","",SUMIFS('Trade Log'!$I$4:$I$503,'Trade Log'!$G$4:$G$503,$A379,'Trade Log'!$C$4:$C$503,"LONG"))</f>
        <v/>
      </c>
      <c r="C379" s="21">
        <f>IF($A379="","",SUMIFS('Trade Log'!$I$4:$I$503,'Trade Log'!$G$4:$G$503,$A379,'Trade Log'!$C$4:$C$503,"SHORT"))</f>
        <v/>
      </c>
      <c r="D379" s="21">
        <f>IF($A379="","",$B379+$C379)</f>
        <v/>
      </c>
      <c r="E379" s="21">
        <f>IF($A379="","",SUMIFS('Trade Log'!$L$4:$L$503,'Trade Log'!$G$4:$G$503,$A379,'Trade Log'!$C$4:$C$503,"LONG"))</f>
        <v/>
      </c>
      <c r="F379" s="21">
        <f>IF($A379="","",SUMIFS('Trade Log'!$L$4:$L$503,'Trade Log'!$G$4:$G$503,$A379,'Trade Log'!$C$4:$C$503,"SHORT"))</f>
        <v/>
      </c>
      <c r="G379" s="21">
        <f>IF($A379="","",$E379+$F379)</f>
        <v/>
      </c>
    </row>
    <row r="380">
      <c r="A380" s="28">
        <f>IF(A379="","",A379+1)</f>
        <v/>
      </c>
      <c r="B380" s="21">
        <f>IF($A380="","",SUMIFS('Trade Log'!$I$4:$I$503,'Trade Log'!$G$4:$G$503,$A380,'Trade Log'!$C$4:$C$503,"LONG"))</f>
        <v/>
      </c>
      <c r="C380" s="21">
        <f>IF($A380="","",SUMIFS('Trade Log'!$I$4:$I$503,'Trade Log'!$G$4:$G$503,$A380,'Trade Log'!$C$4:$C$503,"SHORT"))</f>
        <v/>
      </c>
      <c r="D380" s="21">
        <f>IF($A380="","",$B380+$C380)</f>
        <v/>
      </c>
      <c r="E380" s="21">
        <f>IF($A380="","",SUMIFS('Trade Log'!$L$4:$L$503,'Trade Log'!$G$4:$G$503,$A380,'Trade Log'!$C$4:$C$503,"LONG"))</f>
        <v/>
      </c>
      <c r="F380" s="21">
        <f>IF($A380="","",SUMIFS('Trade Log'!$L$4:$L$503,'Trade Log'!$G$4:$G$503,$A380,'Trade Log'!$C$4:$C$503,"SHORT"))</f>
        <v/>
      </c>
      <c r="G380" s="21">
        <f>IF($A380="","",$E380+$F380)</f>
        <v/>
      </c>
    </row>
    <row r="381">
      <c r="A381" s="28">
        <f>IF(A380="","",A380+1)</f>
        <v/>
      </c>
      <c r="B381" s="21">
        <f>IF($A381="","",SUMIFS('Trade Log'!$I$4:$I$503,'Trade Log'!$G$4:$G$503,$A381,'Trade Log'!$C$4:$C$503,"LONG"))</f>
        <v/>
      </c>
      <c r="C381" s="21">
        <f>IF($A381="","",SUMIFS('Trade Log'!$I$4:$I$503,'Trade Log'!$G$4:$G$503,$A381,'Trade Log'!$C$4:$C$503,"SHORT"))</f>
        <v/>
      </c>
      <c r="D381" s="21">
        <f>IF($A381="","",$B381+$C381)</f>
        <v/>
      </c>
      <c r="E381" s="21">
        <f>IF($A381="","",SUMIFS('Trade Log'!$L$4:$L$503,'Trade Log'!$G$4:$G$503,$A381,'Trade Log'!$C$4:$C$503,"LONG"))</f>
        <v/>
      </c>
      <c r="F381" s="21">
        <f>IF($A381="","",SUMIFS('Trade Log'!$L$4:$L$503,'Trade Log'!$G$4:$G$503,$A381,'Trade Log'!$C$4:$C$503,"SHORT"))</f>
        <v/>
      </c>
      <c r="G381" s="21">
        <f>IF($A381="","",$E381+$F381)</f>
        <v/>
      </c>
    </row>
    <row r="382">
      <c r="A382" s="28">
        <f>IF(A381="","",A381+1)</f>
        <v/>
      </c>
      <c r="B382" s="21">
        <f>IF($A382="","",SUMIFS('Trade Log'!$I$4:$I$503,'Trade Log'!$G$4:$G$503,$A382,'Trade Log'!$C$4:$C$503,"LONG"))</f>
        <v/>
      </c>
      <c r="C382" s="21">
        <f>IF($A382="","",SUMIFS('Trade Log'!$I$4:$I$503,'Trade Log'!$G$4:$G$503,$A382,'Trade Log'!$C$4:$C$503,"SHORT"))</f>
        <v/>
      </c>
      <c r="D382" s="21">
        <f>IF($A382="","",$B382+$C382)</f>
        <v/>
      </c>
      <c r="E382" s="21">
        <f>IF($A382="","",SUMIFS('Trade Log'!$L$4:$L$503,'Trade Log'!$G$4:$G$503,$A382,'Trade Log'!$C$4:$C$503,"LONG"))</f>
        <v/>
      </c>
      <c r="F382" s="21">
        <f>IF($A382="","",SUMIFS('Trade Log'!$L$4:$L$503,'Trade Log'!$G$4:$G$503,$A382,'Trade Log'!$C$4:$C$503,"SHORT"))</f>
        <v/>
      </c>
      <c r="G382" s="21">
        <f>IF($A382="","",$E382+$F382)</f>
        <v/>
      </c>
    </row>
    <row r="383">
      <c r="A383" s="28">
        <f>IF(A382="","",A382+1)</f>
        <v/>
      </c>
      <c r="B383" s="21">
        <f>IF($A383="","",SUMIFS('Trade Log'!$I$4:$I$503,'Trade Log'!$G$4:$G$503,$A383,'Trade Log'!$C$4:$C$503,"LONG"))</f>
        <v/>
      </c>
      <c r="C383" s="21">
        <f>IF($A383="","",SUMIFS('Trade Log'!$I$4:$I$503,'Trade Log'!$G$4:$G$503,$A383,'Trade Log'!$C$4:$C$503,"SHORT"))</f>
        <v/>
      </c>
      <c r="D383" s="21">
        <f>IF($A383="","",$B383+$C383)</f>
        <v/>
      </c>
      <c r="E383" s="21">
        <f>IF($A383="","",SUMIFS('Trade Log'!$L$4:$L$503,'Trade Log'!$G$4:$G$503,$A383,'Trade Log'!$C$4:$C$503,"LONG"))</f>
        <v/>
      </c>
      <c r="F383" s="21">
        <f>IF($A383="","",SUMIFS('Trade Log'!$L$4:$L$503,'Trade Log'!$G$4:$G$503,$A383,'Trade Log'!$C$4:$C$503,"SHORT"))</f>
        <v/>
      </c>
      <c r="G383" s="21">
        <f>IF($A383="","",$E383+$F383)</f>
        <v/>
      </c>
    </row>
    <row r="384">
      <c r="A384" s="28">
        <f>IF(A383="","",A383+1)</f>
        <v/>
      </c>
      <c r="B384" s="21">
        <f>IF($A384="","",SUMIFS('Trade Log'!$I$4:$I$503,'Trade Log'!$G$4:$G$503,$A384,'Trade Log'!$C$4:$C$503,"LONG"))</f>
        <v/>
      </c>
      <c r="C384" s="21">
        <f>IF($A384="","",SUMIFS('Trade Log'!$I$4:$I$503,'Trade Log'!$G$4:$G$503,$A384,'Trade Log'!$C$4:$C$503,"SHORT"))</f>
        <v/>
      </c>
      <c r="D384" s="21">
        <f>IF($A384="","",$B384+$C384)</f>
        <v/>
      </c>
      <c r="E384" s="21">
        <f>IF($A384="","",SUMIFS('Trade Log'!$L$4:$L$503,'Trade Log'!$G$4:$G$503,$A384,'Trade Log'!$C$4:$C$503,"LONG"))</f>
        <v/>
      </c>
      <c r="F384" s="21">
        <f>IF($A384="","",SUMIFS('Trade Log'!$L$4:$L$503,'Trade Log'!$G$4:$G$503,$A384,'Trade Log'!$C$4:$C$503,"SHORT"))</f>
        <v/>
      </c>
      <c r="G384" s="21">
        <f>IF($A384="","",$E384+$F384)</f>
        <v/>
      </c>
    </row>
    <row r="385">
      <c r="A385" s="28">
        <f>IF(A384="","",A384+1)</f>
        <v/>
      </c>
      <c r="B385" s="21">
        <f>IF($A385="","",SUMIFS('Trade Log'!$I$4:$I$503,'Trade Log'!$G$4:$G$503,$A385,'Trade Log'!$C$4:$C$503,"LONG"))</f>
        <v/>
      </c>
      <c r="C385" s="21">
        <f>IF($A385="","",SUMIFS('Trade Log'!$I$4:$I$503,'Trade Log'!$G$4:$G$503,$A385,'Trade Log'!$C$4:$C$503,"SHORT"))</f>
        <v/>
      </c>
      <c r="D385" s="21">
        <f>IF($A385="","",$B385+$C385)</f>
        <v/>
      </c>
      <c r="E385" s="21">
        <f>IF($A385="","",SUMIFS('Trade Log'!$L$4:$L$503,'Trade Log'!$G$4:$G$503,$A385,'Trade Log'!$C$4:$C$503,"LONG"))</f>
        <v/>
      </c>
      <c r="F385" s="21">
        <f>IF($A385="","",SUMIFS('Trade Log'!$L$4:$L$503,'Trade Log'!$G$4:$G$503,$A385,'Trade Log'!$C$4:$C$503,"SHORT"))</f>
        <v/>
      </c>
      <c r="G385" s="21">
        <f>IF($A385="","",$E385+$F385)</f>
        <v/>
      </c>
    </row>
    <row r="386">
      <c r="A386" s="28">
        <f>IF(A385="","",A385+1)</f>
        <v/>
      </c>
      <c r="B386" s="21">
        <f>IF($A386="","",SUMIFS('Trade Log'!$I$4:$I$503,'Trade Log'!$G$4:$G$503,$A386,'Trade Log'!$C$4:$C$503,"LONG"))</f>
        <v/>
      </c>
      <c r="C386" s="21">
        <f>IF($A386="","",SUMIFS('Trade Log'!$I$4:$I$503,'Trade Log'!$G$4:$G$503,$A386,'Trade Log'!$C$4:$C$503,"SHORT"))</f>
        <v/>
      </c>
      <c r="D386" s="21">
        <f>IF($A386="","",$B386+$C386)</f>
        <v/>
      </c>
      <c r="E386" s="21">
        <f>IF($A386="","",SUMIFS('Trade Log'!$L$4:$L$503,'Trade Log'!$G$4:$G$503,$A386,'Trade Log'!$C$4:$C$503,"LONG"))</f>
        <v/>
      </c>
      <c r="F386" s="21">
        <f>IF($A386="","",SUMIFS('Trade Log'!$L$4:$L$503,'Trade Log'!$G$4:$G$503,$A386,'Trade Log'!$C$4:$C$503,"SHORT"))</f>
        <v/>
      </c>
      <c r="G386" s="21">
        <f>IF($A386="","",$E386+$F386)</f>
        <v/>
      </c>
    </row>
    <row r="387">
      <c r="A387" s="28">
        <f>IF(A386="","",A386+1)</f>
        <v/>
      </c>
      <c r="B387" s="21">
        <f>IF($A387="","",SUMIFS('Trade Log'!$I$4:$I$503,'Trade Log'!$G$4:$G$503,$A387,'Trade Log'!$C$4:$C$503,"LONG"))</f>
        <v/>
      </c>
      <c r="C387" s="21">
        <f>IF($A387="","",SUMIFS('Trade Log'!$I$4:$I$503,'Trade Log'!$G$4:$G$503,$A387,'Trade Log'!$C$4:$C$503,"SHORT"))</f>
        <v/>
      </c>
      <c r="D387" s="21">
        <f>IF($A387="","",$B387+$C387)</f>
        <v/>
      </c>
      <c r="E387" s="21">
        <f>IF($A387="","",SUMIFS('Trade Log'!$L$4:$L$503,'Trade Log'!$G$4:$G$503,$A387,'Trade Log'!$C$4:$C$503,"LONG"))</f>
        <v/>
      </c>
      <c r="F387" s="21">
        <f>IF($A387="","",SUMIFS('Trade Log'!$L$4:$L$503,'Trade Log'!$G$4:$G$503,$A387,'Trade Log'!$C$4:$C$503,"SHORT"))</f>
        <v/>
      </c>
      <c r="G387" s="21">
        <f>IF($A387="","",$E387+$F387)</f>
        <v/>
      </c>
    </row>
    <row r="388">
      <c r="A388" s="28">
        <f>IF(A387="","",A387+1)</f>
        <v/>
      </c>
      <c r="B388" s="21">
        <f>IF($A388="","",SUMIFS('Trade Log'!$I$4:$I$503,'Trade Log'!$G$4:$G$503,$A388,'Trade Log'!$C$4:$C$503,"LONG"))</f>
        <v/>
      </c>
      <c r="C388" s="21">
        <f>IF($A388="","",SUMIFS('Trade Log'!$I$4:$I$503,'Trade Log'!$G$4:$G$503,$A388,'Trade Log'!$C$4:$C$503,"SHORT"))</f>
        <v/>
      </c>
      <c r="D388" s="21">
        <f>IF($A388="","",$B388+$C388)</f>
        <v/>
      </c>
      <c r="E388" s="21">
        <f>IF($A388="","",SUMIFS('Trade Log'!$L$4:$L$503,'Trade Log'!$G$4:$G$503,$A388,'Trade Log'!$C$4:$C$503,"LONG"))</f>
        <v/>
      </c>
      <c r="F388" s="21">
        <f>IF($A388="","",SUMIFS('Trade Log'!$L$4:$L$503,'Trade Log'!$G$4:$G$503,$A388,'Trade Log'!$C$4:$C$503,"SHORT"))</f>
        <v/>
      </c>
      <c r="G388" s="21">
        <f>IF($A388="","",$E388+$F388)</f>
        <v/>
      </c>
    </row>
    <row r="389">
      <c r="A389" s="28">
        <f>IF(A388="","",A388+1)</f>
        <v/>
      </c>
      <c r="B389" s="21">
        <f>IF($A389="","",SUMIFS('Trade Log'!$I$4:$I$503,'Trade Log'!$G$4:$G$503,$A389,'Trade Log'!$C$4:$C$503,"LONG"))</f>
        <v/>
      </c>
      <c r="C389" s="21">
        <f>IF($A389="","",SUMIFS('Trade Log'!$I$4:$I$503,'Trade Log'!$G$4:$G$503,$A389,'Trade Log'!$C$4:$C$503,"SHORT"))</f>
        <v/>
      </c>
      <c r="D389" s="21">
        <f>IF($A389="","",$B389+$C389)</f>
        <v/>
      </c>
      <c r="E389" s="21">
        <f>IF($A389="","",SUMIFS('Trade Log'!$L$4:$L$503,'Trade Log'!$G$4:$G$503,$A389,'Trade Log'!$C$4:$C$503,"LONG"))</f>
        <v/>
      </c>
      <c r="F389" s="21">
        <f>IF($A389="","",SUMIFS('Trade Log'!$L$4:$L$503,'Trade Log'!$G$4:$G$503,$A389,'Trade Log'!$C$4:$C$503,"SHORT"))</f>
        <v/>
      </c>
      <c r="G389" s="21">
        <f>IF($A389="","",$E389+$F389)</f>
        <v/>
      </c>
    </row>
    <row r="390">
      <c r="A390" s="28">
        <f>IF(A389="","",A389+1)</f>
        <v/>
      </c>
      <c r="B390" s="21">
        <f>IF($A390="","",SUMIFS('Trade Log'!$I$4:$I$503,'Trade Log'!$G$4:$G$503,$A390,'Trade Log'!$C$4:$C$503,"LONG"))</f>
        <v/>
      </c>
      <c r="C390" s="21">
        <f>IF($A390="","",SUMIFS('Trade Log'!$I$4:$I$503,'Trade Log'!$G$4:$G$503,$A390,'Trade Log'!$C$4:$C$503,"SHORT"))</f>
        <v/>
      </c>
      <c r="D390" s="21">
        <f>IF($A390="","",$B390+$C390)</f>
        <v/>
      </c>
      <c r="E390" s="21">
        <f>IF($A390="","",SUMIFS('Trade Log'!$L$4:$L$503,'Trade Log'!$G$4:$G$503,$A390,'Trade Log'!$C$4:$C$503,"LONG"))</f>
        <v/>
      </c>
      <c r="F390" s="21">
        <f>IF($A390="","",SUMIFS('Trade Log'!$L$4:$L$503,'Trade Log'!$G$4:$G$503,$A390,'Trade Log'!$C$4:$C$503,"SHORT"))</f>
        <v/>
      </c>
      <c r="G390" s="21">
        <f>IF($A390="","",$E390+$F390)</f>
        <v/>
      </c>
    </row>
    <row r="391">
      <c r="A391" s="28">
        <f>IF(A390="","",A390+1)</f>
        <v/>
      </c>
      <c r="B391" s="21">
        <f>IF($A391="","",SUMIFS('Trade Log'!$I$4:$I$503,'Trade Log'!$G$4:$G$503,$A391,'Trade Log'!$C$4:$C$503,"LONG"))</f>
        <v/>
      </c>
      <c r="C391" s="21">
        <f>IF($A391="","",SUMIFS('Trade Log'!$I$4:$I$503,'Trade Log'!$G$4:$G$503,$A391,'Trade Log'!$C$4:$C$503,"SHORT"))</f>
        <v/>
      </c>
      <c r="D391" s="21">
        <f>IF($A391="","",$B391+$C391)</f>
        <v/>
      </c>
      <c r="E391" s="21">
        <f>IF($A391="","",SUMIFS('Trade Log'!$L$4:$L$503,'Trade Log'!$G$4:$G$503,$A391,'Trade Log'!$C$4:$C$503,"LONG"))</f>
        <v/>
      </c>
      <c r="F391" s="21">
        <f>IF($A391="","",SUMIFS('Trade Log'!$L$4:$L$503,'Trade Log'!$G$4:$G$503,$A391,'Trade Log'!$C$4:$C$503,"SHORT"))</f>
        <v/>
      </c>
      <c r="G391" s="21">
        <f>IF($A391="","",$E391+$F391)</f>
        <v/>
      </c>
    </row>
    <row r="392">
      <c r="A392" s="28">
        <f>IF(A391="","",A391+1)</f>
        <v/>
      </c>
      <c r="B392" s="21">
        <f>IF($A392="","",SUMIFS('Trade Log'!$I$4:$I$503,'Trade Log'!$G$4:$G$503,$A392,'Trade Log'!$C$4:$C$503,"LONG"))</f>
        <v/>
      </c>
      <c r="C392" s="21">
        <f>IF($A392="","",SUMIFS('Trade Log'!$I$4:$I$503,'Trade Log'!$G$4:$G$503,$A392,'Trade Log'!$C$4:$C$503,"SHORT"))</f>
        <v/>
      </c>
      <c r="D392" s="21">
        <f>IF($A392="","",$B392+$C392)</f>
        <v/>
      </c>
      <c r="E392" s="21">
        <f>IF($A392="","",SUMIFS('Trade Log'!$L$4:$L$503,'Trade Log'!$G$4:$G$503,$A392,'Trade Log'!$C$4:$C$503,"LONG"))</f>
        <v/>
      </c>
      <c r="F392" s="21">
        <f>IF($A392="","",SUMIFS('Trade Log'!$L$4:$L$503,'Trade Log'!$G$4:$G$503,$A392,'Trade Log'!$C$4:$C$503,"SHORT"))</f>
        <v/>
      </c>
      <c r="G392" s="21">
        <f>IF($A392="","",$E392+$F392)</f>
        <v/>
      </c>
    </row>
    <row r="393">
      <c r="A393" s="28">
        <f>IF(A392="","",A392+1)</f>
        <v/>
      </c>
      <c r="B393" s="21">
        <f>IF($A393="","",SUMIFS('Trade Log'!$I$4:$I$503,'Trade Log'!$G$4:$G$503,$A393,'Trade Log'!$C$4:$C$503,"LONG"))</f>
        <v/>
      </c>
      <c r="C393" s="21">
        <f>IF($A393="","",SUMIFS('Trade Log'!$I$4:$I$503,'Trade Log'!$G$4:$G$503,$A393,'Trade Log'!$C$4:$C$503,"SHORT"))</f>
        <v/>
      </c>
      <c r="D393" s="21">
        <f>IF($A393="","",$B393+$C393)</f>
        <v/>
      </c>
      <c r="E393" s="21">
        <f>IF($A393="","",SUMIFS('Trade Log'!$L$4:$L$503,'Trade Log'!$G$4:$G$503,$A393,'Trade Log'!$C$4:$C$503,"LONG"))</f>
        <v/>
      </c>
      <c r="F393" s="21">
        <f>IF($A393="","",SUMIFS('Trade Log'!$L$4:$L$503,'Trade Log'!$G$4:$G$503,$A393,'Trade Log'!$C$4:$C$503,"SHORT"))</f>
        <v/>
      </c>
      <c r="G393" s="21">
        <f>IF($A393="","",$E393+$F393)</f>
        <v/>
      </c>
    </row>
    <row r="394">
      <c r="A394" s="28">
        <f>IF(A393="","",A393+1)</f>
        <v/>
      </c>
      <c r="B394" s="21">
        <f>IF($A394="","",SUMIFS('Trade Log'!$I$4:$I$503,'Trade Log'!$G$4:$G$503,$A394,'Trade Log'!$C$4:$C$503,"LONG"))</f>
        <v/>
      </c>
      <c r="C394" s="21">
        <f>IF($A394="","",SUMIFS('Trade Log'!$I$4:$I$503,'Trade Log'!$G$4:$G$503,$A394,'Trade Log'!$C$4:$C$503,"SHORT"))</f>
        <v/>
      </c>
      <c r="D394" s="21">
        <f>IF($A394="","",$B394+$C394)</f>
        <v/>
      </c>
      <c r="E394" s="21">
        <f>IF($A394="","",SUMIFS('Trade Log'!$L$4:$L$503,'Trade Log'!$G$4:$G$503,$A394,'Trade Log'!$C$4:$C$503,"LONG"))</f>
        <v/>
      </c>
      <c r="F394" s="21">
        <f>IF($A394="","",SUMIFS('Trade Log'!$L$4:$L$503,'Trade Log'!$G$4:$G$503,$A394,'Trade Log'!$C$4:$C$503,"SHORT"))</f>
        <v/>
      </c>
      <c r="G394" s="21">
        <f>IF($A394="","",$E394+$F394)</f>
        <v/>
      </c>
    </row>
    <row r="395">
      <c r="A395" s="28">
        <f>IF(A394="","",A394+1)</f>
        <v/>
      </c>
      <c r="B395" s="21">
        <f>IF($A395="","",SUMIFS('Trade Log'!$I$4:$I$503,'Trade Log'!$G$4:$G$503,$A395,'Trade Log'!$C$4:$C$503,"LONG"))</f>
        <v/>
      </c>
      <c r="C395" s="21">
        <f>IF($A395="","",SUMIFS('Trade Log'!$I$4:$I$503,'Trade Log'!$G$4:$G$503,$A395,'Trade Log'!$C$4:$C$503,"SHORT"))</f>
        <v/>
      </c>
      <c r="D395" s="21">
        <f>IF($A395="","",$B395+$C395)</f>
        <v/>
      </c>
      <c r="E395" s="21">
        <f>IF($A395="","",SUMIFS('Trade Log'!$L$4:$L$503,'Trade Log'!$G$4:$G$503,$A395,'Trade Log'!$C$4:$C$503,"LONG"))</f>
        <v/>
      </c>
      <c r="F395" s="21">
        <f>IF($A395="","",SUMIFS('Trade Log'!$L$4:$L$503,'Trade Log'!$G$4:$G$503,$A395,'Trade Log'!$C$4:$C$503,"SHORT"))</f>
        <v/>
      </c>
      <c r="G395" s="21">
        <f>IF($A395="","",$E395+$F395)</f>
        <v/>
      </c>
    </row>
    <row r="396">
      <c r="A396" s="28">
        <f>IF(A395="","",A395+1)</f>
        <v/>
      </c>
      <c r="B396" s="21">
        <f>IF($A396="","",SUMIFS('Trade Log'!$I$4:$I$503,'Trade Log'!$G$4:$G$503,$A396,'Trade Log'!$C$4:$C$503,"LONG"))</f>
        <v/>
      </c>
      <c r="C396" s="21">
        <f>IF($A396="","",SUMIFS('Trade Log'!$I$4:$I$503,'Trade Log'!$G$4:$G$503,$A396,'Trade Log'!$C$4:$C$503,"SHORT"))</f>
        <v/>
      </c>
      <c r="D396" s="21">
        <f>IF($A396="","",$B396+$C396)</f>
        <v/>
      </c>
      <c r="E396" s="21">
        <f>IF($A396="","",SUMIFS('Trade Log'!$L$4:$L$503,'Trade Log'!$G$4:$G$503,$A396,'Trade Log'!$C$4:$C$503,"LONG"))</f>
        <v/>
      </c>
      <c r="F396" s="21">
        <f>IF($A396="","",SUMIFS('Trade Log'!$L$4:$L$503,'Trade Log'!$G$4:$G$503,$A396,'Trade Log'!$C$4:$C$503,"SHORT"))</f>
        <v/>
      </c>
      <c r="G396" s="21">
        <f>IF($A396="","",$E396+$F396)</f>
        <v/>
      </c>
    </row>
    <row r="397">
      <c r="A397" s="28">
        <f>IF(A396="","",A396+1)</f>
        <v/>
      </c>
      <c r="B397" s="21">
        <f>IF($A397="","",SUMIFS('Trade Log'!$I$4:$I$503,'Trade Log'!$G$4:$G$503,$A397,'Trade Log'!$C$4:$C$503,"LONG"))</f>
        <v/>
      </c>
      <c r="C397" s="21">
        <f>IF($A397="","",SUMIFS('Trade Log'!$I$4:$I$503,'Trade Log'!$G$4:$G$503,$A397,'Trade Log'!$C$4:$C$503,"SHORT"))</f>
        <v/>
      </c>
      <c r="D397" s="21">
        <f>IF($A397="","",$B397+$C397)</f>
        <v/>
      </c>
      <c r="E397" s="21">
        <f>IF($A397="","",SUMIFS('Trade Log'!$L$4:$L$503,'Trade Log'!$G$4:$G$503,$A397,'Trade Log'!$C$4:$C$503,"LONG"))</f>
        <v/>
      </c>
      <c r="F397" s="21">
        <f>IF($A397="","",SUMIFS('Trade Log'!$L$4:$L$503,'Trade Log'!$G$4:$G$503,$A397,'Trade Log'!$C$4:$C$503,"SHORT"))</f>
        <v/>
      </c>
      <c r="G397" s="21">
        <f>IF($A397="","",$E397+$F397)</f>
        <v/>
      </c>
    </row>
    <row r="398">
      <c r="A398" s="28">
        <f>IF(A397="","",A397+1)</f>
        <v/>
      </c>
      <c r="B398" s="21">
        <f>IF($A398="","",SUMIFS('Trade Log'!$I$4:$I$503,'Trade Log'!$G$4:$G$503,$A398,'Trade Log'!$C$4:$C$503,"LONG"))</f>
        <v/>
      </c>
      <c r="C398" s="21">
        <f>IF($A398="","",SUMIFS('Trade Log'!$I$4:$I$503,'Trade Log'!$G$4:$G$503,$A398,'Trade Log'!$C$4:$C$503,"SHORT"))</f>
        <v/>
      </c>
      <c r="D398" s="21">
        <f>IF($A398="","",$B398+$C398)</f>
        <v/>
      </c>
      <c r="E398" s="21">
        <f>IF($A398="","",SUMIFS('Trade Log'!$L$4:$L$503,'Trade Log'!$G$4:$G$503,$A398,'Trade Log'!$C$4:$C$503,"LONG"))</f>
        <v/>
      </c>
      <c r="F398" s="21">
        <f>IF($A398="","",SUMIFS('Trade Log'!$L$4:$L$503,'Trade Log'!$G$4:$G$503,$A398,'Trade Log'!$C$4:$C$503,"SHORT"))</f>
        <v/>
      </c>
      <c r="G398" s="21">
        <f>IF($A398="","",$E398+$F398)</f>
        <v/>
      </c>
    </row>
    <row r="399">
      <c r="A399" s="28">
        <f>IF(A398="","",A398+1)</f>
        <v/>
      </c>
      <c r="B399" s="21">
        <f>IF($A399="","",SUMIFS('Trade Log'!$I$4:$I$503,'Trade Log'!$G$4:$G$503,$A399,'Trade Log'!$C$4:$C$503,"LONG"))</f>
        <v/>
      </c>
      <c r="C399" s="21">
        <f>IF($A399="","",SUMIFS('Trade Log'!$I$4:$I$503,'Trade Log'!$G$4:$G$503,$A399,'Trade Log'!$C$4:$C$503,"SHORT"))</f>
        <v/>
      </c>
      <c r="D399" s="21">
        <f>IF($A399="","",$B399+$C399)</f>
        <v/>
      </c>
      <c r="E399" s="21">
        <f>IF($A399="","",SUMIFS('Trade Log'!$L$4:$L$503,'Trade Log'!$G$4:$G$503,$A399,'Trade Log'!$C$4:$C$503,"LONG"))</f>
        <v/>
      </c>
      <c r="F399" s="21">
        <f>IF($A399="","",SUMIFS('Trade Log'!$L$4:$L$503,'Trade Log'!$G$4:$G$503,$A399,'Trade Log'!$C$4:$C$503,"SHORT"))</f>
        <v/>
      </c>
      <c r="G399" s="21">
        <f>IF($A399="","",$E399+$F399)</f>
        <v/>
      </c>
    </row>
    <row r="400">
      <c r="A400" s="28">
        <f>IF(A399="","",A399+1)</f>
        <v/>
      </c>
      <c r="B400" s="21">
        <f>IF($A400="","",SUMIFS('Trade Log'!$I$4:$I$503,'Trade Log'!$G$4:$G$503,$A400,'Trade Log'!$C$4:$C$503,"LONG"))</f>
        <v/>
      </c>
      <c r="C400" s="21">
        <f>IF($A400="","",SUMIFS('Trade Log'!$I$4:$I$503,'Trade Log'!$G$4:$G$503,$A400,'Trade Log'!$C$4:$C$503,"SHORT"))</f>
        <v/>
      </c>
      <c r="D400" s="21">
        <f>IF($A400="","",$B400+$C400)</f>
        <v/>
      </c>
      <c r="E400" s="21">
        <f>IF($A400="","",SUMIFS('Trade Log'!$L$4:$L$503,'Trade Log'!$G$4:$G$503,$A400,'Trade Log'!$C$4:$C$503,"LONG"))</f>
        <v/>
      </c>
      <c r="F400" s="21">
        <f>IF($A400="","",SUMIFS('Trade Log'!$L$4:$L$503,'Trade Log'!$G$4:$G$503,$A400,'Trade Log'!$C$4:$C$503,"SHORT"))</f>
        <v/>
      </c>
      <c r="G400" s="21">
        <f>IF($A400="","",$E400+$F400)</f>
        <v/>
      </c>
    </row>
    <row r="401">
      <c r="A401" s="28">
        <f>IF(A400="","",A400+1)</f>
        <v/>
      </c>
      <c r="B401" s="21">
        <f>IF($A401="","",SUMIFS('Trade Log'!$I$4:$I$503,'Trade Log'!$G$4:$G$503,$A401,'Trade Log'!$C$4:$C$503,"LONG"))</f>
        <v/>
      </c>
      <c r="C401" s="21">
        <f>IF($A401="","",SUMIFS('Trade Log'!$I$4:$I$503,'Trade Log'!$G$4:$G$503,$A401,'Trade Log'!$C$4:$C$503,"SHORT"))</f>
        <v/>
      </c>
      <c r="D401" s="21">
        <f>IF($A401="","",$B401+$C401)</f>
        <v/>
      </c>
      <c r="E401" s="21">
        <f>IF($A401="","",SUMIFS('Trade Log'!$L$4:$L$503,'Trade Log'!$G$4:$G$503,$A401,'Trade Log'!$C$4:$C$503,"LONG"))</f>
        <v/>
      </c>
      <c r="F401" s="21">
        <f>IF($A401="","",SUMIFS('Trade Log'!$L$4:$L$503,'Trade Log'!$G$4:$G$503,$A401,'Trade Log'!$C$4:$C$503,"SHORT"))</f>
        <v/>
      </c>
      <c r="G401" s="21">
        <f>IF($A401="","",$E401+$F401)</f>
        <v/>
      </c>
    </row>
    <row r="402">
      <c r="A402" s="28">
        <f>IF(A401="","",A401+1)</f>
        <v/>
      </c>
      <c r="B402" s="21">
        <f>IF($A402="","",SUMIFS('Trade Log'!$I$4:$I$503,'Trade Log'!$G$4:$G$503,$A402,'Trade Log'!$C$4:$C$503,"LONG"))</f>
        <v/>
      </c>
      <c r="C402" s="21">
        <f>IF($A402="","",SUMIFS('Trade Log'!$I$4:$I$503,'Trade Log'!$G$4:$G$503,$A402,'Trade Log'!$C$4:$C$503,"SHORT"))</f>
        <v/>
      </c>
      <c r="D402" s="21">
        <f>IF($A402="","",$B402+$C402)</f>
        <v/>
      </c>
      <c r="E402" s="21">
        <f>IF($A402="","",SUMIFS('Trade Log'!$L$4:$L$503,'Trade Log'!$G$4:$G$503,$A402,'Trade Log'!$C$4:$C$503,"LONG"))</f>
        <v/>
      </c>
      <c r="F402" s="21">
        <f>IF($A402="","",SUMIFS('Trade Log'!$L$4:$L$503,'Trade Log'!$G$4:$G$503,$A402,'Trade Log'!$C$4:$C$503,"SHORT"))</f>
        <v/>
      </c>
      <c r="G402" s="21">
        <f>IF($A402="","",$E402+$F402)</f>
        <v/>
      </c>
    </row>
    <row r="403">
      <c r="A403" s="28">
        <f>IF(A402="","",A402+1)</f>
        <v/>
      </c>
      <c r="B403" s="21">
        <f>IF($A403="","",SUMIFS('Trade Log'!$I$4:$I$503,'Trade Log'!$G$4:$G$503,$A403,'Trade Log'!$C$4:$C$503,"LONG"))</f>
        <v/>
      </c>
      <c r="C403" s="21">
        <f>IF($A403="","",SUMIFS('Trade Log'!$I$4:$I$503,'Trade Log'!$G$4:$G$503,$A403,'Trade Log'!$C$4:$C$503,"SHORT"))</f>
        <v/>
      </c>
      <c r="D403" s="21">
        <f>IF($A403="","",$B403+$C403)</f>
        <v/>
      </c>
      <c r="E403" s="21">
        <f>IF($A403="","",SUMIFS('Trade Log'!$L$4:$L$503,'Trade Log'!$G$4:$G$503,$A403,'Trade Log'!$C$4:$C$503,"LONG"))</f>
        <v/>
      </c>
      <c r="F403" s="21">
        <f>IF($A403="","",SUMIFS('Trade Log'!$L$4:$L$503,'Trade Log'!$G$4:$G$503,$A403,'Trade Log'!$C$4:$C$503,"SHORT"))</f>
        <v/>
      </c>
      <c r="G403" s="21">
        <f>IF($A403="","",$E403+$F403)</f>
        <v/>
      </c>
    </row>
  </sheetData>
  <mergeCells count="2">
    <mergeCell ref="A2:G2"/>
    <mergeCell ref="A1:G1"/>
  </mergeCells>
  <conditionalFormatting sqref="G4:G403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Position Type Stats</t>
        </is>
      </c>
    </row>
    <row r="2" ht="16" customHeight="1">
      <c r="A2" s="2" t="inlineStr">
        <is>
          <t>Long vs. short performance, computed straight from Trade Log.</t>
        </is>
      </c>
    </row>
    <row r="3">
      <c r="A3" s="19" t="inlineStr">
        <is>
          <t>Position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  <c r="K3" s="19" t="inlineStr">
        <is>
          <t>Profit Factor</t>
        </is>
      </c>
    </row>
    <row r="4">
      <c r="A4" s="27" t="inlineStr">
        <is>
          <t>LONG</t>
        </is>
      </c>
      <c r="B4" s="20">
        <f>COUNTIF('Trade Log'!$C$4:$C$503,$A4)</f>
        <v/>
      </c>
      <c r="C4" s="20">
        <f>COUNTIFS('Trade Log'!$C$4:$C$503,$A4,'Trade Log'!$L$4:$L$503,"&gt;0")</f>
        <v/>
      </c>
      <c r="D4" s="20">
        <f>COUNTIFS('Trade Log'!$C$4:$C$503,$A4,'Trade Log'!$L$4:$L$503,"&lt;0")</f>
        <v/>
      </c>
      <c r="E4" s="22">
        <f>IFERROR($C4/$B4,"")</f>
        <v/>
      </c>
      <c r="F4" s="21">
        <f>SUMIF('Trade Log'!$C$4:$C$503,$A4,'Trade Log'!$I$4:$I$503)</f>
        <v/>
      </c>
      <c r="G4" s="21">
        <f>SUMIF('Trade Log'!$C$4:$C$503,$A4,'Trade Log'!$L$4:$L$503)</f>
        <v/>
      </c>
      <c r="H4" s="21">
        <f>IFERROR($G4/$B4,"")</f>
        <v/>
      </c>
      <c r="I4" s="21">
        <f>IFERROR(_xlfn.MAXIFS('Trade Log'!$L$4:$L$503,'Trade Log'!$C$4:$C$503,$A4),"")</f>
        <v/>
      </c>
      <c r="J4" s="21">
        <f>IFERROR(_xlfn.MINIFS('Trade Log'!$L$4:$L$503,'Trade Log'!$C$4:$C$503,$A4),"")</f>
        <v/>
      </c>
      <c r="K4" s="29">
        <f>IFERROR(SUMIFS('Trade Log'!$L$4:$L$503,'Trade Log'!$C$4:$C$503,$A4,'Trade Log'!$L$4:$L$503,"&gt;0")/ABS(SUMIFS('Trade Log'!$L$4:$L$503,'Trade Log'!$C$4:$C$503,$A4,'Trade Log'!$L$4:$L$503,"&lt;0")),"")</f>
        <v/>
      </c>
    </row>
    <row r="5">
      <c r="A5" s="27" t="inlineStr">
        <is>
          <t>SHORT</t>
        </is>
      </c>
      <c r="B5" s="20">
        <f>COUNTIF('Trade Log'!$C$4:$C$503,$A5)</f>
        <v/>
      </c>
      <c r="C5" s="20">
        <f>COUNTIFS('Trade Log'!$C$4:$C$503,$A5,'Trade Log'!$L$4:$L$503,"&gt;0")</f>
        <v/>
      </c>
      <c r="D5" s="20">
        <f>COUNTIFS('Trade Log'!$C$4:$C$503,$A5,'Trade Log'!$L$4:$L$503,"&lt;0")</f>
        <v/>
      </c>
      <c r="E5" s="22">
        <f>IFERROR($C5/$B5,"")</f>
        <v/>
      </c>
      <c r="F5" s="21">
        <f>SUMIF('Trade Log'!$C$4:$C$503,$A5,'Trade Log'!$I$4:$I$503)</f>
        <v/>
      </c>
      <c r="G5" s="21">
        <f>SUMIF('Trade Log'!$C$4:$C$503,$A5,'Trade Log'!$L$4:$L$503)</f>
        <v/>
      </c>
      <c r="H5" s="21">
        <f>IFERROR($G5/$B5,"")</f>
        <v/>
      </c>
      <c r="I5" s="21">
        <f>IFERROR(_xlfn.MAXIFS('Trade Log'!$L$4:$L$503,'Trade Log'!$C$4:$C$503,$A5),"")</f>
        <v/>
      </c>
      <c r="J5" s="21">
        <f>IFERROR(_xlfn.MINIFS('Trade Log'!$L$4:$L$503,'Trade Log'!$C$4:$C$503,$A5),"")</f>
        <v/>
      </c>
      <c r="K5" s="29">
        <f>IFERROR(SUMIFS('Trade Log'!$L$4:$L$503,'Trade Log'!$C$4:$C$503,$A5,'Trade Log'!$L$4:$L$503,"&gt;0")/ABS(SUMIFS('Trade Log'!$L$4:$L$503,'Trade Log'!$C$4:$C$503,$A5,'Trade Log'!$L$4:$L$503,"&lt;0")),"")</f>
        <v/>
      </c>
    </row>
    <row r="6">
      <c r="A6" s="3" t="inlineStr">
        <is>
          <t>TOTAL</t>
        </is>
      </c>
      <c r="B6" s="30">
        <f>SUM(B4:B5)</f>
        <v/>
      </c>
      <c r="C6" s="30">
        <f>SUM(C4:C5)</f>
        <v/>
      </c>
      <c r="D6" s="30">
        <f>SUM(D4:D5)</f>
        <v/>
      </c>
      <c r="E6" s="31">
        <f>IFERROR(C6/B6,"")</f>
        <v/>
      </c>
      <c r="F6" s="32">
        <f>SUM(F4:F5)</f>
        <v/>
      </c>
      <c r="G6" s="32">
        <f>SUM(G4:G5)</f>
        <v/>
      </c>
      <c r="H6" s="32">
        <f>IFERROR(G6/B6,"")</f>
        <v/>
      </c>
      <c r="K6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Bucket Stats</t>
        </is>
      </c>
    </row>
    <row r="2" ht="16" customHeight="1">
      <c r="A2" s="2" t="inlineStr">
        <is>
          <t>Performance by entry-signal return bucket (5-10% / 10-15% / 15-20%), computed straight from Trade Log. Untagged = entered before the return-bucketed exit schedule shipped (2026-09-26).</t>
        </is>
      </c>
    </row>
    <row r="3">
      <c r="A3" s="19" t="inlineStr">
        <is>
          <t>Bucket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  <c r="K3" s="19" t="inlineStr">
        <is>
          <t>Profit Factor</t>
        </is>
      </c>
    </row>
    <row r="4">
      <c r="A4" s="27" t="inlineStr">
        <is>
          <t>5-10</t>
        </is>
      </c>
      <c r="B4" s="20">
        <f>COUNTIF('Trade Log'!$O$4:$O$503,$A4)</f>
        <v/>
      </c>
      <c r="C4" s="20">
        <f>COUNTIFS('Trade Log'!$O$4:$O$503,$A4,'Trade Log'!$L$4:$L$503,"&gt;0")</f>
        <v/>
      </c>
      <c r="D4" s="20">
        <f>COUNTIFS('Trade Log'!$O$4:$O$503,$A4,'Trade Log'!$L$4:$L$503,"&lt;0")</f>
        <v/>
      </c>
      <c r="E4" s="22">
        <f>IFERROR($C4/$B4,"")</f>
        <v/>
      </c>
      <c r="F4" s="21">
        <f>SUMIF('Trade Log'!$O$4:$O$503,$A4,'Trade Log'!$I$4:$I$503)</f>
        <v/>
      </c>
      <c r="G4" s="21">
        <f>SUMIF('Trade Log'!$O$4:$O$503,$A4,'Trade Log'!$L$4:$L$503)</f>
        <v/>
      </c>
      <c r="H4" s="21">
        <f>IFERROR($G4/$B4,"")</f>
        <v/>
      </c>
      <c r="I4" s="21">
        <f>IFERROR(_xlfn.MAXIFS('Trade Log'!$L$4:$L$503,'Trade Log'!$O$4:$O$503,$A4),"")</f>
        <v/>
      </c>
      <c r="J4" s="21">
        <f>IFERROR(_xlfn.MINIFS('Trade Log'!$L$4:$L$503,'Trade Log'!$O$4:$O$503,$A4),"")</f>
        <v/>
      </c>
      <c r="K4" s="29">
        <f>IFERROR(SUMIFS('Trade Log'!$L$4:$L$503,'Trade Log'!$O$4:$O$503,$A4,'Trade Log'!$L$4:$L$503,"&gt;0")/ABS(SUMIFS('Trade Log'!$L$4:$L$503,'Trade Log'!$O$4:$O$503,$A4,'Trade Log'!$L$4:$L$503,"&lt;0")),"")</f>
        <v/>
      </c>
    </row>
    <row r="5">
      <c r="A5" s="27" t="inlineStr">
        <is>
          <t>10-15</t>
        </is>
      </c>
      <c r="B5" s="20">
        <f>COUNTIF('Trade Log'!$O$4:$O$503,$A5)</f>
        <v/>
      </c>
      <c r="C5" s="20">
        <f>COUNTIFS('Trade Log'!$O$4:$O$503,$A5,'Trade Log'!$L$4:$L$503,"&gt;0")</f>
        <v/>
      </c>
      <c r="D5" s="20">
        <f>COUNTIFS('Trade Log'!$O$4:$O$503,$A5,'Trade Log'!$L$4:$L$503,"&lt;0")</f>
        <v/>
      </c>
      <c r="E5" s="22">
        <f>IFERROR($C5/$B5,"")</f>
        <v/>
      </c>
      <c r="F5" s="21">
        <f>SUMIF('Trade Log'!$O$4:$O$503,$A5,'Trade Log'!$I$4:$I$503)</f>
        <v/>
      </c>
      <c r="G5" s="21">
        <f>SUMIF('Trade Log'!$O$4:$O$503,$A5,'Trade Log'!$L$4:$L$503)</f>
        <v/>
      </c>
      <c r="H5" s="21">
        <f>IFERROR($G5/$B5,"")</f>
        <v/>
      </c>
      <c r="I5" s="21">
        <f>IFERROR(_xlfn.MAXIFS('Trade Log'!$L$4:$L$503,'Trade Log'!$O$4:$O$503,$A5),"")</f>
        <v/>
      </c>
      <c r="J5" s="21">
        <f>IFERROR(_xlfn.MINIFS('Trade Log'!$L$4:$L$503,'Trade Log'!$O$4:$O$503,$A5),"")</f>
        <v/>
      </c>
      <c r="K5" s="29">
        <f>IFERROR(SUMIFS('Trade Log'!$L$4:$L$503,'Trade Log'!$O$4:$O$503,$A5,'Trade Log'!$L$4:$L$503,"&gt;0")/ABS(SUMIFS('Trade Log'!$L$4:$L$503,'Trade Log'!$O$4:$O$503,$A5,'Trade Log'!$L$4:$L$503,"&lt;0")),"")</f>
        <v/>
      </c>
    </row>
    <row r="6">
      <c r="A6" s="27" t="inlineStr">
        <is>
          <t>15-20</t>
        </is>
      </c>
      <c r="B6" s="20">
        <f>COUNTIF('Trade Log'!$O$4:$O$503,$A6)</f>
        <v/>
      </c>
      <c r="C6" s="20">
        <f>COUNTIFS('Trade Log'!$O$4:$O$503,$A6,'Trade Log'!$L$4:$L$503,"&gt;0")</f>
        <v/>
      </c>
      <c r="D6" s="20">
        <f>COUNTIFS('Trade Log'!$O$4:$O$503,$A6,'Trade Log'!$L$4:$L$503,"&lt;0")</f>
        <v/>
      </c>
      <c r="E6" s="22">
        <f>IFERROR($C6/$B6,"")</f>
        <v/>
      </c>
      <c r="F6" s="21">
        <f>SUMIF('Trade Log'!$O$4:$O$503,$A6,'Trade Log'!$I$4:$I$503)</f>
        <v/>
      </c>
      <c r="G6" s="21">
        <f>SUMIF('Trade Log'!$O$4:$O$503,$A6,'Trade Log'!$L$4:$L$503)</f>
        <v/>
      </c>
      <c r="H6" s="21">
        <f>IFERROR($G6/$B6,"")</f>
        <v/>
      </c>
      <c r="I6" s="21">
        <f>IFERROR(_xlfn.MAXIFS('Trade Log'!$L$4:$L$503,'Trade Log'!$O$4:$O$503,$A6),"")</f>
        <v/>
      </c>
      <c r="J6" s="21">
        <f>IFERROR(_xlfn.MINIFS('Trade Log'!$L$4:$L$503,'Trade Log'!$O$4:$O$503,$A6),"")</f>
        <v/>
      </c>
      <c r="K6" s="29">
        <f>IFERROR(SUMIFS('Trade Log'!$L$4:$L$503,'Trade Log'!$O$4:$O$503,$A6,'Trade Log'!$L$4:$L$503,"&gt;0")/ABS(SUMIFS('Trade Log'!$L$4:$L$503,'Trade Log'!$O$4:$O$503,$A6,'Trade Log'!$L$4:$L$503,"&lt;0")),"")</f>
        <v/>
      </c>
    </row>
    <row r="7">
      <c r="A7" s="27" t="inlineStr">
        <is>
          <t>Untagged</t>
        </is>
      </c>
      <c r="B7" s="20">
        <f>COUNTIF('Trade Log'!$O$4:$O$503,$A7)</f>
        <v/>
      </c>
      <c r="C7" s="20">
        <f>COUNTIFS('Trade Log'!$O$4:$O$503,$A7,'Trade Log'!$L$4:$L$503,"&gt;0")</f>
        <v/>
      </c>
      <c r="D7" s="20">
        <f>COUNTIFS('Trade Log'!$O$4:$O$503,$A7,'Trade Log'!$L$4:$L$503,"&lt;0")</f>
        <v/>
      </c>
      <c r="E7" s="22">
        <f>IFERROR($C7/$B7,"")</f>
        <v/>
      </c>
      <c r="F7" s="21">
        <f>SUMIF('Trade Log'!$O$4:$O$503,$A7,'Trade Log'!$I$4:$I$503)</f>
        <v/>
      </c>
      <c r="G7" s="21">
        <f>SUMIF('Trade Log'!$O$4:$O$503,$A7,'Trade Log'!$L$4:$L$503)</f>
        <v/>
      </c>
      <c r="H7" s="21">
        <f>IFERROR($G7/$B7,"")</f>
        <v/>
      </c>
      <c r="I7" s="21">
        <f>IFERROR(_xlfn.MAXIFS('Trade Log'!$L$4:$L$503,'Trade Log'!$O$4:$O$503,$A7),"")</f>
        <v/>
      </c>
      <c r="J7" s="21">
        <f>IFERROR(_xlfn.MINIFS('Trade Log'!$L$4:$L$503,'Trade Log'!$O$4:$O$503,$A7),"")</f>
        <v/>
      </c>
      <c r="K7" s="29">
        <f>IFERROR(SUMIFS('Trade Log'!$L$4:$L$503,'Trade Log'!$O$4:$O$503,$A7,'Trade Log'!$L$4:$L$503,"&gt;0")/ABS(SUMIFS('Trade Log'!$L$4:$L$503,'Trade Log'!$O$4:$O$503,$A7,'Trade Log'!$L$4:$L$503,"&lt;0")),"")</f>
        <v/>
      </c>
    </row>
    <row r="8">
      <c r="A8" s="3" t="inlineStr">
        <is>
          <t>TOTAL</t>
        </is>
      </c>
      <c r="B8" s="30">
        <f>SUM(B4:B7)</f>
        <v/>
      </c>
      <c r="C8" s="30">
        <f>SUM(C4:C7)</f>
        <v/>
      </c>
      <c r="D8" s="30">
        <f>SUM(D4:D7)</f>
        <v/>
      </c>
      <c r="E8" s="31">
        <f>IFERROR(C8/B8,"")</f>
        <v/>
      </c>
      <c r="F8" s="32">
        <f>SUM(F4:F7)</f>
        <v/>
      </c>
      <c r="G8" s="32">
        <f>SUM(G4:G7)</f>
        <v/>
      </c>
      <c r="H8" s="32">
        <f>IFERROR(G8/B8,"")</f>
        <v/>
      </c>
      <c r="K8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 ht="22" customHeight="1">
      <c r="A1" s="1" t="inlineStr">
        <is>
          <t>Company Stats</t>
        </is>
      </c>
    </row>
    <row r="2" ht="16" customHeight="1">
      <c r="A2" s="2" t="inlineStr">
        <is>
          <t>Per-symbol performance across every logged trade, computed straight from Trade Log.</t>
        </is>
      </c>
    </row>
    <row r="3">
      <c r="A3" s="19" t="inlineStr">
        <is>
          <t>Symbol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</row>
    <row r="4">
      <c r="A4" s="27" t="inlineStr">
        <is>
          <t>ALEMBICLTD</t>
        </is>
      </c>
      <c r="B4" s="20">
        <f>COUNTIF('Trade Log'!$B$4:$B$503,$A4)</f>
        <v/>
      </c>
      <c r="C4" s="20">
        <f>COUNTIFS('Trade Log'!$B$4:$B$503,$A4,'Trade Log'!$L$4:$L$503,"&gt;0")</f>
        <v/>
      </c>
      <c r="D4" s="20">
        <f>COUNTIFS('Trade Log'!$B$4:$B$503,$A4,'Trade Log'!$L$4:$L$503,"&lt;0")</f>
        <v/>
      </c>
      <c r="E4" s="22">
        <f>IFERROR($C4/$B4,"")</f>
        <v/>
      </c>
      <c r="F4" s="21">
        <f>SUMIF('Trade Log'!$B$4:$B$503,$A4,'Trade Log'!$I$4:$I$503)</f>
        <v/>
      </c>
      <c r="G4" s="21">
        <f>SUMIF('Trade Log'!$B$4:$B$503,$A4,'Trade Log'!$L$4:$L$503)</f>
        <v/>
      </c>
      <c r="H4" s="21">
        <f>IFERROR($G4/$B4,"")</f>
        <v/>
      </c>
      <c r="I4" s="21">
        <f>IFERROR(_xlfn.MAXIFS('Trade Log'!$L$4:$L$503,'Trade Log'!$B$4:$B$503,$A4),"")</f>
        <v/>
      </c>
      <c r="J4" s="21">
        <f>IFERROR(_xlfn.MINIFS('Trade Log'!$L$4:$L$503,'Trade Log'!$B$4:$B$503,$A4),"")</f>
        <v/>
      </c>
    </row>
    <row r="5">
      <c r="A5" s="27" t="inlineStr">
        <is>
          <t>ANTELOPUS</t>
        </is>
      </c>
      <c r="B5" s="20">
        <f>COUNTIF('Trade Log'!$B$4:$B$503,$A5)</f>
        <v/>
      </c>
      <c r="C5" s="20">
        <f>COUNTIFS('Trade Log'!$B$4:$B$503,$A5,'Trade Log'!$L$4:$L$503,"&gt;0")</f>
        <v/>
      </c>
      <c r="D5" s="20">
        <f>COUNTIFS('Trade Log'!$B$4:$B$503,$A5,'Trade Log'!$L$4:$L$503,"&lt;0")</f>
        <v/>
      </c>
      <c r="E5" s="22">
        <f>IFERROR($C5/$B5,"")</f>
        <v/>
      </c>
      <c r="F5" s="21">
        <f>SUMIF('Trade Log'!$B$4:$B$503,$A5,'Trade Log'!$I$4:$I$503)</f>
        <v/>
      </c>
      <c r="G5" s="21">
        <f>SUMIF('Trade Log'!$B$4:$B$503,$A5,'Trade Log'!$L$4:$L$503)</f>
        <v/>
      </c>
      <c r="H5" s="21">
        <f>IFERROR($G5/$B5,"")</f>
        <v/>
      </c>
      <c r="I5" s="21">
        <f>IFERROR(_xlfn.MAXIFS('Trade Log'!$L$4:$L$503,'Trade Log'!$B$4:$B$503,$A5),"")</f>
        <v/>
      </c>
      <c r="J5" s="21">
        <f>IFERROR(_xlfn.MINIFS('Trade Log'!$L$4:$L$503,'Trade Log'!$B$4:$B$503,$A5),"")</f>
        <v/>
      </c>
    </row>
    <row r="6">
      <c r="A6" s="27" t="inlineStr">
        <is>
          <t>ARVSMART</t>
        </is>
      </c>
      <c r="B6" s="20">
        <f>COUNTIF('Trade Log'!$B$4:$B$503,$A6)</f>
        <v/>
      </c>
      <c r="C6" s="20">
        <f>COUNTIFS('Trade Log'!$B$4:$B$503,$A6,'Trade Log'!$L$4:$L$503,"&gt;0")</f>
        <v/>
      </c>
      <c r="D6" s="20">
        <f>COUNTIFS('Trade Log'!$B$4:$B$503,$A6,'Trade Log'!$L$4:$L$503,"&lt;0")</f>
        <v/>
      </c>
      <c r="E6" s="22">
        <f>IFERROR($C6/$B6,"")</f>
        <v/>
      </c>
      <c r="F6" s="21">
        <f>SUMIF('Trade Log'!$B$4:$B$503,$A6,'Trade Log'!$I$4:$I$503)</f>
        <v/>
      </c>
      <c r="G6" s="21">
        <f>SUMIF('Trade Log'!$B$4:$B$503,$A6,'Trade Log'!$L$4:$L$503)</f>
        <v/>
      </c>
      <c r="H6" s="21">
        <f>IFERROR($G6/$B6,"")</f>
        <v/>
      </c>
      <c r="I6" s="21">
        <f>IFERROR(_xlfn.MAXIFS('Trade Log'!$L$4:$L$503,'Trade Log'!$B$4:$B$503,$A6),"")</f>
        <v/>
      </c>
      <c r="J6" s="21">
        <f>IFERROR(_xlfn.MINIFS('Trade Log'!$L$4:$L$503,'Trade Log'!$B$4:$B$503,$A6),"")</f>
        <v/>
      </c>
    </row>
    <row r="7">
      <c r="A7" s="27" t="inlineStr">
        <is>
          <t>ASHIANA</t>
        </is>
      </c>
      <c r="B7" s="20">
        <f>COUNTIF('Trade Log'!$B$4:$B$503,$A7)</f>
        <v/>
      </c>
      <c r="C7" s="20">
        <f>COUNTIFS('Trade Log'!$B$4:$B$503,$A7,'Trade Log'!$L$4:$L$503,"&gt;0")</f>
        <v/>
      </c>
      <c r="D7" s="20">
        <f>COUNTIFS('Trade Log'!$B$4:$B$503,$A7,'Trade Log'!$L$4:$L$503,"&lt;0")</f>
        <v/>
      </c>
      <c r="E7" s="22">
        <f>IFERROR($C7/$B7,"")</f>
        <v/>
      </c>
      <c r="F7" s="21">
        <f>SUMIF('Trade Log'!$B$4:$B$503,$A7,'Trade Log'!$I$4:$I$503)</f>
        <v/>
      </c>
      <c r="G7" s="21">
        <f>SUMIF('Trade Log'!$B$4:$B$503,$A7,'Trade Log'!$L$4:$L$503)</f>
        <v/>
      </c>
      <c r="H7" s="21">
        <f>IFERROR($G7/$B7,"")</f>
        <v/>
      </c>
      <c r="I7" s="21">
        <f>IFERROR(_xlfn.MAXIFS('Trade Log'!$L$4:$L$503,'Trade Log'!$B$4:$B$503,$A7),"")</f>
        <v/>
      </c>
      <c r="J7" s="21">
        <f>IFERROR(_xlfn.MINIFS('Trade Log'!$L$4:$L$503,'Trade Log'!$B$4:$B$503,$A7),"")</f>
        <v/>
      </c>
    </row>
    <row r="8">
      <c r="A8" s="27" t="inlineStr">
        <is>
          <t>ASHOKA</t>
        </is>
      </c>
      <c r="B8" s="20">
        <f>COUNTIF('Trade Log'!$B$4:$B$503,$A8)</f>
        <v/>
      </c>
      <c r="C8" s="20">
        <f>COUNTIFS('Trade Log'!$B$4:$B$503,$A8,'Trade Log'!$L$4:$L$503,"&gt;0")</f>
        <v/>
      </c>
      <c r="D8" s="20">
        <f>COUNTIFS('Trade Log'!$B$4:$B$503,$A8,'Trade Log'!$L$4:$L$503,"&lt;0")</f>
        <v/>
      </c>
      <c r="E8" s="22">
        <f>IFERROR($C8/$B8,"")</f>
        <v/>
      </c>
      <c r="F8" s="21">
        <f>SUMIF('Trade Log'!$B$4:$B$503,$A8,'Trade Log'!$I$4:$I$503)</f>
        <v/>
      </c>
      <c r="G8" s="21">
        <f>SUMIF('Trade Log'!$B$4:$B$503,$A8,'Trade Log'!$L$4:$L$503)</f>
        <v/>
      </c>
      <c r="H8" s="21">
        <f>IFERROR($G8/$B8,"")</f>
        <v/>
      </c>
      <c r="I8" s="21">
        <f>IFERROR(_xlfn.MAXIFS('Trade Log'!$L$4:$L$503,'Trade Log'!$B$4:$B$503,$A8),"")</f>
        <v/>
      </c>
      <c r="J8" s="21">
        <f>IFERROR(_xlfn.MINIFS('Trade Log'!$L$4:$L$503,'Trade Log'!$B$4:$B$503,$A8),"")</f>
        <v/>
      </c>
    </row>
    <row r="9">
      <c r="A9" s="27" t="inlineStr">
        <is>
          <t>ASTEC</t>
        </is>
      </c>
      <c r="B9" s="20">
        <f>COUNTIF('Trade Log'!$B$4:$B$503,$A9)</f>
        <v/>
      </c>
      <c r="C9" s="20">
        <f>COUNTIFS('Trade Log'!$B$4:$B$503,$A9,'Trade Log'!$L$4:$L$503,"&gt;0")</f>
        <v/>
      </c>
      <c r="D9" s="20">
        <f>COUNTIFS('Trade Log'!$B$4:$B$503,$A9,'Trade Log'!$L$4:$L$503,"&lt;0")</f>
        <v/>
      </c>
      <c r="E9" s="22">
        <f>IFERROR($C9/$B9,"")</f>
        <v/>
      </c>
      <c r="F9" s="21">
        <f>SUMIF('Trade Log'!$B$4:$B$503,$A9,'Trade Log'!$I$4:$I$503)</f>
        <v/>
      </c>
      <c r="G9" s="21">
        <f>SUMIF('Trade Log'!$B$4:$B$503,$A9,'Trade Log'!$L$4:$L$503)</f>
        <v/>
      </c>
      <c r="H9" s="21">
        <f>IFERROR($G9/$B9,"")</f>
        <v/>
      </c>
      <c r="I9" s="21">
        <f>IFERROR(_xlfn.MAXIFS('Trade Log'!$L$4:$L$503,'Trade Log'!$B$4:$B$503,$A9),"")</f>
        <v/>
      </c>
      <c r="J9" s="21">
        <f>IFERROR(_xlfn.MINIFS('Trade Log'!$L$4:$L$503,'Trade Log'!$B$4:$B$503,$A9),"")</f>
        <v/>
      </c>
    </row>
    <row r="10">
      <c r="A10" s="27" t="inlineStr">
        <is>
          <t>AVANTEL</t>
        </is>
      </c>
      <c r="B10" s="20">
        <f>COUNTIF('Trade Log'!$B$4:$B$503,$A10)</f>
        <v/>
      </c>
      <c r="C10" s="20">
        <f>COUNTIFS('Trade Log'!$B$4:$B$503,$A10,'Trade Log'!$L$4:$L$503,"&gt;0")</f>
        <v/>
      </c>
      <c r="D10" s="20">
        <f>COUNTIFS('Trade Log'!$B$4:$B$503,$A10,'Trade Log'!$L$4:$L$503,"&lt;0")</f>
        <v/>
      </c>
      <c r="E10" s="22">
        <f>IFERROR($C10/$B10,"")</f>
        <v/>
      </c>
      <c r="F10" s="21">
        <f>SUMIF('Trade Log'!$B$4:$B$503,$A10,'Trade Log'!$I$4:$I$503)</f>
        <v/>
      </c>
      <c r="G10" s="21">
        <f>SUMIF('Trade Log'!$B$4:$B$503,$A10,'Trade Log'!$L$4:$L$503)</f>
        <v/>
      </c>
      <c r="H10" s="21">
        <f>IFERROR($G10/$B10,"")</f>
        <v/>
      </c>
      <c r="I10" s="21">
        <f>IFERROR(_xlfn.MAXIFS('Trade Log'!$L$4:$L$503,'Trade Log'!$B$4:$B$503,$A10),"")</f>
        <v/>
      </c>
      <c r="J10" s="21">
        <f>IFERROR(_xlfn.MINIFS('Trade Log'!$L$4:$L$503,'Trade Log'!$B$4:$B$503,$A10),"")</f>
        <v/>
      </c>
    </row>
    <row r="11">
      <c r="A11" s="27" t="inlineStr">
        <is>
          <t>AWFIS</t>
        </is>
      </c>
      <c r="B11" s="20">
        <f>COUNTIF('Trade Log'!$B$4:$B$503,$A11)</f>
        <v/>
      </c>
      <c r="C11" s="20">
        <f>COUNTIFS('Trade Log'!$B$4:$B$503,$A11,'Trade Log'!$L$4:$L$503,"&gt;0")</f>
        <v/>
      </c>
      <c r="D11" s="20">
        <f>COUNTIFS('Trade Log'!$B$4:$B$503,$A11,'Trade Log'!$L$4:$L$503,"&lt;0")</f>
        <v/>
      </c>
      <c r="E11" s="22">
        <f>IFERROR($C11/$B11,"")</f>
        <v/>
      </c>
      <c r="F11" s="21">
        <f>SUMIF('Trade Log'!$B$4:$B$503,$A11,'Trade Log'!$I$4:$I$503)</f>
        <v/>
      </c>
      <c r="G11" s="21">
        <f>SUMIF('Trade Log'!$B$4:$B$503,$A11,'Trade Log'!$L$4:$L$503)</f>
        <v/>
      </c>
      <c r="H11" s="21">
        <f>IFERROR($G11/$B11,"")</f>
        <v/>
      </c>
      <c r="I11" s="21">
        <f>IFERROR(_xlfn.MAXIFS('Trade Log'!$L$4:$L$503,'Trade Log'!$B$4:$B$503,$A11),"")</f>
        <v/>
      </c>
      <c r="J11" s="21">
        <f>IFERROR(_xlfn.MINIFS('Trade Log'!$L$4:$L$503,'Trade Log'!$B$4:$B$503,$A11),"")</f>
        <v/>
      </c>
    </row>
    <row r="12">
      <c r="A12" s="27" t="inlineStr">
        <is>
          <t>BAJAJHIND</t>
        </is>
      </c>
      <c r="B12" s="20">
        <f>COUNTIF('Trade Log'!$B$4:$B$503,$A12)</f>
        <v/>
      </c>
      <c r="C12" s="20">
        <f>COUNTIFS('Trade Log'!$B$4:$B$503,$A12,'Trade Log'!$L$4:$L$503,"&gt;0")</f>
        <v/>
      </c>
      <c r="D12" s="20">
        <f>COUNTIFS('Trade Log'!$B$4:$B$503,$A12,'Trade Log'!$L$4:$L$503,"&lt;0")</f>
        <v/>
      </c>
      <c r="E12" s="22">
        <f>IFERROR($C12/$B12,"")</f>
        <v/>
      </c>
      <c r="F12" s="21">
        <f>SUMIF('Trade Log'!$B$4:$B$503,$A12,'Trade Log'!$I$4:$I$503)</f>
        <v/>
      </c>
      <c r="G12" s="21">
        <f>SUMIF('Trade Log'!$B$4:$B$503,$A12,'Trade Log'!$L$4:$L$503)</f>
        <v/>
      </c>
      <c r="H12" s="21">
        <f>IFERROR($G12/$B12,"")</f>
        <v/>
      </c>
      <c r="I12" s="21">
        <f>IFERROR(_xlfn.MAXIFS('Trade Log'!$L$4:$L$503,'Trade Log'!$B$4:$B$503,$A12),"")</f>
        <v/>
      </c>
      <c r="J12" s="21">
        <f>IFERROR(_xlfn.MINIFS('Trade Log'!$L$4:$L$503,'Trade Log'!$B$4:$B$503,$A12),"")</f>
        <v/>
      </c>
    </row>
    <row r="13">
      <c r="A13" s="27" t="inlineStr">
        <is>
          <t>BANARISUG</t>
        </is>
      </c>
      <c r="B13" s="20">
        <f>COUNTIF('Trade Log'!$B$4:$B$503,$A13)</f>
        <v/>
      </c>
      <c r="C13" s="20">
        <f>COUNTIFS('Trade Log'!$B$4:$B$503,$A13,'Trade Log'!$L$4:$L$503,"&gt;0")</f>
        <v/>
      </c>
      <c r="D13" s="20">
        <f>COUNTIFS('Trade Log'!$B$4:$B$503,$A13,'Trade Log'!$L$4:$L$503,"&lt;0")</f>
        <v/>
      </c>
      <c r="E13" s="22">
        <f>IFERROR($C13/$B13,"")</f>
        <v/>
      </c>
      <c r="F13" s="21">
        <f>SUMIF('Trade Log'!$B$4:$B$503,$A13,'Trade Log'!$I$4:$I$503)</f>
        <v/>
      </c>
      <c r="G13" s="21">
        <f>SUMIF('Trade Log'!$B$4:$B$503,$A13,'Trade Log'!$L$4:$L$503)</f>
        <v/>
      </c>
      <c r="H13" s="21">
        <f>IFERROR($G13/$B13,"")</f>
        <v/>
      </c>
      <c r="I13" s="21">
        <f>IFERROR(_xlfn.MAXIFS('Trade Log'!$L$4:$L$503,'Trade Log'!$B$4:$B$503,$A13),"")</f>
        <v/>
      </c>
      <c r="J13" s="21">
        <f>IFERROR(_xlfn.MINIFS('Trade Log'!$L$4:$L$503,'Trade Log'!$B$4:$B$503,$A13),"")</f>
        <v/>
      </c>
    </row>
    <row r="14">
      <c r="A14" s="27" t="inlineStr">
        <is>
          <t>BCG</t>
        </is>
      </c>
      <c r="B14" s="20">
        <f>COUNTIF('Trade Log'!$B$4:$B$503,$A14)</f>
        <v/>
      </c>
      <c r="C14" s="20">
        <f>COUNTIFS('Trade Log'!$B$4:$B$503,$A14,'Trade Log'!$L$4:$L$503,"&gt;0")</f>
        <v/>
      </c>
      <c r="D14" s="20">
        <f>COUNTIFS('Trade Log'!$B$4:$B$503,$A14,'Trade Log'!$L$4:$L$503,"&lt;0")</f>
        <v/>
      </c>
      <c r="E14" s="22">
        <f>IFERROR($C14/$B14,"")</f>
        <v/>
      </c>
      <c r="F14" s="21">
        <f>SUMIF('Trade Log'!$B$4:$B$503,$A14,'Trade Log'!$I$4:$I$503)</f>
        <v/>
      </c>
      <c r="G14" s="21">
        <f>SUMIF('Trade Log'!$B$4:$B$503,$A14,'Trade Log'!$L$4:$L$503)</f>
        <v/>
      </c>
      <c r="H14" s="21">
        <f>IFERROR($G14/$B14,"")</f>
        <v/>
      </c>
      <c r="I14" s="21">
        <f>IFERROR(_xlfn.MAXIFS('Trade Log'!$L$4:$L$503,'Trade Log'!$B$4:$B$503,$A14),"")</f>
        <v/>
      </c>
      <c r="J14" s="21">
        <f>IFERROR(_xlfn.MINIFS('Trade Log'!$L$4:$L$503,'Trade Log'!$B$4:$B$503,$A14),"")</f>
        <v/>
      </c>
    </row>
    <row r="15">
      <c r="A15" s="27" t="inlineStr">
        <is>
          <t>BFUTILITIE</t>
        </is>
      </c>
      <c r="B15" s="20">
        <f>COUNTIF('Trade Log'!$B$4:$B$503,$A15)</f>
        <v/>
      </c>
      <c r="C15" s="20">
        <f>COUNTIFS('Trade Log'!$B$4:$B$503,$A15,'Trade Log'!$L$4:$L$503,"&gt;0")</f>
        <v/>
      </c>
      <c r="D15" s="20">
        <f>COUNTIFS('Trade Log'!$B$4:$B$503,$A15,'Trade Log'!$L$4:$L$503,"&lt;0")</f>
        <v/>
      </c>
      <c r="E15" s="22">
        <f>IFERROR($C15/$B15,"")</f>
        <v/>
      </c>
      <c r="F15" s="21">
        <f>SUMIF('Trade Log'!$B$4:$B$503,$A15,'Trade Log'!$I$4:$I$503)</f>
        <v/>
      </c>
      <c r="G15" s="21">
        <f>SUMIF('Trade Log'!$B$4:$B$503,$A15,'Trade Log'!$L$4:$L$503)</f>
        <v/>
      </c>
      <c r="H15" s="21">
        <f>IFERROR($G15/$B15,"")</f>
        <v/>
      </c>
      <c r="I15" s="21">
        <f>IFERROR(_xlfn.MAXIFS('Trade Log'!$L$4:$L$503,'Trade Log'!$B$4:$B$503,$A15),"")</f>
        <v/>
      </c>
      <c r="J15" s="21">
        <f>IFERROR(_xlfn.MINIFS('Trade Log'!$L$4:$L$503,'Trade Log'!$B$4:$B$503,$A15),"")</f>
        <v/>
      </c>
    </row>
    <row r="16">
      <c r="A16" s="27" t="inlineStr">
        <is>
          <t>BHAGERIA</t>
        </is>
      </c>
      <c r="B16" s="20">
        <f>COUNTIF('Trade Log'!$B$4:$B$503,$A16)</f>
        <v/>
      </c>
      <c r="C16" s="20">
        <f>COUNTIFS('Trade Log'!$B$4:$B$503,$A16,'Trade Log'!$L$4:$L$503,"&gt;0")</f>
        <v/>
      </c>
      <c r="D16" s="20">
        <f>COUNTIFS('Trade Log'!$B$4:$B$503,$A16,'Trade Log'!$L$4:$L$503,"&lt;0")</f>
        <v/>
      </c>
      <c r="E16" s="22">
        <f>IFERROR($C16/$B16,"")</f>
        <v/>
      </c>
      <c r="F16" s="21">
        <f>SUMIF('Trade Log'!$B$4:$B$503,$A16,'Trade Log'!$I$4:$I$503)</f>
        <v/>
      </c>
      <c r="G16" s="21">
        <f>SUMIF('Trade Log'!$B$4:$B$503,$A16,'Trade Log'!$L$4:$L$503)</f>
        <v/>
      </c>
      <c r="H16" s="21">
        <f>IFERROR($G16/$B16,"")</f>
        <v/>
      </c>
      <c r="I16" s="21">
        <f>IFERROR(_xlfn.MAXIFS('Trade Log'!$L$4:$L$503,'Trade Log'!$B$4:$B$503,$A16),"")</f>
        <v/>
      </c>
      <c r="J16" s="21">
        <f>IFERROR(_xlfn.MINIFS('Trade Log'!$L$4:$L$503,'Trade Log'!$B$4:$B$503,$A16),"")</f>
        <v/>
      </c>
    </row>
    <row r="17">
      <c r="A17" s="27" t="inlineStr">
        <is>
          <t>BOMDYEING</t>
        </is>
      </c>
      <c r="B17" s="20">
        <f>COUNTIF('Trade Log'!$B$4:$B$503,$A17)</f>
        <v/>
      </c>
      <c r="C17" s="20">
        <f>COUNTIFS('Trade Log'!$B$4:$B$503,$A17,'Trade Log'!$L$4:$L$503,"&gt;0")</f>
        <v/>
      </c>
      <c r="D17" s="20">
        <f>COUNTIFS('Trade Log'!$B$4:$B$503,$A17,'Trade Log'!$L$4:$L$503,"&lt;0")</f>
        <v/>
      </c>
      <c r="E17" s="22">
        <f>IFERROR($C17/$B17,"")</f>
        <v/>
      </c>
      <c r="F17" s="21">
        <f>SUMIF('Trade Log'!$B$4:$B$503,$A17,'Trade Log'!$I$4:$I$503)</f>
        <v/>
      </c>
      <c r="G17" s="21">
        <f>SUMIF('Trade Log'!$B$4:$B$503,$A17,'Trade Log'!$L$4:$L$503)</f>
        <v/>
      </c>
      <c r="H17" s="21">
        <f>IFERROR($G17/$B17,"")</f>
        <v/>
      </c>
      <c r="I17" s="21">
        <f>IFERROR(_xlfn.MAXIFS('Trade Log'!$L$4:$L$503,'Trade Log'!$B$4:$B$503,$A17),"")</f>
        <v/>
      </c>
      <c r="J17" s="21">
        <f>IFERROR(_xlfn.MINIFS('Trade Log'!$L$4:$L$503,'Trade Log'!$B$4:$B$503,$A17),"")</f>
        <v/>
      </c>
    </row>
    <row r="18">
      <c r="A18" s="27" t="inlineStr">
        <is>
          <t>CHEMPLASTS</t>
        </is>
      </c>
      <c r="B18" s="20">
        <f>COUNTIF('Trade Log'!$B$4:$B$503,$A18)</f>
        <v/>
      </c>
      <c r="C18" s="20">
        <f>COUNTIFS('Trade Log'!$B$4:$B$503,$A18,'Trade Log'!$L$4:$L$503,"&gt;0")</f>
        <v/>
      </c>
      <c r="D18" s="20">
        <f>COUNTIFS('Trade Log'!$B$4:$B$503,$A18,'Trade Log'!$L$4:$L$503,"&lt;0")</f>
        <v/>
      </c>
      <c r="E18" s="22">
        <f>IFERROR($C18/$B18,"")</f>
        <v/>
      </c>
      <c r="F18" s="21">
        <f>SUMIF('Trade Log'!$B$4:$B$503,$A18,'Trade Log'!$I$4:$I$503)</f>
        <v/>
      </c>
      <c r="G18" s="21">
        <f>SUMIF('Trade Log'!$B$4:$B$503,$A18,'Trade Log'!$L$4:$L$503)</f>
        <v/>
      </c>
      <c r="H18" s="21">
        <f>IFERROR($G18/$B18,"")</f>
        <v/>
      </c>
      <c r="I18" s="21">
        <f>IFERROR(_xlfn.MAXIFS('Trade Log'!$L$4:$L$503,'Trade Log'!$B$4:$B$503,$A18),"")</f>
        <v/>
      </c>
      <c r="J18" s="21">
        <f>IFERROR(_xlfn.MINIFS('Trade Log'!$L$4:$L$503,'Trade Log'!$B$4:$B$503,$A18),"")</f>
        <v/>
      </c>
    </row>
    <row r="19">
      <c r="A19" s="27" t="inlineStr">
        <is>
          <t>DELTACORP</t>
        </is>
      </c>
      <c r="B19" s="20">
        <f>COUNTIF('Trade Log'!$B$4:$B$503,$A19)</f>
        <v/>
      </c>
      <c r="C19" s="20">
        <f>COUNTIFS('Trade Log'!$B$4:$B$503,$A19,'Trade Log'!$L$4:$L$503,"&gt;0")</f>
        <v/>
      </c>
      <c r="D19" s="20">
        <f>COUNTIFS('Trade Log'!$B$4:$B$503,$A19,'Trade Log'!$L$4:$L$503,"&lt;0")</f>
        <v/>
      </c>
      <c r="E19" s="22">
        <f>IFERROR($C19/$B19,"")</f>
        <v/>
      </c>
      <c r="F19" s="21">
        <f>SUMIF('Trade Log'!$B$4:$B$503,$A19,'Trade Log'!$I$4:$I$503)</f>
        <v/>
      </c>
      <c r="G19" s="21">
        <f>SUMIF('Trade Log'!$B$4:$B$503,$A19,'Trade Log'!$L$4:$L$503)</f>
        <v/>
      </c>
      <c r="H19" s="21">
        <f>IFERROR($G19/$B19,"")</f>
        <v/>
      </c>
      <c r="I19" s="21">
        <f>IFERROR(_xlfn.MAXIFS('Trade Log'!$L$4:$L$503,'Trade Log'!$B$4:$B$503,$A19),"")</f>
        <v/>
      </c>
      <c r="J19" s="21">
        <f>IFERROR(_xlfn.MINIFS('Trade Log'!$L$4:$L$503,'Trade Log'!$B$4:$B$503,$A19),"")</f>
        <v/>
      </c>
    </row>
    <row r="20">
      <c r="A20" s="27" t="inlineStr">
        <is>
          <t>DIAMONDYD</t>
        </is>
      </c>
      <c r="B20" s="20">
        <f>COUNTIF('Trade Log'!$B$4:$B$503,$A20)</f>
        <v/>
      </c>
      <c r="C20" s="20">
        <f>COUNTIFS('Trade Log'!$B$4:$B$503,$A20,'Trade Log'!$L$4:$L$503,"&gt;0")</f>
        <v/>
      </c>
      <c r="D20" s="20">
        <f>COUNTIFS('Trade Log'!$B$4:$B$503,$A20,'Trade Log'!$L$4:$L$503,"&lt;0")</f>
        <v/>
      </c>
      <c r="E20" s="22">
        <f>IFERROR($C20/$B20,"")</f>
        <v/>
      </c>
      <c r="F20" s="21">
        <f>SUMIF('Trade Log'!$B$4:$B$503,$A20,'Trade Log'!$I$4:$I$503)</f>
        <v/>
      </c>
      <c r="G20" s="21">
        <f>SUMIF('Trade Log'!$B$4:$B$503,$A20,'Trade Log'!$L$4:$L$503)</f>
        <v/>
      </c>
      <c r="H20" s="21">
        <f>IFERROR($G20/$B20,"")</f>
        <v/>
      </c>
      <c r="I20" s="21">
        <f>IFERROR(_xlfn.MAXIFS('Trade Log'!$L$4:$L$503,'Trade Log'!$B$4:$B$503,$A20),"")</f>
        <v/>
      </c>
      <c r="J20" s="21">
        <f>IFERROR(_xlfn.MINIFS('Trade Log'!$L$4:$L$503,'Trade Log'!$B$4:$B$503,$A20),"")</f>
        <v/>
      </c>
    </row>
    <row r="21">
      <c r="A21" s="27" t="inlineStr">
        <is>
          <t>DPABHUSHAN</t>
        </is>
      </c>
      <c r="B21" s="20">
        <f>COUNTIF('Trade Log'!$B$4:$B$503,$A21)</f>
        <v/>
      </c>
      <c r="C21" s="20">
        <f>COUNTIFS('Trade Log'!$B$4:$B$503,$A21,'Trade Log'!$L$4:$L$503,"&gt;0")</f>
        <v/>
      </c>
      <c r="D21" s="20">
        <f>COUNTIFS('Trade Log'!$B$4:$B$503,$A21,'Trade Log'!$L$4:$L$503,"&lt;0")</f>
        <v/>
      </c>
      <c r="E21" s="22">
        <f>IFERROR($C21/$B21,"")</f>
        <v/>
      </c>
      <c r="F21" s="21">
        <f>SUMIF('Trade Log'!$B$4:$B$503,$A21,'Trade Log'!$I$4:$I$503)</f>
        <v/>
      </c>
      <c r="G21" s="21">
        <f>SUMIF('Trade Log'!$B$4:$B$503,$A21,'Trade Log'!$L$4:$L$503)</f>
        <v/>
      </c>
      <c r="H21" s="21">
        <f>IFERROR($G21/$B21,"")</f>
        <v/>
      </c>
      <c r="I21" s="21">
        <f>IFERROR(_xlfn.MAXIFS('Trade Log'!$L$4:$L$503,'Trade Log'!$B$4:$B$503,$A21),"")</f>
        <v/>
      </c>
      <c r="J21" s="21">
        <f>IFERROR(_xlfn.MINIFS('Trade Log'!$L$4:$L$503,'Trade Log'!$B$4:$B$503,$A21),"")</f>
        <v/>
      </c>
    </row>
    <row r="22">
      <c r="A22" s="27" t="inlineStr">
        <is>
          <t>EIEL</t>
        </is>
      </c>
      <c r="B22" s="20">
        <f>COUNTIF('Trade Log'!$B$4:$B$503,$A22)</f>
        <v/>
      </c>
      <c r="C22" s="20">
        <f>COUNTIFS('Trade Log'!$B$4:$B$503,$A22,'Trade Log'!$L$4:$L$503,"&gt;0")</f>
        <v/>
      </c>
      <c r="D22" s="20">
        <f>COUNTIFS('Trade Log'!$B$4:$B$503,$A22,'Trade Log'!$L$4:$L$503,"&lt;0")</f>
        <v/>
      </c>
      <c r="E22" s="22">
        <f>IFERROR($C22/$B22,"")</f>
        <v/>
      </c>
      <c r="F22" s="21">
        <f>SUMIF('Trade Log'!$B$4:$B$503,$A22,'Trade Log'!$I$4:$I$503)</f>
        <v/>
      </c>
      <c r="G22" s="21">
        <f>SUMIF('Trade Log'!$B$4:$B$503,$A22,'Trade Log'!$L$4:$L$503)</f>
        <v/>
      </c>
      <c r="H22" s="21">
        <f>IFERROR($G22/$B22,"")</f>
        <v/>
      </c>
      <c r="I22" s="21">
        <f>IFERROR(_xlfn.MAXIFS('Trade Log'!$L$4:$L$503,'Trade Log'!$B$4:$B$503,$A22),"")</f>
        <v/>
      </c>
      <c r="J22" s="21">
        <f>IFERROR(_xlfn.MINIFS('Trade Log'!$L$4:$L$503,'Trade Log'!$B$4:$B$503,$A22),"")</f>
        <v/>
      </c>
    </row>
    <row r="23">
      <c r="A23" s="27" t="inlineStr">
        <is>
          <t>ELECTCAST</t>
        </is>
      </c>
      <c r="B23" s="20">
        <f>COUNTIF('Trade Log'!$B$4:$B$503,$A23)</f>
        <v/>
      </c>
      <c r="C23" s="20">
        <f>COUNTIFS('Trade Log'!$B$4:$B$503,$A23,'Trade Log'!$L$4:$L$503,"&gt;0")</f>
        <v/>
      </c>
      <c r="D23" s="20">
        <f>COUNTIFS('Trade Log'!$B$4:$B$503,$A23,'Trade Log'!$L$4:$L$503,"&lt;0")</f>
        <v/>
      </c>
      <c r="E23" s="22">
        <f>IFERROR($C23/$B23,"")</f>
        <v/>
      </c>
      <c r="F23" s="21">
        <f>SUMIF('Trade Log'!$B$4:$B$503,$A23,'Trade Log'!$I$4:$I$503)</f>
        <v/>
      </c>
      <c r="G23" s="21">
        <f>SUMIF('Trade Log'!$B$4:$B$503,$A23,'Trade Log'!$L$4:$L$503)</f>
        <v/>
      </c>
      <c r="H23" s="21">
        <f>IFERROR($G23/$B23,"")</f>
        <v/>
      </c>
      <c r="I23" s="21">
        <f>IFERROR(_xlfn.MAXIFS('Trade Log'!$L$4:$L$503,'Trade Log'!$B$4:$B$503,$A23),"")</f>
        <v/>
      </c>
      <c r="J23" s="21">
        <f>IFERROR(_xlfn.MINIFS('Trade Log'!$L$4:$L$503,'Trade Log'!$B$4:$B$503,$A23),"")</f>
        <v/>
      </c>
    </row>
    <row r="24">
      <c r="A24" s="27" t="inlineStr">
        <is>
          <t>EMUDHRA</t>
        </is>
      </c>
      <c r="B24" s="20">
        <f>COUNTIF('Trade Log'!$B$4:$B$503,$A24)</f>
        <v/>
      </c>
      <c r="C24" s="20">
        <f>COUNTIFS('Trade Log'!$B$4:$B$503,$A24,'Trade Log'!$L$4:$L$503,"&gt;0")</f>
        <v/>
      </c>
      <c r="D24" s="20">
        <f>COUNTIFS('Trade Log'!$B$4:$B$503,$A24,'Trade Log'!$L$4:$L$503,"&lt;0")</f>
        <v/>
      </c>
      <c r="E24" s="22">
        <f>IFERROR($C24/$B24,"")</f>
        <v/>
      </c>
      <c r="F24" s="21">
        <f>SUMIF('Trade Log'!$B$4:$B$503,$A24,'Trade Log'!$I$4:$I$503)</f>
        <v/>
      </c>
      <c r="G24" s="21">
        <f>SUMIF('Trade Log'!$B$4:$B$503,$A24,'Trade Log'!$L$4:$L$503)</f>
        <v/>
      </c>
      <c r="H24" s="21">
        <f>IFERROR($G24/$B24,"")</f>
        <v/>
      </c>
      <c r="I24" s="21">
        <f>IFERROR(_xlfn.MAXIFS('Trade Log'!$L$4:$L$503,'Trade Log'!$B$4:$B$503,$A24),"")</f>
        <v/>
      </c>
      <c r="J24" s="21">
        <f>IFERROR(_xlfn.MINIFS('Trade Log'!$L$4:$L$503,'Trade Log'!$B$4:$B$503,$A24),"")</f>
        <v/>
      </c>
    </row>
    <row r="25">
      <c r="A25" s="27" t="inlineStr">
        <is>
          <t>FILATEX</t>
        </is>
      </c>
      <c r="B25" s="20">
        <f>COUNTIF('Trade Log'!$B$4:$B$503,$A25)</f>
        <v/>
      </c>
      <c r="C25" s="20">
        <f>COUNTIFS('Trade Log'!$B$4:$B$503,$A25,'Trade Log'!$L$4:$L$503,"&gt;0")</f>
        <v/>
      </c>
      <c r="D25" s="20">
        <f>COUNTIFS('Trade Log'!$B$4:$B$503,$A25,'Trade Log'!$L$4:$L$503,"&lt;0")</f>
        <v/>
      </c>
      <c r="E25" s="22">
        <f>IFERROR($C25/$B25,"")</f>
        <v/>
      </c>
      <c r="F25" s="21">
        <f>SUMIF('Trade Log'!$B$4:$B$503,$A25,'Trade Log'!$I$4:$I$503)</f>
        <v/>
      </c>
      <c r="G25" s="21">
        <f>SUMIF('Trade Log'!$B$4:$B$503,$A25,'Trade Log'!$L$4:$L$503)</f>
        <v/>
      </c>
      <c r="H25" s="21">
        <f>IFERROR($G25/$B25,"")</f>
        <v/>
      </c>
      <c r="I25" s="21">
        <f>IFERROR(_xlfn.MAXIFS('Trade Log'!$L$4:$L$503,'Trade Log'!$B$4:$B$503,$A25),"")</f>
        <v/>
      </c>
      <c r="J25" s="21">
        <f>IFERROR(_xlfn.MINIFS('Trade Log'!$L$4:$L$503,'Trade Log'!$B$4:$B$503,$A25),"")</f>
        <v/>
      </c>
    </row>
    <row r="26">
      <c r="A26" s="27" t="inlineStr">
        <is>
          <t>FMGOETZE</t>
        </is>
      </c>
      <c r="B26" s="20">
        <f>COUNTIF('Trade Log'!$B$4:$B$503,$A26)</f>
        <v/>
      </c>
      <c r="C26" s="20">
        <f>COUNTIFS('Trade Log'!$B$4:$B$503,$A26,'Trade Log'!$L$4:$L$503,"&gt;0")</f>
        <v/>
      </c>
      <c r="D26" s="20">
        <f>COUNTIFS('Trade Log'!$B$4:$B$503,$A26,'Trade Log'!$L$4:$L$503,"&lt;0")</f>
        <v/>
      </c>
      <c r="E26" s="22">
        <f>IFERROR($C26/$B26,"")</f>
        <v/>
      </c>
      <c r="F26" s="21">
        <f>SUMIF('Trade Log'!$B$4:$B$503,$A26,'Trade Log'!$I$4:$I$503)</f>
        <v/>
      </c>
      <c r="G26" s="21">
        <f>SUMIF('Trade Log'!$B$4:$B$503,$A26,'Trade Log'!$L$4:$L$503)</f>
        <v/>
      </c>
      <c r="H26" s="21">
        <f>IFERROR($G26/$B26,"")</f>
        <v/>
      </c>
      <c r="I26" s="21">
        <f>IFERROR(_xlfn.MAXIFS('Trade Log'!$L$4:$L$503,'Trade Log'!$B$4:$B$503,$A26),"")</f>
        <v/>
      </c>
      <c r="J26" s="21">
        <f>IFERROR(_xlfn.MINIFS('Trade Log'!$L$4:$L$503,'Trade Log'!$B$4:$B$503,$A26),"")</f>
        <v/>
      </c>
    </row>
    <row r="27">
      <c r="A27" s="27" t="inlineStr">
        <is>
          <t>FOSECOIND</t>
        </is>
      </c>
      <c r="B27" s="20">
        <f>COUNTIF('Trade Log'!$B$4:$B$503,$A27)</f>
        <v/>
      </c>
      <c r="C27" s="20">
        <f>COUNTIFS('Trade Log'!$B$4:$B$503,$A27,'Trade Log'!$L$4:$L$503,"&gt;0")</f>
        <v/>
      </c>
      <c r="D27" s="20">
        <f>COUNTIFS('Trade Log'!$B$4:$B$503,$A27,'Trade Log'!$L$4:$L$503,"&lt;0")</f>
        <v/>
      </c>
      <c r="E27" s="22">
        <f>IFERROR($C27/$B27,"")</f>
        <v/>
      </c>
      <c r="F27" s="21">
        <f>SUMIF('Trade Log'!$B$4:$B$503,$A27,'Trade Log'!$I$4:$I$503)</f>
        <v/>
      </c>
      <c r="G27" s="21">
        <f>SUMIF('Trade Log'!$B$4:$B$503,$A27,'Trade Log'!$L$4:$L$503)</f>
        <v/>
      </c>
      <c r="H27" s="21">
        <f>IFERROR($G27/$B27,"")</f>
        <v/>
      </c>
      <c r="I27" s="21">
        <f>IFERROR(_xlfn.MAXIFS('Trade Log'!$L$4:$L$503,'Trade Log'!$B$4:$B$503,$A27),"")</f>
        <v/>
      </c>
      <c r="J27" s="21">
        <f>IFERROR(_xlfn.MINIFS('Trade Log'!$L$4:$L$503,'Trade Log'!$B$4:$B$503,$A27),"")</f>
        <v/>
      </c>
    </row>
    <row r="28">
      <c r="A28" s="27" t="inlineStr">
        <is>
          <t>FRONTSP</t>
        </is>
      </c>
      <c r="B28" s="20">
        <f>COUNTIF('Trade Log'!$B$4:$B$503,$A28)</f>
        <v/>
      </c>
      <c r="C28" s="20">
        <f>COUNTIFS('Trade Log'!$B$4:$B$503,$A28,'Trade Log'!$L$4:$L$503,"&gt;0")</f>
        <v/>
      </c>
      <c r="D28" s="20">
        <f>COUNTIFS('Trade Log'!$B$4:$B$503,$A28,'Trade Log'!$L$4:$L$503,"&lt;0")</f>
        <v/>
      </c>
      <c r="E28" s="22">
        <f>IFERROR($C28/$B28,"")</f>
        <v/>
      </c>
      <c r="F28" s="21">
        <f>SUMIF('Trade Log'!$B$4:$B$503,$A28,'Trade Log'!$I$4:$I$503)</f>
        <v/>
      </c>
      <c r="G28" s="21">
        <f>SUMIF('Trade Log'!$B$4:$B$503,$A28,'Trade Log'!$L$4:$L$503)</f>
        <v/>
      </c>
      <c r="H28" s="21">
        <f>IFERROR($G28/$B28,"")</f>
        <v/>
      </c>
      <c r="I28" s="21">
        <f>IFERROR(_xlfn.MAXIFS('Trade Log'!$L$4:$L$503,'Trade Log'!$B$4:$B$503,$A28),"")</f>
        <v/>
      </c>
      <c r="J28" s="21">
        <f>IFERROR(_xlfn.MINIFS('Trade Log'!$L$4:$L$503,'Trade Log'!$B$4:$B$503,$A28),"")</f>
        <v/>
      </c>
    </row>
    <row r="29">
      <c r="A29" s="27" t="inlineStr">
        <is>
          <t>GKENERGY</t>
        </is>
      </c>
      <c r="B29" s="20">
        <f>COUNTIF('Trade Log'!$B$4:$B$503,$A29)</f>
        <v/>
      </c>
      <c r="C29" s="20">
        <f>COUNTIFS('Trade Log'!$B$4:$B$503,$A29,'Trade Log'!$L$4:$L$503,"&gt;0")</f>
        <v/>
      </c>
      <c r="D29" s="20">
        <f>COUNTIFS('Trade Log'!$B$4:$B$503,$A29,'Trade Log'!$L$4:$L$503,"&lt;0")</f>
        <v/>
      </c>
      <c r="E29" s="22">
        <f>IFERROR($C29/$B29,"")</f>
        <v/>
      </c>
      <c r="F29" s="21">
        <f>SUMIF('Trade Log'!$B$4:$B$503,$A29,'Trade Log'!$I$4:$I$503)</f>
        <v/>
      </c>
      <c r="G29" s="21">
        <f>SUMIF('Trade Log'!$B$4:$B$503,$A29,'Trade Log'!$L$4:$L$503)</f>
        <v/>
      </c>
      <c r="H29" s="21">
        <f>IFERROR($G29/$B29,"")</f>
        <v/>
      </c>
      <c r="I29" s="21">
        <f>IFERROR(_xlfn.MAXIFS('Trade Log'!$L$4:$L$503,'Trade Log'!$B$4:$B$503,$A29),"")</f>
        <v/>
      </c>
      <c r="J29" s="21">
        <f>IFERROR(_xlfn.MINIFS('Trade Log'!$L$4:$L$503,'Trade Log'!$B$4:$B$503,$A29),"")</f>
        <v/>
      </c>
    </row>
    <row r="30">
      <c r="A30" s="27" t="inlineStr">
        <is>
          <t>GNA</t>
        </is>
      </c>
      <c r="B30" s="20">
        <f>COUNTIF('Trade Log'!$B$4:$B$503,$A30)</f>
        <v/>
      </c>
      <c r="C30" s="20">
        <f>COUNTIFS('Trade Log'!$B$4:$B$503,$A30,'Trade Log'!$L$4:$L$503,"&gt;0")</f>
        <v/>
      </c>
      <c r="D30" s="20">
        <f>COUNTIFS('Trade Log'!$B$4:$B$503,$A30,'Trade Log'!$L$4:$L$503,"&lt;0")</f>
        <v/>
      </c>
      <c r="E30" s="22">
        <f>IFERROR($C30/$B30,"")</f>
        <v/>
      </c>
      <c r="F30" s="21">
        <f>SUMIF('Trade Log'!$B$4:$B$503,$A30,'Trade Log'!$I$4:$I$503)</f>
        <v/>
      </c>
      <c r="G30" s="21">
        <f>SUMIF('Trade Log'!$B$4:$B$503,$A30,'Trade Log'!$L$4:$L$503)</f>
        <v/>
      </c>
      <c r="H30" s="21">
        <f>IFERROR($G30/$B30,"")</f>
        <v/>
      </c>
      <c r="I30" s="21">
        <f>IFERROR(_xlfn.MAXIFS('Trade Log'!$L$4:$L$503,'Trade Log'!$B$4:$B$503,$A30),"")</f>
        <v/>
      </c>
      <c r="J30" s="21">
        <f>IFERROR(_xlfn.MINIFS('Trade Log'!$L$4:$L$503,'Trade Log'!$B$4:$B$503,$A30),"")</f>
        <v/>
      </c>
    </row>
    <row r="31">
      <c r="A31" s="27" t="inlineStr">
        <is>
          <t>GNRL</t>
        </is>
      </c>
      <c r="B31" s="20">
        <f>COUNTIF('Trade Log'!$B$4:$B$503,$A31)</f>
        <v/>
      </c>
      <c r="C31" s="20">
        <f>COUNTIFS('Trade Log'!$B$4:$B$503,$A31,'Trade Log'!$L$4:$L$503,"&gt;0")</f>
        <v/>
      </c>
      <c r="D31" s="20">
        <f>COUNTIFS('Trade Log'!$B$4:$B$503,$A31,'Trade Log'!$L$4:$L$503,"&lt;0")</f>
        <v/>
      </c>
      <c r="E31" s="22">
        <f>IFERROR($C31/$B31,"")</f>
        <v/>
      </c>
      <c r="F31" s="21">
        <f>SUMIF('Trade Log'!$B$4:$B$503,$A31,'Trade Log'!$I$4:$I$503)</f>
        <v/>
      </c>
      <c r="G31" s="21">
        <f>SUMIF('Trade Log'!$B$4:$B$503,$A31,'Trade Log'!$L$4:$L$503)</f>
        <v/>
      </c>
      <c r="H31" s="21">
        <f>IFERROR($G31/$B31,"")</f>
        <v/>
      </c>
      <c r="I31" s="21">
        <f>IFERROR(_xlfn.MAXIFS('Trade Log'!$L$4:$L$503,'Trade Log'!$B$4:$B$503,$A31),"")</f>
        <v/>
      </c>
      <c r="J31" s="21">
        <f>IFERROR(_xlfn.MINIFS('Trade Log'!$L$4:$L$503,'Trade Log'!$B$4:$B$503,$A31),"")</f>
        <v/>
      </c>
    </row>
    <row r="32">
      <c r="A32" s="27" t="inlineStr">
        <is>
          <t>GOCLCORP</t>
        </is>
      </c>
      <c r="B32" s="20">
        <f>COUNTIF('Trade Log'!$B$4:$B$503,$A32)</f>
        <v/>
      </c>
      <c r="C32" s="20">
        <f>COUNTIFS('Trade Log'!$B$4:$B$503,$A32,'Trade Log'!$L$4:$L$503,"&gt;0")</f>
        <v/>
      </c>
      <c r="D32" s="20">
        <f>COUNTIFS('Trade Log'!$B$4:$B$503,$A32,'Trade Log'!$L$4:$L$503,"&lt;0")</f>
        <v/>
      </c>
      <c r="E32" s="22">
        <f>IFERROR($C32/$B32,"")</f>
        <v/>
      </c>
      <c r="F32" s="21">
        <f>SUMIF('Trade Log'!$B$4:$B$503,$A32,'Trade Log'!$I$4:$I$503)</f>
        <v/>
      </c>
      <c r="G32" s="21">
        <f>SUMIF('Trade Log'!$B$4:$B$503,$A32,'Trade Log'!$L$4:$L$503)</f>
        <v/>
      </c>
      <c r="H32" s="21">
        <f>IFERROR($G32/$B32,"")</f>
        <v/>
      </c>
      <c r="I32" s="21">
        <f>IFERROR(_xlfn.MAXIFS('Trade Log'!$L$4:$L$503,'Trade Log'!$B$4:$B$503,$A32),"")</f>
        <v/>
      </c>
      <c r="J32" s="21">
        <f>IFERROR(_xlfn.MINIFS('Trade Log'!$L$4:$L$503,'Trade Log'!$B$4:$B$503,$A32),"")</f>
        <v/>
      </c>
    </row>
    <row r="33">
      <c r="A33" s="27" t="inlineStr">
        <is>
          <t>GOPAL</t>
        </is>
      </c>
      <c r="B33" s="20">
        <f>COUNTIF('Trade Log'!$B$4:$B$503,$A33)</f>
        <v/>
      </c>
      <c r="C33" s="20">
        <f>COUNTIFS('Trade Log'!$B$4:$B$503,$A33,'Trade Log'!$L$4:$L$503,"&gt;0")</f>
        <v/>
      </c>
      <c r="D33" s="20">
        <f>COUNTIFS('Trade Log'!$B$4:$B$503,$A33,'Trade Log'!$L$4:$L$503,"&lt;0")</f>
        <v/>
      </c>
      <c r="E33" s="22">
        <f>IFERROR($C33/$B33,"")</f>
        <v/>
      </c>
      <c r="F33" s="21">
        <f>SUMIF('Trade Log'!$B$4:$B$503,$A33,'Trade Log'!$I$4:$I$503)</f>
        <v/>
      </c>
      <c r="G33" s="21">
        <f>SUMIF('Trade Log'!$B$4:$B$503,$A33,'Trade Log'!$L$4:$L$503)</f>
        <v/>
      </c>
      <c r="H33" s="21">
        <f>IFERROR($G33/$B33,"")</f>
        <v/>
      </c>
      <c r="I33" s="21">
        <f>IFERROR(_xlfn.MAXIFS('Trade Log'!$L$4:$L$503,'Trade Log'!$B$4:$B$503,$A33),"")</f>
        <v/>
      </c>
      <c r="J33" s="21">
        <f>IFERROR(_xlfn.MINIFS('Trade Log'!$L$4:$L$503,'Trade Log'!$B$4:$B$503,$A33),"")</f>
        <v/>
      </c>
    </row>
    <row r="34">
      <c r="A34" s="27" t="inlineStr">
        <is>
          <t>GRAUWEIL</t>
        </is>
      </c>
      <c r="B34" s="20">
        <f>COUNTIF('Trade Log'!$B$4:$B$503,$A34)</f>
        <v/>
      </c>
      <c r="C34" s="20">
        <f>COUNTIFS('Trade Log'!$B$4:$B$503,$A34,'Trade Log'!$L$4:$L$503,"&gt;0")</f>
        <v/>
      </c>
      <c r="D34" s="20">
        <f>COUNTIFS('Trade Log'!$B$4:$B$503,$A34,'Trade Log'!$L$4:$L$503,"&lt;0")</f>
        <v/>
      </c>
      <c r="E34" s="22">
        <f>IFERROR($C34/$B34,"")</f>
        <v/>
      </c>
      <c r="F34" s="21">
        <f>SUMIF('Trade Log'!$B$4:$B$503,$A34,'Trade Log'!$I$4:$I$503)</f>
        <v/>
      </c>
      <c r="G34" s="21">
        <f>SUMIF('Trade Log'!$B$4:$B$503,$A34,'Trade Log'!$L$4:$L$503)</f>
        <v/>
      </c>
      <c r="H34" s="21">
        <f>IFERROR($G34/$B34,"")</f>
        <v/>
      </c>
      <c r="I34" s="21">
        <f>IFERROR(_xlfn.MAXIFS('Trade Log'!$L$4:$L$503,'Trade Log'!$B$4:$B$503,$A34),"")</f>
        <v/>
      </c>
      <c r="J34" s="21">
        <f>IFERROR(_xlfn.MINIFS('Trade Log'!$L$4:$L$503,'Trade Log'!$B$4:$B$503,$A34),"")</f>
        <v/>
      </c>
    </row>
    <row r="35">
      <c r="A35" s="27" t="inlineStr">
        <is>
          <t>GREAVESCOT</t>
        </is>
      </c>
      <c r="B35" s="20">
        <f>COUNTIF('Trade Log'!$B$4:$B$503,$A35)</f>
        <v/>
      </c>
      <c r="C35" s="20">
        <f>COUNTIFS('Trade Log'!$B$4:$B$503,$A35,'Trade Log'!$L$4:$L$503,"&gt;0")</f>
        <v/>
      </c>
      <c r="D35" s="20">
        <f>COUNTIFS('Trade Log'!$B$4:$B$503,$A35,'Trade Log'!$L$4:$L$503,"&lt;0")</f>
        <v/>
      </c>
      <c r="E35" s="22">
        <f>IFERROR($C35/$B35,"")</f>
        <v/>
      </c>
      <c r="F35" s="21">
        <f>SUMIF('Trade Log'!$B$4:$B$503,$A35,'Trade Log'!$I$4:$I$503)</f>
        <v/>
      </c>
      <c r="G35" s="21">
        <f>SUMIF('Trade Log'!$B$4:$B$503,$A35,'Trade Log'!$L$4:$L$503)</f>
        <v/>
      </c>
      <c r="H35" s="21">
        <f>IFERROR($G35/$B35,"")</f>
        <v/>
      </c>
      <c r="I35" s="21">
        <f>IFERROR(_xlfn.MAXIFS('Trade Log'!$L$4:$L$503,'Trade Log'!$B$4:$B$503,$A35),"")</f>
        <v/>
      </c>
      <c r="J35" s="21">
        <f>IFERROR(_xlfn.MINIFS('Trade Log'!$L$4:$L$503,'Trade Log'!$B$4:$B$503,$A35),"")</f>
        <v/>
      </c>
    </row>
    <row r="36">
      <c r="A36" s="27" t="inlineStr">
        <is>
          <t>GUJTHEM</t>
        </is>
      </c>
      <c r="B36" s="20">
        <f>COUNTIF('Trade Log'!$B$4:$B$503,$A36)</f>
        <v/>
      </c>
      <c r="C36" s="20">
        <f>COUNTIFS('Trade Log'!$B$4:$B$503,$A36,'Trade Log'!$L$4:$L$503,"&gt;0")</f>
        <v/>
      </c>
      <c r="D36" s="20">
        <f>COUNTIFS('Trade Log'!$B$4:$B$503,$A36,'Trade Log'!$L$4:$L$503,"&lt;0")</f>
        <v/>
      </c>
      <c r="E36" s="22">
        <f>IFERROR($C36/$B36,"")</f>
        <v/>
      </c>
      <c r="F36" s="21">
        <f>SUMIF('Trade Log'!$B$4:$B$503,$A36,'Trade Log'!$I$4:$I$503)</f>
        <v/>
      </c>
      <c r="G36" s="21">
        <f>SUMIF('Trade Log'!$B$4:$B$503,$A36,'Trade Log'!$L$4:$L$503)</f>
        <v/>
      </c>
      <c r="H36" s="21">
        <f>IFERROR($G36/$B36,"")</f>
        <v/>
      </c>
      <c r="I36" s="21">
        <f>IFERROR(_xlfn.MAXIFS('Trade Log'!$L$4:$L$503,'Trade Log'!$B$4:$B$503,$A36),"")</f>
        <v/>
      </c>
      <c r="J36" s="21">
        <f>IFERROR(_xlfn.MINIFS('Trade Log'!$L$4:$L$503,'Trade Log'!$B$4:$B$503,$A36),"")</f>
        <v/>
      </c>
    </row>
    <row r="37">
      <c r="A37" s="27" t="inlineStr">
        <is>
          <t>HERITGFOOD</t>
        </is>
      </c>
      <c r="B37" s="20">
        <f>COUNTIF('Trade Log'!$B$4:$B$503,$A37)</f>
        <v/>
      </c>
      <c r="C37" s="20">
        <f>COUNTIFS('Trade Log'!$B$4:$B$503,$A37,'Trade Log'!$L$4:$L$503,"&gt;0")</f>
        <v/>
      </c>
      <c r="D37" s="20">
        <f>COUNTIFS('Trade Log'!$B$4:$B$503,$A37,'Trade Log'!$L$4:$L$503,"&lt;0")</f>
        <v/>
      </c>
      <c r="E37" s="22">
        <f>IFERROR($C37/$B37,"")</f>
        <v/>
      </c>
      <c r="F37" s="21">
        <f>SUMIF('Trade Log'!$B$4:$B$503,$A37,'Trade Log'!$I$4:$I$503)</f>
        <v/>
      </c>
      <c r="G37" s="21">
        <f>SUMIF('Trade Log'!$B$4:$B$503,$A37,'Trade Log'!$L$4:$L$503)</f>
        <v/>
      </c>
      <c r="H37" s="21">
        <f>IFERROR($G37/$B37,"")</f>
        <v/>
      </c>
      <c r="I37" s="21">
        <f>IFERROR(_xlfn.MAXIFS('Trade Log'!$L$4:$L$503,'Trade Log'!$B$4:$B$503,$A37),"")</f>
        <v/>
      </c>
      <c r="J37" s="21">
        <f>IFERROR(_xlfn.MINIFS('Trade Log'!$L$4:$L$503,'Trade Log'!$B$4:$B$503,$A37),"")</f>
        <v/>
      </c>
    </row>
    <row r="38">
      <c r="A38" s="27" t="inlineStr">
        <is>
          <t>HIKAL</t>
        </is>
      </c>
      <c r="B38" s="20">
        <f>COUNTIF('Trade Log'!$B$4:$B$503,$A38)</f>
        <v/>
      </c>
      <c r="C38" s="20">
        <f>COUNTIFS('Trade Log'!$B$4:$B$503,$A38,'Trade Log'!$L$4:$L$503,"&gt;0")</f>
        <v/>
      </c>
      <c r="D38" s="20">
        <f>COUNTIFS('Trade Log'!$B$4:$B$503,$A38,'Trade Log'!$L$4:$L$503,"&lt;0")</f>
        <v/>
      </c>
      <c r="E38" s="22">
        <f>IFERROR($C38/$B38,"")</f>
        <v/>
      </c>
      <c r="F38" s="21">
        <f>SUMIF('Trade Log'!$B$4:$B$503,$A38,'Trade Log'!$I$4:$I$503)</f>
        <v/>
      </c>
      <c r="G38" s="21">
        <f>SUMIF('Trade Log'!$B$4:$B$503,$A38,'Trade Log'!$L$4:$L$503)</f>
        <v/>
      </c>
      <c r="H38" s="21">
        <f>IFERROR($G38/$B38,"")</f>
        <v/>
      </c>
      <c r="I38" s="21">
        <f>IFERROR(_xlfn.MAXIFS('Trade Log'!$L$4:$L$503,'Trade Log'!$B$4:$B$503,$A38),"")</f>
        <v/>
      </c>
      <c r="J38" s="21">
        <f>IFERROR(_xlfn.MINIFS('Trade Log'!$L$4:$L$503,'Trade Log'!$B$4:$B$503,$A38),"")</f>
        <v/>
      </c>
    </row>
    <row r="39">
      <c r="A39" s="27" t="inlineStr">
        <is>
          <t>HINDOILEXP</t>
        </is>
      </c>
      <c r="B39" s="20">
        <f>COUNTIF('Trade Log'!$B$4:$B$503,$A39)</f>
        <v/>
      </c>
      <c r="C39" s="20">
        <f>COUNTIFS('Trade Log'!$B$4:$B$503,$A39,'Trade Log'!$L$4:$L$503,"&gt;0")</f>
        <v/>
      </c>
      <c r="D39" s="20">
        <f>COUNTIFS('Trade Log'!$B$4:$B$503,$A39,'Trade Log'!$L$4:$L$503,"&lt;0")</f>
        <v/>
      </c>
      <c r="E39" s="22">
        <f>IFERROR($C39/$B39,"")</f>
        <v/>
      </c>
      <c r="F39" s="21">
        <f>SUMIF('Trade Log'!$B$4:$B$503,$A39,'Trade Log'!$I$4:$I$503)</f>
        <v/>
      </c>
      <c r="G39" s="21">
        <f>SUMIF('Trade Log'!$B$4:$B$503,$A39,'Trade Log'!$L$4:$L$503)</f>
        <v/>
      </c>
      <c r="H39" s="21">
        <f>IFERROR($G39/$B39,"")</f>
        <v/>
      </c>
      <c r="I39" s="21">
        <f>IFERROR(_xlfn.MAXIFS('Trade Log'!$L$4:$L$503,'Trade Log'!$B$4:$B$503,$A39),"")</f>
        <v/>
      </c>
      <c r="J39" s="21">
        <f>IFERROR(_xlfn.MINIFS('Trade Log'!$L$4:$L$503,'Trade Log'!$B$4:$B$503,$A39),"")</f>
        <v/>
      </c>
    </row>
    <row r="40">
      <c r="A40" s="27" t="inlineStr">
        <is>
          <t>HUBTOWN</t>
        </is>
      </c>
      <c r="B40" s="20">
        <f>COUNTIF('Trade Log'!$B$4:$B$503,$A40)</f>
        <v/>
      </c>
      <c r="C40" s="20">
        <f>COUNTIFS('Trade Log'!$B$4:$B$503,$A40,'Trade Log'!$L$4:$L$503,"&gt;0")</f>
        <v/>
      </c>
      <c r="D40" s="20">
        <f>COUNTIFS('Trade Log'!$B$4:$B$503,$A40,'Trade Log'!$L$4:$L$503,"&lt;0")</f>
        <v/>
      </c>
      <c r="E40" s="22">
        <f>IFERROR($C40/$B40,"")</f>
        <v/>
      </c>
      <c r="F40" s="21">
        <f>SUMIF('Trade Log'!$B$4:$B$503,$A40,'Trade Log'!$I$4:$I$503)</f>
        <v/>
      </c>
      <c r="G40" s="21">
        <f>SUMIF('Trade Log'!$B$4:$B$503,$A40,'Trade Log'!$L$4:$L$503)</f>
        <v/>
      </c>
      <c r="H40" s="21">
        <f>IFERROR($G40/$B40,"")</f>
        <v/>
      </c>
      <c r="I40" s="21">
        <f>IFERROR(_xlfn.MAXIFS('Trade Log'!$L$4:$L$503,'Trade Log'!$B$4:$B$503,$A40),"")</f>
        <v/>
      </c>
      <c r="J40" s="21">
        <f>IFERROR(_xlfn.MINIFS('Trade Log'!$L$4:$L$503,'Trade Log'!$B$4:$B$503,$A40),"")</f>
        <v/>
      </c>
    </row>
    <row r="41">
      <c r="A41" s="27" t="inlineStr">
        <is>
          <t>INDIAGLYCO</t>
        </is>
      </c>
      <c r="B41" s="20">
        <f>COUNTIF('Trade Log'!$B$4:$B$503,$A41)</f>
        <v/>
      </c>
      <c r="C41" s="20">
        <f>COUNTIFS('Trade Log'!$B$4:$B$503,$A41,'Trade Log'!$L$4:$L$503,"&gt;0")</f>
        <v/>
      </c>
      <c r="D41" s="20">
        <f>COUNTIFS('Trade Log'!$B$4:$B$503,$A41,'Trade Log'!$L$4:$L$503,"&lt;0")</f>
        <v/>
      </c>
      <c r="E41" s="22">
        <f>IFERROR($C41/$B41,"")</f>
        <v/>
      </c>
      <c r="F41" s="21">
        <f>SUMIF('Trade Log'!$B$4:$B$503,$A41,'Trade Log'!$I$4:$I$503)</f>
        <v/>
      </c>
      <c r="G41" s="21">
        <f>SUMIF('Trade Log'!$B$4:$B$503,$A41,'Trade Log'!$L$4:$L$503)</f>
        <v/>
      </c>
      <c r="H41" s="21">
        <f>IFERROR($G41/$B41,"")</f>
        <v/>
      </c>
      <c r="I41" s="21">
        <f>IFERROR(_xlfn.MAXIFS('Trade Log'!$L$4:$L$503,'Trade Log'!$B$4:$B$503,$A41),"")</f>
        <v/>
      </c>
      <c r="J41" s="21">
        <f>IFERROR(_xlfn.MINIFS('Trade Log'!$L$4:$L$503,'Trade Log'!$B$4:$B$503,$A41),"")</f>
        <v/>
      </c>
    </row>
    <row r="42">
      <c r="A42" s="27" t="inlineStr">
        <is>
          <t>INDNIPPON</t>
        </is>
      </c>
      <c r="B42" s="20">
        <f>COUNTIF('Trade Log'!$B$4:$B$503,$A42)</f>
        <v/>
      </c>
      <c r="C42" s="20">
        <f>COUNTIFS('Trade Log'!$B$4:$B$503,$A42,'Trade Log'!$L$4:$L$503,"&gt;0")</f>
        <v/>
      </c>
      <c r="D42" s="20">
        <f>COUNTIFS('Trade Log'!$B$4:$B$503,$A42,'Trade Log'!$L$4:$L$503,"&lt;0")</f>
        <v/>
      </c>
      <c r="E42" s="22">
        <f>IFERROR($C42/$B42,"")</f>
        <v/>
      </c>
      <c r="F42" s="21">
        <f>SUMIF('Trade Log'!$B$4:$B$503,$A42,'Trade Log'!$I$4:$I$503)</f>
        <v/>
      </c>
      <c r="G42" s="21">
        <f>SUMIF('Trade Log'!$B$4:$B$503,$A42,'Trade Log'!$L$4:$L$503)</f>
        <v/>
      </c>
      <c r="H42" s="21">
        <f>IFERROR($G42/$B42,"")</f>
        <v/>
      </c>
      <c r="I42" s="21">
        <f>IFERROR(_xlfn.MAXIFS('Trade Log'!$L$4:$L$503,'Trade Log'!$B$4:$B$503,$A42),"")</f>
        <v/>
      </c>
      <c r="J42" s="21">
        <f>IFERROR(_xlfn.MINIFS('Trade Log'!$L$4:$L$503,'Trade Log'!$B$4:$B$503,$A42),"")</f>
        <v/>
      </c>
    </row>
    <row r="43">
      <c r="A43" s="27" t="inlineStr">
        <is>
          <t>INDOCO</t>
        </is>
      </c>
      <c r="B43" s="20">
        <f>COUNTIF('Trade Log'!$B$4:$B$503,$A43)</f>
        <v/>
      </c>
      <c r="C43" s="20">
        <f>COUNTIFS('Trade Log'!$B$4:$B$503,$A43,'Trade Log'!$L$4:$L$503,"&gt;0")</f>
        <v/>
      </c>
      <c r="D43" s="20">
        <f>COUNTIFS('Trade Log'!$B$4:$B$503,$A43,'Trade Log'!$L$4:$L$503,"&lt;0")</f>
        <v/>
      </c>
      <c r="E43" s="22">
        <f>IFERROR($C43/$B43,"")</f>
        <v/>
      </c>
      <c r="F43" s="21">
        <f>SUMIF('Trade Log'!$B$4:$B$503,$A43,'Trade Log'!$I$4:$I$503)</f>
        <v/>
      </c>
      <c r="G43" s="21">
        <f>SUMIF('Trade Log'!$B$4:$B$503,$A43,'Trade Log'!$L$4:$L$503)</f>
        <v/>
      </c>
      <c r="H43" s="21">
        <f>IFERROR($G43/$B43,"")</f>
        <v/>
      </c>
      <c r="I43" s="21">
        <f>IFERROR(_xlfn.MAXIFS('Trade Log'!$L$4:$L$503,'Trade Log'!$B$4:$B$503,$A43),"")</f>
        <v/>
      </c>
      <c r="J43" s="21">
        <f>IFERROR(_xlfn.MINIFS('Trade Log'!$L$4:$L$503,'Trade Log'!$B$4:$B$503,$A43),"")</f>
        <v/>
      </c>
    </row>
    <row r="44">
      <c r="A44" s="27" t="inlineStr">
        <is>
          <t>INDORAMA</t>
        </is>
      </c>
      <c r="B44" s="20">
        <f>COUNTIF('Trade Log'!$B$4:$B$503,$A44)</f>
        <v/>
      </c>
      <c r="C44" s="20">
        <f>COUNTIFS('Trade Log'!$B$4:$B$503,$A44,'Trade Log'!$L$4:$L$503,"&gt;0")</f>
        <v/>
      </c>
      <c r="D44" s="20">
        <f>COUNTIFS('Trade Log'!$B$4:$B$503,$A44,'Trade Log'!$L$4:$L$503,"&lt;0")</f>
        <v/>
      </c>
      <c r="E44" s="22">
        <f>IFERROR($C44/$B44,"")</f>
        <v/>
      </c>
      <c r="F44" s="21">
        <f>SUMIF('Trade Log'!$B$4:$B$503,$A44,'Trade Log'!$I$4:$I$503)</f>
        <v/>
      </c>
      <c r="G44" s="21">
        <f>SUMIF('Trade Log'!$B$4:$B$503,$A44,'Trade Log'!$L$4:$L$503)</f>
        <v/>
      </c>
      <c r="H44" s="21">
        <f>IFERROR($G44/$B44,"")</f>
        <v/>
      </c>
      <c r="I44" s="21">
        <f>IFERROR(_xlfn.MAXIFS('Trade Log'!$L$4:$L$503,'Trade Log'!$B$4:$B$503,$A44),"")</f>
        <v/>
      </c>
      <c r="J44" s="21">
        <f>IFERROR(_xlfn.MINIFS('Trade Log'!$L$4:$L$503,'Trade Log'!$B$4:$B$503,$A44),"")</f>
        <v/>
      </c>
    </row>
    <row r="45">
      <c r="A45" s="27" t="inlineStr">
        <is>
          <t>IPL</t>
        </is>
      </c>
      <c r="B45" s="20">
        <f>COUNTIF('Trade Log'!$B$4:$B$503,$A45)</f>
        <v/>
      </c>
      <c r="C45" s="20">
        <f>COUNTIFS('Trade Log'!$B$4:$B$503,$A45,'Trade Log'!$L$4:$L$503,"&gt;0")</f>
        <v/>
      </c>
      <c r="D45" s="20">
        <f>COUNTIFS('Trade Log'!$B$4:$B$503,$A45,'Trade Log'!$L$4:$L$503,"&lt;0")</f>
        <v/>
      </c>
      <c r="E45" s="22">
        <f>IFERROR($C45/$B45,"")</f>
        <v/>
      </c>
      <c r="F45" s="21">
        <f>SUMIF('Trade Log'!$B$4:$B$503,$A45,'Trade Log'!$I$4:$I$503)</f>
        <v/>
      </c>
      <c r="G45" s="21">
        <f>SUMIF('Trade Log'!$B$4:$B$503,$A45,'Trade Log'!$L$4:$L$503)</f>
        <v/>
      </c>
      <c r="H45" s="21">
        <f>IFERROR($G45/$B45,"")</f>
        <v/>
      </c>
      <c r="I45" s="21">
        <f>IFERROR(_xlfn.MAXIFS('Trade Log'!$L$4:$L$503,'Trade Log'!$B$4:$B$503,$A45),"")</f>
        <v/>
      </c>
      <c r="J45" s="21">
        <f>IFERROR(_xlfn.MINIFS('Trade Log'!$L$4:$L$503,'Trade Log'!$B$4:$B$503,$A45),"")</f>
        <v/>
      </c>
    </row>
    <row r="46">
      <c r="A46" s="27" t="inlineStr">
        <is>
          <t>JASH</t>
        </is>
      </c>
      <c r="B46" s="20">
        <f>COUNTIF('Trade Log'!$B$4:$B$503,$A46)</f>
        <v/>
      </c>
      <c r="C46" s="20">
        <f>COUNTIFS('Trade Log'!$B$4:$B$503,$A46,'Trade Log'!$L$4:$L$503,"&gt;0")</f>
        <v/>
      </c>
      <c r="D46" s="20">
        <f>COUNTIFS('Trade Log'!$B$4:$B$503,$A46,'Trade Log'!$L$4:$L$503,"&lt;0")</f>
        <v/>
      </c>
      <c r="E46" s="22">
        <f>IFERROR($C46/$B46,"")</f>
        <v/>
      </c>
      <c r="F46" s="21">
        <f>SUMIF('Trade Log'!$B$4:$B$503,$A46,'Trade Log'!$I$4:$I$503)</f>
        <v/>
      </c>
      <c r="G46" s="21">
        <f>SUMIF('Trade Log'!$B$4:$B$503,$A46,'Trade Log'!$L$4:$L$503)</f>
        <v/>
      </c>
      <c r="H46" s="21">
        <f>IFERROR($G46/$B46,"")</f>
        <v/>
      </c>
      <c r="I46" s="21">
        <f>IFERROR(_xlfn.MAXIFS('Trade Log'!$L$4:$L$503,'Trade Log'!$B$4:$B$503,$A46),"")</f>
        <v/>
      </c>
      <c r="J46" s="21">
        <f>IFERROR(_xlfn.MINIFS('Trade Log'!$L$4:$L$503,'Trade Log'!$B$4:$B$503,$A46),"")</f>
        <v/>
      </c>
    </row>
    <row r="47">
      <c r="A47" s="27" t="inlineStr">
        <is>
          <t>JAYKAY</t>
        </is>
      </c>
      <c r="B47" s="20">
        <f>COUNTIF('Trade Log'!$B$4:$B$503,$A47)</f>
        <v/>
      </c>
      <c r="C47" s="20">
        <f>COUNTIFS('Trade Log'!$B$4:$B$503,$A47,'Trade Log'!$L$4:$L$503,"&gt;0")</f>
        <v/>
      </c>
      <c r="D47" s="20">
        <f>COUNTIFS('Trade Log'!$B$4:$B$503,$A47,'Trade Log'!$L$4:$L$503,"&lt;0")</f>
        <v/>
      </c>
      <c r="E47" s="22">
        <f>IFERROR($C47/$B47,"")</f>
        <v/>
      </c>
      <c r="F47" s="21">
        <f>SUMIF('Trade Log'!$B$4:$B$503,$A47,'Trade Log'!$I$4:$I$503)</f>
        <v/>
      </c>
      <c r="G47" s="21">
        <f>SUMIF('Trade Log'!$B$4:$B$503,$A47,'Trade Log'!$L$4:$L$503)</f>
        <v/>
      </c>
      <c r="H47" s="21">
        <f>IFERROR($G47/$B47,"")</f>
        <v/>
      </c>
      <c r="I47" s="21">
        <f>IFERROR(_xlfn.MAXIFS('Trade Log'!$L$4:$L$503,'Trade Log'!$B$4:$B$503,$A47),"")</f>
        <v/>
      </c>
      <c r="J47" s="21">
        <f>IFERROR(_xlfn.MINIFS('Trade Log'!$L$4:$L$503,'Trade Log'!$B$4:$B$503,$A47),"")</f>
        <v/>
      </c>
    </row>
    <row r="48">
      <c r="A48" s="27" t="inlineStr">
        <is>
          <t>JGCHEM</t>
        </is>
      </c>
      <c r="B48" s="20">
        <f>COUNTIF('Trade Log'!$B$4:$B$503,$A48)</f>
        <v/>
      </c>
      <c r="C48" s="20">
        <f>COUNTIFS('Trade Log'!$B$4:$B$503,$A48,'Trade Log'!$L$4:$L$503,"&gt;0")</f>
        <v/>
      </c>
      <c r="D48" s="20">
        <f>COUNTIFS('Trade Log'!$B$4:$B$503,$A48,'Trade Log'!$L$4:$L$503,"&lt;0")</f>
        <v/>
      </c>
      <c r="E48" s="22">
        <f>IFERROR($C48/$B48,"")</f>
        <v/>
      </c>
      <c r="F48" s="21">
        <f>SUMIF('Trade Log'!$B$4:$B$503,$A48,'Trade Log'!$I$4:$I$503)</f>
        <v/>
      </c>
      <c r="G48" s="21">
        <f>SUMIF('Trade Log'!$B$4:$B$503,$A48,'Trade Log'!$L$4:$L$503)</f>
        <v/>
      </c>
      <c r="H48" s="21">
        <f>IFERROR($G48/$B48,"")</f>
        <v/>
      </c>
      <c r="I48" s="21">
        <f>IFERROR(_xlfn.MAXIFS('Trade Log'!$L$4:$L$503,'Trade Log'!$B$4:$B$503,$A48),"")</f>
        <v/>
      </c>
      <c r="J48" s="21">
        <f>IFERROR(_xlfn.MINIFS('Trade Log'!$L$4:$L$503,'Trade Log'!$B$4:$B$503,$A48),"")</f>
        <v/>
      </c>
    </row>
    <row r="49">
      <c r="A49" s="27" t="inlineStr">
        <is>
          <t>JINDRILL</t>
        </is>
      </c>
      <c r="B49" s="20">
        <f>COUNTIF('Trade Log'!$B$4:$B$503,$A49)</f>
        <v/>
      </c>
      <c r="C49" s="20">
        <f>COUNTIFS('Trade Log'!$B$4:$B$503,$A49,'Trade Log'!$L$4:$L$503,"&gt;0")</f>
        <v/>
      </c>
      <c r="D49" s="20">
        <f>COUNTIFS('Trade Log'!$B$4:$B$503,$A49,'Trade Log'!$L$4:$L$503,"&lt;0")</f>
        <v/>
      </c>
      <c r="E49" s="22">
        <f>IFERROR($C49/$B49,"")</f>
        <v/>
      </c>
      <c r="F49" s="21">
        <f>SUMIF('Trade Log'!$B$4:$B$503,$A49,'Trade Log'!$I$4:$I$503)</f>
        <v/>
      </c>
      <c r="G49" s="21">
        <f>SUMIF('Trade Log'!$B$4:$B$503,$A49,'Trade Log'!$L$4:$L$503)</f>
        <v/>
      </c>
      <c r="H49" s="21">
        <f>IFERROR($G49/$B49,"")</f>
        <v/>
      </c>
      <c r="I49" s="21">
        <f>IFERROR(_xlfn.MAXIFS('Trade Log'!$L$4:$L$503,'Trade Log'!$B$4:$B$503,$A49),"")</f>
        <v/>
      </c>
      <c r="J49" s="21">
        <f>IFERROR(_xlfn.MINIFS('Trade Log'!$L$4:$L$503,'Trade Log'!$B$4:$B$503,$A49),"")</f>
        <v/>
      </c>
    </row>
    <row r="50">
      <c r="A50" s="27" t="inlineStr">
        <is>
          <t>KCP</t>
        </is>
      </c>
      <c r="B50" s="20">
        <f>COUNTIF('Trade Log'!$B$4:$B$503,$A50)</f>
        <v/>
      </c>
      <c r="C50" s="20">
        <f>COUNTIFS('Trade Log'!$B$4:$B$503,$A50,'Trade Log'!$L$4:$L$503,"&gt;0")</f>
        <v/>
      </c>
      <c r="D50" s="20">
        <f>COUNTIFS('Trade Log'!$B$4:$B$503,$A50,'Trade Log'!$L$4:$L$503,"&lt;0")</f>
        <v/>
      </c>
      <c r="E50" s="22">
        <f>IFERROR($C50/$B50,"")</f>
        <v/>
      </c>
      <c r="F50" s="21">
        <f>SUMIF('Trade Log'!$B$4:$B$503,$A50,'Trade Log'!$I$4:$I$503)</f>
        <v/>
      </c>
      <c r="G50" s="21">
        <f>SUMIF('Trade Log'!$B$4:$B$503,$A50,'Trade Log'!$L$4:$L$503)</f>
        <v/>
      </c>
      <c r="H50" s="21">
        <f>IFERROR($G50/$B50,"")</f>
        <v/>
      </c>
      <c r="I50" s="21">
        <f>IFERROR(_xlfn.MAXIFS('Trade Log'!$L$4:$L$503,'Trade Log'!$B$4:$B$503,$A50),"")</f>
        <v/>
      </c>
      <c r="J50" s="21">
        <f>IFERROR(_xlfn.MINIFS('Trade Log'!$L$4:$L$503,'Trade Log'!$B$4:$B$503,$A50),"")</f>
        <v/>
      </c>
    </row>
    <row r="51">
      <c r="A51" s="27" t="inlineStr">
        <is>
          <t>KIRIINDUS</t>
        </is>
      </c>
      <c r="B51" s="20">
        <f>COUNTIF('Trade Log'!$B$4:$B$503,$A51)</f>
        <v/>
      </c>
      <c r="C51" s="20">
        <f>COUNTIFS('Trade Log'!$B$4:$B$503,$A51,'Trade Log'!$L$4:$L$503,"&gt;0")</f>
        <v/>
      </c>
      <c r="D51" s="20">
        <f>COUNTIFS('Trade Log'!$B$4:$B$503,$A51,'Trade Log'!$L$4:$L$503,"&lt;0")</f>
        <v/>
      </c>
      <c r="E51" s="22">
        <f>IFERROR($C51/$B51,"")</f>
        <v/>
      </c>
      <c r="F51" s="21">
        <f>SUMIF('Trade Log'!$B$4:$B$503,$A51,'Trade Log'!$I$4:$I$503)</f>
        <v/>
      </c>
      <c r="G51" s="21">
        <f>SUMIF('Trade Log'!$B$4:$B$503,$A51,'Trade Log'!$L$4:$L$503)</f>
        <v/>
      </c>
      <c r="H51" s="21">
        <f>IFERROR($G51/$B51,"")</f>
        <v/>
      </c>
      <c r="I51" s="21">
        <f>IFERROR(_xlfn.MAXIFS('Trade Log'!$L$4:$L$503,'Trade Log'!$B$4:$B$503,$A51),"")</f>
        <v/>
      </c>
      <c r="J51" s="21">
        <f>IFERROR(_xlfn.MINIFS('Trade Log'!$L$4:$L$503,'Trade Log'!$B$4:$B$503,$A51),"")</f>
        <v/>
      </c>
    </row>
    <row r="52">
      <c r="A52" s="27" t="inlineStr">
        <is>
          <t>KIRLOSIND</t>
        </is>
      </c>
      <c r="B52" s="20">
        <f>COUNTIF('Trade Log'!$B$4:$B$503,$A52)</f>
        <v/>
      </c>
      <c r="C52" s="20">
        <f>COUNTIFS('Trade Log'!$B$4:$B$503,$A52,'Trade Log'!$L$4:$L$503,"&gt;0")</f>
        <v/>
      </c>
      <c r="D52" s="20">
        <f>COUNTIFS('Trade Log'!$B$4:$B$503,$A52,'Trade Log'!$L$4:$L$503,"&lt;0")</f>
        <v/>
      </c>
      <c r="E52" s="22">
        <f>IFERROR($C52/$B52,"")</f>
        <v/>
      </c>
      <c r="F52" s="21">
        <f>SUMIF('Trade Log'!$B$4:$B$503,$A52,'Trade Log'!$I$4:$I$503)</f>
        <v/>
      </c>
      <c r="G52" s="21">
        <f>SUMIF('Trade Log'!$B$4:$B$503,$A52,'Trade Log'!$L$4:$L$503)</f>
        <v/>
      </c>
      <c r="H52" s="21">
        <f>IFERROR($G52/$B52,"")</f>
        <v/>
      </c>
      <c r="I52" s="21">
        <f>IFERROR(_xlfn.MAXIFS('Trade Log'!$L$4:$L$503,'Trade Log'!$B$4:$B$503,$A52),"")</f>
        <v/>
      </c>
      <c r="J52" s="21">
        <f>IFERROR(_xlfn.MINIFS('Trade Log'!$L$4:$L$503,'Trade Log'!$B$4:$B$503,$A52),"")</f>
        <v/>
      </c>
    </row>
    <row r="53">
      <c r="A53" s="27" t="inlineStr">
        <is>
          <t>KLBRENG-B</t>
        </is>
      </c>
      <c r="B53" s="20">
        <f>COUNTIF('Trade Log'!$B$4:$B$503,$A53)</f>
        <v/>
      </c>
      <c r="C53" s="20">
        <f>COUNTIFS('Trade Log'!$B$4:$B$503,$A53,'Trade Log'!$L$4:$L$503,"&gt;0")</f>
        <v/>
      </c>
      <c r="D53" s="20">
        <f>COUNTIFS('Trade Log'!$B$4:$B$503,$A53,'Trade Log'!$L$4:$L$503,"&lt;0")</f>
        <v/>
      </c>
      <c r="E53" s="22">
        <f>IFERROR($C53/$B53,"")</f>
        <v/>
      </c>
      <c r="F53" s="21">
        <f>SUMIF('Trade Log'!$B$4:$B$503,$A53,'Trade Log'!$I$4:$I$503)</f>
        <v/>
      </c>
      <c r="G53" s="21">
        <f>SUMIF('Trade Log'!$B$4:$B$503,$A53,'Trade Log'!$L$4:$L$503)</f>
        <v/>
      </c>
      <c r="H53" s="21">
        <f>IFERROR($G53/$B53,"")</f>
        <v/>
      </c>
      <c r="I53" s="21">
        <f>IFERROR(_xlfn.MAXIFS('Trade Log'!$L$4:$L$503,'Trade Log'!$B$4:$B$503,$A53),"")</f>
        <v/>
      </c>
      <c r="J53" s="21">
        <f>IFERROR(_xlfn.MINIFS('Trade Log'!$L$4:$L$503,'Trade Log'!$B$4:$B$503,$A53),"")</f>
        <v/>
      </c>
    </row>
    <row r="54">
      <c r="A54" s="27" t="inlineStr">
        <is>
          <t>KROSS</t>
        </is>
      </c>
      <c r="B54" s="20">
        <f>COUNTIF('Trade Log'!$B$4:$B$503,$A54)</f>
        <v/>
      </c>
      <c r="C54" s="20">
        <f>COUNTIFS('Trade Log'!$B$4:$B$503,$A54,'Trade Log'!$L$4:$L$503,"&gt;0")</f>
        <v/>
      </c>
      <c r="D54" s="20">
        <f>COUNTIFS('Trade Log'!$B$4:$B$503,$A54,'Trade Log'!$L$4:$L$503,"&lt;0")</f>
        <v/>
      </c>
      <c r="E54" s="22">
        <f>IFERROR($C54/$B54,"")</f>
        <v/>
      </c>
      <c r="F54" s="21">
        <f>SUMIF('Trade Log'!$B$4:$B$503,$A54,'Trade Log'!$I$4:$I$503)</f>
        <v/>
      </c>
      <c r="G54" s="21">
        <f>SUMIF('Trade Log'!$B$4:$B$503,$A54,'Trade Log'!$L$4:$L$503)</f>
        <v/>
      </c>
      <c r="H54" s="21">
        <f>IFERROR($G54/$B54,"")</f>
        <v/>
      </c>
      <c r="I54" s="21">
        <f>IFERROR(_xlfn.MAXIFS('Trade Log'!$L$4:$L$503,'Trade Log'!$B$4:$B$503,$A54),"")</f>
        <v/>
      </c>
      <c r="J54" s="21">
        <f>IFERROR(_xlfn.MINIFS('Trade Log'!$L$4:$L$503,'Trade Log'!$B$4:$B$503,$A54),"")</f>
        <v/>
      </c>
    </row>
    <row r="55">
      <c r="A55" s="27" t="inlineStr">
        <is>
          <t>KSCL</t>
        </is>
      </c>
      <c r="B55" s="20">
        <f>COUNTIF('Trade Log'!$B$4:$B$503,$A55)</f>
        <v/>
      </c>
      <c r="C55" s="20">
        <f>COUNTIFS('Trade Log'!$B$4:$B$503,$A55,'Trade Log'!$L$4:$L$503,"&gt;0")</f>
        <v/>
      </c>
      <c r="D55" s="20">
        <f>COUNTIFS('Trade Log'!$B$4:$B$503,$A55,'Trade Log'!$L$4:$L$503,"&lt;0")</f>
        <v/>
      </c>
      <c r="E55" s="22">
        <f>IFERROR($C55/$B55,"")</f>
        <v/>
      </c>
      <c r="F55" s="21">
        <f>SUMIF('Trade Log'!$B$4:$B$503,$A55,'Trade Log'!$I$4:$I$503)</f>
        <v/>
      </c>
      <c r="G55" s="21">
        <f>SUMIF('Trade Log'!$B$4:$B$503,$A55,'Trade Log'!$L$4:$L$503)</f>
        <v/>
      </c>
      <c r="H55" s="21">
        <f>IFERROR($G55/$B55,"")</f>
        <v/>
      </c>
      <c r="I55" s="21">
        <f>IFERROR(_xlfn.MAXIFS('Trade Log'!$L$4:$L$503,'Trade Log'!$B$4:$B$503,$A55),"")</f>
        <v/>
      </c>
      <c r="J55" s="21">
        <f>IFERROR(_xlfn.MINIFS('Trade Log'!$L$4:$L$503,'Trade Log'!$B$4:$B$503,$A55),"")</f>
        <v/>
      </c>
    </row>
    <row r="56">
      <c r="A56" s="27" t="inlineStr">
        <is>
          <t>KSL</t>
        </is>
      </c>
      <c r="B56" s="20">
        <f>COUNTIF('Trade Log'!$B$4:$B$503,$A56)</f>
        <v/>
      </c>
      <c r="C56" s="20">
        <f>COUNTIFS('Trade Log'!$B$4:$B$503,$A56,'Trade Log'!$L$4:$L$503,"&gt;0")</f>
        <v/>
      </c>
      <c r="D56" s="20">
        <f>COUNTIFS('Trade Log'!$B$4:$B$503,$A56,'Trade Log'!$L$4:$L$503,"&lt;0")</f>
        <v/>
      </c>
      <c r="E56" s="22">
        <f>IFERROR($C56/$B56,"")</f>
        <v/>
      </c>
      <c r="F56" s="21">
        <f>SUMIF('Trade Log'!$B$4:$B$503,$A56,'Trade Log'!$I$4:$I$503)</f>
        <v/>
      </c>
      <c r="G56" s="21">
        <f>SUMIF('Trade Log'!$B$4:$B$503,$A56,'Trade Log'!$L$4:$L$503)</f>
        <v/>
      </c>
      <c r="H56" s="21">
        <f>IFERROR($G56/$B56,"")</f>
        <v/>
      </c>
      <c r="I56" s="21">
        <f>IFERROR(_xlfn.MAXIFS('Trade Log'!$L$4:$L$503,'Trade Log'!$B$4:$B$503,$A56),"")</f>
        <v/>
      </c>
      <c r="J56" s="21">
        <f>IFERROR(_xlfn.MINIFS('Trade Log'!$L$4:$L$503,'Trade Log'!$B$4:$B$503,$A56),"")</f>
        <v/>
      </c>
    </row>
    <row r="57">
      <c r="A57" s="27" t="inlineStr">
        <is>
          <t>LUXIND</t>
        </is>
      </c>
      <c r="B57" s="20">
        <f>COUNTIF('Trade Log'!$B$4:$B$503,$A57)</f>
        <v/>
      </c>
      <c r="C57" s="20">
        <f>COUNTIFS('Trade Log'!$B$4:$B$503,$A57,'Trade Log'!$L$4:$L$503,"&gt;0")</f>
        <v/>
      </c>
      <c r="D57" s="20">
        <f>COUNTIFS('Trade Log'!$B$4:$B$503,$A57,'Trade Log'!$L$4:$L$503,"&lt;0")</f>
        <v/>
      </c>
      <c r="E57" s="22">
        <f>IFERROR($C57/$B57,"")</f>
        <v/>
      </c>
      <c r="F57" s="21">
        <f>SUMIF('Trade Log'!$B$4:$B$503,$A57,'Trade Log'!$I$4:$I$503)</f>
        <v/>
      </c>
      <c r="G57" s="21">
        <f>SUMIF('Trade Log'!$B$4:$B$503,$A57,'Trade Log'!$L$4:$L$503)</f>
        <v/>
      </c>
      <c r="H57" s="21">
        <f>IFERROR($G57/$B57,"")</f>
        <v/>
      </c>
      <c r="I57" s="21">
        <f>IFERROR(_xlfn.MAXIFS('Trade Log'!$L$4:$L$503,'Trade Log'!$B$4:$B$503,$A57),"")</f>
        <v/>
      </c>
      <c r="J57" s="21">
        <f>IFERROR(_xlfn.MINIFS('Trade Log'!$L$4:$L$503,'Trade Log'!$B$4:$B$503,$A57),"")</f>
        <v/>
      </c>
    </row>
    <row r="58">
      <c r="A58" s="27" t="inlineStr">
        <is>
          <t>MAITHANALL</t>
        </is>
      </c>
      <c r="B58" s="20">
        <f>COUNTIF('Trade Log'!$B$4:$B$503,$A58)</f>
        <v/>
      </c>
      <c r="C58" s="20">
        <f>COUNTIFS('Trade Log'!$B$4:$B$503,$A58,'Trade Log'!$L$4:$L$503,"&gt;0")</f>
        <v/>
      </c>
      <c r="D58" s="20">
        <f>COUNTIFS('Trade Log'!$B$4:$B$503,$A58,'Trade Log'!$L$4:$L$503,"&lt;0")</f>
        <v/>
      </c>
      <c r="E58" s="22">
        <f>IFERROR($C58/$B58,"")</f>
        <v/>
      </c>
      <c r="F58" s="21">
        <f>SUMIF('Trade Log'!$B$4:$B$503,$A58,'Trade Log'!$I$4:$I$503)</f>
        <v/>
      </c>
      <c r="G58" s="21">
        <f>SUMIF('Trade Log'!$B$4:$B$503,$A58,'Trade Log'!$L$4:$L$503)</f>
        <v/>
      </c>
      <c r="H58" s="21">
        <f>IFERROR($G58/$B58,"")</f>
        <v/>
      </c>
      <c r="I58" s="21">
        <f>IFERROR(_xlfn.MAXIFS('Trade Log'!$L$4:$L$503,'Trade Log'!$B$4:$B$503,$A58),"")</f>
        <v/>
      </c>
      <c r="J58" s="21">
        <f>IFERROR(_xlfn.MINIFS('Trade Log'!$L$4:$L$503,'Trade Log'!$B$4:$B$503,$A58),"")</f>
        <v/>
      </c>
    </row>
    <row r="59">
      <c r="A59" s="27" t="inlineStr">
        <is>
          <t>MANGLMCEM</t>
        </is>
      </c>
      <c r="B59" s="20">
        <f>COUNTIF('Trade Log'!$B$4:$B$503,$A59)</f>
        <v/>
      </c>
      <c r="C59" s="20">
        <f>COUNTIFS('Trade Log'!$B$4:$B$503,$A59,'Trade Log'!$L$4:$L$503,"&gt;0")</f>
        <v/>
      </c>
      <c r="D59" s="20">
        <f>COUNTIFS('Trade Log'!$B$4:$B$503,$A59,'Trade Log'!$L$4:$L$503,"&lt;0")</f>
        <v/>
      </c>
      <c r="E59" s="22">
        <f>IFERROR($C59/$B59,"")</f>
        <v/>
      </c>
      <c r="F59" s="21">
        <f>SUMIF('Trade Log'!$B$4:$B$503,$A59,'Trade Log'!$I$4:$I$503)</f>
        <v/>
      </c>
      <c r="G59" s="21">
        <f>SUMIF('Trade Log'!$B$4:$B$503,$A59,'Trade Log'!$L$4:$L$503)</f>
        <v/>
      </c>
      <c r="H59" s="21">
        <f>IFERROR($G59/$B59,"")</f>
        <v/>
      </c>
      <c r="I59" s="21">
        <f>IFERROR(_xlfn.MAXIFS('Trade Log'!$L$4:$L$503,'Trade Log'!$B$4:$B$503,$A59),"")</f>
        <v/>
      </c>
      <c r="J59" s="21">
        <f>IFERROR(_xlfn.MINIFS('Trade Log'!$L$4:$L$503,'Trade Log'!$B$4:$B$503,$A59),"")</f>
        <v/>
      </c>
    </row>
    <row r="60">
      <c r="A60" s="27" t="inlineStr">
        <is>
          <t>MASTEK</t>
        </is>
      </c>
      <c r="B60" s="20">
        <f>COUNTIF('Trade Log'!$B$4:$B$503,$A60)</f>
        <v/>
      </c>
      <c r="C60" s="20">
        <f>COUNTIFS('Trade Log'!$B$4:$B$503,$A60,'Trade Log'!$L$4:$L$503,"&gt;0")</f>
        <v/>
      </c>
      <c r="D60" s="20">
        <f>COUNTIFS('Trade Log'!$B$4:$B$503,$A60,'Trade Log'!$L$4:$L$503,"&lt;0")</f>
        <v/>
      </c>
      <c r="E60" s="22">
        <f>IFERROR($C60/$B60,"")</f>
        <v/>
      </c>
      <c r="F60" s="21">
        <f>SUMIF('Trade Log'!$B$4:$B$503,$A60,'Trade Log'!$I$4:$I$503)</f>
        <v/>
      </c>
      <c r="G60" s="21">
        <f>SUMIF('Trade Log'!$B$4:$B$503,$A60,'Trade Log'!$L$4:$L$503)</f>
        <v/>
      </c>
      <c r="H60" s="21">
        <f>IFERROR($G60/$B60,"")</f>
        <v/>
      </c>
      <c r="I60" s="21">
        <f>IFERROR(_xlfn.MAXIFS('Trade Log'!$L$4:$L$503,'Trade Log'!$B$4:$B$503,$A60),"")</f>
        <v/>
      </c>
      <c r="J60" s="21">
        <f>IFERROR(_xlfn.MINIFS('Trade Log'!$L$4:$L$503,'Trade Log'!$B$4:$B$503,$A60),"")</f>
        <v/>
      </c>
    </row>
    <row r="61">
      <c r="A61" s="27" t="inlineStr">
        <is>
          <t>MOBIKWIK</t>
        </is>
      </c>
      <c r="B61" s="20">
        <f>COUNTIF('Trade Log'!$B$4:$B$503,$A61)</f>
        <v/>
      </c>
      <c r="C61" s="20">
        <f>COUNTIFS('Trade Log'!$B$4:$B$503,$A61,'Trade Log'!$L$4:$L$503,"&gt;0")</f>
        <v/>
      </c>
      <c r="D61" s="20">
        <f>COUNTIFS('Trade Log'!$B$4:$B$503,$A61,'Trade Log'!$L$4:$L$503,"&lt;0")</f>
        <v/>
      </c>
      <c r="E61" s="22">
        <f>IFERROR($C61/$B61,"")</f>
        <v/>
      </c>
      <c r="F61" s="21">
        <f>SUMIF('Trade Log'!$B$4:$B$503,$A61,'Trade Log'!$I$4:$I$503)</f>
        <v/>
      </c>
      <c r="G61" s="21">
        <f>SUMIF('Trade Log'!$B$4:$B$503,$A61,'Trade Log'!$L$4:$L$503)</f>
        <v/>
      </c>
      <c r="H61" s="21">
        <f>IFERROR($G61/$B61,"")</f>
        <v/>
      </c>
      <c r="I61" s="21">
        <f>IFERROR(_xlfn.MAXIFS('Trade Log'!$L$4:$L$503,'Trade Log'!$B$4:$B$503,$A61),"")</f>
        <v/>
      </c>
      <c r="J61" s="21">
        <f>IFERROR(_xlfn.MINIFS('Trade Log'!$L$4:$L$503,'Trade Log'!$B$4:$B$503,$A61),"")</f>
        <v/>
      </c>
    </row>
    <row r="62">
      <c r="A62" s="27" t="inlineStr">
        <is>
          <t>MUKANDLTD</t>
        </is>
      </c>
      <c r="B62" s="20">
        <f>COUNTIF('Trade Log'!$B$4:$B$503,$A62)</f>
        <v/>
      </c>
      <c r="C62" s="20">
        <f>COUNTIFS('Trade Log'!$B$4:$B$503,$A62,'Trade Log'!$L$4:$L$503,"&gt;0")</f>
        <v/>
      </c>
      <c r="D62" s="20">
        <f>COUNTIFS('Trade Log'!$B$4:$B$503,$A62,'Trade Log'!$L$4:$L$503,"&lt;0")</f>
        <v/>
      </c>
      <c r="E62" s="22">
        <f>IFERROR($C62/$B62,"")</f>
        <v/>
      </c>
      <c r="F62" s="21">
        <f>SUMIF('Trade Log'!$B$4:$B$503,$A62,'Trade Log'!$I$4:$I$503)</f>
        <v/>
      </c>
      <c r="G62" s="21">
        <f>SUMIF('Trade Log'!$B$4:$B$503,$A62,'Trade Log'!$L$4:$L$503)</f>
        <v/>
      </c>
      <c r="H62" s="21">
        <f>IFERROR($G62/$B62,"")</f>
        <v/>
      </c>
      <c r="I62" s="21">
        <f>IFERROR(_xlfn.MAXIFS('Trade Log'!$L$4:$L$503,'Trade Log'!$B$4:$B$503,$A62),"")</f>
        <v/>
      </c>
      <c r="J62" s="21">
        <f>IFERROR(_xlfn.MINIFS('Trade Log'!$L$4:$L$503,'Trade Log'!$B$4:$B$503,$A62),"")</f>
        <v/>
      </c>
    </row>
    <row r="63">
      <c r="A63" s="27" t="inlineStr">
        <is>
          <t>NETWORK18</t>
        </is>
      </c>
      <c r="B63" s="20">
        <f>COUNTIF('Trade Log'!$B$4:$B$503,$A63)</f>
        <v/>
      </c>
      <c r="C63" s="20">
        <f>COUNTIFS('Trade Log'!$B$4:$B$503,$A63,'Trade Log'!$L$4:$L$503,"&gt;0")</f>
        <v/>
      </c>
      <c r="D63" s="20">
        <f>COUNTIFS('Trade Log'!$B$4:$B$503,$A63,'Trade Log'!$L$4:$L$503,"&lt;0")</f>
        <v/>
      </c>
      <c r="E63" s="22">
        <f>IFERROR($C63/$B63,"")</f>
        <v/>
      </c>
      <c r="F63" s="21">
        <f>SUMIF('Trade Log'!$B$4:$B$503,$A63,'Trade Log'!$I$4:$I$503)</f>
        <v/>
      </c>
      <c r="G63" s="21">
        <f>SUMIF('Trade Log'!$B$4:$B$503,$A63,'Trade Log'!$L$4:$L$503)</f>
        <v/>
      </c>
      <c r="H63" s="21">
        <f>IFERROR($G63/$B63,"")</f>
        <v/>
      </c>
      <c r="I63" s="21">
        <f>IFERROR(_xlfn.MAXIFS('Trade Log'!$L$4:$L$503,'Trade Log'!$B$4:$B$503,$A63),"")</f>
        <v/>
      </c>
      <c r="J63" s="21">
        <f>IFERROR(_xlfn.MINIFS('Trade Log'!$L$4:$L$503,'Trade Log'!$B$4:$B$503,$A63),"")</f>
        <v/>
      </c>
    </row>
    <row r="64">
      <c r="A64" s="27" t="inlineStr">
        <is>
          <t>NILKAMAL</t>
        </is>
      </c>
      <c r="B64" s="20">
        <f>COUNTIF('Trade Log'!$B$4:$B$503,$A64)</f>
        <v/>
      </c>
      <c r="C64" s="20">
        <f>COUNTIFS('Trade Log'!$B$4:$B$503,$A64,'Trade Log'!$L$4:$L$503,"&gt;0")</f>
        <v/>
      </c>
      <c r="D64" s="20">
        <f>COUNTIFS('Trade Log'!$B$4:$B$503,$A64,'Trade Log'!$L$4:$L$503,"&lt;0")</f>
        <v/>
      </c>
      <c r="E64" s="22">
        <f>IFERROR($C64/$B64,"")</f>
        <v/>
      </c>
      <c r="F64" s="21">
        <f>SUMIF('Trade Log'!$B$4:$B$503,$A64,'Trade Log'!$I$4:$I$503)</f>
        <v/>
      </c>
      <c r="G64" s="21">
        <f>SUMIF('Trade Log'!$B$4:$B$503,$A64,'Trade Log'!$L$4:$L$503)</f>
        <v/>
      </c>
      <c r="H64" s="21">
        <f>IFERROR($G64/$B64,"")</f>
        <v/>
      </c>
      <c r="I64" s="21">
        <f>IFERROR(_xlfn.MAXIFS('Trade Log'!$L$4:$L$503,'Trade Log'!$B$4:$B$503,$A64),"")</f>
        <v/>
      </c>
      <c r="J64" s="21">
        <f>IFERROR(_xlfn.MINIFS('Trade Log'!$L$4:$L$503,'Trade Log'!$B$4:$B$503,$A64),"")</f>
        <v/>
      </c>
    </row>
    <row r="65">
      <c r="A65" s="27" t="inlineStr">
        <is>
          <t>NORTHARC</t>
        </is>
      </c>
      <c r="B65" s="20">
        <f>COUNTIF('Trade Log'!$B$4:$B$503,$A65)</f>
        <v/>
      </c>
      <c r="C65" s="20">
        <f>COUNTIFS('Trade Log'!$B$4:$B$503,$A65,'Trade Log'!$L$4:$L$503,"&gt;0")</f>
        <v/>
      </c>
      <c r="D65" s="20">
        <f>COUNTIFS('Trade Log'!$B$4:$B$503,$A65,'Trade Log'!$L$4:$L$503,"&lt;0")</f>
        <v/>
      </c>
      <c r="E65" s="22">
        <f>IFERROR($C65/$B65,"")</f>
        <v/>
      </c>
      <c r="F65" s="21">
        <f>SUMIF('Trade Log'!$B$4:$B$503,$A65,'Trade Log'!$I$4:$I$503)</f>
        <v/>
      </c>
      <c r="G65" s="21">
        <f>SUMIF('Trade Log'!$B$4:$B$503,$A65,'Trade Log'!$L$4:$L$503)</f>
        <v/>
      </c>
      <c r="H65" s="21">
        <f>IFERROR($G65/$B65,"")</f>
        <v/>
      </c>
      <c r="I65" s="21">
        <f>IFERROR(_xlfn.MAXIFS('Trade Log'!$L$4:$L$503,'Trade Log'!$B$4:$B$503,$A65),"")</f>
        <v/>
      </c>
      <c r="J65" s="21">
        <f>IFERROR(_xlfn.MINIFS('Trade Log'!$L$4:$L$503,'Trade Log'!$B$4:$B$503,$A65),"")</f>
        <v/>
      </c>
    </row>
    <row r="66">
      <c r="A66" s="27" t="inlineStr">
        <is>
          <t>NOVARTIND</t>
        </is>
      </c>
      <c r="B66" s="20">
        <f>COUNTIF('Trade Log'!$B$4:$B$503,$A66)</f>
        <v/>
      </c>
      <c r="C66" s="20">
        <f>COUNTIFS('Trade Log'!$B$4:$B$503,$A66,'Trade Log'!$L$4:$L$503,"&gt;0")</f>
        <v/>
      </c>
      <c r="D66" s="20">
        <f>COUNTIFS('Trade Log'!$B$4:$B$503,$A66,'Trade Log'!$L$4:$L$503,"&lt;0")</f>
        <v/>
      </c>
      <c r="E66" s="22">
        <f>IFERROR($C66/$B66,"")</f>
        <v/>
      </c>
      <c r="F66" s="21">
        <f>SUMIF('Trade Log'!$B$4:$B$503,$A66,'Trade Log'!$I$4:$I$503)</f>
        <v/>
      </c>
      <c r="G66" s="21">
        <f>SUMIF('Trade Log'!$B$4:$B$503,$A66,'Trade Log'!$L$4:$L$503)</f>
        <v/>
      </c>
      <c r="H66" s="21">
        <f>IFERROR($G66/$B66,"")</f>
        <v/>
      </c>
      <c r="I66" s="21">
        <f>IFERROR(_xlfn.MAXIFS('Trade Log'!$L$4:$L$503,'Trade Log'!$B$4:$B$503,$A66),"")</f>
        <v/>
      </c>
      <c r="J66" s="21">
        <f>IFERROR(_xlfn.MINIFS('Trade Log'!$L$4:$L$503,'Trade Log'!$B$4:$B$503,$A66),"")</f>
        <v/>
      </c>
    </row>
    <row r="67">
      <c r="A67" s="27" t="inlineStr">
        <is>
          <t>NPST</t>
        </is>
      </c>
      <c r="B67" s="20">
        <f>COUNTIF('Trade Log'!$B$4:$B$503,$A67)</f>
        <v/>
      </c>
      <c r="C67" s="20">
        <f>COUNTIFS('Trade Log'!$B$4:$B$503,$A67,'Trade Log'!$L$4:$L$503,"&gt;0")</f>
        <v/>
      </c>
      <c r="D67" s="20">
        <f>COUNTIFS('Trade Log'!$B$4:$B$503,$A67,'Trade Log'!$L$4:$L$503,"&lt;0")</f>
        <v/>
      </c>
      <c r="E67" s="22">
        <f>IFERROR($C67/$B67,"")</f>
        <v/>
      </c>
      <c r="F67" s="21">
        <f>SUMIF('Trade Log'!$B$4:$B$503,$A67,'Trade Log'!$I$4:$I$503)</f>
        <v/>
      </c>
      <c r="G67" s="21">
        <f>SUMIF('Trade Log'!$B$4:$B$503,$A67,'Trade Log'!$L$4:$L$503)</f>
        <v/>
      </c>
      <c r="H67" s="21">
        <f>IFERROR($G67/$B67,"")</f>
        <v/>
      </c>
      <c r="I67" s="21">
        <f>IFERROR(_xlfn.MAXIFS('Trade Log'!$L$4:$L$503,'Trade Log'!$B$4:$B$503,$A67),"")</f>
        <v/>
      </c>
      <c r="J67" s="21">
        <f>IFERROR(_xlfn.MINIFS('Trade Log'!$L$4:$L$503,'Trade Log'!$B$4:$B$503,$A67),"")</f>
        <v/>
      </c>
    </row>
    <row r="68">
      <c r="A68" s="27" t="inlineStr">
        <is>
          <t>NRBBEARING</t>
        </is>
      </c>
      <c r="B68" s="20">
        <f>COUNTIF('Trade Log'!$B$4:$B$503,$A68)</f>
        <v/>
      </c>
      <c r="C68" s="20">
        <f>COUNTIFS('Trade Log'!$B$4:$B$503,$A68,'Trade Log'!$L$4:$L$503,"&gt;0")</f>
        <v/>
      </c>
      <c r="D68" s="20">
        <f>COUNTIFS('Trade Log'!$B$4:$B$503,$A68,'Trade Log'!$L$4:$L$503,"&lt;0")</f>
        <v/>
      </c>
      <c r="E68" s="22">
        <f>IFERROR($C68/$B68,"")</f>
        <v/>
      </c>
      <c r="F68" s="21">
        <f>SUMIF('Trade Log'!$B$4:$B$503,$A68,'Trade Log'!$I$4:$I$503)</f>
        <v/>
      </c>
      <c r="G68" s="21">
        <f>SUMIF('Trade Log'!$B$4:$B$503,$A68,'Trade Log'!$L$4:$L$503)</f>
        <v/>
      </c>
      <c r="H68" s="21">
        <f>IFERROR($G68/$B68,"")</f>
        <v/>
      </c>
      <c r="I68" s="21">
        <f>IFERROR(_xlfn.MAXIFS('Trade Log'!$L$4:$L$503,'Trade Log'!$B$4:$B$503,$A68),"")</f>
        <v/>
      </c>
      <c r="J68" s="21">
        <f>IFERROR(_xlfn.MINIFS('Trade Log'!$L$4:$L$503,'Trade Log'!$B$4:$B$503,$A68),"")</f>
        <v/>
      </c>
    </row>
    <row r="69">
      <c r="A69" s="27" t="inlineStr">
        <is>
          <t>OMAXE</t>
        </is>
      </c>
      <c r="B69" s="20">
        <f>COUNTIF('Trade Log'!$B$4:$B$503,$A69)</f>
        <v/>
      </c>
      <c r="C69" s="20">
        <f>COUNTIFS('Trade Log'!$B$4:$B$503,$A69,'Trade Log'!$L$4:$L$503,"&gt;0")</f>
        <v/>
      </c>
      <c r="D69" s="20">
        <f>COUNTIFS('Trade Log'!$B$4:$B$503,$A69,'Trade Log'!$L$4:$L$503,"&lt;0")</f>
        <v/>
      </c>
      <c r="E69" s="22">
        <f>IFERROR($C69/$B69,"")</f>
        <v/>
      </c>
      <c r="F69" s="21">
        <f>SUMIF('Trade Log'!$B$4:$B$503,$A69,'Trade Log'!$I$4:$I$503)</f>
        <v/>
      </c>
      <c r="G69" s="21">
        <f>SUMIF('Trade Log'!$B$4:$B$503,$A69,'Trade Log'!$L$4:$L$503)</f>
        <v/>
      </c>
      <c r="H69" s="21">
        <f>IFERROR($G69/$B69,"")</f>
        <v/>
      </c>
      <c r="I69" s="21">
        <f>IFERROR(_xlfn.MAXIFS('Trade Log'!$L$4:$L$503,'Trade Log'!$B$4:$B$503,$A69),"")</f>
        <v/>
      </c>
      <c r="J69" s="21">
        <f>IFERROR(_xlfn.MINIFS('Trade Log'!$L$4:$L$503,'Trade Log'!$B$4:$B$503,$A69),"")</f>
        <v/>
      </c>
    </row>
    <row r="70">
      <c r="A70" s="27" t="inlineStr">
        <is>
          <t>ONEPOINT</t>
        </is>
      </c>
      <c r="B70" s="20">
        <f>COUNTIF('Trade Log'!$B$4:$B$503,$A70)</f>
        <v/>
      </c>
      <c r="C70" s="20">
        <f>COUNTIFS('Trade Log'!$B$4:$B$503,$A70,'Trade Log'!$L$4:$L$503,"&gt;0")</f>
        <v/>
      </c>
      <c r="D70" s="20">
        <f>COUNTIFS('Trade Log'!$B$4:$B$503,$A70,'Trade Log'!$L$4:$L$503,"&lt;0")</f>
        <v/>
      </c>
      <c r="E70" s="22">
        <f>IFERROR($C70/$B70,"")</f>
        <v/>
      </c>
      <c r="F70" s="21">
        <f>SUMIF('Trade Log'!$B$4:$B$503,$A70,'Trade Log'!$I$4:$I$503)</f>
        <v/>
      </c>
      <c r="G70" s="21">
        <f>SUMIF('Trade Log'!$B$4:$B$503,$A70,'Trade Log'!$L$4:$L$503)</f>
        <v/>
      </c>
      <c r="H70" s="21">
        <f>IFERROR($G70/$B70,"")</f>
        <v/>
      </c>
      <c r="I70" s="21">
        <f>IFERROR(_xlfn.MAXIFS('Trade Log'!$L$4:$L$503,'Trade Log'!$B$4:$B$503,$A70),"")</f>
        <v/>
      </c>
      <c r="J70" s="21">
        <f>IFERROR(_xlfn.MINIFS('Trade Log'!$L$4:$L$503,'Trade Log'!$B$4:$B$503,$A70),"")</f>
        <v/>
      </c>
    </row>
    <row r="71">
      <c r="A71" s="27" t="inlineStr">
        <is>
          <t>OPTIEMUS</t>
        </is>
      </c>
      <c r="B71" s="20">
        <f>COUNTIF('Trade Log'!$B$4:$B$503,$A71)</f>
        <v/>
      </c>
      <c r="C71" s="20">
        <f>COUNTIFS('Trade Log'!$B$4:$B$503,$A71,'Trade Log'!$L$4:$L$503,"&gt;0")</f>
        <v/>
      </c>
      <c r="D71" s="20">
        <f>COUNTIFS('Trade Log'!$B$4:$B$503,$A71,'Trade Log'!$L$4:$L$503,"&lt;0")</f>
        <v/>
      </c>
      <c r="E71" s="22">
        <f>IFERROR($C71/$B71,"")</f>
        <v/>
      </c>
      <c r="F71" s="21">
        <f>SUMIF('Trade Log'!$B$4:$B$503,$A71,'Trade Log'!$I$4:$I$503)</f>
        <v/>
      </c>
      <c r="G71" s="21">
        <f>SUMIF('Trade Log'!$B$4:$B$503,$A71,'Trade Log'!$L$4:$L$503)</f>
        <v/>
      </c>
      <c r="H71" s="21">
        <f>IFERROR($G71/$B71,"")</f>
        <v/>
      </c>
      <c r="I71" s="21">
        <f>IFERROR(_xlfn.MAXIFS('Trade Log'!$L$4:$L$503,'Trade Log'!$B$4:$B$503,$A71),"")</f>
        <v/>
      </c>
      <c r="J71" s="21">
        <f>IFERROR(_xlfn.MINIFS('Trade Log'!$L$4:$L$503,'Trade Log'!$B$4:$B$503,$A71),"")</f>
        <v/>
      </c>
    </row>
    <row r="72">
      <c r="A72" s="27" t="inlineStr">
        <is>
          <t>ORIENTHOT</t>
        </is>
      </c>
      <c r="B72" s="20">
        <f>COUNTIF('Trade Log'!$B$4:$B$503,$A72)</f>
        <v/>
      </c>
      <c r="C72" s="20">
        <f>COUNTIFS('Trade Log'!$B$4:$B$503,$A72,'Trade Log'!$L$4:$L$503,"&gt;0")</f>
        <v/>
      </c>
      <c r="D72" s="20">
        <f>COUNTIFS('Trade Log'!$B$4:$B$503,$A72,'Trade Log'!$L$4:$L$503,"&lt;0")</f>
        <v/>
      </c>
      <c r="E72" s="22">
        <f>IFERROR($C72/$B72,"")</f>
        <v/>
      </c>
      <c r="F72" s="21">
        <f>SUMIF('Trade Log'!$B$4:$B$503,$A72,'Trade Log'!$I$4:$I$503)</f>
        <v/>
      </c>
      <c r="G72" s="21">
        <f>SUMIF('Trade Log'!$B$4:$B$503,$A72,'Trade Log'!$L$4:$L$503)</f>
        <v/>
      </c>
      <c r="H72" s="21">
        <f>IFERROR($G72/$B72,"")</f>
        <v/>
      </c>
      <c r="I72" s="21">
        <f>IFERROR(_xlfn.MAXIFS('Trade Log'!$L$4:$L$503,'Trade Log'!$B$4:$B$503,$A72),"")</f>
        <v/>
      </c>
      <c r="J72" s="21">
        <f>IFERROR(_xlfn.MINIFS('Trade Log'!$L$4:$L$503,'Trade Log'!$B$4:$B$503,$A72),"")</f>
        <v/>
      </c>
    </row>
    <row r="73">
      <c r="A73" s="27" t="inlineStr">
        <is>
          <t>PACEDIGITK</t>
        </is>
      </c>
      <c r="B73" s="20">
        <f>COUNTIF('Trade Log'!$B$4:$B$503,$A73)</f>
        <v/>
      </c>
      <c r="C73" s="20">
        <f>COUNTIFS('Trade Log'!$B$4:$B$503,$A73,'Trade Log'!$L$4:$L$503,"&gt;0")</f>
        <v/>
      </c>
      <c r="D73" s="20">
        <f>COUNTIFS('Trade Log'!$B$4:$B$503,$A73,'Trade Log'!$L$4:$L$503,"&lt;0")</f>
        <v/>
      </c>
      <c r="E73" s="22">
        <f>IFERROR($C73/$B73,"")</f>
        <v/>
      </c>
      <c r="F73" s="21">
        <f>SUMIF('Trade Log'!$B$4:$B$503,$A73,'Trade Log'!$I$4:$I$503)</f>
        <v/>
      </c>
      <c r="G73" s="21">
        <f>SUMIF('Trade Log'!$B$4:$B$503,$A73,'Trade Log'!$L$4:$L$503)</f>
        <v/>
      </c>
      <c r="H73" s="21">
        <f>IFERROR($G73/$B73,"")</f>
        <v/>
      </c>
      <c r="I73" s="21">
        <f>IFERROR(_xlfn.MAXIFS('Trade Log'!$L$4:$L$503,'Trade Log'!$B$4:$B$503,$A73),"")</f>
        <v/>
      </c>
      <c r="J73" s="21">
        <f>IFERROR(_xlfn.MINIFS('Trade Log'!$L$4:$L$503,'Trade Log'!$B$4:$B$503,$A73),"")</f>
        <v/>
      </c>
    </row>
    <row r="74">
      <c r="A74" s="27" t="inlineStr">
        <is>
          <t>PITTIENG</t>
        </is>
      </c>
      <c r="B74" s="20">
        <f>COUNTIF('Trade Log'!$B$4:$B$503,$A74)</f>
        <v/>
      </c>
      <c r="C74" s="20">
        <f>COUNTIFS('Trade Log'!$B$4:$B$503,$A74,'Trade Log'!$L$4:$L$503,"&gt;0")</f>
        <v/>
      </c>
      <c r="D74" s="20">
        <f>COUNTIFS('Trade Log'!$B$4:$B$503,$A74,'Trade Log'!$L$4:$L$503,"&lt;0")</f>
        <v/>
      </c>
      <c r="E74" s="22">
        <f>IFERROR($C74/$B74,"")</f>
        <v/>
      </c>
      <c r="F74" s="21">
        <f>SUMIF('Trade Log'!$B$4:$B$503,$A74,'Trade Log'!$I$4:$I$503)</f>
        <v/>
      </c>
      <c r="G74" s="21">
        <f>SUMIF('Trade Log'!$B$4:$B$503,$A74,'Trade Log'!$L$4:$L$503)</f>
        <v/>
      </c>
      <c r="H74" s="21">
        <f>IFERROR($G74/$B74,"")</f>
        <v/>
      </c>
      <c r="I74" s="21">
        <f>IFERROR(_xlfn.MAXIFS('Trade Log'!$L$4:$L$503,'Trade Log'!$B$4:$B$503,$A74),"")</f>
        <v/>
      </c>
      <c r="J74" s="21">
        <f>IFERROR(_xlfn.MINIFS('Trade Log'!$L$4:$L$503,'Trade Log'!$B$4:$B$503,$A74),"")</f>
        <v/>
      </c>
    </row>
    <row r="75">
      <c r="A75" s="27" t="inlineStr">
        <is>
          <t>PROTEAN</t>
        </is>
      </c>
      <c r="B75" s="20">
        <f>COUNTIF('Trade Log'!$B$4:$B$503,$A75)</f>
        <v/>
      </c>
      <c r="C75" s="20">
        <f>COUNTIFS('Trade Log'!$B$4:$B$503,$A75,'Trade Log'!$L$4:$L$503,"&gt;0")</f>
        <v/>
      </c>
      <c r="D75" s="20">
        <f>COUNTIFS('Trade Log'!$B$4:$B$503,$A75,'Trade Log'!$L$4:$L$503,"&lt;0")</f>
        <v/>
      </c>
      <c r="E75" s="22">
        <f>IFERROR($C75/$B75,"")</f>
        <v/>
      </c>
      <c r="F75" s="21">
        <f>SUMIF('Trade Log'!$B$4:$B$503,$A75,'Trade Log'!$I$4:$I$503)</f>
        <v/>
      </c>
      <c r="G75" s="21">
        <f>SUMIF('Trade Log'!$B$4:$B$503,$A75,'Trade Log'!$L$4:$L$503)</f>
        <v/>
      </c>
      <c r="H75" s="21">
        <f>IFERROR($G75/$B75,"")</f>
        <v/>
      </c>
      <c r="I75" s="21">
        <f>IFERROR(_xlfn.MAXIFS('Trade Log'!$L$4:$L$503,'Trade Log'!$B$4:$B$503,$A75),"")</f>
        <v/>
      </c>
      <c r="J75" s="21">
        <f>IFERROR(_xlfn.MINIFS('Trade Log'!$L$4:$L$503,'Trade Log'!$B$4:$B$503,$A75),"")</f>
        <v/>
      </c>
    </row>
    <row r="76">
      <c r="A76" s="27" t="inlineStr">
        <is>
          <t>QUADFUTURE</t>
        </is>
      </c>
      <c r="B76" s="20">
        <f>COUNTIF('Trade Log'!$B$4:$B$503,$A76)</f>
        <v/>
      </c>
      <c r="C76" s="20">
        <f>COUNTIFS('Trade Log'!$B$4:$B$503,$A76,'Trade Log'!$L$4:$L$503,"&gt;0")</f>
        <v/>
      </c>
      <c r="D76" s="20">
        <f>COUNTIFS('Trade Log'!$B$4:$B$503,$A76,'Trade Log'!$L$4:$L$503,"&lt;0")</f>
        <v/>
      </c>
      <c r="E76" s="22">
        <f>IFERROR($C76/$B76,"")</f>
        <v/>
      </c>
      <c r="F76" s="21">
        <f>SUMIF('Trade Log'!$B$4:$B$503,$A76,'Trade Log'!$I$4:$I$503)</f>
        <v/>
      </c>
      <c r="G76" s="21">
        <f>SUMIF('Trade Log'!$B$4:$B$503,$A76,'Trade Log'!$L$4:$L$503)</f>
        <v/>
      </c>
      <c r="H76" s="21">
        <f>IFERROR($G76/$B76,"")</f>
        <v/>
      </c>
      <c r="I76" s="21">
        <f>IFERROR(_xlfn.MAXIFS('Trade Log'!$L$4:$L$503,'Trade Log'!$B$4:$B$503,$A76),"")</f>
        <v/>
      </c>
      <c r="J76" s="21">
        <f>IFERROR(_xlfn.MINIFS('Trade Log'!$L$4:$L$503,'Trade Log'!$B$4:$B$503,$A76),"")</f>
        <v/>
      </c>
    </row>
    <row r="77">
      <c r="A77" s="27" t="inlineStr">
        <is>
          <t>RACLGEAR</t>
        </is>
      </c>
      <c r="B77" s="20">
        <f>COUNTIF('Trade Log'!$B$4:$B$503,$A77)</f>
        <v/>
      </c>
      <c r="C77" s="20">
        <f>COUNTIFS('Trade Log'!$B$4:$B$503,$A77,'Trade Log'!$L$4:$L$503,"&gt;0")</f>
        <v/>
      </c>
      <c r="D77" s="20">
        <f>COUNTIFS('Trade Log'!$B$4:$B$503,$A77,'Trade Log'!$L$4:$L$503,"&lt;0")</f>
        <v/>
      </c>
      <c r="E77" s="22">
        <f>IFERROR($C77/$B77,"")</f>
        <v/>
      </c>
      <c r="F77" s="21">
        <f>SUMIF('Trade Log'!$B$4:$B$503,$A77,'Trade Log'!$I$4:$I$503)</f>
        <v/>
      </c>
      <c r="G77" s="21">
        <f>SUMIF('Trade Log'!$B$4:$B$503,$A77,'Trade Log'!$L$4:$L$503)</f>
        <v/>
      </c>
      <c r="H77" s="21">
        <f>IFERROR($G77/$B77,"")</f>
        <v/>
      </c>
      <c r="I77" s="21">
        <f>IFERROR(_xlfn.MAXIFS('Trade Log'!$L$4:$L$503,'Trade Log'!$B$4:$B$503,$A77),"")</f>
        <v/>
      </c>
      <c r="J77" s="21">
        <f>IFERROR(_xlfn.MINIFS('Trade Log'!$L$4:$L$503,'Trade Log'!$B$4:$B$503,$A77),"")</f>
        <v/>
      </c>
    </row>
    <row r="78">
      <c r="A78" s="27" t="inlineStr">
        <is>
          <t>RAMRAT</t>
        </is>
      </c>
      <c r="B78" s="20">
        <f>COUNTIF('Trade Log'!$B$4:$B$503,$A78)</f>
        <v/>
      </c>
      <c r="C78" s="20">
        <f>COUNTIFS('Trade Log'!$B$4:$B$503,$A78,'Trade Log'!$L$4:$L$503,"&gt;0")</f>
        <v/>
      </c>
      <c r="D78" s="20">
        <f>COUNTIFS('Trade Log'!$B$4:$B$503,$A78,'Trade Log'!$L$4:$L$503,"&lt;0")</f>
        <v/>
      </c>
      <c r="E78" s="22">
        <f>IFERROR($C78/$B78,"")</f>
        <v/>
      </c>
      <c r="F78" s="21">
        <f>SUMIF('Trade Log'!$B$4:$B$503,$A78,'Trade Log'!$I$4:$I$503)</f>
        <v/>
      </c>
      <c r="G78" s="21">
        <f>SUMIF('Trade Log'!$B$4:$B$503,$A78,'Trade Log'!$L$4:$L$503)</f>
        <v/>
      </c>
      <c r="H78" s="21">
        <f>IFERROR($G78/$B78,"")</f>
        <v/>
      </c>
      <c r="I78" s="21">
        <f>IFERROR(_xlfn.MAXIFS('Trade Log'!$L$4:$L$503,'Trade Log'!$B$4:$B$503,$A78),"")</f>
        <v/>
      </c>
      <c r="J78" s="21">
        <f>IFERROR(_xlfn.MINIFS('Trade Log'!$L$4:$L$503,'Trade Log'!$B$4:$B$503,$A78),"")</f>
        <v/>
      </c>
    </row>
    <row r="79">
      <c r="A79" s="27" t="inlineStr">
        <is>
          <t>RAYMOND</t>
        </is>
      </c>
      <c r="B79" s="20">
        <f>COUNTIF('Trade Log'!$B$4:$B$503,$A79)</f>
        <v/>
      </c>
      <c r="C79" s="20">
        <f>COUNTIFS('Trade Log'!$B$4:$B$503,$A79,'Trade Log'!$L$4:$L$503,"&gt;0")</f>
        <v/>
      </c>
      <c r="D79" s="20">
        <f>COUNTIFS('Trade Log'!$B$4:$B$503,$A79,'Trade Log'!$L$4:$L$503,"&lt;0")</f>
        <v/>
      </c>
      <c r="E79" s="22">
        <f>IFERROR($C79/$B79,"")</f>
        <v/>
      </c>
      <c r="F79" s="21">
        <f>SUMIF('Trade Log'!$B$4:$B$503,$A79,'Trade Log'!$I$4:$I$503)</f>
        <v/>
      </c>
      <c r="G79" s="21">
        <f>SUMIF('Trade Log'!$B$4:$B$503,$A79,'Trade Log'!$L$4:$L$503)</f>
        <v/>
      </c>
      <c r="H79" s="21">
        <f>IFERROR($G79/$B79,"")</f>
        <v/>
      </c>
      <c r="I79" s="21">
        <f>IFERROR(_xlfn.MAXIFS('Trade Log'!$L$4:$L$503,'Trade Log'!$B$4:$B$503,$A79),"")</f>
        <v/>
      </c>
      <c r="J79" s="21">
        <f>IFERROR(_xlfn.MINIFS('Trade Log'!$L$4:$L$503,'Trade Log'!$B$4:$B$503,$A79),"")</f>
        <v/>
      </c>
    </row>
    <row r="80">
      <c r="A80" s="27" t="inlineStr">
        <is>
          <t>RAYMONDREL</t>
        </is>
      </c>
      <c r="B80" s="20">
        <f>COUNTIF('Trade Log'!$B$4:$B$503,$A80)</f>
        <v/>
      </c>
      <c r="C80" s="20">
        <f>COUNTIFS('Trade Log'!$B$4:$B$503,$A80,'Trade Log'!$L$4:$L$503,"&gt;0")</f>
        <v/>
      </c>
      <c r="D80" s="20">
        <f>COUNTIFS('Trade Log'!$B$4:$B$503,$A80,'Trade Log'!$L$4:$L$503,"&lt;0")</f>
        <v/>
      </c>
      <c r="E80" s="22">
        <f>IFERROR($C80/$B80,"")</f>
        <v/>
      </c>
      <c r="F80" s="21">
        <f>SUMIF('Trade Log'!$B$4:$B$503,$A80,'Trade Log'!$I$4:$I$503)</f>
        <v/>
      </c>
      <c r="G80" s="21">
        <f>SUMIF('Trade Log'!$B$4:$B$503,$A80,'Trade Log'!$L$4:$L$503)</f>
        <v/>
      </c>
      <c r="H80" s="21">
        <f>IFERROR($G80/$B80,"")</f>
        <v/>
      </c>
      <c r="I80" s="21">
        <f>IFERROR(_xlfn.MAXIFS('Trade Log'!$L$4:$L$503,'Trade Log'!$B$4:$B$503,$A80),"")</f>
        <v/>
      </c>
      <c r="J80" s="21">
        <f>IFERROR(_xlfn.MINIFS('Trade Log'!$L$4:$L$503,'Trade Log'!$B$4:$B$503,$A80),"")</f>
        <v/>
      </c>
    </row>
    <row r="81">
      <c r="A81" s="27" t="inlineStr">
        <is>
          <t>REFEX</t>
        </is>
      </c>
      <c r="B81" s="20">
        <f>COUNTIF('Trade Log'!$B$4:$B$503,$A81)</f>
        <v/>
      </c>
      <c r="C81" s="20">
        <f>COUNTIFS('Trade Log'!$B$4:$B$503,$A81,'Trade Log'!$L$4:$L$503,"&gt;0")</f>
        <v/>
      </c>
      <c r="D81" s="20">
        <f>COUNTIFS('Trade Log'!$B$4:$B$503,$A81,'Trade Log'!$L$4:$L$503,"&lt;0")</f>
        <v/>
      </c>
      <c r="E81" s="22">
        <f>IFERROR($C81/$B81,"")</f>
        <v/>
      </c>
      <c r="F81" s="21">
        <f>SUMIF('Trade Log'!$B$4:$B$503,$A81,'Trade Log'!$I$4:$I$503)</f>
        <v/>
      </c>
      <c r="G81" s="21">
        <f>SUMIF('Trade Log'!$B$4:$B$503,$A81,'Trade Log'!$L$4:$L$503)</f>
        <v/>
      </c>
      <c r="H81" s="21">
        <f>IFERROR($G81/$B81,"")</f>
        <v/>
      </c>
      <c r="I81" s="21">
        <f>IFERROR(_xlfn.MAXIFS('Trade Log'!$L$4:$L$503,'Trade Log'!$B$4:$B$503,$A81),"")</f>
        <v/>
      </c>
      <c r="J81" s="21">
        <f>IFERROR(_xlfn.MINIFS('Trade Log'!$L$4:$L$503,'Trade Log'!$B$4:$B$503,$A81),"")</f>
        <v/>
      </c>
    </row>
    <row r="82">
      <c r="A82" s="27" t="inlineStr">
        <is>
          <t>RESPONIND</t>
        </is>
      </c>
      <c r="B82" s="20">
        <f>COUNTIF('Trade Log'!$B$4:$B$503,$A82)</f>
        <v/>
      </c>
      <c r="C82" s="20">
        <f>COUNTIFS('Trade Log'!$B$4:$B$503,$A82,'Trade Log'!$L$4:$L$503,"&gt;0")</f>
        <v/>
      </c>
      <c r="D82" s="20">
        <f>COUNTIFS('Trade Log'!$B$4:$B$503,$A82,'Trade Log'!$L$4:$L$503,"&lt;0")</f>
        <v/>
      </c>
      <c r="E82" s="22">
        <f>IFERROR($C82/$B82,"")</f>
        <v/>
      </c>
      <c r="F82" s="21">
        <f>SUMIF('Trade Log'!$B$4:$B$503,$A82,'Trade Log'!$I$4:$I$503)</f>
        <v/>
      </c>
      <c r="G82" s="21">
        <f>SUMIF('Trade Log'!$B$4:$B$503,$A82,'Trade Log'!$L$4:$L$503)</f>
        <v/>
      </c>
      <c r="H82" s="21">
        <f>IFERROR($G82/$B82,"")</f>
        <v/>
      </c>
      <c r="I82" s="21">
        <f>IFERROR(_xlfn.MAXIFS('Trade Log'!$L$4:$L$503,'Trade Log'!$B$4:$B$503,$A82),"")</f>
        <v/>
      </c>
      <c r="J82" s="21">
        <f>IFERROR(_xlfn.MINIFS('Trade Log'!$L$4:$L$503,'Trade Log'!$B$4:$B$503,$A82),"")</f>
        <v/>
      </c>
    </row>
    <row r="83">
      <c r="A83" s="27" t="inlineStr">
        <is>
          <t>RML</t>
        </is>
      </c>
      <c r="B83" s="20">
        <f>COUNTIF('Trade Log'!$B$4:$B$503,$A83)</f>
        <v/>
      </c>
      <c r="C83" s="20">
        <f>COUNTIFS('Trade Log'!$B$4:$B$503,$A83,'Trade Log'!$L$4:$L$503,"&gt;0")</f>
        <v/>
      </c>
      <c r="D83" s="20">
        <f>COUNTIFS('Trade Log'!$B$4:$B$503,$A83,'Trade Log'!$L$4:$L$503,"&lt;0")</f>
        <v/>
      </c>
      <c r="E83" s="22">
        <f>IFERROR($C83/$B83,"")</f>
        <v/>
      </c>
      <c r="F83" s="21">
        <f>SUMIF('Trade Log'!$B$4:$B$503,$A83,'Trade Log'!$I$4:$I$503)</f>
        <v/>
      </c>
      <c r="G83" s="21">
        <f>SUMIF('Trade Log'!$B$4:$B$503,$A83,'Trade Log'!$L$4:$L$503)</f>
        <v/>
      </c>
      <c r="H83" s="21">
        <f>IFERROR($G83/$B83,"")</f>
        <v/>
      </c>
      <c r="I83" s="21">
        <f>IFERROR(_xlfn.MAXIFS('Trade Log'!$L$4:$L$503,'Trade Log'!$B$4:$B$503,$A83),"")</f>
        <v/>
      </c>
      <c r="J83" s="21">
        <f>IFERROR(_xlfn.MINIFS('Trade Log'!$L$4:$L$503,'Trade Log'!$B$4:$B$503,$A83),"")</f>
        <v/>
      </c>
    </row>
    <row r="84">
      <c r="A84" s="27" t="inlineStr">
        <is>
          <t>ROSSTECH</t>
        </is>
      </c>
      <c r="B84" s="20">
        <f>COUNTIF('Trade Log'!$B$4:$B$503,$A84)</f>
        <v/>
      </c>
      <c r="C84" s="20">
        <f>COUNTIFS('Trade Log'!$B$4:$B$503,$A84,'Trade Log'!$L$4:$L$503,"&gt;0")</f>
        <v/>
      </c>
      <c r="D84" s="20">
        <f>COUNTIFS('Trade Log'!$B$4:$B$503,$A84,'Trade Log'!$L$4:$L$503,"&lt;0")</f>
        <v/>
      </c>
      <c r="E84" s="22">
        <f>IFERROR($C84/$B84,"")</f>
        <v/>
      </c>
      <c r="F84" s="21">
        <f>SUMIF('Trade Log'!$B$4:$B$503,$A84,'Trade Log'!$I$4:$I$503)</f>
        <v/>
      </c>
      <c r="G84" s="21">
        <f>SUMIF('Trade Log'!$B$4:$B$503,$A84,'Trade Log'!$L$4:$L$503)</f>
        <v/>
      </c>
      <c r="H84" s="21">
        <f>IFERROR($G84/$B84,"")</f>
        <v/>
      </c>
      <c r="I84" s="21">
        <f>IFERROR(_xlfn.MAXIFS('Trade Log'!$L$4:$L$503,'Trade Log'!$B$4:$B$503,$A84),"")</f>
        <v/>
      </c>
      <c r="J84" s="21">
        <f>IFERROR(_xlfn.MINIFS('Trade Log'!$L$4:$L$503,'Trade Log'!$B$4:$B$503,$A84),"")</f>
        <v/>
      </c>
    </row>
    <row r="85">
      <c r="A85" s="27" t="inlineStr">
        <is>
          <t>RPGLIFE</t>
        </is>
      </c>
      <c r="B85" s="20">
        <f>COUNTIF('Trade Log'!$B$4:$B$503,$A85)</f>
        <v/>
      </c>
      <c r="C85" s="20">
        <f>COUNTIFS('Trade Log'!$B$4:$B$503,$A85,'Trade Log'!$L$4:$L$503,"&gt;0")</f>
        <v/>
      </c>
      <c r="D85" s="20">
        <f>COUNTIFS('Trade Log'!$B$4:$B$503,$A85,'Trade Log'!$L$4:$L$503,"&lt;0")</f>
        <v/>
      </c>
      <c r="E85" s="22">
        <f>IFERROR($C85/$B85,"")</f>
        <v/>
      </c>
      <c r="F85" s="21">
        <f>SUMIF('Trade Log'!$B$4:$B$503,$A85,'Trade Log'!$I$4:$I$503)</f>
        <v/>
      </c>
      <c r="G85" s="21">
        <f>SUMIF('Trade Log'!$B$4:$B$503,$A85,'Trade Log'!$L$4:$L$503)</f>
        <v/>
      </c>
      <c r="H85" s="21">
        <f>IFERROR($G85/$B85,"")</f>
        <v/>
      </c>
      <c r="I85" s="21">
        <f>IFERROR(_xlfn.MAXIFS('Trade Log'!$L$4:$L$503,'Trade Log'!$B$4:$B$503,$A85),"")</f>
        <v/>
      </c>
      <c r="J85" s="21">
        <f>IFERROR(_xlfn.MINIFS('Trade Log'!$L$4:$L$503,'Trade Log'!$B$4:$B$503,$A85),"")</f>
        <v/>
      </c>
    </row>
    <row r="86">
      <c r="A86" s="27" t="inlineStr">
        <is>
          <t>RSYSTEMS</t>
        </is>
      </c>
      <c r="B86" s="20">
        <f>COUNTIF('Trade Log'!$B$4:$B$503,$A86)</f>
        <v/>
      </c>
      <c r="C86" s="20">
        <f>COUNTIFS('Trade Log'!$B$4:$B$503,$A86,'Trade Log'!$L$4:$L$503,"&gt;0")</f>
        <v/>
      </c>
      <c r="D86" s="20">
        <f>COUNTIFS('Trade Log'!$B$4:$B$503,$A86,'Trade Log'!$L$4:$L$503,"&lt;0")</f>
        <v/>
      </c>
      <c r="E86" s="22">
        <f>IFERROR($C86/$B86,"")</f>
        <v/>
      </c>
      <c r="F86" s="21">
        <f>SUMIF('Trade Log'!$B$4:$B$503,$A86,'Trade Log'!$I$4:$I$503)</f>
        <v/>
      </c>
      <c r="G86" s="21">
        <f>SUMIF('Trade Log'!$B$4:$B$503,$A86,'Trade Log'!$L$4:$L$503)</f>
        <v/>
      </c>
      <c r="H86" s="21">
        <f>IFERROR($G86/$B86,"")</f>
        <v/>
      </c>
      <c r="I86" s="21">
        <f>IFERROR(_xlfn.MAXIFS('Trade Log'!$L$4:$L$503,'Trade Log'!$B$4:$B$503,$A86),"")</f>
        <v/>
      </c>
      <c r="J86" s="21">
        <f>IFERROR(_xlfn.MINIFS('Trade Log'!$L$4:$L$503,'Trade Log'!$B$4:$B$503,$A86),"")</f>
        <v/>
      </c>
    </row>
    <row r="87">
      <c r="A87" s="27" t="inlineStr">
        <is>
          <t>SAATVIKGL</t>
        </is>
      </c>
      <c r="B87" s="20">
        <f>COUNTIF('Trade Log'!$B$4:$B$503,$A87)</f>
        <v/>
      </c>
      <c r="C87" s="20">
        <f>COUNTIFS('Trade Log'!$B$4:$B$503,$A87,'Trade Log'!$L$4:$L$503,"&gt;0")</f>
        <v/>
      </c>
      <c r="D87" s="20">
        <f>COUNTIFS('Trade Log'!$B$4:$B$503,$A87,'Trade Log'!$L$4:$L$503,"&lt;0")</f>
        <v/>
      </c>
      <c r="E87" s="22">
        <f>IFERROR($C87/$B87,"")</f>
        <v/>
      </c>
      <c r="F87" s="21">
        <f>SUMIF('Trade Log'!$B$4:$B$503,$A87,'Trade Log'!$I$4:$I$503)</f>
        <v/>
      </c>
      <c r="G87" s="21">
        <f>SUMIF('Trade Log'!$B$4:$B$503,$A87,'Trade Log'!$L$4:$L$503)</f>
        <v/>
      </c>
      <c r="H87" s="21">
        <f>IFERROR($G87/$B87,"")</f>
        <v/>
      </c>
      <c r="I87" s="21">
        <f>IFERROR(_xlfn.MAXIFS('Trade Log'!$L$4:$L$503,'Trade Log'!$B$4:$B$503,$A87),"")</f>
        <v/>
      </c>
      <c r="J87" s="21">
        <f>IFERROR(_xlfn.MINIFS('Trade Log'!$L$4:$L$503,'Trade Log'!$B$4:$B$503,$A87),"")</f>
        <v/>
      </c>
    </row>
    <row r="88">
      <c r="A88" s="27" t="inlineStr">
        <is>
          <t>SAKAR</t>
        </is>
      </c>
      <c r="B88" s="20">
        <f>COUNTIF('Trade Log'!$B$4:$B$503,$A88)</f>
        <v/>
      </c>
      <c r="C88" s="20">
        <f>COUNTIFS('Trade Log'!$B$4:$B$503,$A88,'Trade Log'!$L$4:$L$503,"&gt;0")</f>
        <v/>
      </c>
      <c r="D88" s="20">
        <f>COUNTIFS('Trade Log'!$B$4:$B$503,$A88,'Trade Log'!$L$4:$L$503,"&lt;0")</f>
        <v/>
      </c>
      <c r="E88" s="22">
        <f>IFERROR($C88/$B88,"")</f>
        <v/>
      </c>
      <c r="F88" s="21">
        <f>SUMIF('Trade Log'!$B$4:$B$503,$A88,'Trade Log'!$I$4:$I$503)</f>
        <v/>
      </c>
      <c r="G88" s="21">
        <f>SUMIF('Trade Log'!$B$4:$B$503,$A88,'Trade Log'!$L$4:$L$503)</f>
        <v/>
      </c>
      <c r="H88" s="21">
        <f>IFERROR($G88/$B88,"")</f>
        <v/>
      </c>
      <c r="I88" s="21">
        <f>IFERROR(_xlfn.MAXIFS('Trade Log'!$L$4:$L$503,'Trade Log'!$B$4:$B$503,$A88),"")</f>
        <v/>
      </c>
      <c r="J88" s="21">
        <f>IFERROR(_xlfn.MINIFS('Trade Log'!$L$4:$L$503,'Trade Log'!$B$4:$B$503,$A88),"")</f>
        <v/>
      </c>
    </row>
    <row r="89">
      <c r="A89" s="27" t="inlineStr">
        <is>
          <t>SAMBHV</t>
        </is>
      </c>
      <c r="B89" s="20">
        <f>COUNTIF('Trade Log'!$B$4:$B$503,$A89)</f>
        <v/>
      </c>
      <c r="C89" s="20">
        <f>COUNTIFS('Trade Log'!$B$4:$B$503,$A89,'Trade Log'!$L$4:$L$503,"&gt;0")</f>
        <v/>
      </c>
      <c r="D89" s="20">
        <f>COUNTIFS('Trade Log'!$B$4:$B$503,$A89,'Trade Log'!$L$4:$L$503,"&lt;0")</f>
        <v/>
      </c>
      <c r="E89" s="22">
        <f>IFERROR($C89/$B89,"")</f>
        <v/>
      </c>
      <c r="F89" s="21">
        <f>SUMIF('Trade Log'!$B$4:$B$503,$A89,'Trade Log'!$I$4:$I$503)</f>
        <v/>
      </c>
      <c r="G89" s="21">
        <f>SUMIF('Trade Log'!$B$4:$B$503,$A89,'Trade Log'!$L$4:$L$503)</f>
        <v/>
      </c>
      <c r="H89" s="21">
        <f>IFERROR($G89/$B89,"")</f>
        <v/>
      </c>
      <c r="I89" s="21">
        <f>IFERROR(_xlfn.MAXIFS('Trade Log'!$L$4:$L$503,'Trade Log'!$B$4:$B$503,$A89),"")</f>
        <v/>
      </c>
      <c r="J89" s="21">
        <f>IFERROR(_xlfn.MINIFS('Trade Log'!$L$4:$L$503,'Trade Log'!$B$4:$B$503,$A89),"")</f>
        <v/>
      </c>
    </row>
    <row r="90">
      <c r="A90" s="27" t="inlineStr">
        <is>
          <t>SAMHI</t>
        </is>
      </c>
      <c r="B90" s="20">
        <f>COUNTIF('Trade Log'!$B$4:$B$503,$A90)</f>
        <v/>
      </c>
      <c r="C90" s="20">
        <f>COUNTIFS('Trade Log'!$B$4:$B$503,$A90,'Trade Log'!$L$4:$L$503,"&gt;0")</f>
        <v/>
      </c>
      <c r="D90" s="20">
        <f>COUNTIFS('Trade Log'!$B$4:$B$503,$A90,'Trade Log'!$L$4:$L$503,"&lt;0")</f>
        <v/>
      </c>
      <c r="E90" s="22">
        <f>IFERROR($C90/$B90,"")</f>
        <v/>
      </c>
      <c r="F90" s="21">
        <f>SUMIF('Trade Log'!$B$4:$B$503,$A90,'Trade Log'!$I$4:$I$503)</f>
        <v/>
      </c>
      <c r="G90" s="21">
        <f>SUMIF('Trade Log'!$B$4:$B$503,$A90,'Trade Log'!$L$4:$L$503)</f>
        <v/>
      </c>
      <c r="H90" s="21">
        <f>IFERROR($G90/$B90,"")</f>
        <v/>
      </c>
      <c r="I90" s="21">
        <f>IFERROR(_xlfn.MAXIFS('Trade Log'!$L$4:$L$503,'Trade Log'!$B$4:$B$503,$A90),"")</f>
        <v/>
      </c>
      <c r="J90" s="21">
        <f>IFERROR(_xlfn.MINIFS('Trade Log'!$L$4:$L$503,'Trade Log'!$B$4:$B$503,$A90),"")</f>
        <v/>
      </c>
    </row>
    <row r="91">
      <c r="A91" s="27" t="inlineStr">
        <is>
          <t>SANGAMIND</t>
        </is>
      </c>
      <c r="B91" s="20">
        <f>COUNTIF('Trade Log'!$B$4:$B$503,$A91)</f>
        <v/>
      </c>
      <c r="C91" s="20">
        <f>COUNTIFS('Trade Log'!$B$4:$B$503,$A91,'Trade Log'!$L$4:$L$503,"&gt;0")</f>
        <v/>
      </c>
      <c r="D91" s="20">
        <f>COUNTIFS('Trade Log'!$B$4:$B$503,$A91,'Trade Log'!$L$4:$L$503,"&lt;0")</f>
        <v/>
      </c>
      <c r="E91" s="22">
        <f>IFERROR($C91/$B91,"")</f>
        <v/>
      </c>
      <c r="F91" s="21">
        <f>SUMIF('Trade Log'!$B$4:$B$503,$A91,'Trade Log'!$I$4:$I$503)</f>
        <v/>
      </c>
      <c r="G91" s="21">
        <f>SUMIF('Trade Log'!$B$4:$B$503,$A91,'Trade Log'!$L$4:$L$503)</f>
        <v/>
      </c>
      <c r="H91" s="21">
        <f>IFERROR($G91/$B91,"")</f>
        <v/>
      </c>
      <c r="I91" s="21">
        <f>IFERROR(_xlfn.MAXIFS('Trade Log'!$L$4:$L$503,'Trade Log'!$B$4:$B$503,$A91),"")</f>
        <v/>
      </c>
      <c r="J91" s="21">
        <f>IFERROR(_xlfn.MINIFS('Trade Log'!$L$4:$L$503,'Trade Log'!$B$4:$B$503,$A91),"")</f>
        <v/>
      </c>
    </row>
    <row r="92">
      <c r="A92" s="27" t="inlineStr">
        <is>
          <t>SDBL</t>
        </is>
      </c>
      <c r="B92" s="20">
        <f>COUNTIF('Trade Log'!$B$4:$B$503,$A92)</f>
        <v/>
      </c>
      <c r="C92" s="20">
        <f>COUNTIFS('Trade Log'!$B$4:$B$503,$A92,'Trade Log'!$L$4:$L$503,"&gt;0")</f>
        <v/>
      </c>
      <c r="D92" s="20">
        <f>COUNTIFS('Trade Log'!$B$4:$B$503,$A92,'Trade Log'!$L$4:$L$503,"&lt;0")</f>
        <v/>
      </c>
      <c r="E92" s="22">
        <f>IFERROR($C92/$B92,"")</f>
        <v/>
      </c>
      <c r="F92" s="21">
        <f>SUMIF('Trade Log'!$B$4:$B$503,$A92,'Trade Log'!$I$4:$I$503)</f>
        <v/>
      </c>
      <c r="G92" s="21">
        <f>SUMIF('Trade Log'!$B$4:$B$503,$A92,'Trade Log'!$L$4:$L$503)</f>
        <v/>
      </c>
      <c r="H92" s="21">
        <f>IFERROR($G92/$B92,"")</f>
        <v/>
      </c>
      <c r="I92" s="21">
        <f>IFERROR(_xlfn.MAXIFS('Trade Log'!$L$4:$L$503,'Trade Log'!$B$4:$B$503,$A92),"")</f>
        <v/>
      </c>
      <c r="J92" s="21">
        <f>IFERROR(_xlfn.MINIFS('Trade Log'!$L$4:$L$503,'Trade Log'!$B$4:$B$503,$A92),"")</f>
        <v/>
      </c>
    </row>
    <row r="93">
      <c r="A93" s="27" t="inlineStr">
        <is>
          <t>SHANTIGOLD</t>
        </is>
      </c>
      <c r="B93" s="20">
        <f>COUNTIF('Trade Log'!$B$4:$B$503,$A93)</f>
        <v/>
      </c>
      <c r="C93" s="20">
        <f>COUNTIFS('Trade Log'!$B$4:$B$503,$A93,'Trade Log'!$L$4:$L$503,"&gt;0")</f>
        <v/>
      </c>
      <c r="D93" s="20">
        <f>COUNTIFS('Trade Log'!$B$4:$B$503,$A93,'Trade Log'!$L$4:$L$503,"&lt;0")</f>
        <v/>
      </c>
      <c r="E93" s="22">
        <f>IFERROR($C93/$B93,"")</f>
        <v/>
      </c>
      <c r="F93" s="21">
        <f>SUMIF('Trade Log'!$B$4:$B$503,$A93,'Trade Log'!$I$4:$I$503)</f>
        <v/>
      </c>
      <c r="G93" s="21">
        <f>SUMIF('Trade Log'!$B$4:$B$503,$A93,'Trade Log'!$L$4:$L$503)</f>
        <v/>
      </c>
      <c r="H93" s="21">
        <f>IFERROR($G93/$B93,"")</f>
        <v/>
      </c>
      <c r="I93" s="21">
        <f>IFERROR(_xlfn.MAXIFS('Trade Log'!$L$4:$L$503,'Trade Log'!$B$4:$B$503,$A93),"")</f>
        <v/>
      </c>
      <c r="J93" s="21">
        <f>IFERROR(_xlfn.MINIFS('Trade Log'!$L$4:$L$503,'Trade Log'!$B$4:$B$503,$A93),"")</f>
        <v/>
      </c>
    </row>
    <row r="94">
      <c r="A94" s="27" t="inlineStr">
        <is>
          <t>SHAREINDIA</t>
        </is>
      </c>
      <c r="B94" s="20">
        <f>COUNTIF('Trade Log'!$B$4:$B$503,$A94)</f>
        <v/>
      </c>
      <c r="C94" s="20">
        <f>COUNTIFS('Trade Log'!$B$4:$B$503,$A94,'Trade Log'!$L$4:$L$503,"&gt;0")</f>
        <v/>
      </c>
      <c r="D94" s="20">
        <f>COUNTIFS('Trade Log'!$B$4:$B$503,$A94,'Trade Log'!$L$4:$L$503,"&lt;0")</f>
        <v/>
      </c>
      <c r="E94" s="22">
        <f>IFERROR($C94/$B94,"")</f>
        <v/>
      </c>
      <c r="F94" s="21">
        <f>SUMIF('Trade Log'!$B$4:$B$503,$A94,'Trade Log'!$I$4:$I$503)</f>
        <v/>
      </c>
      <c r="G94" s="21">
        <f>SUMIF('Trade Log'!$B$4:$B$503,$A94,'Trade Log'!$L$4:$L$503)</f>
        <v/>
      </c>
      <c r="H94" s="21">
        <f>IFERROR($G94/$B94,"")</f>
        <v/>
      </c>
      <c r="I94" s="21">
        <f>IFERROR(_xlfn.MAXIFS('Trade Log'!$L$4:$L$503,'Trade Log'!$B$4:$B$503,$A94),"")</f>
        <v/>
      </c>
      <c r="J94" s="21">
        <f>IFERROR(_xlfn.MINIFS('Trade Log'!$L$4:$L$503,'Trade Log'!$B$4:$B$503,$A94),"")</f>
        <v/>
      </c>
    </row>
    <row r="95">
      <c r="A95" s="27" t="inlineStr">
        <is>
          <t>SHOPERSTOP</t>
        </is>
      </c>
      <c r="B95" s="20">
        <f>COUNTIF('Trade Log'!$B$4:$B$503,$A95)</f>
        <v/>
      </c>
      <c r="C95" s="20">
        <f>COUNTIFS('Trade Log'!$B$4:$B$503,$A95,'Trade Log'!$L$4:$L$503,"&gt;0")</f>
        <v/>
      </c>
      <c r="D95" s="20">
        <f>COUNTIFS('Trade Log'!$B$4:$B$503,$A95,'Trade Log'!$L$4:$L$503,"&lt;0")</f>
        <v/>
      </c>
      <c r="E95" s="22">
        <f>IFERROR($C95/$B95,"")</f>
        <v/>
      </c>
      <c r="F95" s="21">
        <f>SUMIF('Trade Log'!$B$4:$B$503,$A95,'Trade Log'!$I$4:$I$503)</f>
        <v/>
      </c>
      <c r="G95" s="21">
        <f>SUMIF('Trade Log'!$B$4:$B$503,$A95,'Trade Log'!$L$4:$L$503)</f>
        <v/>
      </c>
      <c r="H95" s="21">
        <f>IFERROR($G95/$B95,"")</f>
        <v/>
      </c>
      <c r="I95" s="21">
        <f>IFERROR(_xlfn.MAXIFS('Trade Log'!$L$4:$L$503,'Trade Log'!$B$4:$B$503,$A95),"")</f>
        <v/>
      </c>
      <c r="J95" s="21">
        <f>IFERROR(_xlfn.MINIFS('Trade Log'!$L$4:$L$503,'Trade Log'!$B$4:$B$503,$A95),"")</f>
        <v/>
      </c>
    </row>
    <row r="96">
      <c r="A96" s="27" t="inlineStr">
        <is>
          <t>SIKA</t>
        </is>
      </c>
      <c r="B96" s="20">
        <f>COUNTIF('Trade Log'!$B$4:$B$503,$A96)</f>
        <v/>
      </c>
      <c r="C96" s="20">
        <f>COUNTIFS('Trade Log'!$B$4:$B$503,$A96,'Trade Log'!$L$4:$L$503,"&gt;0")</f>
        <v/>
      </c>
      <c r="D96" s="20">
        <f>COUNTIFS('Trade Log'!$B$4:$B$503,$A96,'Trade Log'!$L$4:$L$503,"&lt;0")</f>
        <v/>
      </c>
      <c r="E96" s="22">
        <f>IFERROR($C96/$B96,"")</f>
        <v/>
      </c>
      <c r="F96" s="21">
        <f>SUMIF('Trade Log'!$B$4:$B$503,$A96,'Trade Log'!$I$4:$I$503)</f>
        <v/>
      </c>
      <c r="G96" s="21">
        <f>SUMIF('Trade Log'!$B$4:$B$503,$A96,'Trade Log'!$L$4:$L$503)</f>
        <v/>
      </c>
      <c r="H96" s="21">
        <f>IFERROR($G96/$B96,"")</f>
        <v/>
      </c>
      <c r="I96" s="21">
        <f>IFERROR(_xlfn.MAXIFS('Trade Log'!$L$4:$L$503,'Trade Log'!$B$4:$B$503,$A96),"")</f>
        <v/>
      </c>
      <c r="J96" s="21">
        <f>IFERROR(_xlfn.MINIFS('Trade Log'!$L$4:$L$503,'Trade Log'!$B$4:$B$503,$A96),"")</f>
        <v/>
      </c>
    </row>
    <row r="97">
      <c r="A97" s="27" t="inlineStr">
        <is>
          <t>SINDHUTRAD</t>
        </is>
      </c>
      <c r="B97" s="20">
        <f>COUNTIF('Trade Log'!$B$4:$B$503,$A97)</f>
        <v/>
      </c>
      <c r="C97" s="20">
        <f>COUNTIFS('Trade Log'!$B$4:$B$503,$A97,'Trade Log'!$L$4:$L$503,"&gt;0")</f>
        <v/>
      </c>
      <c r="D97" s="20">
        <f>COUNTIFS('Trade Log'!$B$4:$B$503,$A97,'Trade Log'!$L$4:$L$503,"&lt;0")</f>
        <v/>
      </c>
      <c r="E97" s="22">
        <f>IFERROR($C97/$B97,"")</f>
        <v/>
      </c>
      <c r="F97" s="21">
        <f>SUMIF('Trade Log'!$B$4:$B$503,$A97,'Trade Log'!$I$4:$I$503)</f>
        <v/>
      </c>
      <c r="G97" s="21">
        <f>SUMIF('Trade Log'!$B$4:$B$503,$A97,'Trade Log'!$L$4:$L$503)</f>
        <v/>
      </c>
      <c r="H97" s="21">
        <f>IFERROR($G97/$B97,"")</f>
        <v/>
      </c>
      <c r="I97" s="21">
        <f>IFERROR(_xlfn.MAXIFS('Trade Log'!$L$4:$L$503,'Trade Log'!$B$4:$B$503,$A97),"")</f>
        <v/>
      </c>
      <c r="J97" s="21">
        <f>IFERROR(_xlfn.MINIFS('Trade Log'!$L$4:$L$503,'Trade Log'!$B$4:$B$503,$A97),"")</f>
        <v/>
      </c>
    </row>
    <row r="98">
      <c r="A98" s="27" t="inlineStr">
        <is>
          <t>SMCGLOBAL</t>
        </is>
      </c>
      <c r="B98" s="20">
        <f>COUNTIF('Trade Log'!$B$4:$B$503,$A98)</f>
        <v/>
      </c>
      <c r="C98" s="20">
        <f>COUNTIFS('Trade Log'!$B$4:$B$503,$A98,'Trade Log'!$L$4:$L$503,"&gt;0")</f>
        <v/>
      </c>
      <c r="D98" s="20">
        <f>COUNTIFS('Trade Log'!$B$4:$B$503,$A98,'Trade Log'!$L$4:$L$503,"&lt;0")</f>
        <v/>
      </c>
      <c r="E98" s="22">
        <f>IFERROR($C98/$B98,"")</f>
        <v/>
      </c>
      <c r="F98" s="21">
        <f>SUMIF('Trade Log'!$B$4:$B$503,$A98,'Trade Log'!$I$4:$I$503)</f>
        <v/>
      </c>
      <c r="G98" s="21">
        <f>SUMIF('Trade Log'!$B$4:$B$503,$A98,'Trade Log'!$L$4:$L$503)</f>
        <v/>
      </c>
      <c r="H98" s="21">
        <f>IFERROR($G98/$B98,"")</f>
        <v/>
      </c>
      <c r="I98" s="21">
        <f>IFERROR(_xlfn.MAXIFS('Trade Log'!$L$4:$L$503,'Trade Log'!$B$4:$B$503,$A98),"")</f>
        <v/>
      </c>
      <c r="J98" s="21">
        <f>IFERROR(_xlfn.MINIFS('Trade Log'!$L$4:$L$503,'Trade Log'!$B$4:$B$503,$A98),"")</f>
        <v/>
      </c>
    </row>
    <row r="99">
      <c r="A99" s="27" t="inlineStr">
        <is>
          <t>SMSPHARMA</t>
        </is>
      </c>
      <c r="B99" s="20">
        <f>COUNTIF('Trade Log'!$B$4:$B$503,$A99)</f>
        <v/>
      </c>
      <c r="C99" s="20">
        <f>COUNTIFS('Trade Log'!$B$4:$B$503,$A99,'Trade Log'!$L$4:$L$503,"&gt;0")</f>
        <v/>
      </c>
      <c r="D99" s="20">
        <f>COUNTIFS('Trade Log'!$B$4:$B$503,$A99,'Trade Log'!$L$4:$L$503,"&lt;0")</f>
        <v/>
      </c>
      <c r="E99" s="22">
        <f>IFERROR($C99/$B99,"")</f>
        <v/>
      </c>
      <c r="F99" s="21">
        <f>SUMIF('Trade Log'!$B$4:$B$503,$A99,'Trade Log'!$I$4:$I$503)</f>
        <v/>
      </c>
      <c r="G99" s="21">
        <f>SUMIF('Trade Log'!$B$4:$B$503,$A99,'Trade Log'!$L$4:$L$503)</f>
        <v/>
      </c>
      <c r="H99" s="21">
        <f>IFERROR($G99/$B99,"")</f>
        <v/>
      </c>
      <c r="I99" s="21">
        <f>IFERROR(_xlfn.MAXIFS('Trade Log'!$L$4:$L$503,'Trade Log'!$B$4:$B$503,$A99),"")</f>
        <v/>
      </c>
      <c r="J99" s="21">
        <f>IFERROR(_xlfn.MINIFS('Trade Log'!$L$4:$L$503,'Trade Log'!$B$4:$B$503,$A99),"")</f>
        <v/>
      </c>
    </row>
    <row r="100">
      <c r="A100" s="27" t="inlineStr">
        <is>
          <t>SOLARA</t>
        </is>
      </c>
      <c r="B100" s="20">
        <f>COUNTIF('Trade Log'!$B$4:$B$503,$A100)</f>
        <v/>
      </c>
      <c r="C100" s="20">
        <f>COUNTIFS('Trade Log'!$B$4:$B$503,$A100,'Trade Log'!$L$4:$L$503,"&gt;0")</f>
        <v/>
      </c>
      <c r="D100" s="20">
        <f>COUNTIFS('Trade Log'!$B$4:$B$503,$A100,'Trade Log'!$L$4:$L$503,"&lt;0")</f>
        <v/>
      </c>
      <c r="E100" s="22">
        <f>IFERROR($C100/$B100,"")</f>
        <v/>
      </c>
      <c r="F100" s="21">
        <f>SUMIF('Trade Log'!$B$4:$B$503,$A100,'Trade Log'!$I$4:$I$503)</f>
        <v/>
      </c>
      <c r="G100" s="21">
        <f>SUMIF('Trade Log'!$B$4:$B$503,$A100,'Trade Log'!$L$4:$L$503)</f>
        <v/>
      </c>
      <c r="H100" s="21">
        <f>IFERROR($G100/$B100,"")</f>
        <v/>
      </c>
      <c r="I100" s="21">
        <f>IFERROR(_xlfn.MAXIFS('Trade Log'!$L$4:$L$503,'Trade Log'!$B$4:$B$503,$A100),"")</f>
        <v/>
      </c>
      <c r="J100" s="21">
        <f>IFERROR(_xlfn.MINIFS('Trade Log'!$L$4:$L$503,'Trade Log'!$B$4:$B$503,$A100),"")</f>
        <v/>
      </c>
    </row>
    <row r="101">
      <c r="A101" s="27" t="inlineStr">
        <is>
          <t>SOTL</t>
        </is>
      </c>
      <c r="B101" s="20">
        <f>COUNTIF('Trade Log'!$B$4:$B$503,$A101)</f>
        <v/>
      </c>
      <c r="C101" s="20">
        <f>COUNTIFS('Trade Log'!$B$4:$B$503,$A101,'Trade Log'!$L$4:$L$503,"&gt;0")</f>
        <v/>
      </c>
      <c r="D101" s="20">
        <f>COUNTIFS('Trade Log'!$B$4:$B$503,$A101,'Trade Log'!$L$4:$L$503,"&lt;0")</f>
        <v/>
      </c>
      <c r="E101" s="22">
        <f>IFERROR($C101/$B101,"")</f>
        <v/>
      </c>
      <c r="F101" s="21">
        <f>SUMIF('Trade Log'!$B$4:$B$503,$A101,'Trade Log'!$I$4:$I$503)</f>
        <v/>
      </c>
      <c r="G101" s="21">
        <f>SUMIF('Trade Log'!$B$4:$B$503,$A101,'Trade Log'!$L$4:$L$503)</f>
        <v/>
      </c>
      <c r="H101" s="21">
        <f>IFERROR($G101/$B101,"")</f>
        <v/>
      </c>
      <c r="I101" s="21">
        <f>IFERROR(_xlfn.MAXIFS('Trade Log'!$L$4:$L$503,'Trade Log'!$B$4:$B$503,$A101),"")</f>
        <v/>
      </c>
      <c r="J101" s="21">
        <f>IFERROR(_xlfn.MINIFS('Trade Log'!$L$4:$L$503,'Trade Log'!$B$4:$B$503,$A101),"")</f>
        <v/>
      </c>
    </row>
    <row r="102">
      <c r="A102" s="27" t="inlineStr">
        <is>
          <t>SSWL</t>
        </is>
      </c>
      <c r="B102" s="20">
        <f>COUNTIF('Trade Log'!$B$4:$B$503,$A102)</f>
        <v/>
      </c>
      <c r="C102" s="20">
        <f>COUNTIFS('Trade Log'!$B$4:$B$503,$A102,'Trade Log'!$L$4:$L$503,"&gt;0")</f>
        <v/>
      </c>
      <c r="D102" s="20">
        <f>COUNTIFS('Trade Log'!$B$4:$B$503,$A102,'Trade Log'!$L$4:$L$503,"&lt;0")</f>
        <v/>
      </c>
      <c r="E102" s="22">
        <f>IFERROR($C102/$B102,"")</f>
        <v/>
      </c>
      <c r="F102" s="21">
        <f>SUMIF('Trade Log'!$B$4:$B$503,$A102,'Trade Log'!$I$4:$I$503)</f>
        <v/>
      </c>
      <c r="G102" s="21">
        <f>SUMIF('Trade Log'!$B$4:$B$503,$A102,'Trade Log'!$L$4:$L$503)</f>
        <v/>
      </c>
      <c r="H102" s="21">
        <f>IFERROR($G102/$B102,"")</f>
        <v/>
      </c>
      <c r="I102" s="21">
        <f>IFERROR(_xlfn.MAXIFS('Trade Log'!$L$4:$L$503,'Trade Log'!$B$4:$B$503,$A102),"")</f>
        <v/>
      </c>
      <c r="J102" s="21">
        <f>IFERROR(_xlfn.MINIFS('Trade Log'!$L$4:$L$503,'Trade Log'!$B$4:$B$503,$A102),"")</f>
        <v/>
      </c>
    </row>
    <row r="103">
      <c r="A103" s="27" t="inlineStr">
        <is>
          <t>STEELCAS</t>
        </is>
      </c>
      <c r="B103" s="20">
        <f>COUNTIF('Trade Log'!$B$4:$B$503,$A103)</f>
        <v/>
      </c>
      <c r="C103" s="20">
        <f>COUNTIFS('Trade Log'!$B$4:$B$503,$A103,'Trade Log'!$L$4:$L$503,"&gt;0")</f>
        <v/>
      </c>
      <c r="D103" s="20">
        <f>COUNTIFS('Trade Log'!$B$4:$B$503,$A103,'Trade Log'!$L$4:$L$503,"&lt;0")</f>
        <v/>
      </c>
      <c r="E103" s="22">
        <f>IFERROR($C103/$B103,"")</f>
        <v/>
      </c>
      <c r="F103" s="21">
        <f>SUMIF('Trade Log'!$B$4:$B$503,$A103,'Trade Log'!$I$4:$I$503)</f>
        <v/>
      </c>
      <c r="G103" s="21">
        <f>SUMIF('Trade Log'!$B$4:$B$503,$A103,'Trade Log'!$L$4:$L$503)</f>
        <v/>
      </c>
      <c r="H103" s="21">
        <f>IFERROR($G103/$B103,"")</f>
        <v/>
      </c>
      <c r="I103" s="21">
        <f>IFERROR(_xlfn.MAXIFS('Trade Log'!$L$4:$L$503,'Trade Log'!$B$4:$B$503,$A103),"")</f>
        <v/>
      </c>
      <c r="J103" s="21">
        <f>IFERROR(_xlfn.MINIFS('Trade Log'!$L$4:$L$503,'Trade Log'!$B$4:$B$503,$A103),"")</f>
        <v/>
      </c>
    </row>
    <row r="104">
      <c r="A104" s="27" t="inlineStr">
        <is>
          <t>SYMPHONY</t>
        </is>
      </c>
      <c r="B104" s="20">
        <f>COUNTIF('Trade Log'!$B$4:$B$503,$A104)</f>
        <v/>
      </c>
      <c r="C104" s="20">
        <f>COUNTIFS('Trade Log'!$B$4:$B$503,$A104,'Trade Log'!$L$4:$L$503,"&gt;0")</f>
        <v/>
      </c>
      <c r="D104" s="20">
        <f>COUNTIFS('Trade Log'!$B$4:$B$503,$A104,'Trade Log'!$L$4:$L$503,"&lt;0")</f>
        <v/>
      </c>
      <c r="E104" s="22">
        <f>IFERROR($C104/$B104,"")</f>
        <v/>
      </c>
      <c r="F104" s="21">
        <f>SUMIF('Trade Log'!$B$4:$B$503,$A104,'Trade Log'!$I$4:$I$503)</f>
        <v/>
      </c>
      <c r="G104" s="21">
        <f>SUMIF('Trade Log'!$B$4:$B$503,$A104,'Trade Log'!$L$4:$L$503)</f>
        <v/>
      </c>
      <c r="H104" s="21">
        <f>IFERROR($G104/$B104,"")</f>
        <v/>
      </c>
      <c r="I104" s="21">
        <f>IFERROR(_xlfn.MAXIFS('Trade Log'!$L$4:$L$503,'Trade Log'!$B$4:$B$503,$A104),"")</f>
        <v/>
      </c>
      <c r="J104" s="21">
        <f>IFERROR(_xlfn.MINIFS('Trade Log'!$L$4:$L$503,'Trade Log'!$B$4:$B$503,$A104),"")</f>
        <v/>
      </c>
    </row>
    <row r="105">
      <c r="A105" s="27" t="inlineStr">
        <is>
          <t>SYNCOMF</t>
        </is>
      </c>
      <c r="B105" s="20">
        <f>COUNTIF('Trade Log'!$B$4:$B$503,$A105)</f>
        <v/>
      </c>
      <c r="C105" s="20">
        <f>COUNTIFS('Trade Log'!$B$4:$B$503,$A105,'Trade Log'!$L$4:$L$503,"&gt;0")</f>
        <v/>
      </c>
      <c r="D105" s="20">
        <f>COUNTIFS('Trade Log'!$B$4:$B$503,$A105,'Trade Log'!$L$4:$L$503,"&lt;0")</f>
        <v/>
      </c>
      <c r="E105" s="22">
        <f>IFERROR($C105/$B105,"")</f>
        <v/>
      </c>
      <c r="F105" s="21">
        <f>SUMIF('Trade Log'!$B$4:$B$503,$A105,'Trade Log'!$I$4:$I$503)</f>
        <v/>
      </c>
      <c r="G105" s="21">
        <f>SUMIF('Trade Log'!$B$4:$B$503,$A105,'Trade Log'!$L$4:$L$503)</f>
        <v/>
      </c>
      <c r="H105" s="21">
        <f>IFERROR($G105/$B105,"")</f>
        <v/>
      </c>
      <c r="I105" s="21">
        <f>IFERROR(_xlfn.MAXIFS('Trade Log'!$L$4:$L$503,'Trade Log'!$B$4:$B$503,$A105),"")</f>
        <v/>
      </c>
      <c r="J105" s="21">
        <f>IFERROR(_xlfn.MINIFS('Trade Log'!$L$4:$L$503,'Trade Log'!$B$4:$B$503,$A105),"")</f>
        <v/>
      </c>
    </row>
    <row r="106">
      <c r="A106" s="27" t="inlineStr">
        <is>
          <t>TALBROAUTO</t>
        </is>
      </c>
      <c r="B106" s="20">
        <f>COUNTIF('Trade Log'!$B$4:$B$503,$A106)</f>
        <v/>
      </c>
      <c r="C106" s="20">
        <f>COUNTIFS('Trade Log'!$B$4:$B$503,$A106,'Trade Log'!$L$4:$L$503,"&gt;0")</f>
        <v/>
      </c>
      <c r="D106" s="20">
        <f>COUNTIFS('Trade Log'!$B$4:$B$503,$A106,'Trade Log'!$L$4:$L$503,"&lt;0")</f>
        <v/>
      </c>
      <c r="E106" s="22">
        <f>IFERROR($C106/$B106,"")</f>
        <v/>
      </c>
      <c r="F106" s="21">
        <f>SUMIF('Trade Log'!$B$4:$B$503,$A106,'Trade Log'!$I$4:$I$503)</f>
        <v/>
      </c>
      <c r="G106" s="21">
        <f>SUMIF('Trade Log'!$B$4:$B$503,$A106,'Trade Log'!$L$4:$L$503)</f>
        <v/>
      </c>
      <c r="H106" s="21">
        <f>IFERROR($G106/$B106,"")</f>
        <v/>
      </c>
      <c r="I106" s="21">
        <f>IFERROR(_xlfn.MAXIFS('Trade Log'!$L$4:$L$503,'Trade Log'!$B$4:$B$503,$A106),"")</f>
        <v/>
      </c>
      <c r="J106" s="21">
        <f>IFERROR(_xlfn.MINIFS('Trade Log'!$L$4:$L$503,'Trade Log'!$B$4:$B$503,$A106),"")</f>
        <v/>
      </c>
    </row>
    <row r="107">
      <c r="A107" s="27" t="inlineStr">
        <is>
          <t>TBZ</t>
        </is>
      </c>
      <c r="B107" s="20">
        <f>COUNTIF('Trade Log'!$B$4:$B$503,$A107)</f>
        <v/>
      </c>
      <c r="C107" s="20">
        <f>COUNTIFS('Trade Log'!$B$4:$B$503,$A107,'Trade Log'!$L$4:$L$503,"&gt;0")</f>
        <v/>
      </c>
      <c r="D107" s="20">
        <f>COUNTIFS('Trade Log'!$B$4:$B$503,$A107,'Trade Log'!$L$4:$L$503,"&lt;0")</f>
        <v/>
      </c>
      <c r="E107" s="22">
        <f>IFERROR($C107/$B107,"")</f>
        <v/>
      </c>
      <c r="F107" s="21">
        <f>SUMIF('Trade Log'!$B$4:$B$503,$A107,'Trade Log'!$I$4:$I$503)</f>
        <v/>
      </c>
      <c r="G107" s="21">
        <f>SUMIF('Trade Log'!$B$4:$B$503,$A107,'Trade Log'!$L$4:$L$503)</f>
        <v/>
      </c>
      <c r="H107" s="21">
        <f>IFERROR($G107/$B107,"")</f>
        <v/>
      </c>
      <c r="I107" s="21">
        <f>IFERROR(_xlfn.MAXIFS('Trade Log'!$L$4:$L$503,'Trade Log'!$B$4:$B$503,$A107),"")</f>
        <v/>
      </c>
      <c r="J107" s="21">
        <f>IFERROR(_xlfn.MINIFS('Trade Log'!$L$4:$L$503,'Trade Log'!$B$4:$B$503,$A107),"")</f>
        <v/>
      </c>
    </row>
    <row r="108">
      <c r="A108" s="27" t="inlineStr">
        <is>
          <t>TCIEXP</t>
        </is>
      </c>
      <c r="B108" s="20">
        <f>COUNTIF('Trade Log'!$B$4:$B$503,$A108)</f>
        <v/>
      </c>
      <c r="C108" s="20">
        <f>COUNTIFS('Trade Log'!$B$4:$B$503,$A108,'Trade Log'!$L$4:$L$503,"&gt;0")</f>
        <v/>
      </c>
      <c r="D108" s="20">
        <f>COUNTIFS('Trade Log'!$B$4:$B$503,$A108,'Trade Log'!$L$4:$L$503,"&lt;0")</f>
        <v/>
      </c>
      <c r="E108" s="22">
        <f>IFERROR($C108/$B108,"")</f>
        <v/>
      </c>
      <c r="F108" s="21">
        <f>SUMIF('Trade Log'!$B$4:$B$503,$A108,'Trade Log'!$I$4:$I$503)</f>
        <v/>
      </c>
      <c r="G108" s="21">
        <f>SUMIF('Trade Log'!$B$4:$B$503,$A108,'Trade Log'!$L$4:$L$503)</f>
        <v/>
      </c>
      <c r="H108" s="21">
        <f>IFERROR($G108/$B108,"")</f>
        <v/>
      </c>
      <c r="I108" s="21">
        <f>IFERROR(_xlfn.MAXIFS('Trade Log'!$L$4:$L$503,'Trade Log'!$B$4:$B$503,$A108),"")</f>
        <v/>
      </c>
      <c r="J108" s="21">
        <f>IFERROR(_xlfn.MINIFS('Trade Log'!$L$4:$L$503,'Trade Log'!$B$4:$B$503,$A108),"")</f>
        <v/>
      </c>
    </row>
    <row r="109">
      <c r="A109" s="27" t="inlineStr">
        <is>
          <t>THOMASCOOK</t>
        </is>
      </c>
      <c r="B109" s="20">
        <f>COUNTIF('Trade Log'!$B$4:$B$503,$A109)</f>
        <v/>
      </c>
      <c r="C109" s="20">
        <f>COUNTIFS('Trade Log'!$B$4:$B$503,$A109,'Trade Log'!$L$4:$L$503,"&gt;0")</f>
        <v/>
      </c>
      <c r="D109" s="20">
        <f>COUNTIFS('Trade Log'!$B$4:$B$503,$A109,'Trade Log'!$L$4:$L$503,"&lt;0")</f>
        <v/>
      </c>
      <c r="E109" s="22">
        <f>IFERROR($C109/$B109,"")</f>
        <v/>
      </c>
      <c r="F109" s="21">
        <f>SUMIF('Trade Log'!$B$4:$B$503,$A109,'Trade Log'!$I$4:$I$503)</f>
        <v/>
      </c>
      <c r="G109" s="21">
        <f>SUMIF('Trade Log'!$B$4:$B$503,$A109,'Trade Log'!$L$4:$L$503)</f>
        <v/>
      </c>
      <c r="H109" s="21">
        <f>IFERROR($G109/$B109,"")</f>
        <v/>
      </c>
      <c r="I109" s="21">
        <f>IFERROR(_xlfn.MAXIFS('Trade Log'!$L$4:$L$503,'Trade Log'!$B$4:$B$503,$A109),"")</f>
        <v/>
      </c>
      <c r="J109" s="21">
        <f>IFERROR(_xlfn.MINIFS('Trade Log'!$L$4:$L$503,'Trade Log'!$B$4:$B$503,$A109),"")</f>
        <v/>
      </c>
    </row>
    <row r="110">
      <c r="A110" s="27" t="inlineStr">
        <is>
          <t>UNICHEMLAB</t>
        </is>
      </c>
      <c r="B110" s="20">
        <f>COUNTIF('Trade Log'!$B$4:$B$503,$A110)</f>
        <v/>
      </c>
      <c r="C110" s="20">
        <f>COUNTIFS('Trade Log'!$B$4:$B$503,$A110,'Trade Log'!$L$4:$L$503,"&gt;0")</f>
        <v/>
      </c>
      <c r="D110" s="20">
        <f>COUNTIFS('Trade Log'!$B$4:$B$503,$A110,'Trade Log'!$L$4:$L$503,"&lt;0")</f>
        <v/>
      </c>
      <c r="E110" s="22">
        <f>IFERROR($C110/$B110,"")</f>
        <v/>
      </c>
      <c r="F110" s="21">
        <f>SUMIF('Trade Log'!$B$4:$B$503,$A110,'Trade Log'!$I$4:$I$503)</f>
        <v/>
      </c>
      <c r="G110" s="21">
        <f>SUMIF('Trade Log'!$B$4:$B$503,$A110,'Trade Log'!$L$4:$L$503)</f>
        <v/>
      </c>
      <c r="H110" s="21">
        <f>IFERROR($G110/$B110,"")</f>
        <v/>
      </c>
      <c r="I110" s="21">
        <f>IFERROR(_xlfn.MAXIFS('Trade Log'!$L$4:$L$503,'Trade Log'!$B$4:$B$503,$A110),"")</f>
        <v/>
      </c>
      <c r="J110" s="21">
        <f>IFERROR(_xlfn.MINIFS('Trade Log'!$L$4:$L$503,'Trade Log'!$B$4:$B$503,$A110),"")</f>
        <v/>
      </c>
    </row>
    <row r="111">
      <c r="A111" s="27" t="inlineStr">
        <is>
          <t>VENKEYS</t>
        </is>
      </c>
      <c r="B111" s="20">
        <f>COUNTIF('Trade Log'!$B$4:$B$503,$A111)</f>
        <v/>
      </c>
      <c r="C111" s="20">
        <f>COUNTIFS('Trade Log'!$B$4:$B$503,$A111,'Trade Log'!$L$4:$L$503,"&gt;0")</f>
        <v/>
      </c>
      <c r="D111" s="20">
        <f>COUNTIFS('Trade Log'!$B$4:$B$503,$A111,'Trade Log'!$L$4:$L$503,"&lt;0")</f>
        <v/>
      </c>
      <c r="E111" s="22">
        <f>IFERROR($C111/$B111,"")</f>
        <v/>
      </c>
      <c r="F111" s="21">
        <f>SUMIF('Trade Log'!$B$4:$B$503,$A111,'Trade Log'!$I$4:$I$503)</f>
        <v/>
      </c>
      <c r="G111" s="21">
        <f>SUMIF('Trade Log'!$B$4:$B$503,$A111,'Trade Log'!$L$4:$L$503)</f>
        <v/>
      </c>
      <c r="H111" s="21">
        <f>IFERROR($G111/$B111,"")</f>
        <v/>
      </c>
      <c r="I111" s="21">
        <f>IFERROR(_xlfn.MAXIFS('Trade Log'!$L$4:$L$503,'Trade Log'!$B$4:$B$503,$A111),"")</f>
        <v/>
      </c>
      <c r="J111" s="21">
        <f>IFERROR(_xlfn.MINIFS('Trade Log'!$L$4:$L$503,'Trade Log'!$B$4:$B$503,$A111),"")</f>
        <v/>
      </c>
    </row>
    <row r="112">
      <c r="A112" s="27" t="inlineStr">
        <is>
          <t>VENUSPIPES</t>
        </is>
      </c>
      <c r="B112" s="20">
        <f>COUNTIF('Trade Log'!$B$4:$B$503,$A112)</f>
        <v/>
      </c>
      <c r="C112" s="20">
        <f>COUNTIFS('Trade Log'!$B$4:$B$503,$A112,'Trade Log'!$L$4:$L$503,"&gt;0")</f>
        <v/>
      </c>
      <c r="D112" s="20">
        <f>COUNTIFS('Trade Log'!$B$4:$B$503,$A112,'Trade Log'!$L$4:$L$503,"&lt;0")</f>
        <v/>
      </c>
      <c r="E112" s="22">
        <f>IFERROR($C112/$B112,"")</f>
        <v/>
      </c>
      <c r="F112" s="21">
        <f>SUMIF('Trade Log'!$B$4:$B$503,$A112,'Trade Log'!$I$4:$I$503)</f>
        <v/>
      </c>
      <c r="G112" s="21">
        <f>SUMIF('Trade Log'!$B$4:$B$503,$A112,'Trade Log'!$L$4:$L$503)</f>
        <v/>
      </c>
      <c r="H112" s="21">
        <f>IFERROR($G112/$B112,"")</f>
        <v/>
      </c>
      <c r="I112" s="21">
        <f>IFERROR(_xlfn.MAXIFS('Trade Log'!$L$4:$L$503,'Trade Log'!$B$4:$B$503,$A112),"")</f>
        <v/>
      </c>
      <c r="J112" s="21">
        <f>IFERROR(_xlfn.MINIFS('Trade Log'!$L$4:$L$503,'Trade Log'!$B$4:$B$503,$A112),"")</f>
        <v/>
      </c>
    </row>
    <row r="113">
      <c r="A113" s="27" t="inlineStr">
        <is>
          <t>VERANDA</t>
        </is>
      </c>
      <c r="B113" s="20">
        <f>COUNTIF('Trade Log'!$B$4:$B$503,$A113)</f>
        <v/>
      </c>
      <c r="C113" s="20">
        <f>COUNTIFS('Trade Log'!$B$4:$B$503,$A113,'Trade Log'!$L$4:$L$503,"&gt;0")</f>
        <v/>
      </c>
      <c r="D113" s="20">
        <f>COUNTIFS('Trade Log'!$B$4:$B$503,$A113,'Trade Log'!$L$4:$L$503,"&lt;0")</f>
        <v/>
      </c>
      <c r="E113" s="22">
        <f>IFERROR($C113/$B113,"")</f>
        <v/>
      </c>
      <c r="F113" s="21">
        <f>SUMIF('Trade Log'!$B$4:$B$503,$A113,'Trade Log'!$I$4:$I$503)</f>
        <v/>
      </c>
      <c r="G113" s="21">
        <f>SUMIF('Trade Log'!$B$4:$B$503,$A113,'Trade Log'!$L$4:$L$503)</f>
        <v/>
      </c>
      <c r="H113" s="21">
        <f>IFERROR($G113/$B113,"")</f>
        <v/>
      </c>
      <c r="I113" s="21">
        <f>IFERROR(_xlfn.MAXIFS('Trade Log'!$L$4:$L$503,'Trade Log'!$B$4:$B$503,$A113),"")</f>
        <v/>
      </c>
      <c r="J113" s="21">
        <f>IFERROR(_xlfn.MINIFS('Trade Log'!$L$4:$L$503,'Trade Log'!$B$4:$B$503,$A113),"")</f>
        <v/>
      </c>
    </row>
    <row r="114">
      <c r="A114" s="27" t="inlineStr">
        <is>
          <t>VSSL</t>
        </is>
      </c>
      <c r="B114" s="20">
        <f>COUNTIF('Trade Log'!$B$4:$B$503,$A114)</f>
        <v/>
      </c>
      <c r="C114" s="20">
        <f>COUNTIFS('Trade Log'!$B$4:$B$503,$A114,'Trade Log'!$L$4:$L$503,"&gt;0")</f>
        <v/>
      </c>
      <c r="D114" s="20">
        <f>COUNTIFS('Trade Log'!$B$4:$B$503,$A114,'Trade Log'!$L$4:$L$503,"&lt;0")</f>
        <v/>
      </c>
      <c r="E114" s="22">
        <f>IFERROR($C114/$B114,"")</f>
        <v/>
      </c>
      <c r="F114" s="21">
        <f>SUMIF('Trade Log'!$B$4:$B$503,$A114,'Trade Log'!$I$4:$I$503)</f>
        <v/>
      </c>
      <c r="G114" s="21">
        <f>SUMIF('Trade Log'!$B$4:$B$503,$A114,'Trade Log'!$L$4:$L$503)</f>
        <v/>
      </c>
      <c r="H114" s="21">
        <f>IFERROR($G114/$B114,"")</f>
        <v/>
      </c>
      <c r="I114" s="21">
        <f>IFERROR(_xlfn.MAXIFS('Trade Log'!$L$4:$L$503,'Trade Log'!$B$4:$B$503,$A114),"")</f>
        <v/>
      </c>
      <c r="J114" s="21">
        <f>IFERROR(_xlfn.MINIFS('Trade Log'!$L$4:$L$503,'Trade Log'!$B$4:$B$503,$A114),"")</f>
        <v/>
      </c>
    </row>
    <row r="115">
      <c r="A115" s="27" t="inlineStr">
        <is>
          <t>WELSPLSOL</t>
        </is>
      </c>
      <c r="B115" s="20">
        <f>COUNTIF('Trade Log'!$B$4:$B$503,$A115)</f>
        <v/>
      </c>
      <c r="C115" s="20">
        <f>COUNTIFS('Trade Log'!$B$4:$B$503,$A115,'Trade Log'!$L$4:$L$503,"&gt;0")</f>
        <v/>
      </c>
      <c r="D115" s="20">
        <f>COUNTIFS('Trade Log'!$B$4:$B$503,$A115,'Trade Log'!$L$4:$L$503,"&lt;0")</f>
        <v/>
      </c>
      <c r="E115" s="22">
        <f>IFERROR($C115/$B115,"")</f>
        <v/>
      </c>
      <c r="F115" s="21">
        <f>SUMIF('Trade Log'!$B$4:$B$503,$A115,'Trade Log'!$I$4:$I$503)</f>
        <v/>
      </c>
      <c r="G115" s="21">
        <f>SUMIF('Trade Log'!$B$4:$B$503,$A115,'Trade Log'!$L$4:$L$503)</f>
        <v/>
      </c>
      <c r="H115" s="21">
        <f>IFERROR($G115/$B115,"")</f>
        <v/>
      </c>
      <c r="I115" s="21">
        <f>IFERROR(_xlfn.MAXIFS('Trade Log'!$L$4:$L$503,'Trade Log'!$B$4:$B$503,$A115),"")</f>
        <v/>
      </c>
      <c r="J115" s="21">
        <f>IFERROR(_xlfn.MINIFS('Trade Log'!$L$4:$L$503,'Trade Log'!$B$4:$B$503,$A115),"")</f>
        <v/>
      </c>
    </row>
    <row r="116">
      <c r="A116" s="27" t="inlineStr">
        <is>
          <t>WENDT</t>
        </is>
      </c>
      <c r="B116" s="20">
        <f>COUNTIF('Trade Log'!$B$4:$B$503,$A116)</f>
        <v/>
      </c>
      <c r="C116" s="20">
        <f>COUNTIFS('Trade Log'!$B$4:$B$503,$A116,'Trade Log'!$L$4:$L$503,"&gt;0")</f>
        <v/>
      </c>
      <c r="D116" s="20">
        <f>COUNTIFS('Trade Log'!$B$4:$B$503,$A116,'Trade Log'!$L$4:$L$503,"&lt;0")</f>
        <v/>
      </c>
      <c r="E116" s="22">
        <f>IFERROR($C116/$B116,"")</f>
        <v/>
      </c>
      <c r="F116" s="21">
        <f>SUMIF('Trade Log'!$B$4:$B$503,$A116,'Trade Log'!$I$4:$I$503)</f>
        <v/>
      </c>
      <c r="G116" s="21">
        <f>SUMIF('Trade Log'!$B$4:$B$503,$A116,'Trade Log'!$L$4:$L$503)</f>
        <v/>
      </c>
      <c r="H116" s="21">
        <f>IFERROR($G116/$B116,"")</f>
        <v/>
      </c>
      <c r="I116" s="21">
        <f>IFERROR(_xlfn.MAXIFS('Trade Log'!$L$4:$L$503,'Trade Log'!$B$4:$B$503,$A116),"")</f>
        <v/>
      </c>
      <c r="J116" s="21">
        <f>IFERROR(_xlfn.MINIFS('Trade Log'!$L$4:$L$503,'Trade Log'!$B$4:$B$503,$A116),"")</f>
        <v/>
      </c>
    </row>
    <row r="117">
      <c r="A117" s="27" t="inlineStr">
        <is>
          <t>WINDLAS</t>
        </is>
      </c>
      <c r="B117" s="20">
        <f>COUNTIF('Trade Log'!$B$4:$B$503,$A117)</f>
        <v/>
      </c>
      <c r="C117" s="20">
        <f>COUNTIFS('Trade Log'!$B$4:$B$503,$A117,'Trade Log'!$L$4:$L$503,"&gt;0")</f>
        <v/>
      </c>
      <c r="D117" s="20">
        <f>COUNTIFS('Trade Log'!$B$4:$B$503,$A117,'Trade Log'!$L$4:$L$503,"&lt;0")</f>
        <v/>
      </c>
      <c r="E117" s="22">
        <f>IFERROR($C117/$B117,"")</f>
        <v/>
      </c>
      <c r="F117" s="21">
        <f>SUMIF('Trade Log'!$B$4:$B$503,$A117,'Trade Log'!$I$4:$I$503)</f>
        <v/>
      </c>
      <c r="G117" s="21">
        <f>SUMIF('Trade Log'!$B$4:$B$503,$A117,'Trade Log'!$L$4:$L$503)</f>
        <v/>
      </c>
      <c r="H117" s="21">
        <f>IFERROR($G117/$B117,"")</f>
        <v/>
      </c>
      <c r="I117" s="21">
        <f>IFERROR(_xlfn.MAXIFS('Trade Log'!$L$4:$L$503,'Trade Log'!$B$4:$B$503,$A117),"")</f>
        <v/>
      </c>
      <c r="J117" s="21">
        <f>IFERROR(_xlfn.MINIFS('Trade Log'!$L$4:$L$503,'Trade Log'!$B$4:$B$503,$A117),"")</f>
        <v/>
      </c>
    </row>
    <row r="118">
      <c r="A118" s="27" t="inlineStr">
        <is>
          <t>XPROINDIA</t>
        </is>
      </c>
      <c r="B118" s="20">
        <f>COUNTIF('Trade Log'!$B$4:$B$503,$A118)</f>
        <v/>
      </c>
      <c r="C118" s="20">
        <f>COUNTIFS('Trade Log'!$B$4:$B$503,$A118,'Trade Log'!$L$4:$L$503,"&gt;0")</f>
        <v/>
      </c>
      <c r="D118" s="20">
        <f>COUNTIFS('Trade Log'!$B$4:$B$503,$A118,'Trade Log'!$L$4:$L$503,"&lt;0")</f>
        <v/>
      </c>
      <c r="E118" s="22">
        <f>IFERROR($C118/$B118,"")</f>
        <v/>
      </c>
      <c r="F118" s="21">
        <f>SUMIF('Trade Log'!$B$4:$B$503,$A118,'Trade Log'!$I$4:$I$503)</f>
        <v/>
      </c>
      <c r="G118" s="21">
        <f>SUMIF('Trade Log'!$B$4:$B$503,$A118,'Trade Log'!$L$4:$L$503)</f>
        <v/>
      </c>
      <c r="H118" s="21">
        <f>IFERROR($G118/$B118,"")</f>
        <v/>
      </c>
      <c r="I118" s="21">
        <f>IFERROR(_xlfn.MAXIFS('Trade Log'!$L$4:$L$503,'Trade Log'!$B$4:$B$503,$A118),"")</f>
        <v/>
      </c>
      <c r="J118" s="21">
        <f>IFERROR(_xlfn.MINIFS('Trade Log'!$L$4:$L$503,'Trade Log'!$B$4:$B$503,$A118),"")</f>
        <v/>
      </c>
    </row>
    <row r="119">
      <c r="A119" s="27" t="inlineStr">
        <is>
          <t>ZAGGLE</t>
        </is>
      </c>
      <c r="B119" s="20">
        <f>COUNTIF('Trade Log'!$B$4:$B$503,$A119)</f>
        <v/>
      </c>
      <c r="C119" s="20">
        <f>COUNTIFS('Trade Log'!$B$4:$B$503,$A119,'Trade Log'!$L$4:$L$503,"&gt;0")</f>
        <v/>
      </c>
      <c r="D119" s="20">
        <f>COUNTIFS('Trade Log'!$B$4:$B$503,$A119,'Trade Log'!$L$4:$L$503,"&lt;0")</f>
        <v/>
      </c>
      <c r="E119" s="22">
        <f>IFERROR($C119/$B119,"")</f>
        <v/>
      </c>
      <c r="F119" s="21">
        <f>SUMIF('Trade Log'!$B$4:$B$503,$A119,'Trade Log'!$I$4:$I$503)</f>
        <v/>
      </c>
      <c r="G119" s="21">
        <f>SUMIF('Trade Log'!$B$4:$B$503,$A119,'Trade Log'!$L$4:$L$503)</f>
        <v/>
      </c>
      <c r="H119" s="21">
        <f>IFERROR($G119/$B119,"")</f>
        <v/>
      </c>
      <c r="I119" s="21">
        <f>IFERROR(_xlfn.MAXIFS('Trade Log'!$L$4:$L$503,'Trade Log'!$B$4:$B$503,$A119),"")</f>
        <v/>
      </c>
      <c r="J119" s="21">
        <f>IFERROR(_xlfn.MINIFS('Trade Log'!$L$4:$L$503,'Trade Log'!$B$4:$B$503,$A119),"")</f>
        <v/>
      </c>
    </row>
    <row r="120">
      <c r="A120" s="27" t="inlineStr">
        <is>
          <t>ZOTA</t>
        </is>
      </c>
      <c r="B120" s="20">
        <f>COUNTIF('Trade Log'!$B$4:$B$503,$A120)</f>
        <v/>
      </c>
      <c r="C120" s="20">
        <f>COUNTIFS('Trade Log'!$B$4:$B$503,$A120,'Trade Log'!$L$4:$L$503,"&gt;0")</f>
        <v/>
      </c>
      <c r="D120" s="20">
        <f>COUNTIFS('Trade Log'!$B$4:$B$503,$A120,'Trade Log'!$L$4:$L$503,"&lt;0")</f>
        <v/>
      </c>
      <c r="E120" s="22">
        <f>IFERROR($C120/$B120,"")</f>
        <v/>
      </c>
      <c r="F120" s="21">
        <f>SUMIF('Trade Log'!$B$4:$B$503,$A120,'Trade Log'!$I$4:$I$503)</f>
        <v/>
      </c>
      <c r="G120" s="21">
        <f>SUMIF('Trade Log'!$B$4:$B$503,$A120,'Trade Log'!$L$4:$L$503)</f>
        <v/>
      </c>
      <c r="H120" s="21">
        <f>IFERROR($G120/$B120,"")</f>
        <v/>
      </c>
      <c r="I120" s="21">
        <f>IFERROR(_xlfn.MAXIFS('Trade Log'!$L$4:$L$503,'Trade Log'!$B$4:$B$503,$A120),"")</f>
        <v/>
      </c>
      <c r="J120" s="21">
        <f>IFERROR(_xlfn.MINIFS('Trade Log'!$L$4:$L$503,'Trade Log'!$B$4:$B$503,$A120),"")</f>
        <v/>
      </c>
    </row>
    <row r="121">
      <c r="A121" s="3" t="inlineStr">
        <is>
          <t>TOTAL</t>
        </is>
      </c>
      <c r="B121" s="30">
        <f>SUM(B4:B120)</f>
        <v/>
      </c>
      <c r="C121" s="30">
        <f>SUM(C4:C120)</f>
        <v/>
      </c>
      <c r="D121" s="30">
        <f>SUM(D4:D120)</f>
        <v/>
      </c>
      <c r="E121" s="31">
        <f>IFERROR(C121/B121,"")</f>
        <v/>
      </c>
      <c r="F121" s="32">
        <f>SUM(F4:F120)</f>
        <v/>
      </c>
      <c r="G121" s="32">
        <f>SUM(G4:G120)</f>
        <v/>
      </c>
      <c r="H121" s="32">
        <f>IFERROR(G121/B121,"")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3" customWidth="1" min="13" max="13"/>
    <col width="14" customWidth="1" min="14" max="14"/>
  </cols>
  <sheetData>
    <row r="1" ht="22" customHeight="1">
      <c r="A1" s="1" t="inlineStr">
        <is>
          <t>Charges</t>
        </is>
      </c>
    </row>
    <row r="2" ht="16" customHeight="1">
      <c r="A2" s="2" t="inlineStr">
        <is>
          <t>Real per-trade charge breakdown from Dhan's trade-book, by category -- synced from Trade Log.</t>
        </is>
      </c>
    </row>
    <row r="3">
      <c r="A3" s="19" t="inlineStr">
        <is>
          <t>Trade ID</t>
        </is>
      </c>
      <c r="B3" s="19" t="inlineStr">
        <is>
          <t>Symbol</t>
        </is>
      </c>
      <c r="C3" s="19" t="inlineStr">
        <is>
          <t>Position</t>
        </is>
      </c>
      <c r="D3" s="19" t="inlineStr">
        <is>
          <t>Exit Date</t>
        </is>
      </c>
      <c r="E3" s="19" t="inlineStr">
        <is>
          <t>Brokerage</t>
        </is>
      </c>
      <c r="F3" s="19" t="inlineStr">
        <is>
          <t>STT</t>
        </is>
      </c>
      <c r="G3" s="19" t="inlineStr">
        <is>
          <t>Exchange</t>
        </is>
      </c>
      <c r="H3" s="19" t="inlineStr">
        <is>
          <t>SEBI</t>
        </is>
      </c>
      <c r="I3" s="19" t="inlineStr">
        <is>
          <t>Stamp</t>
        </is>
      </c>
      <c r="J3" s="19" t="inlineStr">
        <is>
          <t>GST</t>
        </is>
      </c>
      <c r="K3" s="19" t="inlineStr">
        <is>
          <t>DP</t>
        </is>
      </c>
      <c r="L3" s="19" t="inlineStr">
        <is>
          <t>Pledge/Unpledge</t>
        </is>
      </c>
      <c r="M3" s="19" t="inlineStr">
        <is>
          <t>MTF Interest</t>
        </is>
      </c>
      <c r="N3" s="19" t="inlineStr">
        <is>
          <t>Total Charges</t>
        </is>
      </c>
    </row>
    <row r="4">
      <c r="A4" s="23" t="inlineStr">
        <is>
          <t>DHAN-221260819775809</t>
        </is>
      </c>
      <c r="B4" s="23" t="inlineStr">
        <is>
          <t>BAJAJHIND</t>
        </is>
      </c>
      <c r="C4" s="23" t="inlineStr">
        <is>
          <t>LONG</t>
        </is>
      </c>
      <c r="D4" s="24" t="n">
        <v>46254</v>
      </c>
      <c r="E4" s="4" t="n">
        <v>40</v>
      </c>
      <c r="F4" s="4" t="n">
        <v>299.12</v>
      </c>
      <c r="G4" s="4" t="n">
        <v>18.67</v>
      </c>
      <c r="H4" s="4" t="n">
        <v>0.61</v>
      </c>
      <c r="I4" s="4" t="n">
        <v>44.87</v>
      </c>
      <c r="J4" s="4" t="n">
        <v>10.67</v>
      </c>
      <c r="K4" s="4" t="n">
        <v>14.75</v>
      </c>
      <c r="L4" s="4" t="n">
        <v>35.4</v>
      </c>
      <c r="M4" s="4" t="n">
        <v>51.16</v>
      </c>
      <c r="N4" s="21">
        <f>SUM(E4:M4)</f>
        <v/>
      </c>
    </row>
    <row r="5">
      <c r="A5" s="23" t="inlineStr">
        <is>
          <t>DHAN-23126082016509</t>
        </is>
      </c>
      <c r="B5" s="23" t="inlineStr">
        <is>
          <t>BAJAJHIND</t>
        </is>
      </c>
      <c r="C5" s="23" t="inlineStr">
        <is>
          <t>SHORT</t>
        </is>
      </c>
      <c r="D5" s="24" t="n">
        <v>46254</v>
      </c>
      <c r="E5" s="4" t="n">
        <v>20</v>
      </c>
      <c r="F5" s="4" t="n">
        <v>394.33</v>
      </c>
      <c r="G5" s="4" t="n">
        <v>19.55</v>
      </c>
      <c r="H5" s="4" t="n">
        <v>0.64</v>
      </c>
      <c r="I5" s="4" t="n">
        <v>9.84</v>
      </c>
      <c r="J5" s="4" t="n">
        <v>7.24</v>
      </c>
      <c r="K5" s="4" t="n">
        <v>0</v>
      </c>
      <c r="L5" s="4" t="n">
        <v>0</v>
      </c>
      <c r="M5" s="4" t="n">
        <v>0</v>
      </c>
      <c r="N5" s="21">
        <f>SUM(E5:M5)</f>
        <v/>
      </c>
    </row>
    <row r="6">
      <c r="A6" s="23" t="inlineStr">
        <is>
          <t>DHAN-221260819775909</t>
        </is>
      </c>
      <c r="B6" s="23" t="inlineStr">
        <is>
          <t>GOPAL</t>
        </is>
      </c>
      <c r="C6" s="23" t="inlineStr">
        <is>
          <t>LONG</t>
        </is>
      </c>
      <c r="D6" s="24" t="n">
        <v>46254</v>
      </c>
      <c r="E6" s="4" t="n">
        <v>40</v>
      </c>
      <c r="F6" s="4" t="n">
        <v>373.36</v>
      </c>
      <c r="G6" s="4" t="n">
        <v>18.18</v>
      </c>
      <c r="H6" s="4" t="n">
        <v>0.59</v>
      </c>
      <c r="I6" s="4" t="n">
        <v>45.53</v>
      </c>
      <c r="J6" s="4" t="n">
        <v>10.58</v>
      </c>
      <c r="K6" s="4" t="n">
        <v>14.75</v>
      </c>
      <c r="L6" s="4" t="n">
        <v>35.4</v>
      </c>
      <c r="M6" s="4" t="n">
        <v>71.92</v>
      </c>
      <c r="N6" s="21">
        <f>SUM(E6:M6)</f>
        <v/>
      </c>
    </row>
    <row r="7">
      <c r="A7" s="23" t="inlineStr">
        <is>
          <t>DHAN-22126082044409</t>
        </is>
      </c>
      <c r="B7" s="23" t="inlineStr">
        <is>
          <t>GOPAL</t>
        </is>
      </c>
      <c r="C7" s="23" t="inlineStr">
        <is>
          <t>SHORT</t>
        </is>
      </c>
      <c r="D7" s="24" t="n">
        <v>46254</v>
      </c>
      <c r="E7" s="4" t="n">
        <v>20</v>
      </c>
      <c r="F7" s="4" t="n">
        <v>292.45</v>
      </c>
      <c r="G7" s="4" t="n">
        <v>17.97</v>
      </c>
      <c r="H7" s="4" t="n">
        <v>0.59</v>
      </c>
      <c r="I7" s="4" t="n">
        <v>8.81</v>
      </c>
      <c r="J7" s="4" t="n">
        <v>6.94</v>
      </c>
      <c r="K7" s="4" t="n">
        <v>0</v>
      </c>
      <c r="L7" s="4" t="n">
        <v>0</v>
      </c>
      <c r="M7" s="4" t="n">
        <v>0</v>
      </c>
      <c r="N7" s="21">
        <f>SUM(E7:M7)</f>
        <v/>
      </c>
    </row>
    <row r="8">
      <c r="A8" s="23" t="inlineStr">
        <is>
          <t>DHAN-321260819763709</t>
        </is>
      </c>
      <c r="B8" s="23" t="inlineStr">
        <is>
          <t>NILKAMAL</t>
        </is>
      </c>
      <c r="C8" s="23" t="inlineStr">
        <is>
          <t>LONG</t>
        </is>
      </c>
      <c r="D8" s="24" t="n">
        <v>46254</v>
      </c>
      <c r="E8" s="4" t="n">
        <v>40</v>
      </c>
      <c r="F8" s="4" t="n">
        <v>298.68</v>
      </c>
      <c r="G8" s="4" t="n">
        <v>18.29</v>
      </c>
      <c r="H8" s="4" t="n">
        <v>0.6</v>
      </c>
      <c r="I8" s="4" t="n">
        <v>44.8</v>
      </c>
      <c r="J8" s="4" t="n">
        <v>10.6</v>
      </c>
      <c r="K8" s="4" t="n">
        <v>14.75</v>
      </c>
      <c r="L8" s="4" t="n">
        <v>35.4</v>
      </c>
      <c r="M8" s="4" t="n">
        <v>51.07</v>
      </c>
      <c r="N8" s="21">
        <f>SUM(E8:M8)</f>
        <v/>
      </c>
    </row>
    <row r="9">
      <c r="A9" s="23" t="inlineStr">
        <is>
          <t>DHAN-321260820468709</t>
        </is>
      </c>
      <c r="B9" s="23" t="inlineStr">
        <is>
          <t>NILKAMAL</t>
        </is>
      </c>
      <c r="C9" s="23" t="inlineStr">
        <is>
          <t>SHORT</t>
        </is>
      </c>
      <c r="D9" s="24" t="n">
        <v>46254</v>
      </c>
      <c r="E9" s="4" t="n">
        <v>20</v>
      </c>
      <c r="F9" s="4" t="n">
        <v>372.29</v>
      </c>
      <c r="G9" s="4" t="n">
        <v>18.31</v>
      </c>
      <c r="H9" s="4" t="n">
        <v>0.6</v>
      </c>
      <c r="I9" s="4" t="n">
        <v>8.99</v>
      </c>
      <c r="J9" s="4" t="n">
        <v>7</v>
      </c>
      <c r="K9" s="4" t="n">
        <v>0</v>
      </c>
      <c r="L9" s="4" t="n">
        <v>0</v>
      </c>
      <c r="M9" s="4" t="n">
        <v>0</v>
      </c>
      <c r="N9" s="21">
        <f>SUM(E9:M9)</f>
        <v/>
      </c>
    </row>
    <row r="10">
      <c r="A10" s="23" t="inlineStr">
        <is>
          <t>DHAN-321260819763909</t>
        </is>
      </c>
      <c r="B10" s="23" t="inlineStr">
        <is>
          <t>ORIENTHOT</t>
        </is>
      </c>
      <c r="C10" s="23" t="inlineStr">
        <is>
          <t>LONG</t>
        </is>
      </c>
      <c r="D10" s="24" t="n">
        <v>46254</v>
      </c>
      <c r="E10" s="4" t="n">
        <v>40</v>
      </c>
      <c r="F10" s="4" t="n">
        <v>370.17</v>
      </c>
      <c r="G10" s="4" t="n">
        <v>17.96</v>
      </c>
      <c r="H10" s="4" t="n">
        <v>0.59</v>
      </c>
      <c r="I10" s="4" t="n">
        <v>44.75</v>
      </c>
      <c r="J10" s="4" t="n">
        <v>10.54</v>
      </c>
      <c r="K10" s="4" t="n">
        <v>14.75</v>
      </c>
      <c r="L10" s="4" t="n">
        <v>35.4</v>
      </c>
      <c r="M10" s="4" t="n">
        <v>61.22</v>
      </c>
      <c r="N10" s="21">
        <f>SUM(E10:M10)</f>
        <v/>
      </c>
    </row>
    <row r="11">
      <c r="A11" s="23" t="inlineStr">
        <is>
          <t>DHAN-22126082044709</t>
        </is>
      </c>
      <c r="B11" s="23" t="inlineStr">
        <is>
          <t>ORIENTHOT</t>
        </is>
      </c>
      <c r="C11" s="23" t="inlineStr">
        <is>
          <t>SHORT</t>
        </is>
      </c>
      <c r="D11" s="24" t="n">
        <v>46254</v>
      </c>
      <c r="E11" s="4" t="n">
        <v>20</v>
      </c>
      <c r="F11" s="4" t="n">
        <v>287.28</v>
      </c>
      <c r="G11" s="4" t="n">
        <v>17.65</v>
      </c>
      <c r="H11" s="4" t="n">
        <v>0.57</v>
      </c>
      <c r="I11" s="4" t="n">
        <v>8.65</v>
      </c>
      <c r="J11" s="4" t="n">
        <v>6.88</v>
      </c>
      <c r="K11" s="4" t="n">
        <v>0</v>
      </c>
      <c r="L11" s="4" t="n">
        <v>0</v>
      </c>
      <c r="M11" s="4" t="n">
        <v>0</v>
      </c>
      <c r="N11" s="21">
        <f>SUM(E11:M11)</f>
        <v/>
      </c>
    </row>
    <row r="12">
      <c r="A12" s="23" t="inlineStr">
        <is>
          <t>DHAN-321260819764209</t>
        </is>
      </c>
      <c r="B12" s="23" t="inlineStr">
        <is>
          <t>ZAGGLE</t>
        </is>
      </c>
      <c r="C12" s="23" t="inlineStr">
        <is>
          <t>LONG</t>
        </is>
      </c>
      <c r="D12" s="24" t="n">
        <v>46254</v>
      </c>
      <c r="E12" s="4" t="n">
        <v>40</v>
      </c>
      <c r="F12" s="4" t="n">
        <v>300.35</v>
      </c>
      <c r="G12" s="4" t="n">
        <v>18.64</v>
      </c>
      <c r="H12" s="4" t="n">
        <v>0.61</v>
      </c>
      <c r="I12" s="4" t="n">
        <v>45.05</v>
      </c>
      <c r="J12" s="4" t="n">
        <v>10.66</v>
      </c>
      <c r="K12" s="4" t="n">
        <v>14.75</v>
      </c>
      <c r="L12" s="4" t="n">
        <v>35.4</v>
      </c>
      <c r="M12" s="4" t="n">
        <v>60.9</v>
      </c>
      <c r="N12" s="21">
        <f>SUM(E12:M12)</f>
        <v/>
      </c>
    </row>
    <row r="13">
      <c r="A13" s="23" t="inlineStr">
        <is>
          <t>DHAN-22126082044909</t>
        </is>
      </c>
      <c r="B13" s="23" t="inlineStr">
        <is>
          <t>ZAGGLE</t>
        </is>
      </c>
      <c r="C13" s="23" t="inlineStr">
        <is>
          <t>SHORT</t>
        </is>
      </c>
      <c r="D13" s="24" t="n">
        <v>46254</v>
      </c>
      <c r="E13" s="4" t="n">
        <v>20</v>
      </c>
      <c r="F13" s="4" t="n">
        <v>388.27</v>
      </c>
      <c r="G13" s="4" t="n">
        <v>19.19</v>
      </c>
      <c r="H13" s="4" t="n">
        <v>0.62</v>
      </c>
      <c r="I13" s="4" t="n">
        <v>9.539999999999999</v>
      </c>
      <c r="J13" s="4" t="n">
        <v>7.17</v>
      </c>
      <c r="K13" s="4" t="n">
        <v>0</v>
      </c>
      <c r="L13" s="4" t="n">
        <v>0</v>
      </c>
      <c r="M13" s="4" t="n">
        <v>0</v>
      </c>
      <c r="N13" s="21">
        <f>SUM(E13:M13)</f>
        <v/>
      </c>
    </row>
    <row r="14">
      <c r="A14" s="23" t="inlineStr">
        <is>
          <t>DHAN-34126082075909</t>
        </is>
      </c>
      <c r="B14" s="23" t="inlineStr">
        <is>
          <t>BANARISUG</t>
        </is>
      </c>
      <c r="C14" s="23" t="inlineStr">
        <is>
          <t>LONG</t>
        </is>
      </c>
      <c r="D14" s="24" t="n">
        <v>46255</v>
      </c>
      <c r="E14" s="4" t="n">
        <v>40</v>
      </c>
      <c r="F14" s="4" t="n">
        <v>204.8</v>
      </c>
      <c r="G14" s="4" t="n">
        <v>9.91</v>
      </c>
      <c r="H14" s="4" t="n">
        <v>0.32</v>
      </c>
      <c r="I14" s="4" t="n">
        <v>24.82</v>
      </c>
      <c r="J14" s="4" t="n">
        <v>9.039999999999999</v>
      </c>
      <c r="K14" s="4" t="n">
        <v>14.75</v>
      </c>
      <c r="L14" s="4" t="n">
        <v>35.4</v>
      </c>
      <c r="M14" s="4" t="n">
        <v>28.3</v>
      </c>
      <c r="N14" s="21">
        <f>SUM(E14:M14)</f>
        <v/>
      </c>
    </row>
    <row r="15">
      <c r="A15" s="23" t="inlineStr">
        <is>
          <t>DHAN-23126082147609</t>
        </is>
      </c>
      <c r="B15" s="23" t="inlineStr">
        <is>
          <t>BANARISUG</t>
        </is>
      </c>
      <c r="C15" s="23" t="inlineStr">
        <is>
          <t>SHORT</t>
        </is>
      </c>
      <c r="D15" s="24" t="n">
        <v>46255</v>
      </c>
      <c r="E15" s="4" t="n">
        <v>20</v>
      </c>
      <c r="F15" s="4" t="n">
        <v>157.18</v>
      </c>
      <c r="G15" s="4" t="n">
        <v>9.65</v>
      </c>
      <c r="H15" s="4" t="n">
        <v>0.31</v>
      </c>
      <c r="I15" s="4" t="n">
        <v>4.71</v>
      </c>
      <c r="J15" s="4" t="n">
        <v>5.39</v>
      </c>
      <c r="K15" s="4" t="n">
        <v>0</v>
      </c>
      <c r="L15" s="4" t="n">
        <v>0</v>
      </c>
      <c r="M15" s="4" t="n">
        <v>0</v>
      </c>
      <c r="N15" s="21">
        <f>SUM(E15:M15)</f>
        <v/>
      </c>
    </row>
    <row r="16">
      <c r="A16" s="23" t="inlineStr">
        <is>
          <t>DHAN-22126082081809</t>
        </is>
      </c>
      <c r="B16" s="23" t="inlineStr">
        <is>
          <t>HUBTOWN</t>
        </is>
      </c>
      <c r="C16" s="23" t="inlineStr">
        <is>
          <t>LONG</t>
        </is>
      </c>
      <c r="D16" s="24" t="n">
        <v>46255</v>
      </c>
      <c r="E16" s="4" t="n">
        <v>40</v>
      </c>
      <c r="F16" s="4" t="n">
        <v>207.46</v>
      </c>
      <c r="G16" s="4" t="n">
        <v>10.14</v>
      </c>
      <c r="H16" s="4" t="n">
        <v>0.33</v>
      </c>
      <c r="I16" s="4" t="n">
        <v>25</v>
      </c>
      <c r="J16" s="4" t="n">
        <v>9.08</v>
      </c>
      <c r="K16" s="4" t="n">
        <v>14.75</v>
      </c>
      <c r="L16" s="4" t="n">
        <v>35.4</v>
      </c>
      <c r="M16" s="4" t="n">
        <v>34.2</v>
      </c>
      <c r="N16" s="21">
        <f>SUM(E16:M16)</f>
        <v/>
      </c>
    </row>
    <row r="17">
      <c r="A17" s="23" t="inlineStr">
        <is>
          <t>DHAN-34126082146909</t>
        </is>
      </c>
      <c r="B17" s="23" t="inlineStr">
        <is>
          <t>HUBTOWN</t>
        </is>
      </c>
      <c r="C17" s="23" t="inlineStr">
        <is>
          <t>SHORT</t>
        </is>
      </c>
      <c r="D17" s="24" t="n">
        <v>46255</v>
      </c>
      <c r="E17" s="4" t="n">
        <v>20</v>
      </c>
      <c r="F17" s="4" t="n">
        <v>163.16</v>
      </c>
      <c r="G17" s="4" t="n">
        <v>10</v>
      </c>
      <c r="H17" s="4" t="n">
        <v>0.33</v>
      </c>
      <c r="I17" s="4" t="n">
        <v>4.88</v>
      </c>
      <c r="J17" s="4" t="n">
        <v>5.46</v>
      </c>
      <c r="K17" s="4" t="n">
        <v>0</v>
      </c>
      <c r="L17" s="4" t="n">
        <v>0</v>
      </c>
      <c r="M17" s="4" t="n">
        <v>0</v>
      </c>
      <c r="N17" s="21">
        <f>SUM(E17:M17)</f>
        <v/>
      </c>
    </row>
    <row r="18">
      <c r="A18" s="23" t="inlineStr">
        <is>
          <t>DHAN-321260820757209</t>
        </is>
      </c>
      <c r="B18" s="23" t="inlineStr">
        <is>
          <t>KIRIINDUS</t>
        </is>
      </c>
      <c r="C18" s="23" t="inlineStr">
        <is>
          <t>LONG</t>
        </is>
      </c>
      <c r="D18" s="24" t="n">
        <v>46255</v>
      </c>
      <c r="E18" s="4" t="n">
        <v>40</v>
      </c>
      <c r="F18" s="4" t="n">
        <v>166.92</v>
      </c>
      <c r="G18" s="4" t="n">
        <v>10.26</v>
      </c>
      <c r="H18" s="4" t="n">
        <v>0.33</v>
      </c>
      <c r="I18" s="4" t="n">
        <v>25.04</v>
      </c>
      <c r="J18" s="4" t="n">
        <v>9.109999999999999</v>
      </c>
      <c r="K18" s="4" t="n">
        <v>14.75</v>
      </c>
      <c r="L18" s="4" t="n">
        <v>35.4</v>
      </c>
      <c r="M18" s="4" t="n">
        <v>35.89</v>
      </c>
      <c r="N18" s="21">
        <f>SUM(E18:M18)</f>
        <v/>
      </c>
    </row>
    <row r="19">
      <c r="A19" s="23" t="inlineStr">
        <is>
          <t>DHAN-23126082116409</t>
        </is>
      </c>
      <c r="B19" s="23" t="inlineStr">
        <is>
          <t>KIRIINDUS</t>
        </is>
      </c>
      <c r="C19" s="23" t="inlineStr">
        <is>
          <t>SHORT</t>
        </is>
      </c>
      <c r="D19" s="24" t="n">
        <v>46255</v>
      </c>
      <c r="E19" s="4" t="n">
        <v>20</v>
      </c>
      <c r="F19" s="4" t="n">
        <v>210.6</v>
      </c>
      <c r="G19" s="4" t="n">
        <v>10.38</v>
      </c>
      <c r="H19" s="4" t="n">
        <v>0.34</v>
      </c>
      <c r="I19" s="4" t="n">
        <v>5.13</v>
      </c>
      <c r="J19" s="4" t="n">
        <v>5.53</v>
      </c>
      <c r="K19" s="4" t="n">
        <v>0</v>
      </c>
      <c r="L19" s="4" t="n">
        <v>0</v>
      </c>
      <c r="M19" s="4" t="n">
        <v>0</v>
      </c>
      <c r="N19" s="21">
        <f>SUM(E19:M19)</f>
        <v/>
      </c>
    </row>
    <row r="20">
      <c r="A20" s="23" t="inlineStr">
        <is>
          <t>DHAN-321260820757609</t>
        </is>
      </c>
      <c r="B20" s="23" t="inlineStr">
        <is>
          <t>MANGLMCEM</t>
        </is>
      </c>
      <c r="C20" s="23" t="inlineStr">
        <is>
          <t>LONG</t>
        </is>
      </c>
      <c r="D20" s="24" t="n">
        <v>46255</v>
      </c>
      <c r="E20" s="4" t="n">
        <v>40</v>
      </c>
      <c r="F20" s="4" t="n">
        <v>208.02</v>
      </c>
      <c r="G20" s="4" t="n">
        <v>10.2</v>
      </c>
      <c r="H20" s="4" t="n">
        <v>0.33</v>
      </c>
      <c r="I20" s="4" t="n">
        <v>24.92</v>
      </c>
      <c r="J20" s="4" t="n">
        <v>9.1</v>
      </c>
      <c r="K20" s="4" t="n">
        <v>14.75</v>
      </c>
      <c r="L20" s="4" t="n">
        <v>35.4</v>
      </c>
      <c r="M20" s="4" t="n">
        <v>34.09</v>
      </c>
      <c r="N20" s="21">
        <f>SUM(E20:M20)</f>
        <v/>
      </c>
    </row>
    <row r="21">
      <c r="A21" s="23" t="inlineStr">
        <is>
          <t>DHAN-321260821106109</t>
        </is>
      </c>
      <c r="B21" s="23" t="inlineStr">
        <is>
          <t>MANGLMCEM</t>
        </is>
      </c>
      <c r="C21" s="23" t="inlineStr">
        <is>
          <t>SHORT</t>
        </is>
      </c>
      <c r="D21" s="24" t="n">
        <v>46255</v>
      </c>
      <c r="E21" s="4" t="n">
        <v>20</v>
      </c>
      <c r="F21" s="4" t="n">
        <v>167.52</v>
      </c>
      <c r="G21" s="4" t="n">
        <v>10.33</v>
      </c>
      <c r="H21" s="4" t="n">
        <v>0.34</v>
      </c>
      <c r="I21" s="4" t="n">
        <v>5.11</v>
      </c>
      <c r="J21" s="4" t="n">
        <v>5.52</v>
      </c>
      <c r="K21" s="4" t="n">
        <v>0</v>
      </c>
      <c r="L21" s="4" t="n">
        <v>0</v>
      </c>
      <c r="M21" s="4" t="n">
        <v>0</v>
      </c>
      <c r="N21" s="21">
        <f>SUM(E21:M21)</f>
        <v/>
      </c>
    </row>
    <row r="22">
      <c r="A22" s="23" t="inlineStr">
        <is>
          <t>DHAN-321260820757709</t>
        </is>
      </c>
      <c r="B22" s="23" t="inlineStr">
        <is>
          <t>NETWORK18</t>
        </is>
      </c>
      <c r="C22" s="23" t="inlineStr">
        <is>
          <t>LONG</t>
        </is>
      </c>
      <c r="D22" s="24" t="n">
        <v>46255</v>
      </c>
      <c r="E22" s="4" t="n">
        <v>40</v>
      </c>
      <c r="F22" s="4" t="n">
        <v>166.77</v>
      </c>
      <c r="G22" s="4" t="n">
        <v>10.24</v>
      </c>
      <c r="H22" s="4" t="n">
        <v>0.33</v>
      </c>
      <c r="I22" s="4" t="n">
        <v>25.02</v>
      </c>
      <c r="J22" s="4" t="n">
        <v>9.1</v>
      </c>
      <c r="K22" s="4" t="n">
        <v>14.75</v>
      </c>
      <c r="L22" s="4" t="n">
        <v>35.4</v>
      </c>
      <c r="M22" s="4" t="n">
        <v>37.56</v>
      </c>
      <c r="N22" s="21">
        <f>SUM(E22:M22)</f>
        <v/>
      </c>
    </row>
    <row r="23">
      <c r="A23" s="23" t="inlineStr">
        <is>
          <t>DHAN-321260821106709</t>
        </is>
      </c>
      <c r="B23" s="23" t="inlineStr">
        <is>
          <t>NETWORK18</t>
        </is>
      </c>
      <c r="C23" s="23" t="inlineStr">
        <is>
          <t>SHORT</t>
        </is>
      </c>
      <c r="D23" s="24" t="n">
        <v>46255</v>
      </c>
      <c r="E23" s="4" t="n">
        <v>20</v>
      </c>
      <c r="F23" s="4" t="n">
        <v>207.17</v>
      </c>
      <c r="G23" s="4" t="n">
        <v>10.14</v>
      </c>
      <c r="H23" s="4" t="n">
        <v>0.33</v>
      </c>
      <c r="I23" s="4" t="n">
        <v>4.91</v>
      </c>
      <c r="J23" s="4" t="n">
        <v>5.48</v>
      </c>
      <c r="K23" s="4" t="n">
        <v>0</v>
      </c>
      <c r="L23" s="4" t="n">
        <v>0</v>
      </c>
      <c r="M23" s="4" t="n">
        <v>0</v>
      </c>
      <c r="N23" s="21">
        <f>SUM(E23:M23)</f>
        <v/>
      </c>
    </row>
    <row r="24">
      <c r="A24" s="23" t="inlineStr">
        <is>
          <t>DHAN-321260820757909</t>
        </is>
      </c>
      <c r="B24" s="23" t="inlineStr">
        <is>
          <t>SOLARA</t>
        </is>
      </c>
      <c r="C24" s="23" t="inlineStr">
        <is>
          <t>LONG</t>
        </is>
      </c>
      <c r="D24" s="24" t="n">
        <v>46255</v>
      </c>
      <c r="E24" s="4" t="n">
        <v>40</v>
      </c>
      <c r="F24" s="4" t="n">
        <v>207.12</v>
      </c>
      <c r="G24" s="4" t="n">
        <v>10.06</v>
      </c>
      <c r="H24" s="4" t="n">
        <v>0.33</v>
      </c>
      <c r="I24" s="4" t="n">
        <v>25.05</v>
      </c>
      <c r="J24" s="4" t="n">
        <v>9.07</v>
      </c>
      <c r="K24" s="4" t="n">
        <v>14.75</v>
      </c>
      <c r="L24" s="4" t="n">
        <v>35.4</v>
      </c>
      <c r="M24" s="4" t="n">
        <v>34.27</v>
      </c>
      <c r="N24" s="21">
        <f>SUM(E24:M24)</f>
        <v/>
      </c>
    </row>
    <row r="25">
      <c r="A25" s="23" t="inlineStr">
        <is>
          <t>DHAN-23126082147809</t>
        </is>
      </c>
      <c r="B25" s="23" t="inlineStr">
        <is>
          <t>SOLARA</t>
        </is>
      </c>
      <c r="C25" s="23" t="inlineStr">
        <is>
          <t>SHORT</t>
        </is>
      </c>
      <c r="D25" s="24" t="n">
        <v>46255</v>
      </c>
      <c r="E25" s="4" t="n">
        <v>20</v>
      </c>
      <c r="F25" s="4" t="n">
        <v>160.46</v>
      </c>
      <c r="G25" s="4" t="n">
        <v>9.85</v>
      </c>
      <c r="H25" s="4" t="n">
        <v>0.32</v>
      </c>
      <c r="I25" s="4" t="n">
        <v>4.81</v>
      </c>
      <c r="J25" s="4" t="n">
        <v>5.43</v>
      </c>
      <c r="K25" s="4" t="n">
        <v>0</v>
      </c>
      <c r="L25" s="4" t="n">
        <v>0</v>
      </c>
      <c r="M25" s="4" t="n">
        <v>0</v>
      </c>
      <c r="N25" s="21">
        <f>SUM(E25:M25)</f>
        <v/>
      </c>
    </row>
    <row r="26">
      <c r="A26" s="23" t="inlineStr">
        <is>
          <t>DHAN-23126082074409</t>
        </is>
      </c>
      <c r="B26" s="23" t="inlineStr">
        <is>
          <t>VERANDA</t>
        </is>
      </c>
      <c r="C26" s="23" t="inlineStr">
        <is>
          <t>LONG</t>
        </is>
      </c>
      <c r="D26" s="24" t="n">
        <v>46255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21">
        <f>SUM(E26:M26)</f>
        <v/>
      </c>
    </row>
    <row r="27">
      <c r="A27" s="23" t="inlineStr">
        <is>
          <t>DHAN-34126082115309</t>
        </is>
      </c>
      <c r="B27" s="23" t="inlineStr">
        <is>
          <t>VERANDA</t>
        </is>
      </c>
      <c r="C27" s="23" t="inlineStr">
        <is>
          <t>SHORT</t>
        </is>
      </c>
      <c r="D27" s="24" t="n">
        <v>46255</v>
      </c>
      <c r="E27" s="4" t="n">
        <v>20</v>
      </c>
      <c r="F27" s="4" t="n">
        <v>169.15</v>
      </c>
      <c r="G27" s="4" t="n">
        <v>10.4</v>
      </c>
      <c r="H27" s="4" t="n">
        <v>0.34</v>
      </c>
      <c r="I27" s="4" t="n">
        <v>5.1</v>
      </c>
      <c r="J27" s="4" t="n">
        <v>5.53</v>
      </c>
      <c r="K27" s="4" t="n">
        <v>0</v>
      </c>
      <c r="L27" s="4" t="n">
        <v>0</v>
      </c>
      <c r="M27" s="4" t="n">
        <v>0</v>
      </c>
      <c r="N27" s="21">
        <f>SUM(E27:M27)</f>
        <v/>
      </c>
    </row>
    <row r="28">
      <c r="A28" s="23" t="inlineStr">
        <is>
          <t>DHAN-361260821483209</t>
        </is>
      </c>
      <c r="B28" s="23" t="inlineStr">
        <is>
          <t>KLBRENG-B</t>
        </is>
      </c>
      <c r="C28" s="23" t="inlineStr">
        <is>
          <t>LONG</t>
        </is>
      </c>
      <c r="D28" s="24" t="n">
        <v>46258</v>
      </c>
      <c r="E28" s="4" t="n">
        <v>40</v>
      </c>
      <c r="F28" s="4" t="n">
        <v>385.7</v>
      </c>
      <c r="G28" s="4" t="n">
        <v>23.19</v>
      </c>
      <c r="H28" s="4" t="n">
        <v>0.76</v>
      </c>
      <c r="I28" s="4" t="n">
        <v>58.34</v>
      </c>
      <c r="J28" s="4" t="n">
        <v>11.51</v>
      </c>
      <c r="K28" s="4" t="n">
        <v>14.75</v>
      </c>
      <c r="L28" s="4" t="n">
        <v>0</v>
      </c>
      <c r="M28" s="4" t="n">
        <v>0</v>
      </c>
      <c r="N28" s="21">
        <f>SUM(E28:M28)</f>
        <v/>
      </c>
    </row>
    <row r="29">
      <c r="A29" s="23" t="inlineStr">
        <is>
          <t>DHAN-23126082451109</t>
        </is>
      </c>
      <c r="B29" s="23" t="inlineStr">
        <is>
          <t>KLBRENG-B</t>
        </is>
      </c>
      <c r="C29" s="23" t="inlineStr">
        <is>
          <t>SHORT</t>
        </is>
      </c>
      <c r="D29" s="24" t="n">
        <v>46258</v>
      </c>
      <c r="E29" s="4" t="n">
        <v>20</v>
      </c>
      <c r="F29" s="4" t="n">
        <v>463.59</v>
      </c>
      <c r="G29" s="4" t="n">
        <v>22.81</v>
      </c>
      <c r="H29" s="4" t="n">
        <v>0.74</v>
      </c>
      <c r="I29" s="4" t="n">
        <v>11.2</v>
      </c>
      <c r="J29" s="4" t="n">
        <v>7.84</v>
      </c>
      <c r="K29" s="4" t="n">
        <v>0</v>
      </c>
      <c r="L29" s="4" t="n">
        <v>0</v>
      </c>
      <c r="M29" s="4" t="n">
        <v>0</v>
      </c>
      <c r="N29" s="21">
        <f>SUM(E29:M29)</f>
        <v/>
      </c>
    </row>
    <row r="30">
      <c r="A30" s="23" t="inlineStr">
        <is>
          <t>DHAN-321260821720509</t>
        </is>
      </c>
      <c r="B30" s="23" t="inlineStr">
        <is>
          <t>THOMASCOOK</t>
        </is>
      </c>
      <c r="C30" s="23" t="inlineStr">
        <is>
          <t>LONG</t>
        </is>
      </c>
      <c r="D30" s="24" t="n">
        <v>46258</v>
      </c>
      <c r="E30" s="4" t="n">
        <v>40</v>
      </c>
      <c r="F30" s="4" t="n">
        <v>374.56</v>
      </c>
      <c r="G30" s="4" t="n">
        <v>23.16</v>
      </c>
      <c r="H30" s="4" t="n">
        <v>0.75</v>
      </c>
      <c r="I30" s="4" t="n">
        <v>56.19</v>
      </c>
      <c r="J30" s="4" t="n">
        <v>11.51</v>
      </c>
      <c r="K30" s="4" t="n">
        <v>14.75</v>
      </c>
      <c r="L30" s="4" t="n">
        <v>35.4</v>
      </c>
      <c r="M30" s="4" t="n">
        <v>246.77</v>
      </c>
      <c r="N30" s="21">
        <f>SUM(E30:M30)</f>
        <v/>
      </c>
    </row>
    <row r="31">
      <c r="A31" s="23" t="inlineStr">
        <is>
          <t>DHAN-34126082414109</t>
        </is>
      </c>
      <c r="B31" s="23" t="inlineStr">
        <is>
          <t>THOMASCOOK</t>
        </is>
      </c>
      <c r="C31" s="23" t="inlineStr">
        <is>
          <t>SHORT</t>
        </is>
      </c>
      <c r="D31" s="24" t="n">
        <v>46258</v>
      </c>
      <c r="E31" s="4" t="n">
        <v>20</v>
      </c>
      <c r="F31" s="4" t="n">
        <v>473.02</v>
      </c>
      <c r="G31" s="4" t="n">
        <v>23.18</v>
      </c>
      <c r="H31" s="4" t="n">
        <v>0.76</v>
      </c>
      <c r="I31" s="4" t="n">
        <v>11.24</v>
      </c>
      <c r="J31" s="4" t="n">
        <v>7.91</v>
      </c>
      <c r="K31" s="4" t="n">
        <v>0</v>
      </c>
      <c r="L31" s="4" t="n">
        <v>0</v>
      </c>
      <c r="M31" s="4" t="n">
        <v>0</v>
      </c>
      <c r="N31" s="21">
        <f>SUM(E31:M31)</f>
        <v/>
      </c>
    </row>
    <row r="32">
      <c r="A32" s="23" t="inlineStr">
        <is>
          <t>DHAN-241260821716609</t>
        </is>
      </c>
      <c r="B32" s="23" t="inlineStr">
        <is>
          <t>WELSPLSOL</t>
        </is>
      </c>
      <c r="C32" s="23" t="inlineStr">
        <is>
          <t>LONG</t>
        </is>
      </c>
      <c r="D32" s="24" t="n">
        <v>46258</v>
      </c>
      <c r="E32" s="4" t="n">
        <v>40</v>
      </c>
      <c r="F32" s="4" t="n">
        <v>372.13</v>
      </c>
      <c r="G32" s="4" t="n">
        <v>22.97</v>
      </c>
      <c r="H32" s="4" t="n">
        <v>0.75</v>
      </c>
      <c r="I32" s="4" t="n">
        <v>55.82</v>
      </c>
      <c r="J32" s="4" t="n">
        <v>11.47</v>
      </c>
      <c r="K32" s="4" t="n">
        <v>14.75</v>
      </c>
      <c r="L32" s="4" t="n">
        <v>0</v>
      </c>
      <c r="M32" s="4" t="n">
        <v>0</v>
      </c>
      <c r="N32" s="21">
        <f>SUM(E32:M32)</f>
        <v/>
      </c>
    </row>
    <row r="33">
      <c r="A33" s="23" t="inlineStr">
        <is>
          <t>DHAN-34126082414209</t>
        </is>
      </c>
      <c r="B33" s="23" t="inlineStr">
        <is>
          <t>WELSPLSOL</t>
        </is>
      </c>
      <c r="C33" s="23" t="inlineStr">
        <is>
          <t>SHORT</t>
        </is>
      </c>
      <c r="D33" s="24" t="n">
        <v>46258</v>
      </c>
      <c r="E33" s="4" t="n">
        <v>20</v>
      </c>
      <c r="F33" s="4" t="n">
        <v>467.24</v>
      </c>
      <c r="G33" s="4" t="n">
        <v>22.88</v>
      </c>
      <c r="H33" s="4" t="n">
        <v>0.75</v>
      </c>
      <c r="I33" s="4" t="n">
        <v>11.12</v>
      </c>
      <c r="J33" s="4" t="n">
        <v>7.85</v>
      </c>
      <c r="K33" s="4" t="n">
        <v>0</v>
      </c>
      <c r="L33" s="4" t="n">
        <v>0</v>
      </c>
      <c r="M33" s="4" t="n">
        <v>0</v>
      </c>
      <c r="N33" s="21">
        <f>SUM(E33:M33)</f>
        <v/>
      </c>
    </row>
    <row r="34">
      <c r="A34" s="23" t="inlineStr">
        <is>
          <t>DHAN-221260824719309</t>
        </is>
      </c>
      <c r="B34" s="23" t="inlineStr">
        <is>
          <t>GUJTHEM</t>
        </is>
      </c>
      <c r="C34" s="23" t="inlineStr">
        <is>
          <t>LONG</t>
        </is>
      </c>
      <c r="D34" s="24" t="n">
        <v>46259</v>
      </c>
      <c r="E34" s="4" t="n">
        <v>40</v>
      </c>
      <c r="F34" s="4" t="n">
        <v>208.67</v>
      </c>
      <c r="G34" s="4" t="n">
        <v>10.26</v>
      </c>
      <c r="H34" s="4" t="n">
        <v>0.33</v>
      </c>
      <c r="I34" s="4" t="n">
        <v>25.07</v>
      </c>
      <c r="J34" s="4" t="n">
        <v>9.109999999999999</v>
      </c>
      <c r="K34" s="4" t="n">
        <v>14.75</v>
      </c>
      <c r="L34" s="4" t="n">
        <v>35.4</v>
      </c>
      <c r="M34" s="4" t="n">
        <v>34.3</v>
      </c>
      <c r="N34" s="21">
        <f>SUM(E34:M34)</f>
        <v/>
      </c>
    </row>
    <row r="35">
      <c r="A35" s="23" t="inlineStr">
        <is>
          <t>DHAN-23126082553409</t>
        </is>
      </c>
      <c r="B35" s="23" t="inlineStr">
        <is>
          <t>GUJTHEM</t>
        </is>
      </c>
      <c r="C35" s="23" t="inlineStr">
        <is>
          <t>SHORT</t>
        </is>
      </c>
      <c r="D35" s="24" t="n">
        <v>46259</v>
      </c>
      <c r="E35" s="4" t="n">
        <v>20</v>
      </c>
      <c r="F35" s="4" t="n">
        <v>166.39</v>
      </c>
      <c r="G35" s="4" t="n">
        <v>10.17</v>
      </c>
      <c r="H35" s="4" t="n">
        <v>0.33</v>
      </c>
      <c r="I35" s="4" t="n">
        <v>4.92</v>
      </c>
      <c r="J35" s="4" t="n">
        <v>5.49</v>
      </c>
      <c r="K35" s="4" t="n">
        <v>0</v>
      </c>
      <c r="L35" s="4" t="n">
        <v>0</v>
      </c>
      <c r="M35" s="4" t="n">
        <v>0</v>
      </c>
      <c r="N35" s="21">
        <f>SUM(E35:M35)</f>
        <v/>
      </c>
    </row>
    <row r="36">
      <c r="A36" s="23" t="inlineStr">
        <is>
          <t>DHAN-321260824740509</t>
        </is>
      </c>
      <c r="B36" s="23" t="inlineStr">
        <is>
          <t>KCP</t>
        </is>
      </c>
      <c r="C36" s="23" t="inlineStr">
        <is>
          <t>LONG</t>
        </is>
      </c>
      <c r="D36" s="24" t="n">
        <v>46259</v>
      </c>
      <c r="E36" s="4" t="n">
        <v>40</v>
      </c>
      <c r="F36" s="4" t="n">
        <v>167.09</v>
      </c>
      <c r="G36" s="4" t="n">
        <v>10.13</v>
      </c>
      <c r="H36" s="4" t="n">
        <v>0.33</v>
      </c>
      <c r="I36" s="4" t="n">
        <v>25.44</v>
      </c>
      <c r="J36" s="4" t="n">
        <v>9.08</v>
      </c>
      <c r="K36" s="4" t="n">
        <v>14.75</v>
      </c>
      <c r="L36" s="4" t="n">
        <v>35.4</v>
      </c>
      <c r="M36" s="4" t="n">
        <v>34.29</v>
      </c>
      <c r="N36" s="21">
        <f>SUM(E36:M36)</f>
        <v/>
      </c>
    </row>
    <row r="37">
      <c r="A37" s="23" t="inlineStr">
        <is>
          <t>DHAN-221260825378209</t>
        </is>
      </c>
      <c r="B37" s="23" t="inlineStr">
        <is>
          <t>KCP</t>
        </is>
      </c>
      <c r="C37" s="23" t="inlineStr">
        <is>
          <t>SHORT</t>
        </is>
      </c>
      <c r="D37" s="24" t="n">
        <v>46259</v>
      </c>
      <c r="E37" s="4" t="n">
        <v>20</v>
      </c>
      <c r="F37" s="4" t="n">
        <v>205.45</v>
      </c>
      <c r="G37" s="4" t="n">
        <v>10.13</v>
      </c>
      <c r="H37" s="4" t="n">
        <v>0.33</v>
      </c>
      <c r="I37" s="4" t="n">
        <v>5.01</v>
      </c>
      <c r="J37" s="4" t="n">
        <v>5.48</v>
      </c>
      <c r="K37" s="4" t="n">
        <v>0</v>
      </c>
      <c r="L37" s="4" t="n">
        <v>0</v>
      </c>
      <c r="M37" s="4" t="n">
        <v>0</v>
      </c>
      <c r="N37" s="21">
        <f>SUM(E37:M37)</f>
        <v/>
      </c>
    </row>
    <row r="38">
      <c r="A38" s="23" t="inlineStr">
        <is>
          <t>DHAN-23126082483409</t>
        </is>
      </c>
      <c r="B38" s="23" t="inlineStr">
        <is>
          <t>OPTIEMUS</t>
        </is>
      </c>
      <c r="C38" s="23" t="inlineStr">
        <is>
          <t>LONG</t>
        </is>
      </c>
      <c r="D38" s="24" t="n">
        <v>46259</v>
      </c>
      <c r="E38" s="4" t="n">
        <v>40</v>
      </c>
      <c r="F38" s="4" t="n">
        <v>166.42</v>
      </c>
      <c r="G38" s="4" t="n">
        <v>10.23</v>
      </c>
      <c r="H38" s="4" t="n">
        <v>0.33</v>
      </c>
      <c r="I38" s="4" t="n">
        <v>24.96</v>
      </c>
      <c r="J38" s="4" t="n">
        <v>9.1</v>
      </c>
      <c r="K38" s="4" t="n">
        <v>14.75</v>
      </c>
      <c r="L38" s="4" t="n">
        <v>35.4</v>
      </c>
      <c r="M38" s="4" t="n">
        <v>0</v>
      </c>
      <c r="N38" s="21">
        <f>SUM(E38:M38)</f>
        <v/>
      </c>
    </row>
    <row r="39">
      <c r="A39" s="23" t="inlineStr">
        <is>
          <t>DHAN-321260825110209</t>
        </is>
      </c>
      <c r="B39" s="23" t="inlineStr">
        <is>
          <t>OPTIEMUS</t>
        </is>
      </c>
      <c r="C39" s="23" t="inlineStr">
        <is>
          <t>SHORT</t>
        </is>
      </c>
      <c r="D39" s="24" t="n">
        <v>46259</v>
      </c>
      <c r="E39" s="4" t="n">
        <v>20</v>
      </c>
      <c r="F39" s="4" t="n">
        <v>209.55</v>
      </c>
      <c r="G39" s="4" t="n">
        <v>10.31</v>
      </c>
      <c r="H39" s="4" t="n">
        <v>0.34</v>
      </c>
      <c r="I39" s="4" t="n">
        <v>5.35</v>
      </c>
      <c r="J39" s="4" t="n">
        <v>5.52</v>
      </c>
      <c r="K39" s="4" t="n">
        <v>0</v>
      </c>
      <c r="L39" s="4" t="n">
        <v>0</v>
      </c>
      <c r="M39" s="4" t="n">
        <v>0</v>
      </c>
      <c r="N39" s="21">
        <f>SUM(E39:M39)</f>
        <v/>
      </c>
    </row>
    <row r="40">
      <c r="A40" s="23" t="inlineStr">
        <is>
          <t>DHAN-23126082483509</t>
        </is>
      </c>
      <c r="B40" s="23" t="inlineStr">
        <is>
          <t>QUADFUTURE</t>
        </is>
      </c>
      <c r="C40" s="23" t="inlineStr">
        <is>
          <t>LONG</t>
        </is>
      </c>
      <c r="D40" s="24" t="n">
        <v>46259</v>
      </c>
      <c r="E40" s="4" t="n">
        <v>40</v>
      </c>
      <c r="F40" s="4" t="n">
        <v>206.1</v>
      </c>
      <c r="G40" s="4" t="n">
        <v>10</v>
      </c>
      <c r="H40" s="4" t="n">
        <v>0.33</v>
      </c>
      <c r="I40" s="4" t="n">
        <v>24.97</v>
      </c>
      <c r="J40" s="4" t="n">
        <v>9.06</v>
      </c>
      <c r="K40" s="4" t="n">
        <v>14.75</v>
      </c>
      <c r="L40" s="4" t="n">
        <v>35.4</v>
      </c>
      <c r="M40" s="4" t="n">
        <v>32.86</v>
      </c>
      <c r="N40" s="21">
        <f>SUM(E40:M40)</f>
        <v/>
      </c>
    </row>
    <row r="41">
      <c r="A41" s="23" t="inlineStr">
        <is>
          <t>DHAN-23126082553709</t>
        </is>
      </c>
      <c r="B41" s="23" t="inlineStr">
        <is>
          <t>QUADFUTURE</t>
        </is>
      </c>
      <c r="C41" s="23" t="inlineStr">
        <is>
          <t>SHORT</t>
        </is>
      </c>
      <c r="D41" s="24" t="n">
        <v>46259</v>
      </c>
      <c r="E41" s="4" t="n">
        <v>20</v>
      </c>
      <c r="F41" s="4" t="n">
        <v>158.48</v>
      </c>
      <c r="G41" s="4" t="n">
        <v>9.710000000000001</v>
      </c>
      <c r="H41" s="4" t="n">
        <v>0.32</v>
      </c>
      <c r="I41" s="4" t="n">
        <v>4.72</v>
      </c>
      <c r="J41" s="4" t="n">
        <v>5.41</v>
      </c>
      <c r="K41" s="4" t="n">
        <v>0</v>
      </c>
      <c r="L41" s="4" t="n">
        <v>0</v>
      </c>
      <c r="M41" s="4" t="n">
        <v>0</v>
      </c>
      <c r="N41" s="21">
        <f>SUM(E41:M41)</f>
        <v/>
      </c>
    </row>
    <row r="42">
      <c r="A42" s="23" t="inlineStr">
        <is>
          <t>DHAN-23126082781609</t>
        </is>
      </c>
      <c r="B42" s="23" t="inlineStr">
        <is>
          <t>BOMDYEING</t>
        </is>
      </c>
      <c r="C42" s="23" t="inlineStr">
        <is>
          <t>LONG</t>
        </is>
      </c>
      <c r="D42" s="24" t="n">
        <v>46262</v>
      </c>
      <c r="E42" s="4" t="n">
        <v>40</v>
      </c>
      <c r="F42" s="4" t="n">
        <v>702.35</v>
      </c>
      <c r="G42" s="4" t="n">
        <v>21.55</v>
      </c>
      <c r="H42" s="4" t="n">
        <v>0.7</v>
      </c>
      <c r="I42" s="4" t="n">
        <v>52.75</v>
      </c>
      <c r="J42" s="4" t="n">
        <v>11.2</v>
      </c>
      <c r="K42" s="4" t="n">
        <v>14.75</v>
      </c>
      <c r="L42" s="4" t="n">
        <v>35.4</v>
      </c>
      <c r="M42" s="4" t="n">
        <v>71.81</v>
      </c>
      <c r="N42" s="21">
        <f>SUM(E42:M42)</f>
        <v/>
      </c>
    </row>
    <row r="43">
      <c r="A43" s="23" t="inlineStr">
        <is>
          <t>DHAN-321260827577609</t>
        </is>
      </c>
      <c r="B43" s="23" t="inlineStr">
        <is>
          <t>GKENERGY</t>
        </is>
      </c>
      <c r="C43" s="23" t="inlineStr">
        <is>
          <t>LONG</t>
        </is>
      </c>
      <c r="D43" s="24" t="n">
        <v>46262</v>
      </c>
      <c r="E43" s="4" t="n">
        <v>40</v>
      </c>
      <c r="F43" s="4" t="n">
        <v>698.6</v>
      </c>
      <c r="G43" s="4" t="n">
        <v>21.45</v>
      </c>
      <c r="H43" s="4" t="n">
        <v>0.7</v>
      </c>
      <c r="I43" s="4" t="n">
        <v>52.54</v>
      </c>
      <c r="J43" s="4" t="n">
        <v>11.19</v>
      </c>
      <c r="K43" s="4" t="n">
        <v>14.75</v>
      </c>
      <c r="L43" s="4" t="n">
        <v>35.4</v>
      </c>
      <c r="M43" s="4" t="n">
        <v>59.89</v>
      </c>
      <c r="N43" s="21">
        <f>SUM(E43:M43)</f>
        <v/>
      </c>
    </row>
    <row r="44">
      <c r="A44" s="23" t="inlineStr">
        <is>
          <t>DHAN-34126082778209</t>
        </is>
      </c>
      <c r="B44" s="23" t="inlineStr">
        <is>
          <t>RAMRAT</t>
        </is>
      </c>
      <c r="C44" s="23" t="inlineStr">
        <is>
          <t>LONG</t>
        </is>
      </c>
      <c r="D44" s="24" t="n">
        <v>46262</v>
      </c>
      <c r="E44" s="4" t="n">
        <v>40</v>
      </c>
      <c r="F44" s="4" t="n">
        <v>715.45</v>
      </c>
      <c r="G44" s="4" t="n">
        <v>21.97</v>
      </c>
      <c r="H44" s="4" t="n">
        <v>0.72</v>
      </c>
      <c r="I44" s="4" t="n">
        <v>52.71</v>
      </c>
      <c r="J44" s="4" t="n">
        <v>11.28</v>
      </c>
      <c r="K44" s="4" t="n">
        <v>14.75</v>
      </c>
      <c r="L44" s="4" t="n">
        <v>35.4</v>
      </c>
      <c r="M44" s="4" t="n">
        <v>72.11</v>
      </c>
      <c r="N44" s="21">
        <f>SUM(E44:M44)</f>
        <v/>
      </c>
    </row>
    <row r="45">
      <c r="A45" s="23" t="inlineStr">
        <is>
          <t>DHAN-2212608281405809</t>
        </is>
      </c>
      <c r="B45" s="23" t="inlineStr">
        <is>
          <t>FMGOETZE</t>
        </is>
      </c>
      <c r="C45" s="23" t="inlineStr">
        <is>
          <t>LONG</t>
        </is>
      </c>
      <c r="D45" s="24" t="n">
        <v>46265</v>
      </c>
      <c r="E45" s="4" t="n">
        <v>40</v>
      </c>
      <c r="F45" s="4" t="n">
        <v>279.81</v>
      </c>
      <c r="G45" s="4" t="n">
        <v>17.5</v>
      </c>
      <c r="H45" s="4" t="n">
        <v>0.57</v>
      </c>
      <c r="I45" s="4" t="n">
        <v>41.97</v>
      </c>
      <c r="J45" s="4" t="n">
        <v>10.45</v>
      </c>
      <c r="K45" s="4" t="n">
        <v>14.75</v>
      </c>
      <c r="L45" s="4" t="n">
        <v>35.4</v>
      </c>
      <c r="M45" s="4" t="n">
        <v>172.25</v>
      </c>
      <c r="N45" s="21">
        <f>SUM(E45:M45)</f>
        <v/>
      </c>
    </row>
    <row r="46">
      <c r="A46" s="23" t="inlineStr">
        <is>
          <t>DHAN-221260831109609</t>
        </is>
      </c>
      <c r="B46" s="23" t="inlineStr">
        <is>
          <t>FMGOETZE</t>
        </is>
      </c>
      <c r="C46" s="23" t="inlineStr">
        <is>
          <t>SHORT</t>
        </is>
      </c>
      <c r="D46" s="24" t="n">
        <v>46265</v>
      </c>
      <c r="E46" s="4" t="n">
        <v>20</v>
      </c>
      <c r="F46" s="4" t="n">
        <v>361.66</v>
      </c>
      <c r="G46" s="4" t="n">
        <v>17.74</v>
      </c>
      <c r="H46" s="4" t="n">
        <v>0.58</v>
      </c>
      <c r="I46" s="4" t="n">
        <v>8.630000000000001</v>
      </c>
      <c r="J46" s="4" t="n">
        <v>6.9</v>
      </c>
      <c r="K46" s="4" t="n">
        <v>0</v>
      </c>
      <c r="L46" s="4" t="n">
        <v>0</v>
      </c>
      <c r="M46" s="4" t="n">
        <v>0</v>
      </c>
      <c r="N46" s="21">
        <f>SUM(E46:M46)</f>
        <v/>
      </c>
    </row>
    <row r="47">
      <c r="A47" s="23" t="inlineStr">
        <is>
          <t>DHAN-2312608281035809</t>
        </is>
      </c>
      <c r="B47" s="23" t="inlineStr">
        <is>
          <t>JGCHEM</t>
        </is>
      </c>
      <c r="C47" s="23" t="inlineStr">
        <is>
          <t>LONG</t>
        </is>
      </c>
      <c r="D47" s="24" t="n">
        <v>46265</v>
      </c>
      <c r="E47" s="4" t="n">
        <v>40</v>
      </c>
      <c r="F47" s="4" t="n">
        <v>280.6</v>
      </c>
      <c r="G47" s="4" t="n">
        <v>17.16</v>
      </c>
      <c r="H47" s="4" t="n">
        <v>0.5600000000000001</v>
      </c>
      <c r="I47" s="4" t="n">
        <v>42.25</v>
      </c>
      <c r="J47" s="4" t="n">
        <v>10.39</v>
      </c>
      <c r="K47" s="4" t="n">
        <v>14.75</v>
      </c>
      <c r="L47" s="4" t="n">
        <v>35.4</v>
      </c>
      <c r="M47" s="4" t="n">
        <v>172.74</v>
      </c>
      <c r="N47" s="21">
        <f>SUM(E47:M47)</f>
        <v/>
      </c>
    </row>
    <row r="48">
      <c r="A48" s="23" t="inlineStr">
        <is>
          <t>DHAN-321260831423609</t>
        </is>
      </c>
      <c r="B48" s="23" t="inlineStr">
        <is>
          <t>JGCHEM</t>
        </is>
      </c>
      <c r="C48" s="23" t="inlineStr">
        <is>
          <t>SHORT</t>
        </is>
      </c>
      <c r="D48" s="24" t="n">
        <v>46265</v>
      </c>
      <c r="E48" s="4" t="n">
        <v>20</v>
      </c>
      <c r="F48" s="4" t="n">
        <v>345.44</v>
      </c>
      <c r="G48" s="4" t="n">
        <v>16.91</v>
      </c>
      <c r="H48" s="4" t="n">
        <v>0.55</v>
      </c>
      <c r="I48" s="4" t="n">
        <v>8.199999999999999</v>
      </c>
      <c r="J48" s="4" t="n">
        <v>6.74</v>
      </c>
      <c r="K48" s="4" t="n">
        <v>0</v>
      </c>
      <c r="L48" s="4" t="n">
        <v>0</v>
      </c>
      <c r="M48" s="4" t="n">
        <v>0</v>
      </c>
      <c r="N48" s="21">
        <f>SUM(E48:M48)</f>
        <v/>
      </c>
    </row>
    <row r="49">
      <c r="A49" s="23" t="inlineStr">
        <is>
          <t>DHAN-2312608281035709</t>
        </is>
      </c>
      <c r="B49" s="23" t="inlineStr">
        <is>
          <t>MASTEK</t>
        </is>
      </c>
      <c r="C49" s="23" t="inlineStr">
        <is>
          <t>LONG</t>
        </is>
      </c>
      <c r="D49" s="24" t="n">
        <v>46265</v>
      </c>
      <c r="E49" s="4" t="n">
        <v>40</v>
      </c>
      <c r="F49" s="4" t="n">
        <v>345.95</v>
      </c>
      <c r="G49" s="4" t="n">
        <v>16.64</v>
      </c>
      <c r="H49" s="4" t="n">
        <v>0.54</v>
      </c>
      <c r="I49" s="4" t="n">
        <v>42.09</v>
      </c>
      <c r="J49" s="4" t="n">
        <v>10.29</v>
      </c>
      <c r="K49" s="4" t="n">
        <v>14.75</v>
      </c>
      <c r="L49" s="4" t="n">
        <v>35.4</v>
      </c>
      <c r="M49" s="4" t="n">
        <v>187.52</v>
      </c>
      <c r="N49" s="21">
        <f>SUM(E49:M49)</f>
        <v/>
      </c>
    </row>
    <row r="50">
      <c r="A50" s="23" t="inlineStr">
        <is>
          <t>DHAN-23126083156509</t>
        </is>
      </c>
      <c r="B50" s="23" t="inlineStr">
        <is>
          <t>MASTEK</t>
        </is>
      </c>
      <c r="C50" s="23" t="inlineStr">
        <is>
          <t>SHORT</t>
        </is>
      </c>
      <c r="D50" s="24" t="n">
        <v>46265</v>
      </c>
      <c r="E50" s="4" t="n">
        <v>20</v>
      </c>
      <c r="F50" s="4" t="n">
        <v>261.32</v>
      </c>
      <c r="G50" s="4" t="n">
        <v>16.05</v>
      </c>
      <c r="H50" s="4" t="n">
        <v>0.52</v>
      </c>
      <c r="I50" s="4" t="n">
        <v>7.84</v>
      </c>
      <c r="J50" s="4" t="n">
        <v>6.58</v>
      </c>
      <c r="K50" s="4" t="n">
        <v>0</v>
      </c>
      <c r="L50" s="4" t="n">
        <v>0</v>
      </c>
      <c r="M50" s="4" t="n">
        <v>0</v>
      </c>
      <c r="N50" s="21">
        <f>SUM(E50:M50)</f>
        <v/>
      </c>
    </row>
    <row r="51">
      <c r="A51" s="23" t="inlineStr">
        <is>
          <t>DHAN-2212608281405909</t>
        </is>
      </c>
      <c r="B51" s="23" t="inlineStr">
        <is>
          <t>OMAXE</t>
        </is>
      </c>
      <c r="C51" s="23" t="inlineStr">
        <is>
          <t>LONG</t>
        </is>
      </c>
      <c r="D51" s="24" t="n">
        <v>46265</v>
      </c>
      <c r="E51" s="4" t="n">
        <v>40</v>
      </c>
      <c r="F51" s="4" t="n">
        <v>352.73</v>
      </c>
      <c r="G51" s="4" t="n">
        <v>17.37</v>
      </c>
      <c r="H51" s="4" t="n">
        <v>0.57</v>
      </c>
      <c r="I51" s="4" t="n">
        <v>42.43</v>
      </c>
      <c r="J51" s="4" t="n">
        <v>10.43</v>
      </c>
      <c r="K51" s="4" t="n">
        <v>14.75</v>
      </c>
      <c r="L51" s="4" t="n">
        <v>35.4</v>
      </c>
      <c r="M51" s="4" t="n">
        <v>145.1</v>
      </c>
      <c r="N51" s="21">
        <f>SUM(E51:M51)</f>
        <v/>
      </c>
    </row>
    <row r="52">
      <c r="A52" s="23" t="inlineStr">
        <is>
          <t>DHAN-23126083118409</t>
        </is>
      </c>
      <c r="B52" s="23" t="inlineStr">
        <is>
          <t>OMAXE</t>
        </is>
      </c>
      <c r="C52" s="23" t="inlineStr">
        <is>
          <t>SHORT</t>
        </is>
      </c>
      <c r="D52" s="24" t="n">
        <v>46265</v>
      </c>
      <c r="E52" s="4" t="n">
        <v>20</v>
      </c>
      <c r="F52" s="4" t="n">
        <v>279.5</v>
      </c>
      <c r="G52" s="4" t="n">
        <v>17.06</v>
      </c>
      <c r="H52" s="4" t="n">
        <v>0.5600000000000001</v>
      </c>
      <c r="I52" s="4" t="n">
        <v>8.19</v>
      </c>
      <c r="J52" s="4" t="n">
        <v>6.77</v>
      </c>
      <c r="K52" s="4" t="n">
        <v>0</v>
      </c>
      <c r="L52" s="4" t="n">
        <v>0</v>
      </c>
      <c r="M52" s="4" t="n">
        <v>0</v>
      </c>
      <c r="N52" s="21">
        <f>SUM(E52:M52)</f>
        <v/>
      </c>
    </row>
    <row r="53">
      <c r="A53" s="23" t="inlineStr">
        <is>
          <t>DHAN-2312608281035909</t>
        </is>
      </c>
      <c r="B53" s="23" t="inlineStr">
        <is>
          <t>SYNCOMF</t>
        </is>
      </c>
      <c r="C53" s="23" t="inlineStr">
        <is>
          <t>LONG</t>
        </is>
      </c>
      <c r="D53" s="24" t="n">
        <v>46265</v>
      </c>
      <c r="E53" s="4" t="n">
        <v>40</v>
      </c>
      <c r="F53" s="4" t="n">
        <v>281.72</v>
      </c>
      <c r="G53" s="4" t="n">
        <v>17.35</v>
      </c>
      <c r="H53" s="4" t="n">
        <v>0.57</v>
      </c>
      <c r="I53" s="4" t="n">
        <v>42.26</v>
      </c>
      <c r="J53" s="4" t="n">
        <v>10.43</v>
      </c>
      <c r="K53" s="4" t="n">
        <v>14.75</v>
      </c>
      <c r="L53" s="4" t="n">
        <v>35.4</v>
      </c>
      <c r="M53" s="4" t="n">
        <v>144.52</v>
      </c>
      <c r="N53" s="21">
        <f>SUM(E53:M53)</f>
        <v/>
      </c>
    </row>
    <row r="54">
      <c r="A54" s="23" t="inlineStr">
        <is>
          <t>DHAN-321260831104409</t>
        </is>
      </c>
      <c r="B54" s="23" t="inlineStr">
        <is>
          <t>SYNCOMF</t>
        </is>
      </c>
      <c r="C54" s="23" t="inlineStr">
        <is>
          <t>SHORT</t>
        </is>
      </c>
      <c r="D54" s="24" t="n">
        <v>46265</v>
      </c>
      <c r="E54" s="4" t="n">
        <v>20</v>
      </c>
      <c r="F54" s="4" t="n">
        <v>354.14</v>
      </c>
      <c r="G54" s="4" t="n">
        <v>17.38</v>
      </c>
      <c r="H54" s="4" t="n">
        <v>0.57</v>
      </c>
      <c r="I54" s="4" t="n">
        <v>8.470000000000001</v>
      </c>
      <c r="J54" s="4" t="n">
        <v>6.83</v>
      </c>
      <c r="K54" s="4" t="n">
        <v>0</v>
      </c>
      <c r="L54" s="4" t="n">
        <v>0</v>
      </c>
      <c r="M54" s="4" t="n">
        <v>0</v>
      </c>
      <c r="N54" s="21">
        <f>SUM(E54:M54)</f>
        <v/>
      </c>
    </row>
    <row r="55">
      <c r="A55" s="23" t="inlineStr">
        <is>
          <t>DHAN-231260831122409</t>
        </is>
      </c>
      <c r="B55" s="23" t="inlineStr">
        <is>
          <t>ASHOKA</t>
        </is>
      </c>
      <c r="C55" s="23" t="inlineStr">
        <is>
          <t>LONG</t>
        </is>
      </c>
      <c r="D55" s="24" t="n">
        <v>46266</v>
      </c>
      <c r="E55" s="4" t="n">
        <v>40</v>
      </c>
      <c r="F55" s="4" t="n">
        <v>352.75</v>
      </c>
      <c r="G55" s="4" t="n">
        <v>21.8</v>
      </c>
      <c r="H55" s="4" t="n">
        <v>0.71</v>
      </c>
      <c r="I55" s="4" t="n">
        <v>52.91</v>
      </c>
      <c r="J55" s="4" t="n">
        <v>11.25</v>
      </c>
      <c r="K55" s="4" t="n">
        <v>14.75</v>
      </c>
      <c r="L55" s="4" t="n">
        <v>35.4</v>
      </c>
      <c r="M55" s="4" t="n">
        <v>81.05</v>
      </c>
      <c r="N55" s="21">
        <f>SUM(E55:M55)</f>
        <v/>
      </c>
    </row>
    <row r="56">
      <c r="A56" s="23" t="inlineStr">
        <is>
          <t>DHAN-22126090197109</t>
        </is>
      </c>
      <c r="B56" s="23" t="inlineStr">
        <is>
          <t>ASHOKA</t>
        </is>
      </c>
      <c r="C56" s="23" t="inlineStr">
        <is>
          <t>SHORT</t>
        </is>
      </c>
      <c r="D56" s="24" t="n">
        <v>46266</v>
      </c>
      <c r="E56" s="4" t="n">
        <v>20</v>
      </c>
      <c r="F56" s="4" t="n">
        <v>447.53</v>
      </c>
      <c r="G56" s="4" t="n">
        <v>21.97</v>
      </c>
      <c r="H56" s="4" t="n">
        <v>0.71</v>
      </c>
      <c r="I56" s="4" t="n">
        <v>10.76</v>
      </c>
      <c r="J56" s="4" t="n">
        <v>7.68</v>
      </c>
      <c r="K56" s="4" t="n">
        <v>0</v>
      </c>
      <c r="L56" s="4" t="n">
        <v>0</v>
      </c>
      <c r="M56" s="4" t="n">
        <v>0</v>
      </c>
      <c r="N56" s="21">
        <f>SUM(E56:M56)</f>
        <v/>
      </c>
    </row>
    <row r="57">
      <c r="A57" s="23" t="inlineStr">
        <is>
          <t>DHAN-231260831122309</t>
        </is>
      </c>
      <c r="B57" s="23" t="inlineStr">
        <is>
          <t>NORTHARC</t>
        </is>
      </c>
      <c r="C57" s="23" t="inlineStr">
        <is>
          <t>LONG</t>
        </is>
      </c>
      <c r="D57" s="24" t="n">
        <v>46266</v>
      </c>
      <c r="E57" s="4" t="n">
        <v>40</v>
      </c>
      <c r="F57" s="4" t="n">
        <v>346.92</v>
      </c>
      <c r="G57" s="4" t="n">
        <v>21.04</v>
      </c>
      <c r="H57" s="4" t="n">
        <v>0.6899999999999999</v>
      </c>
      <c r="I57" s="4" t="n">
        <v>52.4</v>
      </c>
      <c r="J57" s="4" t="n">
        <v>11.11</v>
      </c>
      <c r="K57" s="4" t="n">
        <v>14.75</v>
      </c>
      <c r="L57" s="4" t="n">
        <v>35.4</v>
      </c>
      <c r="M57" s="4" t="n">
        <v>79.26000000000001</v>
      </c>
      <c r="N57" s="21">
        <f>SUM(E57:M57)</f>
        <v/>
      </c>
    </row>
    <row r="58">
      <c r="A58" s="23" t="inlineStr">
        <is>
          <t>DHAN-221260901437609</t>
        </is>
      </c>
      <c r="B58" s="23" t="inlineStr">
        <is>
          <t>NORTHARC</t>
        </is>
      </c>
      <c r="C58" s="23" t="inlineStr">
        <is>
          <t>SHORT</t>
        </is>
      </c>
      <c r="D58" s="24" t="n">
        <v>46266</v>
      </c>
      <c r="E58" s="4" t="n">
        <v>20</v>
      </c>
      <c r="F58" s="4" t="n">
        <v>421.34</v>
      </c>
      <c r="G58" s="4" t="n">
        <v>20.65</v>
      </c>
      <c r="H58" s="4" t="n">
        <v>0.67</v>
      </c>
      <c r="I58" s="4" t="n">
        <v>10.02</v>
      </c>
      <c r="J58" s="4" t="n">
        <v>7.44</v>
      </c>
      <c r="K58" s="4" t="n">
        <v>0</v>
      </c>
      <c r="L58" s="4" t="n">
        <v>0</v>
      </c>
      <c r="M58" s="4" t="n">
        <v>0</v>
      </c>
      <c r="N58" s="21">
        <f>SUM(E58:M58)</f>
        <v/>
      </c>
    </row>
    <row r="59">
      <c r="A59" s="23" t="inlineStr">
        <is>
          <t>DHAN-321260831702509</t>
        </is>
      </c>
      <c r="B59" s="23" t="inlineStr">
        <is>
          <t>VENKEYS</t>
        </is>
      </c>
      <c r="C59" s="23" t="inlineStr">
        <is>
          <t>LONG</t>
        </is>
      </c>
      <c r="D59" s="24" t="n">
        <v>46266</v>
      </c>
      <c r="E59" s="4" t="n">
        <v>40</v>
      </c>
      <c r="F59" s="4" t="n">
        <v>349.06</v>
      </c>
      <c r="G59" s="4" t="n">
        <v>21.2</v>
      </c>
      <c r="H59" s="4" t="n">
        <v>0.6899999999999999</v>
      </c>
      <c r="I59" s="4" t="n">
        <v>52.36</v>
      </c>
      <c r="J59" s="4" t="n">
        <v>11.14</v>
      </c>
      <c r="K59" s="4" t="n">
        <v>14.75</v>
      </c>
      <c r="L59" s="4" t="n">
        <v>35.4</v>
      </c>
      <c r="M59" s="4" t="n">
        <v>71.63</v>
      </c>
      <c r="N59" s="21">
        <f>SUM(E59:M59)</f>
        <v/>
      </c>
    </row>
    <row r="60">
      <c r="A60" s="23" t="inlineStr">
        <is>
          <t>DHAN-23126090154109</t>
        </is>
      </c>
      <c r="B60" s="23" t="inlineStr">
        <is>
          <t>VENKEYS</t>
        </is>
      </c>
      <c r="C60" s="23" t="inlineStr">
        <is>
          <t>SHORT</t>
        </is>
      </c>
      <c r="D60" s="24" t="n">
        <v>46266</v>
      </c>
      <c r="E60" s="4" t="n">
        <v>20</v>
      </c>
      <c r="F60" s="4" t="n">
        <v>425.18</v>
      </c>
      <c r="G60" s="4" t="n">
        <v>20.84</v>
      </c>
      <c r="H60" s="4" t="n">
        <v>0.68</v>
      </c>
      <c r="I60" s="4" t="n">
        <v>10.13</v>
      </c>
      <c r="J60" s="4" t="n">
        <v>7.47</v>
      </c>
      <c r="K60" s="4" t="n">
        <v>0</v>
      </c>
      <c r="L60" s="4" t="n">
        <v>0</v>
      </c>
      <c r="M60" s="4" t="n">
        <v>0</v>
      </c>
      <c r="N60" s="21">
        <f>SUM(E60:M60)</f>
        <v/>
      </c>
    </row>
    <row r="61">
      <c r="A61" s="23" t="inlineStr">
        <is>
          <t>DHAN-221260901669709</t>
        </is>
      </c>
      <c r="B61" s="23" t="inlineStr">
        <is>
          <t>SAKAR</t>
        </is>
      </c>
      <c r="C61" s="23" t="inlineStr">
        <is>
          <t>LONG</t>
        </is>
      </c>
      <c r="D61" s="24" t="n">
        <v>46267</v>
      </c>
      <c r="E61" s="4" t="n">
        <v>20</v>
      </c>
      <c r="F61" s="4" t="n">
        <v>218.68</v>
      </c>
      <c r="G61" s="4" t="n">
        <v>10.83</v>
      </c>
      <c r="H61" s="4" t="n">
        <v>0.35</v>
      </c>
      <c r="I61" s="4" t="n">
        <v>26.11</v>
      </c>
      <c r="J61" s="4" t="n">
        <v>5.61</v>
      </c>
      <c r="K61" s="4" t="n">
        <v>14.75</v>
      </c>
      <c r="L61" s="4" t="n">
        <v>0</v>
      </c>
      <c r="M61" s="4" t="n">
        <v>0</v>
      </c>
      <c r="N61" s="21">
        <f>SUM(E61:M61)</f>
        <v/>
      </c>
    </row>
    <row r="62">
      <c r="A62" s="23" t="inlineStr">
        <is>
          <t>DHAN-221260902120009</t>
        </is>
      </c>
      <c r="B62" s="23" t="inlineStr">
        <is>
          <t>SAKAR</t>
        </is>
      </c>
      <c r="C62" s="23" t="inlineStr">
        <is>
          <t>SHORT</t>
        </is>
      </c>
      <c r="D62" s="24" t="n">
        <v>46267</v>
      </c>
      <c r="E62" s="4" t="n">
        <v>20</v>
      </c>
      <c r="F62" s="4" t="n">
        <v>178.54</v>
      </c>
      <c r="G62" s="4" t="n">
        <v>10.96</v>
      </c>
      <c r="H62" s="4" t="n">
        <v>0.36</v>
      </c>
      <c r="I62" s="4" t="n">
        <v>5.35</v>
      </c>
      <c r="J62" s="4" t="n">
        <v>5.64</v>
      </c>
      <c r="K62" s="4" t="n">
        <v>0</v>
      </c>
      <c r="L62" s="4" t="n">
        <v>0</v>
      </c>
      <c r="M62" s="4" t="n">
        <v>0</v>
      </c>
      <c r="N62" s="21">
        <f>SUM(E62:M62)</f>
        <v/>
      </c>
    </row>
    <row r="63">
      <c r="A63" s="23" t="inlineStr">
        <is>
          <t>DHAN-321260901678509</t>
        </is>
      </c>
      <c r="B63" s="23" t="inlineStr">
        <is>
          <t>SOTL</t>
        </is>
      </c>
      <c r="C63" s="23" t="inlineStr">
        <is>
          <t>LONG</t>
        </is>
      </c>
      <c r="D63" s="24" t="n">
        <v>46267</v>
      </c>
      <c r="E63" s="4" t="n">
        <v>40</v>
      </c>
      <c r="F63" s="4" t="n">
        <v>439.17</v>
      </c>
      <c r="G63" s="4" t="n">
        <v>21.68</v>
      </c>
      <c r="H63" s="4" t="n">
        <v>0.71</v>
      </c>
      <c r="I63" s="4" t="n">
        <v>52.69</v>
      </c>
      <c r="J63" s="4" t="n">
        <v>11.23</v>
      </c>
      <c r="K63" s="4" t="n">
        <v>14.75</v>
      </c>
      <c r="L63" s="4" t="n">
        <v>35.4</v>
      </c>
      <c r="M63" s="4" t="n">
        <v>72.09</v>
      </c>
      <c r="N63" s="21">
        <f>SUM(E63:M63)</f>
        <v/>
      </c>
    </row>
    <row r="64">
      <c r="A64" s="23" t="inlineStr">
        <is>
          <t>DHAN-23126090223909</t>
        </is>
      </c>
      <c r="B64" s="23" t="inlineStr">
        <is>
          <t>SOTL</t>
        </is>
      </c>
      <c r="C64" s="23" t="inlineStr">
        <is>
          <t>SHORT</t>
        </is>
      </c>
      <c r="D64" s="24" t="n">
        <v>46267</v>
      </c>
      <c r="E64" s="4" t="n">
        <v>20</v>
      </c>
      <c r="F64" s="4" t="n">
        <v>351.29</v>
      </c>
      <c r="G64" s="4" t="n">
        <v>21.48</v>
      </c>
      <c r="H64" s="4" t="n">
        <v>0.7</v>
      </c>
      <c r="I64" s="4" t="n">
        <v>10.35</v>
      </c>
      <c r="J64" s="4" t="n">
        <v>7.59</v>
      </c>
      <c r="K64" s="4" t="n">
        <v>0</v>
      </c>
      <c r="L64" s="4" t="n">
        <v>0</v>
      </c>
      <c r="M64" s="4" t="n">
        <v>0</v>
      </c>
      <c r="N64" s="21">
        <f>SUM(E64:M64)</f>
        <v/>
      </c>
    </row>
    <row r="65">
      <c r="A65" s="23" t="inlineStr">
        <is>
          <t>DHAN-34126090172909</t>
        </is>
      </c>
      <c r="B65" s="23" t="inlineStr">
        <is>
          <t>SSWL</t>
        </is>
      </c>
      <c r="C65" s="23" t="inlineStr">
        <is>
          <t>LONG</t>
        </is>
      </c>
      <c r="D65" s="24" t="n">
        <v>46267</v>
      </c>
      <c r="E65" s="4" t="n">
        <v>40</v>
      </c>
      <c r="F65" s="4" t="n">
        <v>354.61</v>
      </c>
      <c r="G65" s="4" t="n">
        <v>21.14</v>
      </c>
      <c r="H65" s="4" t="n">
        <v>0.6899999999999999</v>
      </c>
      <c r="I65" s="4" t="n">
        <v>53.29</v>
      </c>
      <c r="J65" s="4" t="n">
        <v>11.13</v>
      </c>
      <c r="K65" s="4" t="n">
        <v>14.75</v>
      </c>
      <c r="L65" s="4" t="n">
        <v>35.4</v>
      </c>
      <c r="M65" s="4" t="n">
        <v>75.64</v>
      </c>
      <c r="N65" s="21">
        <f>SUM(E65:M65)</f>
        <v/>
      </c>
    </row>
    <row r="66">
      <c r="A66" s="23" t="inlineStr">
        <is>
          <t>DHAN-231260902110309</t>
        </is>
      </c>
      <c r="B66" s="23" t="inlineStr">
        <is>
          <t>SSWL</t>
        </is>
      </c>
      <c r="C66" s="23" t="inlineStr">
        <is>
          <t>SHORT</t>
        </is>
      </c>
      <c r="D66" s="24" t="n">
        <v>46267</v>
      </c>
      <c r="E66" s="4" t="n">
        <v>20</v>
      </c>
      <c r="F66" s="4" t="n">
        <v>419.36</v>
      </c>
      <c r="G66" s="4" t="n">
        <v>20.65</v>
      </c>
      <c r="H66" s="4" t="n">
        <v>0.67</v>
      </c>
      <c r="I66" s="4" t="n">
        <v>10.16</v>
      </c>
      <c r="J66" s="4" t="n">
        <v>7.44</v>
      </c>
      <c r="K66" s="4" t="n">
        <v>0</v>
      </c>
      <c r="L66" s="4" t="n">
        <v>0</v>
      </c>
      <c r="M66" s="4" t="n">
        <v>0</v>
      </c>
      <c r="N66" s="21">
        <f>SUM(E66:M66)</f>
        <v/>
      </c>
    </row>
    <row r="67">
      <c r="A67" s="23" t="inlineStr">
        <is>
          <t>DHAN-231260902149109</t>
        </is>
      </c>
      <c r="B67" s="23" t="inlineStr">
        <is>
          <t>HERITGFOOD</t>
        </is>
      </c>
      <c r="C67" s="23" t="inlineStr">
        <is>
          <t>LONG</t>
        </is>
      </c>
      <c r="D67" s="24" t="n">
        <v>46268</v>
      </c>
      <c r="E67" s="4" t="n">
        <v>40</v>
      </c>
      <c r="F67" s="4" t="n">
        <v>249.19</v>
      </c>
      <c r="G67" s="4" t="n">
        <v>12.19</v>
      </c>
      <c r="H67" s="4" t="n">
        <v>0.4</v>
      </c>
      <c r="I67" s="4" t="n">
        <v>29.99</v>
      </c>
      <c r="J67" s="4" t="n">
        <v>9.470000000000001</v>
      </c>
      <c r="K67" s="4" t="n">
        <v>14.75</v>
      </c>
      <c r="L67" s="4" t="n">
        <v>35.4</v>
      </c>
      <c r="M67" s="4" t="n">
        <v>46</v>
      </c>
      <c r="N67" s="21">
        <f>SUM(E67:M67)</f>
        <v/>
      </c>
    </row>
    <row r="68">
      <c r="A68" s="23" t="inlineStr">
        <is>
          <t>DHAN-23126090343709</t>
        </is>
      </c>
      <c r="B68" s="23" t="inlineStr">
        <is>
          <t>HERITGFOOD</t>
        </is>
      </c>
      <c r="C68" s="23" t="inlineStr">
        <is>
          <t>SHORT</t>
        </is>
      </c>
      <c r="D68" s="24" t="n">
        <v>46268</v>
      </c>
      <c r="E68" s="4" t="n">
        <v>20</v>
      </c>
      <c r="F68" s="4" t="n">
        <v>196.92</v>
      </c>
      <c r="G68" s="4" t="n">
        <v>12.09</v>
      </c>
      <c r="H68" s="4" t="n">
        <v>0.39</v>
      </c>
      <c r="I68" s="4" t="n">
        <v>5.9</v>
      </c>
      <c r="J68" s="4" t="n">
        <v>5.85</v>
      </c>
      <c r="K68" s="4" t="n">
        <v>0</v>
      </c>
      <c r="L68" s="4" t="n">
        <v>0</v>
      </c>
      <c r="M68" s="4" t="n">
        <v>0</v>
      </c>
      <c r="N68" s="21">
        <f>SUM(E68:M68)</f>
        <v/>
      </c>
    </row>
    <row r="69">
      <c r="A69" s="23" t="inlineStr">
        <is>
          <t>DHAN-321260902743009</t>
        </is>
      </c>
      <c r="B69" s="23" t="inlineStr">
        <is>
          <t>INDOCO</t>
        </is>
      </c>
      <c r="C69" s="23" t="inlineStr">
        <is>
          <t>LONG</t>
        </is>
      </c>
      <c r="D69" s="24" t="n">
        <v>46268</v>
      </c>
      <c r="E69" s="4" t="n">
        <v>40</v>
      </c>
      <c r="F69" s="4" t="n">
        <v>200.32</v>
      </c>
      <c r="G69" s="4" t="n">
        <v>12.32</v>
      </c>
      <c r="H69" s="4" t="n">
        <v>0.4</v>
      </c>
      <c r="I69" s="4" t="n">
        <v>30.3</v>
      </c>
      <c r="J69" s="4" t="n">
        <v>9.49</v>
      </c>
      <c r="K69" s="4" t="n">
        <v>14.75</v>
      </c>
      <c r="L69" s="4" t="n">
        <v>35.4</v>
      </c>
      <c r="M69" s="4" t="n">
        <v>41.11</v>
      </c>
      <c r="N69" s="21">
        <f>SUM(E69:M69)</f>
        <v/>
      </c>
    </row>
    <row r="70">
      <c r="A70" s="23" t="inlineStr">
        <is>
          <t>DHAN-22126090392509</t>
        </is>
      </c>
      <c r="B70" s="23" t="inlineStr">
        <is>
          <t>INDOCO</t>
        </is>
      </c>
      <c r="C70" s="23" t="inlineStr">
        <is>
          <t>SHORT</t>
        </is>
      </c>
      <c r="D70" s="24" t="n">
        <v>46268</v>
      </c>
      <c r="E70" s="4" t="n">
        <v>20</v>
      </c>
      <c r="F70" s="4" t="n">
        <v>251.89</v>
      </c>
      <c r="G70" s="4" t="n">
        <v>12.39</v>
      </c>
      <c r="H70" s="4" t="n">
        <v>0.4</v>
      </c>
      <c r="I70" s="4" t="n">
        <v>6.1</v>
      </c>
      <c r="J70" s="4" t="n">
        <v>5.9</v>
      </c>
      <c r="K70" s="4" t="n">
        <v>0</v>
      </c>
      <c r="L70" s="4" t="n">
        <v>0</v>
      </c>
      <c r="M70" s="4" t="n">
        <v>0</v>
      </c>
      <c r="N70" s="21">
        <f>SUM(E70:M70)</f>
        <v/>
      </c>
    </row>
    <row r="71">
      <c r="A71" s="23" t="inlineStr">
        <is>
          <t>DHAN-221260902724009</t>
        </is>
      </c>
      <c r="B71" s="23" t="inlineStr">
        <is>
          <t>TBZ</t>
        </is>
      </c>
      <c r="C71" s="23" t="inlineStr">
        <is>
          <t>LONG</t>
        </is>
      </c>
      <c r="D71" s="24" t="n">
        <v>46268</v>
      </c>
      <c r="E71" s="4" t="n">
        <v>20</v>
      </c>
      <c r="F71" s="4" t="n">
        <v>100.76</v>
      </c>
      <c r="G71" s="4" t="n">
        <v>6.24</v>
      </c>
      <c r="H71" s="4" t="n">
        <v>0.2</v>
      </c>
      <c r="I71" s="4" t="n">
        <v>15.11</v>
      </c>
      <c r="J71" s="4" t="n">
        <v>4.76</v>
      </c>
      <c r="K71" s="4" t="n">
        <v>14.75</v>
      </c>
      <c r="L71" s="4" t="n">
        <v>0</v>
      </c>
      <c r="M71" s="4" t="n">
        <v>0</v>
      </c>
      <c r="N71" s="21">
        <f>SUM(E71:M71)</f>
        <v/>
      </c>
    </row>
    <row r="72">
      <c r="A72" s="23" t="inlineStr">
        <is>
          <t>DHAN-32126090398709</t>
        </is>
      </c>
      <c r="B72" s="23" t="inlineStr">
        <is>
          <t>TBZ</t>
        </is>
      </c>
      <c r="C72" s="23" t="inlineStr">
        <is>
          <t>SHORT</t>
        </is>
      </c>
      <c r="D72" s="24" t="n">
        <v>46268</v>
      </c>
      <c r="E72" s="4" t="n">
        <v>20</v>
      </c>
      <c r="F72" s="4" t="n">
        <v>128.06</v>
      </c>
      <c r="G72" s="4" t="n">
        <v>6.29</v>
      </c>
      <c r="H72" s="4" t="n">
        <v>0.2</v>
      </c>
      <c r="I72" s="4" t="n">
        <v>3.08</v>
      </c>
      <c r="J72" s="4" t="n">
        <v>4.77</v>
      </c>
      <c r="K72" s="4" t="n">
        <v>0</v>
      </c>
      <c r="L72" s="4" t="n">
        <v>0</v>
      </c>
      <c r="M72" s="4" t="n">
        <v>0</v>
      </c>
      <c r="N72" s="21">
        <f>SUM(E72:M72)</f>
        <v/>
      </c>
    </row>
    <row r="73">
      <c r="A73" s="23" t="inlineStr">
        <is>
          <t>DHAN-321260902743109</t>
        </is>
      </c>
      <c r="B73" s="23" t="inlineStr">
        <is>
          <t>WINDLAS</t>
        </is>
      </c>
      <c r="C73" s="23" t="inlineStr">
        <is>
          <t>LONG</t>
        </is>
      </c>
      <c r="D73" s="24" t="n">
        <v>46268</v>
      </c>
      <c r="E73" s="4" t="n">
        <v>40</v>
      </c>
      <c r="F73" s="4" t="n">
        <v>199.37</v>
      </c>
      <c r="G73" s="4" t="n">
        <v>12.45</v>
      </c>
      <c r="H73" s="4" t="n">
        <v>0.41</v>
      </c>
      <c r="I73" s="4" t="n">
        <v>29.91</v>
      </c>
      <c r="J73" s="4" t="n">
        <v>9.51</v>
      </c>
      <c r="K73" s="4" t="n">
        <v>14.75</v>
      </c>
      <c r="L73" s="4" t="n">
        <v>35.4</v>
      </c>
      <c r="M73" s="4" t="n">
        <v>40.91</v>
      </c>
      <c r="N73" s="21">
        <f>SUM(E73:M73)</f>
        <v/>
      </c>
    </row>
    <row r="74">
      <c r="A74" s="23" t="inlineStr">
        <is>
          <t>DHAN-321260903384009</t>
        </is>
      </c>
      <c r="B74" s="23" t="inlineStr">
        <is>
          <t>WINDLAS</t>
        </is>
      </c>
      <c r="C74" s="23" t="inlineStr">
        <is>
          <t>SHORT</t>
        </is>
      </c>
      <c r="D74" s="24" t="n">
        <v>46268</v>
      </c>
      <c r="E74" s="4" t="n">
        <v>20</v>
      </c>
      <c r="F74" s="4" t="n">
        <v>257.11</v>
      </c>
      <c r="G74" s="4" t="n">
        <v>12.59</v>
      </c>
      <c r="H74" s="4" t="n">
        <v>0.41</v>
      </c>
      <c r="I74" s="4" t="n">
        <v>6.12</v>
      </c>
      <c r="J74" s="4" t="n">
        <v>5.94</v>
      </c>
      <c r="K74" s="4" t="n">
        <v>0</v>
      </c>
      <c r="L74" s="4" t="n">
        <v>0</v>
      </c>
      <c r="M74" s="4" t="n">
        <v>0</v>
      </c>
      <c r="N74" s="21">
        <f>SUM(E74:M74)</f>
        <v/>
      </c>
    </row>
    <row r="75">
      <c r="A75" s="23" t="inlineStr">
        <is>
          <t>DHAN-321260902743209</t>
        </is>
      </c>
      <c r="B75" s="23" t="inlineStr">
        <is>
          <t>XPROINDIA</t>
        </is>
      </c>
      <c r="C75" s="23" t="inlineStr">
        <is>
          <t>LONG</t>
        </is>
      </c>
      <c r="D75" s="24" t="n">
        <v>46268</v>
      </c>
      <c r="E75" s="4" t="n">
        <v>40</v>
      </c>
      <c r="F75" s="4" t="n">
        <v>248.86</v>
      </c>
      <c r="G75" s="4" t="n">
        <v>12.25</v>
      </c>
      <c r="H75" s="4" t="n">
        <v>0.4</v>
      </c>
      <c r="I75" s="4" t="n">
        <v>29.83</v>
      </c>
      <c r="J75" s="4" t="n">
        <v>9.48</v>
      </c>
      <c r="K75" s="4" t="n">
        <v>14.75</v>
      </c>
      <c r="L75" s="4" t="n">
        <v>35.4</v>
      </c>
      <c r="M75" s="4" t="n">
        <v>40.81</v>
      </c>
      <c r="N75" s="21">
        <f>SUM(E75:M75)</f>
        <v/>
      </c>
    </row>
    <row r="76">
      <c r="A76" s="23" t="inlineStr">
        <is>
          <t>DHAN-34126090316409</t>
        </is>
      </c>
      <c r="B76" s="23" t="inlineStr">
        <is>
          <t>XPROINDIA</t>
        </is>
      </c>
      <c r="C76" s="23" t="inlineStr">
        <is>
          <t>SHORT</t>
        </is>
      </c>
      <c r="D76" s="24" t="n">
        <v>46268</v>
      </c>
      <c r="E76" s="4" t="n">
        <v>20</v>
      </c>
      <c r="F76" s="4" t="n">
        <v>199.89</v>
      </c>
      <c r="G76" s="4" t="n">
        <v>12.26</v>
      </c>
      <c r="H76" s="4" t="n">
        <v>0.4</v>
      </c>
      <c r="I76" s="4" t="n">
        <v>5.96</v>
      </c>
      <c r="J76" s="4" t="n">
        <v>5.88</v>
      </c>
      <c r="K76" s="4" t="n">
        <v>0</v>
      </c>
      <c r="L76" s="4" t="n">
        <v>0</v>
      </c>
      <c r="M76" s="4" t="n">
        <v>0</v>
      </c>
      <c r="N76" s="21">
        <f>SUM(E76:M76)</f>
        <v/>
      </c>
    </row>
    <row r="77">
      <c r="A77" s="23" t="inlineStr">
        <is>
          <t>DHAN-34126090364809</t>
        </is>
      </c>
      <c r="B77" s="23" t="inlineStr">
        <is>
          <t>ALEMBICLTD</t>
        </is>
      </c>
      <c r="C77" s="23" t="inlineStr">
        <is>
          <t>LONG</t>
        </is>
      </c>
      <c r="D77" s="24" t="n">
        <v>46269</v>
      </c>
      <c r="E77" s="4" t="n">
        <v>40</v>
      </c>
      <c r="F77" s="4" t="n">
        <v>220.74</v>
      </c>
      <c r="G77" s="4" t="n">
        <v>10.98</v>
      </c>
      <c r="H77" s="4" t="n">
        <v>0.36</v>
      </c>
      <c r="I77" s="4" t="n">
        <v>26.32</v>
      </c>
      <c r="J77" s="4" t="n">
        <v>9.24</v>
      </c>
      <c r="K77" s="4" t="n">
        <v>14.75</v>
      </c>
      <c r="L77" s="4" t="n">
        <v>35.4</v>
      </c>
      <c r="M77" s="4" t="n">
        <v>36.01</v>
      </c>
      <c r="N77" s="21">
        <f>SUM(E77:M77)</f>
        <v/>
      </c>
    </row>
    <row r="78">
      <c r="A78" s="23" t="inlineStr">
        <is>
          <t>DHAN-32126090489209</t>
        </is>
      </c>
      <c r="B78" s="23" t="inlineStr">
        <is>
          <t>ALEMBICLTD</t>
        </is>
      </c>
      <c r="C78" s="23" t="inlineStr">
        <is>
          <t>SHORT</t>
        </is>
      </c>
      <c r="D78" s="24" t="n">
        <v>46269</v>
      </c>
      <c r="E78" s="4" t="n">
        <v>20</v>
      </c>
      <c r="F78" s="4" t="n">
        <v>181.02</v>
      </c>
      <c r="G78" s="4" t="n">
        <v>11.08</v>
      </c>
      <c r="H78" s="4" t="n">
        <v>0.36</v>
      </c>
      <c r="I78" s="4" t="n">
        <v>5.36</v>
      </c>
      <c r="J78" s="4" t="n">
        <v>5.66</v>
      </c>
      <c r="K78" s="4" t="n">
        <v>0</v>
      </c>
      <c r="L78" s="4" t="n">
        <v>0</v>
      </c>
      <c r="M78" s="4" t="n">
        <v>0</v>
      </c>
      <c r="N78" s="21">
        <f>SUM(E78:M78)</f>
        <v/>
      </c>
    </row>
    <row r="79">
      <c r="A79" s="23" t="inlineStr">
        <is>
          <t>DHAN-321260903596709</t>
        </is>
      </c>
      <c r="B79" s="23" t="inlineStr">
        <is>
          <t>ANTELOPUS</t>
        </is>
      </c>
      <c r="C79" s="23" t="inlineStr">
        <is>
          <t>LONG</t>
        </is>
      </c>
      <c r="D79" s="24" t="n">
        <v>46269</v>
      </c>
      <c r="E79" s="4" t="n">
        <v>20</v>
      </c>
      <c r="F79" s="4" t="n">
        <v>108.51</v>
      </c>
      <c r="G79" s="4" t="n">
        <v>5.32</v>
      </c>
      <c r="H79" s="4" t="n">
        <v>0.17</v>
      </c>
      <c r="I79" s="4" t="n">
        <v>13.06</v>
      </c>
      <c r="J79" s="4" t="n">
        <v>4.59</v>
      </c>
      <c r="K79" s="4" t="n">
        <v>14.75</v>
      </c>
      <c r="L79" s="4" t="n">
        <v>0</v>
      </c>
      <c r="M79" s="4" t="n">
        <v>0</v>
      </c>
      <c r="N79" s="21">
        <f>SUM(E79:M79)</f>
        <v/>
      </c>
    </row>
    <row r="80">
      <c r="A80" s="23" t="inlineStr">
        <is>
          <t>DHAN-34126090463509</t>
        </is>
      </c>
      <c r="B80" s="23" t="inlineStr">
        <is>
          <t>ANTELOPUS</t>
        </is>
      </c>
      <c r="C80" s="23" t="inlineStr">
        <is>
          <t>SHORT</t>
        </is>
      </c>
      <c r="D80" s="24" t="n">
        <v>46269</v>
      </c>
      <c r="E80" s="4" t="n">
        <v>20</v>
      </c>
      <c r="F80" s="4" t="n">
        <v>85.86</v>
      </c>
      <c r="G80" s="4" t="n">
        <v>5.26</v>
      </c>
      <c r="H80" s="4" t="n">
        <v>0.17</v>
      </c>
      <c r="I80" s="4" t="n">
        <v>2.55</v>
      </c>
      <c r="J80" s="4" t="n">
        <v>4.58</v>
      </c>
      <c r="K80" s="4" t="n">
        <v>0</v>
      </c>
      <c r="L80" s="4" t="n">
        <v>0</v>
      </c>
      <c r="M80" s="4" t="n">
        <v>0</v>
      </c>
      <c r="N80" s="21">
        <f>SUM(E80:M80)</f>
        <v/>
      </c>
    </row>
    <row r="81">
      <c r="A81" s="23" t="inlineStr">
        <is>
          <t>DHAN-34126090364909</t>
        </is>
      </c>
      <c r="B81" s="23" t="inlineStr">
        <is>
          <t>BFUTILITIE</t>
        </is>
      </c>
      <c r="C81" s="23" t="inlineStr">
        <is>
          <t>LONG</t>
        </is>
      </c>
      <c r="D81" s="24" t="n">
        <v>46269</v>
      </c>
      <c r="E81" s="4" t="n">
        <v>40</v>
      </c>
      <c r="F81" s="4" t="n">
        <v>174.67</v>
      </c>
      <c r="G81" s="4" t="n">
        <v>10.87</v>
      </c>
      <c r="H81" s="4" t="n">
        <v>0.35</v>
      </c>
      <c r="I81" s="4" t="n">
        <v>26.2</v>
      </c>
      <c r="J81" s="4" t="n">
        <v>9.220000000000001</v>
      </c>
      <c r="K81" s="4" t="n">
        <v>14.75</v>
      </c>
      <c r="L81" s="4" t="n">
        <v>35.4</v>
      </c>
      <c r="M81" s="4" t="n">
        <v>29.87</v>
      </c>
      <c r="N81" s="21">
        <f>SUM(E81:M81)</f>
        <v/>
      </c>
    </row>
    <row r="82">
      <c r="A82" s="23" t="inlineStr">
        <is>
          <t>DHAN-34126090416009</t>
        </is>
      </c>
      <c r="B82" s="23" t="inlineStr">
        <is>
          <t>BFUTILITIE</t>
        </is>
      </c>
      <c r="C82" s="23" t="inlineStr">
        <is>
          <t>SHORT</t>
        </is>
      </c>
      <c r="D82" s="24" t="n">
        <v>46269</v>
      </c>
      <c r="E82" s="4" t="n">
        <v>20</v>
      </c>
      <c r="F82" s="4" t="n">
        <v>222.39</v>
      </c>
      <c r="G82" s="4" t="n">
        <v>10.88</v>
      </c>
      <c r="H82" s="4" t="n">
        <v>0.35</v>
      </c>
      <c r="I82" s="4" t="n">
        <v>5.26</v>
      </c>
      <c r="J82" s="4" t="n">
        <v>5.62</v>
      </c>
      <c r="K82" s="4" t="n">
        <v>0</v>
      </c>
      <c r="L82" s="4" t="n">
        <v>0</v>
      </c>
      <c r="M82" s="4" t="n">
        <v>0</v>
      </c>
      <c r="N82" s="21">
        <f>SUM(E82:M82)</f>
        <v/>
      </c>
    </row>
    <row r="83">
      <c r="A83" s="23" t="inlineStr">
        <is>
          <t>DHAN-221260903780209</t>
        </is>
      </c>
      <c r="B83" s="23" t="inlineStr">
        <is>
          <t>GOCLCORP</t>
        </is>
      </c>
      <c r="C83" s="23" t="inlineStr">
        <is>
          <t>LONG</t>
        </is>
      </c>
      <c r="D83" s="24" t="n">
        <v>46269</v>
      </c>
      <c r="E83" s="4" t="n">
        <v>40</v>
      </c>
      <c r="F83" s="4" t="n">
        <v>174.54</v>
      </c>
      <c r="G83" s="4" t="n">
        <v>10.75</v>
      </c>
      <c r="H83" s="4" t="n">
        <v>0.35</v>
      </c>
      <c r="I83" s="4" t="n">
        <v>26.18</v>
      </c>
      <c r="J83" s="4" t="n">
        <v>9.199999999999999</v>
      </c>
      <c r="K83" s="4" t="n">
        <v>14.75</v>
      </c>
      <c r="L83" s="4" t="n">
        <v>35.4</v>
      </c>
      <c r="M83" s="4" t="n">
        <v>35.81</v>
      </c>
      <c r="N83" s="21">
        <f>SUM(E83:M83)</f>
        <v/>
      </c>
    </row>
    <row r="84">
      <c r="A84" s="23" t="inlineStr">
        <is>
          <t>DHAN-22126090492309</t>
        </is>
      </c>
      <c r="B84" s="23" t="inlineStr">
        <is>
          <t>GOCLCORP</t>
        </is>
      </c>
      <c r="C84" s="23" t="inlineStr">
        <is>
          <t>SHORT</t>
        </is>
      </c>
      <c r="D84" s="24" t="n">
        <v>46269</v>
      </c>
      <c r="E84" s="4" t="n">
        <v>20</v>
      </c>
      <c r="F84" s="4" t="n">
        <v>220.35</v>
      </c>
      <c r="G84" s="4" t="n">
        <v>10.85</v>
      </c>
      <c r="H84" s="4" t="n">
        <v>0.35</v>
      </c>
      <c r="I84" s="4" t="n">
        <v>5.33</v>
      </c>
      <c r="J84" s="4" t="n">
        <v>5.62</v>
      </c>
      <c r="K84" s="4" t="n">
        <v>0</v>
      </c>
      <c r="L84" s="4" t="n">
        <v>0</v>
      </c>
      <c r="M84" s="4" t="n">
        <v>0</v>
      </c>
      <c r="N84" s="21">
        <f>SUM(E84:M84)</f>
        <v/>
      </c>
    </row>
    <row r="85">
      <c r="A85" s="23" t="inlineStr">
        <is>
          <t>DHAN-23126090365609</t>
        </is>
      </c>
      <c r="B85" s="23" t="inlineStr">
        <is>
          <t>HINDOILEXP</t>
        </is>
      </c>
      <c r="C85" s="23" t="inlineStr">
        <is>
          <t>LONG</t>
        </is>
      </c>
      <c r="D85" s="24" t="n">
        <v>46269</v>
      </c>
      <c r="E85" s="4" t="n">
        <v>40</v>
      </c>
      <c r="F85" s="4" t="n">
        <v>218.23</v>
      </c>
      <c r="G85" s="4" t="n">
        <v>10.68</v>
      </c>
      <c r="H85" s="4" t="n">
        <v>0.35</v>
      </c>
      <c r="I85" s="4" t="n">
        <v>26.25</v>
      </c>
      <c r="J85" s="4" t="n">
        <v>9.19</v>
      </c>
      <c r="K85" s="4" t="n">
        <v>14.75</v>
      </c>
      <c r="L85" s="4" t="n">
        <v>35.4</v>
      </c>
      <c r="M85" s="4" t="n">
        <v>38.66</v>
      </c>
      <c r="N85" s="21">
        <f>SUM(E85:M85)</f>
        <v/>
      </c>
    </row>
    <row r="86">
      <c r="A86" s="23" t="inlineStr">
        <is>
          <t>DHAN-34126090463609</t>
        </is>
      </c>
      <c r="B86" s="23" t="inlineStr">
        <is>
          <t>HINDOILEXP</t>
        </is>
      </c>
      <c r="C86" s="23" t="inlineStr">
        <is>
          <t>SHORT</t>
        </is>
      </c>
      <c r="D86" s="24" t="n">
        <v>46269</v>
      </c>
      <c r="E86" s="4" t="n">
        <v>20</v>
      </c>
      <c r="F86" s="4" t="n">
        <v>173.01</v>
      </c>
      <c r="G86" s="4" t="n">
        <v>10.62</v>
      </c>
      <c r="H86" s="4" t="n">
        <v>0.35</v>
      </c>
      <c r="I86" s="4" t="n">
        <v>5.19</v>
      </c>
      <c r="J86" s="4" t="n">
        <v>5.57</v>
      </c>
      <c r="K86" s="4" t="n">
        <v>0</v>
      </c>
      <c r="L86" s="4" t="n">
        <v>0</v>
      </c>
      <c r="M86" s="4" t="n">
        <v>0</v>
      </c>
      <c r="N86" s="21">
        <f>SUM(E86:M86)</f>
        <v/>
      </c>
    </row>
    <row r="87">
      <c r="A87" s="23" t="inlineStr">
        <is>
          <t>DHAN-23126090365509</t>
        </is>
      </c>
      <c r="B87" s="23" t="inlineStr">
        <is>
          <t>KIRIINDUS</t>
        </is>
      </c>
      <c r="C87" s="23" t="inlineStr">
        <is>
          <t>LONG</t>
        </is>
      </c>
      <c r="D87" s="24" t="n">
        <v>46269</v>
      </c>
      <c r="E87" s="4" t="n">
        <v>40</v>
      </c>
      <c r="F87" s="4" t="n">
        <v>174.96</v>
      </c>
      <c r="G87" s="4" t="n">
        <v>10.85</v>
      </c>
      <c r="H87" s="4" t="n">
        <v>0.35</v>
      </c>
      <c r="I87" s="4" t="n">
        <v>26.39</v>
      </c>
      <c r="J87" s="4" t="n">
        <v>9.220000000000001</v>
      </c>
      <c r="K87" s="4" t="n">
        <v>14.75</v>
      </c>
      <c r="L87" s="4" t="n">
        <v>35.4</v>
      </c>
      <c r="M87" s="4" t="n">
        <v>37.62</v>
      </c>
      <c r="N87" s="21">
        <f>SUM(E87:M87)</f>
        <v/>
      </c>
    </row>
    <row r="88">
      <c r="A88" s="23" t="inlineStr">
        <is>
          <t>DHAN-23126090415409</t>
        </is>
      </c>
      <c r="B88" s="23" t="inlineStr">
        <is>
          <t>KIRIINDUS</t>
        </is>
      </c>
      <c r="C88" s="23" t="inlineStr">
        <is>
          <t>SHORT</t>
        </is>
      </c>
      <c r="D88" s="24" t="n">
        <v>46269</v>
      </c>
      <c r="E88" s="4" t="n">
        <v>20</v>
      </c>
      <c r="F88" s="4" t="n">
        <v>219.58</v>
      </c>
      <c r="G88" s="4" t="n">
        <v>10.7</v>
      </c>
      <c r="H88" s="4" t="n">
        <v>0.35</v>
      </c>
      <c r="I88" s="4" t="n">
        <v>5.09</v>
      </c>
      <c r="J88" s="4" t="n">
        <v>5.59</v>
      </c>
      <c r="K88" s="4" t="n">
        <v>0</v>
      </c>
      <c r="L88" s="4" t="n">
        <v>0</v>
      </c>
      <c r="M88" s="4" t="n">
        <v>0</v>
      </c>
      <c r="N88" s="21">
        <f>SUM(E88:M88)</f>
        <v/>
      </c>
    </row>
    <row r="89">
      <c r="A89" s="23" t="inlineStr">
        <is>
          <t>DHAN-34126090365009</t>
        </is>
      </c>
      <c r="B89" s="23" t="inlineStr">
        <is>
          <t>RAYMOND</t>
        </is>
      </c>
      <c r="C89" s="23" t="inlineStr">
        <is>
          <t>LONG</t>
        </is>
      </c>
      <c r="D89" s="24" t="n">
        <v>46269</v>
      </c>
      <c r="E89" s="4" t="n">
        <v>40</v>
      </c>
      <c r="F89" s="4" t="n">
        <v>176.25</v>
      </c>
      <c r="G89" s="4" t="n">
        <v>10.74</v>
      </c>
      <c r="H89" s="4" t="n">
        <v>0.35</v>
      </c>
      <c r="I89" s="4" t="n">
        <v>26.44</v>
      </c>
      <c r="J89" s="4" t="n">
        <v>9.199999999999999</v>
      </c>
      <c r="K89" s="4" t="n">
        <v>14.75</v>
      </c>
      <c r="L89" s="4" t="n">
        <v>35.4</v>
      </c>
      <c r="M89" s="4" t="n">
        <v>0</v>
      </c>
      <c r="N89" s="21">
        <f>SUM(E89:M89)</f>
        <v/>
      </c>
    </row>
    <row r="90">
      <c r="A90" s="23" t="inlineStr">
        <is>
          <t>DHAN-321260904383309</t>
        </is>
      </c>
      <c r="B90" s="23" t="inlineStr">
        <is>
          <t>RAYMOND</t>
        </is>
      </c>
      <c r="C90" s="23" t="inlineStr">
        <is>
          <t>SHORT</t>
        </is>
      </c>
      <c r="D90" s="24" t="n">
        <v>46269</v>
      </c>
      <c r="E90" s="4" t="n">
        <v>20</v>
      </c>
      <c r="F90" s="4" t="n">
        <v>216.05</v>
      </c>
      <c r="G90" s="4" t="n">
        <v>10.59</v>
      </c>
      <c r="H90" s="4" t="n">
        <v>0.34</v>
      </c>
      <c r="I90" s="4" t="n">
        <v>5.13</v>
      </c>
      <c r="J90" s="4" t="n">
        <v>5.57</v>
      </c>
      <c r="K90" s="4" t="n">
        <v>0</v>
      </c>
      <c r="L90" s="4" t="n">
        <v>0</v>
      </c>
      <c r="M90" s="4" t="n">
        <v>0</v>
      </c>
      <c r="N90" s="21">
        <f>SUM(E90:M90)</f>
        <v/>
      </c>
    </row>
    <row r="91">
      <c r="A91" s="23" t="inlineStr">
        <is>
          <t>DHAN-34126090488609</t>
        </is>
      </c>
      <c r="B91" s="23" t="inlineStr">
        <is>
          <t>MAITHANALL</t>
        </is>
      </c>
      <c r="C91" s="23" t="inlineStr">
        <is>
          <t>LONG</t>
        </is>
      </c>
      <c r="D91" s="24" t="n">
        <v>46272</v>
      </c>
      <c r="E91" s="4" t="n">
        <v>40</v>
      </c>
      <c r="F91" s="4" t="n">
        <v>442.41</v>
      </c>
      <c r="G91" s="4" t="n">
        <v>22.38</v>
      </c>
      <c r="H91" s="4" t="n">
        <v>0.73</v>
      </c>
      <c r="I91" s="4" t="n">
        <v>52.1</v>
      </c>
      <c r="J91" s="4" t="n">
        <v>11.36</v>
      </c>
      <c r="K91" s="4" t="n">
        <v>14.75</v>
      </c>
      <c r="L91" s="4" t="n">
        <v>35.4</v>
      </c>
      <c r="M91" s="4" t="n">
        <v>214.69</v>
      </c>
      <c r="N91" s="21">
        <f>SUM(E91:M91)</f>
        <v/>
      </c>
    </row>
    <row r="92">
      <c r="A92" s="23" t="inlineStr">
        <is>
          <t>DHAN-23126090714709</t>
        </is>
      </c>
      <c r="B92" s="23" t="inlineStr">
        <is>
          <t>MAITHANALL</t>
        </is>
      </c>
      <c r="C92" s="23" t="inlineStr">
        <is>
          <t>SHORT</t>
        </is>
      </c>
      <c r="D92" s="24" t="n">
        <v>46272</v>
      </c>
      <c r="E92" s="4" t="n">
        <v>20</v>
      </c>
      <c r="F92" s="4" t="n">
        <v>374.81</v>
      </c>
      <c r="G92" s="4" t="n">
        <v>22.79</v>
      </c>
      <c r="H92" s="4" t="n">
        <v>0.75</v>
      </c>
      <c r="I92" s="4" t="n">
        <v>10.88</v>
      </c>
      <c r="J92" s="4" t="n">
        <v>7.84</v>
      </c>
      <c r="K92" s="4" t="n">
        <v>0</v>
      </c>
      <c r="L92" s="4" t="n">
        <v>0</v>
      </c>
      <c r="M92" s="4" t="n">
        <v>0</v>
      </c>
      <c r="N92" s="21">
        <f>SUM(E92:M92)</f>
        <v/>
      </c>
    </row>
    <row r="93">
      <c r="A93" s="23" t="inlineStr">
        <is>
          <t>DHAN-221260904639609</t>
        </is>
      </c>
      <c r="B93" s="23" t="inlineStr">
        <is>
          <t>RML</t>
        </is>
      </c>
      <c r="C93" s="23" t="inlineStr">
        <is>
          <t>LONG</t>
        </is>
      </c>
      <c r="D93" s="24" t="n">
        <v>46272</v>
      </c>
      <c r="E93" s="4" t="n">
        <v>40</v>
      </c>
      <c r="F93" s="4" t="n">
        <v>348.84</v>
      </c>
      <c r="G93" s="4" t="n">
        <v>21.79</v>
      </c>
      <c r="H93" s="4" t="n">
        <v>0.71</v>
      </c>
      <c r="I93" s="4" t="n">
        <v>52.33</v>
      </c>
      <c r="J93" s="4" t="n">
        <v>11.25</v>
      </c>
      <c r="K93" s="4" t="n">
        <v>14.75</v>
      </c>
      <c r="L93" s="4" t="n">
        <v>35.4</v>
      </c>
      <c r="M93" s="4" t="n">
        <v>214.74</v>
      </c>
      <c r="N93" s="21">
        <f>SUM(E93:M93)</f>
        <v/>
      </c>
    </row>
    <row r="94">
      <c r="A94" s="23" t="inlineStr">
        <is>
          <t>DHAN-321260907112709</t>
        </is>
      </c>
      <c r="B94" s="23" t="inlineStr">
        <is>
          <t>RML</t>
        </is>
      </c>
      <c r="C94" s="23" t="inlineStr">
        <is>
          <t>SHORT</t>
        </is>
      </c>
      <c r="D94" s="24" t="n">
        <v>46272</v>
      </c>
      <c r="E94" s="4" t="n">
        <v>40</v>
      </c>
      <c r="F94" s="4" t="n">
        <v>288.06</v>
      </c>
      <c r="G94" s="4" t="n">
        <v>22.45</v>
      </c>
      <c r="H94" s="4" t="n">
        <v>0.73</v>
      </c>
      <c r="I94" s="4" t="n">
        <v>18.04</v>
      </c>
      <c r="J94" s="4" t="n">
        <v>11.37</v>
      </c>
      <c r="K94" s="4" t="n">
        <v>0</v>
      </c>
      <c r="L94" s="4" t="n">
        <v>0</v>
      </c>
      <c r="M94" s="4" t="n">
        <v>0</v>
      </c>
      <c r="N94" s="21">
        <f>SUM(E94:M94)</f>
        <v/>
      </c>
    </row>
    <row r="95">
      <c r="A95" s="23" t="inlineStr">
        <is>
          <t>DHAN-23126090486609</t>
        </is>
      </c>
      <c r="B95" s="23" t="inlineStr">
        <is>
          <t>SINDHUTRAD</t>
        </is>
      </c>
      <c r="C95" s="23" t="inlineStr">
        <is>
          <t>LONG</t>
        </is>
      </c>
      <c r="D95" s="24" t="n">
        <v>46272</v>
      </c>
      <c r="E95" s="4" t="n">
        <v>60</v>
      </c>
      <c r="F95" s="4" t="n">
        <v>351.1</v>
      </c>
      <c r="G95" s="4" t="n">
        <v>21.31</v>
      </c>
      <c r="H95" s="4" t="n">
        <v>0.6899999999999999</v>
      </c>
      <c r="I95" s="4" t="n">
        <v>52.66</v>
      </c>
      <c r="J95" s="4" t="n">
        <v>14.76</v>
      </c>
      <c r="K95" s="4" t="n">
        <v>14.75</v>
      </c>
      <c r="L95" s="4" t="n">
        <v>35.4</v>
      </c>
      <c r="M95" s="4" t="n">
        <v>216.11</v>
      </c>
      <c r="N95" s="21">
        <f>SUM(E95:M95)</f>
        <v/>
      </c>
    </row>
    <row r="96">
      <c r="A96" s="23" t="inlineStr">
        <is>
          <t>DHAN-34126090734409</t>
        </is>
      </c>
      <c r="B96" s="23" t="inlineStr">
        <is>
          <t>SINDHUTRAD</t>
        </is>
      </c>
      <c r="C96" s="23" t="inlineStr">
        <is>
          <t>SHORT</t>
        </is>
      </c>
      <c r="D96" s="24" t="n">
        <v>46272</v>
      </c>
      <c r="E96" s="4" t="n">
        <v>40</v>
      </c>
      <c r="F96" s="4" t="n">
        <v>432.61</v>
      </c>
      <c r="G96" s="4" t="n">
        <v>21.34</v>
      </c>
      <c r="H96" s="4" t="n">
        <v>0.7</v>
      </c>
      <c r="I96" s="4" t="n">
        <v>10.56</v>
      </c>
      <c r="J96" s="4" t="n">
        <v>11.17</v>
      </c>
      <c r="K96" s="4" t="n">
        <v>0</v>
      </c>
      <c r="L96" s="4" t="n">
        <v>0</v>
      </c>
      <c r="M96" s="4" t="n">
        <v>0</v>
      </c>
      <c r="N96" s="21">
        <f>SUM(E96:M96)</f>
        <v/>
      </c>
    </row>
    <row r="97">
      <c r="A97" s="23" t="inlineStr">
        <is>
          <t>DHAN-221260907740209</t>
        </is>
      </c>
      <c r="B97" s="23" t="inlineStr">
        <is>
          <t>CHEMPLASTS</t>
        </is>
      </c>
      <c r="C97" s="23" t="inlineStr">
        <is>
          <t>LONG</t>
        </is>
      </c>
      <c r="D97" s="24" t="n">
        <v>46273</v>
      </c>
      <c r="E97" s="4" t="n">
        <v>40</v>
      </c>
      <c r="F97" s="4" t="n">
        <v>233.01</v>
      </c>
      <c r="G97" s="4" t="n">
        <v>14.32</v>
      </c>
      <c r="H97" s="4" t="n">
        <v>0.47</v>
      </c>
      <c r="I97" s="4" t="n">
        <v>34.95</v>
      </c>
      <c r="J97" s="4" t="n">
        <v>9.859999999999999</v>
      </c>
      <c r="K97" s="4" t="n">
        <v>14.75</v>
      </c>
      <c r="L97" s="4" t="n">
        <v>35.4</v>
      </c>
      <c r="M97" s="4" t="n">
        <v>49.73</v>
      </c>
      <c r="N97" s="21">
        <f>SUM(E97:M97)</f>
        <v/>
      </c>
    </row>
    <row r="98">
      <c r="A98" s="23" t="inlineStr">
        <is>
          <t>DHAN-23126090817409</t>
        </is>
      </c>
      <c r="B98" s="23" t="inlineStr">
        <is>
          <t>CHEMPLASTS</t>
        </is>
      </c>
      <c r="C98" s="23" t="inlineStr">
        <is>
          <t>SHORT</t>
        </is>
      </c>
      <c r="D98" s="24" t="n">
        <v>46273</v>
      </c>
      <c r="E98" s="4" t="n">
        <v>20</v>
      </c>
      <c r="F98" s="4" t="n">
        <v>289.45</v>
      </c>
      <c r="G98" s="4" t="n">
        <v>14.16</v>
      </c>
      <c r="H98" s="4" t="n">
        <v>0.46</v>
      </c>
      <c r="I98" s="4" t="n">
        <v>6.84</v>
      </c>
      <c r="J98" s="4" t="n">
        <v>6.23</v>
      </c>
      <c r="K98" s="4" t="n">
        <v>0</v>
      </c>
      <c r="L98" s="4" t="n">
        <v>0</v>
      </c>
      <c r="M98" s="4" t="n">
        <v>0</v>
      </c>
      <c r="N98" s="21">
        <f>SUM(E98:M98)</f>
        <v/>
      </c>
    </row>
    <row r="99">
      <c r="A99" s="23" t="inlineStr">
        <is>
          <t>DHAN-23126090769809</t>
        </is>
      </c>
      <c r="B99" s="23" t="inlineStr">
        <is>
          <t>GNRL</t>
        </is>
      </c>
      <c r="C99" s="23" t="inlineStr">
        <is>
          <t>LONG</t>
        </is>
      </c>
      <c r="D99" s="24" t="n">
        <v>46273</v>
      </c>
      <c r="E99" s="4" t="n">
        <v>20</v>
      </c>
      <c r="F99" s="4" t="n">
        <v>117.07</v>
      </c>
      <c r="G99" s="4" t="n">
        <v>6.96</v>
      </c>
      <c r="H99" s="4" t="n">
        <v>0.23</v>
      </c>
      <c r="I99" s="4" t="n">
        <v>17.56</v>
      </c>
      <c r="J99" s="4" t="n">
        <v>4.89</v>
      </c>
      <c r="K99" s="4" t="n">
        <v>14.75</v>
      </c>
      <c r="L99" s="4" t="n">
        <v>0</v>
      </c>
      <c r="M99" s="4" t="n">
        <v>0</v>
      </c>
      <c r="N99" s="21">
        <f>SUM(E99:M99)</f>
        <v/>
      </c>
    </row>
    <row r="100">
      <c r="A100" s="23" t="inlineStr">
        <is>
          <t>DHAN-221260908413109</t>
        </is>
      </c>
      <c r="B100" s="23" t="inlineStr">
        <is>
          <t>GNRL</t>
        </is>
      </c>
      <c r="C100" s="23" t="inlineStr">
        <is>
          <t>SHORT</t>
        </is>
      </c>
      <c r="D100" s="24" t="n">
        <v>46273</v>
      </c>
      <c r="E100" s="4" t="n">
        <v>20</v>
      </c>
      <c r="F100" s="4" t="n">
        <v>136.93</v>
      </c>
      <c r="G100" s="4" t="n">
        <v>6.72</v>
      </c>
      <c r="H100" s="4" t="n">
        <v>0.22</v>
      </c>
      <c r="I100" s="4" t="n">
        <v>3.29</v>
      </c>
      <c r="J100" s="4" t="n">
        <v>4.85</v>
      </c>
      <c r="K100" s="4" t="n">
        <v>0</v>
      </c>
      <c r="L100" s="4" t="n">
        <v>0</v>
      </c>
      <c r="M100" s="4" t="n">
        <v>0</v>
      </c>
      <c r="N100" s="21">
        <f>SUM(E100:M100)</f>
        <v/>
      </c>
    </row>
    <row r="101">
      <c r="A101" s="23" t="inlineStr">
        <is>
          <t>DHAN-23126090769609</t>
        </is>
      </c>
      <c r="B101" s="23" t="inlineStr">
        <is>
          <t>HIKAL</t>
        </is>
      </c>
      <c r="C101" s="23" t="inlineStr">
        <is>
          <t>LONG</t>
        </is>
      </c>
      <c r="D101" s="24" t="n">
        <v>46273</v>
      </c>
      <c r="E101" s="4" t="n">
        <v>40</v>
      </c>
      <c r="F101" s="4" t="n">
        <v>232.98</v>
      </c>
      <c r="G101" s="4" t="n">
        <v>14.5</v>
      </c>
      <c r="H101" s="4" t="n">
        <v>0.47</v>
      </c>
      <c r="I101" s="4" t="n">
        <v>34.95</v>
      </c>
      <c r="J101" s="4" t="n">
        <v>9.9</v>
      </c>
      <c r="K101" s="4" t="n">
        <v>14.75</v>
      </c>
      <c r="L101" s="4" t="n">
        <v>35.4</v>
      </c>
      <c r="M101" s="4" t="n">
        <v>47.81</v>
      </c>
      <c r="N101" s="21">
        <f>SUM(E101:M101)</f>
        <v/>
      </c>
    </row>
    <row r="102">
      <c r="A102" s="23" t="inlineStr">
        <is>
          <t>DHAN-23126090817509</t>
        </is>
      </c>
      <c r="B102" s="23" t="inlineStr">
        <is>
          <t>HIKAL</t>
        </is>
      </c>
      <c r="C102" s="23" t="inlineStr">
        <is>
          <t>SHORT</t>
        </is>
      </c>
      <c r="D102" s="24" t="n">
        <v>46273</v>
      </c>
      <c r="E102" s="4" t="n">
        <v>20</v>
      </c>
      <c r="F102" s="4" t="n">
        <v>295.4</v>
      </c>
      <c r="G102" s="4" t="n">
        <v>14.4</v>
      </c>
      <c r="H102" s="4" t="n">
        <v>0.47</v>
      </c>
      <c r="I102" s="4" t="n">
        <v>6.86</v>
      </c>
      <c r="J102" s="4" t="n">
        <v>6.28</v>
      </c>
      <c r="K102" s="4" t="n">
        <v>0</v>
      </c>
      <c r="L102" s="4" t="n">
        <v>0</v>
      </c>
      <c r="M102" s="4" t="n">
        <v>0</v>
      </c>
      <c r="N102" s="21">
        <f>SUM(E102:M102)</f>
        <v/>
      </c>
    </row>
    <row r="103">
      <c r="A103" s="23" t="inlineStr">
        <is>
          <t>DHAN-23126090769709</t>
        </is>
      </c>
      <c r="B103" s="23" t="inlineStr">
        <is>
          <t>PITTIENG</t>
        </is>
      </c>
      <c r="C103" s="23" t="inlineStr">
        <is>
          <t>LONG</t>
        </is>
      </c>
      <c r="D103" s="24" t="n">
        <v>46273</v>
      </c>
      <c r="E103" s="4" t="n">
        <v>40</v>
      </c>
      <c r="F103" s="4" t="n">
        <v>290.18</v>
      </c>
      <c r="G103" s="4" t="n">
        <v>14.17</v>
      </c>
      <c r="H103" s="4" t="n">
        <v>0.46</v>
      </c>
      <c r="I103" s="4" t="n">
        <v>35.07</v>
      </c>
      <c r="J103" s="4" t="n">
        <v>9.83</v>
      </c>
      <c r="K103" s="4" t="n">
        <v>14.75</v>
      </c>
      <c r="L103" s="4" t="n">
        <v>35.4</v>
      </c>
      <c r="M103" s="4" t="n">
        <v>47.74</v>
      </c>
      <c r="N103" s="21">
        <f>SUM(E103:M103)</f>
        <v/>
      </c>
    </row>
    <row r="104">
      <c r="A104" s="23" t="inlineStr">
        <is>
          <t>DHAN-34126090837009</t>
        </is>
      </c>
      <c r="B104" s="23" t="inlineStr">
        <is>
          <t>PITTIENG</t>
        </is>
      </c>
      <c r="C104" s="23" t="inlineStr">
        <is>
          <t>SHORT</t>
        </is>
      </c>
      <c r="D104" s="24" t="n">
        <v>46273</v>
      </c>
      <c r="E104" s="4" t="n">
        <v>20</v>
      </c>
      <c r="F104" s="4" t="n">
        <v>230.2</v>
      </c>
      <c r="G104" s="4" t="n">
        <v>14.18</v>
      </c>
      <c r="H104" s="4" t="n">
        <v>0.46</v>
      </c>
      <c r="I104" s="4" t="n">
        <v>6.99</v>
      </c>
      <c r="J104" s="4" t="n">
        <v>6.23</v>
      </c>
      <c r="K104" s="4" t="n">
        <v>0</v>
      </c>
      <c r="L104" s="4" t="n">
        <v>0</v>
      </c>
      <c r="M104" s="4" t="n">
        <v>0</v>
      </c>
      <c r="N104" s="21">
        <f>SUM(E104:M104)</f>
        <v/>
      </c>
    </row>
    <row r="105">
      <c r="A105" s="23" t="inlineStr">
        <is>
          <t>DHAN-211260907540809</t>
        </is>
      </c>
      <c r="B105" s="23" t="inlineStr">
        <is>
          <t>RML</t>
        </is>
      </c>
      <c r="C105" s="23" t="inlineStr">
        <is>
          <t>LONG</t>
        </is>
      </c>
      <c r="D105" s="24" t="n">
        <v>46273</v>
      </c>
      <c r="E105" s="4" t="n">
        <v>40</v>
      </c>
      <c r="F105" s="4" t="n">
        <v>232.17</v>
      </c>
      <c r="G105" s="4" t="n">
        <v>14.29</v>
      </c>
      <c r="H105" s="4" t="n">
        <v>0.47</v>
      </c>
      <c r="I105" s="4" t="n">
        <v>0</v>
      </c>
      <c r="J105" s="4" t="n">
        <v>9.859999999999999</v>
      </c>
      <c r="K105" s="4" t="n">
        <v>14.75</v>
      </c>
      <c r="L105" s="4" t="n">
        <v>0</v>
      </c>
      <c r="M105" s="4" t="n">
        <v>0</v>
      </c>
      <c r="N105" s="21">
        <f>SUM(E105:M105)</f>
        <v/>
      </c>
    </row>
    <row r="106">
      <c r="A106" s="23" t="inlineStr">
        <is>
          <t>DHAN-321260907804109</t>
        </is>
      </c>
      <c r="B106" s="23" t="inlineStr">
        <is>
          <t>TALBROAUTO</t>
        </is>
      </c>
      <c r="C106" s="23" t="inlineStr">
        <is>
          <t>LONG</t>
        </is>
      </c>
      <c r="D106" s="24" t="n">
        <v>46273</v>
      </c>
      <c r="E106" s="4" t="n">
        <v>40</v>
      </c>
      <c r="F106" s="4" t="n">
        <v>290.23</v>
      </c>
      <c r="G106" s="4" t="n">
        <v>14.16</v>
      </c>
      <c r="H106" s="4" t="n">
        <v>0.46</v>
      </c>
      <c r="I106" s="4" t="n">
        <v>34.99</v>
      </c>
      <c r="J106" s="4" t="n">
        <v>9.83</v>
      </c>
      <c r="K106" s="4" t="n">
        <v>14.75</v>
      </c>
      <c r="L106" s="4" t="n">
        <v>35.4</v>
      </c>
      <c r="M106" s="4" t="n">
        <v>47.86</v>
      </c>
      <c r="N106" s="21">
        <f>SUM(E106:M106)</f>
        <v/>
      </c>
    </row>
    <row r="107">
      <c r="A107" s="23" t="inlineStr">
        <is>
          <t>DHAN-34126090836909</t>
        </is>
      </c>
      <c r="B107" s="23" t="inlineStr">
        <is>
          <t>TALBROAUTO</t>
        </is>
      </c>
      <c r="C107" s="23" t="inlineStr">
        <is>
          <t>SHORT</t>
        </is>
      </c>
      <c r="D107" s="24" t="n">
        <v>46273</v>
      </c>
      <c r="E107" s="4" t="n">
        <v>20</v>
      </c>
      <c r="F107" s="4" t="n">
        <v>227.91</v>
      </c>
      <c r="G107" s="4" t="n">
        <v>13.99</v>
      </c>
      <c r="H107" s="4" t="n">
        <v>0.46</v>
      </c>
      <c r="I107" s="4" t="n">
        <v>6.84</v>
      </c>
      <c r="J107" s="4" t="n">
        <v>6.2</v>
      </c>
      <c r="K107" s="4" t="n">
        <v>0</v>
      </c>
      <c r="L107" s="4" t="n">
        <v>0</v>
      </c>
      <c r="M107" s="4" t="n">
        <v>0</v>
      </c>
      <c r="N107" s="21">
        <f>SUM(E107:M107)</f>
        <v/>
      </c>
    </row>
    <row r="108">
      <c r="A108" s="23" t="inlineStr">
        <is>
          <t>DHAN-34126090862909</t>
        </is>
      </c>
      <c r="B108" s="23" t="inlineStr">
        <is>
          <t>ANTELOPUS</t>
        </is>
      </c>
      <c r="C108" s="23" t="inlineStr">
        <is>
          <t>LONG</t>
        </is>
      </c>
      <c r="D108" s="24" t="n">
        <v>46274</v>
      </c>
      <c r="E108" s="4" t="n">
        <v>20</v>
      </c>
      <c r="F108" s="4" t="n">
        <v>100.33</v>
      </c>
      <c r="G108" s="4" t="n">
        <v>6.26</v>
      </c>
      <c r="H108" s="4" t="n">
        <v>0.2</v>
      </c>
      <c r="I108" s="4" t="n">
        <v>15.05</v>
      </c>
      <c r="J108" s="4" t="n">
        <v>4.76</v>
      </c>
      <c r="K108" s="4" t="n">
        <v>14.75</v>
      </c>
      <c r="L108" s="4" t="n">
        <v>0</v>
      </c>
      <c r="M108" s="4" t="n">
        <v>0</v>
      </c>
      <c r="N108" s="21">
        <f>SUM(E108:M108)</f>
        <v/>
      </c>
    </row>
    <row r="109">
      <c r="A109" s="23" t="inlineStr">
        <is>
          <t>DHAN-321260909102909</t>
        </is>
      </c>
      <c r="B109" s="23" t="inlineStr">
        <is>
          <t>ANTELOPUS</t>
        </is>
      </c>
      <c r="C109" s="23" t="inlineStr">
        <is>
          <t>SHORT</t>
        </is>
      </c>
      <c r="D109" s="24" t="n">
        <v>46274</v>
      </c>
      <c r="E109" s="4" t="n">
        <v>40</v>
      </c>
      <c r="F109" s="4" t="n">
        <v>66.16</v>
      </c>
      <c r="G109" s="4" t="n">
        <v>6.44</v>
      </c>
      <c r="H109" s="4" t="n">
        <v>0.21</v>
      </c>
      <c r="I109" s="4" t="n">
        <v>5.79</v>
      </c>
      <c r="J109" s="4" t="n">
        <v>8.4</v>
      </c>
      <c r="K109" s="4" t="n">
        <v>0</v>
      </c>
      <c r="L109" s="4" t="n">
        <v>0</v>
      </c>
      <c r="M109" s="4" t="n">
        <v>0</v>
      </c>
      <c r="N109" s="21">
        <f>SUM(E109:M109)</f>
        <v/>
      </c>
    </row>
    <row r="110">
      <c r="A110" s="23" t="inlineStr">
        <is>
          <t>DHAN-221260908659309</t>
        </is>
      </c>
      <c r="B110" s="23" t="inlineStr">
        <is>
          <t>BCG</t>
        </is>
      </c>
      <c r="C110" s="23" t="inlineStr">
        <is>
          <t>LONG</t>
        </is>
      </c>
      <c r="D110" s="24" t="n">
        <v>46274</v>
      </c>
      <c r="E110" s="4" t="n">
        <v>20</v>
      </c>
      <c r="F110" s="4" t="n">
        <v>124.8</v>
      </c>
      <c r="G110" s="4" t="n">
        <v>6.18</v>
      </c>
      <c r="H110" s="4" t="n">
        <v>0.2</v>
      </c>
      <c r="I110" s="4" t="n">
        <v>14.98</v>
      </c>
      <c r="J110" s="4" t="n">
        <v>4.75</v>
      </c>
      <c r="K110" s="4" t="n">
        <v>14.75</v>
      </c>
      <c r="L110" s="4" t="n">
        <v>0</v>
      </c>
      <c r="M110" s="4" t="n">
        <v>0</v>
      </c>
      <c r="N110" s="21">
        <f>SUM(E110:M110)</f>
        <v/>
      </c>
    </row>
    <row r="111">
      <c r="A111" s="23" t="inlineStr">
        <is>
          <t>DHAN-321260909102809</t>
        </is>
      </c>
      <c r="B111" s="23" t="inlineStr">
        <is>
          <t>BCG</t>
        </is>
      </c>
      <c r="C111" s="23" t="inlineStr">
        <is>
          <t>SHORT</t>
        </is>
      </c>
      <c r="D111" s="24" t="n">
        <v>46274</v>
      </c>
      <c r="E111" s="4" t="n">
        <v>20</v>
      </c>
      <c r="F111" s="4" t="n">
        <v>99.61</v>
      </c>
      <c r="G111" s="4" t="n">
        <v>6.06</v>
      </c>
      <c r="H111" s="4" t="n">
        <v>0.2</v>
      </c>
      <c r="I111" s="4" t="n">
        <v>2.89</v>
      </c>
      <c r="J111" s="4" t="n">
        <v>4.73</v>
      </c>
      <c r="K111" s="4" t="n">
        <v>0</v>
      </c>
      <c r="L111" s="4" t="n">
        <v>0</v>
      </c>
      <c r="M111" s="4" t="n">
        <v>0</v>
      </c>
      <c r="N111" s="21">
        <f>SUM(E111:M111)</f>
        <v/>
      </c>
    </row>
    <row r="112">
      <c r="A112" s="23" t="inlineStr">
        <is>
          <t>DHAN-34126090863109</t>
        </is>
      </c>
      <c r="B112" s="23" t="inlineStr">
        <is>
          <t>NOVARTIND</t>
        </is>
      </c>
      <c r="C112" s="23" t="inlineStr">
        <is>
          <t>LONG</t>
        </is>
      </c>
      <c r="D112" s="24" t="n">
        <v>46274</v>
      </c>
      <c r="E112" s="4" t="n">
        <v>20</v>
      </c>
      <c r="F112" s="4" t="n">
        <v>126.44</v>
      </c>
      <c r="G112" s="4" t="n">
        <v>6.33</v>
      </c>
      <c r="H112" s="4" t="n">
        <v>0.21</v>
      </c>
      <c r="I112" s="4" t="n">
        <v>14.83</v>
      </c>
      <c r="J112" s="4" t="n">
        <v>4.78</v>
      </c>
      <c r="K112" s="4" t="n">
        <v>14.75</v>
      </c>
      <c r="L112" s="4" t="n">
        <v>0</v>
      </c>
      <c r="M112" s="4" t="n">
        <v>0</v>
      </c>
      <c r="N112" s="21">
        <f>SUM(E112:M112)</f>
        <v/>
      </c>
    </row>
    <row r="113">
      <c r="A113" s="23" t="inlineStr">
        <is>
          <t>DHAN-221260909100409</t>
        </is>
      </c>
      <c r="B113" s="23" t="inlineStr">
        <is>
          <t>NOVARTIND</t>
        </is>
      </c>
      <c r="C113" s="23" t="inlineStr">
        <is>
          <t>SHORT</t>
        </is>
      </c>
      <c r="D113" s="24" t="n">
        <v>46274</v>
      </c>
      <c r="E113" s="4" t="n">
        <v>20</v>
      </c>
      <c r="F113" s="4" t="n">
        <v>110.38</v>
      </c>
      <c r="G113" s="4" t="n">
        <v>6.87</v>
      </c>
      <c r="H113" s="4" t="n">
        <v>0.22</v>
      </c>
      <c r="I113" s="4" t="n">
        <v>3.5</v>
      </c>
      <c r="J113" s="4" t="n">
        <v>4.88</v>
      </c>
      <c r="K113" s="4" t="n">
        <v>0</v>
      </c>
      <c r="L113" s="4" t="n">
        <v>0</v>
      </c>
      <c r="M113" s="4" t="n">
        <v>0</v>
      </c>
      <c r="N113" s="21">
        <f>SUM(E113:M113)</f>
        <v/>
      </c>
    </row>
    <row r="114">
      <c r="A114" s="23" t="inlineStr">
        <is>
          <t>DHAN-23126090859209</t>
        </is>
      </c>
      <c r="B114" s="23" t="inlineStr">
        <is>
          <t>SYMPHONY</t>
        </is>
      </c>
      <c r="C114" s="23" t="inlineStr">
        <is>
          <t>LONG</t>
        </is>
      </c>
      <c r="D114" s="24" t="n">
        <v>46274</v>
      </c>
      <c r="E114" s="4" t="n">
        <v>40</v>
      </c>
      <c r="F114" s="4" t="n">
        <v>248.76</v>
      </c>
      <c r="G114" s="4" t="n">
        <v>12.22</v>
      </c>
      <c r="H114" s="4" t="n">
        <v>0.4</v>
      </c>
      <c r="I114" s="4" t="n">
        <v>29.41</v>
      </c>
      <c r="J114" s="4" t="n">
        <v>9.470000000000001</v>
      </c>
      <c r="K114" s="4" t="n">
        <v>14.75</v>
      </c>
      <c r="L114" s="4" t="n">
        <v>35.4</v>
      </c>
      <c r="M114" s="4" t="n">
        <v>47.2</v>
      </c>
      <c r="N114" s="21">
        <f>SUM(E114:M114)</f>
        <v/>
      </c>
    </row>
    <row r="115">
      <c r="A115" s="23" t="inlineStr">
        <is>
          <t>DHAN-34126090953709</t>
        </is>
      </c>
      <c r="B115" s="23" t="inlineStr">
        <is>
          <t>SYMPHONY</t>
        </is>
      </c>
      <c r="C115" s="23" t="inlineStr">
        <is>
          <t>SHORT</t>
        </is>
      </c>
      <c r="D115" s="24" t="n">
        <v>46274</v>
      </c>
      <c r="E115" s="4" t="n">
        <v>20</v>
      </c>
      <c r="F115" s="4" t="n">
        <v>199.27</v>
      </c>
      <c r="G115" s="4" t="n">
        <v>12.24</v>
      </c>
      <c r="H115" s="4" t="n">
        <v>0.4</v>
      </c>
      <c r="I115" s="4" t="n">
        <v>5.99</v>
      </c>
      <c r="J115" s="4" t="n">
        <v>5.87</v>
      </c>
      <c r="K115" s="4" t="n">
        <v>0</v>
      </c>
      <c r="L115" s="4" t="n">
        <v>0</v>
      </c>
      <c r="M115" s="4" t="n">
        <v>0</v>
      </c>
      <c r="N115" s="21">
        <f>SUM(E115:M115)</f>
        <v/>
      </c>
    </row>
    <row r="116">
      <c r="A116" s="23" t="inlineStr">
        <is>
          <t>DHAN-23126090859309</t>
        </is>
      </c>
      <c r="B116" s="23" t="inlineStr">
        <is>
          <t>VENUSPIPES</t>
        </is>
      </c>
      <c r="C116" s="23" t="inlineStr">
        <is>
          <t>LONG</t>
        </is>
      </c>
      <c r="D116" s="24" t="n">
        <v>46274</v>
      </c>
      <c r="E116" s="4" t="n">
        <v>40</v>
      </c>
      <c r="F116" s="4" t="n">
        <v>199.4</v>
      </c>
      <c r="G116" s="4" t="n">
        <v>12.35</v>
      </c>
      <c r="H116" s="4" t="n">
        <v>0.4</v>
      </c>
      <c r="I116" s="4" t="n">
        <v>29.91</v>
      </c>
      <c r="J116" s="4" t="n">
        <v>9.5</v>
      </c>
      <c r="K116" s="4" t="n">
        <v>14.75</v>
      </c>
      <c r="L116" s="4" t="n">
        <v>35.4</v>
      </c>
      <c r="M116" s="4" t="n">
        <v>40.92</v>
      </c>
      <c r="N116" s="21">
        <f>SUM(E116:M116)</f>
        <v/>
      </c>
    </row>
    <row r="117">
      <c r="A117" s="23" t="inlineStr">
        <is>
          <t>DHAN-221260909100309</t>
        </is>
      </c>
      <c r="B117" s="23" t="inlineStr">
        <is>
          <t>VENUSPIPES</t>
        </is>
      </c>
      <c r="C117" s="23" t="inlineStr">
        <is>
          <t>SHORT</t>
        </is>
      </c>
      <c r="D117" s="24" t="n">
        <v>46274</v>
      </c>
      <c r="E117" s="4" t="n">
        <v>20</v>
      </c>
      <c r="F117" s="4" t="n">
        <v>251.64</v>
      </c>
      <c r="G117" s="4" t="n">
        <v>12.31</v>
      </c>
      <c r="H117" s="4" t="n">
        <v>0.4</v>
      </c>
      <c r="I117" s="4" t="n">
        <v>5.95</v>
      </c>
      <c r="J117" s="4" t="n">
        <v>5.89</v>
      </c>
      <c r="K117" s="4" t="n">
        <v>0</v>
      </c>
      <c r="L117" s="4" t="n">
        <v>0</v>
      </c>
      <c r="M117" s="4" t="n">
        <v>0</v>
      </c>
      <c r="N117" s="21">
        <f>SUM(E117:M117)</f>
        <v/>
      </c>
    </row>
    <row r="118">
      <c r="A118" s="23" t="inlineStr">
        <is>
          <t>DHAN-321260909716709</t>
        </is>
      </c>
      <c r="B118" s="23" t="inlineStr">
        <is>
          <t>ANTELOPUS</t>
        </is>
      </c>
      <c r="C118" s="23" t="inlineStr">
        <is>
          <t>LONG</t>
        </is>
      </c>
      <c r="D118" s="24" t="n">
        <v>46275</v>
      </c>
      <c r="E118" s="4" t="n">
        <v>40</v>
      </c>
      <c r="F118" s="4" t="n">
        <v>0</v>
      </c>
      <c r="G118" s="4" t="n">
        <v>5.3</v>
      </c>
      <c r="H118" s="4" t="n">
        <v>0.17</v>
      </c>
      <c r="I118" s="4" t="n">
        <v>0</v>
      </c>
      <c r="J118" s="4" t="n">
        <v>8.18</v>
      </c>
      <c r="K118" s="4" t="n">
        <v>14.75</v>
      </c>
      <c r="L118" s="4" t="n">
        <v>0</v>
      </c>
      <c r="M118" s="4" t="n">
        <v>0</v>
      </c>
      <c r="N118" s="21">
        <f>SUM(E118:M118)</f>
        <v/>
      </c>
    </row>
    <row r="119">
      <c r="A119" s="23" t="inlineStr">
        <is>
          <t>DHAN-23126091046509</t>
        </is>
      </c>
      <c r="B119" s="23" t="inlineStr">
        <is>
          <t>ANTELOPUS</t>
        </is>
      </c>
      <c r="C119" s="23" t="inlineStr">
        <is>
          <t>SHORT</t>
        </is>
      </c>
      <c r="D119" s="24" t="n">
        <v>46275</v>
      </c>
      <c r="E119" s="4" t="n">
        <v>20</v>
      </c>
      <c r="F119" s="4" t="n">
        <v>106.55</v>
      </c>
      <c r="G119" s="4" t="n">
        <v>5.23</v>
      </c>
      <c r="H119" s="4" t="n">
        <v>0.17</v>
      </c>
      <c r="I119" s="4" t="n">
        <v>2.55</v>
      </c>
      <c r="J119" s="4" t="n">
        <v>4.57</v>
      </c>
      <c r="K119" s="4" t="n">
        <v>0</v>
      </c>
      <c r="L119" s="4" t="n">
        <v>0</v>
      </c>
      <c r="M119" s="4" t="n">
        <v>0</v>
      </c>
      <c r="N119" s="21">
        <f>SUM(E119:M119)</f>
        <v/>
      </c>
    </row>
    <row r="120">
      <c r="A120" s="23" t="inlineStr">
        <is>
          <t>DHAN-34126090981309</t>
        </is>
      </c>
      <c r="B120" s="23" t="inlineStr">
        <is>
          <t>EIEL</t>
        </is>
      </c>
      <c r="C120" s="23" t="inlineStr">
        <is>
          <t>LONG</t>
        </is>
      </c>
      <c r="D120" s="24" t="n">
        <v>46275</v>
      </c>
      <c r="E120" s="4" t="n">
        <v>40</v>
      </c>
      <c r="F120" s="4" t="n">
        <v>219.78</v>
      </c>
      <c r="G120" s="4" t="n">
        <v>10.92</v>
      </c>
      <c r="H120" s="4" t="n">
        <v>0.36</v>
      </c>
      <c r="I120" s="4" t="n">
        <v>26.18</v>
      </c>
      <c r="J120" s="4" t="n">
        <v>9.23</v>
      </c>
      <c r="K120" s="4" t="n">
        <v>14.75</v>
      </c>
      <c r="L120" s="4" t="n">
        <v>35.4</v>
      </c>
      <c r="M120" s="4" t="n">
        <v>37.85</v>
      </c>
      <c r="N120" s="21">
        <f>SUM(E120:M120)</f>
        <v/>
      </c>
    </row>
    <row r="121">
      <c r="A121" s="23" t="inlineStr">
        <is>
          <t>DHAN-34126091019209</t>
        </is>
      </c>
      <c r="B121" s="23" t="inlineStr">
        <is>
          <t>EIEL</t>
        </is>
      </c>
      <c r="C121" s="23" t="inlineStr">
        <is>
          <t>SHORT</t>
        </is>
      </c>
      <c r="D121" s="24" t="n">
        <v>46275</v>
      </c>
      <c r="E121" s="4" t="n">
        <v>20</v>
      </c>
      <c r="F121" s="4" t="n">
        <v>180.86</v>
      </c>
      <c r="G121" s="4" t="n">
        <v>11.1</v>
      </c>
      <c r="H121" s="4" t="n">
        <v>0.36</v>
      </c>
      <c r="I121" s="4" t="n">
        <v>5.42</v>
      </c>
      <c r="J121" s="4" t="n">
        <v>5.66</v>
      </c>
      <c r="K121" s="4" t="n">
        <v>0</v>
      </c>
      <c r="L121" s="4" t="n">
        <v>0</v>
      </c>
      <c r="M121" s="4" t="n">
        <v>0</v>
      </c>
      <c r="N121" s="21">
        <f>SUM(E121:M121)</f>
        <v/>
      </c>
    </row>
    <row r="122">
      <c r="A122" s="23" t="inlineStr">
        <is>
          <t>DHAN-34126090980209</t>
        </is>
      </c>
      <c r="B122" s="23" t="inlineStr">
        <is>
          <t>INDNIPPON</t>
        </is>
      </c>
      <c r="C122" s="23" t="inlineStr">
        <is>
          <t>LONG</t>
        </is>
      </c>
      <c r="D122" s="24" t="n">
        <v>46275</v>
      </c>
      <c r="E122" s="4" t="n">
        <v>40</v>
      </c>
      <c r="F122" s="4" t="n">
        <v>277.05</v>
      </c>
      <c r="G122" s="4" t="n">
        <v>17.8</v>
      </c>
      <c r="H122" s="4" t="n">
        <v>0.58</v>
      </c>
      <c r="I122" s="4" t="n">
        <v>41.15</v>
      </c>
      <c r="J122" s="4" t="n">
        <v>10.51</v>
      </c>
      <c r="K122" s="4" t="n">
        <v>14.75</v>
      </c>
      <c r="L122" s="4" t="n">
        <v>35.4</v>
      </c>
      <c r="M122" s="4" t="n">
        <v>56.92</v>
      </c>
      <c r="N122" s="21">
        <f>SUM(E122:M122)</f>
        <v/>
      </c>
    </row>
    <row r="123">
      <c r="A123" s="23" t="inlineStr">
        <is>
          <t>DHAN-32126091099109</t>
        </is>
      </c>
      <c r="B123" s="23" t="inlineStr">
        <is>
          <t>INDNIPPON</t>
        </is>
      </c>
      <c r="C123" s="23" t="inlineStr">
        <is>
          <t>SHORT</t>
        </is>
      </c>
      <c r="D123" s="24" t="n">
        <v>46275</v>
      </c>
      <c r="E123" s="4" t="n">
        <v>20</v>
      </c>
      <c r="F123" s="4" t="n">
        <v>385.55</v>
      </c>
      <c r="G123" s="4" t="n">
        <v>19.13</v>
      </c>
      <c r="H123" s="4" t="n">
        <v>0.62</v>
      </c>
      <c r="I123" s="4" t="n">
        <v>9.640000000000001</v>
      </c>
      <c r="J123" s="4" t="n">
        <v>7.15</v>
      </c>
      <c r="K123" s="4" t="n">
        <v>0</v>
      </c>
      <c r="L123" s="4" t="n">
        <v>0</v>
      </c>
      <c r="M123" s="4" t="n">
        <v>0</v>
      </c>
      <c r="N123" s="21">
        <f>SUM(E123:M123)</f>
        <v/>
      </c>
    </row>
    <row r="124">
      <c r="A124" s="23" t="inlineStr">
        <is>
          <t>DHAN-34126090981209</t>
        </is>
      </c>
      <c r="B124" s="23" t="inlineStr">
        <is>
          <t>INDORAMA</t>
        </is>
      </c>
      <c r="C124" s="23" t="inlineStr">
        <is>
          <t>LONG</t>
        </is>
      </c>
      <c r="D124" s="24" t="n">
        <v>46275</v>
      </c>
      <c r="E124" s="4" t="n">
        <v>20</v>
      </c>
      <c r="F124" s="4" t="n">
        <v>87.34999999999999</v>
      </c>
      <c r="G124" s="4" t="n">
        <v>5.42</v>
      </c>
      <c r="H124" s="4" t="n">
        <v>0.18</v>
      </c>
      <c r="I124" s="4" t="n">
        <v>13.1</v>
      </c>
      <c r="J124" s="4" t="n">
        <v>4.61</v>
      </c>
      <c r="K124" s="4" t="n">
        <v>14.75</v>
      </c>
      <c r="L124" s="4" t="n">
        <v>0</v>
      </c>
      <c r="M124" s="4" t="n">
        <v>0</v>
      </c>
      <c r="N124" s="21">
        <f>SUM(E124:M124)</f>
        <v/>
      </c>
    </row>
    <row r="125">
      <c r="A125" s="23" t="inlineStr">
        <is>
          <t>DHAN-221260910389009</t>
        </is>
      </c>
      <c r="B125" s="23" t="inlineStr">
        <is>
          <t>INDORAMA</t>
        </is>
      </c>
      <c r="C125" s="23" t="inlineStr">
        <is>
          <t>SHORT</t>
        </is>
      </c>
      <c r="D125" s="24" t="n">
        <v>46275</v>
      </c>
      <c r="E125" s="4" t="n">
        <v>20</v>
      </c>
      <c r="F125" s="4" t="n">
        <v>110.4</v>
      </c>
      <c r="G125" s="4" t="n">
        <v>5.39</v>
      </c>
      <c r="H125" s="4" t="n">
        <v>0.18</v>
      </c>
      <c r="I125" s="4" t="n">
        <v>2.6</v>
      </c>
      <c r="J125" s="4" t="n">
        <v>4.6</v>
      </c>
      <c r="K125" s="4" t="n">
        <v>0</v>
      </c>
      <c r="L125" s="4" t="n">
        <v>0</v>
      </c>
      <c r="M125" s="4" t="n">
        <v>0</v>
      </c>
      <c r="N125" s="21">
        <f>SUM(E125:M125)</f>
        <v/>
      </c>
    </row>
    <row r="126">
      <c r="A126" s="23" t="inlineStr">
        <is>
          <t>DHAN-221260909672309</t>
        </is>
      </c>
      <c r="B126" s="23" t="inlineStr">
        <is>
          <t>RESPONIND</t>
        </is>
      </c>
      <c r="C126" s="23" t="inlineStr">
        <is>
          <t>LONG</t>
        </is>
      </c>
      <c r="D126" s="24" t="n">
        <v>46275</v>
      </c>
      <c r="E126" s="4" t="n">
        <v>40</v>
      </c>
      <c r="F126" s="4" t="n">
        <v>218.08</v>
      </c>
      <c r="G126" s="4" t="n">
        <v>10.76</v>
      </c>
      <c r="H126" s="4" t="n">
        <v>0.35</v>
      </c>
      <c r="I126" s="4" t="n">
        <v>26.1</v>
      </c>
      <c r="J126" s="4" t="n">
        <v>9.199999999999999</v>
      </c>
      <c r="K126" s="4" t="n">
        <v>14.75</v>
      </c>
      <c r="L126" s="4" t="n">
        <v>35.4</v>
      </c>
      <c r="M126" s="4" t="n">
        <v>37.07</v>
      </c>
      <c r="N126" s="21">
        <f>SUM(E126:M126)</f>
        <v/>
      </c>
    </row>
    <row r="127">
      <c r="A127" s="23" t="inlineStr">
        <is>
          <t>DHAN-23126091046609</t>
        </is>
      </c>
      <c r="B127" s="23" t="inlineStr">
        <is>
          <t>RESPONIND</t>
        </is>
      </c>
      <c r="C127" s="23" t="inlineStr">
        <is>
          <t>SHORT</t>
        </is>
      </c>
      <c r="D127" s="24" t="n">
        <v>46275</v>
      </c>
      <c r="E127" s="4" t="n">
        <v>20</v>
      </c>
      <c r="F127" s="4" t="n">
        <v>176.33</v>
      </c>
      <c r="G127" s="4" t="n">
        <v>10.82</v>
      </c>
      <c r="H127" s="4" t="n">
        <v>0.35</v>
      </c>
      <c r="I127" s="4" t="n">
        <v>5.27</v>
      </c>
      <c r="J127" s="4" t="n">
        <v>5.61</v>
      </c>
      <c r="K127" s="4" t="n">
        <v>0</v>
      </c>
      <c r="L127" s="4" t="n">
        <v>0</v>
      </c>
      <c r="M127" s="4" t="n">
        <v>0</v>
      </c>
      <c r="N127" s="21">
        <f>SUM(E127:M127)</f>
        <v/>
      </c>
    </row>
    <row r="128">
      <c r="A128" s="23" t="inlineStr">
        <is>
          <t>DHAN-23126090989309</t>
        </is>
      </c>
      <c r="B128" s="23" t="inlineStr">
        <is>
          <t>SHAREINDIA</t>
        </is>
      </c>
      <c r="C128" s="23" t="inlineStr">
        <is>
          <t>LONG</t>
        </is>
      </c>
      <c r="D128" s="24" t="n">
        <v>46275</v>
      </c>
      <c r="E128" s="4" t="n">
        <v>40</v>
      </c>
      <c r="F128" s="4" t="n">
        <v>175.65</v>
      </c>
      <c r="G128" s="4" t="n">
        <v>11.09</v>
      </c>
      <c r="H128" s="4" t="n">
        <v>0.36</v>
      </c>
      <c r="I128" s="4" t="n">
        <v>26.35</v>
      </c>
      <c r="J128" s="4" t="n">
        <v>9.26</v>
      </c>
      <c r="K128" s="4" t="n">
        <v>14.75</v>
      </c>
      <c r="L128" s="4" t="n">
        <v>35.4</v>
      </c>
      <c r="M128" s="4" t="n">
        <v>30.64</v>
      </c>
      <c r="N128" s="21">
        <f>SUM(E128:M128)</f>
        <v/>
      </c>
    </row>
    <row r="129">
      <c r="A129" s="23" t="inlineStr">
        <is>
          <t>DHAN-221260910101209</t>
        </is>
      </c>
      <c r="B129" s="23" t="inlineStr">
        <is>
          <t>SHAREINDIA</t>
        </is>
      </c>
      <c r="C129" s="23" t="inlineStr">
        <is>
          <t>SHORT</t>
        </is>
      </c>
      <c r="D129" s="24" t="n">
        <v>46275</v>
      </c>
      <c r="E129" s="4" t="n">
        <v>20</v>
      </c>
      <c r="F129" s="4" t="n">
        <v>233.66</v>
      </c>
      <c r="G129" s="4" t="n">
        <v>11.52</v>
      </c>
      <c r="H129" s="4" t="n">
        <v>0.38</v>
      </c>
      <c r="I129" s="4" t="n">
        <v>5.68</v>
      </c>
      <c r="J129" s="4" t="n">
        <v>5.74</v>
      </c>
      <c r="K129" s="4" t="n">
        <v>0</v>
      </c>
      <c r="L129" s="4" t="n">
        <v>0</v>
      </c>
      <c r="M129" s="4" t="n">
        <v>0</v>
      </c>
      <c r="N129" s="21">
        <f>SUM(E129:M129)</f>
        <v/>
      </c>
    </row>
    <row r="130">
      <c r="A130" s="23" t="inlineStr">
        <is>
          <t>DHAN-321260910622509</t>
        </is>
      </c>
      <c r="B130" s="23" t="inlineStr">
        <is>
          <t>INDOCO</t>
        </is>
      </c>
      <c r="C130" s="23" t="inlineStr">
        <is>
          <t>LONG</t>
        </is>
      </c>
      <c r="D130" s="24" t="n">
        <v>46276</v>
      </c>
      <c r="E130" s="4" t="n">
        <v>40</v>
      </c>
      <c r="F130" s="4" t="n">
        <v>365.42</v>
      </c>
      <c r="G130" s="4" t="n">
        <v>18.16</v>
      </c>
      <c r="H130" s="4" t="n">
        <v>0.59</v>
      </c>
      <c r="I130" s="4" t="n">
        <v>43.53</v>
      </c>
      <c r="J130" s="4" t="n">
        <v>10.58</v>
      </c>
      <c r="K130" s="4" t="n">
        <v>14.75</v>
      </c>
      <c r="L130" s="4" t="n">
        <v>35.4</v>
      </c>
      <c r="M130" s="4" t="n">
        <v>59.51</v>
      </c>
      <c r="N130" s="21">
        <f>SUM(E130:M130)</f>
        <v/>
      </c>
    </row>
    <row r="131">
      <c r="A131" s="23" t="inlineStr">
        <is>
          <t>DHAN-23126091115309</t>
        </is>
      </c>
      <c r="B131" s="23" t="inlineStr">
        <is>
          <t>INDOCO</t>
        </is>
      </c>
      <c r="C131" s="23" t="inlineStr">
        <is>
          <t>SHORT</t>
        </is>
      </c>
      <c r="D131" s="24" t="n">
        <v>46276</v>
      </c>
      <c r="E131" s="4" t="n">
        <v>20</v>
      </c>
      <c r="F131" s="4" t="n">
        <v>301.97</v>
      </c>
      <c r="G131" s="4" t="n">
        <v>18.51</v>
      </c>
      <c r="H131" s="4" t="n">
        <v>0.6</v>
      </c>
      <c r="I131" s="4" t="n">
        <v>9.039999999999999</v>
      </c>
      <c r="J131" s="4" t="n">
        <v>7.04</v>
      </c>
      <c r="K131" s="4" t="n">
        <v>0</v>
      </c>
      <c r="L131" s="4" t="n">
        <v>0</v>
      </c>
      <c r="M131" s="4" t="n">
        <v>0</v>
      </c>
      <c r="N131" s="21">
        <f>SUM(E131:M131)</f>
        <v/>
      </c>
    </row>
    <row r="132">
      <c r="A132" s="23" t="inlineStr">
        <is>
          <t>DHAN-23126091079309</t>
        </is>
      </c>
      <c r="B132" s="23" t="inlineStr">
        <is>
          <t>KSL</t>
        </is>
      </c>
      <c r="C132" s="23" t="inlineStr">
        <is>
          <t>LONG</t>
        </is>
      </c>
      <c r="D132" s="24" t="n">
        <v>46276</v>
      </c>
      <c r="E132" s="4" t="n">
        <v>40</v>
      </c>
      <c r="F132" s="4" t="n">
        <v>361.93</v>
      </c>
      <c r="G132" s="4" t="n">
        <v>17.8</v>
      </c>
      <c r="H132" s="4" t="n">
        <v>0.58</v>
      </c>
      <c r="I132" s="4" t="n">
        <v>43.45</v>
      </c>
      <c r="J132" s="4" t="n">
        <v>10.51</v>
      </c>
      <c r="K132" s="4" t="n">
        <v>14.75</v>
      </c>
      <c r="L132" s="4" t="n">
        <v>35.4</v>
      </c>
      <c r="M132" s="4" t="n">
        <v>59.44</v>
      </c>
      <c r="N132" s="21">
        <f>SUM(E132:M132)</f>
        <v/>
      </c>
    </row>
    <row r="133">
      <c r="A133" s="23" t="inlineStr">
        <is>
          <t>DHAN-321260911440509</t>
        </is>
      </c>
      <c r="B133" s="23" t="inlineStr">
        <is>
          <t>KSL</t>
        </is>
      </c>
      <c r="C133" s="23" t="inlineStr">
        <is>
          <t>SHORT</t>
        </is>
      </c>
      <c r="D133" s="24" t="n">
        <v>46276</v>
      </c>
      <c r="E133" s="4" t="n">
        <v>20</v>
      </c>
      <c r="F133" s="4" t="n">
        <v>289.12</v>
      </c>
      <c r="G133" s="4" t="n">
        <v>17.72</v>
      </c>
      <c r="H133" s="4" t="n">
        <v>0.58</v>
      </c>
      <c r="I133" s="4" t="n">
        <v>8.609999999999999</v>
      </c>
      <c r="J133" s="4" t="n">
        <v>6.89</v>
      </c>
      <c r="K133" s="4" t="n">
        <v>0</v>
      </c>
      <c r="L133" s="4" t="n">
        <v>0</v>
      </c>
      <c r="M133" s="4" t="n">
        <v>0</v>
      </c>
      <c r="N133" s="21">
        <f>SUM(E133:M133)</f>
        <v/>
      </c>
    </row>
    <row r="134">
      <c r="A134" s="23" t="inlineStr">
        <is>
          <t>DHAN-321260910622409</t>
        </is>
      </c>
      <c r="B134" s="23" t="inlineStr">
        <is>
          <t>SAMHI</t>
        </is>
      </c>
      <c r="C134" s="23" t="inlineStr">
        <is>
          <t>LONG</t>
        </is>
      </c>
      <c r="D134" s="24" t="n">
        <v>46276</v>
      </c>
      <c r="E134" s="4" t="n">
        <v>40</v>
      </c>
      <c r="F134" s="4" t="n">
        <v>363.02</v>
      </c>
      <c r="G134" s="4" t="n">
        <v>17.74</v>
      </c>
      <c r="H134" s="4" t="n">
        <v>0.58</v>
      </c>
      <c r="I134" s="4" t="n">
        <v>43.74</v>
      </c>
      <c r="J134" s="4" t="n">
        <v>10.5</v>
      </c>
      <c r="K134" s="4" t="n">
        <v>14.75</v>
      </c>
      <c r="L134" s="4" t="n">
        <v>35.4</v>
      </c>
      <c r="M134" s="4" t="n">
        <v>67.36</v>
      </c>
      <c r="N134" s="21">
        <f>SUM(E134:M134)</f>
        <v/>
      </c>
    </row>
    <row r="135">
      <c r="A135" s="23" t="inlineStr">
        <is>
          <t>DHAN-221260911438509</t>
        </is>
      </c>
      <c r="B135" s="23" t="inlineStr">
        <is>
          <t>SAMHI</t>
        </is>
      </c>
      <c r="C135" s="23" t="inlineStr">
        <is>
          <t>SHORT</t>
        </is>
      </c>
      <c r="D135" s="24" t="n">
        <v>46276</v>
      </c>
      <c r="E135" s="4" t="n">
        <v>20</v>
      </c>
      <c r="F135" s="4" t="n">
        <v>285.77</v>
      </c>
      <c r="G135" s="4" t="n">
        <v>17.54</v>
      </c>
      <c r="H135" s="4" t="n">
        <v>0.57</v>
      </c>
      <c r="I135" s="4" t="n">
        <v>8.56</v>
      </c>
      <c r="J135" s="4" t="n">
        <v>6.86</v>
      </c>
      <c r="K135" s="4" t="n">
        <v>0</v>
      </c>
      <c r="L135" s="4" t="n">
        <v>0</v>
      </c>
      <c r="M135" s="4" t="n">
        <v>0</v>
      </c>
      <c r="N135" s="21">
        <f>SUM(E135:M135)</f>
        <v/>
      </c>
    </row>
    <row r="136">
      <c r="A136" s="23" t="inlineStr">
        <is>
          <t>DHAN-34126091072709</t>
        </is>
      </c>
      <c r="B136" s="23" t="inlineStr">
        <is>
          <t>VSSL</t>
        </is>
      </c>
      <c r="C136" s="23" t="inlineStr">
        <is>
          <t>LONG</t>
        </is>
      </c>
      <c r="D136" s="24" t="n">
        <v>46276</v>
      </c>
      <c r="E136" s="4" t="n">
        <v>40</v>
      </c>
      <c r="F136" s="4" t="n">
        <v>288.41</v>
      </c>
      <c r="G136" s="4" t="n">
        <v>17.82</v>
      </c>
      <c r="H136" s="4" t="n">
        <v>0.58</v>
      </c>
      <c r="I136" s="4" t="n">
        <v>43.26</v>
      </c>
      <c r="J136" s="4" t="n">
        <v>10.51</v>
      </c>
      <c r="K136" s="4" t="n">
        <v>14.75</v>
      </c>
      <c r="L136" s="4" t="n">
        <v>35.4</v>
      </c>
      <c r="M136" s="4" t="n">
        <v>59.18</v>
      </c>
      <c r="N136" s="21">
        <f>SUM(E136:M136)</f>
        <v/>
      </c>
    </row>
    <row r="137">
      <c r="A137" s="23" t="inlineStr">
        <is>
          <t>DHAN-23126091141909</t>
        </is>
      </c>
      <c r="B137" s="23" t="inlineStr">
        <is>
          <t>VSSL</t>
        </is>
      </c>
      <c r="C137" s="23" t="inlineStr">
        <is>
          <t>SHORT</t>
        </is>
      </c>
      <c r="D137" s="24" t="n">
        <v>46276</v>
      </c>
      <c r="E137" s="4" t="n">
        <v>20</v>
      </c>
      <c r="F137" s="4" t="n">
        <v>366.65</v>
      </c>
      <c r="G137" s="4" t="n">
        <v>18.05</v>
      </c>
      <c r="H137" s="4" t="n">
        <v>0.59</v>
      </c>
      <c r="I137" s="4" t="n">
        <v>8.9</v>
      </c>
      <c r="J137" s="4" t="n">
        <v>6.95</v>
      </c>
      <c r="K137" s="4" t="n">
        <v>0</v>
      </c>
      <c r="L137" s="4" t="n">
        <v>0</v>
      </c>
      <c r="M137" s="4" t="n">
        <v>0</v>
      </c>
      <c r="N137" s="21">
        <f>SUM(E137:M137)</f>
        <v/>
      </c>
    </row>
    <row r="138">
      <c r="A138" s="23" t="inlineStr">
        <is>
          <t>DHAN-321260910622609</t>
        </is>
      </c>
      <c r="B138" s="23" t="inlineStr">
        <is>
          <t>WENDT</t>
        </is>
      </c>
      <c r="C138" s="23" t="inlineStr">
        <is>
          <t>LONG</t>
        </is>
      </c>
      <c r="D138" s="24" t="n">
        <v>46276</v>
      </c>
      <c r="E138" s="4" t="n">
        <v>40</v>
      </c>
      <c r="F138" s="4" t="n">
        <v>358.09</v>
      </c>
      <c r="G138" s="4" t="n">
        <v>17.61</v>
      </c>
      <c r="H138" s="4" t="n">
        <v>0.57</v>
      </c>
      <c r="I138" s="4" t="n">
        <v>42.86</v>
      </c>
      <c r="J138" s="4" t="n">
        <v>10.47</v>
      </c>
      <c r="K138" s="4" t="n">
        <v>14.75</v>
      </c>
      <c r="L138" s="4" t="n">
        <v>35.4</v>
      </c>
      <c r="M138" s="4" t="n">
        <v>58.63</v>
      </c>
      <c r="N138" s="21">
        <f>SUM(E138:M138)</f>
        <v/>
      </c>
    </row>
    <row r="139">
      <c r="A139" s="23" t="inlineStr">
        <is>
          <t>DHAN-34126091130609</t>
        </is>
      </c>
      <c r="B139" s="23" t="inlineStr">
        <is>
          <t>WENDT</t>
        </is>
      </c>
      <c r="C139" s="23" t="inlineStr">
        <is>
          <t>SHORT</t>
        </is>
      </c>
      <c r="D139" s="24" t="n">
        <v>46276</v>
      </c>
      <c r="E139" s="4" t="n">
        <v>20</v>
      </c>
      <c r="F139" s="4" t="n">
        <v>289.55</v>
      </c>
      <c r="G139" s="4" t="n">
        <v>17.82</v>
      </c>
      <c r="H139" s="4" t="n">
        <v>0.58</v>
      </c>
      <c r="I139" s="4" t="n">
        <v>8.779999999999999</v>
      </c>
      <c r="J139" s="4" t="n">
        <v>6.91</v>
      </c>
      <c r="K139" s="4" t="n">
        <v>0</v>
      </c>
      <c r="L139" s="4" t="n">
        <v>0</v>
      </c>
      <c r="M139" s="4" t="n">
        <v>0</v>
      </c>
      <c r="N139" s="21">
        <f>SUM(E139:M139)</f>
        <v/>
      </c>
    </row>
    <row r="140">
      <c r="A140" s="23" t="inlineStr">
        <is>
          <t>DHAN-23126091161109</t>
        </is>
      </c>
      <c r="B140" s="23" t="inlineStr">
        <is>
          <t>AWFIS</t>
        </is>
      </c>
      <c r="C140" s="23" t="inlineStr">
        <is>
          <t>LONG</t>
        </is>
      </c>
      <c r="D140" s="24" t="n">
        <v>46280</v>
      </c>
      <c r="E140" s="4" t="n">
        <v>40</v>
      </c>
      <c r="F140" s="4" t="n">
        <v>181.52</v>
      </c>
      <c r="G140" s="4" t="n">
        <v>10.9</v>
      </c>
      <c r="H140" s="4" t="n">
        <v>0.36</v>
      </c>
      <c r="I140" s="4" t="n">
        <v>27.23</v>
      </c>
      <c r="J140" s="4" t="n">
        <v>9.23</v>
      </c>
      <c r="K140" s="4" t="n">
        <v>14.75</v>
      </c>
      <c r="L140" s="4" t="n">
        <v>35.4</v>
      </c>
      <c r="M140" s="4" t="n">
        <v>148.99</v>
      </c>
      <c r="N140" s="21">
        <f>SUM(E140:M140)</f>
        <v/>
      </c>
    </row>
    <row r="141">
      <c r="A141" s="23" t="inlineStr">
        <is>
          <t>DHAN-221260915461009</t>
        </is>
      </c>
      <c r="B141" s="23" t="inlineStr">
        <is>
          <t>AWFIS</t>
        </is>
      </c>
      <c r="C141" s="23" t="inlineStr">
        <is>
          <t>SHORT</t>
        </is>
      </c>
      <c r="D141" s="24" t="n">
        <v>46280</v>
      </c>
      <c r="E141" s="4" t="n">
        <v>20</v>
      </c>
      <c r="F141" s="4" t="n">
        <v>215.49</v>
      </c>
      <c r="G141" s="4" t="n">
        <v>10.54</v>
      </c>
      <c r="H141" s="4" t="n">
        <v>0.34</v>
      </c>
      <c r="I141" s="4" t="n">
        <v>5.09</v>
      </c>
      <c r="J141" s="4" t="n">
        <v>5.56</v>
      </c>
      <c r="K141" s="4" t="n">
        <v>0</v>
      </c>
      <c r="L141" s="4" t="n">
        <v>0</v>
      </c>
      <c r="M141" s="4" t="n">
        <v>0</v>
      </c>
      <c r="N141" s="21">
        <f>SUM(E141:M141)</f>
        <v/>
      </c>
    </row>
    <row r="142">
      <c r="A142" s="23" t="inlineStr">
        <is>
          <t>DHAN-221260911696009</t>
        </is>
      </c>
      <c r="B142" s="23" t="inlineStr">
        <is>
          <t>FILATEX</t>
        </is>
      </c>
      <c r="C142" s="23" t="inlineStr">
        <is>
          <t>LONG</t>
        </is>
      </c>
      <c r="D142" s="24" t="n">
        <v>46280</v>
      </c>
      <c r="E142" s="4" t="n">
        <v>20</v>
      </c>
      <c r="F142" s="4" t="n">
        <v>90.98999999999999</v>
      </c>
      <c r="G142" s="4" t="n">
        <v>5.61</v>
      </c>
      <c r="H142" s="4" t="n">
        <v>0.18</v>
      </c>
      <c r="I142" s="4" t="n">
        <v>13.65</v>
      </c>
      <c r="J142" s="4" t="n">
        <v>4.64</v>
      </c>
      <c r="K142" s="4" t="n">
        <v>14.75</v>
      </c>
      <c r="L142" s="4" t="n">
        <v>0</v>
      </c>
      <c r="M142" s="4" t="n">
        <v>0</v>
      </c>
      <c r="N142" s="21">
        <f>SUM(E142:M142)</f>
        <v/>
      </c>
    </row>
    <row r="143">
      <c r="A143" s="23" t="inlineStr">
        <is>
          <t>DHAN-23126091516209</t>
        </is>
      </c>
      <c r="B143" s="23" t="inlineStr">
        <is>
          <t>FILATEX</t>
        </is>
      </c>
      <c r="C143" s="23" t="inlineStr">
        <is>
          <t>SHORT</t>
        </is>
      </c>
      <c r="D143" s="24" t="n">
        <v>46280</v>
      </c>
      <c r="E143" s="4" t="n">
        <v>20</v>
      </c>
      <c r="F143" s="4" t="n">
        <v>112.51</v>
      </c>
      <c r="G143" s="4" t="n">
        <v>5.48</v>
      </c>
      <c r="H143" s="4" t="n">
        <v>0.18</v>
      </c>
      <c r="I143" s="4" t="n">
        <v>2.61</v>
      </c>
      <c r="J143" s="4" t="n">
        <v>4.62</v>
      </c>
      <c r="K143" s="4" t="n">
        <v>0</v>
      </c>
      <c r="L143" s="4" t="n">
        <v>0</v>
      </c>
      <c r="M143" s="4" t="n">
        <v>0</v>
      </c>
      <c r="N143" s="21">
        <f>SUM(E143:M143)</f>
        <v/>
      </c>
    </row>
    <row r="144">
      <c r="A144" s="23" t="inlineStr">
        <is>
          <t>DHAN-321260911696409</t>
        </is>
      </c>
      <c r="B144" s="23" t="inlineStr">
        <is>
          <t>KIRLOSIND</t>
        </is>
      </c>
      <c r="C144" s="23" t="inlineStr">
        <is>
          <t>LONG</t>
        </is>
      </c>
      <c r="D144" s="24" t="n">
        <v>46280</v>
      </c>
      <c r="E144" s="4" t="n">
        <v>40</v>
      </c>
      <c r="F144" s="4" t="n">
        <v>179.85</v>
      </c>
      <c r="G144" s="4" t="n">
        <v>11.16</v>
      </c>
      <c r="H144" s="4" t="n">
        <v>0.36</v>
      </c>
      <c r="I144" s="4" t="n">
        <v>26.98</v>
      </c>
      <c r="J144" s="4" t="n">
        <v>9.27</v>
      </c>
      <c r="K144" s="4" t="n">
        <v>14.75</v>
      </c>
      <c r="L144" s="4" t="n">
        <v>35.4</v>
      </c>
      <c r="M144" s="4" t="n">
        <v>147.62</v>
      </c>
      <c r="N144" s="21">
        <f>SUM(E144:M144)</f>
        <v/>
      </c>
    </row>
    <row r="145">
      <c r="A145" s="23" t="inlineStr">
        <is>
          <t>DHAN-23126091516309</t>
        </is>
      </c>
      <c r="B145" s="23" t="inlineStr">
        <is>
          <t>KIRLOSIND</t>
        </is>
      </c>
      <c r="C145" s="23" t="inlineStr">
        <is>
          <t>SHORT</t>
        </is>
      </c>
      <c r="D145" s="24" t="n">
        <v>46280</v>
      </c>
      <c r="E145" s="4" t="n">
        <v>20</v>
      </c>
      <c r="F145" s="4" t="n">
        <v>227.71</v>
      </c>
      <c r="G145" s="4" t="n">
        <v>11.14</v>
      </c>
      <c r="H145" s="4" t="n">
        <v>0.36</v>
      </c>
      <c r="I145" s="4" t="n">
        <v>5.39</v>
      </c>
      <c r="J145" s="4" t="n">
        <v>5.67</v>
      </c>
      <c r="K145" s="4" t="n">
        <v>0</v>
      </c>
      <c r="L145" s="4" t="n">
        <v>0</v>
      </c>
      <c r="M145" s="4" t="n">
        <v>0</v>
      </c>
      <c r="N145" s="21">
        <f>SUM(E145:M145)</f>
        <v/>
      </c>
    </row>
    <row r="146">
      <c r="A146" s="23" t="inlineStr">
        <is>
          <t>DHAN-321260911696509</t>
        </is>
      </c>
      <c r="B146" s="23" t="inlineStr">
        <is>
          <t>MOBIKWIK</t>
        </is>
      </c>
      <c r="C146" s="23" t="inlineStr">
        <is>
          <t>LONG</t>
        </is>
      </c>
      <c r="D146" s="24" t="n">
        <v>46280</v>
      </c>
      <c r="E146" s="4" t="n">
        <v>40</v>
      </c>
      <c r="F146" s="4" t="n">
        <v>180.57</v>
      </c>
      <c r="G146" s="4" t="n">
        <v>10.93</v>
      </c>
      <c r="H146" s="4" t="n">
        <v>0.36</v>
      </c>
      <c r="I146" s="4" t="n">
        <v>27.09</v>
      </c>
      <c r="J146" s="4" t="n">
        <v>9.23</v>
      </c>
      <c r="K146" s="4" t="n">
        <v>14.75</v>
      </c>
      <c r="L146" s="4" t="n">
        <v>35.4</v>
      </c>
      <c r="M146" s="4" t="n">
        <v>151.23</v>
      </c>
      <c r="N146" s="21">
        <f>SUM(E146:M146)</f>
        <v/>
      </c>
    </row>
    <row r="147">
      <c r="A147" s="23" t="inlineStr">
        <is>
          <t>DHAN-221260915460909</t>
        </is>
      </c>
      <c r="B147" s="23" t="inlineStr">
        <is>
          <t>MOBIKWIK</t>
        </is>
      </c>
      <c r="C147" s="23" t="inlineStr">
        <is>
          <t>SHORT</t>
        </is>
      </c>
      <c r="D147" s="24" t="n">
        <v>46280</v>
      </c>
      <c r="E147" s="4" t="n">
        <v>20</v>
      </c>
      <c r="F147" s="4" t="n">
        <v>220.17</v>
      </c>
      <c r="G147" s="4" t="n">
        <v>10.83</v>
      </c>
      <c r="H147" s="4" t="n">
        <v>0.35</v>
      </c>
      <c r="I147" s="4" t="n">
        <v>5.31</v>
      </c>
      <c r="J147" s="4" t="n">
        <v>5.61</v>
      </c>
      <c r="K147" s="4" t="n">
        <v>0</v>
      </c>
      <c r="L147" s="4" t="n">
        <v>0</v>
      </c>
      <c r="M147" s="4" t="n">
        <v>0</v>
      </c>
      <c r="N147" s="21">
        <f>SUM(E147:M147)</f>
        <v/>
      </c>
    </row>
    <row r="148">
      <c r="A148" s="23" t="inlineStr">
        <is>
          <t>DHAN-321260911696609</t>
        </is>
      </c>
      <c r="B148" s="23" t="inlineStr">
        <is>
          <t>QUADFUTURE</t>
        </is>
      </c>
      <c r="C148" s="23" t="inlineStr">
        <is>
          <t>LONG</t>
        </is>
      </c>
      <c r="D148" s="24" t="n">
        <v>46280</v>
      </c>
      <c r="E148" s="4" t="n">
        <v>40</v>
      </c>
      <c r="F148" s="4" t="n">
        <v>181.51</v>
      </c>
      <c r="G148" s="4" t="n">
        <v>11.33</v>
      </c>
      <c r="H148" s="4" t="n">
        <v>0.37</v>
      </c>
      <c r="I148" s="4" t="n">
        <v>27.36</v>
      </c>
      <c r="J148" s="4" t="n">
        <v>9.31</v>
      </c>
      <c r="K148" s="4" t="n">
        <v>14.75</v>
      </c>
      <c r="L148" s="4" t="n">
        <v>35.4</v>
      </c>
      <c r="M148" s="4" t="n">
        <v>143.29</v>
      </c>
      <c r="N148" s="21">
        <f>SUM(E148:M148)</f>
        <v/>
      </c>
    </row>
    <row r="149">
      <c r="A149" s="23" t="inlineStr">
        <is>
          <t>DHAN-34126091550709</t>
        </is>
      </c>
      <c r="B149" s="23" t="inlineStr">
        <is>
          <t>QUADFUTURE</t>
        </is>
      </c>
      <c r="C149" s="23" t="inlineStr">
        <is>
          <t>SHORT</t>
        </is>
      </c>
      <c r="D149" s="24" t="n">
        <v>46280</v>
      </c>
      <c r="E149" s="4" t="n">
        <v>20</v>
      </c>
      <c r="F149" s="4" t="n">
        <v>232.7</v>
      </c>
      <c r="G149" s="4" t="n">
        <v>11.42</v>
      </c>
      <c r="H149" s="4" t="n">
        <v>0.37</v>
      </c>
      <c r="I149" s="4" t="n">
        <v>6</v>
      </c>
      <c r="J149" s="4" t="n">
        <v>5.72</v>
      </c>
      <c r="K149" s="4" t="n">
        <v>0</v>
      </c>
      <c r="L149" s="4" t="n">
        <v>0</v>
      </c>
      <c r="M149" s="4" t="n">
        <v>0</v>
      </c>
      <c r="N149" s="21">
        <f>SUM(E149:M149)</f>
        <v/>
      </c>
    </row>
    <row r="150">
      <c r="A150" s="23" t="inlineStr">
        <is>
          <t>DHAN-321260911696809</t>
        </is>
      </c>
      <c r="B150" s="23" t="inlineStr">
        <is>
          <t>RACLGEAR</t>
        </is>
      </c>
      <c r="C150" s="23" t="inlineStr">
        <is>
          <t>LONG</t>
        </is>
      </c>
      <c r="D150" s="24" t="n">
        <v>46280</v>
      </c>
      <c r="E150" s="4" t="n">
        <v>40</v>
      </c>
      <c r="F150" s="4" t="n">
        <v>180.93</v>
      </c>
      <c r="G150" s="4" t="n">
        <v>11.17</v>
      </c>
      <c r="H150" s="4" t="n">
        <v>0.36</v>
      </c>
      <c r="I150" s="4" t="n">
        <v>27.14</v>
      </c>
      <c r="J150" s="4" t="n">
        <v>9.279999999999999</v>
      </c>
      <c r="K150" s="4" t="n">
        <v>14.75</v>
      </c>
      <c r="L150" s="4" t="n">
        <v>35.4</v>
      </c>
      <c r="M150" s="4" t="n">
        <v>123.76</v>
      </c>
      <c r="N150" s="21">
        <f>SUM(E150:M150)</f>
        <v/>
      </c>
    </row>
    <row r="151">
      <c r="A151" s="23" t="inlineStr">
        <is>
          <t>DHAN-34126091518009</t>
        </is>
      </c>
      <c r="B151" s="23" t="inlineStr">
        <is>
          <t>RACLGEAR</t>
        </is>
      </c>
      <c r="C151" s="23" t="inlineStr">
        <is>
          <t>SHORT</t>
        </is>
      </c>
      <c r="D151" s="24" t="n">
        <v>46280</v>
      </c>
      <c r="E151" s="4" t="n">
        <v>20</v>
      </c>
      <c r="F151" s="4" t="n">
        <v>224.77</v>
      </c>
      <c r="G151" s="4" t="n">
        <v>10.95</v>
      </c>
      <c r="H151" s="4" t="n">
        <v>0.36</v>
      </c>
      <c r="I151" s="4" t="n">
        <v>5.22</v>
      </c>
      <c r="J151" s="4" t="n">
        <v>5.63</v>
      </c>
      <c r="K151" s="4" t="n">
        <v>0</v>
      </c>
      <c r="L151" s="4" t="n">
        <v>0</v>
      </c>
      <c r="M151" s="4" t="n">
        <v>0</v>
      </c>
      <c r="N151" s="21">
        <f>SUM(E151:M151)</f>
        <v/>
      </c>
    </row>
    <row r="152">
      <c r="A152" s="23" t="inlineStr">
        <is>
          <t>DHAN-23126091161209</t>
        </is>
      </c>
      <c r="B152" s="23" t="inlineStr">
        <is>
          <t>SIKA</t>
        </is>
      </c>
      <c r="C152" s="23" t="inlineStr">
        <is>
          <t>LONG</t>
        </is>
      </c>
      <c r="D152" s="24" t="n">
        <v>46280</v>
      </c>
      <c r="E152" s="4" t="n">
        <v>20</v>
      </c>
      <c r="F152" s="4" t="n">
        <v>90.23</v>
      </c>
      <c r="G152" s="4" t="n">
        <v>5.41</v>
      </c>
      <c r="H152" s="4" t="n">
        <v>0.18</v>
      </c>
      <c r="I152" s="4" t="n">
        <v>13.54</v>
      </c>
      <c r="J152" s="4" t="n">
        <v>4.61</v>
      </c>
      <c r="K152" s="4" t="n">
        <v>14.75</v>
      </c>
      <c r="L152" s="4" t="n">
        <v>0</v>
      </c>
      <c r="M152" s="4" t="n">
        <v>0</v>
      </c>
      <c r="N152" s="21">
        <f>SUM(E152:M152)</f>
        <v/>
      </c>
    </row>
    <row r="153">
      <c r="A153" s="23" t="inlineStr">
        <is>
          <t>DHAN-23126091546509</t>
        </is>
      </c>
      <c r="B153" s="23" t="inlineStr">
        <is>
          <t>SIKA</t>
        </is>
      </c>
      <c r="C153" s="23" t="inlineStr">
        <is>
          <t>SHORT</t>
        </is>
      </c>
      <c r="D153" s="24" t="n">
        <v>46280</v>
      </c>
      <c r="E153" s="4" t="n">
        <v>20</v>
      </c>
      <c r="F153" s="4" t="n">
        <v>107.7</v>
      </c>
      <c r="G153" s="4" t="n">
        <v>5.3</v>
      </c>
      <c r="H153" s="4" t="n">
        <v>0.17</v>
      </c>
      <c r="I153" s="4" t="n">
        <v>2.6</v>
      </c>
      <c r="J153" s="4" t="n">
        <v>4.58</v>
      </c>
      <c r="K153" s="4" t="n">
        <v>0</v>
      </c>
      <c r="L153" s="4" t="n">
        <v>0</v>
      </c>
      <c r="M153" s="4" t="n">
        <v>0</v>
      </c>
      <c r="N153" s="21">
        <f>SUM(E153:M153)</f>
        <v/>
      </c>
    </row>
    <row r="154">
      <c r="A154" s="23" t="inlineStr">
        <is>
          <t>DHAN-221260911696209</t>
        </is>
      </c>
      <c r="B154" s="23" t="inlineStr">
        <is>
          <t>SMSPHARMA</t>
        </is>
      </c>
      <c r="C154" s="23" t="inlineStr">
        <is>
          <t>LONG</t>
        </is>
      </c>
      <c r="D154" s="24" t="n">
        <v>46280</v>
      </c>
      <c r="E154" s="4" t="n">
        <v>40</v>
      </c>
      <c r="F154" s="4" t="n">
        <v>220.82</v>
      </c>
      <c r="G154" s="4" t="n">
        <v>10.47</v>
      </c>
      <c r="H154" s="4" t="n">
        <v>0.34</v>
      </c>
      <c r="I154" s="4" t="n">
        <v>27.12</v>
      </c>
      <c r="J154" s="4" t="n">
        <v>9.15</v>
      </c>
      <c r="K154" s="4" t="n">
        <v>14.75</v>
      </c>
      <c r="L154" s="4" t="n">
        <v>35.4</v>
      </c>
      <c r="M154" s="4" t="n">
        <v>154.61</v>
      </c>
      <c r="N154" s="21">
        <f>SUM(E154:M154)</f>
        <v/>
      </c>
    </row>
    <row r="155">
      <c r="A155" s="23" t="inlineStr">
        <is>
          <t>DHAN-34126091550609</t>
        </is>
      </c>
      <c r="B155" s="23" t="inlineStr">
        <is>
          <t>SMSPHARMA</t>
        </is>
      </c>
      <c r="C155" s="23" t="inlineStr">
        <is>
          <t>SHORT</t>
        </is>
      </c>
      <c r="D155" s="24" t="n">
        <v>46280</v>
      </c>
      <c r="E155" s="4" t="n">
        <v>20</v>
      </c>
      <c r="F155" s="4" t="n">
        <v>159.96</v>
      </c>
      <c r="G155" s="4" t="n">
        <v>9.81</v>
      </c>
      <c r="H155" s="4" t="n">
        <v>0.32</v>
      </c>
      <c r="I155" s="4" t="n">
        <v>4.78</v>
      </c>
      <c r="J155" s="4" t="n">
        <v>5.42</v>
      </c>
      <c r="K155" s="4" t="n">
        <v>0</v>
      </c>
      <c r="L155" s="4" t="n">
        <v>0</v>
      </c>
      <c r="M155" s="4" t="n">
        <v>0</v>
      </c>
      <c r="N155" s="21">
        <f>SUM(E155:M155)</f>
        <v/>
      </c>
    </row>
    <row r="156">
      <c r="A156" s="23" t="inlineStr">
        <is>
          <t>DHAN-23126091659109</t>
        </is>
      </c>
      <c r="B156" s="23" t="inlineStr">
        <is>
          <t>EMUDHRA</t>
        </is>
      </c>
      <c r="C156" s="23" t="inlineStr">
        <is>
          <t>LONG</t>
        </is>
      </c>
      <c r="D156" s="24" t="n">
        <v>46282</v>
      </c>
      <c r="E156" s="4" t="n">
        <v>40</v>
      </c>
      <c r="F156" s="4" t="n">
        <v>250.7</v>
      </c>
      <c r="G156" s="4" t="n">
        <v>15.4</v>
      </c>
      <c r="H156" s="4" t="n">
        <v>0.5</v>
      </c>
      <c r="I156" s="4" t="n">
        <v>37.46</v>
      </c>
      <c r="J156" s="4" t="n">
        <v>10.06</v>
      </c>
      <c r="K156" s="4" t="n">
        <v>14.75</v>
      </c>
      <c r="L156" s="4" t="n">
        <v>35.4</v>
      </c>
      <c r="M156" s="4" t="n">
        <v>30.9</v>
      </c>
      <c r="N156" s="21">
        <f>SUM(E156:M156)</f>
        <v/>
      </c>
    </row>
    <row r="157">
      <c r="A157" s="23" t="inlineStr">
        <is>
          <t>DHAN-23126091746909</t>
        </is>
      </c>
      <c r="B157" s="23" t="inlineStr">
        <is>
          <t>EMUDHRA</t>
        </is>
      </c>
      <c r="C157" s="23" t="inlineStr">
        <is>
          <t>SHORT</t>
        </is>
      </c>
      <c r="D157" s="24" t="n">
        <v>46282</v>
      </c>
      <c r="E157" s="4" t="n">
        <v>20</v>
      </c>
      <c r="F157" s="4" t="n">
        <v>315.33</v>
      </c>
      <c r="G157" s="4" t="n">
        <v>15.54</v>
      </c>
      <c r="H157" s="4" t="n">
        <v>0.51</v>
      </c>
      <c r="I157" s="4" t="n">
        <v>7.68</v>
      </c>
      <c r="J157" s="4" t="n">
        <v>6.49</v>
      </c>
      <c r="K157" s="4" t="n">
        <v>0</v>
      </c>
      <c r="L157" s="4" t="n">
        <v>0</v>
      </c>
      <c r="M157" s="4" t="n">
        <v>0</v>
      </c>
      <c r="N157" s="21">
        <f>SUM(E157:M157)</f>
        <v/>
      </c>
    </row>
    <row r="158">
      <c r="A158" s="23" t="inlineStr">
        <is>
          <t>DHAN-34126091663709</t>
        </is>
      </c>
      <c r="B158" s="23" t="inlineStr">
        <is>
          <t>FOSECOIND</t>
        </is>
      </c>
      <c r="C158" s="23" t="inlineStr">
        <is>
          <t>LONG</t>
        </is>
      </c>
      <c r="D158" s="24" t="n">
        <v>46282</v>
      </c>
      <c r="E158" s="4" t="n">
        <v>40</v>
      </c>
      <c r="F158" s="4" t="n">
        <v>314.93</v>
      </c>
      <c r="G158" s="4" t="n">
        <v>15.64</v>
      </c>
      <c r="H158" s="4" t="n">
        <v>0.51</v>
      </c>
      <c r="I158" s="4" t="n">
        <v>37.62</v>
      </c>
      <c r="J158" s="4" t="n">
        <v>10.11</v>
      </c>
      <c r="K158" s="4" t="n">
        <v>14.75</v>
      </c>
      <c r="L158" s="4" t="n">
        <v>35.4</v>
      </c>
      <c r="M158" s="4" t="n">
        <v>55.76</v>
      </c>
      <c r="N158" s="21">
        <f>SUM(E158:M158)</f>
        <v/>
      </c>
    </row>
    <row r="159">
      <c r="A159" s="23" t="inlineStr">
        <is>
          <t>DHAN-23126091718009</t>
        </is>
      </c>
      <c r="B159" s="23" t="inlineStr">
        <is>
          <t>FOSECOIND</t>
        </is>
      </c>
      <c r="C159" s="23" t="inlineStr">
        <is>
          <t>SHORT</t>
        </is>
      </c>
      <c r="D159" s="24" t="n">
        <v>46282</v>
      </c>
      <c r="E159" s="4" t="n">
        <v>20</v>
      </c>
      <c r="F159" s="4" t="n">
        <v>256.73</v>
      </c>
      <c r="G159" s="4" t="n">
        <v>15.67</v>
      </c>
      <c r="H159" s="4" t="n">
        <v>0.51</v>
      </c>
      <c r="I159" s="4" t="n">
        <v>7.56</v>
      </c>
      <c r="J159" s="4" t="n">
        <v>6.51</v>
      </c>
      <c r="K159" s="4" t="n">
        <v>0</v>
      </c>
      <c r="L159" s="4" t="n">
        <v>0</v>
      </c>
      <c r="M159" s="4" t="n">
        <v>0</v>
      </c>
      <c r="N159" s="21">
        <f>SUM(E159:M159)</f>
        <v/>
      </c>
    </row>
    <row r="160">
      <c r="A160" s="23" t="inlineStr">
        <is>
          <t>DHAN-221260916649209</t>
        </is>
      </c>
      <c r="B160" s="23" t="inlineStr">
        <is>
          <t>IPL</t>
        </is>
      </c>
      <c r="C160" s="23" t="inlineStr">
        <is>
          <t>LONG</t>
        </is>
      </c>
      <c r="D160" s="24" t="n">
        <v>46282</v>
      </c>
      <c r="E160" s="4" t="n">
        <v>40</v>
      </c>
      <c r="F160" s="4" t="n">
        <v>313.86</v>
      </c>
      <c r="G160" s="4" t="n">
        <v>15.42</v>
      </c>
      <c r="H160" s="4" t="n">
        <v>0.5</v>
      </c>
      <c r="I160" s="4" t="n">
        <v>37.61</v>
      </c>
      <c r="J160" s="4" t="n">
        <v>10.07</v>
      </c>
      <c r="K160" s="4" t="n">
        <v>14.75</v>
      </c>
      <c r="L160" s="4" t="n">
        <v>35.4</v>
      </c>
      <c r="M160" s="4" t="n">
        <v>51.45</v>
      </c>
      <c r="N160" s="21">
        <f>SUM(E160:M160)</f>
        <v/>
      </c>
    </row>
    <row r="161">
      <c r="A161" s="23" t="inlineStr">
        <is>
          <t>DHAN-34126091721009</t>
        </is>
      </c>
      <c r="B161" s="23" t="inlineStr">
        <is>
          <t>IPL</t>
        </is>
      </c>
      <c r="C161" s="23" t="inlineStr">
        <is>
          <t>SHORT</t>
        </is>
      </c>
      <c r="D161" s="24" t="n">
        <v>46282</v>
      </c>
      <c r="E161" s="4" t="n">
        <v>20</v>
      </c>
      <c r="F161" s="4" t="n">
        <v>252.54</v>
      </c>
      <c r="G161" s="4" t="n">
        <v>15.53</v>
      </c>
      <c r="H161" s="4" t="n">
        <v>0.51</v>
      </c>
      <c r="I161" s="4" t="n">
        <v>7.63</v>
      </c>
      <c r="J161" s="4" t="n">
        <v>6.49</v>
      </c>
      <c r="K161" s="4" t="n">
        <v>0</v>
      </c>
      <c r="L161" s="4" t="n">
        <v>0</v>
      </c>
      <c r="M161" s="4" t="n">
        <v>0</v>
      </c>
      <c r="N161" s="21">
        <f>SUM(E161:M161)</f>
        <v/>
      </c>
    </row>
    <row r="162">
      <c r="A162" s="23" t="inlineStr">
        <is>
          <t>DHAN-221260916649109</t>
        </is>
      </c>
      <c r="B162" s="23" t="inlineStr">
        <is>
          <t>NPST</t>
        </is>
      </c>
      <c r="C162" s="23" t="inlineStr">
        <is>
          <t>LONG</t>
        </is>
      </c>
      <c r="D162" s="24" t="n">
        <v>46282</v>
      </c>
      <c r="E162" s="4" t="n">
        <v>40</v>
      </c>
      <c r="F162" s="4" t="n">
        <v>312.65</v>
      </c>
      <c r="G162" s="4" t="n">
        <v>15.44</v>
      </c>
      <c r="H162" s="4" t="n">
        <v>0.5</v>
      </c>
      <c r="I162" s="4" t="n">
        <v>37.43</v>
      </c>
      <c r="J162" s="4" t="n">
        <v>10.07</v>
      </c>
      <c r="K162" s="4" t="n">
        <v>14.75</v>
      </c>
      <c r="L162" s="4" t="n">
        <v>35.4</v>
      </c>
      <c r="M162" s="4" t="n">
        <v>51.2</v>
      </c>
      <c r="N162" s="21">
        <f>SUM(E162:M162)</f>
        <v/>
      </c>
    </row>
    <row r="163">
      <c r="A163" s="23" t="inlineStr">
        <is>
          <t>DHAN-22126091785509</t>
        </is>
      </c>
      <c r="B163" s="23" t="inlineStr">
        <is>
          <t>NPST</t>
        </is>
      </c>
      <c r="C163" s="23" t="inlineStr">
        <is>
          <t>SHORT</t>
        </is>
      </c>
      <c r="D163" s="24" t="n">
        <v>46282</v>
      </c>
      <c r="E163" s="4" t="n">
        <v>20</v>
      </c>
      <c r="F163" s="4" t="n">
        <v>252.58</v>
      </c>
      <c r="G163" s="4" t="n">
        <v>15.48</v>
      </c>
      <c r="H163" s="4" t="n">
        <v>0.5</v>
      </c>
      <c r="I163" s="4" t="n">
        <v>7.52</v>
      </c>
      <c r="J163" s="4" t="n">
        <v>6.48</v>
      </c>
      <c r="K163" s="4" t="n">
        <v>0</v>
      </c>
      <c r="L163" s="4" t="n">
        <v>0</v>
      </c>
      <c r="M163" s="4" t="n">
        <v>0</v>
      </c>
      <c r="N163" s="21">
        <f>SUM(E163:M163)</f>
        <v/>
      </c>
    </row>
    <row r="164">
      <c r="A164" s="23" t="inlineStr">
        <is>
          <t>DHAN-34126091663809</t>
        </is>
      </c>
      <c r="B164" s="23" t="inlineStr">
        <is>
          <t>ROSSTECH</t>
        </is>
      </c>
      <c r="C164" s="23" t="inlineStr">
        <is>
          <t>LONG</t>
        </is>
      </c>
      <c r="D164" s="24" t="n">
        <v>46282</v>
      </c>
      <c r="E164" s="4" t="n">
        <v>40</v>
      </c>
      <c r="F164" s="4" t="n">
        <v>249.41</v>
      </c>
      <c r="G164" s="4" t="n">
        <v>15.45</v>
      </c>
      <c r="H164" s="4" t="n">
        <v>0.5</v>
      </c>
      <c r="I164" s="4" t="n">
        <v>37.41</v>
      </c>
      <c r="J164" s="4" t="n">
        <v>10.07</v>
      </c>
      <c r="K164" s="4" t="n">
        <v>14.75</v>
      </c>
      <c r="L164" s="4" t="n">
        <v>35.4</v>
      </c>
      <c r="M164" s="4" t="n">
        <v>42.65</v>
      </c>
      <c r="N164" s="21">
        <f>SUM(E164:M164)</f>
        <v/>
      </c>
    </row>
    <row r="165">
      <c r="A165" s="23" t="inlineStr">
        <is>
          <t>DHAN-22126091785609</t>
        </is>
      </c>
      <c r="B165" s="23" t="inlineStr">
        <is>
          <t>ROSSTECH</t>
        </is>
      </c>
      <c r="C165" s="23" t="inlineStr">
        <is>
          <t>SHORT</t>
        </is>
      </c>
      <c r="D165" s="24" t="n">
        <v>46282</v>
      </c>
      <c r="E165" s="4" t="n">
        <v>20</v>
      </c>
      <c r="F165" s="4" t="n">
        <v>317.35</v>
      </c>
      <c r="G165" s="4" t="n">
        <v>15.59</v>
      </c>
      <c r="H165" s="4" t="n">
        <v>0.51</v>
      </c>
      <c r="I165" s="4" t="n">
        <v>7.61</v>
      </c>
      <c r="J165" s="4" t="n">
        <v>6.5</v>
      </c>
      <c r="K165" s="4" t="n">
        <v>0</v>
      </c>
      <c r="L165" s="4" t="n">
        <v>0</v>
      </c>
      <c r="M165" s="4" t="n">
        <v>0</v>
      </c>
      <c r="N165" s="21">
        <f>SUM(E165:M165)</f>
        <v/>
      </c>
    </row>
    <row r="166">
      <c r="A166" s="23" t="inlineStr">
        <is>
          <t>DHAN-221260916649309</t>
        </is>
      </c>
      <c r="B166" s="23" t="inlineStr">
        <is>
          <t>SAATVIKGL</t>
        </is>
      </c>
      <c r="C166" s="23" t="inlineStr">
        <is>
          <t>LONG</t>
        </is>
      </c>
      <c r="D166" s="24" t="n">
        <v>46282</v>
      </c>
      <c r="E166" s="4" t="n">
        <v>40</v>
      </c>
      <c r="F166" s="4" t="n">
        <v>249.83</v>
      </c>
      <c r="G166" s="4" t="n">
        <v>15.22</v>
      </c>
      <c r="H166" s="4" t="n">
        <v>0.5</v>
      </c>
      <c r="I166" s="4" t="n">
        <v>37.47</v>
      </c>
      <c r="J166" s="4" t="n">
        <v>10.03</v>
      </c>
      <c r="K166" s="4" t="n">
        <v>14.75</v>
      </c>
      <c r="L166" s="4" t="n">
        <v>35.4</v>
      </c>
      <c r="M166" s="4" t="n">
        <v>58.67</v>
      </c>
      <c r="N166" s="21">
        <f>SUM(E166:M166)</f>
        <v/>
      </c>
    </row>
    <row r="167">
      <c r="A167" s="23" t="inlineStr">
        <is>
          <t>DHAN-221260917413309</t>
        </is>
      </c>
      <c r="B167" s="23" t="inlineStr">
        <is>
          <t>SAATVIKGL</t>
        </is>
      </c>
      <c r="C167" s="23" t="inlineStr">
        <is>
          <t>SHORT</t>
        </is>
      </c>
      <c r="D167" s="24" t="n">
        <v>46282</v>
      </c>
      <c r="E167" s="4" t="n">
        <v>20</v>
      </c>
      <c r="F167" s="4" t="n">
        <v>306.41</v>
      </c>
      <c r="G167" s="4" t="n">
        <v>15.03</v>
      </c>
      <c r="H167" s="4" t="n">
        <v>0.49</v>
      </c>
      <c r="I167" s="4" t="n">
        <v>7.32</v>
      </c>
      <c r="J167" s="4" t="n">
        <v>6.39</v>
      </c>
      <c r="K167" s="4" t="n">
        <v>0</v>
      </c>
      <c r="L167" s="4" t="n">
        <v>0</v>
      </c>
      <c r="M167" s="4" t="n">
        <v>0</v>
      </c>
      <c r="N167" s="21">
        <f>SUM(E167:M167)</f>
        <v/>
      </c>
    </row>
    <row r="168">
      <c r="A168" s="23" t="inlineStr">
        <is>
          <t>DHAN-221260917656409</t>
        </is>
      </c>
      <c r="B168" s="23" t="inlineStr">
        <is>
          <t>SHAREINDIA</t>
        </is>
      </c>
      <c r="C168" s="23" t="inlineStr">
        <is>
          <t>LONG</t>
        </is>
      </c>
      <c r="D168" s="24" t="n">
        <v>46283</v>
      </c>
      <c r="E168" s="4" t="n">
        <v>40</v>
      </c>
      <c r="F168" s="4" t="n">
        <v>377.98</v>
      </c>
      <c r="G168" s="4" t="n">
        <v>23.37</v>
      </c>
      <c r="H168" s="4" t="n">
        <v>0.76</v>
      </c>
      <c r="I168" s="4" t="n">
        <v>56.7</v>
      </c>
      <c r="J168" s="4" t="n">
        <v>11.54</v>
      </c>
      <c r="K168" s="4" t="n">
        <v>14.75</v>
      </c>
      <c r="L168" s="4" t="n">
        <v>35.4</v>
      </c>
      <c r="M168" s="4" t="n">
        <v>65.93000000000001</v>
      </c>
      <c r="N168" s="21">
        <f>SUM(E168:M168)</f>
        <v/>
      </c>
    </row>
    <row r="169">
      <c r="A169" s="23" t="inlineStr">
        <is>
          <t>DHAN-34126091813609</t>
        </is>
      </c>
      <c r="B169" s="23" t="inlineStr">
        <is>
          <t>SHAREINDIA</t>
        </is>
      </c>
      <c r="C169" s="23" t="inlineStr">
        <is>
          <t>SHORT</t>
        </is>
      </c>
      <c r="D169" s="24" t="n">
        <v>46283</v>
      </c>
      <c r="E169" s="4" t="n">
        <v>20</v>
      </c>
      <c r="F169" s="4" t="n">
        <v>483.95</v>
      </c>
      <c r="G169" s="4" t="n">
        <v>23.86</v>
      </c>
      <c r="H169" s="4" t="n">
        <v>0.77</v>
      </c>
      <c r="I169" s="4" t="n">
        <v>11.77</v>
      </c>
      <c r="J169" s="4" t="n">
        <v>8.029999999999999</v>
      </c>
      <c r="K169" s="4" t="n">
        <v>0</v>
      </c>
      <c r="L169" s="4" t="n">
        <v>0</v>
      </c>
      <c r="M169" s="4" t="n">
        <v>0</v>
      </c>
      <c r="N169" s="21">
        <f>SUM(E169:M169)</f>
        <v/>
      </c>
    </row>
    <row r="170">
      <c r="A170" s="23" t="inlineStr">
        <is>
          <t>DHAN-321260917609709</t>
        </is>
      </c>
      <c r="B170" s="23" t="inlineStr">
        <is>
          <t>VENUSPIPES</t>
        </is>
      </c>
      <c r="C170" s="23" t="inlineStr">
        <is>
          <t>LONG</t>
        </is>
      </c>
      <c r="D170" s="24" t="n">
        <v>46283</v>
      </c>
      <c r="E170" s="4" t="n">
        <v>40</v>
      </c>
      <c r="F170" s="4" t="n">
        <v>375.7</v>
      </c>
      <c r="G170" s="4" t="n">
        <v>23.23</v>
      </c>
      <c r="H170" s="4" t="n">
        <v>0.76</v>
      </c>
      <c r="I170" s="4" t="n">
        <v>55.98</v>
      </c>
      <c r="J170" s="4" t="n">
        <v>11.52</v>
      </c>
      <c r="K170" s="4" t="n">
        <v>14.75</v>
      </c>
      <c r="L170" s="4" t="n">
        <v>35.4</v>
      </c>
      <c r="M170" s="4" t="n">
        <v>77.09</v>
      </c>
      <c r="N170" s="21">
        <f>SUM(E170:M170)</f>
        <v/>
      </c>
    </row>
    <row r="171">
      <c r="A171" s="23" t="inlineStr">
        <is>
          <t>DHAN-22126091853309</t>
        </is>
      </c>
      <c r="B171" s="23" t="inlineStr">
        <is>
          <t>VENUSPIPES</t>
        </is>
      </c>
      <c r="C171" s="23" t="inlineStr">
        <is>
          <t>SHORT</t>
        </is>
      </c>
      <c r="D171" s="24" t="n">
        <v>46283</v>
      </c>
      <c r="E171" s="4" t="n">
        <v>20</v>
      </c>
      <c r="F171" s="4" t="n">
        <v>485.78</v>
      </c>
      <c r="G171" s="4" t="n">
        <v>24.1</v>
      </c>
      <c r="H171" s="4" t="n">
        <v>0.78</v>
      </c>
      <c r="I171" s="4" t="n">
        <v>12.1</v>
      </c>
      <c r="J171" s="4" t="n">
        <v>8.08</v>
      </c>
      <c r="K171" s="4" t="n">
        <v>0</v>
      </c>
      <c r="L171" s="4" t="n">
        <v>0</v>
      </c>
      <c r="M171" s="4" t="n">
        <v>0</v>
      </c>
      <c r="N171" s="21">
        <f>SUM(E171:M171)</f>
        <v/>
      </c>
    </row>
    <row r="172">
      <c r="A172" s="23" t="inlineStr">
        <is>
          <t>DHAN-34126091878509</t>
        </is>
      </c>
      <c r="B172" s="23" t="inlineStr">
        <is>
          <t>GRAUWEIL</t>
        </is>
      </c>
      <c r="C172" s="23" t="inlineStr">
        <is>
          <t>LONG</t>
        </is>
      </c>
      <c r="D172" s="24" t="n">
        <v>46286</v>
      </c>
      <c r="E172" s="4" t="n">
        <v>20</v>
      </c>
      <c r="F172" s="4" t="n">
        <v>186.61</v>
      </c>
      <c r="G172" s="4" t="n">
        <v>9.119999999999999</v>
      </c>
      <c r="H172" s="4" t="n">
        <v>0.3</v>
      </c>
      <c r="I172" s="4" t="n">
        <v>22.49</v>
      </c>
      <c r="J172" s="4" t="n">
        <v>5.29</v>
      </c>
      <c r="K172" s="4" t="n">
        <v>14.75</v>
      </c>
      <c r="L172" s="4" t="n">
        <v>0</v>
      </c>
      <c r="M172" s="4" t="n">
        <v>0</v>
      </c>
      <c r="N172" s="21">
        <f>SUM(E172:M172)</f>
        <v/>
      </c>
    </row>
    <row r="173">
      <c r="A173" s="23" t="inlineStr">
        <is>
          <t>DHAN-321260921417509</t>
        </is>
      </c>
      <c r="B173" s="23" t="inlineStr">
        <is>
          <t>GRAUWEIL</t>
        </is>
      </c>
      <c r="C173" s="23" t="inlineStr">
        <is>
          <t>SHORT</t>
        </is>
      </c>
      <c r="D173" s="24" t="n">
        <v>46286</v>
      </c>
      <c r="E173" s="4" t="n">
        <v>20</v>
      </c>
      <c r="F173" s="4" t="n">
        <v>146.69</v>
      </c>
      <c r="G173" s="4" t="n">
        <v>9</v>
      </c>
      <c r="H173" s="4" t="n">
        <v>0.29</v>
      </c>
      <c r="I173" s="4" t="n">
        <v>4.39</v>
      </c>
      <c r="J173" s="4" t="n">
        <v>5.27</v>
      </c>
      <c r="K173" s="4" t="n">
        <v>0</v>
      </c>
      <c r="L173" s="4" t="n">
        <v>0</v>
      </c>
      <c r="M173" s="4" t="n">
        <v>0</v>
      </c>
      <c r="N173" s="21">
        <f>SUM(E173:M173)</f>
        <v/>
      </c>
    </row>
    <row r="174">
      <c r="A174" s="23" t="inlineStr">
        <is>
          <t>DHAN-221260918730609</t>
        </is>
      </c>
      <c r="B174" s="23" t="inlineStr">
        <is>
          <t>LUXIND</t>
        </is>
      </c>
      <c r="C174" s="23" t="inlineStr">
        <is>
          <t>LONG</t>
        </is>
      </c>
      <c r="D174" s="24" t="n">
        <v>46286</v>
      </c>
      <c r="E174" s="4" t="n">
        <v>40</v>
      </c>
      <c r="F174" s="4" t="n">
        <v>299.77</v>
      </c>
      <c r="G174" s="4" t="n">
        <v>18.41</v>
      </c>
      <c r="H174" s="4" t="n">
        <v>0.6</v>
      </c>
      <c r="I174" s="4" t="n">
        <v>44.97</v>
      </c>
      <c r="J174" s="4" t="n">
        <v>10.62</v>
      </c>
      <c r="K174" s="4" t="n">
        <v>14.75</v>
      </c>
      <c r="L174" s="4" t="n">
        <v>35.4</v>
      </c>
      <c r="M174" s="4" t="n">
        <v>197.03</v>
      </c>
      <c r="N174" s="21">
        <f>SUM(E174:M174)</f>
        <v/>
      </c>
    </row>
    <row r="175">
      <c r="A175" s="23" t="inlineStr">
        <is>
          <t>DHAN-23126092113309</t>
        </is>
      </c>
      <c r="B175" s="23" t="inlineStr">
        <is>
          <t>LUXIND</t>
        </is>
      </c>
      <c r="C175" s="23" t="inlineStr">
        <is>
          <t>SHORT</t>
        </is>
      </c>
      <c r="D175" s="24" t="n">
        <v>46286</v>
      </c>
      <c r="E175" s="4" t="n">
        <v>20</v>
      </c>
      <c r="F175" s="4" t="n">
        <v>380.7</v>
      </c>
      <c r="G175" s="4" t="n">
        <v>18.85</v>
      </c>
      <c r="H175" s="4" t="n">
        <v>0.61</v>
      </c>
      <c r="I175" s="4" t="n">
        <v>9.449999999999999</v>
      </c>
      <c r="J175" s="4" t="n">
        <v>7.1</v>
      </c>
      <c r="K175" s="4" t="n">
        <v>0</v>
      </c>
      <c r="L175" s="4" t="n">
        <v>0</v>
      </c>
      <c r="M175" s="4" t="n">
        <v>0</v>
      </c>
      <c r="N175" s="21">
        <f>SUM(E175:M175)</f>
        <v/>
      </c>
    </row>
    <row r="176">
      <c r="A176" s="23" t="inlineStr">
        <is>
          <t>DHAN-23126091873309</t>
        </is>
      </c>
      <c r="B176" s="23" t="inlineStr">
        <is>
          <t>NRBBEARING</t>
        </is>
      </c>
      <c r="C176" s="23" t="inlineStr">
        <is>
          <t>LONG</t>
        </is>
      </c>
      <c r="D176" s="24" t="n">
        <v>46286</v>
      </c>
      <c r="E176" s="4" t="n">
        <v>40</v>
      </c>
      <c r="F176" s="4" t="n">
        <v>298.79</v>
      </c>
      <c r="G176" s="4" t="n">
        <v>18.48</v>
      </c>
      <c r="H176" s="4" t="n">
        <v>0.6</v>
      </c>
      <c r="I176" s="4" t="n">
        <v>44.7</v>
      </c>
      <c r="J176" s="4" t="n">
        <v>10.63</v>
      </c>
      <c r="K176" s="4" t="n">
        <v>14.75</v>
      </c>
      <c r="L176" s="4" t="n">
        <v>35.4</v>
      </c>
      <c r="M176" s="4" t="n">
        <v>183.94</v>
      </c>
      <c r="N176" s="21">
        <f>SUM(E176:M176)</f>
        <v/>
      </c>
    </row>
    <row r="177">
      <c r="A177" s="23" t="inlineStr">
        <is>
          <t>DHAN-22126092158309</t>
        </is>
      </c>
      <c r="B177" s="23" t="inlineStr">
        <is>
          <t>NRBBEARING</t>
        </is>
      </c>
      <c r="C177" s="23" t="inlineStr">
        <is>
          <t>SHORT</t>
        </is>
      </c>
      <c r="D177" s="24" t="n">
        <v>46286</v>
      </c>
      <c r="E177" s="4" t="n">
        <v>20</v>
      </c>
      <c r="F177" s="4" t="n">
        <v>378.86</v>
      </c>
      <c r="G177" s="4" t="n">
        <v>18.61</v>
      </c>
      <c r="H177" s="4" t="n">
        <v>0.61</v>
      </c>
      <c r="I177" s="4" t="n">
        <v>9.06</v>
      </c>
      <c r="J177" s="4" t="n">
        <v>7.06</v>
      </c>
      <c r="K177" s="4" t="n">
        <v>0</v>
      </c>
      <c r="L177" s="4" t="n">
        <v>0</v>
      </c>
      <c r="M177" s="4" t="n">
        <v>0</v>
      </c>
      <c r="N177" s="21">
        <f>SUM(E177:M177)</f>
        <v/>
      </c>
    </row>
    <row r="178">
      <c r="A178" s="23" t="inlineStr">
        <is>
          <t>DHAN-23126091873409</t>
        </is>
      </c>
      <c r="B178" s="23" t="inlineStr">
        <is>
          <t>SAMBHV</t>
        </is>
      </c>
      <c r="C178" s="23" t="inlineStr">
        <is>
          <t>LONG</t>
        </is>
      </c>
      <c r="D178" s="24" t="n">
        <v>46286</v>
      </c>
      <c r="E178" s="4" t="n">
        <v>40</v>
      </c>
      <c r="F178" s="4" t="n">
        <v>299.8</v>
      </c>
      <c r="G178" s="4" t="n">
        <v>18.86</v>
      </c>
      <c r="H178" s="4" t="n">
        <v>0.61</v>
      </c>
      <c r="I178" s="4" t="n">
        <v>44.97</v>
      </c>
      <c r="J178" s="4" t="n">
        <v>10.7</v>
      </c>
      <c r="K178" s="4" t="n">
        <v>14.75</v>
      </c>
      <c r="L178" s="4" t="n">
        <v>35.4</v>
      </c>
      <c r="M178" s="4" t="n">
        <v>199.94</v>
      </c>
      <c r="N178" s="21">
        <f>SUM(E178:M178)</f>
        <v/>
      </c>
    </row>
    <row r="179">
      <c r="A179" s="23" t="inlineStr">
        <is>
          <t>DHAN-32126092161209</t>
        </is>
      </c>
      <c r="B179" s="23" t="inlineStr">
        <is>
          <t>SAMBHV</t>
        </is>
      </c>
      <c r="C179" s="23" t="inlineStr">
        <is>
          <t>SHORT</t>
        </is>
      </c>
      <c r="D179" s="24" t="n">
        <v>46286</v>
      </c>
      <c r="E179" s="4" t="n">
        <v>20</v>
      </c>
      <c r="F179" s="4" t="n">
        <v>390.9</v>
      </c>
      <c r="G179" s="4" t="n">
        <v>19.16</v>
      </c>
      <c r="H179" s="4" t="n">
        <v>0.63</v>
      </c>
      <c r="I179" s="4" t="n">
        <v>9.300000000000001</v>
      </c>
      <c r="J179" s="4" t="n">
        <v>7.16</v>
      </c>
      <c r="K179" s="4" t="n">
        <v>0</v>
      </c>
      <c r="L179" s="4" t="n">
        <v>0</v>
      </c>
      <c r="M179" s="4" t="n">
        <v>0</v>
      </c>
      <c r="N179" s="21">
        <f>SUM(E179:M179)</f>
        <v/>
      </c>
    </row>
    <row r="180">
      <c r="A180" s="23" t="inlineStr">
        <is>
          <t>DHAN-34126091878409</t>
        </is>
      </c>
      <c r="B180" s="23" t="inlineStr">
        <is>
          <t>TALBROAUTO</t>
        </is>
      </c>
      <c r="C180" s="23" t="inlineStr">
        <is>
          <t>LONG</t>
        </is>
      </c>
      <c r="D180" s="24" t="n">
        <v>46286</v>
      </c>
      <c r="E180" s="4" t="n">
        <v>40</v>
      </c>
      <c r="F180" s="4" t="n">
        <v>299.97</v>
      </c>
      <c r="G180" s="4" t="n">
        <v>18.48</v>
      </c>
      <c r="H180" s="4" t="n">
        <v>0.6</v>
      </c>
      <c r="I180" s="4" t="n">
        <v>45</v>
      </c>
      <c r="J180" s="4" t="n">
        <v>10.63</v>
      </c>
      <c r="K180" s="4" t="n">
        <v>14.75</v>
      </c>
      <c r="L180" s="4" t="n">
        <v>35.4</v>
      </c>
      <c r="M180" s="4" t="n">
        <v>184.66</v>
      </c>
      <c r="N180" s="21">
        <f>SUM(E180:M180)</f>
        <v/>
      </c>
    </row>
    <row r="181">
      <c r="A181" s="23" t="inlineStr">
        <is>
          <t>DHAN-23126092113209</t>
        </is>
      </c>
      <c r="B181" s="23" t="inlineStr">
        <is>
          <t>TALBROAUTO</t>
        </is>
      </c>
      <c r="C181" s="23" t="inlineStr">
        <is>
          <t>SHORT</t>
        </is>
      </c>
      <c r="D181" s="24" t="n">
        <v>46286</v>
      </c>
      <c r="E181" s="4" t="n">
        <v>20</v>
      </c>
      <c r="F181" s="4" t="n">
        <v>374.37</v>
      </c>
      <c r="G181" s="4" t="n">
        <v>18.31</v>
      </c>
      <c r="H181" s="4" t="n">
        <v>0.6</v>
      </c>
      <c r="I181" s="4" t="n">
        <v>8.83</v>
      </c>
      <c r="J181" s="4" t="n">
        <v>7</v>
      </c>
      <c r="K181" s="4" t="n">
        <v>0</v>
      </c>
      <c r="L181" s="4" t="n">
        <v>0</v>
      </c>
      <c r="M181" s="4" t="n">
        <v>0</v>
      </c>
      <c r="N181" s="21">
        <f>SUM(E181:M181)</f>
        <v/>
      </c>
    </row>
    <row r="182">
      <c r="A182" s="23" t="inlineStr">
        <is>
          <t>DHAN-241260921697209</t>
        </is>
      </c>
      <c r="B182" s="23" t="inlineStr">
        <is>
          <t>ASHIANA</t>
        </is>
      </c>
      <c r="C182" s="23" t="inlineStr">
        <is>
          <t>LONG</t>
        </is>
      </c>
      <c r="D182" s="24" t="n">
        <v>46287</v>
      </c>
      <c r="E182" s="4" t="n">
        <v>40</v>
      </c>
      <c r="F182" s="4" t="n">
        <v>138.24</v>
      </c>
      <c r="G182" s="4" t="n">
        <v>8.34</v>
      </c>
      <c r="H182" s="4" t="n">
        <v>0.27</v>
      </c>
      <c r="I182" s="4" t="n">
        <v>20.74</v>
      </c>
      <c r="J182" s="4" t="n">
        <v>8.75</v>
      </c>
      <c r="K182" s="4" t="n">
        <v>14.75</v>
      </c>
      <c r="L182" s="4" t="n">
        <v>35.4</v>
      </c>
      <c r="M182" s="4" t="n">
        <v>28.37</v>
      </c>
      <c r="N182" s="21">
        <f>SUM(E182:M182)</f>
        <v/>
      </c>
    </row>
    <row r="183">
      <c r="A183" s="23" t="inlineStr">
        <is>
          <t>DHAN-34126092243009</t>
        </is>
      </c>
      <c r="B183" s="23" t="inlineStr">
        <is>
          <t>ASHIANA</t>
        </is>
      </c>
      <c r="C183" s="23" t="inlineStr">
        <is>
          <t>SHORT</t>
        </is>
      </c>
      <c r="D183" s="24" t="n">
        <v>46287</v>
      </c>
      <c r="E183" s="4" t="n">
        <v>20</v>
      </c>
      <c r="F183" s="4" t="n">
        <v>165.78</v>
      </c>
      <c r="G183" s="4" t="n">
        <v>8.119999999999999</v>
      </c>
      <c r="H183" s="4" t="n">
        <v>0.26</v>
      </c>
      <c r="I183" s="4" t="n">
        <v>3.94</v>
      </c>
      <c r="J183" s="4" t="n">
        <v>5.11</v>
      </c>
      <c r="K183" s="4" t="n">
        <v>0</v>
      </c>
      <c r="L183" s="4" t="n">
        <v>0</v>
      </c>
      <c r="M183" s="4" t="n">
        <v>0</v>
      </c>
      <c r="N183" s="21">
        <f>SUM(E183:M183)</f>
        <v/>
      </c>
    </row>
    <row r="184">
      <c r="A184" s="23" t="inlineStr">
        <is>
          <t>DHAN-241260921699009</t>
        </is>
      </c>
      <c r="B184" s="23" t="inlineStr">
        <is>
          <t>INDORAMA</t>
        </is>
      </c>
      <c r="C184" s="23" t="inlineStr">
        <is>
          <t>LONG</t>
        </is>
      </c>
      <c r="D184" s="24" t="n">
        <v>46287</v>
      </c>
      <c r="E184" s="4" t="n">
        <v>40</v>
      </c>
      <c r="F184" s="4" t="n">
        <v>172</v>
      </c>
      <c r="G184" s="4" t="n">
        <v>8.5</v>
      </c>
      <c r="H184" s="4" t="n">
        <v>0.28</v>
      </c>
      <c r="I184" s="4" t="n">
        <v>20.61</v>
      </c>
      <c r="J184" s="4" t="n">
        <v>8.779999999999999</v>
      </c>
      <c r="K184" s="4" t="n">
        <v>14.75</v>
      </c>
      <c r="L184" s="4" t="n">
        <v>35.4</v>
      </c>
      <c r="M184" s="4" t="n">
        <v>0</v>
      </c>
      <c r="N184" s="21">
        <f>SUM(E184:M184)</f>
        <v/>
      </c>
    </row>
    <row r="185">
      <c r="A185" s="23" t="inlineStr">
        <is>
          <t>DHAN-23126092251309</t>
        </is>
      </c>
      <c r="B185" s="23" t="inlineStr">
        <is>
          <t>INDORAMA</t>
        </is>
      </c>
      <c r="C185" s="23" t="inlineStr">
        <is>
          <t>SHORT</t>
        </is>
      </c>
      <c r="D185" s="24" t="n">
        <v>46287</v>
      </c>
      <c r="E185" s="4" t="n">
        <v>20</v>
      </c>
      <c r="F185" s="4" t="n">
        <v>138.53</v>
      </c>
      <c r="G185" s="4" t="n">
        <v>8.48</v>
      </c>
      <c r="H185" s="4" t="n">
        <v>0.28</v>
      </c>
      <c r="I185" s="4" t="n">
        <v>4.11</v>
      </c>
      <c r="J185" s="4" t="n">
        <v>5.18</v>
      </c>
      <c r="K185" s="4" t="n">
        <v>0</v>
      </c>
      <c r="L185" s="4" t="n">
        <v>0</v>
      </c>
      <c r="M185" s="4" t="n">
        <v>0</v>
      </c>
      <c r="N185" s="21">
        <f>SUM(E185:M185)</f>
        <v/>
      </c>
    </row>
    <row r="186">
      <c r="A186" s="23" t="inlineStr">
        <is>
          <t>DHAN-351260921486209</t>
        </is>
      </c>
      <c r="B186" s="23" t="inlineStr">
        <is>
          <t>JASH</t>
        </is>
      </c>
      <c r="C186" s="23" t="inlineStr">
        <is>
          <t>LONG</t>
        </is>
      </c>
      <c r="D186" s="24" t="n">
        <v>46287</v>
      </c>
      <c r="E186" s="4" t="n">
        <v>40</v>
      </c>
      <c r="F186" s="4" t="n">
        <v>177.8</v>
      </c>
      <c r="G186" s="4" t="n">
        <v>8.800000000000001</v>
      </c>
      <c r="H186" s="4" t="n">
        <v>0.29</v>
      </c>
      <c r="I186" s="4" t="n">
        <v>21.7</v>
      </c>
      <c r="J186" s="4" t="n">
        <v>8.84</v>
      </c>
      <c r="K186" s="4" t="n">
        <v>14.75</v>
      </c>
      <c r="L186" s="4" t="n">
        <v>35.4</v>
      </c>
      <c r="M186" s="4" t="n">
        <v>29.08</v>
      </c>
      <c r="N186" s="21">
        <f>SUM(E186:M186)</f>
        <v/>
      </c>
    </row>
    <row r="187">
      <c r="A187" s="23" t="inlineStr">
        <is>
          <t>DHAN-34126092213209</t>
        </is>
      </c>
      <c r="B187" s="23" t="inlineStr">
        <is>
          <t>JASH</t>
        </is>
      </c>
      <c r="C187" s="23" t="inlineStr">
        <is>
          <t>SHORT</t>
        </is>
      </c>
      <c r="D187" s="24" t="n">
        <v>46287</v>
      </c>
      <c r="E187" s="4" t="n">
        <v>20</v>
      </c>
      <c r="F187" s="4" t="n">
        <v>144.33</v>
      </c>
      <c r="G187" s="4" t="n">
        <v>8.85</v>
      </c>
      <c r="H187" s="4" t="n">
        <v>0.29</v>
      </c>
      <c r="I187" s="4" t="n">
        <v>4.28</v>
      </c>
      <c r="J187" s="4" t="n">
        <v>5.24</v>
      </c>
      <c r="K187" s="4" t="n">
        <v>0</v>
      </c>
      <c r="L187" s="4" t="n">
        <v>0</v>
      </c>
      <c r="M187" s="4" t="n">
        <v>0</v>
      </c>
      <c r="N187" s="21">
        <f>SUM(E187:M187)</f>
        <v/>
      </c>
    </row>
    <row r="188">
      <c r="A188" s="23" t="inlineStr">
        <is>
          <t>DHAN-211260921155609</t>
        </is>
      </c>
      <c r="B188" s="23" t="inlineStr">
        <is>
          <t>JAYKAY</t>
        </is>
      </c>
      <c r="C188" s="23" t="inlineStr">
        <is>
          <t>LONG</t>
        </is>
      </c>
      <c r="D188" s="24" t="n">
        <v>46287</v>
      </c>
      <c r="E188" s="4" t="n">
        <v>40</v>
      </c>
      <c r="F188" s="4" t="n">
        <v>141.68</v>
      </c>
      <c r="G188" s="4" t="n">
        <v>8.75</v>
      </c>
      <c r="H188" s="4" t="n">
        <v>0.29</v>
      </c>
      <c r="I188" s="4" t="n">
        <v>21.25</v>
      </c>
      <c r="J188" s="4" t="n">
        <v>8.83</v>
      </c>
      <c r="K188" s="4" t="n">
        <v>14.75</v>
      </c>
      <c r="L188" s="4" t="n">
        <v>35.4</v>
      </c>
      <c r="M188" s="4" t="n">
        <v>17.44</v>
      </c>
      <c r="N188" s="21">
        <f>SUM(E188:M188)</f>
        <v/>
      </c>
    </row>
    <row r="189">
      <c r="A189" s="23" t="inlineStr">
        <is>
          <t>DHAN-32126092252109</t>
        </is>
      </c>
      <c r="B189" s="23" t="inlineStr">
        <is>
          <t>JAYKAY</t>
        </is>
      </c>
      <c r="C189" s="23" t="inlineStr">
        <is>
          <t>SHORT</t>
        </is>
      </c>
      <c r="D189" s="24" t="n">
        <v>46287</v>
      </c>
      <c r="E189" s="4" t="n">
        <v>20</v>
      </c>
      <c r="F189" s="4" t="n">
        <v>178.17</v>
      </c>
      <c r="G189" s="4" t="n">
        <v>8.720000000000001</v>
      </c>
      <c r="H189" s="4" t="n">
        <v>0.28</v>
      </c>
      <c r="I189" s="4" t="n">
        <v>4.24</v>
      </c>
      <c r="J189" s="4" t="n">
        <v>5.22</v>
      </c>
      <c r="K189" s="4" t="n">
        <v>0</v>
      </c>
      <c r="L189" s="4" t="n">
        <v>0</v>
      </c>
      <c r="M189" s="4" t="n">
        <v>0</v>
      </c>
      <c r="N189" s="21">
        <f>SUM(E189:M189)</f>
        <v/>
      </c>
    </row>
    <row r="190">
      <c r="A190" s="23" t="inlineStr">
        <is>
          <t>DHAN-241260921702409</t>
        </is>
      </c>
      <c r="B190" s="23" t="inlineStr">
        <is>
          <t>KROSS</t>
        </is>
      </c>
      <c r="C190" s="23" t="inlineStr">
        <is>
          <t>LONG</t>
        </is>
      </c>
      <c r="D190" s="24" t="n">
        <v>46287</v>
      </c>
      <c r="E190" s="4" t="n">
        <v>36.16</v>
      </c>
      <c r="F190" s="4" t="n">
        <v>75.06</v>
      </c>
      <c r="G190" s="4" t="n">
        <v>3.7</v>
      </c>
      <c r="H190" s="4" t="n">
        <v>0.12</v>
      </c>
      <c r="I190" s="4" t="n">
        <v>9</v>
      </c>
      <c r="J190" s="4" t="n">
        <v>7.2</v>
      </c>
      <c r="K190" s="4" t="n">
        <v>14.75</v>
      </c>
      <c r="L190" s="4" t="n">
        <v>35.4</v>
      </c>
      <c r="M190" s="4" t="n">
        <v>10.26</v>
      </c>
      <c r="N190" s="21">
        <f>SUM(E190:M190)</f>
        <v/>
      </c>
    </row>
    <row r="191">
      <c r="A191" s="23" t="inlineStr">
        <is>
          <t>DHAN-22126092254109</t>
        </is>
      </c>
      <c r="B191" s="23" t="inlineStr">
        <is>
          <t>KROSS</t>
        </is>
      </c>
      <c r="C191" s="23" t="inlineStr">
        <is>
          <t>SHORT</t>
        </is>
      </c>
      <c r="D191" s="24" t="n">
        <v>46287</v>
      </c>
      <c r="E191" s="4" t="n">
        <v>17.94</v>
      </c>
      <c r="F191" s="4" t="n">
        <v>60.25</v>
      </c>
      <c r="G191" s="4" t="n">
        <v>3.69</v>
      </c>
      <c r="H191" s="4" t="n">
        <v>0.12</v>
      </c>
      <c r="I191" s="4" t="n">
        <v>1.79</v>
      </c>
      <c r="J191" s="4" t="n">
        <v>3.91</v>
      </c>
      <c r="K191" s="4" t="n">
        <v>0</v>
      </c>
      <c r="L191" s="4" t="n">
        <v>0</v>
      </c>
      <c r="M191" s="4" t="n">
        <v>0</v>
      </c>
      <c r="N191" s="21">
        <f>SUM(E191:M191)</f>
        <v/>
      </c>
    </row>
    <row r="192">
      <c r="A192" s="23" t="inlineStr">
        <is>
          <t>DHAN-221260921659609</t>
        </is>
      </c>
      <c r="B192" s="23" t="inlineStr">
        <is>
          <t>REFEX</t>
        </is>
      </c>
      <c r="C192" s="23" t="inlineStr">
        <is>
          <t>LONG</t>
        </is>
      </c>
      <c r="D192" s="24" t="n">
        <v>46287</v>
      </c>
      <c r="E192" s="4" t="n">
        <v>40</v>
      </c>
      <c r="F192" s="4" t="n">
        <v>137.8</v>
      </c>
      <c r="G192" s="4" t="n">
        <v>8.449999999999999</v>
      </c>
      <c r="H192" s="4" t="n">
        <v>0.28</v>
      </c>
      <c r="I192" s="4" t="n">
        <v>20.67</v>
      </c>
      <c r="J192" s="4" t="n">
        <v>8.77</v>
      </c>
      <c r="K192" s="4" t="n">
        <v>14.75</v>
      </c>
      <c r="L192" s="4" t="n">
        <v>35.4</v>
      </c>
      <c r="M192" s="4" t="n">
        <v>24.04</v>
      </c>
      <c r="N192" s="21">
        <f>SUM(E192:M192)</f>
        <v/>
      </c>
    </row>
    <row r="193">
      <c r="A193" s="23" t="inlineStr">
        <is>
          <t>DHAN-23126092251409</t>
        </is>
      </c>
      <c r="B193" s="23" t="inlineStr">
        <is>
          <t>REFEX</t>
        </is>
      </c>
      <c r="C193" s="23" t="inlineStr">
        <is>
          <t>SHORT</t>
        </is>
      </c>
      <c r="D193" s="24" t="n">
        <v>46287</v>
      </c>
      <c r="E193" s="4" t="n">
        <v>20</v>
      </c>
      <c r="F193" s="4" t="n">
        <v>171.71</v>
      </c>
      <c r="G193" s="4" t="n">
        <v>8.43</v>
      </c>
      <c r="H193" s="4" t="n">
        <v>0.27</v>
      </c>
      <c r="I193" s="4" t="n">
        <v>4.12</v>
      </c>
      <c r="J193" s="4" t="n">
        <v>5.17</v>
      </c>
      <c r="K193" s="4" t="n">
        <v>0</v>
      </c>
      <c r="L193" s="4" t="n">
        <v>0</v>
      </c>
      <c r="M193" s="4" t="n">
        <v>0</v>
      </c>
      <c r="N193" s="21">
        <f>SUM(E193:M193)</f>
        <v/>
      </c>
    </row>
    <row r="194">
      <c r="A194" s="23" t="inlineStr">
        <is>
          <t>DHAN-321260922619209+221260922652409+34126092266209+34126092266109+23126092273409+221260922650709+23126092273309+321260922616909+34126092265709+34126092265509+34126092265409</t>
        </is>
      </c>
      <c r="B194" s="23" t="inlineStr">
        <is>
          <t>ASTEC</t>
        </is>
      </c>
      <c r="C194" s="23" t="inlineStr">
        <is>
          <t>LONG</t>
        </is>
      </c>
      <c r="D194" s="24" t="n">
        <v>46288</v>
      </c>
      <c r="E194" s="4" t="n">
        <v>95.05</v>
      </c>
      <c r="F194" s="4" t="n">
        <v>250.29</v>
      </c>
      <c r="G194" s="4" t="n">
        <v>15.19</v>
      </c>
      <c r="H194" s="4" t="n">
        <v>0.49</v>
      </c>
      <c r="I194" s="4" t="n">
        <v>37.54</v>
      </c>
      <c r="J194" s="4" t="n">
        <v>19.93</v>
      </c>
      <c r="K194" s="4" t="n">
        <v>14.75</v>
      </c>
      <c r="L194" s="4" t="n">
        <v>35.4</v>
      </c>
      <c r="M194" s="4" t="n">
        <v>49.73</v>
      </c>
      <c r="N194" s="21">
        <f>SUM(E194:M194)</f>
        <v/>
      </c>
    </row>
    <row r="195">
      <c r="A195" s="23" t="inlineStr">
        <is>
          <t>DHAN-221260923445309</t>
        </is>
      </c>
      <c r="B195" s="23" t="inlineStr">
        <is>
          <t>ASTEC</t>
        </is>
      </c>
      <c r="C195" s="23" t="inlineStr">
        <is>
          <t>SHORT</t>
        </is>
      </c>
      <c r="D195" s="24" t="n">
        <v>46288</v>
      </c>
      <c r="E195" s="4" t="n">
        <v>20</v>
      </c>
      <c r="F195" s="4" t="n">
        <v>303.94</v>
      </c>
      <c r="G195" s="4" t="n">
        <v>14.89</v>
      </c>
      <c r="H195" s="4" t="n">
        <v>0.49</v>
      </c>
      <c r="I195" s="4" t="n">
        <v>7.22</v>
      </c>
      <c r="J195" s="4" t="n">
        <v>6.37</v>
      </c>
      <c r="K195" s="4" t="n">
        <v>0</v>
      </c>
      <c r="L195" s="4" t="n">
        <v>0</v>
      </c>
      <c r="M195" s="4" t="n">
        <v>0</v>
      </c>
      <c r="N195" s="21">
        <f>SUM(E195:M195)</f>
        <v/>
      </c>
    </row>
    <row r="196">
      <c r="A196" s="23" t="inlineStr">
        <is>
          <t>DHAN-23126092274109</t>
        </is>
      </c>
      <c r="B196" s="23" t="inlineStr">
        <is>
          <t>CHEMPLASTS</t>
        </is>
      </c>
      <c r="C196" s="23" t="inlineStr">
        <is>
          <t>LONG</t>
        </is>
      </c>
      <c r="D196" s="24" t="n">
        <v>46288</v>
      </c>
      <c r="E196" s="4" t="n">
        <v>40</v>
      </c>
      <c r="F196" s="4" t="n">
        <v>251.5</v>
      </c>
      <c r="G196" s="4" t="n">
        <v>15.3</v>
      </c>
      <c r="H196" s="4" t="n">
        <v>0.5</v>
      </c>
      <c r="I196" s="4" t="n">
        <v>37.72</v>
      </c>
      <c r="J196" s="4" t="n">
        <v>10.04</v>
      </c>
      <c r="K196" s="4" t="n">
        <v>14.75</v>
      </c>
      <c r="L196" s="4" t="n">
        <v>35.4</v>
      </c>
      <c r="M196" s="4" t="n">
        <v>53.67</v>
      </c>
      <c r="N196" s="21">
        <f>SUM(E196:M196)</f>
        <v/>
      </c>
    </row>
    <row r="197">
      <c r="A197" s="23" t="inlineStr">
        <is>
          <t>DHAN-34126092354709</t>
        </is>
      </c>
      <c r="B197" s="23" t="inlineStr">
        <is>
          <t>CHEMPLASTS</t>
        </is>
      </c>
      <c r="C197" s="23" t="inlineStr">
        <is>
          <t>SHORT</t>
        </is>
      </c>
      <c r="D197" s="24" t="n">
        <v>46288</v>
      </c>
      <c r="E197" s="4" t="n">
        <v>20</v>
      </c>
      <c r="F197" s="4" t="n">
        <v>309.78</v>
      </c>
      <c r="G197" s="4" t="n">
        <v>15.25</v>
      </c>
      <c r="H197" s="4" t="n">
        <v>0.5</v>
      </c>
      <c r="I197" s="4" t="n">
        <v>7.5</v>
      </c>
      <c r="J197" s="4" t="n">
        <v>6.43</v>
      </c>
      <c r="K197" s="4" t="n">
        <v>0</v>
      </c>
      <c r="L197" s="4" t="n">
        <v>0</v>
      </c>
      <c r="M197" s="4" t="n">
        <v>0</v>
      </c>
      <c r="N197" s="21">
        <f>SUM(E197:M197)</f>
        <v/>
      </c>
    </row>
    <row r="198">
      <c r="A198" s="23" t="inlineStr">
        <is>
          <t>DHAN-221260922659909</t>
        </is>
      </c>
      <c r="B198" s="23" t="inlineStr">
        <is>
          <t>PACEDIGITK</t>
        </is>
      </c>
      <c r="C198" s="23" t="inlineStr">
        <is>
          <t>LONG</t>
        </is>
      </c>
      <c r="D198" s="24" t="n">
        <v>46288</v>
      </c>
      <c r="E198" s="4" t="n">
        <v>40</v>
      </c>
      <c r="F198" s="4" t="n">
        <v>250.38</v>
      </c>
      <c r="G198" s="4" t="n">
        <v>15.43</v>
      </c>
      <c r="H198" s="4" t="n">
        <v>0.5</v>
      </c>
      <c r="I198" s="4" t="n">
        <v>37.86</v>
      </c>
      <c r="J198" s="4" t="n">
        <v>10.07</v>
      </c>
      <c r="K198" s="4" t="n">
        <v>14.75</v>
      </c>
      <c r="L198" s="4" t="n">
        <v>35.4</v>
      </c>
      <c r="M198" s="4" t="n">
        <v>58.01</v>
      </c>
      <c r="N198" s="21">
        <f>SUM(E198:M198)</f>
        <v/>
      </c>
    </row>
    <row r="199">
      <c r="A199" s="23" t="inlineStr">
        <is>
          <t>DHAN-22126092353109</t>
        </is>
      </c>
      <c r="B199" s="23" t="inlineStr">
        <is>
          <t>PACEDIGITK</t>
        </is>
      </c>
      <c r="C199" s="23" t="inlineStr">
        <is>
          <t>SHORT</t>
        </is>
      </c>
      <c r="D199" s="24" t="n">
        <v>46288</v>
      </c>
      <c r="E199" s="4" t="n">
        <v>20</v>
      </c>
      <c r="F199" s="4" t="n">
        <v>315.31</v>
      </c>
      <c r="G199" s="4" t="n">
        <v>15.48</v>
      </c>
      <c r="H199" s="4" t="n">
        <v>0.5</v>
      </c>
      <c r="I199" s="4" t="n">
        <v>7.54</v>
      </c>
      <c r="J199" s="4" t="n">
        <v>6.48</v>
      </c>
      <c r="K199" s="4" t="n">
        <v>0</v>
      </c>
      <c r="L199" s="4" t="n">
        <v>0</v>
      </c>
      <c r="M199" s="4" t="n">
        <v>0</v>
      </c>
      <c r="N199" s="21">
        <f>SUM(E199:M199)</f>
        <v/>
      </c>
    </row>
    <row r="200">
      <c r="A200" s="23" t="inlineStr">
        <is>
          <t>DHAN-23126092274009</t>
        </is>
      </c>
      <c r="B200" s="23" t="inlineStr">
        <is>
          <t>PROTEAN</t>
        </is>
      </c>
      <c r="C200" s="23" t="inlineStr">
        <is>
          <t>LONG</t>
        </is>
      </c>
      <c r="D200" s="24" t="n">
        <v>46288</v>
      </c>
      <c r="E200" s="4" t="n">
        <v>40</v>
      </c>
      <c r="F200" s="4" t="n">
        <v>312.34</v>
      </c>
      <c r="G200" s="4" t="n">
        <v>15.2</v>
      </c>
      <c r="H200" s="4" t="n">
        <v>0.49</v>
      </c>
      <c r="I200" s="4" t="n">
        <v>37.54</v>
      </c>
      <c r="J200" s="4" t="n">
        <v>10.03</v>
      </c>
      <c r="K200" s="4" t="n">
        <v>14.75</v>
      </c>
      <c r="L200" s="4" t="n">
        <v>35.4</v>
      </c>
      <c r="M200" s="4" t="n">
        <v>51.35</v>
      </c>
      <c r="N200" s="21">
        <f>SUM(E200:M200)</f>
        <v/>
      </c>
    </row>
    <row r="201">
      <c r="A201" s="23" t="inlineStr">
        <is>
          <t>DHAN-321260923455309</t>
        </is>
      </c>
      <c r="B201" s="23" t="inlineStr">
        <is>
          <t>PROTEAN</t>
        </is>
      </c>
      <c r="C201" s="23" t="inlineStr">
        <is>
          <t>SHORT</t>
        </is>
      </c>
      <c r="D201" s="24" t="n">
        <v>46288</v>
      </c>
      <c r="E201" s="4" t="n">
        <v>20</v>
      </c>
      <c r="F201" s="4" t="n">
        <v>248.32</v>
      </c>
      <c r="G201" s="4" t="n">
        <v>15.35</v>
      </c>
      <c r="H201" s="4" t="n">
        <v>0.5</v>
      </c>
      <c r="I201" s="4" t="n">
        <v>7.66</v>
      </c>
      <c r="J201" s="4" t="n">
        <v>6.45</v>
      </c>
      <c r="K201" s="4" t="n">
        <v>0</v>
      </c>
      <c r="L201" s="4" t="n">
        <v>0</v>
      </c>
      <c r="M201" s="4" t="n">
        <v>0</v>
      </c>
      <c r="N201" s="21">
        <f>SUM(E201:M201)</f>
        <v/>
      </c>
    </row>
    <row r="202">
      <c r="A202" s="23" t="inlineStr">
        <is>
          <t>DHAN-321260922627909</t>
        </is>
      </c>
      <c r="B202" s="23" t="inlineStr">
        <is>
          <t>STEELCAS</t>
        </is>
      </c>
      <c r="C202" s="23" t="inlineStr">
        <is>
          <t>LONG</t>
        </is>
      </c>
      <c r="D202" s="24" t="n">
        <v>46288</v>
      </c>
      <c r="E202" s="4" t="n">
        <v>40</v>
      </c>
      <c r="F202" s="4" t="n">
        <v>314.02</v>
      </c>
      <c r="G202" s="4" t="n">
        <v>15.53</v>
      </c>
      <c r="H202" s="4" t="n">
        <v>0.51</v>
      </c>
      <c r="I202" s="4" t="n">
        <v>37.53</v>
      </c>
      <c r="J202" s="4" t="n">
        <v>10.09</v>
      </c>
      <c r="K202" s="4" t="n">
        <v>14.75</v>
      </c>
      <c r="L202" s="4" t="n">
        <v>35.4</v>
      </c>
      <c r="M202" s="4" t="n">
        <v>51.34</v>
      </c>
      <c r="N202" s="21">
        <f>SUM(E202:M202)</f>
        <v/>
      </c>
    </row>
    <row r="203">
      <c r="A203" s="23" t="inlineStr">
        <is>
          <t>DHAN-23126092351809</t>
        </is>
      </c>
      <c r="B203" s="23" t="inlineStr">
        <is>
          <t>STEELCAS</t>
        </is>
      </c>
      <c r="C203" s="23" t="inlineStr">
        <is>
          <t>SHORT</t>
        </is>
      </c>
      <c r="D203" s="24" t="n">
        <v>46288</v>
      </c>
      <c r="E203" s="4" t="n">
        <v>20</v>
      </c>
      <c r="F203" s="4" t="n">
        <v>255.41</v>
      </c>
      <c r="G203" s="4" t="n">
        <v>15.67</v>
      </c>
      <c r="H203" s="4" t="n">
        <v>0.51</v>
      </c>
      <c r="I203" s="4" t="n">
        <v>7.66</v>
      </c>
      <c r="J203" s="4" t="n">
        <v>6.51</v>
      </c>
      <c r="K203" s="4" t="n">
        <v>0</v>
      </c>
      <c r="L203" s="4" t="n">
        <v>0</v>
      </c>
      <c r="M203" s="4" t="n">
        <v>0</v>
      </c>
      <c r="N203" s="21">
        <f>SUM(E203:M203)</f>
        <v/>
      </c>
    </row>
    <row r="204">
      <c r="A204" s="23" t="inlineStr">
        <is>
          <t>DHAN-34126092267009</t>
        </is>
      </c>
      <c r="B204" s="23" t="inlineStr">
        <is>
          <t>ZOTA</t>
        </is>
      </c>
      <c r="C204" s="23" t="inlineStr">
        <is>
          <t>LONG</t>
        </is>
      </c>
      <c r="D204" s="24" t="n">
        <v>46288</v>
      </c>
      <c r="E204" s="4" t="n">
        <v>40</v>
      </c>
      <c r="F204" s="4" t="n">
        <v>248.85</v>
      </c>
      <c r="G204" s="4" t="n">
        <v>15.35</v>
      </c>
      <c r="H204" s="4" t="n">
        <v>0.5</v>
      </c>
      <c r="I204" s="4" t="n">
        <v>37.33</v>
      </c>
      <c r="J204" s="4" t="n">
        <v>10.05</v>
      </c>
      <c r="K204" s="4" t="n">
        <v>14.75</v>
      </c>
      <c r="L204" s="4" t="n">
        <v>35.4</v>
      </c>
      <c r="M204" s="4" t="n">
        <v>46.81</v>
      </c>
      <c r="N204" s="21">
        <f>SUM(E204:M204)</f>
        <v/>
      </c>
    </row>
    <row r="205">
      <c r="A205" s="23" t="inlineStr">
        <is>
          <t>DHAN-23126092351709</t>
        </is>
      </c>
      <c r="B205" s="23" t="inlineStr">
        <is>
          <t>ZOTA</t>
        </is>
      </c>
      <c r="C205" s="23" t="inlineStr">
        <is>
          <t>SHORT</t>
        </is>
      </c>
      <c r="D205" s="24" t="n">
        <v>46288</v>
      </c>
      <c r="E205" s="4" t="n">
        <v>20</v>
      </c>
      <c r="F205" s="4" t="n">
        <v>315.44</v>
      </c>
      <c r="G205" s="4" t="n">
        <v>15.53</v>
      </c>
      <c r="H205" s="4" t="n">
        <v>0.51</v>
      </c>
      <c r="I205" s="4" t="n">
        <v>7.64</v>
      </c>
      <c r="J205" s="4" t="n">
        <v>6.49</v>
      </c>
      <c r="K205" s="4" t="n">
        <v>0</v>
      </c>
      <c r="L205" s="4" t="n">
        <v>0</v>
      </c>
      <c r="M205" s="4" t="n">
        <v>0</v>
      </c>
      <c r="N205" s="21">
        <f>SUM(E205:M205)</f>
        <v/>
      </c>
    </row>
    <row r="206">
      <c r="A206" s="23" t="inlineStr">
        <is>
          <t>DHAN-34126092398609+321260923716809+34126092398409+221260923706809+321260923715609+23126092396009+23126092395709+34126092397609+221260923704609+34126092397409+23126092394409</t>
        </is>
      </c>
      <c r="B206" s="23" t="inlineStr">
        <is>
          <t>ARVSMART</t>
        </is>
      </c>
      <c r="C206" s="23" t="inlineStr">
        <is>
          <t>LONG</t>
        </is>
      </c>
      <c r="D206" s="24" t="n">
        <v>46289</v>
      </c>
      <c r="E206" s="4" t="n">
        <v>69.98</v>
      </c>
      <c r="F206" s="4" t="n">
        <v>207.6</v>
      </c>
      <c r="G206" s="4" t="n">
        <v>10.16</v>
      </c>
      <c r="H206" s="4" t="n">
        <v>0.33</v>
      </c>
      <c r="I206" s="4" t="n">
        <v>24.98</v>
      </c>
      <c r="J206" s="4" t="n">
        <v>14.49</v>
      </c>
      <c r="K206" s="4" t="n">
        <v>14.75</v>
      </c>
      <c r="L206" s="4" t="n">
        <v>35.4</v>
      </c>
      <c r="M206" s="4" t="n">
        <v>34.18</v>
      </c>
      <c r="N206" s="21">
        <f>SUM(E206:M206)</f>
        <v/>
      </c>
    </row>
    <row r="207">
      <c r="A207" s="23" t="inlineStr">
        <is>
          <t>DHAN-221260924489209</t>
        </is>
      </c>
      <c r="B207" s="23" t="inlineStr">
        <is>
          <t>ARVSMART</t>
        </is>
      </c>
      <c r="C207" s="23" t="inlineStr">
        <is>
          <t>SHORT</t>
        </is>
      </c>
      <c r="D207" s="24" t="n">
        <v>46289</v>
      </c>
      <c r="E207" s="4" t="n">
        <v>20</v>
      </c>
      <c r="F207" s="4" t="n">
        <v>164.2</v>
      </c>
      <c r="G207" s="4" t="n">
        <v>10.07</v>
      </c>
      <c r="H207" s="4" t="n">
        <v>0.33</v>
      </c>
      <c r="I207" s="4" t="n">
        <v>4.91</v>
      </c>
      <c r="J207" s="4" t="n">
        <v>5.47</v>
      </c>
      <c r="K207" s="4" t="n">
        <v>0</v>
      </c>
      <c r="L207" s="4" t="n">
        <v>0</v>
      </c>
      <c r="M207" s="4" t="n">
        <v>0</v>
      </c>
      <c r="N207" s="21">
        <f>SUM(E207:M207)</f>
        <v/>
      </c>
    </row>
    <row r="208">
      <c r="A208" s="23" t="inlineStr">
        <is>
          <t>DHAN-221260923706909+321260923715509+23126092395909+321260923715009+34126092397909+221260923705109+34126092397709+321260923713609+23126092394709+23126092394509+221260923703109</t>
        </is>
      </c>
      <c r="B208" s="23" t="inlineStr">
        <is>
          <t>DELTACORP</t>
        </is>
      </c>
      <c r="C208" s="23" t="inlineStr">
        <is>
          <t>LONG</t>
        </is>
      </c>
      <c r="D208" s="24" t="n">
        <v>46289</v>
      </c>
      <c r="E208" s="4" t="n">
        <v>70.02</v>
      </c>
      <c r="F208" s="4" t="n">
        <v>166.76</v>
      </c>
      <c r="G208" s="4" t="n">
        <v>10.41</v>
      </c>
      <c r="H208" s="4" t="n">
        <v>0.34</v>
      </c>
      <c r="I208" s="4" t="n">
        <v>25.02</v>
      </c>
      <c r="J208" s="4" t="n">
        <v>14.54</v>
      </c>
      <c r="K208" s="4" t="n">
        <v>14.75</v>
      </c>
      <c r="L208" s="4" t="n">
        <v>35.4</v>
      </c>
      <c r="M208" s="4" t="n">
        <v>20.53</v>
      </c>
      <c r="N208" s="21">
        <f>SUM(E208:M208)</f>
        <v/>
      </c>
    </row>
    <row r="209">
      <c r="A209" s="23" t="inlineStr">
        <is>
          <t>DHAN-23126092413009</t>
        </is>
      </c>
      <c r="B209" s="23" t="inlineStr">
        <is>
          <t>DELTACORP</t>
        </is>
      </c>
      <c r="C209" s="23" t="inlineStr">
        <is>
          <t>SHORT</t>
        </is>
      </c>
      <c r="D209" s="24" t="n">
        <v>46289</v>
      </c>
      <c r="E209" s="4" t="n">
        <v>20</v>
      </c>
      <c r="F209" s="4" t="n">
        <v>216.95</v>
      </c>
      <c r="G209" s="4" t="n">
        <v>10.7</v>
      </c>
      <c r="H209" s="4" t="n">
        <v>0.35</v>
      </c>
      <c r="I209" s="4" t="n">
        <v>5.28</v>
      </c>
      <c r="J209" s="4" t="n">
        <v>5.59</v>
      </c>
      <c r="K209" s="4" t="n">
        <v>0</v>
      </c>
      <c r="L209" s="4" t="n">
        <v>0</v>
      </c>
      <c r="M209" s="4" t="n">
        <v>0</v>
      </c>
      <c r="N209" s="21">
        <f>SUM(E209:M209)</f>
        <v/>
      </c>
    </row>
    <row r="210">
      <c r="A210" s="23" t="inlineStr">
        <is>
          <t>DHAN-34126092398509+221260923707409+221260923707009+34126092398209+34126092398009+321260923714709+321260923714009+23126092395009+221260923704209+221260923703809+221260923703209</t>
        </is>
      </c>
      <c r="B210" s="23" t="inlineStr">
        <is>
          <t>GNA</t>
        </is>
      </c>
      <c r="C210" s="23" t="inlineStr">
        <is>
          <t>LONG</t>
        </is>
      </c>
      <c r="D210" s="24" t="n">
        <v>46289</v>
      </c>
      <c r="E210" s="4" t="n">
        <v>20</v>
      </c>
      <c r="F210" s="4" t="n">
        <v>104.79</v>
      </c>
      <c r="G210" s="4" t="n">
        <v>5.25</v>
      </c>
      <c r="H210" s="4" t="n">
        <v>0.17</v>
      </c>
      <c r="I210" s="4" t="n">
        <v>12.43</v>
      </c>
      <c r="J210" s="4" t="n">
        <v>4.58</v>
      </c>
      <c r="K210" s="4" t="n">
        <v>14.75</v>
      </c>
      <c r="L210" s="4" t="n">
        <v>0</v>
      </c>
      <c r="M210" s="4" t="n">
        <v>0</v>
      </c>
      <c r="N210" s="21">
        <f>SUM(E210:M210)</f>
        <v/>
      </c>
    </row>
    <row r="211">
      <c r="A211" s="23" t="inlineStr">
        <is>
          <t>DHAN-321260924470909</t>
        </is>
      </c>
      <c r="B211" s="23" t="inlineStr">
        <is>
          <t>GNA</t>
        </is>
      </c>
      <c r="C211" s="23" t="inlineStr">
        <is>
          <t>SHORT</t>
        </is>
      </c>
      <c r="D211" s="24" t="n">
        <v>46289</v>
      </c>
      <c r="E211" s="4" t="n">
        <v>20</v>
      </c>
      <c r="F211" s="4" t="n">
        <v>87.64</v>
      </c>
      <c r="G211" s="4" t="n">
        <v>5.37</v>
      </c>
      <c r="H211" s="4" t="n">
        <v>0.17</v>
      </c>
      <c r="I211" s="4" t="n">
        <v>2.6</v>
      </c>
      <c r="J211" s="4" t="n">
        <v>4.6</v>
      </c>
      <c r="K211" s="4" t="n">
        <v>0</v>
      </c>
      <c r="L211" s="4" t="n">
        <v>0</v>
      </c>
      <c r="M211" s="4" t="n">
        <v>0</v>
      </c>
      <c r="N211" s="21">
        <f>SUM(E211:M211)</f>
        <v/>
      </c>
    </row>
    <row r="212">
      <c r="A212" s="23" t="inlineStr">
        <is>
          <t>DHAN-23126092396309+321260923717309+321260923716709+23126092396209+34126092398309+221260923706209+34126092397809+34126092397509+221260923704109+34126092397209</t>
        </is>
      </c>
      <c r="B212" s="23" t="inlineStr">
        <is>
          <t>JAYKAY</t>
        </is>
      </c>
      <c r="C212" s="23" t="inlineStr">
        <is>
          <t>LONG</t>
        </is>
      </c>
      <c r="D212" s="24" t="n">
        <v>46289</v>
      </c>
      <c r="E212" s="4" t="n">
        <v>69.73999999999999</v>
      </c>
      <c r="F212" s="4" t="n">
        <v>205.68</v>
      </c>
      <c r="G212" s="4" t="n">
        <v>10.01</v>
      </c>
      <c r="H212" s="4" t="n">
        <v>0.33</v>
      </c>
      <c r="I212" s="4" t="n">
        <v>24.86</v>
      </c>
      <c r="J212" s="4" t="n">
        <v>14.41</v>
      </c>
      <c r="K212" s="4" t="n">
        <v>14.75</v>
      </c>
      <c r="L212" s="4" t="n">
        <v>35.4</v>
      </c>
      <c r="M212" s="4" t="n">
        <v>20.4</v>
      </c>
      <c r="N212" s="21">
        <f>SUM(E212:M212)</f>
        <v/>
      </c>
    </row>
    <row r="213">
      <c r="A213" s="23" t="inlineStr">
        <is>
          <t>DHAN-34126092446309</t>
        </is>
      </c>
      <c r="B213" s="23" t="inlineStr">
        <is>
          <t>JAYKAY</t>
        </is>
      </c>
      <c r="C213" s="23" t="inlineStr">
        <is>
          <t>SHORT</t>
        </is>
      </c>
      <c r="D213" s="24" t="n">
        <v>46289</v>
      </c>
      <c r="E213" s="4" t="n">
        <v>20</v>
      </c>
      <c r="F213" s="4" t="n">
        <v>159.8</v>
      </c>
      <c r="G213" s="4" t="n">
        <v>9.789999999999999</v>
      </c>
      <c r="H213" s="4" t="n">
        <v>0.32</v>
      </c>
      <c r="I213" s="4" t="n">
        <v>4.76</v>
      </c>
      <c r="J213" s="4" t="n">
        <v>5.42</v>
      </c>
      <c r="K213" s="4" t="n">
        <v>0</v>
      </c>
      <c r="L213" s="4" t="n">
        <v>0</v>
      </c>
      <c r="M213" s="4" t="n">
        <v>0</v>
      </c>
      <c r="N213" s="21">
        <f>SUM(E213:M213)</f>
        <v/>
      </c>
    </row>
    <row r="214">
      <c r="A214" s="23" t="inlineStr">
        <is>
          <t>DHAN-23126092396409</t>
        </is>
      </c>
      <c r="B214" s="23" t="inlineStr">
        <is>
          <t>KROSS</t>
        </is>
      </c>
      <c r="C214" s="23" t="inlineStr">
        <is>
          <t>LONG</t>
        </is>
      </c>
      <c r="D214" s="24" t="n">
        <v>46289</v>
      </c>
      <c r="E214" s="4" t="n">
        <v>40</v>
      </c>
      <c r="F214" s="4" t="n">
        <v>166.32</v>
      </c>
      <c r="G214" s="4" t="n">
        <v>10.11</v>
      </c>
      <c r="H214" s="4" t="n">
        <v>0.33</v>
      </c>
      <c r="I214" s="4" t="n">
        <v>24.95</v>
      </c>
      <c r="J214" s="4" t="n">
        <v>9.08</v>
      </c>
      <c r="K214" s="4" t="n">
        <v>14.75</v>
      </c>
      <c r="L214" s="4" t="n">
        <v>35.4</v>
      </c>
      <c r="M214" s="4" t="n">
        <v>28.44</v>
      </c>
      <c r="N214" s="21">
        <f>SUM(E214:M214)</f>
        <v/>
      </c>
    </row>
    <row r="215">
      <c r="A215" s="23" t="inlineStr">
        <is>
          <t>DHAN-34126092446409</t>
        </is>
      </c>
      <c r="B215" s="23" t="inlineStr">
        <is>
          <t>KROSS</t>
        </is>
      </c>
      <c r="C215" s="23" t="inlineStr">
        <is>
          <t>SHORT</t>
        </is>
      </c>
      <c r="D215" s="24" t="n">
        <v>46289</v>
      </c>
      <c r="E215" s="4" t="n">
        <v>20</v>
      </c>
      <c r="F215" s="4" t="n">
        <v>203.07</v>
      </c>
      <c r="G215" s="4" t="n">
        <v>9.949999999999999</v>
      </c>
      <c r="H215" s="4" t="n">
        <v>0.32</v>
      </c>
      <c r="I215" s="4" t="n">
        <v>4.84</v>
      </c>
      <c r="J215" s="4" t="n">
        <v>5.45</v>
      </c>
      <c r="K215" s="4" t="n">
        <v>0</v>
      </c>
      <c r="L215" s="4" t="n">
        <v>0</v>
      </c>
      <c r="M215" s="4" t="n">
        <v>0</v>
      </c>
      <c r="N215" s="21">
        <f>SUM(E215:M215)</f>
        <v/>
      </c>
    </row>
    <row r="216">
      <c r="A216" s="23" t="inlineStr">
        <is>
          <t>DHAN-221260923710209</t>
        </is>
      </c>
      <c r="B216" s="23" t="inlineStr">
        <is>
          <t>MUKANDLTD</t>
        </is>
      </c>
      <c r="C216" s="23" t="inlineStr">
        <is>
          <t>LONG</t>
        </is>
      </c>
      <c r="D216" s="24" t="n">
        <v>46289</v>
      </c>
      <c r="E216" s="4" t="n">
        <v>40</v>
      </c>
      <c r="F216" s="4" t="n">
        <v>166.19</v>
      </c>
      <c r="G216" s="4" t="n">
        <v>10.2</v>
      </c>
      <c r="H216" s="4" t="n">
        <v>0.33</v>
      </c>
      <c r="I216" s="4" t="n">
        <v>24.78</v>
      </c>
      <c r="J216" s="4" t="n">
        <v>9.1</v>
      </c>
      <c r="K216" s="4" t="n">
        <v>14.75</v>
      </c>
      <c r="L216" s="4" t="n">
        <v>35.4</v>
      </c>
      <c r="M216" s="4" t="n">
        <v>34.1</v>
      </c>
      <c r="N216" s="21">
        <f>SUM(E216:M216)</f>
        <v/>
      </c>
    </row>
    <row r="217">
      <c r="A217" s="23" t="inlineStr">
        <is>
          <t>DHAN-32126092463309</t>
        </is>
      </c>
      <c r="B217" s="23" t="inlineStr">
        <is>
          <t>MUKANDLTD</t>
        </is>
      </c>
      <c r="C217" s="23" t="inlineStr">
        <is>
          <t>SHORT</t>
        </is>
      </c>
      <c r="D217" s="24" t="n">
        <v>46289</v>
      </c>
      <c r="E217" s="4" t="n">
        <v>20</v>
      </c>
      <c r="F217" s="4" t="n">
        <v>207.13</v>
      </c>
      <c r="G217" s="4" t="n">
        <v>10.17</v>
      </c>
      <c r="H217" s="4" t="n">
        <v>0.33</v>
      </c>
      <c r="I217" s="4" t="n">
        <v>4.95</v>
      </c>
      <c r="J217" s="4" t="n">
        <v>5.49</v>
      </c>
      <c r="K217" s="4" t="n">
        <v>0</v>
      </c>
      <c r="L217" s="4" t="n">
        <v>0</v>
      </c>
      <c r="M217" s="4" t="n">
        <v>0</v>
      </c>
      <c r="N217" s="21">
        <f>SUM(E217:M217)</f>
        <v/>
      </c>
    </row>
    <row r="218">
      <c r="A218" s="23" t="inlineStr">
        <is>
          <t>DHAN-34126092398809</t>
        </is>
      </c>
      <c r="B218" s="23" t="inlineStr">
        <is>
          <t>ONEPOINT</t>
        </is>
      </c>
      <c r="C218" s="23" t="inlineStr">
        <is>
          <t>LONG</t>
        </is>
      </c>
      <c r="D218" s="24" t="n">
        <v>46289</v>
      </c>
      <c r="E218" s="4" t="n">
        <v>40</v>
      </c>
      <c r="F218" s="4" t="n">
        <v>209.84</v>
      </c>
      <c r="G218" s="4" t="n">
        <v>10.46</v>
      </c>
      <c r="H218" s="4" t="n">
        <v>0.34</v>
      </c>
      <c r="I218" s="4" t="n">
        <v>25.01</v>
      </c>
      <c r="J218" s="4" t="n">
        <v>9.140000000000001</v>
      </c>
      <c r="K218" s="4" t="n">
        <v>14.75</v>
      </c>
      <c r="L218" s="4" t="n">
        <v>35.4</v>
      </c>
      <c r="M218" s="4" t="n">
        <v>20.53</v>
      </c>
      <c r="N218" s="21">
        <f>SUM(E218:M218)</f>
        <v/>
      </c>
    </row>
    <row r="219">
      <c r="A219" s="23" t="inlineStr">
        <is>
          <t>DHAN-34126092413109</t>
        </is>
      </c>
      <c r="B219" s="23" t="inlineStr">
        <is>
          <t>ONEPOINT</t>
        </is>
      </c>
      <c r="C219" s="23" t="inlineStr">
        <is>
          <t>SHORT</t>
        </is>
      </c>
      <c r="D219" s="24" t="n">
        <v>46289</v>
      </c>
      <c r="E219" s="4" t="n">
        <v>20</v>
      </c>
      <c r="F219" s="4" t="n">
        <v>172.36</v>
      </c>
      <c r="G219" s="4" t="n">
        <v>10.53</v>
      </c>
      <c r="H219" s="4" t="n">
        <v>0.34</v>
      </c>
      <c r="I219" s="4" t="n">
        <v>5.05</v>
      </c>
      <c r="J219" s="4" t="n">
        <v>5.56</v>
      </c>
      <c r="K219" s="4" t="n">
        <v>0</v>
      </c>
      <c r="L219" s="4" t="n">
        <v>0</v>
      </c>
      <c r="M219" s="4" t="n">
        <v>0</v>
      </c>
      <c r="N219" s="21">
        <f>SUM(E219:M219)</f>
        <v/>
      </c>
    </row>
    <row r="220">
      <c r="A220" s="23" t="inlineStr">
        <is>
          <t>DHAN-221260923710309</t>
        </is>
      </c>
      <c r="B220" s="23" t="inlineStr">
        <is>
          <t>RAYMONDREL</t>
        </is>
      </c>
      <c r="C220" s="23" t="inlineStr">
        <is>
          <t>LONG</t>
        </is>
      </c>
      <c r="D220" s="24" t="n">
        <v>46289</v>
      </c>
      <c r="E220" s="4" t="n">
        <v>40</v>
      </c>
      <c r="F220" s="4" t="n">
        <v>164.81</v>
      </c>
      <c r="G220" s="4" t="n">
        <v>10.18</v>
      </c>
      <c r="H220" s="4" t="n">
        <v>0.33</v>
      </c>
      <c r="I220" s="4" t="n">
        <v>24.72</v>
      </c>
      <c r="J220" s="4" t="n">
        <v>9.09</v>
      </c>
      <c r="K220" s="4" t="n">
        <v>14.75</v>
      </c>
      <c r="L220" s="4" t="n">
        <v>35.4</v>
      </c>
      <c r="M220" s="4" t="n">
        <v>33.82</v>
      </c>
      <c r="N220" s="21">
        <f>SUM(E220:M220)</f>
        <v/>
      </c>
    </row>
    <row r="221">
      <c r="A221" s="23" t="inlineStr">
        <is>
          <t>DHAN-23126092413109</t>
        </is>
      </c>
      <c r="B221" s="23" t="inlineStr">
        <is>
          <t>RAYMONDREL</t>
        </is>
      </c>
      <c r="C221" s="23" t="inlineStr">
        <is>
          <t>SHORT</t>
        </is>
      </c>
      <c r="D221" s="24" t="n">
        <v>46289</v>
      </c>
      <c r="E221" s="4" t="n">
        <v>40</v>
      </c>
      <c r="F221" s="4" t="n">
        <v>121.18</v>
      </c>
      <c r="G221" s="4" t="n">
        <v>10.43</v>
      </c>
      <c r="H221" s="4" t="n">
        <v>0.34</v>
      </c>
      <c r="I221" s="4" t="n">
        <v>8.94</v>
      </c>
      <c r="J221" s="4" t="n">
        <v>9.140000000000001</v>
      </c>
      <c r="K221" s="4" t="n">
        <v>0</v>
      </c>
      <c r="L221" s="4" t="n">
        <v>0</v>
      </c>
      <c r="M221" s="4" t="n">
        <v>0</v>
      </c>
      <c r="N221" s="21">
        <f>SUM(E221:M221)</f>
        <v/>
      </c>
    </row>
    <row r="222">
      <c r="A222" s="23" t="inlineStr">
        <is>
          <t>DHAN-34126092398909</t>
        </is>
      </c>
      <c r="B222" s="23" t="inlineStr">
        <is>
          <t>RPGLIFE</t>
        </is>
      </c>
      <c r="C222" s="23" t="inlineStr">
        <is>
          <t>LONG</t>
        </is>
      </c>
      <c r="D222" s="24" t="n">
        <v>46289</v>
      </c>
      <c r="E222" s="4" t="n">
        <v>40</v>
      </c>
      <c r="F222" s="4" t="n">
        <v>207.2</v>
      </c>
      <c r="G222" s="4" t="n">
        <v>10.09</v>
      </c>
      <c r="H222" s="4" t="n">
        <v>0.33</v>
      </c>
      <c r="I222" s="4" t="n">
        <v>25.03</v>
      </c>
      <c r="J222" s="4" t="n">
        <v>9.08</v>
      </c>
      <c r="K222" s="4" t="n">
        <v>14.75</v>
      </c>
      <c r="L222" s="4" t="n">
        <v>35.4</v>
      </c>
      <c r="M222" s="4" t="n">
        <v>37.01</v>
      </c>
      <c r="N222" s="21">
        <f>SUM(E222:M222)</f>
        <v/>
      </c>
    </row>
    <row r="223">
      <c r="A223" s="23" t="inlineStr">
        <is>
          <t>DHAN-221260924489309</t>
        </is>
      </c>
      <c r="B223" s="23" t="inlineStr">
        <is>
          <t>RPGLIFE</t>
        </is>
      </c>
      <c r="C223" s="23" t="inlineStr">
        <is>
          <t>SHORT</t>
        </is>
      </c>
      <c r="D223" s="24" t="n">
        <v>46289</v>
      </c>
      <c r="E223" s="4" t="n">
        <v>20</v>
      </c>
      <c r="F223" s="4" t="n">
        <v>161.23</v>
      </c>
      <c r="G223" s="4" t="n">
        <v>9.880000000000001</v>
      </c>
      <c r="H223" s="4" t="n">
        <v>0.32</v>
      </c>
      <c r="I223" s="4" t="n">
        <v>4.81</v>
      </c>
      <c r="J223" s="4" t="n">
        <v>5.44</v>
      </c>
      <c r="K223" s="4" t="n">
        <v>0</v>
      </c>
      <c r="L223" s="4" t="n">
        <v>0</v>
      </c>
      <c r="M223" s="4" t="n">
        <v>0</v>
      </c>
      <c r="N223" s="21">
        <f>SUM(E223:M223)</f>
        <v/>
      </c>
    </row>
    <row r="224">
      <c r="A224" s="23" t="inlineStr">
        <is>
          <t>DHAN-34126092474909</t>
        </is>
      </c>
      <c r="B224" s="23" t="inlineStr">
        <is>
          <t>AVANTEL</t>
        </is>
      </c>
      <c r="C224" s="23" t="inlineStr">
        <is>
          <t>LONG</t>
        </is>
      </c>
      <c r="D224" s="24" t="n">
        <v>46290</v>
      </c>
      <c r="E224" s="4" t="n">
        <v>40</v>
      </c>
      <c r="F224" s="4" t="n">
        <v>250.38</v>
      </c>
      <c r="G224" s="4" t="n">
        <v>15.49</v>
      </c>
      <c r="H224" s="4" t="n">
        <v>0.5</v>
      </c>
      <c r="I224" s="4" t="n">
        <v>37.54</v>
      </c>
      <c r="J224" s="4" t="n">
        <v>10.08</v>
      </c>
      <c r="K224" s="4" t="n">
        <v>14.75</v>
      </c>
      <c r="L224" s="4" t="n">
        <v>35.4</v>
      </c>
      <c r="M224" s="4" t="n">
        <v>55.03</v>
      </c>
      <c r="N224" s="21">
        <f>SUM(E224:M224)</f>
        <v/>
      </c>
    </row>
    <row r="225">
      <c r="A225" s="23" t="inlineStr">
        <is>
          <t>DHAN-34126092552909</t>
        </is>
      </c>
      <c r="B225" s="23" t="inlineStr">
        <is>
          <t>AVANTEL</t>
        </is>
      </c>
      <c r="C225" s="23" t="inlineStr">
        <is>
          <t>SHORT</t>
        </is>
      </c>
      <c r="D225" s="24" t="n">
        <v>46290</v>
      </c>
      <c r="E225" s="4" t="n">
        <v>20</v>
      </c>
      <c r="F225" s="4" t="n">
        <v>316.45</v>
      </c>
      <c r="G225" s="4" t="n">
        <v>15.53</v>
      </c>
      <c r="H225" s="4" t="n">
        <v>0.51</v>
      </c>
      <c r="I225" s="4" t="n">
        <v>7.57</v>
      </c>
      <c r="J225" s="4" t="n">
        <v>6.49</v>
      </c>
      <c r="K225" s="4" t="n">
        <v>0</v>
      </c>
      <c r="L225" s="4" t="n">
        <v>0</v>
      </c>
      <c r="M225" s="4" t="n">
        <v>0</v>
      </c>
      <c r="N225" s="21">
        <f>SUM(E225:M225)</f>
        <v/>
      </c>
    </row>
    <row r="226">
      <c r="A226" s="23" t="inlineStr">
        <is>
          <t>DHAN-34126092474609+23126092484409+34126092474109+321260924761509+321260924761309+221260924777809+221260924777309+221260924776009+321260924759409+221260924775609+23126092484109+321260924758509+321260924758109</t>
        </is>
      </c>
      <c r="B226" s="23" t="inlineStr">
        <is>
          <t>FRONTSP</t>
        </is>
      </c>
      <c r="C226" s="23" t="inlineStr">
        <is>
          <t>LONG</t>
        </is>
      </c>
      <c r="D226" s="24" t="n">
        <v>46290</v>
      </c>
      <c r="E226" s="4" t="n">
        <v>20</v>
      </c>
      <c r="F226" s="4" t="n">
        <v>154.7</v>
      </c>
      <c r="G226" s="4" t="n">
        <v>7.68</v>
      </c>
      <c r="H226" s="4" t="n">
        <v>0.25</v>
      </c>
      <c r="I226" s="4" t="n">
        <v>18.64</v>
      </c>
      <c r="J226" s="4" t="n">
        <v>5.03</v>
      </c>
      <c r="K226" s="4" t="n">
        <v>14.75</v>
      </c>
      <c r="L226" s="4" t="n">
        <v>0</v>
      </c>
      <c r="M226" s="4" t="n">
        <v>0</v>
      </c>
      <c r="N226" s="21">
        <f>SUM(E226:M226)</f>
        <v/>
      </c>
    </row>
    <row r="227">
      <c r="A227" s="23" t="inlineStr">
        <is>
          <t>DHAN-321260924764809</t>
        </is>
      </c>
      <c r="B227" s="23" t="inlineStr">
        <is>
          <t>GREAVESCOT</t>
        </is>
      </c>
      <c r="C227" s="23" t="inlineStr">
        <is>
          <t>LONG</t>
        </is>
      </c>
      <c r="D227" s="24" t="n">
        <v>46290</v>
      </c>
      <c r="E227" s="4" t="n">
        <v>40</v>
      </c>
      <c r="F227" s="4" t="n">
        <v>313.96</v>
      </c>
      <c r="G227" s="4" t="n">
        <v>15.41</v>
      </c>
      <c r="H227" s="4" t="n">
        <v>0.5</v>
      </c>
      <c r="I227" s="4" t="n">
        <v>37.51</v>
      </c>
      <c r="J227" s="4" t="n">
        <v>10.06</v>
      </c>
      <c r="K227" s="4" t="n">
        <v>14.75</v>
      </c>
      <c r="L227" s="4" t="n">
        <v>35.4</v>
      </c>
      <c r="M227" s="4" t="n">
        <v>54.26</v>
      </c>
      <c r="N227" s="21">
        <f>SUM(E227:M227)</f>
        <v/>
      </c>
    </row>
    <row r="228">
      <c r="A228" s="23" t="inlineStr">
        <is>
          <t>DHAN-22126092551109</t>
        </is>
      </c>
      <c r="B228" s="23" t="inlineStr">
        <is>
          <t>GREAVESCOT</t>
        </is>
      </c>
      <c r="C228" s="23" t="inlineStr">
        <is>
          <t>SHORT</t>
        </is>
      </c>
      <c r="D228" s="24" t="n">
        <v>46290</v>
      </c>
      <c r="E228" s="4" t="n">
        <v>20</v>
      </c>
      <c r="F228" s="4" t="n">
        <v>255.66</v>
      </c>
      <c r="G228" s="4" t="n">
        <v>15.81</v>
      </c>
      <c r="H228" s="4" t="n">
        <v>0.52</v>
      </c>
      <c r="I228" s="4" t="n">
        <v>7.92</v>
      </c>
      <c r="J228" s="4" t="n">
        <v>6.54</v>
      </c>
      <c r="K228" s="4" t="n">
        <v>0</v>
      </c>
      <c r="L228" s="4" t="n">
        <v>0</v>
      </c>
      <c r="M228" s="4" t="n">
        <v>0</v>
      </c>
      <c r="N228" s="21">
        <f>SUM(E228:M228)</f>
        <v/>
      </c>
    </row>
    <row r="229">
      <c r="A229" s="23" t="inlineStr">
        <is>
          <t>DHAN-221260924781709</t>
        </is>
      </c>
      <c r="B229" s="23" t="inlineStr">
        <is>
          <t>INDIAGLYCO</t>
        </is>
      </c>
      <c r="C229" s="23" t="inlineStr">
        <is>
          <t>LONG</t>
        </is>
      </c>
      <c r="D229" s="24" t="n">
        <v>46290</v>
      </c>
      <c r="E229" s="4" t="n">
        <v>20</v>
      </c>
      <c r="F229" s="4" t="n">
        <v>124.48</v>
      </c>
      <c r="G229" s="4" t="n">
        <v>7.69</v>
      </c>
      <c r="H229" s="4" t="n">
        <v>0.25</v>
      </c>
      <c r="I229" s="4" t="n">
        <v>18.67</v>
      </c>
      <c r="J229" s="4" t="n">
        <v>5.03</v>
      </c>
      <c r="K229" s="4" t="n">
        <v>14.75</v>
      </c>
      <c r="L229" s="4" t="n">
        <v>0</v>
      </c>
      <c r="M229" s="4" t="n">
        <v>0</v>
      </c>
      <c r="N229" s="21">
        <f>SUM(E229:M229)</f>
        <v/>
      </c>
    </row>
    <row r="230">
      <c r="A230" s="23" t="inlineStr">
        <is>
          <t>DHAN-32126092550109</t>
        </is>
      </c>
      <c r="B230" s="23" t="inlineStr">
        <is>
          <t>INDIAGLYCO</t>
        </is>
      </c>
      <c r="C230" s="23" t="inlineStr">
        <is>
          <t>SHORT</t>
        </is>
      </c>
      <c r="D230" s="24" t="n">
        <v>46290</v>
      </c>
      <c r="E230" s="4" t="n">
        <v>20</v>
      </c>
      <c r="F230" s="4" t="n">
        <v>157.6</v>
      </c>
      <c r="G230" s="4" t="n">
        <v>7.74</v>
      </c>
      <c r="H230" s="4" t="n">
        <v>0.25</v>
      </c>
      <c r="I230" s="4" t="n">
        <v>3.79</v>
      </c>
      <c r="J230" s="4" t="n">
        <v>5.04</v>
      </c>
      <c r="K230" s="4" t="n">
        <v>0</v>
      </c>
      <c r="L230" s="4" t="n">
        <v>0</v>
      </c>
      <c r="M230" s="4" t="n">
        <v>0</v>
      </c>
      <c r="N230" s="21">
        <f>SUM(E230:M230)</f>
        <v/>
      </c>
    </row>
    <row r="231">
      <c r="A231" s="23" t="inlineStr">
        <is>
          <t>DHAN-321260924764909</t>
        </is>
      </c>
      <c r="B231" s="23" t="inlineStr">
        <is>
          <t>KSCL</t>
        </is>
      </c>
      <c r="C231" s="23" t="inlineStr">
        <is>
          <t>LONG</t>
        </is>
      </c>
      <c r="D231" s="24" t="n">
        <v>46290</v>
      </c>
      <c r="E231" s="4" t="n">
        <v>40</v>
      </c>
      <c r="F231" s="4" t="n">
        <v>249.97</v>
      </c>
      <c r="G231" s="4" t="n">
        <v>15.74</v>
      </c>
      <c r="H231" s="4" t="n">
        <v>0.51</v>
      </c>
      <c r="I231" s="4" t="n">
        <v>37.5</v>
      </c>
      <c r="J231" s="4" t="n">
        <v>10.13</v>
      </c>
      <c r="K231" s="4" t="n">
        <v>14.75</v>
      </c>
      <c r="L231" s="4" t="n">
        <v>35.4</v>
      </c>
      <c r="M231" s="4" t="n">
        <v>57.3</v>
      </c>
      <c r="N231" s="21">
        <f>SUM(E231:M231)</f>
        <v/>
      </c>
    </row>
    <row r="232">
      <c r="A232" s="23" t="inlineStr">
        <is>
          <t>DHAN-32126092550209</t>
        </is>
      </c>
      <c r="B232" s="23" t="inlineStr">
        <is>
          <t>KSCL</t>
        </is>
      </c>
      <c r="C232" s="23" t="inlineStr">
        <is>
          <t>SHORT</t>
        </is>
      </c>
      <c r="D232" s="24" t="n">
        <v>46290</v>
      </c>
      <c r="E232" s="4" t="n">
        <v>20</v>
      </c>
      <c r="F232" s="4" t="n">
        <v>324.08</v>
      </c>
      <c r="G232" s="4" t="n">
        <v>15.78</v>
      </c>
      <c r="H232" s="4" t="n">
        <v>0.52</v>
      </c>
      <c r="I232" s="4" t="n">
        <v>7.51</v>
      </c>
      <c r="J232" s="4" t="n">
        <v>6.53</v>
      </c>
      <c r="K232" s="4" t="n">
        <v>0</v>
      </c>
      <c r="L232" s="4" t="n">
        <v>0</v>
      </c>
      <c r="M232" s="4" t="n">
        <v>0</v>
      </c>
      <c r="N232" s="21">
        <f>SUM(E232:M232)</f>
        <v/>
      </c>
    </row>
    <row r="233">
      <c r="A233" s="23" t="inlineStr">
        <is>
          <t>DHAN-34126092475009</t>
        </is>
      </c>
      <c r="B233" s="23" t="inlineStr">
        <is>
          <t>RAYMONDREL</t>
        </is>
      </c>
      <c r="C233" s="23" t="inlineStr">
        <is>
          <t>LONG</t>
        </is>
      </c>
      <c r="D233" s="24" t="n">
        <v>46290</v>
      </c>
      <c r="E233" s="4" t="n">
        <v>20</v>
      </c>
      <c r="F233" s="4" t="n">
        <v>0</v>
      </c>
      <c r="G233" s="4" t="n">
        <v>3.83</v>
      </c>
      <c r="H233" s="4" t="n">
        <v>0.12</v>
      </c>
      <c r="I233" s="4" t="n">
        <v>0</v>
      </c>
      <c r="J233" s="4" t="n">
        <v>4.31</v>
      </c>
      <c r="K233" s="4" t="n">
        <v>14.75</v>
      </c>
      <c r="L233" s="4" t="n">
        <v>0</v>
      </c>
      <c r="M233" s="4" t="n">
        <v>0</v>
      </c>
      <c r="N233" s="21">
        <f>SUM(E233:M233)</f>
        <v/>
      </c>
    </row>
    <row r="234">
      <c r="A234" s="23" t="inlineStr">
        <is>
          <t>DHAN-34126092589909+23126092590609+321260925635709+23126092590509+221260925652809+23126092590209+23126092589909+321260925634109+34126092589509+23126092589709+321260925632309</t>
        </is>
      </c>
      <c r="B234" s="23" t="inlineStr">
        <is>
          <t>BHAGERIA</t>
        </is>
      </c>
      <c r="C234" s="23" t="inlineStr">
        <is>
          <t>LONG</t>
        </is>
      </c>
      <c r="D234" s="24" t="n">
        <v>46293</v>
      </c>
      <c r="E234" s="4" t="n">
        <v>0</v>
      </c>
      <c r="F234" s="4" t="n">
        <v>246.31</v>
      </c>
      <c r="G234" s="4" t="n">
        <v>7.56</v>
      </c>
      <c r="H234" s="4" t="n">
        <v>0.25</v>
      </c>
      <c r="I234" s="4" t="n">
        <v>18.7</v>
      </c>
      <c r="J234" s="4" t="n">
        <v>1.41</v>
      </c>
      <c r="K234" s="4" t="n">
        <v>14.75</v>
      </c>
      <c r="L234" s="4" t="n">
        <v>0</v>
      </c>
      <c r="M234" s="4" t="n">
        <v>0</v>
      </c>
      <c r="N234" s="21">
        <f>SUM(E234:M234)</f>
        <v/>
      </c>
    </row>
    <row r="235">
      <c r="A235" s="23" t="inlineStr">
        <is>
          <t>DHAN-321260925638609</t>
        </is>
      </c>
      <c r="B235" s="23" t="inlineStr">
        <is>
          <t>DELTACORP</t>
        </is>
      </c>
      <c r="C235" s="23" t="inlineStr">
        <is>
          <t>LONG</t>
        </is>
      </c>
      <c r="D235" s="24" t="n">
        <v>46293</v>
      </c>
      <c r="E235" s="4" t="n">
        <v>40</v>
      </c>
      <c r="F235" s="4" t="n">
        <v>507.4</v>
      </c>
      <c r="G235" s="4" t="n">
        <v>15.58</v>
      </c>
      <c r="H235" s="4" t="n">
        <v>0.51</v>
      </c>
      <c r="I235" s="4" t="n">
        <v>37.55</v>
      </c>
      <c r="J235" s="4" t="n">
        <v>10.1</v>
      </c>
      <c r="K235" s="4" t="n">
        <v>14.75</v>
      </c>
      <c r="L235" s="4" t="n">
        <v>35.4</v>
      </c>
      <c r="M235" s="4" t="n">
        <v>92.47</v>
      </c>
      <c r="N235" s="21">
        <f>SUM(E235:M235)</f>
        <v/>
      </c>
    </row>
    <row r="236">
      <c r="A236" s="23" t="inlineStr">
        <is>
          <t>DHAN-34126092589809+221260925653309+221260925652709+23126092590409+23126092590109+34126092589609+321260925634209+321260925633309+34126092589109+321260925632409+34126092588909</t>
        </is>
      </c>
      <c r="B236" s="23" t="inlineStr">
        <is>
          <t>SANGAMIND</t>
        </is>
      </c>
      <c r="C236" s="23" t="inlineStr">
        <is>
          <t>LONG</t>
        </is>
      </c>
      <c r="D236" s="24" t="n">
        <v>46293</v>
      </c>
      <c r="E236" s="4" t="n">
        <v>94.84999999999999</v>
      </c>
      <c r="F236" s="4" t="n">
        <v>498.73</v>
      </c>
      <c r="G236" s="4" t="n">
        <v>15.31</v>
      </c>
      <c r="H236" s="4" t="n">
        <v>0.5</v>
      </c>
      <c r="I236" s="4" t="n">
        <v>37.42</v>
      </c>
      <c r="J236" s="4" t="n">
        <v>19.92</v>
      </c>
      <c r="K236" s="4" t="n">
        <v>14.75</v>
      </c>
      <c r="L236" s="4" t="n">
        <v>35.4</v>
      </c>
      <c r="M236" s="4" t="n">
        <v>127.99</v>
      </c>
      <c r="N236" s="21">
        <f>SUM(E236:M236)</f>
        <v/>
      </c>
    </row>
    <row r="237">
      <c r="A237" s="23" t="inlineStr">
        <is>
          <t>DHAN-23126092590809</t>
        </is>
      </c>
      <c r="B237" s="23" t="inlineStr">
        <is>
          <t>SHANTIGOLD</t>
        </is>
      </c>
      <c r="C237" s="23" t="inlineStr">
        <is>
          <t>LONG</t>
        </is>
      </c>
      <c r="D237" s="24" t="n">
        <v>46293</v>
      </c>
      <c r="E237" s="4" t="n">
        <v>40</v>
      </c>
      <c r="F237" s="4" t="n">
        <v>490.83</v>
      </c>
      <c r="G237" s="4" t="n">
        <v>15.07</v>
      </c>
      <c r="H237" s="4" t="n">
        <v>0.49</v>
      </c>
      <c r="I237" s="4" t="n">
        <v>37.7</v>
      </c>
      <c r="J237" s="4" t="n">
        <v>10</v>
      </c>
      <c r="K237" s="4" t="n">
        <v>14.75</v>
      </c>
      <c r="L237" s="4" t="n">
        <v>35.4</v>
      </c>
      <c r="M237" s="4" t="n">
        <v>0</v>
      </c>
      <c r="N237" s="21">
        <f>SUM(E237:M237)</f>
        <v/>
      </c>
    </row>
    <row r="238">
      <c r="A238" s="23" t="inlineStr">
        <is>
          <t>DHAN-221260925653209+34126092589709+221260925652409+23126092590009+221260925651309+23126092589809+321260925633809+34126092589409+34126092589309+34126092589209+34126092588809</t>
        </is>
      </c>
      <c r="B238" s="23" t="inlineStr">
        <is>
          <t>SHOPERSTOP</t>
        </is>
      </c>
      <c r="C238" s="23" t="inlineStr">
        <is>
          <t>LONG</t>
        </is>
      </c>
      <c r="D238" s="24" t="n">
        <v>46293</v>
      </c>
      <c r="E238" s="4" t="n">
        <v>94.97</v>
      </c>
      <c r="F238" s="4" t="n">
        <v>498.88</v>
      </c>
      <c r="G238" s="4" t="n">
        <v>15.32</v>
      </c>
      <c r="H238" s="4" t="n">
        <v>0.5</v>
      </c>
      <c r="I238" s="4" t="n">
        <v>37.48</v>
      </c>
      <c r="J238" s="4" t="n">
        <v>19.94</v>
      </c>
      <c r="K238" s="4" t="n">
        <v>14.75</v>
      </c>
      <c r="L238" s="4" t="n">
        <v>35.4</v>
      </c>
      <c r="M238" s="4" t="n">
        <v>153.82</v>
      </c>
      <c r="N238" s="21">
        <f>SUM(E238:M238)</f>
        <v/>
      </c>
    </row>
    <row r="239">
      <c r="A239" s="23" t="inlineStr">
        <is>
          <t>DHAN-23126092590709</t>
        </is>
      </c>
      <c r="B239" s="23" t="inlineStr">
        <is>
          <t>STEELCAS</t>
        </is>
      </c>
      <c r="C239" s="23" t="inlineStr">
        <is>
          <t>LONG</t>
        </is>
      </c>
      <c r="D239" s="24" t="n">
        <v>46293</v>
      </c>
      <c r="E239" s="4" t="n">
        <v>40</v>
      </c>
      <c r="F239" s="4" t="n">
        <v>500.26</v>
      </c>
      <c r="G239" s="4" t="n">
        <v>15.36</v>
      </c>
      <c r="H239" s="4" t="n">
        <v>0.5</v>
      </c>
      <c r="I239" s="4" t="n">
        <v>37.76</v>
      </c>
      <c r="J239" s="4" t="n">
        <v>10.05</v>
      </c>
      <c r="K239" s="4" t="n">
        <v>14.75</v>
      </c>
      <c r="L239" s="4" t="n">
        <v>35.4</v>
      </c>
      <c r="M239" s="4" t="n">
        <v>153.77</v>
      </c>
      <c r="N239" s="21">
        <f>SUM(E239:M239)</f>
        <v/>
      </c>
    </row>
    <row r="240">
      <c r="A240" s="23" t="inlineStr">
        <is>
          <t>DHAN-341260928158909</t>
        </is>
      </c>
      <c r="B240" s="23" t="inlineStr">
        <is>
          <t>JINDRILL</t>
        </is>
      </c>
      <c r="C240" s="23" t="inlineStr">
        <is>
          <t>LONG</t>
        </is>
      </c>
      <c r="D240" s="24" t="n">
        <v>46294</v>
      </c>
      <c r="E240" s="4" t="n">
        <v>40</v>
      </c>
      <c r="F240" s="4" t="n">
        <v>588.48</v>
      </c>
      <c r="G240" s="4" t="n">
        <v>18.07</v>
      </c>
      <c r="H240" s="4" t="n">
        <v>0.59</v>
      </c>
      <c r="I240" s="4" t="n">
        <v>44.97</v>
      </c>
      <c r="J240" s="4" t="n">
        <v>10.56</v>
      </c>
      <c r="K240" s="4" t="n">
        <v>14.75</v>
      </c>
      <c r="L240" s="4" t="n">
        <v>35.4</v>
      </c>
      <c r="M240" s="4" t="n">
        <v>63.47</v>
      </c>
      <c r="N240" s="21">
        <f>SUM(E240:M240)</f>
        <v/>
      </c>
    </row>
    <row r="241">
      <c r="A241" s="23" t="inlineStr">
        <is>
          <t>DHAN-reconciled_dup_buy_20260928</t>
        </is>
      </c>
      <c r="B241" s="23" t="inlineStr">
        <is>
          <t>RSYSTEMS</t>
        </is>
      </c>
      <c r="C241" s="23" t="inlineStr">
        <is>
          <t>LONG</t>
        </is>
      </c>
      <c r="D241" s="24" t="n">
        <v>46294</v>
      </c>
      <c r="E241" s="4" t="n">
        <v>20</v>
      </c>
      <c r="F241" s="4" t="n">
        <v>0</v>
      </c>
      <c r="G241" s="4" t="n">
        <v>9.67</v>
      </c>
      <c r="H241" s="4" t="n">
        <v>0.32</v>
      </c>
      <c r="I241" s="4" t="n">
        <v>0</v>
      </c>
      <c r="J241" s="4" t="n">
        <v>5.4</v>
      </c>
      <c r="K241" s="4" t="n">
        <v>14.75</v>
      </c>
      <c r="L241" s="4" t="n">
        <v>35.4</v>
      </c>
      <c r="M241" s="4" t="n">
        <v>64.06999999999999</v>
      </c>
      <c r="N241" s="21">
        <f>SUM(E241:M241)</f>
        <v/>
      </c>
    </row>
    <row r="242">
      <c r="A242" s="23" t="inlineStr">
        <is>
          <t>DHAN-23126092924109</t>
        </is>
      </c>
      <c r="B242" s="23" t="inlineStr">
        <is>
          <t>RSYSTEMS</t>
        </is>
      </c>
      <c r="C242" s="23" t="inlineStr">
        <is>
          <t>SHORT</t>
        </is>
      </c>
      <c r="D242" s="24" t="n">
        <v>46294</v>
      </c>
      <c r="E242" s="4" t="n">
        <v>40</v>
      </c>
      <c r="F242" s="4" t="n">
        <v>314.71</v>
      </c>
      <c r="G242" s="4" t="n">
        <v>19.41</v>
      </c>
      <c r="H242" s="4" t="n">
        <v>0.63</v>
      </c>
      <c r="I242" s="4" t="n">
        <v>12.73</v>
      </c>
      <c r="J242" s="4" t="n">
        <v>10.81</v>
      </c>
      <c r="K242" s="4" t="n">
        <v>0</v>
      </c>
      <c r="L242" s="4" t="n">
        <v>0</v>
      </c>
      <c r="M242" s="4" t="n">
        <v>0</v>
      </c>
      <c r="N242" s="21">
        <f>SUM(E242:M242)</f>
        <v/>
      </c>
    </row>
    <row r="243">
      <c r="A243" s="23" t="inlineStr">
        <is>
          <t>DHAN-341260928158709+341260928158609+221260928823209+341260928158409+341260928158209+341260928158009+341260928157909+221260928821609+341260928157709+221260928820609+341260928157509</t>
        </is>
      </c>
      <c r="B243" s="23" t="inlineStr">
        <is>
          <t>SDBL</t>
        </is>
      </c>
      <c r="C243" s="23" t="inlineStr">
        <is>
          <t>LONG</t>
        </is>
      </c>
      <c r="D243" s="24" t="n">
        <v>46294</v>
      </c>
      <c r="E243" s="4" t="n">
        <v>109.91</v>
      </c>
      <c r="F243" s="4" t="n">
        <v>594.33</v>
      </c>
      <c r="G243" s="4" t="n">
        <v>18.23</v>
      </c>
      <c r="H243" s="4" t="n">
        <v>0.59</v>
      </c>
      <c r="I243" s="4" t="n">
        <v>44.93</v>
      </c>
      <c r="J243" s="4" t="n">
        <v>23.17</v>
      </c>
      <c r="K243" s="4" t="n">
        <v>14.75</v>
      </c>
      <c r="L243" s="4" t="n">
        <v>35.4</v>
      </c>
      <c r="M243" s="4" t="n">
        <v>62.96</v>
      </c>
      <c r="N243" s="21">
        <f>SUM(E243:M243)</f>
        <v/>
      </c>
    </row>
    <row r="244">
      <c r="A244" s="23" t="inlineStr">
        <is>
          <t>DHAN-341260928159209</t>
        </is>
      </c>
      <c r="B244" s="23" t="inlineStr">
        <is>
          <t>SMCGLOBAL</t>
        </is>
      </c>
      <c r="C244" s="23" t="inlineStr">
        <is>
          <t>LONG</t>
        </is>
      </c>
      <c r="D244" s="24" t="n">
        <v>46294</v>
      </c>
      <c r="E244" s="4" t="n">
        <v>40</v>
      </c>
      <c r="F244" s="4" t="n">
        <v>585.21</v>
      </c>
      <c r="G244" s="4" t="n">
        <v>17.96</v>
      </c>
      <c r="H244" s="4" t="n">
        <v>0.59</v>
      </c>
      <c r="I244" s="4" t="n">
        <v>45.01</v>
      </c>
      <c r="J244" s="4" t="n">
        <v>10.54</v>
      </c>
      <c r="K244" s="4" t="n">
        <v>14.75</v>
      </c>
      <c r="L244" s="4" t="n">
        <v>35.4</v>
      </c>
      <c r="M244" s="4" t="n">
        <v>36.94</v>
      </c>
      <c r="N244" s="21">
        <f>SUM(E244:M244)</f>
        <v/>
      </c>
    </row>
    <row r="245">
      <c r="A245" s="23" t="inlineStr">
        <is>
          <t>DHAN-341260928159109</t>
        </is>
      </c>
      <c r="B245" s="23" t="inlineStr">
        <is>
          <t>SYNCOMF</t>
        </is>
      </c>
      <c r="C245" s="23" t="inlineStr">
        <is>
          <t>LONG</t>
        </is>
      </c>
      <c r="D245" s="24" t="n">
        <v>46294</v>
      </c>
      <c r="E245" s="4" t="n">
        <v>60</v>
      </c>
      <c r="F245" s="4" t="n">
        <v>522.23</v>
      </c>
      <c r="G245" s="4" t="n">
        <v>18.6</v>
      </c>
      <c r="H245" s="4" t="n">
        <v>0.61</v>
      </c>
      <c r="I245" s="4" t="n">
        <v>44.98</v>
      </c>
      <c r="J245" s="4" t="n">
        <v>14.26</v>
      </c>
      <c r="K245" s="4" t="n">
        <v>14.75</v>
      </c>
      <c r="L245" s="4" t="n">
        <v>35.4</v>
      </c>
      <c r="M245" s="4" t="n">
        <v>51.27</v>
      </c>
      <c r="N245" s="21">
        <f>SUM(E245:M245)</f>
        <v/>
      </c>
    </row>
    <row r="246">
      <c r="A246" s="23" t="inlineStr">
        <is>
          <t>DHAN-221260929652409</t>
        </is>
      </c>
      <c r="B246" s="23" t="inlineStr">
        <is>
          <t>ELECTCAST</t>
        </is>
      </c>
      <c r="C246" s="23" t="inlineStr">
        <is>
          <t>LONG</t>
        </is>
      </c>
      <c r="D246" s="24" t="n">
        <v>46295</v>
      </c>
      <c r="E246" s="4" t="n">
        <v>40</v>
      </c>
      <c r="F246" s="4" t="n">
        <v>430.21</v>
      </c>
      <c r="G246" s="4" t="n">
        <v>13.21</v>
      </c>
      <c r="H246" s="4" t="n">
        <v>0.43</v>
      </c>
      <c r="I246" s="4" t="n">
        <v>32.11</v>
      </c>
      <c r="J246" s="4" t="n">
        <v>9.65</v>
      </c>
      <c r="K246" s="4" t="n">
        <v>14.75</v>
      </c>
      <c r="L246" s="4" t="n">
        <v>35.4</v>
      </c>
      <c r="M246" s="4" t="n">
        <v>46.47</v>
      </c>
      <c r="N246" s="21">
        <f>SUM(E246:M246)</f>
        <v/>
      </c>
    </row>
    <row r="247">
      <c r="A247" s="23" t="inlineStr">
        <is>
          <t>DHAN-221260929652309</t>
        </is>
      </c>
      <c r="B247" s="23" t="inlineStr">
        <is>
          <t>INDOCO</t>
        </is>
      </c>
      <c r="C247" s="23" t="inlineStr">
        <is>
          <t>LONG</t>
        </is>
      </c>
      <c r="D247" s="24" t="n">
        <v>46295</v>
      </c>
      <c r="E247" s="4" t="n">
        <v>40</v>
      </c>
      <c r="F247" s="4" t="n">
        <v>423.83</v>
      </c>
      <c r="G247" s="4" t="n">
        <v>13.01</v>
      </c>
      <c r="H247" s="4" t="n">
        <v>0.42</v>
      </c>
      <c r="I247" s="4" t="n">
        <v>32.65</v>
      </c>
      <c r="J247" s="4" t="n">
        <v>9.619999999999999</v>
      </c>
      <c r="K247" s="4" t="n">
        <v>14.75</v>
      </c>
      <c r="L247" s="4" t="n">
        <v>35.4</v>
      </c>
      <c r="M247" s="4" t="n">
        <v>44.06</v>
      </c>
      <c r="N247" s="21">
        <f>SUM(E247:M247)</f>
        <v/>
      </c>
    </row>
    <row r="248">
      <c r="A248" s="23" t="inlineStr">
        <is>
          <t>DHAN-221260929652509</t>
        </is>
      </c>
      <c r="B248" s="23" t="inlineStr">
        <is>
          <t>RSYSTEMS</t>
        </is>
      </c>
      <c r="C248" s="23" t="inlineStr">
        <is>
          <t>LONG</t>
        </is>
      </c>
      <c r="D248" s="24" t="n">
        <v>46295</v>
      </c>
      <c r="E248" s="4" t="n">
        <v>40</v>
      </c>
      <c r="F248" s="4" t="n">
        <v>104.99</v>
      </c>
      <c r="G248" s="4" t="n">
        <v>6.51</v>
      </c>
      <c r="H248" s="4" t="n">
        <v>0.21</v>
      </c>
      <c r="I248" s="4" t="n">
        <v>0</v>
      </c>
      <c r="J248" s="4" t="n">
        <v>8.41</v>
      </c>
      <c r="K248" s="4" t="n">
        <v>14.75</v>
      </c>
      <c r="L248" s="4" t="n">
        <v>0</v>
      </c>
      <c r="M248" s="4" t="n">
        <v>0</v>
      </c>
      <c r="N248" s="21">
        <f>SUM(E248:M248)</f>
        <v/>
      </c>
    </row>
    <row r="249">
      <c r="A249" s="23" t="inlineStr">
        <is>
          <t>DHAN-321260929420709</t>
        </is>
      </c>
      <c r="B249" s="23" t="inlineStr">
        <is>
          <t>SYNCOMF</t>
        </is>
      </c>
      <c r="C249" s="23" t="inlineStr">
        <is>
          <t>LONG</t>
        </is>
      </c>
      <c r="D249" s="24" t="n">
        <v>46295</v>
      </c>
      <c r="E249" s="4" t="n">
        <v>40</v>
      </c>
      <c r="F249" s="4" t="n">
        <v>125.07</v>
      </c>
      <c r="G249" s="4" t="n">
        <v>6.4</v>
      </c>
      <c r="H249" s="4" t="n">
        <v>0.21</v>
      </c>
      <c r="I249" s="4" t="n">
        <v>3.22</v>
      </c>
      <c r="J249" s="4" t="n">
        <v>8.390000000000001</v>
      </c>
      <c r="K249" s="4" t="n">
        <v>14.75</v>
      </c>
      <c r="L249" s="4" t="n">
        <v>0</v>
      </c>
      <c r="M249" s="4" t="n">
        <v>0</v>
      </c>
      <c r="N249" s="21">
        <f>SUM(E249:M249)</f>
        <v/>
      </c>
    </row>
    <row r="250">
      <c r="A250" s="23" t="inlineStr">
        <is>
          <t>DHAN-34126092973909+321260929416609+34126092974209+34126092974309+221260929647009+221260929647509+23126092975109+34126092974609+23126092975209+221260929648209+221260929648709+23126092975409+23126092975509+34126092974709</t>
        </is>
      </c>
      <c r="B250" s="23" t="inlineStr">
        <is>
          <t>TCIEXP</t>
        </is>
      </c>
      <c r="C250" s="23" t="inlineStr">
        <is>
          <t>LONG</t>
        </is>
      </c>
      <c r="D250" s="24" t="n">
        <v>46295</v>
      </c>
      <c r="E250" s="4" t="n">
        <v>84.29000000000001</v>
      </c>
      <c r="F250" s="4" t="n">
        <v>214.31</v>
      </c>
      <c r="G250" s="4" t="n">
        <v>13.4</v>
      </c>
      <c r="H250" s="4" t="n">
        <v>0.44</v>
      </c>
      <c r="I250" s="4" t="n">
        <v>32.15</v>
      </c>
      <c r="J250" s="4" t="n">
        <v>17.66</v>
      </c>
      <c r="K250" s="4" t="n">
        <v>14.75</v>
      </c>
      <c r="L250" s="4" t="n">
        <v>35.4</v>
      </c>
      <c r="M250" s="4" t="n">
        <v>43.98</v>
      </c>
      <c r="N250" s="21">
        <f>SUM(E250:M250)</f>
        <v/>
      </c>
    </row>
    <row r="251">
      <c r="A251" s="23" t="inlineStr">
        <is>
          <t>DHAN-32126093049609</t>
        </is>
      </c>
      <c r="B251" s="23" t="inlineStr">
        <is>
          <t>TCIEXP</t>
        </is>
      </c>
      <c r="C251" s="23" t="inlineStr">
        <is>
          <t>SHORT</t>
        </is>
      </c>
      <c r="D251" s="24" t="n">
        <v>46295</v>
      </c>
      <c r="E251" s="4" t="n">
        <v>20</v>
      </c>
      <c r="F251" s="4" t="n">
        <v>275.31</v>
      </c>
      <c r="G251" s="4" t="n">
        <v>13.48</v>
      </c>
      <c r="H251" s="4" t="n">
        <v>0.44</v>
      </c>
      <c r="I251" s="4" t="n">
        <v>6.48</v>
      </c>
      <c r="J251" s="4" t="n">
        <v>6.1</v>
      </c>
      <c r="K251" s="4" t="n">
        <v>0</v>
      </c>
      <c r="L251" s="4" t="n">
        <v>0</v>
      </c>
      <c r="M251" s="4" t="n">
        <v>0</v>
      </c>
      <c r="N251" s="21">
        <f>SUM(E251:M251)</f>
        <v/>
      </c>
    </row>
    <row r="252">
      <c r="A252" s="23" t="inlineStr">
        <is>
          <t>DHAN-321260929416409+34126092974109+23126092974809+34126092974409+321260929417209+221260929647409+321260929417509+321260929417709+23126092975309+321260929418309+221260929648809+321260929418709+34126092974809</t>
        </is>
      </c>
      <c r="B252" s="23" t="inlineStr">
        <is>
          <t>UNICHEMLAB</t>
        </is>
      </c>
      <c r="C252" s="23" t="inlineStr">
        <is>
          <t>LONG</t>
        </is>
      </c>
      <c r="D252" s="24" t="n">
        <v>46295</v>
      </c>
      <c r="E252" s="4" t="n">
        <v>84.28</v>
      </c>
      <c r="F252" s="4" t="n">
        <v>426.54</v>
      </c>
      <c r="G252" s="4" t="n">
        <v>13.09</v>
      </c>
      <c r="H252" s="4" t="n">
        <v>0.43</v>
      </c>
      <c r="I252" s="4" t="n">
        <v>32.14</v>
      </c>
      <c r="J252" s="4" t="n">
        <v>17.6</v>
      </c>
      <c r="K252" s="4" t="n">
        <v>14.75</v>
      </c>
      <c r="L252" s="4" t="n">
        <v>35.4</v>
      </c>
      <c r="M252" s="4" t="n">
        <v>43.97</v>
      </c>
      <c r="N252" s="21">
        <f>SUM(E252:M252)</f>
        <v/>
      </c>
    </row>
    <row r="253">
      <c r="A253" s="23" t="inlineStr">
        <is>
          <t>DHAN-321260930406209+321260930406609+221260930616009+321260930406809+23126093060509+321260930407609+221260930618609+34126093061409+321260930408909+23126093060609+34126093061509</t>
        </is>
      </c>
      <c r="B253" s="23" t="inlineStr">
        <is>
          <t>DIAMONDYD</t>
        </is>
      </c>
      <c r="C253" s="23" t="inlineStr">
        <is>
          <t>LONG</t>
        </is>
      </c>
      <c r="D253" s="24" t="n">
        <v>46296</v>
      </c>
      <c r="E253" s="4" t="n">
        <v>82.01000000000001</v>
      </c>
      <c r="F253" s="4" t="n">
        <v>375.99</v>
      </c>
      <c r="G253" s="4" t="n">
        <v>11.54</v>
      </c>
      <c r="H253" s="4" t="n">
        <v>0.38</v>
      </c>
      <c r="I253" s="4" t="n">
        <v>56.4</v>
      </c>
      <c r="J253" s="4" t="n">
        <v>16.91</v>
      </c>
      <c r="K253" s="4" t="n">
        <v>14.75</v>
      </c>
      <c r="L253" s="4" t="n">
        <v>35.4</v>
      </c>
      <c r="M253" s="4" t="n">
        <v>77.15000000000001</v>
      </c>
      <c r="N253" s="21">
        <f>SUM(E253:M253)</f>
        <v/>
      </c>
    </row>
    <row r="254">
      <c r="A254" s="23" t="inlineStr">
        <is>
          <t>DHAN-221260930623409</t>
        </is>
      </c>
      <c r="B254" s="23" t="inlineStr">
        <is>
          <t>DPABHUSHAN</t>
        </is>
      </c>
      <c r="C254" s="23" t="inlineStr">
        <is>
          <t>LONG</t>
        </is>
      </c>
      <c r="D254" s="24" t="n">
        <v>46296</v>
      </c>
      <c r="E254" s="4" t="n">
        <v>0</v>
      </c>
      <c r="F254" s="4" t="n">
        <v>186.06</v>
      </c>
      <c r="G254" s="4" t="n">
        <v>5.71</v>
      </c>
      <c r="H254" s="4" t="n">
        <v>0.19</v>
      </c>
      <c r="I254" s="4" t="n">
        <v>28.12</v>
      </c>
      <c r="J254" s="4" t="n">
        <v>1.06</v>
      </c>
      <c r="K254" s="4" t="n">
        <v>14.75</v>
      </c>
      <c r="L254" s="4" t="n">
        <v>0</v>
      </c>
      <c r="M254" s="4" t="n">
        <v>0</v>
      </c>
      <c r="N254" s="21">
        <f>SUM(E254:M254)</f>
        <v/>
      </c>
    </row>
    <row r="255">
      <c r="A255" s="3" t="inlineStr">
        <is>
          <t>TOTAL</t>
        </is>
      </c>
      <c r="E255" s="32">
        <f>SUM(E4:E254)</f>
        <v/>
      </c>
      <c r="F255" s="32">
        <f>SUM(F4:F254)</f>
        <v/>
      </c>
      <c r="G255" s="32">
        <f>SUM(G4:G254)</f>
        <v/>
      </c>
      <c r="H255" s="32">
        <f>SUM(H4:H254)</f>
        <v/>
      </c>
      <c r="I255" s="32">
        <f>SUM(I4:I254)</f>
        <v/>
      </c>
      <c r="J255" s="32">
        <f>SUM(J4:J254)</f>
        <v/>
      </c>
      <c r="K255" s="32">
        <f>SUM(K4:K254)</f>
        <v/>
      </c>
      <c r="L255" s="32">
        <f>SUM(L4:L254)</f>
        <v/>
      </c>
      <c r="M255" s="32">
        <f>SUM(M4:M254)</f>
        <v/>
      </c>
      <c r="N255" s="32">
        <f>SUM(N4:N254)</f>
        <v/>
      </c>
    </row>
  </sheetData>
  <autoFilter ref="A3:N254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Monthly &amp; Weekly PnL</t>
        </is>
      </c>
    </row>
    <row r="2" ht="16" customHeight="1">
      <c r="A2" s="2" t="inlineStr">
        <is>
          <t>Month-wise and week-wise performance, attributed by Exit Date -- computed straight from Trade Log.</t>
        </is>
      </c>
    </row>
    <row r="3">
      <c r="A3" s="3" t="inlineStr">
        <is>
          <t>MONTHLY PnL</t>
        </is>
      </c>
    </row>
    <row r="4">
      <c r="A4" s="19" t="inlineStr">
        <is>
          <t>Period</t>
        </is>
      </c>
      <c r="B4" s="19" t="inlineStr">
        <is>
          <t>Trades</t>
        </is>
      </c>
      <c r="C4" s="19" t="inlineStr">
        <is>
          <t>Wins</t>
        </is>
      </c>
      <c r="D4" s="19" t="inlineStr">
        <is>
          <t>Losses</t>
        </is>
      </c>
      <c r="E4" s="19" t="inlineStr">
        <is>
          <t>Win Rate</t>
        </is>
      </c>
      <c r="F4" s="19" t="inlineStr">
        <is>
          <t>Gross P&amp;L</t>
        </is>
      </c>
      <c r="G4" s="19" t="inlineStr">
        <is>
          <t>Net P&amp;L</t>
        </is>
      </c>
      <c r="H4" s="19" t="inlineStr">
        <is>
          <t>Avg Net P&amp;L / Trade</t>
        </is>
      </c>
      <c r="I4" s="19" t="inlineStr">
        <is>
          <t>Best Trade</t>
        </is>
      </c>
      <c r="J4" s="19" t="inlineStr">
        <is>
          <t>Worst Trade</t>
        </is>
      </c>
      <c r="K4" s="19" t="inlineStr">
        <is>
          <t>Profit Factor</t>
        </is>
      </c>
    </row>
    <row r="5">
      <c r="A5" s="27" t="inlineStr">
        <is>
          <t>2026-08</t>
        </is>
      </c>
      <c r="B5" s="20">
        <f>COUNTIFS('Trade Log'!$G$4:$G$503,"&gt;="&amp;DATE(2026,8,1),'Trade Log'!$G$4:$G$503,"&lt;"&amp;DATE(2026,9,1))</f>
        <v/>
      </c>
      <c r="C5" s="20">
        <f>COUNTIFS('Trade Log'!$G$4:$G$503,"&gt;="&amp;DATE(2026,8,1),'Trade Log'!$G$4:$G$503,"&lt;"&amp;DATE(2026,9,1),'Trade Log'!$L$4:$L$503,"&gt;0")</f>
        <v/>
      </c>
      <c r="D5" s="20">
        <f>COUNTIFS('Trade Log'!$G$4:$G$503,"&gt;="&amp;DATE(2026,8,1),'Trade Log'!$G$4:$G$503,"&lt;"&amp;DATE(2026,9,1),'Trade Log'!$L$4:$L$503,"&lt;0")</f>
        <v/>
      </c>
      <c r="E5" s="22">
        <f>IFERROR($C5/$B5,"")</f>
        <v/>
      </c>
      <c r="F5" s="21">
        <f>SUMIFS('Trade Log'!$I$4:$I$503,'Trade Log'!$G$4:$G$503,"&gt;="&amp;DATE(2026,8,1),'Trade Log'!$G$4:$G$503,"&lt;"&amp;DATE(2026,9,1))</f>
        <v/>
      </c>
      <c r="G5" s="21">
        <f>SUMIFS('Trade Log'!$L$4:$L$503,'Trade Log'!$G$4:$G$503,"&gt;="&amp;DATE(2026,8,1),'Trade Log'!$G$4:$G$503,"&lt;"&amp;DATE(2026,9,1))</f>
        <v/>
      </c>
      <c r="H5" s="21">
        <f>IFERROR($G5/$B5,"")</f>
        <v/>
      </c>
      <c r="I5" s="21">
        <f>IFERROR(_xlfn.MAXIFS('Trade Log'!$L$4:$L$503,'Trade Log'!$G$4:$G$503,"&gt;="&amp;DATE(2026,8,1),'Trade Log'!$G$4:$G$503,"&lt;"&amp;DATE(2026,9,1)),"")</f>
        <v/>
      </c>
      <c r="J5" s="21">
        <f>IFERROR(_xlfn.MINIFS('Trade Log'!$L$4:$L$503,'Trade Log'!$G$4:$G$503,"&gt;="&amp;DATE(2026,8,1),'Trade Log'!$G$4:$G$503,"&lt;"&amp;DATE(2026,9,1)),"")</f>
        <v/>
      </c>
      <c r="K5" s="29">
        <f>IFERROR(SUMIFS('Trade Log'!$L$4:$L$503,'Trade Log'!$G$4:$G$503,"&gt;="&amp;DATE(2026,8,1),'Trade Log'!$G$4:$G$503,"&lt;"&amp;DATE(2026,9,1),'Trade Log'!$L$4:$L$503,"&gt;0")/ABS(SUMIFS('Trade Log'!$L$4:$L$503,'Trade Log'!$G$4:$G$503,"&gt;="&amp;DATE(2026,8,1),'Trade Log'!$G$4:$G$503,"&lt;"&amp;DATE(2026,9,1),'Trade Log'!$L$4:$L$503,"&lt;0")),"")</f>
        <v/>
      </c>
    </row>
    <row r="6">
      <c r="A6" s="27" t="inlineStr">
        <is>
          <t>2026-09</t>
        </is>
      </c>
      <c r="B6" s="20">
        <f>COUNTIFS('Trade Log'!$G$4:$G$503,"&gt;="&amp;DATE(2026,9,1),'Trade Log'!$G$4:$G$503,"&lt;"&amp;DATE(2026,10,1))</f>
        <v/>
      </c>
      <c r="C6" s="20">
        <f>COUNTIFS('Trade Log'!$G$4:$G$503,"&gt;="&amp;DATE(2026,9,1),'Trade Log'!$G$4:$G$503,"&lt;"&amp;DATE(2026,10,1),'Trade Log'!$L$4:$L$503,"&gt;0")</f>
        <v/>
      </c>
      <c r="D6" s="20">
        <f>COUNTIFS('Trade Log'!$G$4:$G$503,"&gt;="&amp;DATE(2026,9,1),'Trade Log'!$G$4:$G$503,"&lt;"&amp;DATE(2026,10,1),'Trade Log'!$L$4:$L$503,"&lt;0")</f>
        <v/>
      </c>
      <c r="E6" s="22">
        <f>IFERROR($C6/$B6,"")</f>
        <v/>
      </c>
      <c r="F6" s="21">
        <f>SUMIFS('Trade Log'!$I$4:$I$503,'Trade Log'!$G$4:$G$503,"&gt;="&amp;DATE(2026,9,1),'Trade Log'!$G$4:$G$503,"&lt;"&amp;DATE(2026,10,1))</f>
        <v/>
      </c>
      <c r="G6" s="21">
        <f>SUMIFS('Trade Log'!$L$4:$L$503,'Trade Log'!$G$4:$G$503,"&gt;="&amp;DATE(2026,9,1),'Trade Log'!$G$4:$G$503,"&lt;"&amp;DATE(2026,10,1))</f>
        <v/>
      </c>
      <c r="H6" s="21">
        <f>IFERROR($G6/$B6,"")</f>
        <v/>
      </c>
      <c r="I6" s="21">
        <f>IFERROR(_xlfn.MAXIFS('Trade Log'!$L$4:$L$503,'Trade Log'!$G$4:$G$503,"&gt;="&amp;DATE(2026,9,1),'Trade Log'!$G$4:$G$503,"&lt;"&amp;DATE(2026,10,1)),"")</f>
        <v/>
      </c>
      <c r="J6" s="21">
        <f>IFERROR(_xlfn.MINIFS('Trade Log'!$L$4:$L$503,'Trade Log'!$G$4:$G$503,"&gt;="&amp;DATE(2026,9,1),'Trade Log'!$G$4:$G$503,"&lt;"&amp;DATE(2026,10,1)),"")</f>
        <v/>
      </c>
      <c r="K6" s="29">
        <f>IFERROR(SUMIFS('Trade Log'!$L$4:$L$503,'Trade Log'!$G$4:$G$503,"&gt;="&amp;DATE(2026,9,1),'Trade Log'!$G$4:$G$503,"&lt;"&amp;DATE(2026,10,1),'Trade Log'!$L$4:$L$503,"&gt;0")/ABS(SUMIFS('Trade Log'!$L$4:$L$503,'Trade Log'!$G$4:$G$503,"&gt;="&amp;DATE(2026,9,1),'Trade Log'!$G$4:$G$503,"&lt;"&amp;DATE(2026,10,1),'Trade Log'!$L$4:$L$503,"&lt;0")),"")</f>
        <v/>
      </c>
    </row>
    <row r="7">
      <c r="A7" s="27" t="inlineStr">
        <is>
          <t>2026-10</t>
        </is>
      </c>
      <c r="B7" s="20">
        <f>COUNTIFS('Trade Log'!$G$4:$G$503,"&gt;="&amp;DATE(2026,10,1),'Trade Log'!$G$4:$G$503,"&lt;"&amp;DATE(2026,11,1))</f>
        <v/>
      </c>
      <c r="C7" s="20">
        <f>COUNTIFS('Trade Log'!$G$4:$G$503,"&gt;="&amp;DATE(2026,10,1),'Trade Log'!$G$4:$G$503,"&lt;"&amp;DATE(2026,11,1),'Trade Log'!$L$4:$L$503,"&gt;0")</f>
        <v/>
      </c>
      <c r="D7" s="20">
        <f>COUNTIFS('Trade Log'!$G$4:$G$503,"&gt;="&amp;DATE(2026,10,1),'Trade Log'!$G$4:$G$503,"&lt;"&amp;DATE(2026,11,1),'Trade Log'!$L$4:$L$503,"&lt;0")</f>
        <v/>
      </c>
      <c r="E7" s="22">
        <f>IFERROR($C7/$B7,"")</f>
        <v/>
      </c>
      <c r="F7" s="21">
        <f>SUMIFS('Trade Log'!$I$4:$I$503,'Trade Log'!$G$4:$G$503,"&gt;="&amp;DATE(2026,10,1),'Trade Log'!$G$4:$G$503,"&lt;"&amp;DATE(2026,11,1))</f>
        <v/>
      </c>
      <c r="G7" s="21">
        <f>SUMIFS('Trade Log'!$L$4:$L$503,'Trade Log'!$G$4:$G$503,"&gt;="&amp;DATE(2026,10,1),'Trade Log'!$G$4:$G$503,"&lt;"&amp;DATE(2026,11,1))</f>
        <v/>
      </c>
      <c r="H7" s="21">
        <f>IFERROR($G7/$B7,"")</f>
        <v/>
      </c>
      <c r="I7" s="21">
        <f>IFERROR(_xlfn.MAXIFS('Trade Log'!$L$4:$L$503,'Trade Log'!$G$4:$G$503,"&gt;="&amp;DATE(2026,10,1),'Trade Log'!$G$4:$G$503,"&lt;"&amp;DATE(2026,11,1)),"")</f>
        <v/>
      </c>
      <c r="J7" s="21">
        <f>IFERROR(_xlfn.MINIFS('Trade Log'!$L$4:$L$503,'Trade Log'!$G$4:$G$503,"&gt;="&amp;DATE(2026,10,1),'Trade Log'!$G$4:$G$503,"&lt;"&amp;DATE(2026,11,1)),"")</f>
        <v/>
      </c>
      <c r="K7" s="29">
        <f>IFERROR(SUMIFS('Trade Log'!$L$4:$L$503,'Trade Log'!$G$4:$G$503,"&gt;="&amp;DATE(2026,10,1),'Trade Log'!$G$4:$G$503,"&lt;"&amp;DATE(2026,11,1),'Trade Log'!$L$4:$L$503,"&gt;0")/ABS(SUMIFS('Trade Log'!$L$4:$L$503,'Trade Log'!$G$4:$G$503,"&gt;="&amp;DATE(2026,10,1),'Trade Log'!$G$4:$G$503,"&lt;"&amp;DATE(2026,11,1),'Trade Log'!$L$4:$L$503,"&lt;0")),"")</f>
        <v/>
      </c>
    </row>
    <row r="8">
      <c r="A8" s="3" t="inlineStr">
        <is>
          <t>TOTAL</t>
        </is>
      </c>
      <c r="B8" s="30">
        <f>SUM(B5:B7)</f>
        <v/>
      </c>
      <c r="C8" s="30">
        <f>SUM(C5:C7)</f>
        <v/>
      </c>
      <c r="D8" s="30">
        <f>SUM(D5:D7)</f>
        <v/>
      </c>
      <c r="E8" s="31">
        <f>IFERROR(C8/B8,"")</f>
        <v/>
      </c>
      <c r="F8" s="32">
        <f>SUM(F5:F7)</f>
        <v/>
      </c>
      <c r="G8" s="32">
        <f>SUM(G5:G7)</f>
        <v/>
      </c>
      <c r="H8" s="32">
        <f>IFERROR(G8/B8,"")</f>
        <v/>
      </c>
      <c r="K8" s="33">
        <f>IFERROR(SUMIF('Trade Log'!$L$4:$L$503,"&gt;0")/ABS(SUMIF('Trade Log'!$L$4:$L$503,"&lt;0")),"")</f>
        <v/>
      </c>
    </row>
    <row r="10">
      <c r="A10" s="3" t="inlineStr">
        <is>
          <t>WEEKLY PnL</t>
        </is>
      </c>
    </row>
    <row r="11">
      <c r="A11" s="19" t="inlineStr">
        <is>
          <t>Period</t>
        </is>
      </c>
      <c r="B11" s="19" t="inlineStr">
        <is>
          <t>Trades</t>
        </is>
      </c>
      <c r="C11" s="19" t="inlineStr">
        <is>
          <t>Wins</t>
        </is>
      </c>
      <c r="D11" s="19" t="inlineStr">
        <is>
          <t>Losses</t>
        </is>
      </c>
      <c r="E11" s="19" t="inlineStr">
        <is>
          <t>Win Rate</t>
        </is>
      </c>
      <c r="F11" s="19" t="inlineStr">
        <is>
          <t>Gross P&amp;L</t>
        </is>
      </c>
      <c r="G11" s="19" t="inlineStr">
        <is>
          <t>Net P&amp;L</t>
        </is>
      </c>
      <c r="H11" s="19" t="inlineStr">
        <is>
          <t>Avg Net P&amp;L / Trade</t>
        </is>
      </c>
      <c r="I11" s="19" t="inlineStr">
        <is>
          <t>Best Trade</t>
        </is>
      </c>
      <c r="J11" s="19" t="inlineStr">
        <is>
          <t>Worst Trade</t>
        </is>
      </c>
      <c r="K11" s="19" t="inlineStr">
        <is>
          <t>Profit Factor</t>
        </is>
      </c>
    </row>
    <row r="12">
      <c r="A12" s="28" t="n">
        <v>46251</v>
      </c>
      <c r="B12" s="20">
        <f>COUNTIFS('Trade Log'!$G$4:$G$503,"&gt;="&amp;DATE(2026,8,17),'Trade Log'!$G$4:$G$503,"&lt;"&amp;DATE(2026,8,24))</f>
        <v/>
      </c>
      <c r="C12" s="20">
        <f>COUNTIFS('Trade Log'!$G$4:$G$503,"&gt;="&amp;DATE(2026,8,17),'Trade Log'!$G$4:$G$503,"&lt;"&amp;DATE(2026,8,24),'Trade Log'!$L$4:$L$503,"&gt;0")</f>
        <v/>
      </c>
      <c r="D12" s="20">
        <f>COUNTIFS('Trade Log'!$G$4:$G$503,"&gt;="&amp;DATE(2026,8,17),'Trade Log'!$G$4:$G$503,"&lt;"&amp;DATE(2026,8,24),'Trade Log'!$L$4:$L$503,"&lt;0")</f>
        <v/>
      </c>
      <c r="E12" s="22">
        <f>IFERROR($C12/$B12,"")</f>
        <v/>
      </c>
      <c r="F12" s="21">
        <f>SUMIFS('Trade Log'!$I$4:$I$503,'Trade Log'!$G$4:$G$503,"&gt;="&amp;DATE(2026,8,17),'Trade Log'!$G$4:$G$503,"&lt;"&amp;DATE(2026,8,24))</f>
        <v/>
      </c>
      <c r="G12" s="21">
        <f>SUMIFS('Trade Log'!$L$4:$L$503,'Trade Log'!$G$4:$G$503,"&gt;="&amp;DATE(2026,8,17),'Trade Log'!$G$4:$G$503,"&lt;"&amp;DATE(2026,8,24))</f>
        <v/>
      </c>
      <c r="H12" s="21">
        <f>IFERROR($G12/$B12,"")</f>
        <v/>
      </c>
      <c r="I12" s="21">
        <f>IFERROR(_xlfn.MAXIFS('Trade Log'!$L$4:$L$503,'Trade Log'!$G$4:$G$503,"&gt;="&amp;DATE(2026,8,17),'Trade Log'!$G$4:$G$503,"&lt;"&amp;DATE(2026,8,24)),"")</f>
        <v/>
      </c>
      <c r="J12" s="21">
        <f>IFERROR(_xlfn.MINIFS('Trade Log'!$L$4:$L$503,'Trade Log'!$G$4:$G$503,"&gt;="&amp;DATE(2026,8,17),'Trade Log'!$G$4:$G$503,"&lt;"&amp;DATE(2026,8,24)),"")</f>
        <v/>
      </c>
      <c r="K12" s="29">
        <f>IFERROR(SUMIFS('Trade Log'!$L$4:$L$503,'Trade Log'!$G$4:$G$503,"&gt;="&amp;DATE(2026,8,17),'Trade Log'!$G$4:$G$503,"&lt;"&amp;DATE(2026,8,24),'Trade Log'!$L$4:$L$503,"&gt;0")/ABS(SUMIFS('Trade Log'!$L$4:$L$503,'Trade Log'!$G$4:$G$503,"&gt;="&amp;DATE(2026,8,17),'Trade Log'!$G$4:$G$503,"&lt;"&amp;DATE(2026,8,24),'Trade Log'!$L$4:$L$503,"&lt;0")),"")</f>
        <v/>
      </c>
    </row>
    <row r="13">
      <c r="A13" s="28" t="n">
        <v>46258</v>
      </c>
      <c r="B13" s="20">
        <f>COUNTIFS('Trade Log'!$G$4:$G$503,"&gt;="&amp;DATE(2026,8,24),'Trade Log'!$G$4:$G$503,"&lt;"&amp;DATE(2026,8,31))</f>
        <v/>
      </c>
      <c r="C13" s="20">
        <f>COUNTIFS('Trade Log'!$G$4:$G$503,"&gt;="&amp;DATE(2026,8,24),'Trade Log'!$G$4:$G$503,"&lt;"&amp;DATE(2026,8,31),'Trade Log'!$L$4:$L$503,"&gt;0")</f>
        <v/>
      </c>
      <c r="D13" s="20">
        <f>COUNTIFS('Trade Log'!$G$4:$G$503,"&gt;="&amp;DATE(2026,8,24),'Trade Log'!$G$4:$G$503,"&lt;"&amp;DATE(2026,8,31),'Trade Log'!$L$4:$L$503,"&lt;0")</f>
        <v/>
      </c>
      <c r="E13" s="22">
        <f>IFERROR($C13/$B13,"")</f>
        <v/>
      </c>
      <c r="F13" s="21">
        <f>SUMIFS('Trade Log'!$I$4:$I$503,'Trade Log'!$G$4:$G$503,"&gt;="&amp;DATE(2026,8,24),'Trade Log'!$G$4:$G$503,"&lt;"&amp;DATE(2026,8,31))</f>
        <v/>
      </c>
      <c r="G13" s="21">
        <f>SUMIFS('Trade Log'!$L$4:$L$503,'Trade Log'!$G$4:$G$503,"&gt;="&amp;DATE(2026,8,24),'Trade Log'!$G$4:$G$503,"&lt;"&amp;DATE(2026,8,31))</f>
        <v/>
      </c>
      <c r="H13" s="21">
        <f>IFERROR($G13/$B13,"")</f>
        <v/>
      </c>
      <c r="I13" s="21">
        <f>IFERROR(_xlfn.MAXIFS('Trade Log'!$L$4:$L$503,'Trade Log'!$G$4:$G$503,"&gt;="&amp;DATE(2026,8,24),'Trade Log'!$G$4:$G$503,"&lt;"&amp;DATE(2026,8,31)),"")</f>
        <v/>
      </c>
      <c r="J13" s="21">
        <f>IFERROR(_xlfn.MINIFS('Trade Log'!$L$4:$L$503,'Trade Log'!$G$4:$G$503,"&gt;="&amp;DATE(2026,8,24),'Trade Log'!$G$4:$G$503,"&lt;"&amp;DATE(2026,8,31)),"")</f>
        <v/>
      </c>
      <c r="K13" s="29">
        <f>IFERROR(SUMIFS('Trade Log'!$L$4:$L$503,'Trade Log'!$G$4:$G$503,"&gt;="&amp;DATE(2026,8,24),'Trade Log'!$G$4:$G$503,"&lt;"&amp;DATE(2026,8,31),'Trade Log'!$L$4:$L$503,"&gt;0")/ABS(SUMIFS('Trade Log'!$L$4:$L$503,'Trade Log'!$G$4:$G$503,"&gt;="&amp;DATE(2026,8,24),'Trade Log'!$G$4:$G$503,"&lt;"&amp;DATE(2026,8,31),'Trade Log'!$L$4:$L$503,"&lt;0")),"")</f>
        <v/>
      </c>
    </row>
    <row r="14">
      <c r="A14" s="28" t="n">
        <v>46265</v>
      </c>
      <c r="B14" s="20">
        <f>COUNTIFS('Trade Log'!$G$4:$G$503,"&gt;="&amp;DATE(2026,8,31),'Trade Log'!$G$4:$G$503,"&lt;"&amp;DATE(2026,9,7))</f>
        <v/>
      </c>
      <c r="C14" s="20">
        <f>COUNTIFS('Trade Log'!$G$4:$G$503,"&gt;="&amp;DATE(2026,8,31),'Trade Log'!$G$4:$G$503,"&lt;"&amp;DATE(2026,9,7),'Trade Log'!$L$4:$L$503,"&gt;0")</f>
        <v/>
      </c>
      <c r="D14" s="20">
        <f>COUNTIFS('Trade Log'!$G$4:$G$503,"&gt;="&amp;DATE(2026,8,31),'Trade Log'!$G$4:$G$503,"&lt;"&amp;DATE(2026,9,7),'Trade Log'!$L$4:$L$503,"&lt;0")</f>
        <v/>
      </c>
      <c r="E14" s="22">
        <f>IFERROR($C14/$B14,"")</f>
        <v/>
      </c>
      <c r="F14" s="21">
        <f>SUMIFS('Trade Log'!$I$4:$I$503,'Trade Log'!$G$4:$G$503,"&gt;="&amp;DATE(2026,8,31),'Trade Log'!$G$4:$G$503,"&lt;"&amp;DATE(2026,9,7))</f>
        <v/>
      </c>
      <c r="G14" s="21">
        <f>SUMIFS('Trade Log'!$L$4:$L$503,'Trade Log'!$G$4:$G$503,"&gt;="&amp;DATE(2026,8,31),'Trade Log'!$G$4:$G$503,"&lt;"&amp;DATE(2026,9,7))</f>
        <v/>
      </c>
      <c r="H14" s="21">
        <f>IFERROR($G14/$B14,"")</f>
        <v/>
      </c>
      <c r="I14" s="21">
        <f>IFERROR(_xlfn.MAXIFS('Trade Log'!$L$4:$L$503,'Trade Log'!$G$4:$G$503,"&gt;="&amp;DATE(2026,8,31),'Trade Log'!$G$4:$G$503,"&lt;"&amp;DATE(2026,9,7)),"")</f>
        <v/>
      </c>
      <c r="J14" s="21">
        <f>IFERROR(_xlfn.MINIFS('Trade Log'!$L$4:$L$503,'Trade Log'!$G$4:$G$503,"&gt;="&amp;DATE(2026,8,31),'Trade Log'!$G$4:$G$503,"&lt;"&amp;DATE(2026,9,7)),"")</f>
        <v/>
      </c>
      <c r="K14" s="29">
        <f>IFERROR(SUMIFS('Trade Log'!$L$4:$L$503,'Trade Log'!$G$4:$G$503,"&gt;="&amp;DATE(2026,8,31),'Trade Log'!$G$4:$G$503,"&lt;"&amp;DATE(2026,9,7),'Trade Log'!$L$4:$L$503,"&gt;0")/ABS(SUMIFS('Trade Log'!$L$4:$L$503,'Trade Log'!$G$4:$G$503,"&gt;="&amp;DATE(2026,8,31),'Trade Log'!$G$4:$G$503,"&lt;"&amp;DATE(2026,9,7),'Trade Log'!$L$4:$L$503,"&lt;0")),"")</f>
        <v/>
      </c>
    </row>
    <row r="15">
      <c r="A15" s="28" t="n">
        <v>46272</v>
      </c>
      <c r="B15" s="20">
        <f>COUNTIFS('Trade Log'!$G$4:$G$503,"&gt;="&amp;DATE(2026,9,7),'Trade Log'!$G$4:$G$503,"&lt;"&amp;DATE(2026,9,14))</f>
        <v/>
      </c>
      <c r="C15" s="20">
        <f>COUNTIFS('Trade Log'!$G$4:$G$503,"&gt;="&amp;DATE(2026,9,7),'Trade Log'!$G$4:$G$503,"&lt;"&amp;DATE(2026,9,14),'Trade Log'!$L$4:$L$503,"&gt;0")</f>
        <v/>
      </c>
      <c r="D15" s="20">
        <f>COUNTIFS('Trade Log'!$G$4:$G$503,"&gt;="&amp;DATE(2026,9,7),'Trade Log'!$G$4:$G$503,"&lt;"&amp;DATE(2026,9,14),'Trade Log'!$L$4:$L$503,"&lt;0")</f>
        <v/>
      </c>
      <c r="E15" s="22">
        <f>IFERROR($C15/$B15,"")</f>
        <v/>
      </c>
      <c r="F15" s="21">
        <f>SUMIFS('Trade Log'!$I$4:$I$503,'Trade Log'!$G$4:$G$503,"&gt;="&amp;DATE(2026,9,7),'Trade Log'!$G$4:$G$503,"&lt;"&amp;DATE(2026,9,14))</f>
        <v/>
      </c>
      <c r="G15" s="21">
        <f>SUMIFS('Trade Log'!$L$4:$L$503,'Trade Log'!$G$4:$G$503,"&gt;="&amp;DATE(2026,9,7),'Trade Log'!$G$4:$G$503,"&lt;"&amp;DATE(2026,9,14))</f>
        <v/>
      </c>
      <c r="H15" s="21">
        <f>IFERROR($G15/$B15,"")</f>
        <v/>
      </c>
      <c r="I15" s="21">
        <f>IFERROR(_xlfn.MAXIFS('Trade Log'!$L$4:$L$503,'Trade Log'!$G$4:$G$503,"&gt;="&amp;DATE(2026,9,7),'Trade Log'!$G$4:$G$503,"&lt;"&amp;DATE(2026,9,14)),"")</f>
        <v/>
      </c>
      <c r="J15" s="21">
        <f>IFERROR(_xlfn.MINIFS('Trade Log'!$L$4:$L$503,'Trade Log'!$G$4:$G$503,"&gt;="&amp;DATE(2026,9,7),'Trade Log'!$G$4:$G$503,"&lt;"&amp;DATE(2026,9,14)),"")</f>
        <v/>
      </c>
      <c r="K15" s="29">
        <f>IFERROR(SUMIFS('Trade Log'!$L$4:$L$503,'Trade Log'!$G$4:$G$503,"&gt;="&amp;DATE(2026,9,7),'Trade Log'!$G$4:$G$503,"&lt;"&amp;DATE(2026,9,14),'Trade Log'!$L$4:$L$503,"&gt;0")/ABS(SUMIFS('Trade Log'!$L$4:$L$503,'Trade Log'!$G$4:$G$503,"&gt;="&amp;DATE(2026,9,7),'Trade Log'!$G$4:$G$503,"&lt;"&amp;DATE(2026,9,14),'Trade Log'!$L$4:$L$503,"&lt;0")),"")</f>
        <v/>
      </c>
    </row>
    <row r="16">
      <c r="A16" s="28" t="n">
        <v>46279</v>
      </c>
      <c r="B16" s="20">
        <f>COUNTIFS('Trade Log'!$G$4:$G$503,"&gt;="&amp;DATE(2026,9,14),'Trade Log'!$G$4:$G$503,"&lt;"&amp;DATE(2026,9,21))</f>
        <v/>
      </c>
      <c r="C16" s="20">
        <f>COUNTIFS('Trade Log'!$G$4:$G$503,"&gt;="&amp;DATE(2026,9,14),'Trade Log'!$G$4:$G$503,"&lt;"&amp;DATE(2026,9,21),'Trade Log'!$L$4:$L$503,"&gt;0")</f>
        <v/>
      </c>
      <c r="D16" s="20">
        <f>COUNTIFS('Trade Log'!$G$4:$G$503,"&gt;="&amp;DATE(2026,9,14),'Trade Log'!$G$4:$G$503,"&lt;"&amp;DATE(2026,9,21),'Trade Log'!$L$4:$L$503,"&lt;0")</f>
        <v/>
      </c>
      <c r="E16" s="22">
        <f>IFERROR($C16/$B16,"")</f>
        <v/>
      </c>
      <c r="F16" s="21">
        <f>SUMIFS('Trade Log'!$I$4:$I$503,'Trade Log'!$G$4:$G$503,"&gt;="&amp;DATE(2026,9,14),'Trade Log'!$G$4:$G$503,"&lt;"&amp;DATE(2026,9,21))</f>
        <v/>
      </c>
      <c r="G16" s="21">
        <f>SUMIFS('Trade Log'!$L$4:$L$503,'Trade Log'!$G$4:$G$503,"&gt;="&amp;DATE(2026,9,14),'Trade Log'!$G$4:$G$503,"&lt;"&amp;DATE(2026,9,21))</f>
        <v/>
      </c>
      <c r="H16" s="21">
        <f>IFERROR($G16/$B16,"")</f>
        <v/>
      </c>
      <c r="I16" s="21">
        <f>IFERROR(_xlfn.MAXIFS('Trade Log'!$L$4:$L$503,'Trade Log'!$G$4:$G$503,"&gt;="&amp;DATE(2026,9,14),'Trade Log'!$G$4:$G$503,"&lt;"&amp;DATE(2026,9,21)),"")</f>
        <v/>
      </c>
      <c r="J16" s="21">
        <f>IFERROR(_xlfn.MINIFS('Trade Log'!$L$4:$L$503,'Trade Log'!$G$4:$G$503,"&gt;="&amp;DATE(2026,9,14),'Trade Log'!$G$4:$G$503,"&lt;"&amp;DATE(2026,9,21)),"")</f>
        <v/>
      </c>
      <c r="K16" s="29">
        <f>IFERROR(SUMIFS('Trade Log'!$L$4:$L$503,'Trade Log'!$G$4:$G$503,"&gt;="&amp;DATE(2026,9,14),'Trade Log'!$G$4:$G$503,"&lt;"&amp;DATE(2026,9,21),'Trade Log'!$L$4:$L$503,"&gt;0")/ABS(SUMIFS('Trade Log'!$L$4:$L$503,'Trade Log'!$G$4:$G$503,"&gt;="&amp;DATE(2026,9,14),'Trade Log'!$G$4:$G$503,"&lt;"&amp;DATE(2026,9,21),'Trade Log'!$L$4:$L$503,"&lt;0")),"")</f>
        <v/>
      </c>
    </row>
    <row r="17">
      <c r="A17" s="28" t="n">
        <v>46286</v>
      </c>
      <c r="B17" s="20">
        <f>COUNTIFS('Trade Log'!$G$4:$G$503,"&gt;="&amp;DATE(2026,9,21),'Trade Log'!$G$4:$G$503,"&lt;"&amp;DATE(2026,9,28))</f>
        <v/>
      </c>
      <c r="C17" s="20">
        <f>COUNTIFS('Trade Log'!$G$4:$G$503,"&gt;="&amp;DATE(2026,9,21),'Trade Log'!$G$4:$G$503,"&lt;"&amp;DATE(2026,9,28),'Trade Log'!$L$4:$L$503,"&gt;0")</f>
        <v/>
      </c>
      <c r="D17" s="20">
        <f>COUNTIFS('Trade Log'!$G$4:$G$503,"&gt;="&amp;DATE(2026,9,21),'Trade Log'!$G$4:$G$503,"&lt;"&amp;DATE(2026,9,28),'Trade Log'!$L$4:$L$503,"&lt;0")</f>
        <v/>
      </c>
      <c r="E17" s="22">
        <f>IFERROR($C17/$B17,"")</f>
        <v/>
      </c>
      <c r="F17" s="21">
        <f>SUMIFS('Trade Log'!$I$4:$I$503,'Trade Log'!$G$4:$G$503,"&gt;="&amp;DATE(2026,9,21),'Trade Log'!$G$4:$G$503,"&lt;"&amp;DATE(2026,9,28))</f>
        <v/>
      </c>
      <c r="G17" s="21">
        <f>SUMIFS('Trade Log'!$L$4:$L$503,'Trade Log'!$G$4:$G$503,"&gt;="&amp;DATE(2026,9,21),'Trade Log'!$G$4:$G$503,"&lt;"&amp;DATE(2026,9,28))</f>
        <v/>
      </c>
      <c r="H17" s="21">
        <f>IFERROR($G17/$B17,"")</f>
        <v/>
      </c>
      <c r="I17" s="21">
        <f>IFERROR(_xlfn.MAXIFS('Trade Log'!$L$4:$L$503,'Trade Log'!$G$4:$G$503,"&gt;="&amp;DATE(2026,9,21),'Trade Log'!$G$4:$G$503,"&lt;"&amp;DATE(2026,9,28)),"")</f>
        <v/>
      </c>
      <c r="J17" s="21">
        <f>IFERROR(_xlfn.MINIFS('Trade Log'!$L$4:$L$503,'Trade Log'!$G$4:$G$503,"&gt;="&amp;DATE(2026,9,21),'Trade Log'!$G$4:$G$503,"&lt;"&amp;DATE(2026,9,28)),"")</f>
        <v/>
      </c>
      <c r="K17" s="29">
        <f>IFERROR(SUMIFS('Trade Log'!$L$4:$L$503,'Trade Log'!$G$4:$G$503,"&gt;="&amp;DATE(2026,9,21),'Trade Log'!$G$4:$G$503,"&lt;"&amp;DATE(2026,9,28),'Trade Log'!$L$4:$L$503,"&gt;0")/ABS(SUMIFS('Trade Log'!$L$4:$L$503,'Trade Log'!$G$4:$G$503,"&gt;="&amp;DATE(2026,9,21),'Trade Log'!$G$4:$G$503,"&lt;"&amp;DATE(2026,9,28),'Trade Log'!$L$4:$L$503,"&lt;0")),"")</f>
        <v/>
      </c>
    </row>
    <row r="18">
      <c r="A18" s="28" t="n">
        <v>46293</v>
      </c>
      <c r="B18" s="20">
        <f>COUNTIFS('Trade Log'!$G$4:$G$503,"&gt;="&amp;DATE(2026,9,28),'Trade Log'!$G$4:$G$503,"&lt;"&amp;DATE(2026,10,5))</f>
        <v/>
      </c>
      <c r="C18" s="20">
        <f>COUNTIFS('Trade Log'!$G$4:$G$503,"&gt;="&amp;DATE(2026,9,28),'Trade Log'!$G$4:$G$503,"&lt;"&amp;DATE(2026,10,5),'Trade Log'!$L$4:$L$503,"&gt;0")</f>
        <v/>
      </c>
      <c r="D18" s="20">
        <f>COUNTIFS('Trade Log'!$G$4:$G$503,"&gt;="&amp;DATE(2026,9,28),'Trade Log'!$G$4:$G$503,"&lt;"&amp;DATE(2026,10,5),'Trade Log'!$L$4:$L$503,"&lt;0")</f>
        <v/>
      </c>
      <c r="E18" s="22">
        <f>IFERROR($C18/$B18,"")</f>
        <v/>
      </c>
      <c r="F18" s="21">
        <f>SUMIFS('Trade Log'!$I$4:$I$503,'Trade Log'!$G$4:$G$503,"&gt;="&amp;DATE(2026,9,28),'Trade Log'!$G$4:$G$503,"&lt;"&amp;DATE(2026,10,5))</f>
        <v/>
      </c>
      <c r="G18" s="21">
        <f>SUMIFS('Trade Log'!$L$4:$L$503,'Trade Log'!$G$4:$G$503,"&gt;="&amp;DATE(2026,9,28),'Trade Log'!$G$4:$G$503,"&lt;"&amp;DATE(2026,10,5))</f>
        <v/>
      </c>
      <c r="H18" s="21">
        <f>IFERROR($G18/$B18,"")</f>
        <v/>
      </c>
      <c r="I18" s="21">
        <f>IFERROR(_xlfn.MAXIFS('Trade Log'!$L$4:$L$503,'Trade Log'!$G$4:$G$503,"&gt;="&amp;DATE(2026,9,28),'Trade Log'!$G$4:$G$503,"&lt;"&amp;DATE(2026,10,5)),"")</f>
        <v/>
      </c>
      <c r="J18" s="21">
        <f>IFERROR(_xlfn.MINIFS('Trade Log'!$L$4:$L$503,'Trade Log'!$G$4:$G$503,"&gt;="&amp;DATE(2026,9,28),'Trade Log'!$G$4:$G$503,"&lt;"&amp;DATE(2026,10,5)),"")</f>
        <v/>
      </c>
      <c r="K18" s="29">
        <f>IFERROR(SUMIFS('Trade Log'!$L$4:$L$503,'Trade Log'!$G$4:$G$503,"&gt;="&amp;DATE(2026,9,28),'Trade Log'!$G$4:$G$503,"&lt;"&amp;DATE(2026,10,5),'Trade Log'!$L$4:$L$503,"&gt;0")/ABS(SUMIFS('Trade Log'!$L$4:$L$503,'Trade Log'!$G$4:$G$503,"&gt;="&amp;DATE(2026,9,28),'Trade Log'!$G$4:$G$503,"&lt;"&amp;DATE(2026,10,5),'Trade Log'!$L$4:$L$503,"&lt;0")),"")</f>
        <v/>
      </c>
    </row>
    <row r="19">
      <c r="A19" s="3" t="inlineStr">
        <is>
          <t>TOTAL</t>
        </is>
      </c>
      <c r="B19" s="30">
        <f>SUM(B12:B18)</f>
        <v/>
      </c>
      <c r="C19" s="30">
        <f>SUM(C12:C18)</f>
        <v/>
      </c>
      <c r="D19" s="30">
        <f>SUM(D12:D18)</f>
        <v/>
      </c>
      <c r="E19" s="31">
        <f>IFERROR(C19/B19,"")</f>
        <v/>
      </c>
      <c r="F19" s="32">
        <f>SUM(F12:F18)</f>
        <v/>
      </c>
      <c r="G19" s="32">
        <f>SUM(G12:G18)</f>
        <v/>
      </c>
      <c r="H19" s="32">
        <f>IFERROR(G19/B19,"")</f>
        <v/>
      </c>
      <c r="K19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2026-10-27T10:16:39Z</dcterms:created>
  <dcterms:modified xmlns:dcterms="http://purl.org/dc/terms/" xmlns:xsi="http://www.w3.org/2001/XMLSchema-instance" xsi:type="dcterms:W3CDTF">2026-10-27T10:16:40Z</dcterms:modified>
</cp:coreProperties>
</file>