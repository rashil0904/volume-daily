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954.99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819.02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857.25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969.45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943.02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691.54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756.71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688.42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684.14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662.08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667.79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678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659.6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420.06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557.8099999999999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548.0599999999999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548.4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555.1900000000001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551.1799999999999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551.3200000000001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426.51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539.08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478.8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624.52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614.47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393.29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618.74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877.62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895.78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871.65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1031.86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1033.58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960.02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1040.29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972.61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930.28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257.22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46318</v>
      </c>
      <c r="E54" s="25" t="n">
        <v>24.9837</v>
      </c>
      <c r="F54" s="26" t="n">
        <v>6007</v>
      </c>
      <c r="G54" s="24" t="inlineStr"/>
      <c r="H54" s="25" t="inlineStr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14.75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5-10</t>
        </is>
      </c>
    </row>
    <row r="55">
      <c r="A55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5" s="23" t="inlineStr">
        <is>
          <t>JINDALPOLY</t>
        </is>
      </c>
      <c r="C55" s="23" t="inlineStr">
        <is>
          <t>LONG</t>
        </is>
      </c>
      <c r="D55" s="24" t="n">
        <v>46318</v>
      </c>
      <c r="E55" s="25" t="n">
        <v>726.0981</v>
      </c>
      <c r="F55" s="26" t="n">
        <v>410</v>
      </c>
      <c r="G55" s="24" t="inlineStr"/>
      <c r="H55" s="25" t="inlineStr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50.15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10-15</t>
        </is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FISCHER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GOODLUCK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GPTINFRA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HATHWAY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INDIAGLYCO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INDOKEM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INOXGREEN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JAICORPLTD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JINDALPOLY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KOTIC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KRISHNADEF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KROSS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MBEL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MMWL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MOBIKWIK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NIBE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OAL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ORIENTELEC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PARACABLES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PIXTRANS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PNCINFRA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PNGSREVA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PRINCEPIPE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RSYSTEMS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RUBYMILLS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SAKSOFT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SATIN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SGFIN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SHRINGARMS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SIMPLEXINF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SMCGLOBAL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SOLARA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SPORTKING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SUNCLAY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SWARAJENG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TEAMLEASE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YUKEN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3" t="inlineStr">
        <is>
          <t>TOTAL</t>
        </is>
      </c>
      <c r="B47" s="30">
        <f>SUM(B4:B46)</f>
        <v/>
      </c>
      <c r="C47" s="30">
        <f>SUM(C4:C46)</f>
        <v/>
      </c>
      <c r="D47" s="30">
        <f>SUM(D4:D46)</f>
        <v/>
      </c>
      <c r="E47" s="31">
        <f>IFERROR(C47/B47,"")</f>
        <v/>
      </c>
      <c r="F47" s="32">
        <f>SUM(F4:F46)</f>
        <v/>
      </c>
      <c r="G47" s="32">
        <f>SUM(G4:G46)</f>
        <v/>
      </c>
      <c r="H47" s="32">
        <f>IFERROR(G47/B47,"")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115.97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96.48999999999999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115.64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59.8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71.66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73.45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59.61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84.45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87.61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84.55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84.95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30.25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37.61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36.18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41.42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43.19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36.14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35.86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38.2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21.66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32.35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35.17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34.94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35.12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28.13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33.53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35.6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31.44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183.83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184.81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180.19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185.18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109.96</v>
      </c>
      <c r="F51" s="4" t="n">
        <v>595.26</v>
      </c>
      <c r="G51" s="4" t="n">
        <v>18.28</v>
      </c>
      <c r="H51" s="4" t="n">
        <v>0.6</v>
      </c>
      <c r="I51" s="4" t="n">
        <v>44.62</v>
      </c>
      <c r="J51" s="4" t="n">
        <v>23.19</v>
      </c>
      <c r="K51" s="4" t="n">
        <v>14.75</v>
      </c>
      <c r="L51" s="4" t="n">
        <v>35.4</v>
      </c>
      <c r="M51" s="4" t="n">
        <v>130.56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109.75</v>
      </c>
      <c r="F52" s="4" t="n">
        <v>581.67</v>
      </c>
      <c r="G52" s="4" t="n">
        <v>17.86</v>
      </c>
      <c r="H52" s="4" t="n">
        <v>0.58</v>
      </c>
      <c r="I52" s="4" t="n">
        <v>44.88</v>
      </c>
      <c r="J52" s="4" t="n">
        <v>23.07</v>
      </c>
      <c r="K52" s="4" t="n">
        <v>14.75</v>
      </c>
      <c r="L52" s="4" t="n">
        <v>35.4</v>
      </c>
      <c r="M52" s="4" t="n">
        <v>102.32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64.94</v>
      </c>
      <c r="F53" s="4" t="n">
        <v>150.12</v>
      </c>
      <c r="G53" s="4" t="n">
        <v>9.210000000000001</v>
      </c>
      <c r="H53" s="4" t="n">
        <v>0.3</v>
      </c>
      <c r="I53" s="4" t="n">
        <v>4.5</v>
      </c>
      <c r="J53" s="4" t="n">
        <v>13.4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inlineStr"/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14.75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5" s="23" t="inlineStr">
        <is>
          <t>JINDALPOLY</t>
        </is>
      </c>
      <c r="C55" s="23" t="inlineStr">
        <is>
          <t>LONG</t>
        </is>
      </c>
      <c r="D55" s="24" t="inlineStr"/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14.75</v>
      </c>
      <c r="L55" s="4" t="n">
        <v>35.4</v>
      </c>
      <c r="M55" s="4" t="n">
        <v>0</v>
      </c>
      <c r="N55" s="21">
        <f>SUM(E55:M55)</f>
        <v/>
      </c>
    </row>
    <row r="56">
      <c r="A56" s="3" t="inlineStr">
        <is>
          <t>TOTAL</t>
        </is>
      </c>
      <c r="E56" s="32">
        <f>SUM(E4:E55)</f>
        <v/>
      </c>
      <c r="F56" s="32">
        <f>SUM(F4:F55)</f>
        <v/>
      </c>
      <c r="G56" s="32">
        <f>SUM(G4:G55)</f>
        <v/>
      </c>
      <c r="H56" s="32">
        <f>SUM(H4:H55)</f>
        <v/>
      </c>
      <c r="I56" s="32">
        <f>SUM(I4:I55)</f>
        <v/>
      </c>
      <c r="J56" s="32">
        <f>SUM(J4:J55)</f>
        <v/>
      </c>
      <c r="K56" s="32">
        <f>SUM(K4:K55)</f>
        <v/>
      </c>
      <c r="L56" s="32">
        <f>SUM(L4:L55)</f>
        <v/>
      </c>
      <c r="M56" s="32">
        <f>SUM(M4:M55)</f>
        <v/>
      </c>
      <c r="N56" s="32">
        <f>SUM(N4:N55)</f>
        <v/>
      </c>
    </row>
  </sheetData>
  <autoFilter ref="A3:N55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3" t="inlineStr">
        <is>
          <t>TOTAL</t>
        </is>
      </c>
      <c r="B13" s="30">
        <f>SUM(B10:B12)</f>
        <v/>
      </c>
      <c r="C13" s="30">
        <f>SUM(C10:C12)</f>
        <v/>
      </c>
      <c r="D13" s="30">
        <f>SUM(D10:D12)</f>
        <v/>
      </c>
      <c r="E13" s="31">
        <f>IFERROR(C13/B13,"")</f>
        <v/>
      </c>
      <c r="F13" s="32">
        <f>SUM(F10:F12)</f>
        <v/>
      </c>
      <c r="G13" s="32">
        <f>SUM(G10:G12)</f>
        <v/>
      </c>
      <c r="H13" s="32">
        <f>IFERROR(G13/B13,"")</f>
        <v/>
      </c>
      <c r="K13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2026-10-23T10:17:34Z</dcterms:created>
  <dcterms:modified xmlns:dcterms="http://purl.org/dc/terms/" xmlns:xsi="http://www.w3.org/2001/XMLSchema-instance" xsi:type="dcterms:W3CDTF">2026-10-23T10:17:35Z</dcterms:modified>
</cp:coreProperties>
</file>