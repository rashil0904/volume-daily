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'Charges'!$A$3:$N$53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955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819.03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857.26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969.46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943.02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691.54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756.71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688.36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684.15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662.09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667.79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678.01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659.61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420.06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557.8099999999999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46307</v>
      </c>
      <c r="E26" s="25" t="n">
        <v>22.8999</v>
      </c>
      <c r="F26" s="26" t="n">
        <v>3742</v>
      </c>
      <c r="G26" s="24" t="n">
        <v>46308</v>
      </c>
      <c r="H26" s="25" t="n">
        <v>23.18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143.56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46307</v>
      </c>
      <c r="E27" s="25" t="n">
        <v>267.6149</v>
      </c>
      <c r="F27" s="26" t="n">
        <v>641</v>
      </c>
      <c r="G27" s="24" t="n">
        <v>46308</v>
      </c>
      <c r="H27" s="25" t="n">
        <v>262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548.0700000000001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46307</v>
      </c>
      <c r="E28" s="25" t="n">
        <v>3741.3844</v>
      </c>
      <c r="F28" s="26" t="n">
        <v>45</v>
      </c>
      <c r="G28" s="24" t="n">
        <v>46308</v>
      </c>
      <c r="H28" s="25" t="n">
        <v>3721.09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548.4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5-10</t>
        </is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46308</v>
      </c>
      <c r="E29" s="25" t="n">
        <v>617.1578</v>
      </c>
      <c r="F29" s="26" t="n">
        <v>277</v>
      </c>
      <c r="G29" s="24" t="n">
        <v>46309</v>
      </c>
      <c r="H29" s="25" t="n">
        <v>608.04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555.1900000000001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46308</v>
      </c>
      <c r="E30" s="25" t="n">
        <v>11.158</v>
      </c>
      <c r="F30" s="26" t="n">
        <v>15360</v>
      </c>
      <c r="G30" s="24" t="n">
        <v>46309</v>
      </c>
      <c r="H30" s="25" t="n">
        <v>11.14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551.1900000000001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10-15</t>
        </is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46308</v>
      </c>
      <c r="E31" s="25" t="n">
        <v>352.906</v>
      </c>
      <c r="F31" s="26" t="n">
        <v>243</v>
      </c>
      <c r="G31" s="24" t="n">
        <v>46309</v>
      </c>
      <c r="H31" s="25" t="n">
        <v>358.7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207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46308</v>
      </c>
      <c r="E32" s="25" t="n">
        <v>677.9853000000001</v>
      </c>
      <c r="F32" s="26" t="n">
        <v>126</v>
      </c>
      <c r="G32" s="24" t="n">
        <v>46309</v>
      </c>
      <c r="H32" s="25" t="n">
        <v>654.8135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116.19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n">
        <v>46309</v>
      </c>
      <c r="H33" s="25" t="n">
        <v>1923.39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551.33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n">
        <v>46309</v>
      </c>
      <c r="H34" s="25" t="n">
        <v>169.79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426.49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25" t="n">
        <v>169.61</v>
      </c>
      <c r="F35" s="26" t="n">
        <v>1086</v>
      </c>
      <c r="G35" s="24" t="n">
        <v>46309</v>
      </c>
      <c r="H35" s="25" t="n">
        <v>161.13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223.78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46308</v>
      </c>
      <c r="E36" s="25" t="n">
        <v>311.7565</v>
      </c>
      <c r="F36" s="26" t="n">
        <v>549</v>
      </c>
      <c r="G36" s="24" t="n">
        <v>46309</v>
      </c>
      <c r="H36" s="25" t="n">
        <v>315.82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539.09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15-20</t>
        </is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46309</v>
      </c>
      <c r="E37" s="25" t="n">
        <v>726.3234</v>
      </c>
      <c r="F37" s="26" t="n">
        <v>201</v>
      </c>
      <c r="G37" s="24" t="n">
        <v>46310</v>
      </c>
      <c r="H37" s="25" t="n">
        <v>708.0599999999999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478.78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46309</v>
      </c>
      <c r="E38" s="25" t="n">
        <v>271.509</v>
      </c>
      <c r="F38" s="26" t="n">
        <v>737</v>
      </c>
      <c r="G38" s="24" t="n">
        <v>46310</v>
      </c>
      <c r="H38" s="25" t="n">
        <v>270.99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624.53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10-15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n">
        <v>46310</v>
      </c>
      <c r="H39" s="25" t="n">
        <v>1334.24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614.47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n">
        <v>46310</v>
      </c>
      <c r="H40" s="25" t="n">
        <v>554.2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238.83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n">
        <v>46310</v>
      </c>
      <c r="H41" s="25" t="n">
        <v>265.57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393.3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n">
        <v>46310</v>
      </c>
      <c r="H42" s="25" t="n">
        <v>226.89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618.74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46310</v>
      </c>
      <c r="E43" s="25" t="n">
        <v>95.05800000000001</v>
      </c>
      <c r="F43" s="26" t="n">
        <v>3153</v>
      </c>
      <c r="G43" s="24" t="n">
        <v>46311</v>
      </c>
      <c r="H43" s="25" t="n">
        <v>94.26000000000001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877.63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46310</v>
      </c>
      <c r="E44" s="25" t="n">
        <v>578.2952</v>
      </c>
      <c r="F44" s="26" t="n">
        <v>258</v>
      </c>
      <c r="G44" s="24" t="n">
        <v>46311</v>
      </c>
      <c r="H44" s="25" t="n">
        <v>585.09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348.51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46310</v>
      </c>
      <c r="E45" s="25" t="n">
        <v>201.1512</v>
      </c>
      <c r="F45" s="26" t="n">
        <v>1500</v>
      </c>
      <c r="G45" s="24" t="n">
        <v>46311</v>
      </c>
      <c r="H45" s="25" t="n">
        <v>206.72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895.76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n">
        <v>46311</v>
      </c>
      <c r="H46" s="25" t="n">
        <v>1124.65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871.65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46311</v>
      </c>
      <c r="E47" s="25" t="n">
        <v>182.5264</v>
      </c>
      <c r="F47" s="26" t="n">
        <v>1636</v>
      </c>
      <c r="G47" s="24" t="n">
        <v>46314</v>
      </c>
      <c r="H47" s="25" t="n">
        <v>185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1031.86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10-15</t>
        </is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46311</v>
      </c>
      <c r="E48" s="25" t="n">
        <v>287.8416</v>
      </c>
      <c r="F48" s="26" t="n">
        <v>1043</v>
      </c>
      <c r="G48" s="24" t="n">
        <v>46314</v>
      </c>
      <c r="H48" s="25" t="n">
        <v>288.54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1033.58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46311</v>
      </c>
      <c r="E49" s="25" t="n">
        <v>60.1311</v>
      </c>
      <c r="F49" s="26" t="n">
        <v>4996</v>
      </c>
      <c r="G49" s="24" t="n">
        <v>46314</v>
      </c>
      <c r="H49" s="25" t="n">
        <v>61.08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960.73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n">
        <v>46314</v>
      </c>
      <c r="H50" s="25" t="n">
        <v>705.59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1040.29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46314</v>
      </c>
      <c r="E51" s="25" t="n">
        <v>98.7749</v>
      </c>
      <c r="F51" s="26" t="n">
        <v>3036</v>
      </c>
      <c r="G51" s="24" t="n">
        <v>46316</v>
      </c>
      <c r="H51" s="25" t="n">
        <v>97.3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972.61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5-10</t>
        </is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46314</v>
      </c>
      <c r="E52" s="25" t="n">
        <v>299.18</v>
      </c>
      <c r="F52" s="26" t="n">
        <v>1000</v>
      </c>
      <c r="G52" s="24" t="n">
        <v>46316</v>
      </c>
      <c r="H52" s="25" t="n">
        <v>282.49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930.28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10-15</t>
        </is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46314</v>
      </c>
      <c r="E53" s="25" t="n">
        <v>66.7538</v>
      </c>
      <c r="F53" s="26" t="n">
        <v>2246</v>
      </c>
      <c r="G53" s="24" t="n">
        <v>46316</v>
      </c>
      <c r="H53" s="25" t="n">
        <v>66.8359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257.22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5-10</t>
        </is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EUROPRATIK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GOODLUCK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GPTINFRA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HATHWAY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INDIAGLYCO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INDOKEM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INOXGREEN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JAICORPLTD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JINDALPOLY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KOTIC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KRISHNADEF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KROSS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MBEL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MMWL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MOBIKWIK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NIBE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OAL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ORIENTELEC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PARACABLES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PIXTRANS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PNCINFRA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PNGSREVA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PRINCEPIPE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RSYSTEMS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RUBYMILLS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SAKSOFT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SATIN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SGFIN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SHRINGARMS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SIMPLEXINF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SMCGLOBAL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SOLARA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SPORTKING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SUNCLAY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SWARAJENG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TEAMLEASE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YUKEN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3" t="inlineStr">
        <is>
          <t>TOTAL</t>
        </is>
      </c>
      <c r="B46" s="30">
        <f>SUM(B4:B45)</f>
        <v/>
      </c>
      <c r="C46" s="30">
        <f>SUM(C4:C45)</f>
        <v/>
      </c>
      <c r="D46" s="30">
        <f>SUM(D4:D45)</f>
        <v/>
      </c>
      <c r="E46" s="31">
        <f>IFERROR(C46/B46,"")</f>
        <v/>
      </c>
      <c r="F46" s="32">
        <f>SUM(F4:F45)</f>
        <v/>
      </c>
      <c r="G46" s="32">
        <f>SUM(G4:G45)</f>
        <v/>
      </c>
      <c r="H46" s="32">
        <f>IFERROR(G46/B46,"")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115.97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69.34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96.48999999999999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115.65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96.5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59.8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71.67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73.40000000000001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59.61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84.45999999999999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87.59999999999999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84.56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84.95999999999999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30.26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37.61</v>
      </c>
      <c r="N25" s="21">
        <f>SUM(E25:M25)</f>
        <v/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46308</v>
      </c>
      <c r="E26" s="4" t="n">
        <v>24.76</v>
      </c>
      <c r="F26" s="4" t="n">
        <v>90.14</v>
      </c>
      <c r="G26" s="4" t="n">
        <v>5.29</v>
      </c>
      <c r="H26" s="4" t="n">
        <v>0.17</v>
      </c>
      <c r="I26" s="4" t="n">
        <v>3</v>
      </c>
      <c r="J26" s="4" t="n">
        <v>5.44</v>
      </c>
      <c r="K26" s="4" t="n">
        <v>14.75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46308</v>
      </c>
      <c r="E27" s="4" t="n">
        <v>71.44</v>
      </c>
      <c r="F27" s="4" t="n">
        <v>339.48</v>
      </c>
      <c r="G27" s="4" t="n">
        <v>10.42</v>
      </c>
      <c r="H27" s="4" t="n">
        <v>0.34</v>
      </c>
      <c r="I27" s="4" t="n">
        <v>25.26</v>
      </c>
      <c r="J27" s="4" t="n">
        <v>14.8</v>
      </c>
      <c r="K27" s="4" t="n">
        <v>14.75</v>
      </c>
      <c r="L27" s="4" t="n">
        <v>35.4</v>
      </c>
      <c r="M27" s="4" t="n">
        <v>36.18</v>
      </c>
      <c r="N27" s="21">
        <f>SUM(E27:M27)</f>
        <v/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46308</v>
      </c>
      <c r="E28" s="4" t="n">
        <v>70.51000000000001</v>
      </c>
      <c r="F28" s="4" t="n">
        <v>335.81</v>
      </c>
      <c r="G28" s="4" t="n">
        <v>10.31</v>
      </c>
      <c r="H28" s="4" t="n">
        <v>0.34</v>
      </c>
      <c r="I28" s="4" t="n">
        <v>25.25</v>
      </c>
      <c r="J28" s="4" t="n">
        <v>14.61</v>
      </c>
      <c r="K28" s="4" t="n">
        <v>14.75</v>
      </c>
      <c r="L28" s="4" t="n">
        <v>35.4</v>
      </c>
      <c r="M28" s="4" t="n">
        <v>41.43</v>
      </c>
      <c r="N28" s="21">
        <f>SUM(E28:M28)</f>
        <v/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46309</v>
      </c>
      <c r="E29" s="4" t="n">
        <v>71.3</v>
      </c>
      <c r="F29" s="4" t="n">
        <v>339.38</v>
      </c>
      <c r="G29" s="4" t="n">
        <v>10.42</v>
      </c>
      <c r="H29" s="4" t="n">
        <v>0.34</v>
      </c>
      <c r="I29" s="4" t="n">
        <v>25.64</v>
      </c>
      <c r="J29" s="4" t="n">
        <v>14.77</v>
      </c>
      <c r="K29" s="4" t="n">
        <v>14.75</v>
      </c>
      <c r="L29" s="4" t="n">
        <v>35.4</v>
      </c>
      <c r="M29" s="4" t="n">
        <v>43.19</v>
      </c>
      <c r="N29" s="21">
        <f>SUM(E29:M29)</f>
        <v/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46309</v>
      </c>
      <c r="E30" s="4" t="n">
        <v>71</v>
      </c>
      <c r="F30" s="4" t="n">
        <v>342.53</v>
      </c>
      <c r="G30" s="4" t="n">
        <v>10.51</v>
      </c>
      <c r="H30" s="4" t="n">
        <v>0.34</v>
      </c>
      <c r="I30" s="4" t="n">
        <v>25.77</v>
      </c>
      <c r="J30" s="4" t="n">
        <v>14.73</v>
      </c>
      <c r="K30" s="4" t="n">
        <v>14.75</v>
      </c>
      <c r="L30" s="4" t="n">
        <v>35.4</v>
      </c>
      <c r="M30" s="4" t="n">
        <v>36.15</v>
      </c>
      <c r="N30" s="21">
        <f>SUM(E30:M30)</f>
        <v/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46309</v>
      </c>
      <c r="E31" s="4" t="n">
        <v>0</v>
      </c>
      <c r="F31" s="4" t="n">
        <v>172.92</v>
      </c>
      <c r="G31" s="4" t="n">
        <v>5.31</v>
      </c>
      <c r="H31" s="4" t="n">
        <v>0.17</v>
      </c>
      <c r="I31" s="4" t="n">
        <v>12.86</v>
      </c>
      <c r="J31" s="4" t="n">
        <v>0.99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46309</v>
      </c>
      <c r="E32" s="4" t="n">
        <v>0</v>
      </c>
      <c r="F32" s="4" t="n">
        <v>85.43000000000001</v>
      </c>
      <c r="G32" s="4" t="n">
        <v>2.62</v>
      </c>
      <c r="H32" s="4" t="n">
        <v>0.09</v>
      </c>
      <c r="I32" s="4" t="n">
        <v>12.81</v>
      </c>
      <c r="J32" s="4" t="n">
        <v>0.49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46309</v>
      </c>
      <c r="E33" s="4" t="n">
        <v>71.01000000000001</v>
      </c>
      <c r="F33" s="4" t="n">
        <v>343.17</v>
      </c>
      <c r="G33" s="4" t="n">
        <v>10.53</v>
      </c>
      <c r="H33" s="4" t="n">
        <v>0.34</v>
      </c>
      <c r="I33" s="4" t="n">
        <v>25.51</v>
      </c>
      <c r="J33" s="4" t="n">
        <v>14.74</v>
      </c>
      <c r="K33" s="4" t="n">
        <v>14.75</v>
      </c>
      <c r="L33" s="4" t="n">
        <v>35.4</v>
      </c>
      <c r="M33" s="4" t="n">
        <v>35.87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46309</v>
      </c>
      <c r="E34" s="4" t="n">
        <v>71.06999999999999</v>
      </c>
      <c r="F34" s="4" t="n">
        <v>215.5</v>
      </c>
      <c r="G34" s="4" t="n">
        <v>10.89</v>
      </c>
      <c r="H34" s="4" t="n">
        <v>0.35</v>
      </c>
      <c r="I34" s="4" t="n">
        <v>25.53</v>
      </c>
      <c r="J34" s="4" t="n">
        <v>14.82</v>
      </c>
      <c r="K34" s="4" t="n">
        <v>14.75</v>
      </c>
      <c r="L34" s="4" t="n">
        <v>35.4</v>
      </c>
      <c r="M34" s="4" t="n">
        <v>38.18</v>
      </c>
      <c r="N34" s="21">
        <f>SUM(E34:M34)</f>
        <v/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4" t="n">
        <v>20</v>
      </c>
      <c r="F35" s="4" t="n">
        <v>181.5</v>
      </c>
      <c r="G35" s="4" t="n">
        <v>11.03</v>
      </c>
      <c r="H35" s="4" t="n">
        <v>0.36</v>
      </c>
      <c r="I35" s="4" t="n">
        <v>5.25</v>
      </c>
      <c r="J35" s="4" t="n">
        <v>5.65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46309</v>
      </c>
      <c r="E36" s="4" t="n">
        <v>71.33</v>
      </c>
      <c r="F36" s="4" t="n">
        <v>344.55</v>
      </c>
      <c r="G36" s="4" t="n">
        <v>10.58</v>
      </c>
      <c r="H36" s="4" t="n">
        <v>0.34</v>
      </c>
      <c r="I36" s="4" t="n">
        <v>25.67</v>
      </c>
      <c r="J36" s="4" t="n">
        <v>14.81</v>
      </c>
      <c r="K36" s="4" t="n">
        <v>14.75</v>
      </c>
      <c r="L36" s="4" t="n">
        <v>35.4</v>
      </c>
      <c r="M36" s="4" t="n">
        <v>21.66</v>
      </c>
      <c r="N36" s="21">
        <f>SUM(E36:M36)</f>
        <v/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46310</v>
      </c>
      <c r="E37" s="4" t="n">
        <v>63.82</v>
      </c>
      <c r="F37" s="4" t="n">
        <v>288.31</v>
      </c>
      <c r="G37" s="4" t="n">
        <v>8.85</v>
      </c>
      <c r="H37" s="4" t="n">
        <v>0.29</v>
      </c>
      <c r="I37" s="4" t="n">
        <v>21.9</v>
      </c>
      <c r="J37" s="4" t="n">
        <v>13.13</v>
      </c>
      <c r="K37" s="4" t="n">
        <v>14.75</v>
      </c>
      <c r="L37" s="4" t="n">
        <v>35.4</v>
      </c>
      <c r="M37" s="4" t="n">
        <v>32.33</v>
      </c>
      <c r="N37" s="21">
        <f>SUM(E37:M37)</f>
        <v/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46310</v>
      </c>
      <c r="E38" s="4" t="n">
        <v>80.01000000000001</v>
      </c>
      <c r="F38" s="4" t="n">
        <v>399.82</v>
      </c>
      <c r="G38" s="4" t="n">
        <v>12.27</v>
      </c>
      <c r="H38" s="4" t="n">
        <v>0.4</v>
      </c>
      <c r="I38" s="4" t="n">
        <v>30.02</v>
      </c>
      <c r="J38" s="4" t="n">
        <v>16.68</v>
      </c>
      <c r="K38" s="4" t="n">
        <v>14.75</v>
      </c>
      <c r="L38" s="4" t="n">
        <v>35.4</v>
      </c>
      <c r="M38" s="4" t="n">
        <v>35.17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46310</v>
      </c>
      <c r="E39" s="4" t="n">
        <v>79.64</v>
      </c>
      <c r="F39" s="4" t="n">
        <v>390.96</v>
      </c>
      <c r="G39" s="4" t="n">
        <v>12</v>
      </c>
      <c r="H39" s="4" t="n">
        <v>0.39</v>
      </c>
      <c r="I39" s="4" t="n">
        <v>29.82</v>
      </c>
      <c r="J39" s="4" t="n">
        <v>16.57</v>
      </c>
      <c r="K39" s="4" t="n">
        <v>14.75</v>
      </c>
      <c r="L39" s="4" t="n">
        <v>35.4</v>
      </c>
      <c r="M39" s="4" t="n">
        <v>34.95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46310</v>
      </c>
      <c r="E40" s="4" t="n">
        <v>0</v>
      </c>
      <c r="F40" s="4" t="n">
        <v>201.6</v>
      </c>
      <c r="G40" s="4" t="n">
        <v>6.19</v>
      </c>
      <c r="H40" s="4" t="n">
        <v>0.2</v>
      </c>
      <c r="I40" s="4" t="n">
        <v>14.94</v>
      </c>
      <c r="J40" s="4" t="n">
        <v>1.15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46310</v>
      </c>
      <c r="E41" s="4" t="n">
        <v>59.95</v>
      </c>
      <c r="F41" s="4" t="n">
        <v>199.83</v>
      </c>
      <c r="G41" s="4" t="n">
        <v>6.13</v>
      </c>
      <c r="H41" s="4" t="n">
        <v>0.2</v>
      </c>
      <c r="I41" s="4" t="n">
        <v>29.98</v>
      </c>
      <c r="J41" s="4" t="n">
        <v>11.93</v>
      </c>
      <c r="K41" s="4" t="n">
        <v>14.75</v>
      </c>
      <c r="L41" s="4" t="n">
        <v>35.4</v>
      </c>
      <c r="M41" s="4" t="n">
        <v>35.12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46310</v>
      </c>
      <c r="E42" s="4" t="n">
        <v>80.05</v>
      </c>
      <c r="F42" s="4" t="n">
        <v>400.91</v>
      </c>
      <c r="G42" s="4" t="n">
        <v>12.31</v>
      </c>
      <c r="H42" s="4" t="n">
        <v>0.4</v>
      </c>
      <c r="I42" s="4" t="n">
        <v>30.09</v>
      </c>
      <c r="J42" s="4" t="n">
        <v>16.7</v>
      </c>
      <c r="K42" s="4" t="n">
        <v>14.75</v>
      </c>
      <c r="L42" s="4" t="n">
        <v>35.4</v>
      </c>
      <c r="M42" s="4" t="n">
        <v>28.14</v>
      </c>
      <c r="N42" s="21">
        <f>SUM(E42:M42)</f>
        <v/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46311</v>
      </c>
      <c r="E43" s="4" t="n">
        <v>109.95</v>
      </c>
      <c r="F43" s="4" t="n">
        <v>596.92</v>
      </c>
      <c r="G43" s="4" t="n">
        <v>18.32</v>
      </c>
      <c r="H43" s="4" t="n">
        <v>0.6</v>
      </c>
      <c r="I43" s="4" t="n">
        <v>44.96</v>
      </c>
      <c r="J43" s="4" t="n">
        <v>23.2</v>
      </c>
      <c r="K43" s="4" t="n">
        <v>14.75</v>
      </c>
      <c r="L43" s="4" t="n">
        <v>35.4</v>
      </c>
      <c r="M43" s="4" t="n">
        <v>33.53</v>
      </c>
      <c r="N43" s="21">
        <f>SUM(E43:M43)</f>
        <v/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46311</v>
      </c>
      <c r="E44" s="4" t="n">
        <v>0</v>
      </c>
      <c r="F44" s="4" t="n">
        <v>300.15</v>
      </c>
      <c r="G44" s="4" t="n">
        <v>9.210000000000001</v>
      </c>
      <c r="H44" s="4" t="n">
        <v>0.3</v>
      </c>
      <c r="I44" s="4" t="n">
        <v>22.38</v>
      </c>
      <c r="J44" s="4" t="n">
        <v>1.71</v>
      </c>
      <c r="K44" s="4" t="n">
        <v>14.75</v>
      </c>
      <c r="L44" s="4" t="n">
        <v>0</v>
      </c>
      <c r="M44" s="4" t="n">
        <v>0</v>
      </c>
      <c r="N44" s="21">
        <f>SUM(E44:M44)</f>
        <v/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46311</v>
      </c>
      <c r="E45" s="4" t="n">
        <v>110.57</v>
      </c>
      <c r="F45" s="4" t="n">
        <v>611.74</v>
      </c>
      <c r="G45" s="4" t="n">
        <v>18.78</v>
      </c>
      <c r="H45" s="4" t="n">
        <v>0.61</v>
      </c>
      <c r="I45" s="4" t="n">
        <v>44.93</v>
      </c>
      <c r="J45" s="4" t="n">
        <v>23.39</v>
      </c>
      <c r="K45" s="4" t="n">
        <v>14.75</v>
      </c>
      <c r="L45" s="4" t="n">
        <v>35.4</v>
      </c>
      <c r="M45" s="4" t="n">
        <v>35.58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46311</v>
      </c>
      <c r="E46" s="4" t="n">
        <v>109.45</v>
      </c>
      <c r="F46" s="4" t="n">
        <v>593.96</v>
      </c>
      <c r="G46" s="4" t="n">
        <v>18.23</v>
      </c>
      <c r="H46" s="4" t="n">
        <v>0.59</v>
      </c>
      <c r="I46" s="4" t="n">
        <v>44.73</v>
      </c>
      <c r="J46" s="4" t="n">
        <v>23.09</v>
      </c>
      <c r="K46" s="4" t="n">
        <v>14.75</v>
      </c>
      <c r="L46" s="4" t="n">
        <v>35.4</v>
      </c>
      <c r="M46" s="4" t="n">
        <v>31.44</v>
      </c>
      <c r="N46" s="21">
        <f>SUM(E46:M46)</f>
        <v/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46314</v>
      </c>
      <c r="E47" s="4" t="n">
        <v>109.59</v>
      </c>
      <c r="F47" s="4" t="n">
        <v>601.3</v>
      </c>
      <c r="G47" s="4" t="n">
        <v>18.46</v>
      </c>
      <c r="H47" s="4" t="n">
        <v>0.6</v>
      </c>
      <c r="I47" s="4" t="n">
        <v>44.79</v>
      </c>
      <c r="J47" s="4" t="n">
        <v>23.16</v>
      </c>
      <c r="K47" s="4" t="n">
        <v>14.75</v>
      </c>
      <c r="L47" s="4" t="n">
        <v>35.4</v>
      </c>
      <c r="M47" s="4" t="n">
        <v>183.83</v>
      </c>
      <c r="N47" s="21">
        <f>SUM(E47:M47)</f>
        <v/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46314</v>
      </c>
      <c r="E48" s="4" t="n">
        <v>110.11</v>
      </c>
      <c r="F48" s="4" t="n">
        <v>601.17</v>
      </c>
      <c r="G48" s="4" t="n">
        <v>18.46</v>
      </c>
      <c r="H48" s="4" t="n">
        <v>0.6</v>
      </c>
      <c r="I48" s="4" t="n">
        <v>45.03</v>
      </c>
      <c r="J48" s="4" t="n">
        <v>23.25</v>
      </c>
      <c r="K48" s="4" t="n">
        <v>14.75</v>
      </c>
      <c r="L48" s="4" t="n">
        <v>35.4</v>
      </c>
      <c r="M48" s="4" t="n">
        <v>184.81</v>
      </c>
      <c r="N48" s="21">
        <f>SUM(E48:M48)</f>
        <v/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46314</v>
      </c>
      <c r="E49" s="4" t="n">
        <v>130.06</v>
      </c>
      <c r="F49" s="4" t="n">
        <v>508.5</v>
      </c>
      <c r="G49" s="4" t="n">
        <v>18.59</v>
      </c>
      <c r="H49" s="4" t="n">
        <v>0.61</v>
      </c>
      <c r="I49" s="4" t="n">
        <v>45.06</v>
      </c>
      <c r="J49" s="4" t="n">
        <v>26.87</v>
      </c>
      <c r="K49" s="4" t="n">
        <v>14.75</v>
      </c>
      <c r="L49" s="4" t="n">
        <v>35.4</v>
      </c>
      <c r="M49" s="4" t="n">
        <v>180.9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46314</v>
      </c>
      <c r="E50" s="4" t="n">
        <v>110.25</v>
      </c>
      <c r="F50" s="4" t="n">
        <v>607.04</v>
      </c>
      <c r="G50" s="4" t="n">
        <v>18.64</v>
      </c>
      <c r="H50" s="4" t="n">
        <v>0.61</v>
      </c>
      <c r="I50" s="4" t="n">
        <v>45.12</v>
      </c>
      <c r="J50" s="4" t="n">
        <v>23.31</v>
      </c>
      <c r="K50" s="4" t="n">
        <v>14.75</v>
      </c>
      <c r="L50" s="4" t="n">
        <v>35.4</v>
      </c>
      <c r="M50" s="4" t="n">
        <v>185.18</v>
      </c>
      <c r="N50" s="21">
        <f>SUM(E50:M50)</f>
        <v/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46316</v>
      </c>
      <c r="E51" s="4" t="n">
        <v>109.96</v>
      </c>
      <c r="F51" s="4" t="n">
        <v>595.26</v>
      </c>
      <c r="G51" s="4" t="n">
        <v>18.28</v>
      </c>
      <c r="H51" s="4" t="n">
        <v>0.6</v>
      </c>
      <c r="I51" s="4" t="n">
        <v>44.62</v>
      </c>
      <c r="J51" s="4" t="n">
        <v>23.19</v>
      </c>
      <c r="K51" s="4" t="n">
        <v>14.75</v>
      </c>
      <c r="L51" s="4" t="n">
        <v>35.4</v>
      </c>
      <c r="M51" s="4" t="n">
        <v>130.56</v>
      </c>
      <c r="N51" s="21">
        <f>SUM(E51:M51)</f>
        <v/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46316</v>
      </c>
      <c r="E52" s="4" t="n">
        <v>109.75</v>
      </c>
      <c r="F52" s="4" t="n">
        <v>581.67</v>
      </c>
      <c r="G52" s="4" t="n">
        <v>17.86</v>
      </c>
      <c r="H52" s="4" t="n">
        <v>0.58</v>
      </c>
      <c r="I52" s="4" t="n">
        <v>44.88</v>
      </c>
      <c r="J52" s="4" t="n">
        <v>23.07</v>
      </c>
      <c r="K52" s="4" t="n">
        <v>14.75</v>
      </c>
      <c r="L52" s="4" t="n">
        <v>35.4</v>
      </c>
      <c r="M52" s="4" t="n">
        <v>102.32</v>
      </c>
      <c r="N52" s="21">
        <f>SUM(E52:M52)</f>
        <v/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46316</v>
      </c>
      <c r="E53" s="4" t="n">
        <v>64.94</v>
      </c>
      <c r="F53" s="4" t="n">
        <v>150.12</v>
      </c>
      <c r="G53" s="4" t="n">
        <v>9.210000000000001</v>
      </c>
      <c r="H53" s="4" t="n">
        <v>0.3</v>
      </c>
      <c r="I53" s="4" t="n">
        <v>4.5</v>
      </c>
      <c r="J53" s="4" t="n">
        <v>13.4</v>
      </c>
      <c r="K53" s="4" t="n">
        <v>14.75</v>
      </c>
      <c r="L53" s="4" t="n">
        <v>0</v>
      </c>
      <c r="M53" s="4" t="n">
        <v>0</v>
      </c>
      <c r="N53" s="21">
        <f>SUM(E53:M53)</f>
        <v/>
      </c>
    </row>
    <row r="54">
      <c r="A54" s="3" t="inlineStr">
        <is>
          <t>TOTAL</t>
        </is>
      </c>
      <c r="E54" s="32">
        <f>SUM(E4:E53)</f>
        <v/>
      </c>
      <c r="F54" s="32">
        <f>SUM(F4:F53)</f>
        <v/>
      </c>
      <c r="G54" s="32">
        <f>SUM(G4:G53)</f>
        <v/>
      </c>
      <c r="H54" s="32">
        <f>SUM(H4:H53)</f>
        <v/>
      </c>
      <c r="I54" s="32">
        <f>SUM(I4:I53)</f>
        <v/>
      </c>
      <c r="J54" s="32">
        <f>SUM(J4:J53)</f>
        <v/>
      </c>
      <c r="K54" s="32">
        <f>SUM(K4:K53)</f>
        <v/>
      </c>
      <c r="L54" s="32">
        <f>SUM(L4:L53)</f>
        <v/>
      </c>
      <c r="M54" s="32">
        <f>SUM(M4:M53)</f>
        <v/>
      </c>
      <c r="N54" s="32">
        <f>SUM(N4:N53)</f>
        <v/>
      </c>
    </row>
  </sheetData>
  <autoFilter ref="A3:N53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28" t="n">
        <v>46314</v>
      </c>
      <c r="B12" s="20">
        <f>COUNTIFS('Trade Log'!$G$4:$G$503,"&gt;="&amp;DATE(2026,10,19),'Trade Log'!$G$4:$G$503,"&lt;"&amp;DATE(2026,10,26))</f>
        <v/>
      </c>
      <c r="C12" s="20">
        <f>COUNTIFS('Trade Log'!$G$4:$G$503,"&gt;="&amp;DATE(2026,10,19),'Trade Log'!$G$4:$G$503,"&lt;"&amp;DATE(2026,10,26),'Trade Log'!$L$4:$L$503,"&gt;0")</f>
        <v/>
      </c>
      <c r="D12" s="20">
        <f>COUNTIFS('Trade Log'!$G$4:$G$503,"&gt;="&amp;DATE(2026,10,19),'Trade Log'!$G$4:$G$503,"&lt;"&amp;DATE(2026,10,26),'Trade Log'!$L$4:$L$503,"&lt;0")</f>
        <v/>
      </c>
      <c r="E12" s="22">
        <f>IFERROR($C12/$B12,"")</f>
        <v/>
      </c>
      <c r="F12" s="21">
        <f>SUMIFS('Trade Log'!$I$4:$I$503,'Trade Log'!$G$4:$G$503,"&gt;="&amp;DATE(2026,10,19),'Trade Log'!$G$4:$G$503,"&lt;"&amp;DATE(2026,10,26))</f>
        <v/>
      </c>
      <c r="G12" s="21">
        <f>SUMIFS('Trade Log'!$L$4:$L$503,'Trade Log'!$G$4:$G$503,"&gt;="&amp;DATE(2026,10,19),'Trade Log'!$G$4:$G$503,"&lt;"&amp;DATE(2026,10,26))</f>
        <v/>
      </c>
      <c r="H12" s="21">
        <f>IFERROR($G12/$B12,"")</f>
        <v/>
      </c>
      <c r="I12" s="21">
        <f>IFERROR(_xlfn.MAXIFS('Trade Log'!$L$4:$L$503,'Trade Log'!$G$4:$G$503,"&gt;="&amp;DATE(2026,10,19),'Trade Log'!$G$4:$G$503,"&lt;"&amp;DATE(2026,10,26)),"")</f>
        <v/>
      </c>
      <c r="J12" s="21">
        <f>IFERROR(_xlfn.MINIFS('Trade Log'!$L$4:$L$503,'Trade Log'!$G$4:$G$503,"&gt;="&amp;DATE(2026,10,19),'Trade Log'!$G$4:$G$503,"&lt;"&amp;DATE(2026,10,26)),"")</f>
        <v/>
      </c>
      <c r="K12" s="29">
        <f>IFERROR(SUMIFS('Trade Log'!$L$4:$L$503,'Trade Log'!$G$4:$G$503,"&gt;="&amp;DATE(2026,10,19),'Trade Log'!$G$4:$G$503,"&lt;"&amp;DATE(2026,10,26),'Trade Log'!$L$4:$L$503,"&gt;0")/ABS(SUMIFS('Trade Log'!$L$4:$L$503,'Trade Log'!$G$4:$G$503,"&gt;="&amp;DATE(2026,10,19),'Trade Log'!$G$4:$G$503,"&lt;"&amp;DATE(2026,10,26),'Trade Log'!$L$4:$L$503,"&lt;0")),"")</f>
        <v/>
      </c>
    </row>
    <row r="13">
      <c r="A13" s="3" t="inlineStr">
        <is>
          <t>TOTAL</t>
        </is>
      </c>
      <c r="B13" s="30">
        <f>SUM(B10:B12)</f>
        <v/>
      </c>
      <c r="C13" s="30">
        <f>SUM(C10:C12)</f>
        <v/>
      </c>
      <c r="D13" s="30">
        <f>SUM(D10:D12)</f>
        <v/>
      </c>
      <c r="E13" s="31">
        <f>IFERROR(C13/B13,"")</f>
        <v/>
      </c>
      <c r="F13" s="32">
        <f>SUM(F10:F12)</f>
        <v/>
      </c>
      <c r="G13" s="32">
        <f>SUM(G10:G12)</f>
        <v/>
      </c>
      <c r="H13" s="32">
        <f>IFERROR(G13/B13,"")</f>
        <v/>
      </c>
      <c r="K13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2026-10-22T10:17:31Z</dcterms:created>
  <dcterms:modified xmlns:dcterms="http://purl.org/dc/terms/" xmlns:xsi="http://www.w3.org/2001/XMLSchema-instance" xsi:type="dcterms:W3CDTF">2026-10-22T10:17:32Z</dcterms:modified>
</cp:coreProperties>
</file>