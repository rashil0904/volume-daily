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'Charges'!$A$3:$N$16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1200000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46300</v>
      </c>
      <c r="E4" s="25" t="n">
        <v>85.79989999999999</v>
      </c>
      <c r="F4" s="26" t="n">
        <v>1752</v>
      </c>
      <c r="G4" s="24" t="n">
        <v>46301</v>
      </c>
      <c r="H4" s="25" t="n">
        <v>85.81999999999999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349.23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10-15</t>
        </is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46300</v>
      </c>
      <c r="E5" s="25" t="n">
        <v>2108.8394</v>
      </c>
      <c r="F5" s="26" t="n">
        <v>71</v>
      </c>
      <c r="G5" s="24" t="n">
        <v>46301</v>
      </c>
      <c r="H5" s="25" t="n">
        <v>1945.5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192.54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10-15</t>
        </is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46300</v>
      </c>
      <c r="E6" s="25" t="n">
        <v>679.0067</v>
      </c>
      <c r="F6" s="26" t="n">
        <v>442</v>
      </c>
      <c r="G6" s="24" t="n">
        <v>46301</v>
      </c>
      <c r="H6" s="25" t="n">
        <v>660.0599999999999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900.61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5-10</t>
        </is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46300</v>
      </c>
      <c r="E7" s="25" t="n">
        <v>113.9808</v>
      </c>
      <c r="F7" s="26" t="n">
        <v>2624</v>
      </c>
      <c r="G7" s="24" t="n">
        <v>46301</v>
      </c>
      <c r="H7" s="25" t="n">
        <v>109.23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786.51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15-20</t>
        </is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46301</v>
      </c>
      <c r="E8" s="25" t="n">
        <v>1297.2208</v>
      </c>
      <c r="F8" s="26" t="n">
        <v>231</v>
      </c>
      <c r="G8" s="24" t="n">
        <v>46302</v>
      </c>
      <c r="H8" s="25" t="n">
        <v>1280.57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812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10-15</t>
        </is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46301</v>
      </c>
      <c r="E9" s="25" t="n">
        <v>228.9869</v>
      </c>
      <c r="F9" s="26" t="n">
        <v>1307</v>
      </c>
      <c r="G9" s="24" t="n">
        <v>46302</v>
      </c>
      <c r="H9" s="25" t="n">
        <v>235.36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915.22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5-10</t>
        </is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46301</v>
      </c>
      <c r="E10" s="25" t="n">
        <v>1238.3789</v>
      </c>
      <c r="F10" s="26" t="n">
        <v>242</v>
      </c>
      <c r="G10" s="24" t="n">
        <v>46302</v>
      </c>
      <c r="H10" s="25" t="n">
        <v>1238.1025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897.77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10-15</t>
        </is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46302</v>
      </c>
      <c r="E11" s="25" t="n">
        <v>103.743</v>
      </c>
      <c r="F11" s="26" t="n">
        <v>2316</v>
      </c>
      <c r="G11" s="24" t="n">
        <v>46303</v>
      </c>
      <c r="H11" s="25" t="n">
        <v>103.7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400.07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5-10</t>
        </is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46302</v>
      </c>
      <c r="E12" s="25" t="n">
        <v>129.8444</v>
      </c>
      <c r="F12" s="26" t="n">
        <v>1848</v>
      </c>
      <c r="G12" s="24" t="n">
        <v>46303</v>
      </c>
      <c r="H12" s="25" t="n">
        <v>125.94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469.24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5-10</t>
        </is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46302</v>
      </c>
      <c r="E13" s="25" t="n">
        <v>257.0405</v>
      </c>
      <c r="F13" s="26" t="n">
        <v>936</v>
      </c>
      <c r="G13" s="24" t="n">
        <v>46303</v>
      </c>
      <c r="H13" s="25" t="n">
        <v>238.86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409.68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5-10</t>
        </is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46302</v>
      </c>
      <c r="E14" s="25" t="n">
        <v>622.1242</v>
      </c>
      <c r="F14" s="26" t="n">
        <v>385</v>
      </c>
      <c r="G14" s="24" t="n">
        <v>46303</v>
      </c>
      <c r="H14" s="25" t="n">
        <v>636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460.32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10-15</t>
        </is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46303</v>
      </c>
      <c r="E15" s="25" t="n">
        <v>157.0151</v>
      </c>
      <c r="F15" s="26" t="n">
        <v>858</v>
      </c>
      <c r="G15" s="24" t="inlineStr"/>
      <c r="H15" s="25" t="inlineStr"/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14.75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5-10</t>
        </is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46303</v>
      </c>
      <c r="E16" s="25" t="n">
        <v>705.2641</v>
      </c>
      <c r="F16" s="26" t="n">
        <v>213</v>
      </c>
      <c r="G16" s="24" t="inlineStr"/>
      <c r="H16" s="25" t="inlineStr"/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14.75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10-15</t>
        </is>
      </c>
    </row>
    <row r="17">
      <c r="A17" s="23" t="n"/>
      <c r="B17" s="23" t="n"/>
      <c r="C17" s="23" t="n"/>
      <c r="D17" s="24" t="n"/>
      <c r="E17" s="25" t="n"/>
      <c r="F17" s="26" t="n"/>
      <c r="G17" s="24" t="n"/>
      <c r="H17" s="25" t="n"/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/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n"/>
    </row>
    <row r="18">
      <c r="A18" s="23" t="n"/>
      <c r="B18" s="23" t="n"/>
      <c r="C18" s="23" t="n"/>
      <c r="D18" s="24" t="n"/>
      <c r="E18" s="25" t="n"/>
      <c r="F18" s="26" t="n"/>
      <c r="G18" s="24" t="n"/>
      <c r="H18" s="25" t="n"/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/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n"/>
    </row>
    <row r="19">
      <c r="A19" s="23" t="n"/>
      <c r="B19" s="23" t="n"/>
      <c r="C19" s="23" t="n"/>
      <c r="D19" s="24" t="n"/>
      <c r="E19" s="25" t="n"/>
      <c r="F19" s="26" t="n"/>
      <c r="G19" s="24" t="n"/>
      <c r="H19" s="25" t="n"/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/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n"/>
    </row>
    <row r="20">
      <c r="A20" s="23" t="n"/>
      <c r="B20" s="23" t="n"/>
      <c r="C20" s="23" t="n"/>
      <c r="D20" s="24" t="n"/>
      <c r="E20" s="25" t="n"/>
      <c r="F20" s="26" t="n"/>
      <c r="G20" s="24" t="n"/>
      <c r="H20" s="25" t="n"/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/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n"/>
    </row>
    <row r="21">
      <c r="A21" s="23" t="n"/>
      <c r="B21" s="23" t="n"/>
      <c r="C21" s="23" t="n"/>
      <c r="D21" s="24" t="n"/>
      <c r="E21" s="25" t="n"/>
      <c r="F21" s="26" t="n"/>
      <c r="G21" s="24" t="n"/>
      <c r="H21" s="25" t="n"/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/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n"/>
    </row>
    <row r="22">
      <c r="A22" s="23" t="n"/>
      <c r="B22" s="23" t="n"/>
      <c r="C22" s="23" t="n"/>
      <c r="D22" s="24" t="n"/>
      <c r="E22" s="25" t="n"/>
      <c r="F22" s="26" t="n"/>
      <c r="G22" s="24" t="n"/>
      <c r="H22" s="25" t="n"/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/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n"/>
    </row>
    <row r="23">
      <c r="A23" s="23" t="n"/>
      <c r="B23" s="23" t="n"/>
      <c r="C23" s="23" t="n"/>
      <c r="D23" s="24" t="n"/>
      <c r="E23" s="25" t="n"/>
      <c r="F23" s="26" t="n"/>
      <c r="G23" s="24" t="n"/>
      <c r="H23" s="25" t="n"/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/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n"/>
    </row>
    <row r="24">
      <c r="A24" s="23" t="n"/>
      <c r="B24" s="23" t="n"/>
      <c r="C24" s="23" t="n"/>
      <c r="D24" s="24" t="n"/>
      <c r="E24" s="25" t="n"/>
      <c r="F24" s="26" t="n"/>
      <c r="G24" s="24" t="n"/>
      <c r="H24" s="25" t="n"/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/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n"/>
    </row>
    <row r="25">
      <c r="A25" s="23" t="n"/>
      <c r="B25" s="23" t="n"/>
      <c r="C25" s="23" t="n"/>
      <c r="D25" s="24" t="n"/>
      <c r="E25" s="25" t="n"/>
      <c r="F25" s="26" t="n"/>
      <c r="G25" s="24" t="n"/>
      <c r="H25" s="25" t="n"/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/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n"/>
    </row>
    <row r="26">
      <c r="A26" s="23" t="n"/>
      <c r="B26" s="23" t="n"/>
      <c r="C26" s="23" t="n"/>
      <c r="D26" s="24" t="n"/>
      <c r="E26" s="25" t="n"/>
      <c r="F26" s="26" t="n"/>
      <c r="G26" s="24" t="n"/>
      <c r="H26" s="25" t="n"/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/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n"/>
    </row>
    <row r="27">
      <c r="A27" s="23" t="n"/>
      <c r="B27" s="23" t="n"/>
      <c r="C27" s="23" t="n"/>
      <c r="D27" s="24" t="n"/>
      <c r="E27" s="25" t="n"/>
      <c r="F27" s="26" t="n"/>
      <c r="G27" s="24" t="n"/>
      <c r="H27" s="25" t="n"/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/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n"/>
    </row>
    <row r="28">
      <c r="A28" s="23" t="n"/>
      <c r="B28" s="23" t="n"/>
      <c r="C28" s="23" t="n"/>
      <c r="D28" s="24" t="n"/>
      <c r="E28" s="25" t="n"/>
      <c r="F28" s="26" t="n"/>
      <c r="G28" s="24" t="n"/>
      <c r="H28" s="25" t="n"/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/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n"/>
    </row>
    <row r="29">
      <c r="A29" s="23" t="n"/>
      <c r="B29" s="23" t="n"/>
      <c r="C29" s="23" t="n"/>
      <c r="D29" s="24" t="n"/>
      <c r="E29" s="25" t="n"/>
      <c r="F29" s="26" t="n"/>
      <c r="G29" s="24" t="n"/>
      <c r="H29" s="25" t="n"/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/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n"/>
    </row>
    <row r="30">
      <c r="A30" s="23" t="n"/>
      <c r="B30" s="23" t="n"/>
      <c r="C30" s="23" t="n"/>
      <c r="D30" s="24" t="n"/>
      <c r="E30" s="25" t="n"/>
      <c r="F30" s="26" t="n"/>
      <c r="G30" s="24" t="n"/>
      <c r="H30" s="25" t="n"/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/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n"/>
    </row>
    <row r="31">
      <c r="A31" s="23" t="n"/>
      <c r="B31" s="23" t="n"/>
      <c r="C31" s="23" t="n"/>
      <c r="D31" s="24" t="n"/>
      <c r="E31" s="25" t="n"/>
      <c r="F31" s="26" t="n"/>
      <c r="G31" s="24" t="n"/>
      <c r="H31" s="25" t="n"/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/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n"/>
    </row>
    <row r="32">
      <c r="A32" s="23" t="n"/>
      <c r="B32" s="23" t="n"/>
      <c r="C32" s="23" t="n"/>
      <c r="D32" s="24" t="n"/>
      <c r="E32" s="25" t="n"/>
      <c r="F32" s="26" t="n"/>
      <c r="G32" s="24" t="n"/>
      <c r="H32" s="25" t="n"/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/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n"/>
    </row>
    <row r="33">
      <c r="A33" s="23" t="n"/>
      <c r="B33" s="23" t="n"/>
      <c r="C33" s="23" t="n"/>
      <c r="D33" s="24" t="n"/>
      <c r="E33" s="25" t="n"/>
      <c r="F33" s="26" t="n"/>
      <c r="G33" s="24" t="n"/>
      <c r="H33" s="25" t="n"/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/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n"/>
    </row>
    <row r="34">
      <c r="A34" s="23" t="n"/>
      <c r="B34" s="23" t="n"/>
      <c r="C34" s="23" t="n"/>
      <c r="D34" s="24" t="n"/>
      <c r="E34" s="25" t="n"/>
      <c r="F34" s="26" t="n"/>
      <c r="G34" s="24" t="n"/>
      <c r="H34" s="25" t="n"/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/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n"/>
    </row>
    <row r="35">
      <c r="A35" s="23" t="n"/>
      <c r="B35" s="23" t="n"/>
      <c r="C35" s="23" t="n"/>
      <c r="D35" s="24" t="n"/>
      <c r="E35" s="25" t="n"/>
      <c r="F35" s="26" t="n"/>
      <c r="G35" s="24" t="n"/>
      <c r="H35" s="25" t="n"/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/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n"/>
    </row>
    <row r="36">
      <c r="A36" s="23" t="n"/>
      <c r="B36" s="23" t="n"/>
      <c r="C36" s="23" t="n"/>
      <c r="D36" s="24" t="n"/>
      <c r="E36" s="25" t="n"/>
      <c r="F36" s="26" t="n"/>
      <c r="G36" s="24" t="n"/>
      <c r="H36" s="25" t="n"/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/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n"/>
    </row>
    <row r="37">
      <c r="A37" s="23" t="n"/>
      <c r="B37" s="23" t="n"/>
      <c r="C37" s="23" t="n"/>
      <c r="D37" s="24" t="n"/>
      <c r="E37" s="25" t="n"/>
      <c r="F37" s="26" t="n"/>
      <c r="G37" s="24" t="n"/>
      <c r="H37" s="25" t="n"/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/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n"/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/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n"/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/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n"/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/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n"/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/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n"/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/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n"/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/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n"/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/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n"/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/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n"/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/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n"/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/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n"/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/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n"/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/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n"/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/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n"/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/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n"/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/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n"/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/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n"/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/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n"/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/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n"/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/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n"/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/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n"/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/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n"/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/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n"/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/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n"/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/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n"/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/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n"/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/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n"/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/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n"/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/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n"/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/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n"/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/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n"/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/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n"/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/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n"/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/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n"/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/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n"/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/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n"/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/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n"/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/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n"/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/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n"/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/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n"/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/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n"/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/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n"/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/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n"/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/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n"/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/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n"/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/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n"/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/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n"/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/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n"/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/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n"/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/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n"/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/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n"/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/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n"/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/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n"/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/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n"/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/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n"/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/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n"/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/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n"/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/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n"/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/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n"/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/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n"/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/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n"/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/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n"/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/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n"/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/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n"/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/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n"/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/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n"/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/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n"/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/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n"/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/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n"/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/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n"/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/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n"/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/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n"/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/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n"/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/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n"/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/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n"/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/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n"/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/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n"/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/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n"/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/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n"/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/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n"/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/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n"/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/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n"/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/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n"/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/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n"/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/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n"/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/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n"/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/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n"/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/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n"/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/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n"/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/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n"/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/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n"/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/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n"/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/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n"/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/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n"/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/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n"/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/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n"/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/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n"/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/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n"/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/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n"/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/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n"/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/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n"/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/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n"/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/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n"/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/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n"/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/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n"/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/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n"/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/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n"/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/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n"/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/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n"/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/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n"/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/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n"/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/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n"/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/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n"/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/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n"/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/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n"/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/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n"/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/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n"/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/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n"/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/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n"/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/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n"/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/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n"/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/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n"/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/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n"/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/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n"/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/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n"/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/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n"/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/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n"/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/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n"/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/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n"/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/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n"/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/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n"/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/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n"/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/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n"/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/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n"/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/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n"/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/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n"/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/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n"/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/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n"/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/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n"/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/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n"/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/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n"/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/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n"/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/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n"/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/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n"/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/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n"/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/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n"/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/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n"/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/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n"/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/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n"/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/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n"/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/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n"/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/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n"/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/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n"/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/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n"/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/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n"/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/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n"/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/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n"/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/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n"/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/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n"/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/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n"/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/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n"/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/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n"/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/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n"/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/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n"/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/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n"/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/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n"/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/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n"/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/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n"/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/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n"/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/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n"/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/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n"/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/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n"/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/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n"/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/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n"/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/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n"/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/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n"/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/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n"/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/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n"/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/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n"/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/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n"/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/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n"/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/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n"/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/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n"/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/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n"/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/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n"/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/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n"/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/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n"/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/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n"/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/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n"/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/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n"/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/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n"/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/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n"/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/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n"/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/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n"/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/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n"/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/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n"/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/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n"/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/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n"/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/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n"/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/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n"/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/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n"/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/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n"/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/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n"/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/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n"/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/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n"/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/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n"/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/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n"/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n"/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n"/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n"/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n"/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n"/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n"/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n"/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n"/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46296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ARFIN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DELTACORP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DPABHUSHAN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GPTINFRA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KOTIC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KRISHNADEF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MOBIKWIK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PNGSREVA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SATIN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SGFIN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SMCGLOBAL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YUKEN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3" t="inlineStr">
        <is>
          <t>TOTAL</t>
        </is>
      </c>
      <c r="B16" s="30">
        <f>SUM(B4:B15)</f>
        <v/>
      </c>
      <c r="C16" s="30">
        <f>SUM(C4:C15)</f>
        <v/>
      </c>
      <c r="D16" s="30">
        <f>SUM(D4:D15)</f>
        <v/>
      </c>
      <c r="E16" s="31">
        <f>IFERROR(C16/B16,"")</f>
        <v/>
      </c>
      <c r="F16" s="32">
        <f>SUM(F4:F15)</f>
        <v/>
      </c>
      <c r="G16" s="32">
        <f>SUM(G4:G15)</f>
        <v/>
      </c>
      <c r="H16" s="32">
        <f>IFERROR(G16/B16,"")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46301</v>
      </c>
      <c r="E4" s="4" t="n">
        <v>0</v>
      </c>
      <c r="F4" s="4" t="n">
        <v>300.68</v>
      </c>
      <c r="G4" s="4" t="n">
        <v>9.23</v>
      </c>
      <c r="H4" s="4" t="n">
        <v>0.3</v>
      </c>
      <c r="I4" s="4" t="n">
        <v>22.55</v>
      </c>
      <c r="J4" s="4" t="n">
        <v>1.72</v>
      </c>
      <c r="K4" s="4" t="n">
        <v>14.75</v>
      </c>
      <c r="L4" s="4" t="n">
        <v>0</v>
      </c>
      <c r="M4" s="4" t="n">
        <v>0</v>
      </c>
      <c r="N4" s="21">
        <f>SUM(E4:M4)</f>
        <v/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46301</v>
      </c>
      <c r="E5" s="4" t="n">
        <v>0</v>
      </c>
      <c r="F5" s="4" t="n">
        <v>149.73</v>
      </c>
      <c r="G5" s="4" t="n">
        <v>4.6</v>
      </c>
      <c r="H5" s="4" t="n">
        <v>0.15</v>
      </c>
      <c r="I5" s="4" t="n">
        <v>22.46</v>
      </c>
      <c r="J5" s="4" t="n">
        <v>0.85</v>
      </c>
      <c r="K5" s="4" t="n">
        <v>14.75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46301</v>
      </c>
      <c r="E6" s="4" t="n">
        <v>110.04</v>
      </c>
      <c r="F6" s="4" t="n">
        <v>591.87</v>
      </c>
      <c r="G6" s="4" t="n">
        <v>18.17</v>
      </c>
      <c r="H6" s="4" t="n">
        <v>0.59</v>
      </c>
      <c r="I6" s="4" t="n">
        <v>45.02</v>
      </c>
      <c r="J6" s="4" t="n">
        <v>23.18</v>
      </c>
      <c r="K6" s="4" t="n">
        <v>14.75</v>
      </c>
      <c r="L6" s="4" t="n">
        <v>35.4</v>
      </c>
      <c r="M6" s="4" t="n">
        <v>61.58</v>
      </c>
      <c r="N6" s="21">
        <f>SUM(E6:M6)</f>
        <v/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46301</v>
      </c>
      <c r="E7" s="4" t="n">
        <v>40</v>
      </c>
      <c r="F7" s="4" t="n">
        <v>585.45</v>
      </c>
      <c r="G7" s="4" t="n">
        <v>17.98</v>
      </c>
      <c r="H7" s="4" t="n">
        <v>0.59</v>
      </c>
      <c r="I7" s="4" t="n">
        <v>44.97</v>
      </c>
      <c r="J7" s="4" t="n">
        <v>10.54</v>
      </c>
      <c r="K7" s="4" t="n">
        <v>14.75</v>
      </c>
      <c r="L7" s="4" t="n">
        <v>35.4</v>
      </c>
      <c r="M7" s="4" t="n">
        <v>36.82</v>
      </c>
      <c r="N7" s="21">
        <f>SUM(E7:M7)</f>
        <v/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46302</v>
      </c>
      <c r="E8" s="4" t="n">
        <v>40</v>
      </c>
      <c r="F8" s="4" t="n">
        <v>595.97</v>
      </c>
      <c r="G8" s="4" t="n">
        <v>18.28</v>
      </c>
      <c r="H8" s="4" t="n">
        <v>0.6</v>
      </c>
      <c r="I8" s="4" t="n">
        <v>45.16</v>
      </c>
      <c r="J8" s="4" t="n">
        <v>10.6</v>
      </c>
      <c r="K8" s="4" t="n">
        <v>14.75</v>
      </c>
      <c r="L8" s="4" t="n">
        <v>35.4</v>
      </c>
      <c r="M8" s="4" t="n">
        <v>51.24</v>
      </c>
      <c r="N8" s="21">
        <f>SUM(E8:M8)</f>
        <v/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46302</v>
      </c>
      <c r="E9" s="4" t="n">
        <v>109.77</v>
      </c>
      <c r="F9" s="4" t="n">
        <v>606.55</v>
      </c>
      <c r="G9" s="4" t="n">
        <v>18.63</v>
      </c>
      <c r="H9" s="4" t="n">
        <v>0.6</v>
      </c>
      <c r="I9" s="4" t="n">
        <v>44.89</v>
      </c>
      <c r="J9" s="4" t="n">
        <v>23.22</v>
      </c>
      <c r="K9" s="4" t="n">
        <v>14.75</v>
      </c>
      <c r="L9" s="4" t="n">
        <v>35.4</v>
      </c>
      <c r="M9" s="4" t="n">
        <v>61.41</v>
      </c>
      <c r="N9" s="21">
        <f>SUM(E9:M9)</f>
        <v/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46302</v>
      </c>
      <c r="E10" s="4" t="n">
        <v>109.91</v>
      </c>
      <c r="F10" s="4" t="n">
        <v>599.3099999999999</v>
      </c>
      <c r="G10" s="4" t="n">
        <v>18.4</v>
      </c>
      <c r="H10" s="4" t="n">
        <v>0.6</v>
      </c>
      <c r="I10" s="4" t="n">
        <v>44.95</v>
      </c>
      <c r="J10" s="4" t="n">
        <v>23.2</v>
      </c>
      <c r="K10" s="4" t="n">
        <v>14.75</v>
      </c>
      <c r="L10" s="4" t="n">
        <v>35.4</v>
      </c>
      <c r="M10" s="4" t="n">
        <v>51.25</v>
      </c>
      <c r="N10" s="21">
        <f>SUM(E10:M10)</f>
        <v/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46303</v>
      </c>
      <c r="E11" s="4" t="n">
        <v>20</v>
      </c>
      <c r="F11" s="4" t="n">
        <v>240.26</v>
      </c>
      <c r="G11" s="4" t="n">
        <v>7.38</v>
      </c>
      <c r="H11" s="4" t="n">
        <v>0.24</v>
      </c>
      <c r="I11" s="4" t="n">
        <v>35.99</v>
      </c>
      <c r="J11" s="4" t="n">
        <v>4.97</v>
      </c>
      <c r="K11" s="4" t="n">
        <v>14.75</v>
      </c>
      <c r="L11" s="4" t="n">
        <v>35.4</v>
      </c>
      <c r="M11" s="4" t="n">
        <v>41.09</v>
      </c>
      <c r="N11" s="21">
        <f>SUM(E11:M11)</f>
        <v/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46303</v>
      </c>
      <c r="E12" s="4" t="n">
        <v>71.98999999999999</v>
      </c>
      <c r="F12" s="4" t="n">
        <v>239.94</v>
      </c>
      <c r="G12" s="4" t="n">
        <v>7.37</v>
      </c>
      <c r="H12" s="4" t="n">
        <v>0.24</v>
      </c>
      <c r="I12" s="4" t="n">
        <v>35.99</v>
      </c>
      <c r="J12" s="4" t="n">
        <v>14.33</v>
      </c>
      <c r="K12" s="4" t="n">
        <v>14.75</v>
      </c>
      <c r="L12" s="4" t="n">
        <v>35.4</v>
      </c>
      <c r="M12" s="4" t="n">
        <v>49.24</v>
      </c>
      <c r="N12" s="21">
        <f>SUM(E12:M12)</f>
        <v/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46303</v>
      </c>
      <c r="E13" s="4" t="n">
        <v>20</v>
      </c>
      <c r="F13" s="4" t="n">
        <v>240.59</v>
      </c>
      <c r="G13" s="4" t="n">
        <v>7.39</v>
      </c>
      <c r="H13" s="4" t="n">
        <v>0.24</v>
      </c>
      <c r="I13" s="4" t="n">
        <v>36.09</v>
      </c>
      <c r="J13" s="4" t="n">
        <v>4.97</v>
      </c>
      <c r="K13" s="4" t="n">
        <v>14.75</v>
      </c>
      <c r="L13" s="4" t="n">
        <v>35.4</v>
      </c>
      <c r="M13" s="4" t="n">
        <v>50.25</v>
      </c>
      <c r="N13" s="21">
        <f>SUM(E13:M13)</f>
        <v/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46303</v>
      </c>
      <c r="E14" s="4" t="n">
        <v>71.87</v>
      </c>
      <c r="F14" s="4" t="n">
        <v>239.52</v>
      </c>
      <c r="G14" s="4" t="n">
        <v>7.35</v>
      </c>
      <c r="H14" s="4" t="n">
        <v>0.24</v>
      </c>
      <c r="I14" s="4" t="n">
        <v>35.93</v>
      </c>
      <c r="J14" s="4" t="n">
        <v>14.3</v>
      </c>
      <c r="K14" s="4" t="n">
        <v>14.75</v>
      </c>
      <c r="L14" s="4" t="n">
        <v>35.4</v>
      </c>
      <c r="M14" s="4" t="n">
        <v>40.96</v>
      </c>
      <c r="N14" s="21">
        <f>SUM(E14:M14)</f>
        <v/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inlineStr"/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14.75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inlineStr"/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14.75</v>
      </c>
      <c r="L16" s="4" t="n">
        <v>0</v>
      </c>
      <c r="M16" s="4" t="n">
        <v>0</v>
      </c>
      <c r="N16" s="21">
        <f>SUM(E16:M16)</f>
        <v/>
      </c>
    </row>
    <row r="17">
      <c r="A17" s="3" t="inlineStr">
        <is>
          <t>TOTAL</t>
        </is>
      </c>
      <c r="E17" s="32">
        <f>SUM(E4:E16)</f>
        <v/>
      </c>
      <c r="F17" s="32">
        <f>SUM(F4:F16)</f>
        <v/>
      </c>
      <c r="G17" s="32">
        <f>SUM(G4:G16)</f>
        <v/>
      </c>
      <c r="H17" s="32">
        <f>SUM(H4:H16)</f>
        <v/>
      </c>
      <c r="I17" s="32">
        <f>SUM(I4:I16)</f>
        <v/>
      </c>
      <c r="J17" s="32">
        <f>SUM(J4:J16)</f>
        <v/>
      </c>
      <c r="K17" s="32">
        <f>SUM(K4:K16)</f>
        <v/>
      </c>
      <c r="L17" s="32">
        <f>SUM(L4:L16)</f>
        <v/>
      </c>
      <c r="M17" s="32">
        <f>SUM(M4:M16)</f>
        <v/>
      </c>
      <c r="N17" s="32">
        <f>SUM(N4:N16)</f>
        <v/>
      </c>
    </row>
  </sheetData>
  <autoFilter ref="A3:N16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2026-10</t>
        </is>
      </c>
      <c r="B5" s="20">
        <f>COUNTIFS('Trade Log'!$G$4:$G$503,"&gt;="&amp;DATE(2026,10,1),'Trade Log'!$G$4:$G$503,"&lt;"&amp;DATE(2026,11,1))</f>
        <v/>
      </c>
      <c r="C5" s="20">
        <f>COUNTIFS('Trade Log'!$G$4:$G$503,"&gt;="&amp;DATE(2026,10,1),'Trade Log'!$G$4:$G$503,"&lt;"&amp;DATE(2026,11,1),'Trade Log'!$L$4:$L$503,"&gt;0")</f>
        <v/>
      </c>
      <c r="D5" s="20">
        <f>COUNTIFS('Trade Log'!$G$4:$G$503,"&gt;="&amp;DATE(2026,10,1),'Trade Log'!$G$4:$G$503,"&lt;"&amp;DATE(2026,11,1),'Trade Log'!$L$4:$L$503,"&lt;0")</f>
        <v/>
      </c>
      <c r="E5" s="22">
        <f>IFERROR($C5/$B5,"")</f>
        <v/>
      </c>
      <c r="F5" s="21">
        <f>SUMIFS('Trade Log'!$I$4:$I$503,'Trade Log'!$G$4:$G$503,"&gt;="&amp;DATE(2026,10,1),'Trade Log'!$G$4:$G$503,"&lt;"&amp;DATE(2026,11,1))</f>
        <v/>
      </c>
      <c r="G5" s="21">
        <f>SUMIFS('Trade Log'!$L$4:$L$503,'Trade Log'!$G$4:$G$503,"&gt;="&amp;DATE(2026,10,1),'Trade Log'!$G$4:$G$503,"&lt;"&amp;DATE(2026,11,1))</f>
        <v/>
      </c>
      <c r="H5" s="21">
        <f>IFERROR($G5/$B5,"")</f>
        <v/>
      </c>
      <c r="I5" s="21">
        <f>IFERROR(_xlfn.MAXIFS('Trade Log'!$L$4:$L$503,'Trade Log'!$G$4:$G$503,"&gt;="&amp;DATE(2026,10,1),'Trade Log'!$G$4:$G$503,"&lt;"&amp;DATE(2026,11,1)),"")</f>
        <v/>
      </c>
      <c r="J5" s="21">
        <f>IFERROR(_xlfn.MINIFS('Trade Log'!$L$4:$L$503,'Trade Log'!$G$4:$G$503,"&gt;="&amp;DATE(2026,10,1),'Trade Log'!$G$4:$G$503,"&lt;"&amp;DATE(2026,11,1)),"")</f>
        <v/>
      </c>
      <c r="K5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6">
      <c r="A6" s="3" t="inlineStr">
        <is>
          <t>TOTAL</t>
        </is>
      </c>
      <c r="B6" s="30">
        <f>SUM(B5:B5)</f>
        <v/>
      </c>
      <c r="C6" s="30">
        <f>SUM(C5:C5)</f>
        <v/>
      </c>
      <c r="D6" s="30">
        <f>SUM(D5:D5)</f>
        <v/>
      </c>
      <c r="E6" s="31">
        <f>IFERROR(C6/B6,"")</f>
        <v/>
      </c>
      <c r="F6" s="32">
        <f>SUM(F5:F5)</f>
        <v/>
      </c>
      <c r="G6" s="32">
        <f>SUM(G5:G5)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  <row r="8">
      <c r="A8" s="3" t="inlineStr">
        <is>
          <t>WEEKLY PnL</t>
        </is>
      </c>
    </row>
    <row r="9">
      <c r="A9" s="19" t="inlineStr">
        <is>
          <t>Period</t>
        </is>
      </c>
      <c r="B9" s="19" t="inlineStr">
        <is>
          <t>Trades</t>
        </is>
      </c>
      <c r="C9" s="19" t="inlineStr">
        <is>
          <t>Wins</t>
        </is>
      </c>
      <c r="D9" s="19" t="inlineStr">
        <is>
          <t>Losses</t>
        </is>
      </c>
      <c r="E9" s="19" t="inlineStr">
        <is>
          <t>Win Rate</t>
        </is>
      </c>
      <c r="F9" s="19" t="inlineStr">
        <is>
          <t>Gross P&amp;L</t>
        </is>
      </c>
      <c r="G9" s="19" t="inlineStr">
        <is>
          <t>Net P&amp;L</t>
        </is>
      </c>
      <c r="H9" s="19" t="inlineStr">
        <is>
          <t>Avg Net P&amp;L / Trade</t>
        </is>
      </c>
      <c r="I9" s="19" t="inlineStr">
        <is>
          <t>Best Trade</t>
        </is>
      </c>
      <c r="J9" s="19" t="inlineStr">
        <is>
          <t>Worst Trade</t>
        </is>
      </c>
      <c r="K9" s="19" t="inlineStr">
        <is>
          <t>Profit Factor</t>
        </is>
      </c>
    </row>
    <row r="10">
      <c r="A10" s="28" t="n">
        <v>46300</v>
      </c>
      <c r="B10" s="20">
        <f>COUNTIFS('Trade Log'!$G$4:$G$503,"&gt;="&amp;DATE(2026,10,5),'Trade Log'!$G$4:$G$503,"&lt;"&amp;DATE(2026,10,12))</f>
        <v/>
      </c>
      <c r="C10" s="20">
        <f>COUNTIFS('Trade Log'!$G$4:$G$503,"&gt;="&amp;DATE(2026,10,5),'Trade Log'!$G$4:$G$503,"&lt;"&amp;DATE(2026,10,12),'Trade Log'!$L$4:$L$503,"&gt;0")</f>
        <v/>
      </c>
      <c r="D10" s="20">
        <f>COUNTIFS('Trade Log'!$G$4:$G$503,"&gt;="&amp;DATE(2026,10,5),'Trade Log'!$G$4:$G$503,"&lt;"&amp;DATE(2026,10,12),'Trade Log'!$L$4:$L$503,"&lt;0")</f>
        <v/>
      </c>
      <c r="E10" s="22">
        <f>IFERROR($C10/$B10,"")</f>
        <v/>
      </c>
      <c r="F10" s="21">
        <f>SUMIFS('Trade Log'!$I$4:$I$503,'Trade Log'!$G$4:$G$503,"&gt;="&amp;DATE(2026,10,5),'Trade Log'!$G$4:$G$503,"&lt;"&amp;DATE(2026,10,12))</f>
        <v/>
      </c>
      <c r="G10" s="21">
        <f>SUMIFS('Trade Log'!$L$4:$L$503,'Trade Log'!$G$4:$G$503,"&gt;="&amp;DATE(2026,10,5),'Trade Log'!$G$4:$G$503,"&lt;"&amp;DATE(2026,10,12))</f>
        <v/>
      </c>
      <c r="H10" s="21">
        <f>IFERROR($G10/$B10,"")</f>
        <v/>
      </c>
      <c r="I10" s="21">
        <f>IFERROR(_xlfn.MAXIFS('Trade Log'!$L$4:$L$503,'Trade Log'!$G$4:$G$503,"&gt;="&amp;DATE(2026,10,5),'Trade Log'!$G$4:$G$503,"&lt;"&amp;DATE(2026,10,12)),"")</f>
        <v/>
      </c>
      <c r="J10" s="21">
        <f>IFERROR(_xlfn.MINIFS('Trade Log'!$L$4:$L$503,'Trade Log'!$G$4:$G$503,"&gt;="&amp;DATE(2026,10,5),'Trade Log'!$G$4:$G$503,"&lt;"&amp;DATE(2026,10,12)),"")</f>
        <v/>
      </c>
      <c r="K10" s="29">
        <f>IFERROR(SUMIFS('Trade Log'!$L$4:$L$503,'Trade Log'!$G$4:$G$503,"&gt;="&amp;DATE(2026,10,5),'Trade Log'!$G$4:$G$503,"&lt;"&amp;DATE(2026,10,12),'Trade Log'!$L$4:$L$503,"&gt;0")/ABS(SUMIFS('Trade Log'!$L$4:$L$503,'Trade Log'!$G$4:$G$503,"&gt;="&amp;DATE(2026,10,5),'Trade Log'!$G$4:$G$503,"&lt;"&amp;DATE(2026,10,12),'Trade Log'!$L$4:$L$503,"&lt;0")),"")</f>
        <v/>
      </c>
    </row>
    <row r="11">
      <c r="A11" s="3" t="inlineStr">
        <is>
          <t>TOTAL</t>
        </is>
      </c>
      <c r="B11" s="30">
        <f>SUM(B10:B10)</f>
        <v/>
      </c>
      <c r="C11" s="30">
        <f>SUM(C10:C10)</f>
        <v/>
      </c>
      <c r="D11" s="30">
        <f>SUM(D10:D10)</f>
        <v/>
      </c>
      <c r="E11" s="31">
        <f>IFERROR(C11/B11,"")</f>
        <v/>
      </c>
      <c r="F11" s="32">
        <f>SUM(F10:F10)</f>
        <v/>
      </c>
      <c r="G11" s="32">
        <f>SUM(G10:G10)</f>
        <v/>
      </c>
      <c r="H11" s="32">
        <f>IFERROR(G11/B11,"")</f>
        <v/>
      </c>
      <c r="K11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2026-10-08T10:16:31Z</dcterms:created>
  <dcterms:modified xmlns:dcterms="http://purl.org/dc/terms/" xmlns:xsi="http://www.w3.org/2001/XMLSchema-instance" xsi:type="dcterms:W3CDTF">2026-10-08T10:16:31Z</dcterms:modified>
</cp:coreProperties>
</file>