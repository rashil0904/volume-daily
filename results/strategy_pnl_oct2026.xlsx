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'Charges'!$A$3:$N$66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46300</v>
      </c>
      <c r="E4" s="25" t="n">
        <v>85.79989999999999</v>
      </c>
      <c r="F4" s="26" t="n">
        <v>1752</v>
      </c>
      <c r="G4" s="24" t="n">
        <v>46301</v>
      </c>
      <c r="H4" s="25" t="n">
        <v>85.81999999999999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349.23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10-15</t>
        </is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46300</v>
      </c>
      <c r="E5" s="25" t="n">
        <v>2108.8394</v>
      </c>
      <c r="F5" s="26" t="n">
        <v>71</v>
      </c>
      <c r="G5" s="24" t="n">
        <v>46301</v>
      </c>
      <c r="H5" s="25" t="n">
        <v>1945.5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192.54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10-15</t>
        </is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46300</v>
      </c>
      <c r="E6" s="25" t="n">
        <v>679.0067</v>
      </c>
      <c r="F6" s="26" t="n">
        <v>442</v>
      </c>
      <c r="G6" s="24" t="n">
        <v>46301</v>
      </c>
      <c r="H6" s="25" t="n">
        <v>660.0599999999999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955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5-10</t>
        </is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46300</v>
      </c>
      <c r="E7" s="25" t="n">
        <v>113.9808</v>
      </c>
      <c r="F7" s="26" t="n">
        <v>2624</v>
      </c>
      <c r="G7" s="24" t="n">
        <v>46301</v>
      </c>
      <c r="H7" s="25" t="n">
        <v>109.23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819.03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15-20</t>
        </is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46301</v>
      </c>
      <c r="E8" s="25" t="n">
        <v>1297.2208</v>
      </c>
      <c r="F8" s="26" t="n">
        <v>231</v>
      </c>
      <c r="G8" s="24" t="n">
        <v>46302</v>
      </c>
      <c r="H8" s="25" t="n">
        <v>1280.57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857.26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10-15</t>
        </is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46301</v>
      </c>
      <c r="E9" s="25" t="n">
        <v>228.9869</v>
      </c>
      <c r="F9" s="26" t="n">
        <v>1307</v>
      </c>
      <c r="G9" s="24" t="n">
        <v>46302</v>
      </c>
      <c r="H9" s="25" t="n">
        <v>235.36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969.46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5-10</t>
        </is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46301</v>
      </c>
      <c r="E10" s="25" t="n">
        <v>1238.3789</v>
      </c>
      <c r="F10" s="26" t="n">
        <v>242</v>
      </c>
      <c r="G10" s="24" t="n">
        <v>46302</v>
      </c>
      <c r="H10" s="25" t="n">
        <v>1238.1025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943.03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10-15</t>
        </is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46302</v>
      </c>
      <c r="E11" s="25" t="n">
        <v>103.743</v>
      </c>
      <c r="F11" s="26" t="n">
        <v>2316</v>
      </c>
      <c r="G11" s="24" t="n">
        <v>46303</v>
      </c>
      <c r="H11" s="25" t="n">
        <v>103.7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691.25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5-10</t>
        </is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46302</v>
      </c>
      <c r="E12" s="25" t="n">
        <v>129.8444</v>
      </c>
      <c r="F12" s="26" t="n">
        <v>1848</v>
      </c>
      <c r="G12" s="24" t="n">
        <v>46303</v>
      </c>
      <c r="H12" s="25" t="n">
        <v>125.94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756.37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5-10</t>
        </is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46302</v>
      </c>
      <c r="E13" s="25" t="n">
        <v>257.0405</v>
      </c>
      <c r="F13" s="26" t="n">
        <v>936</v>
      </c>
      <c r="G13" s="24" t="n">
        <v>46303</v>
      </c>
      <c r="H13" s="25" t="n">
        <v>238.86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687.97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5-10</t>
        </is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46302</v>
      </c>
      <c r="E14" s="25" t="n">
        <v>622.1242</v>
      </c>
      <c r="F14" s="26" t="n">
        <v>385</v>
      </c>
      <c r="G14" s="24" t="n">
        <v>46303</v>
      </c>
      <c r="H14" s="25" t="n">
        <v>636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683.86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10-15</t>
        </is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46303</v>
      </c>
      <c r="E15" s="25" t="n">
        <v>157.0151</v>
      </c>
      <c r="F15" s="26" t="n">
        <v>858</v>
      </c>
      <c r="G15" s="24" t="n">
        <v>46304</v>
      </c>
      <c r="H15" s="25" t="n">
        <v>158.01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315.57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5-10</t>
        </is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46303</v>
      </c>
      <c r="E16" s="25" t="n">
        <v>705.2641</v>
      </c>
      <c r="F16" s="26" t="n">
        <v>213</v>
      </c>
      <c r="G16" s="24" t="n">
        <v>46304</v>
      </c>
      <c r="H16" s="25" t="n">
        <v>693.37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254.86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10-15</t>
        </is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46304</v>
      </c>
      <c r="E17" s="25" t="n">
        <v>129.4349</v>
      </c>
      <c r="F17" s="26" t="n">
        <v>1547</v>
      </c>
      <c r="G17" s="24" t="n">
        <v>46307</v>
      </c>
      <c r="H17" s="25" t="n">
        <v>121.63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660.9299999999999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10-15</t>
        </is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46304</v>
      </c>
      <c r="E18" s="25" t="n">
        <v>20.9882</v>
      </c>
      <c r="F18" s="26" t="n">
        <v>3589</v>
      </c>
      <c r="G18" s="24" t="n">
        <v>46307</v>
      </c>
      <c r="H18" s="25" t="n">
        <v>21.55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150.64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5-10</t>
        </is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46304</v>
      </c>
      <c r="E19" s="25" t="n">
        <v>274.9019</v>
      </c>
      <c r="F19" s="26" t="n">
        <v>727</v>
      </c>
      <c r="G19" s="24" t="n">
        <v>46307</v>
      </c>
      <c r="H19" s="25" t="n">
        <v>263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666.78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10-15</t>
        </is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46304</v>
      </c>
      <c r="E20" s="25" t="n">
        <v>138.9161</v>
      </c>
      <c r="F20" s="26" t="n">
        <v>1443</v>
      </c>
      <c r="G20" s="24" t="n">
        <v>46307</v>
      </c>
      <c r="H20" s="25" t="n">
        <v>140.87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676.85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5-10</t>
        </is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46304</v>
      </c>
      <c r="E21" s="25" t="n">
        <v>115.2011</v>
      </c>
      <c r="F21" s="26" t="n">
        <v>864</v>
      </c>
      <c r="G21" s="24" t="n">
        <v>46307</v>
      </c>
      <c r="H21" s="25" t="n">
        <v>115.68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236.62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5-10</t>
        </is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46304</v>
      </c>
      <c r="E22" s="25" t="n">
        <v>1228.0927</v>
      </c>
      <c r="F22" s="26" t="n">
        <v>164</v>
      </c>
      <c r="G22" s="24" t="n">
        <v>46307</v>
      </c>
      <c r="H22" s="25" t="n">
        <v>1195.11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658.45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10-15</t>
        </is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46307</v>
      </c>
      <c r="E23" s="25" t="n">
        <v>157.2127</v>
      </c>
      <c r="F23" s="26" t="n">
        <v>1095</v>
      </c>
      <c r="G23" s="24" t="n">
        <v>46308</v>
      </c>
      <c r="H23" s="25" t="n">
        <v>162.33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419.65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5-10</t>
        </is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25" t="n">
        <v>162.42</v>
      </c>
      <c r="F24" s="26" t="n">
        <v>1095</v>
      </c>
      <c r="G24" s="24" t="n">
        <v>46308</v>
      </c>
      <c r="H24" s="25" t="n">
        <v>158.62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218.69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5-10</t>
        </is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46307</v>
      </c>
      <c r="E25" s="25" t="n">
        <v>564.8409</v>
      </c>
      <c r="F25" s="26" t="n">
        <v>303</v>
      </c>
      <c r="G25" s="24" t="n">
        <v>46308</v>
      </c>
      <c r="H25" s="25" t="n">
        <v>581.02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557.26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10-15</t>
        </is>
      </c>
    </row>
    <row r="26">
      <c r="A26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6" s="23" t="inlineStr">
        <is>
          <t>MMWL</t>
        </is>
      </c>
      <c r="C26" s="23" t="inlineStr">
        <is>
          <t>LONG</t>
        </is>
      </c>
      <c r="D26" s="24" t="n">
        <v>46307</v>
      </c>
      <c r="E26" s="25" t="n">
        <v>22.8999</v>
      </c>
      <c r="F26" s="26" t="n">
        <v>3742</v>
      </c>
      <c r="G26" s="24" t="n">
        <v>46308</v>
      </c>
      <c r="H26" s="25" t="n">
        <v>23.18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143.56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5-10</t>
        </is>
      </c>
    </row>
    <row r="27">
      <c r="A27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7" s="23" t="inlineStr">
        <is>
          <t>PRINCEPIPE</t>
        </is>
      </c>
      <c r="C27" s="23" t="inlineStr">
        <is>
          <t>LONG</t>
        </is>
      </c>
      <c r="D27" s="24" t="n">
        <v>46307</v>
      </c>
      <c r="E27" s="25" t="n">
        <v>267.6149</v>
      </c>
      <c r="F27" s="26" t="n">
        <v>641</v>
      </c>
      <c r="G27" s="24" t="n">
        <v>46308</v>
      </c>
      <c r="H27" s="25" t="n">
        <v>262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547.5700000000001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5-10</t>
        </is>
      </c>
    </row>
    <row r="28">
      <c r="A28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8" s="23" t="inlineStr">
        <is>
          <t>SWARAJENG</t>
        </is>
      </c>
      <c r="C28" s="23" t="inlineStr">
        <is>
          <t>LONG</t>
        </is>
      </c>
      <c r="D28" s="24" t="n">
        <v>46307</v>
      </c>
      <c r="E28" s="25" t="n">
        <v>3741.3844</v>
      </c>
      <c r="F28" s="26" t="n">
        <v>45</v>
      </c>
      <c r="G28" s="24" t="n">
        <v>46308</v>
      </c>
      <c r="H28" s="25" t="n">
        <v>3721.09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547.83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5-10</t>
        </is>
      </c>
    </row>
    <row r="29">
      <c r="A29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9" s="23" t="inlineStr">
        <is>
          <t>CMLL</t>
        </is>
      </c>
      <c r="C29" s="23" t="inlineStr">
        <is>
          <t>LONG</t>
        </is>
      </c>
      <c r="D29" s="24" t="n">
        <v>46308</v>
      </c>
      <c r="E29" s="25" t="n">
        <v>617.1578</v>
      </c>
      <c r="F29" s="26" t="n">
        <v>277</v>
      </c>
      <c r="G29" s="24" t="n">
        <v>46309</v>
      </c>
      <c r="H29" s="25" t="n">
        <v>608.04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554.61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10-15</t>
        </is>
      </c>
    </row>
    <row r="30">
      <c r="A30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30" s="23" t="inlineStr">
        <is>
          <t>HATHWAY</t>
        </is>
      </c>
      <c r="C30" s="23" t="inlineStr">
        <is>
          <t>LONG</t>
        </is>
      </c>
      <c r="D30" s="24" t="n">
        <v>46308</v>
      </c>
      <c r="E30" s="25" t="n">
        <v>11.158</v>
      </c>
      <c r="F30" s="26" t="n">
        <v>15360</v>
      </c>
      <c r="G30" s="24" t="n">
        <v>46309</v>
      </c>
      <c r="H30" s="25" t="n">
        <v>11.14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550.6900000000001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10-15</t>
        </is>
      </c>
    </row>
    <row r="31">
      <c r="A31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1" s="23" t="inlineStr">
        <is>
          <t>INDIAGLYCO</t>
        </is>
      </c>
      <c r="C31" s="23" t="inlineStr">
        <is>
          <t>LONG</t>
        </is>
      </c>
      <c r="D31" s="24" t="n">
        <v>46308</v>
      </c>
      <c r="E31" s="25" t="n">
        <v>352.906</v>
      </c>
      <c r="F31" s="26" t="n">
        <v>243</v>
      </c>
      <c r="G31" s="24" t="n">
        <v>46309</v>
      </c>
      <c r="H31" s="25" t="n">
        <v>358.7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207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5-10</t>
        </is>
      </c>
    </row>
    <row r="32">
      <c r="A32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2" s="23" t="inlineStr">
        <is>
          <t>INDOKEM</t>
        </is>
      </c>
      <c r="C32" s="23" t="inlineStr">
        <is>
          <t>LONG</t>
        </is>
      </c>
      <c r="D32" s="24" t="n">
        <v>46308</v>
      </c>
      <c r="E32" s="25" t="n">
        <v>677.9853000000001</v>
      </c>
      <c r="F32" s="26" t="n">
        <v>126</v>
      </c>
      <c r="G32" s="24" t="n">
        <v>46309</v>
      </c>
      <c r="H32" s="25" t="n">
        <v>654.8135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116.19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10-15</t>
        </is>
      </c>
    </row>
    <row r="33">
      <c r="A33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3" s="23" t="inlineStr">
        <is>
          <t>PIXTRANS</t>
        </is>
      </c>
      <c r="C33" s="23" t="inlineStr">
        <is>
          <t>LONG</t>
        </is>
      </c>
      <c r="D33" s="24" t="n">
        <v>46308</v>
      </c>
      <c r="E33" s="25" t="n">
        <v>1889.5856</v>
      </c>
      <c r="F33" s="26" t="n">
        <v>90</v>
      </c>
      <c r="G33" s="24" t="n">
        <v>46309</v>
      </c>
      <c r="H33" s="25" t="n">
        <v>1923.39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550.84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5-10</t>
        </is>
      </c>
    </row>
    <row r="34">
      <c r="A34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4" s="23" t="inlineStr">
        <is>
          <t>PNCINFRA</t>
        </is>
      </c>
      <c r="C34" s="23" t="inlineStr">
        <is>
          <t>LONG</t>
        </is>
      </c>
      <c r="D34" s="24" t="n">
        <v>46308</v>
      </c>
      <c r="E34" s="25" t="n">
        <v>156.7238</v>
      </c>
      <c r="F34" s="26" t="n">
        <v>1086</v>
      </c>
      <c r="G34" s="24" t="n">
        <v>46309</v>
      </c>
      <c r="H34" s="25" t="n">
        <v>169.79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426.01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10-15</t>
        </is>
      </c>
    </row>
    <row r="35">
      <c r="A35" s="23" t="inlineStr">
        <is>
          <t>DHAN-34126101478009</t>
        </is>
      </c>
      <c r="B35" s="23" t="inlineStr">
        <is>
          <t>PNCINFRA</t>
        </is>
      </c>
      <c r="C35" s="23" t="inlineStr">
        <is>
          <t>SHORT</t>
        </is>
      </c>
      <c r="D35" s="24" t="n">
        <v>46309</v>
      </c>
      <c r="E35" s="25" t="n">
        <v>169.61</v>
      </c>
      <c r="F35" s="26" t="n">
        <v>1086</v>
      </c>
      <c r="G35" s="24" t="n">
        <v>46309</v>
      </c>
      <c r="H35" s="25" t="n">
        <v>161.13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223.78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10-15</t>
        </is>
      </c>
    </row>
    <row r="36">
      <c r="A36" s="23" t="inlineStr">
        <is>
          <t>DHAN-221261013592909+23126101376109+321261013572209+23126101376609+321261013572609+321261013573209+321261013573809+221261013596209+34126101379109+34126101379209+221261013597909</t>
        </is>
      </c>
      <c r="B36" s="23" t="inlineStr">
        <is>
          <t>SHRINGARMS</t>
        </is>
      </c>
      <c r="C36" s="23" t="inlineStr">
        <is>
          <t>LONG</t>
        </is>
      </c>
      <c r="D36" s="24" t="n">
        <v>46308</v>
      </c>
      <c r="E36" s="25" t="n">
        <v>311.7565</v>
      </c>
      <c r="F36" s="26" t="n">
        <v>549</v>
      </c>
      <c r="G36" s="24" t="n">
        <v>46309</v>
      </c>
      <c r="H36" s="25" t="n">
        <v>315.82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553.03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15-20</t>
        </is>
      </c>
    </row>
    <row r="37">
      <c r="A37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7" s="23" t="inlineStr">
        <is>
          <t>JINDALPOLY</t>
        </is>
      </c>
      <c r="C37" s="23" t="inlineStr">
        <is>
          <t>LONG</t>
        </is>
      </c>
      <c r="D37" s="24" t="n">
        <v>46309</v>
      </c>
      <c r="E37" s="25" t="n">
        <v>726.3234</v>
      </c>
      <c r="F37" s="26" t="n">
        <v>201</v>
      </c>
      <c r="G37" s="24" t="n">
        <v>46310</v>
      </c>
      <c r="H37" s="25" t="n">
        <v>708.0599999999999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477.89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10-15</t>
        </is>
      </c>
    </row>
    <row r="38">
      <c r="A38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8" s="23" t="inlineStr">
        <is>
          <t>KROSS</t>
        </is>
      </c>
      <c r="C38" s="23" t="inlineStr">
        <is>
          <t>LONG</t>
        </is>
      </c>
      <c r="D38" s="24" t="n">
        <v>46309</v>
      </c>
      <c r="E38" s="25" t="n">
        <v>271.509</v>
      </c>
      <c r="F38" s="26" t="n">
        <v>737</v>
      </c>
      <c r="G38" s="24" t="n">
        <v>46310</v>
      </c>
      <c r="H38" s="25" t="n">
        <v>270.99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624.05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10-15</t>
        </is>
      </c>
    </row>
    <row r="39">
      <c r="A39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9" s="23" t="inlineStr">
        <is>
          <t>NIBE</t>
        </is>
      </c>
      <c r="C39" s="23" t="inlineStr">
        <is>
          <t>LONG</t>
        </is>
      </c>
      <c r="D39" s="24" t="n">
        <v>46309</v>
      </c>
      <c r="E39" s="25" t="n">
        <v>1380.7368</v>
      </c>
      <c r="F39" s="26" t="n">
        <v>144</v>
      </c>
      <c r="G39" s="24" t="n">
        <v>46310</v>
      </c>
      <c r="H39" s="25" t="n">
        <v>1334.24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614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10-15</t>
        </is>
      </c>
    </row>
    <row r="40">
      <c r="A40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40" s="23" t="inlineStr">
        <is>
          <t>RUBYMILLS</t>
        </is>
      </c>
      <c r="C40" s="23" t="inlineStr">
        <is>
          <t>LONG</t>
        </is>
      </c>
      <c r="D40" s="24" t="n">
        <v>46309</v>
      </c>
      <c r="E40" s="25" t="n">
        <v>541.4497</v>
      </c>
      <c r="F40" s="26" t="n">
        <v>184</v>
      </c>
      <c r="G40" s="24" t="n">
        <v>46310</v>
      </c>
      <c r="H40" s="25" t="n">
        <v>554.2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238.83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5-10</t>
        </is>
      </c>
    </row>
    <row r="41">
      <c r="A41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1" s="23" t="inlineStr">
        <is>
          <t>SIMPLEXINF</t>
        </is>
      </c>
      <c r="C41" s="23" t="inlineStr">
        <is>
          <t>LONG</t>
        </is>
      </c>
      <c r="D41" s="24" t="n">
        <v>46309</v>
      </c>
      <c r="E41" s="25" t="n">
        <v>266.801</v>
      </c>
      <c r="F41" s="26" t="n">
        <v>749</v>
      </c>
      <c r="G41" s="24" t="n">
        <v>46310</v>
      </c>
      <c r="H41" s="25" t="n">
        <v>265.57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592.42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5-10</t>
        </is>
      </c>
    </row>
    <row r="42">
      <c r="A42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42" s="23" t="inlineStr">
        <is>
          <t>SPORTKING</t>
        </is>
      </c>
      <c r="C42" s="23" t="inlineStr">
        <is>
          <t>LONG</t>
        </is>
      </c>
      <c r="D42" s="24" t="n">
        <v>46309</v>
      </c>
      <c r="E42" s="25" t="n">
        <v>226.1107</v>
      </c>
      <c r="F42" s="26" t="n">
        <v>885</v>
      </c>
      <c r="G42" s="24" t="n">
        <v>46310</v>
      </c>
      <c r="H42" s="25" t="n">
        <v>226.89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618.36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5-10</t>
        </is>
      </c>
    </row>
    <row r="43">
      <c r="A43" s="23" t="inlineStr">
        <is>
          <t>DHAN-321261015672409+231261015159509+341261015154309+321261015674209+231261015159809+321261015674909+341261015154809+221261015678909+321261015675709+221261015679609+231261015160509</t>
        </is>
      </c>
      <c r="B43" s="23" t="inlineStr">
        <is>
          <t>JAICORPLTD</t>
        </is>
      </c>
      <c r="C43" s="23" t="inlineStr">
        <is>
          <t>LONG</t>
        </is>
      </c>
      <c r="D43" s="24" t="n">
        <v>46310</v>
      </c>
      <c r="E43" s="25" t="n">
        <v>95.05800000000001</v>
      </c>
      <c r="F43" s="26" t="n">
        <v>3153</v>
      </c>
      <c r="G43" s="24" t="n">
        <v>46311</v>
      </c>
      <c r="H43" s="25" t="n">
        <v>94.26000000000001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924.64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5-10</t>
        </is>
      </c>
    </row>
    <row r="44">
      <c r="A44" s="23" t="inlineStr">
        <is>
          <t>DHAN-341261015154009+321261015672609+221261015677509+321261015674109+321261015674709+341261015154709+231261015160109+341261015154909+221261015679409+341261015155209+321261015676109</t>
        </is>
      </c>
      <c r="B44" s="23" t="inlineStr">
        <is>
          <t>OAL</t>
        </is>
      </c>
      <c r="C44" s="23" t="inlineStr">
        <is>
          <t>LONG</t>
        </is>
      </c>
      <c r="D44" s="24" t="n">
        <v>46310</v>
      </c>
      <c r="E44" s="25" t="n">
        <v>578.2952</v>
      </c>
      <c r="F44" s="26" t="n">
        <v>258</v>
      </c>
      <c r="G44" s="24" t="n">
        <v>46311</v>
      </c>
      <c r="H44" s="25" t="n">
        <v>585.09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348.51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10-15</t>
        </is>
      </c>
    </row>
    <row r="45">
      <c r="A45" s="23" t="inlineStr">
        <is>
          <t>DHAN-341261015153909+221261015677009+321261015673209+231261015159709+231261015159909+231261015160009+221261015678509+321261015675509+231261015160209+231261015160409+341261015155309</t>
        </is>
      </c>
      <c r="B45" s="23" t="inlineStr">
        <is>
          <t>ORIENTELEC</t>
        </is>
      </c>
      <c r="C45" s="23" t="inlineStr">
        <is>
          <t>LONG</t>
        </is>
      </c>
      <c r="D45" s="24" t="n">
        <v>46310</v>
      </c>
      <c r="E45" s="25" t="n">
        <v>201.1512</v>
      </c>
      <c r="F45" s="26" t="n">
        <v>1500</v>
      </c>
      <c r="G45" s="24" t="n">
        <v>46311</v>
      </c>
      <c r="H45" s="25" t="n">
        <v>206.72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945.9299999999999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10-15</t>
        </is>
      </c>
    </row>
    <row r="46">
      <c r="A46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6" s="23" t="inlineStr">
        <is>
          <t>TEAMLEASE</t>
        </is>
      </c>
      <c r="C46" s="23" t="inlineStr">
        <is>
          <t>LONG</t>
        </is>
      </c>
      <c r="D46" s="24" t="n">
        <v>46310</v>
      </c>
      <c r="E46" s="25" t="n">
        <v>1133.7498</v>
      </c>
      <c r="F46" s="26" t="n">
        <v>263</v>
      </c>
      <c r="G46" s="24" t="n">
        <v>46311</v>
      </c>
      <c r="H46" s="25" t="n">
        <v>1124.65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915.9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5-10</t>
        </is>
      </c>
    </row>
    <row r="47">
      <c r="A47" s="23" t="inlineStr">
        <is>
          <t>DHAN-321261016683609+23126101679509+23126101679909+321261016685009+221261016694409+221261016695109+34126101677409+321261016686809+23126101680709+321261016687809+23126101681009+34126101678009</t>
        </is>
      </c>
      <c r="B47" s="23" t="inlineStr">
        <is>
          <t>EUROPRATIK</t>
        </is>
      </c>
      <c r="C47" s="23" t="inlineStr">
        <is>
          <t>LONG</t>
        </is>
      </c>
      <c r="D47" s="24" t="n">
        <v>46311</v>
      </c>
      <c r="E47" s="25" t="n">
        <v>182.5264</v>
      </c>
      <c r="F47" s="26" t="n">
        <v>1636</v>
      </c>
      <c r="G47" s="24" t="n">
        <v>46314</v>
      </c>
      <c r="H47" s="25" t="n">
        <v>185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1027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10-15</t>
        </is>
      </c>
    </row>
    <row r="48">
      <c r="A48" s="23" t="inlineStr">
        <is>
          <t>DHAN-221261016693009+23126101679709+23126101679809+23126101680009+321261016685409+221261016694909+34126101677509+321261016686909+34126101677709+321261016687909+34126101677909</t>
        </is>
      </c>
      <c r="B48" s="23" t="inlineStr">
        <is>
          <t>MBEL</t>
        </is>
      </c>
      <c r="C48" s="23" t="inlineStr">
        <is>
          <t>LONG</t>
        </is>
      </c>
      <c r="D48" s="24" t="n">
        <v>46311</v>
      </c>
      <c r="E48" s="25" t="n">
        <v>287.8416</v>
      </c>
      <c r="F48" s="26" t="n">
        <v>1043</v>
      </c>
      <c r="G48" s="24" t="n">
        <v>46314</v>
      </c>
      <c r="H48" s="25" t="n">
        <v>288.54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1028.69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5-10</t>
        </is>
      </c>
    </row>
    <row r="49">
      <c r="A49" s="23" t="inlineStr">
        <is>
          <t>DHAN-321261016683509+23126101679609+221261016693309+321261016685109+321261016685509+321261016685809+221261016695509+34126101677609+23126101680609+23126101680809+321261016688709+321261016689109+221261016697009+321261016690409</t>
        </is>
      </c>
      <c r="B49" s="23" t="inlineStr">
        <is>
          <t>PARACABLES</t>
        </is>
      </c>
      <c r="C49" s="23" t="inlineStr">
        <is>
          <t>LONG</t>
        </is>
      </c>
      <c r="D49" s="24" t="n">
        <v>46311</v>
      </c>
      <c r="E49" s="25" t="n">
        <v>60.1311</v>
      </c>
      <c r="F49" s="26" t="n">
        <v>4996</v>
      </c>
      <c r="G49" s="24" t="n">
        <v>46314</v>
      </c>
      <c r="H49" s="25" t="n">
        <v>61.08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954.05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5-10</t>
        </is>
      </c>
    </row>
    <row r="50">
      <c r="A50" s="23" t="inlineStr">
        <is>
          <t>DHAN-221261016692909+321261016684009+321261016684509+221261016693809+23126101680109+221261016695009+321261016686109+23126101680509+221261016696009+23126101680909+34126101677809+23126101681109</t>
        </is>
      </c>
      <c r="B50" s="23" t="inlineStr">
        <is>
          <t>SOLARA</t>
        </is>
      </c>
      <c r="C50" s="23" t="inlineStr">
        <is>
          <t>LONG</t>
        </is>
      </c>
      <c r="D50" s="24" t="n">
        <v>46311</v>
      </c>
      <c r="E50" s="25" t="n">
        <v>693.1007</v>
      </c>
      <c r="F50" s="26" t="n">
        <v>434</v>
      </c>
      <c r="G50" s="24" t="n">
        <v>46314</v>
      </c>
      <c r="H50" s="25" t="n">
        <v>705.59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1035.39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5-10</t>
        </is>
      </c>
    </row>
    <row r="51">
      <c r="A51" s="23" t="inlineStr">
        <is>
          <t>DHAN-34126101987109+23126101991809+34126101987209+221261019598509+221261019598809+34126101987509+221261019599809+34126101987609+23126101992109+23126101992209+34126101987809+221261019601409</t>
        </is>
      </c>
      <c r="B51" s="23" t="inlineStr">
        <is>
          <t>JAICORPLTD</t>
        </is>
      </c>
      <c r="C51" s="23" t="inlineStr">
        <is>
          <t>LONG</t>
        </is>
      </c>
      <c r="D51" s="24" t="n">
        <v>46314</v>
      </c>
      <c r="E51" s="25" t="n">
        <v>98.7749</v>
      </c>
      <c r="F51" s="26" t="n">
        <v>3036</v>
      </c>
      <c r="G51" s="24" t="n">
        <v>46316</v>
      </c>
      <c r="H51" s="25" t="n">
        <v>97.3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984.75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5-10</t>
        </is>
      </c>
    </row>
    <row r="52">
      <c r="A52" s="23" t="inlineStr">
        <is>
          <t>DHAN-321261019580109+321261019580509+321261019580809+221261019598309+221261019598909+34126101987409+221261019599909+321261019582809+221261019600309+321261019583209</t>
        </is>
      </c>
      <c r="B52" s="23" t="inlineStr">
        <is>
          <t>KROSS</t>
        </is>
      </c>
      <c r="C52" s="23" t="inlineStr">
        <is>
          <t>LONG</t>
        </is>
      </c>
      <c r="D52" s="24" t="n">
        <v>46314</v>
      </c>
      <c r="E52" s="25" t="n">
        <v>299.18</v>
      </c>
      <c r="F52" s="26" t="n">
        <v>1000</v>
      </c>
      <c r="G52" s="24" t="n">
        <v>46316</v>
      </c>
      <c r="H52" s="25" t="n">
        <v>282.49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940.02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10-15</t>
        </is>
      </c>
    </row>
    <row r="53">
      <c r="A53" s="23" t="inlineStr">
        <is>
          <t>DHAN-221261019597209+321261019580609+23126101992009+221261019598409+34126101987309+221261019599309+221261019599709+221261019600109+221261019600409+23126101992309+221261019601009+23126101992409+23126101992509+221261019602009</t>
        </is>
      </c>
      <c r="B53" s="23" t="inlineStr">
        <is>
          <t>PARACABLES</t>
        </is>
      </c>
      <c r="C53" s="23" t="inlineStr">
        <is>
          <t>LONG</t>
        </is>
      </c>
      <c r="D53" s="24" t="n">
        <v>46314</v>
      </c>
      <c r="E53" s="25" t="n">
        <v>66.7538</v>
      </c>
      <c r="F53" s="26" t="n">
        <v>2246</v>
      </c>
      <c r="G53" s="24" t="n">
        <v>46316</v>
      </c>
      <c r="H53" s="25" t="n">
        <v>66.8359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257.22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5-10</t>
        </is>
      </c>
    </row>
    <row r="54">
      <c r="A54" s="23" t="inlineStr">
        <is>
          <t>DHAN-341261023126009+321261023756709+231261023120709+221261023808609+341261023126109+231261023120809+231261023121009+321261023759509+321261023759709+221261023810109+341261023126409+321261023760109+341261023126709</t>
        </is>
      </c>
      <c r="B54" s="23" t="inlineStr">
        <is>
          <t>FISCHER</t>
        </is>
      </c>
      <c r="C54" s="23" t="inlineStr">
        <is>
          <t>LONG</t>
        </is>
      </c>
      <c r="D54" s="24" t="n">
        <v>46318</v>
      </c>
      <c r="E54" s="25" t="n">
        <v>24.9837</v>
      </c>
      <c r="F54" s="26" t="n">
        <v>6007</v>
      </c>
      <c r="G54" s="24" t="n">
        <v>46321</v>
      </c>
      <c r="H54" s="25" t="n">
        <v>25.7571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222.31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5-10</t>
        </is>
      </c>
    </row>
    <row r="55">
      <c r="A55" s="23" t="inlineStr">
        <is>
          <t>DHAN-23126102637609</t>
        </is>
      </c>
      <c r="B55" s="23" t="inlineStr">
        <is>
          <t>FISCHER</t>
        </is>
      </c>
      <c r="C55" s="23" t="inlineStr">
        <is>
          <t>SHORT</t>
        </is>
      </c>
      <c r="D55" s="24" t="n">
        <v>46321</v>
      </c>
      <c r="E55" s="25" t="n">
        <v>25.7414</v>
      </c>
      <c r="F55" s="26" t="n">
        <v>6007</v>
      </c>
      <c r="G55" s="24" t="n">
        <v>46321</v>
      </c>
      <c r="H55" s="25" t="n">
        <v>26.5045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161.96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5-10</t>
        </is>
      </c>
    </row>
    <row r="56">
      <c r="A56" s="23" t="inlineStr">
        <is>
          <t>DHAN-221261023807609+321261023756809+231261023120609+221261023808709+221261023809309+231261023120909+221261023809609+231261023121109+341261023126209+341261023126309+341261023126509+341261023126609+321261023760409</t>
        </is>
      </c>
      <c r="B56" s="23" t="inlineStr">
        <is>
          <t>JINDALPOLY</t>
        </is>
      </c>
      <c r="C56" s="23" t="inlineStr">
        <is>
          <t>LONG</t>
        </is>
      </c>
      <c r="D56" s="24" t="n">
        <v>46318</v>
      </c>
      <c r="E56" s="25" t="n">
        <v>726.0981</v>
      </c>
      <c r="F56" s="26" t="n">
        <v>410</v>
      </c>
      <c r="G56" s="24" t="n">
        <v>46321</v>
      </c>
      <c r="H56" s="25" t="n">
        <v>696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875.26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10-15</t>
        </is>
      </c>
    </row>
    <row r="57">
      <c r="A57" s="23" t="inlineStr">
        <is>
          <t>DHAN-23126102699709+221261026669809+321261026636409+321261026636909+23126102699809+34126102699309+221261026670609+221261026671109+231261026100009+231261026100109+34126102699609+34126102699709</t>
        </is>
      </c>
      <c r="B57" s="23" t="inlineStr">
        <is>
          <t>INDOSTAR</t>
        </is>
      </c>
      <c r="C57" s="23" t="inlineStr">
        <is>
          <t>LONG</t>
        </is>
      </c>
      <c r="D57" s="24" t="n">
        <v>46321</v>
      </c>
      <c r="E57" s="25" t="n">
        <v>183.525</v>
      </c>
      <c r="F57" s="26" t="n">
        <v>1635</v>
      </c>
      <c r="G57" s="24" t="n">
        <v>46322</v>
      </c>
      <c r="H57" s="25" t="n">
        <v>192.4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933.5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10-15</t>
        </is>
      </c>
    </row>
    <row r="58">
      <c r="A58" s="23" t="inlineStr">
        <is>
          <t>DHAN-34126102781109+34126102781509+23126102780909+34126102781709+321261027587409+23126102781709+321261027588509+221261027607309+23126102782009+34126102783009+23126102782409+221261027608709+23126102782709+321261027592209</t>
        </is>
      </c>
      <c r="B58" s="23" t="inlineStr">
        <is>
          <t>AGIIL</t>
        </is>
      </c>
      <c r="C58" s="23" t="inlineStr">
        <is>
          <t>LONG</t>
        </is>
      </c>
      <c r="D58" s="24" t="n">
        <v>46322</v>
      </c>
      <c r="E58" s="25" t="n">
        <v>233.1162</v>
      </c>
      <c r="F58" s="26" t="n">
        <v>737</v>
      </c>
      <c r="G58" s="24" t="n">
        <v>46323</v>
      </c>
      <c r="H58" s="25" t="n">
        <v>222.59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351.43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15-20</t>
        </is>
      </c>
    </row>
    <row r="59">
      <c r="A59" s="23" t="inlineStr">
        <is>
          <t>DHAN-221261027603909+23126102780809+34126102781609+221261027605309+34126102781809+221261027606409+34126102782209+34126102782709+221261027607909+34126102782909+34126102783209+34126102783409+321261027591809+23126102783009</t>
        </is>
      </c>
      <c r="B59" s="23" t="inlineStr">
        <is>
          <t>BBL</t>
        </is>
      </c>
      <c r="C59" s="23" t="inlineStr">
        <is>
          <t>LONG</t>
        </is>
      </c>
      <c r="D59" s="24" t="n">
        <v>46322</v>
      </c>
      <c r="E59" s="25" t="n">
        <v>2588.2151</v>
      </c>
      <c r="F59" s="26" t="n">
        <v>66</v>
      </c>
      <c r="G59" s="24" t="n">
        <v>46323</v>
      </c>
      <c r="H59" s="25" t="n">
        <v>2586.23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351.37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10-15</t>
        </is>
      </c>
    </row>
    <row r="60">
      <c r="A60" s="23" t="inlineStr">
        <is>
          <t>DHAN-321261027586409+221261027604309+221261027604909+221261027605409+221261027606009+221261027606309+221261027606809+23126102781909+321261027589409+321261027590009+221261027608409</t>
        </is>
      </c>
      <c r="B60" s="23" t="inlineStr">
        <is>
          <t>JISLJALEQS</t>
        </is>
      </c>
      <c r="C60" s="23" t="inlineStr">
        <is>
          <t>LONG</t>
        </is>
      </c>
      <c r="D60" s="24" t="n">
        <v>46322</v>
      </c>
      <c r="E60" s="25" t="n">
        <v>24.9779</v>
      </c>
      <c r="F60" s="26" t="n">
        <v>6857</v>
      </c>
      <c r="G60" s="24" t="n">
        <v>46323</v>
      </c>
      <c r="H60" s="25" t="n">
        <v>24.5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350.53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5-10</t>
        </is>
      </c>
    </row>
    <row r="61">
      <c r="A61" s="23" t="inlineStr">
        <is>
          <t>DHAN-221261027603809+34126102781409+221261027604809+321261027587109+23126102781309+23126102781609+34126102782109+34126102782609+321261027589509+321261027590209+34126102783109+23126102782509</t>
        </is>
      </c>
      <c r="B61" s="23" t="inlineStr">
        <is>
          <t>MAHLOG</t>
        </is>
      </c>
      <c r="C61" s="23" t="inlineStr">
        <is>
          <t>LONG</t>
        </is>
      </c>
      <c r="D61" s="24" t="n">
        <v>46322</v>
      </c>
      <c r="E61" s="25" t="n">
        <v>434.8638</v>
      </c>
      <c r="F61" s="26" t="n">
        <v>394</v>
      </c>
      <c r="G61" s="24" t="n">
        <v>46323</v>
      </c>
      <c r="H61" s="25" t="n">
        <v>426.03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353.48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10-15</t>
        </is>
      </c>
    </row>
    <row r="62">
      <c r="A62" s="23" t="inlineStr">
        <is>
          <t>DHAN-23126102780609+321261027586709+221261027605009+221261027605509+321261027587309+321261027587809+221261027606909+321261027588809+34126102782809+321261027590109+23126102782309+23126102782609</t>
        </is>
      </c>
      <c r="B62" s="23" t="inlineStr">
        <is>
          <t>PARACABLES</t>
        </is>
      </c>
      <c r="C62" s="23" t="inlineStr">
        <is>
          <t>LONG</t>
        </is>
      </c>
      <c r="D62" s="24" t="n">
        <v>46322</v>
      </c>
      <c r="E62" s="25" t="n">
        <v>65.38590000000001</v>
      </c>
      <c r="F62" s="26" t="n">
        <v>2614</v>
      </c>
      <c r="G62" s="24" t="n">
        <v>46323</v>
      </c>
      <c r="H62" s="25" t="n">
        <v>64.59999999999999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347.56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5-10</t>
        </is>
      </c>
    </row>
    <row r="63">
      <c r="A63" s="23" t="inlineStr">
        <is>
          <t>DHAN-221261027604009+34126102781209+321261027587009+221261027605609+23126102781409+321261027587709+34126102782009+34126102782509+23126102782109+321261027590309+34126102783309+321261027591009+321261027591709</t>
        </is>
      </c>
      <c r="B63" s="23" t="inlineStr">
        <is>
          <t>ZAGGLE</t>
        </is>
      </c>
      <c r="C63" s="23" t="inlineStr">
        <is>
          <t>LONG</t>
        </is>
      </c>
      <c r="D63" s="24" t="n">
        <v>46322</v>
      </c>
      <c r="E63" s="25" t="n">
        <v>164.4613</v>
      </c>
      <c r="F63" s="26" t="n">
        <v>1041</v>
      </c>
      <c r="G63" s="24" t="n">
        <v>46323</v>
      </c>
      <c r="H63" s="25" t="n">
        <v>159.81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348.6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5-10</t>
        </is>
      </c>
    </row>
    <row r="64">
      <c r="A64" s="23" t="inlineStr">
        <is>
          <t>DHAN-341261028101109+231261028103509+3212610281010209+341261028101309+3212610281010909+341261028101509+3212610281011309+3212610281011409+231261028104009+231261028104109+341261028102109+341261028102309</t>
        </is>
      </c>
      <c r="B64" s="23" t="inlineStr">
        <is>
          <t>AARTIDRUGS</t>
        </is>
      </c>
      <c r="C64" s="23" t="inlineStr">
        <is>
          <t>LONG</t>
        </is>
      </c>
      <c r="D64" s="24" t="n">
        <v>46323</v>
      </c>
      <c r="E64" s="25" t="n">
        <v>449.1103</v>
      </c>
      <c r="F64" s="26" t="n">
        <v>668</v>
      </c>
      <c r="G64" s="24" t="inlineStr"/>
      <c r="H64" s="25" t="inlineStr"/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50.15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10-15</t>
        </is>
      </c>
    </row>
    <row r="65">
      <c r="A65" s="23" t="inlineStr">
        <is>
          <t>DHAN-23126102780509+34126102781309+23126102781009+23126102781209+221261027605909+34126102781909+321261027588609+23126102781809+321261027589309+23126102782209+321261027590909+23126102782809+34126102783609</t>
        </is>
      </c>
      <c r="B65" s="23" t="inlineStr">
        <is>
          <t>BAJEL</t>
        </is>
      </c>
      <c r="C65" s="23" t="inlineStr">
        <is>
          <t>LONG</t>
        </is>
      </c>
      <c r="D65" s="24" t="n">
        <v>46322</v>
      </c>
      <c r="E65" s="25" t="n">
        <v>168.7027</v>
      </c>
      <c r="F65" s="26" t="n">
        <v>507</v>
      </c>
      <c r="G65" s="24" t="inlineStr"/>
      <c r="H65" s="25" t="inlineStr"/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122.32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5-10</t>
        </is>
      </c>
    </row>
    <row r="66">
      <c r="A66" s="23" t="inlineStr">
        <is>
          <t>DHAN-2212610281025009+3212610281009509+3212610281010309+231261028103709+2212610281026009+2212610281026209+2212610281026509+341261028101709+231261028103909+341261028101809+341261028102009+341261028102209+231261028104209+231261028104309+231261028104409+3212610281012909</t>
        </is>
      </c>
      <c r="B66" s="23" t="inlineStr">
        <is>
          <t>PNGSREVA</t>
        </is>
      </c>
      <c r="C66" s="23" t="inlineStr">
        <is>
          <t>LONG</t>
        </is>
      </c>
      <c r="D66" s="24" t="n">
        <v>46323</v>
      </c>
      <c r="E66" s="25" t="n">
        <v>646.7184</v>
      </c>
      <c r="F66" s="26" t="n">
        <v>465</v>
      </c>
      <c r="G66" s="24" t="inlineStr"/>
      <c r="H66" s="25" t="inlineStr"/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50.15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10-15</t>
        </is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/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n"/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/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n"/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/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n"/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/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n"/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/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n"/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/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n"/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/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n"/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/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n"/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/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n"/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/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n"/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n"/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n"/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n"/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n"/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n"/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n"/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n"/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n"/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n"/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n"/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n"/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n"/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n"/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n"/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n"/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n"/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n"/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n"/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n"/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n"/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n"/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n"/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n"/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n"/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n"/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n"/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n"/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n"/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n"/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n"/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n"/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n"/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n"/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n"/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n"/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n"/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n"/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n"/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n"/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n"/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n"/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n"/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n"/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n"/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n"/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n"/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n"/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n"/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n"/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n"/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n"/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n"/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n"/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n"/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n"/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n"/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n"/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n"/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n"/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n"/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n"/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n"/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n"/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n"/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n"/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n"/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n"/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n"/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n"/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n"/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n"/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n"/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n"/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n"/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n"/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n"/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n"/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n"/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n"/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n"/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n"/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n"/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n"/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n"/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n"/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n"/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n"/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n"/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n"/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n"/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n"/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n"/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n"/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n"/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n"/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n"/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n"/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n"/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n"/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n"/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n"/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n"/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n"/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n"/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n"/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n"/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n"/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n"/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n"/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n"/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n"/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n"/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n"/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n"/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n"/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n"/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n"/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n"/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n"/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n"/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n"/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n"/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n"/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n"/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n"/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n"/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n"/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n"/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n"/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n"/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n"/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n"/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n"/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n"/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n"/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n"/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n"/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n"/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n"/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n"/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n"/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n"/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n"/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n"/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n"/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n"/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n"/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n"/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n"/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n"/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n"/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n"/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n"/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n"/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n"/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n"/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n"/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n"/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n"/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n"/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n"/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n"/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n"/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AARTIDRUGS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AGIIL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ARFIN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BAJEL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BBL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BLUSPRING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CMLL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DELTACORP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DPABHUSHAN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EUROPRATIK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FISCHER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GOODLUCK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GPTINFRA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HATHWAY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INDIAGLYCO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INDOKEM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INDOSTAR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INOXGREEN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JAICORPLTD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JINDALPOLY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JISLJALEQS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KOTIC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KRISHNADEF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KROSS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MAHLOG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MBEL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MMWL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MOBIKWIK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NIBE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OAL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ORIENTELEC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PARACABLES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PIXTRANS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PNCINFRA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PNGSREVA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PRINCEPIPE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RSYSTEMS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RUBYMILLS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SAKSOFT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SATIN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SGFIN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SHRINGARMS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SIMPLEXINF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SMCGLOBAL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SOLARA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SPORTKING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SUNCLAY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SWARAJENG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TEAMLEASE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YUKEN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ZAGGLE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3" t="inlineStr">
        <is>
          <t>TOTAL</t>
        </is>
      </c>
      <c r="B55" s="30">
        <f>SUM(B4:B54)</f>
        <v/>
      </c>
      <c r="C55" s="30">
        <f>SUM(C4:C54)</f>
        <v/>
      </c>
      <c r="D55" s="30">
        <f>SUM(D4:D54)</f>
        <v/>
      </c>
      <c r="E55" s="31">
        <f>IFERROR(C55/B55,"")</f>
        <v/>
      </c>
      <c r="F55" s="32">
        <f>SUM(F4:F54)</f>
        <v/>
      </c>
      <c r="G55" s="32">
        <f>SUM(G4:G54)</f>
        <v/>
      </c>
      <c r="H55" s="32">
        <f>IFERROR(G55/B55,"")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7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46301</v>
      </c>
      <c r="E4" s="4" t="n">
        <v>0</v>
      </c>
      <c r="F4" s="4" t="n">
        <v>300.68</v>
      </c>
      <c r="G4" s="4" t="n">
        <v>9.23</v>
      </c>
      <c r="H4" s="4" t="n">
        <v>0.3</v>
      </c>
      <c r="I4" s="4" t="n">
        <v>22.55</v>
      </c>
      <c r="J4" s="4" t="n">
        <v>1.72</v>
      </c>
      <c r="K4" s="4" t="n">
        <v>14.75</v>
      </c>
      <c r="L4" s="4" t="n">
        <v>0</v>
      </c>
      <c r="M4" s="4" t="n">
        <v>0</v>
      </c>
      <c r="N4" s="21">
        <f>SUM(E4:M4)</f>
        <v/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46301</v>
      </c>
      <c r="E5" s="4" t="n">
        <v>0</v>
      </c>
      <c r="F5" s="4" t="n">
        <v>149.73</v>
      </c>
      <c r="G5" s="4" t="n">
        <v>4.6</v>
      </c>
      <c r="H5" s="4" t="n">
        <v>0.15</v>
      </c>
      <c r="I5" s="4" t="n">
        <v>22.46</v>
      </c>
      <c r="J5" s="4" t="n">
        <v>0.85</v>
      </c>
      <c r="K5" s="4" t="n">
        <v>14.75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46301</v>
      </c>
      <c r="E6" s="4" t="n">
        <v>110.04</v>
      </c>
      <c r="F6" s="4" t="n">
        <v>591.87</v>
      </c>
      <c r="G6" s="4" t="n">
        <v>18.17</v>
      </c>
      <c r="H6" s="4" t="n">
        <v>0.59</v>
      </c>
      <c r="I6" s="4" t="n">
        <v>45.02</v>
      </c>
      <c r="J6" s="4" t="n">
        <v>23.18</v>
      </c>
      <c r="K6" s="4" t="n">
        <v>14.75</v>
      </c>
      <c r="L6" s="4" t="n">
        <v>35.4</v>
      </c>
      <c r="M6" s="4" t="n">
        <v>115.98</v>
      </c>
      <c r="N6" s="21">
        <f>SUM(E6:M6)</f>
        <v/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46301</v>
      </c>
      <c r="E7" s="4" t="n">
        <v>40</v>
      </c>
      <c r="F7" s="4" t="n">
        <v>585.45</v>
      </c>
      <c r="G7" s="4" t="n">
        <v>17.98</v>
      </c>
      <c r="H7" s="4" t="n">
        <v>0.59</v>
      </c>
      <c r="I7" s="4" t="n">
        <v>44.97</v>
      </c>
      <c r="J7" s="4" t="n">
        <v>10.54</v>
      </c>
      <c r="K7" s="4" t="n">
        <v>14.75</v>
      </c>
      <c r="L7" s="4" t="n">
        <v>35.4</v>
      </c>
      <c r="M7" s="4" t="n">
        <v>69.34999999999999</v>
      </c>
      <c r="N7" s="21">
        <f>SUM(E7:M7)</f>
        <v/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46302</v>
      </c>
      <c r="E8" s="4" t="n">
        <v>40</v>
      </c>
      <c r="F8" s="4" t="n">
        <v>595.97</v>
      </c>
      <c r="G8" s="4" t="n">
        <v>18.28</v>
      </c>
      <c r="H8" s="4" t="n">
        <v>0.6</v>
      </c>
      <c r="I8" s="4" t="n">
        <v>45.16</v>
      </c>
      <c r="J8" s="4" t="n">
        <v>10.6</v>
      </c>
      <c r="K8" s="4" t="n">
        <v>14.75</v>
      </c>
      <c r="L8" s="4" t="n">
        <v>35.4</v>
      </c>
      <c r="M8" s="4" t="n">
        <v>96.5</v>
      </c>
      <c r="N8" s="21">
        <f>SUM(E8:M8)</f>
        <v/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46302</v>
      </c>
      <c r="E9" s="4" t="n">
        <v>109.77</v>
      </c>
      <c r="F9" s="4" t="n">
        <v>606.55</v>
      </c>
      <c r="G9" s="4" t="n">
        <v>18.63</v>
      </c>
      <c r="H9" s="4" t="n">
        <v>0.6</v>
      </c>
      <c r="I9" s="4" t="n">
        <v>44.89</v>
      </c>
      <c r="J9" s="4" t="n">
        <v>23.22</v>
      </c>
      <c r="K9" s="4" t="n">
        <v>14.75</v>
      </c>
      <c r="L9" s="4" t="n">
        <v>35.4</v>
      </c>
      <c r="M9" s="4" t="n">
        <v>115.65</v>
      </c>
      <c r="N9" s="21">
        <f>SUM(E9:M9)</f>
        <v/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46302</v>
      </c>
      <c r="E10" s="4" t="n">
        <v>109.91</v>
      </c>
      <c r="F10" s="4" t="n">
        <v>599.3099999999999</v>
      </c>
      <c r="G10" s="4" t="n">
        <v>18.4</v>
      </c>
      <c r="H10" s="4" t="n">
        <v>0.6</v>
      </c>
      <c r="I10" s="4" t="n">
        <v>44.95</v>
      </c>
      <c r="J10" s="4" t="n">
        <v>23.2</v>
      </c>
      <c r="K10" s="4" t="n">
        <v>14.75</v>
      </c>
      <c r="L10" s="4" t="n">
        <v>35.4</v>
      </c>
      <c r="M10" s="4" t="n">
        <v>96.51000000000001</v>
      </c>
      <c r="N10" s="21">
        <f>SUM(E10:M10)</f>
        <v/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46303</v>
      </c>
      <c r="E11" s="4" t="n">
        <v>40</v>
      </c>
      <c r="F11" s="4" t="n">
        <v>480.43</v>
      </c>
      <c r="G11" s="4" t="n">
        <v>14.75</v>
      </c>
      <c r="H11" s="4" t="n">
        <v>0.48</v>
      </c>
      <c r="I11" s="4" t="n">
        <v>35.99</v>
      </c>
      <c r="J11" s="4" t="n">
        <v>9.94</v>
      </c>
      <c r="K11" s="4" t="n">
        <v>14.75</v>
      </c>
      <c r="L11" s="4" t="n">
        <v>35.4</v>
      </c>
      <c r="M11" s="4" t="n">
        <v>59.51</v>
      </c>
      <c r="N11" s="21">
        <f>SUM(E11:M11)</f>
        <v/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46303</v>
      </c>
      <c r="E12" s="4" t="n">
        <v>91.98999999999999</v>
      </c>
      <c r="F12" s="4" t="n">
        <v>472.68</v>
      </c>
      <c r="G12" s="4" t="n">
        <v>14.51</v>
      </c>
      <c r="H12" s="4" t="n">
        <v>0.47</v>
      </c>
      <c r="I12" s="4" t="n">
        <v>35.99</v>
      </c>
      <c r="J12" s="4" t="n">
        <v>19.26</v>
      </c>
      <c r="K12" s="4" t="n">
        <v>14.75</v>
      </c>
      <c r="L12" s="4" t="n">
        <v>35.4</v>
      </c>
      <c r="M12" s="4" t="n">
        <v>71.31999999999999</v>
      </c>
      <c r="N12" s="21">
        <f>SUM(E12:M12)</f>
        <v/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46303</v>
      </c>
      <c r="E13" s="4" t="n">
        <v>40</v>
      </c>
      <c r="F13" s="4" t="n">
        <v>464.16</v>
      </c>
      <c r="G13" s="4" t="n">
        <v>14.25</v>
      </c>
      <c r="H13" s="4" t="n">
        <v>0.46</v>
      </c>
      <c r="I13" s="4" t="n">
        <v>36.09</v>
      </c>
      <c r="J13" s="4" t="n">
        <v>9.85</v>
      </c>
      <c r="K13" s="4" t="n">
        <v>14.75</v>
      </c>
      <c r="L13" s="4" t="n">
        <v>35.4</v>
      </c>
      <c r="M13" s="4" t="n">
        <v>73.01000000000001</v>
      </c>
      <c r="N13" s="21">
        <f>SUM(E13:M13)</f>
        <v/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46303</v>
      </c>
      <c r="E14" s="4" t="n">
        <v>111.87</v>
      </c>
      <c r="F14" s="4" t="n">
        <v>388.32</v>
      </c>
      <c r="G14" s="4" t="n">
        <v>14.87</v>
      </c>
      <c r="H14" s="4" t="n">
        <v>0.49</v>
      </c>
      <c r="I14" s="4" t="n">
        <v>35.93</v>
      </c>
      <c r="J14" s="4" t="n">
        <v>22.9</v>
      </c>
      <c r="K14" s="4" t="n">
        <v>14.75</v>
      </c>
      <c r="L14" s="4" t="n">
        <v>35.4</v>
      </c>
      <c r="M14" s="4" t="n">
        <v>59.33</v>
      </c>
      <c r="N14" s="21">
        <f>SUM(E14:M14)</f>
        <v/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46304</v>
      </c>
      <c r="E15" s="4" t="n">
        <v>0</v>
      </c>
      <c r="F15" s="4" t="n">
        <v>270.22</v>
      </c>
      <c r="G15" s="4" t="n">
        <v>8.289999999999999</v>
      </c>
      <c r="H15" s="4" t="n">
        <v>0.27</v>
      </c>
      <c r="I15" s="4" t="n">
        <v>20.49</v>
      </c>
      <c r="J15" s="4" t="n">
        <v>1.54</v>
      </c>
      <c r="K15" s="4" t="n">
        <v>14.75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46304</v>
      </c>
      <c r="E16" s="4" t="n">
        <v>65.06</v>
      </c>
      <c r="F16" s="4" t="n">
        <v>147.69</v>
      </c>
      <c r="G16" s="4" t="n">
        <v>9.15</v>
      </c>
      <c r="H16" s="4" t="n">
        <v>0.3</v>
      </c>
      <c r="I16" s="4" t="n">
        <v>4.51</v>
      </c>
      <c r="J16" s="4" t="n">
        <v>13.41</v>
      </c>
      <c r="K16" s="4" t="n">
        <v>14.75</v>
      </c>
      <c r="L16" s="4" t="n">
        <v>0</v>
      </c>
      <c r="M16" s="4" t="n">
        <v>0</v>
      </c>
      <c r="N16" s="21">
        <f>SUM(E16:M16)</f>
        <v/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46307</v>
      </c>
      <c r="E17" s="4" t="n">
        <v>80.09999999999999</v>
      </c>
      <c r="F17" s="4" t="n">
        <v>388.39</v>
      </c>
      <c r="G17" s="4" t="n">
        <v>11.92</v>
      </c>
      <c r="H17" s="4" t="n">
        <v>0.39</v>
      </c>
      <c r="I17" s="4" t="n">
        <v>30.04</v>
      </c>
      <c r="J17" s="4" t="n">
        <v>16.63</v>
      </c>
      <c r="K17" s="4" t="n">
        <v>14.75</v>
      </c>
      <c r="L17" s="4" t="n">
        <v>35.4</v>
      </c>
      <c r="M17" s="4" t="n">
        <v>83.31</v>
      </c>
      <c r="N17" s="21">
        <f>SUM(E17:M17)</f>
        <v/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46307</v>
      </c>
      <c r="E18" s="4" t="n">
        <v>20</v>
      </c>
      <c r="F18" s="4" t="n">
        <v>95.28</v>
      </c>
      <c r="G18" s="4" t="n">
        <v>4.69</v>
      </c>
      <c r="H18" s="4" t="n">
        <v>0.15</v>
      </c>
      <c r="I18" s="4" t="n">
        <v>11.3</v>
      </c>
      <c r="J18" s="4" t="n">
        <v>4.47</v>
      </c>
      <c r="K18" s="4" t="n">
        <v>14.75</v>
      </c>
      <c r="L18" s="4" t="n">
        <v>0</v>
      </c>
      <c r="M18" s="4" t="n">
        <v>0</v>
      </c>
      <c r="N18" s="21">
        <f>SUM(E18:M18)</f>
        <v/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46307</v>
      </c>
      <c r="E19" s="4" t="n">
        <v>79.98</v>
      </c>
      <c r="F19" s="4" t="n">
        <v>391.05</v>
      </c>
      <c r="G19" s="4" t="n">
        <v>12.01</v>
      </c>
      <c r="H19" s="4" t="n">
        <v>0.39</v>
      </c>
      <c r="I19" s="4" t="n">
        <v>29.98</v>
      </c>
      <c r="J19" s="4" t="n">
        <v>16.63</v>
      </c>
      <c r="K19" s="4" t="n">
        <v>14.75</v>
      </c>
      <c r="L19" s="4" t="n">
        <v>35.4</v>
      </c>
      <c r="M19" s="4" t="n">
        <v>86.59999999999999</v>
      </c>
      <c r="N19" s="21">
        <f>SUM(E19:M19)</f>
        <v/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46307</v>
      </c>
      <c r="E20" s="4" t="n">
        <v>80.11</v>
      </c>
      <c r="F20" s="4" t="n">
        <v>403.61</v>
      </c>
      <c r="G20" s="4" t="n">
        <v>12.39</v>
      </c>
      <c r="H20" s="4" t="n">
        <v>0.4</v>
      </c>
      <c r="I20" s="4" t="n">
        <v>30.07</v>
      </c>
      <c r="J20" s="4" t="n">
        <v>16.72</v>
      </c>
      <c r="K20" s="4" t="n">
        <v>14.75</v>
      </c>
      <c r="L20" s="4" t="n">
        <v>35.4</v>
      </c>
      <c r="M20" s="4" t="n">
        <v>83.40000000000001</v>
      </c>
      <c r="N20" s="21">
        <f>SUM(E20:M20)</f>
        <v/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46307</v>
      </c>
      <c r="E21" s="4" t="n">
        <v>0</v>
      </c>
      <c r="F21" s="4" t="n">
        <v>199.48</v>
      </c>
      <c r="G21" s="4" t="n">
        <v>6.12</v>
      </c>
      <c r="H21" s="4" t="n">
        <v>0.2</v>
      </c>
      <c r="I21" s="4" t="n">
        <v>14.93</v>
      </c>
      <c r="J21" s="4" t="n">
        <v>1.14</v>
      </c>
      <c r="K21" s="4" t="n">
        <v>14.75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46307</v>
      </c>
      <c r="E22" s="4" t="n">
        <v>69.11</v>
      </c>
      <c r="F22" s="4" t="n">
        <v>397.41</v>
      </c>
      <c r="G22" s="4" t="n">
        <v>12.2</v>
      </c>
      <c r="H22" s="4" t="n">
        <v>0.4</v>
      </c>
      <c r="I22" s="4" t="n">
        <v>30.68</v>
      </c>
      <c r="J22" s="4" t="n">
        <v>14.71</v>
      </c>
      <c r="K22" s="4" t="n">
        <v>14.75</v>
      </c>
      <c r="L22" s="4" t="n">
        <v>35.4</v>
      </c>
      <c r="M22" s="4" t="n">
        <v>83.8</v>
      </c>
      <c r="N22" s="21">
        <f>SUM(E22:M22)</f>
        <v/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46308</v>
      </c>
      <c r="E23" s="4" t="n">
        <v>71.61</v>
      </c>
      <c r="F23" s="4" t="n">
        <v>216.25</v>
      </c>
      <c r="G23" s="4" t="n">
        <v>10.74</v>
      </c>
      <c r="H23" s="4" t="n">
        <v>0.35</v>
      </c>
      <c r="I23" s="4" t="n">
        <v>25.82</v>
      </c>
      <c r="J23" s="4" t="n">
        <v>14.89</v>
      </c>
      <c r="K23" s="4" t="n">
        <v>14.75</v>
      </c>
      <c r="L23" s="4" t="n">
        <v>35.4</v>
      </c>
      <c r="M23" s="4" t="n">
        <v>29.84</v>
      </c>
      <c r="N23" s="21">
        <f>SUM(E23:M23)</f>
        <v/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4" t="n">
        <v>20</v>
      </c>
      <c r="F24" s="4" t="n">
        <v>176.73</v>
      </c>
      <c r="G24" s="4" t="n">
        <v>10.8</v>
      </c>
      <c r="H24" s="4" t="n">
        <v>0.35</v>
      </c>
      <c r="I24" s="4" t="n">
        <v>5.21</v>
      </c>
      <c r="J24" s="4" t="n">
        <v>5.61</v>
      </c>
      <c r="K24" s="4" t="n">
        <v>0</v>
      </c>
      <c r="L24" s="4" t="n">
        <v>0</v>
      </c>
      <c r="M24" s="4" t="n">
        <v>0</v>
      </c>
      <c r="N24" s="21">
        <f>SUM(E24:M24)</f>
        <v/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46308</v>
      </c>
      <c r="E25" s="4" t="n">
        <v>71.34999999999999</v>
      </c>
      <c r="F25" s="4" t="n">
        <v>347.2</v>
      </c>
      <c r="G25" s="4" t="n">
        <v>10.66</v>
      </c>
      <c r="H25" s="4" t="n">
        <v>0.35</v>
      </c>
      <c r="I25" s="4" t="n">
        <v>25.67</v>
      </c>
      <c r="J25" s="4" t="n">
        <v>14.82</v>
      </c>
      <c r="K25" s="4" t="n">
        <v>14.75</v>
      </c>
      <c r="L25" s="4" t="n">
        <v>35.4</v>
      </c>
      <c r="M25" s="4" t="n">
        <v>37.06</v>
      </c>
      <c r="N25" s="21">
        <f>SUM(E25:M25)</f>
        <v/>
      </c>
    </row>
    <row r="26">
      <c r="A26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6" s="23" t="inlineStr">
        <is>
          <t>MMWL</t>
        </is>
      </c>
      <c r="C26" s="23" t="inlineStr">
        <is>
          <t>LONG</t>
        </is>
      </c>
      <c r="D26" s="24" t="n">
        <v>46308</v>
      </c>
      <c r="E26" s="4" t="n">
        <v>24.76</v>
      </c>
      <c r="F26" s="4" t="n">
        <v>90.14</v>
      </c>
      <c r="G26" s="4" t="n">
        <v>5.29</v>
      </c>
      <c r="H26" s="4" t="n">
        <v>0.17</v>
      </c>
      <c r="I26" s="4" t="n">
        <v>3</v>
      </c>
      <c r="J26" s="4" t="n">
        <v>5.44</v>
      </c>
      <c r="K26" s="4" t="n">
        <v>14.75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7" s="23" t="inlineStr">
        <is>
          <t>PRINCEPIPE</t>
        </is>
      </c>
      <c r="C27" s="23" t="inlineStr">
        <is>
          <t>LONG</t>
        </is>
      </c>
      <c r="D27" s="24" t="n">
        <v>46308</v>
      </c>
      <c r="E27" s="4" t="n">
        <v>71.44</v>
      </c>
      <c r="F27" s="4" t="n">
        <v>339.48</v>
      </c>
      <c r="G27" s="4" t="n">
        <v>10.42</v>
      </c>
      <c r="H27" s="4" t="n">
        <v>0.34</v>
      </c>
      <c r="I27" s="4" t="n">
        <v>25.26</v>
      </c>
      <c r="J27" s="4" t="n">
        <v>14.8</v>
      </c>
      <c r="K27" s="4" t="n">
        <v>14.75</v>
      </c>
      <c r="L27" s="4" t="n">
        <v>35.4</v>
      </c>
      <c r="M27" s="4" t="n">
        <v>35.68</v>
      </c>
      <c r="N27" s="21">
        <f>SUM(E27:M27)</f>
        <v/>
      </c>
    </row>
    <row r="28">
      <c r="A28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8" s="23" t="inlineStr">
        <is>
          <t>SWARAJENG</t>
        </is>
      </c>
      <c r="C28" s="23" t="inlineStr">
        <is>
          <t>LONG</t>
        </is>
      </c>
      <c r="D28" s="24" t="n">
        <v>46308</v>
      </c>
      <c r="E28" s="4" t="n">
        <v>70.51000000000001</v>
      </c>
      <c r="F28" s="4" t="n">
        <v>335.81</v>
      </c>
      <c r="G28" s="4" t="n">
        <v>10.31</v>
      </c>
      <c r="H28" s="4" t="n">
        <v>0.34</v>
      </c>
      <c r="I28" s="4" t="n">
        <v>25.25</v>
      </c>
      <c r="J28" s="4" t="n">
        <v>14.61</v>
      </c>
      <c r="K28" s="4" t="n">
        <v>14.75</v>
      </c>
      <c r="L28" s="4" t="n">
        <v>35.4</v>
      </c>
      <c r="M28" s="4" t="n">
        <v>40.86</v>
      </c>
      <c r="N28" s="21">
        <f>SUM(E28:M28)</f>
        <v/>
      </c>
    </row>
    <row r="29">
      <c r="A29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9" s="23" t="inlineStr">
        <is>
          <t>CMLL</t>
        </is>
      </c>
      <c r="C29" s="23" t="inlineStr">
        <is>
          <t>LONG</t>
        </is>
      </c>
      <c r="D29" s="24" t="n">
        <v>46309</v>
      </c>
      <c r="E29" s="4" t="n">
        <v>71.3</v>
      </c>
      <c r="F29" s="4" t="n">
        <v>339.38</v>
      </c>
      <c r="G29" s="4" t="n">
        <v>10.42</v>
      </c>
      <c r="H29" s="4" t="n">
        <v>0.34</v>
      </c>
      <c r="I29" s="4" t="n">
        <v>25.64</v>
      </c>
      <c r="J29" s="4" t="n">
        <v>14.77</v>
      </c>
      <c r="K29" s="4" t="n">
        <v>14.75</v>
      </c>
      <c r="L29" s="4" t="n">
        <v>35.4</v>
      </c>
      <c r="M29" s="4" t="n">
        <v>42.61</v>
      </c>
      <c r="N29" s="21">
        <f>SUM(E29:M29)</f>
        <v/>
      </c>
    </row>
    <row r="30">
      <c r="A30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30" s="23" t="inlineStr">
        <is>
          <t>HATHWAY</t>
        </is>
      </c>
      <c r="C30" s="23" t="inlineStr">
        <is>
          <t>LONG</t>
        </is>
      </c>
      <c r="D30" s="24" t="n">
        <v>46309</v>
      </c>
      <c r="E30" s="4" t="n">
        <v>71</v>
      </c>
      <c r="F30" s="4" t="n">
        <v>342.53</v>
      </c>
      <c r="G30" s="4" t="n">
        <v>10.51</v>
      </c>
      <c r="H30" s="4" t="n">
        <v>0.34</v>
      </c>
      <c r="I30" s="4" t="n">
        <v>25.77</v>
      </c>
      <c r="J30" s="4" t="n">
        <v>14.73</v>
      </c>
      <c r="K30" s="4" t="n">
        <v>14.75</v>
      </c>
      <c r="L30" s="4" t="n">
        <v>35.4</v>
      </c>
      <c r="M30" s="4" t="n">
        <v>35.65</v>
      </c>
      <c r="N30" s="21">
        <f>SUM(E30:M30)</f>
        <v/>
      </c>
    </row>
    <row r="31">
      <c r="A31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1" s="23" t="inlineStr">
        <is>
          <t>INDIAGLYCO</t>
        </is>
      </c>
      <c r="C31" s="23" t="inlineStr">
        <is>
          <t>LONG</t>
        </is>
      </c>
      <c r="D31" s="24" t="n">
        <v>46309</v>
      </c>
      <c r="E31" s="4" t="n">
        <v>0</v>
      </c>
      <c r="F31" s="4" t="n">
        <v>172.92</v>
      </c>
      <c r="G31" s="4" t="n">
        <v>5.31</v>
      </c>
      <c r="H31" s="4" t="n">
        <v>0.17</v>
      </c>
      <c r="I31" s="4" t="n">
        <v>12.86</v>
      </c>
      <c r="J31" s="4" t="n">
        <v>0.99</v>
      </c>
      <c r="K31" s="4" t="n">
        <v>14.75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2" s="23" t="inlineStr">
        <is>
          <t>INDOKEM</t>
        </is>
      </c>
      <c r="C32" s="23" t="inlineStr">
        <is>
          <t>LONG</t>
        </is>
      </c>
      <c r="D32" s="24" t="n">
        <v>46309</v>
      </c>
      <c r="E32" s="4" t="n">
        <v>0</v>
      </c>
      <c r="F32" s="4" t="n">
        <v>85.43000000000001</v>
      </c>
      <c r="G32" s="4" t="n">
        <v>2.62</v>
      </c>
      <c r="H32" s="4" t="n">
        <v>0.09</v>
      </c>
      <c r="I32" s="4" t="n">
        <v>12.81</v>
      </c>
      <c r="J32" s="4" t="n">
        <v>0.49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3" s="23" t="inlineStr">
        <is>
          <t>PIXTRANS</t>
        </is>
      </c>
      <c r="C33" s="23" t="inlineStr">
        <is>
          <t>LONG</t>
        </is>
      </c>
      <c r="D33" s="24" t="n">
        <v>46309</v>
      </c>
      <c r="E33" s="4" t="n">
        <v>71.01000000000001</v>
      </c>
      <c r="F33" s="4" t="n">
        <v>343.17</v>
      </c>
      <c r="G33" s="4" t="n">
        <v>10.53</v>
      </c>
      <c r="H33" s="4" t="n">
        <v>0.34</v>
      </c>
      <c r="I33" s="4" t="n">
        <v>25.51</v>
      </c>
      <c r="J33" s="4" t="n">
        <v>14.74</v>
      </c>
      <c r="K33" s="4" t="n">
        <v>14.75</v>
      </c>
      <c r="L33" s="4" t="n">
        <v>35.4</v>
      </c>
      <c r="M33" s="4" t="n">
        <v>35.38</v>
      </c>
      <c r="N33" s="21">
        <f>SUM(E33:M33)</f>
        <v/>
      </c>
    </row>
    <row r="34">
      <c r="A34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4" s="23" t="inlineStr">
        <is>
          <t>PNCINFRA</t>
        </is>
      </c>
      <c r="C34" s="23" t="inlineStr">
        <is>
          <t>LONG</t>
        </is>
      </c>
      <c r="D34" s="24" t="n">
        <v>46309</v>
      </c>
      <c r="E34" s="4" t="n">
        <v>71.06999999999999</v>
      </c>
      <c r="F34" s="4" t="n">
        <v>215.5</v>
      </c>
      <c r="G34" s="4" t="n">
        <v>10.89</v>
      </c>
      <c r="H34" s="4" t="n">
        <v>0.35</v>
      </c>
      <c r="I34" s="4" t="n">
        <v>25.53</v>
      </c>
      <c r="J34" s="4" t="n">
        <v>14.82</v>
      </c>
      <c r="K34" s="4" t="n">
        <v>14.75</v>
      </c>
      <c r="L34" s="4" t="n">
        <v>35.4</v>
      </c>
      <c r="M34" s="4" t="n">
        <v>37.7</v>
      </c>
      <c r="N34" s="21">
        <f>SUM(E34:M34)</f>
        <v/>
      </c>
    </row>
    <row r="35">
      <c r="A35" s="23" t="inlineStr">
        <is>
          <t>DHAN-34126101478009</t>
        </is>
      </c>
      <c r="B35" s="23" t="inlineStr">
        <is>
          <t>PNCINFRA</t>
        </is>
      </c>
      <c r="C35" s="23" t="inlineStr">
        <is>
          <t>SHORT</t>
        </is>
      </c>
      <c r="D35" s="24" t="n">
        <v>46309</v>
      </c>
      <c r="E35" s="4" t="n">
        <v>20</v>
      </c>
      <c r="F35" s="4" t="n">
        <v>181.5</v>
      </c>
      <c r="G35" s="4" t="n">
        <v>11.03</v>
      </c>
      <c r="H35" s="4" t="n">
        <v>0.36</v>
      </c>
      <c r="I35" s="4" t="n">
        <v>5.25</v>
      </c>
      <c r="J35" s="4" t="n">
        <v>5.65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DHAN-221261013592909+23126101376109+321261013572209+23126101376609+321261013572609+321261013573209+321261013573809+221261013596209+34126101379109+34126101379209+221261013597909</t>
        </is>
      </c>
      <c r="B36" s="23" t="inlineStr">
        <is>
          <t>SHRINGARMS</t>
        </is>
      </c>
      <c r="C36" s="23" t="inlineStr">
        <is>
          <t>LONG</t>
        </is>
      </c>
      <c r="D36" s="24" t="n">
        <v>46309</v>
      </c>
      <c r="E36" s="4" t="n">
        <v>71.33</v>
      </c>
      <c r="F36" s="4" t="n">
        <v>344.55</v>
      </c>
      <c r="G36" s="4" t="n">
        <v>10.58</v>
      </c>
      <c r="H36" s="4" t="n">
        <v>0.34</v>
      </c>
      <c r="I36" s="4" t="n">
        <v>25.67</v>
      </c>
      <c r="J36" s="4" t="n">
        <v>14.81</v>
      </c>
      <c r="K36" s="4" t="n">
        <v>14.75</v>
      </c>
      <c r="L36" s="4" t="n">
        <v>35.4</v>
      </c>
      <c r="M36" s="4" t="n">
        <v>35.6</v>
      </c>
      <c r="N36" s="21">
        <f>SUM(E36:M36)</f>
        <v/>
      </c>
    </row>
    <row r="37">
      <c r="A37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7" s="23" t="inlineStr">
        <is>
          <t>JINDALPOLY</t>
        </is>
      </c>
      <c r="C37" s="23" t="inlineStr">
        <is>
          <t>LONG</t>
        </is>
      </c>
      <c r="D37" s="24" t="n">
        <v>46310</v>
      </c>
      <c r="E37" s="4" t="n">
        <v>63.82</v>
      </c>
      <c r="F37" s="4" t="n">
        <v>288.31</v>
      </c>
      <c r="G37" s="4" t="n">
        <v>8.85</v>
      </c>
      <c r="H37" s="4" t="n">
        <v>0.29</v>
      </c>
      <c r="I37" s="4" t="n">
        <v>21.9</v>
      </c>
      <c r="J37" s="4" t="n">
        <v>13.13</v>
      </c>
      <c r="K37" s="4" t="n">
        <v>14.75</v>
      </c>
      <c r="L37" s="4" t="n">
        <v>35.4</v>
      </c>
      <c r="M37" s="4" t="n">
        <v>31.44</v>
      </c>
      <c r="N37" s="21">
        <f>SUM(E37:M37)</f>
        <v/>
      </c>
    </row>
    <row r="38">
      <c r="A38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8" s="23" t="inlineStr">
        <is>
          <t>KROSS</t>
        </is>
      </c>
      <c r="C38" s="23" t="inlineStr">
        <is>
          <t>LONG</t>
        </is>
      </c>
      <c r="D38" s="24" t="n">
        <v>46310</v>
      </c>
      <c r="E38" s="4" t="n">
        <v>80.01000000000001</v>
      </c>
      <c r="F38" s="4" t="n">
        <v>399.82</v>
      </c>
      <c r="G38" s="4" t="n">
        <v>12.27</v>
      </c>
      <c r="H38" s="4" t="n">
        <v>0.4</v>
      </c>
      <c r="I38" s="4" t="n">
        <v>30.02</v>
      </c>
      <c r="J38" s="4" t="n">
        <v>16.68</v>
      </c>
      <c r="K38" s="4" t="n">
        <v>14.75</v>
      </c>
      <c r="L38" s="4" t="n">
        <v>35.4</v>
      </c>
      <c r="M38" s="4" t="n">
        <v>34.69</v>
      </c>
      <c r="N38" s="21">
        <f>SUM(E38:M38)</f>
        <v/>
      </c>
    </row>
    <row r="39">
      <c r="A39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9" s="23" t="inlineStr">
        <is>
          <t>NIBE</t>
        </is>
      </c>
      <c r="C39" s="23" t="inlineStr">
        <is>
          <t>LONG</t>
        </is>
      </c>
      <c r="D39" s="24" t="n">
        <v>46310</v>
      </c>
      <c r="E39" s="4" t="n">
        <v>79.64</v>
      </c>
      <c r="F39" s="4" t="n">
        <v>390.96</v>
      </c>
      <c r="G39" s="4" t="n">
        <v>12</v>
      </c>
      <c r="H39" s="4" t="n">
        <v>0.39</v>
      </c>
      <c r="I39" s="4" t="n">
        <v>29.82</v>
      </c>
      <c r="J39" s="4" t="n">
        <v>16.57</v>
      </c>
      <c r="K39" s="4" t="n">
        <v>14.75</v>
      </c>
      <c r="L39" s="4" t="n">
        <v>35.4</v>
      </c>
      <c r="M39" s="4" t="n">
        <v>34.47</v>
      </c>
      <c r="N39" s="21">
        <f>SUM(E39:M39)</f>
        <v/>
      </c>
    </row>
    <row r="40">
      <c r="A40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40" s="23" t="inlineStr">
        <is>
          <t>RUBYMILLS</t>
        </is>
      </c>
      <c r="C40" s="23" t="inlineStr">
        <is>
          <t>LONG</t>
        </is>
      </c>
      <c r="D40" s="24" t="n">
        <v>46310</v>
      </c>
      <c r="E40" s="4" t="n">
        <v>0</v>
      </c>
      <c r="F40" s="4" t="n">
        <v>201.6</v>
      </c>
      <c r="G40" s="4" t="n">
        <v>6.19</v>
      </c>
      <c r="H40" s="4" t="n">
        <v>0.2</v>
      </c>
      <c r="I40" s="4" t="n">
        <v>14.94</v>
      </c>
      <c r="J40" s="4" t="n">
        <v>1.15</v>
      </c>
      <c r="K40" s="4" t="n">
        <v>14.75</v>
      </c>
      <c r="L40" s="4" t="n">
        <v>0</v>
      </c>
      <c r="M40" s="4" t="n">
        <v>0</v>
      </c>
      <c r="N40" s="21">
        <f>SUM(E40:M40)</f>
        <v/>
      </c>
    </row>
    <row r="41">
      <c r="A41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1" s="23" t="inlineStr">
        <is>
          <t>SIMPLEXINF</t>
        </is>
      </c>
      <c r="C41" s="23" t="inlineStr">
        <is>
          <t>LONG</t>
        </is>
      </c>
      <c r="D41" s="24" t="n">
        <v>46310</v>
      </c>
      <c r="E41" s="4" t="n">
        <v>59.95</v>
      </c>
      <c r="F41" s="4" t="n">
        <v>199.83</v>
      </c>
      <c r="G41" s="4" t="n">
        <v>6.13</v>
      </c>
      <c r="H41" s="4" t="n">
        <v>0.2</v>
      </c>
      <c r="I41" s="4" t="n">
        <v>29.98</v>
      </c>
      <c r="J41" s="4" t="n">
        <v>11.93</v>
      </c>
      <c r="K41" s="4" t="n">
        <v>14.75</v>
      </c>
      <c r="L41" s="4" t="n">
        <v>35.4</v>
      </c>
      <c r="M41" s="4" t="n">
        <v>234.24</v>
      </c>
      <c r="N41" s="21">
        <f>SUM(E41:M41)</f>
        <v/>
      </c>
    </row>
    <row r="42">
      <c r="A42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42" s="23" t="inlineStr">
        <is>
          <t>SPORTKING</t>
        </is>
      </c>
      <c r="C42" s="23" t="inlineStr">
        <is>
          <t>LONG</t>
        </is>
      </c>
      <c r="D42" s="24" t="n">
        <v>46310</v>
      </c>
      <c r="E42" s="4" t="n">
        <v>80.05</v>
      </c>
      <c r="F42" s="4" t="n">
        <v>400.91</v>
      </c>
      <c r="G42" s="4" t="n">
        <v>12.31</v>
      </c>
      <c r="H42" s="4" t="n">
        <v>0.4</v>
      </c>
      <c r="I42" s="4" t="n">
        <v>30.09</v>
      </c>
      <c r="J42" s="4" t="n">
        <v>16.7</v>
      </c>
      <c r="K42" s="4" t="n">
        <v>14.75</v>
      </c>
      <c r="L42" s="4" t="n">
        <v>35.4</v>
      </c>
      <c r="M42" s="4" t="n">
        <v>27.75</v>
      </c>
      <c r="N42" s="21">
        <f>SUM(E42:M42)</f>
        <v/>
      </c>
    </row>
    <row r="43">
      <c r="A43" s="23" t="inlineStr">
        <is>
          <t>DHAN-321261015672409+231261015159509+341261015154309+321261015674209+231261015159809+321261015674909+341261015154809+221261015678909+321261015675709+221261015679609+231261015160509</t>
        </is>
      </c>
      <c r="B43" s="23" t="inlineStr">
        <is>
          <t>JAICORPLTD</t>
        </is>
      </c>
      <c r="C43" s="23" t="inlineStr">
        <is>
          <t>LONG</t>
        </is>
      </c>
      <c r="D43" s="24" t="n">
        <v>46311</v>
      </c>
      <c r="E43" s="4" t="n">
        <v>109.95</v>
      </c>
      <c r="F43" s="4" t="n">
        <v>596.92</v>
      </c>
      <c r="G43" s="4" t="n">
        <v>18.32</v>
      </c>
      <c r="H43" s="4" t="n">
        <v>0.6</v>
      </c>
      <c r="I43" s="4" t="n">
        <v>44.96</v>
      </c>
      <c r="J43" s="4" t="n">
        <v>23.2</v>
      </c>
      <c r="K43" s="4" t="n">
        <v>14.75</v>
      </c>
      <c r="L43" s="4" t="n">
        <v>35.4</v>
      </c>
      <c r="M43" s="4" t="n">
        <v>80.54000000000001</v>
      </c>
      <c r="N43" s="21">
        <f>SUM(E43:M43)</f>
        <v/>
      </c>
    </row>
    <row r="44">
      <c r="A44" s="23" t="inlineStr">
        <is>
          <t>DHAN-341261015154009+321261015672609+221261015677509+321261015674109+321261015674709+341261015154709+231261015160109+341261015154909+221261015679409+341261015155209+321261015676109</t>
        </is>
      </c>
      <c r="B44" s="23" t="inlineStr">
        <is>
          <t>OAL</t>
        </is>
      </c>
      <c r="C44" s="23" t="inlineStr">
        <is>
          <t>LONG</t>
        </is>
      </c>
      <c r="D44" s="24" t="n">
        <v>46311</v>
      </c>
      <c r="E44" s="4" t="n">
        <v>0</v>
      </c>
      <c r="F44" s="4" t="n">
        <v>300.15</v>
      </c>
      <c r="G44" s="4" t="n">
        <v>9.210000000000001</v>
      </c>
      <c r="H44" s="4" t="n">
        <v>0.3</v>
      </c>
      <c r="I44" s="4" t="n">
        <v>22.38</v>
      </c>
      <c r="J44" s="4" t="n">
        <v>1.71</v>
      </c>
      <c r="K44" s="4" t="n">
        <v>14.75</v>
      </c>
      <c r="L44" s="4" t="n">
        <v>0</v>
      </c>
      <c r="M44" s="4" t="n">
        <v>0</v>
      </c>
      <c r="N44" s="21">
        <f>SUM(E44:M44)</f>
        <v/>
      </c>
    </row>
    <row r="45">
      <c r="A45" s="23" t="inlineStr">
        <is>
          <t>DHAN-341261015153909+221261015677009+321261015673209+231261015159709+231261015159909+231261015160009+221261015678509+321261015675509+231261015160209+231261015160409+341261015155309</t>
        </is>
      </c>
      <c r="B45" s="23" t="inlineStr">
        <is>
          <t>ORIENTELEC</t>
        </is>
      </c>
      <c r="C45" s="23" t="inlineStr">
        <is>
          <t>LONG</t>
        </is>
      </c>
      <c r="D45" s="24" t="n">
        <v>46311</v>
      </c>
      <c r="E45" s="4" t="n">
        <v>110.57</v>
      </c>
      <c r="F45" s="4" t="n">
        <v>611.74</v>
      </c>
      <c r="G45" s="4" t="n">
        <v>18.78</v>
      </c>
      <c r="H45" s="4" t="n">
        <v>0.61</v>
      </c>
      <c r="I45" s="4" t="n">
        <v>44.93</v>
      </c>
      <c r="J45" s="4" t="n">
        <v>23.39</v>
      </c>
      <c r="K45" s="4" t="n">
        <v>14.75</v>
      </c>
      <c r="L45" s="4" t="n">
        <v>35.4</v>
      </c>
      <c r="M45" s="4" t="n">
        <v>85.76000000000001</v>
      </c>
      <c r="N45" s="21">
        <f>SUM(E45:M45)</f>
        <v/>
      </c>
    </row>
    <row r="46">
      <c r="A46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6" s="23" t="inlineStr">
        <is>
          <t>TEAMLEASE</t>
        </is>
      </c>
      <c r="C46" s="23" t="inlineStr">
        <is>
          <t>LONG</t>
        </is>
      </c>
      <c r="D46" s="24" t="n">
        <v>46311</v>
      </c>
      <c r="E46" s="4" t="n">
        <v>109.45</v>
      </c>
      <c r="F46" s="4" t="n">
        <v>593.96</v>
      </c>
      <c r="G46" s="4" t="n">
        <v>18.23</v>
      </c>
      <c r="H46" s="4" t="n">
        <v>0.59</v>
      </c>
      <c r="I46" s="4" t="n">
        <v>44.73</v>
      </c>
      <c r="J46" s="4" t="n">
        <v>23.09</v>
      </c>
      <c r="K46" s="4" t="n">
        <v>14.75</v>
      </c>
      <c r="L46" s="4" t="n">
        <v>35.4</v>
      </c>
      <c r="M46" s="4" t="n">
        <v>75.69</v>
      </c>
      <c r="N46" s="21">
        <f>SUM(E46:M46)</f>
        <v/>
      </c>
    </row>
    <row r="47">
      <c r="A47" s="23" t="inlineStr">
        <is>
          <t>DHAN-321261016683609+23126101679509+23126101679909+321261016685009+221261016694409+221261016695109+34126101677409+321261016686809+23126101680709+321261016687809+23126101681009+34126101678009</t>
        </is>
      </c>
      <c r="B47" s="23" t="inlineStr">
        <is>
          <t>EUROPRATIK</t>
        </is>
      </c>
      <c r="C47" s="23" t="inlineStr">
        <is>
          <t>LONG</t>
        </is>
      </c>
      <c r="D47" s="24" t="n">
        <v>46314</v>
      </c>
      <c r="E47" s="4" t="n">
        <v>109.59</v>
      </c>
      <c r="F47" s="4" t="n">
        <v>601.3</v>
      </c>
      <c r="G47" s="4" t="n">
        <v>18.46</v>
      </c>
      <c r="H47" s="4" t="n">
        <v>0.6</v>
      </c>
      <c r="I47" s="4" t="n">
        <v>44.79</v>
      </c>
      <c r="J47" s="4" t="n">
        <v>23.16</v>
      </c>
      <c r="K47" s="4" t="n">
        <v>14.75</v>
      </c>
      <c r="L47" s="4" t="n">
        <v>35.4</v>
      </c>
      <c r="M47" s="4" t="n">
        <v>178.96</v>
      </c>
      <c r="N47" s="21">
        <f>SUM(E47:M47)</f>
        <v/>
      </c>
    </row>
    <row r="48">
      <c r="A48" s="23" t="inlineStr">
        <is>
          <t>DHAN-221261016693009+23126101679709+23126101679809+23126101680009+321261016685409+221261016694909+34126101677509+321261016686909+34126101677709+321261016687909+34126101677909</t>
        </is>
      </c>
      <c r="B48" s="23" t="inlineStr">
        <is>
          <t>MBEL</t>
        </is>
      </c>
      <c r="C48" s="23" t="inlineStr">
        <is>
          <t>LONG</t>
        </is>
      </c>
      <c r="D48" s="24" t="n">
        <v>46314</v>
      </c>
      <c r="E48" s="4" t="n">
        <v>110.11</v>
      </c>
      <c r="F48" s="4" t="n">
        <v>601.17</v>
      </c>
      <c r="G48" s="4" t="n">
        <v>18.46</v>
      </c>
      <c r="H48" s="4" t="n">
        <v>0.6</v>
      </c>
      <c r="I48" s="4" t="n">
        <v>45.03</v>
      </c>
      <c r="J48" s="4" t="n">
        <v>23.25</v>
      </c>
      <c r="K48" s="4" t="n">
        <v>14.75</v>
      </c>
      <c r="L48" s="4" t="n">
        <v>35.4</v>
      </c>
      <c r="M48" s="4" t="n">
        <v>179.92</v>
      </c>
      <c r="N48" s="21">
        <f>SUM(E48:M48)</f>
        <v/>
      </c>
    </row>
    <row r="49">
      <c r="A49" s="23" t="inlineStr">
        <is>
          <t>DHAN-321261016683509+23126101679609+221261016693309+321261016685109+321261016685509+321261016685809+221261016695509+34126101677609+23126101680609+23126101680809+321261016688709+321261016689109+221261016697009+321261016690409</t>
        </is>
      </c>
      <c r="B49" s="23" t="inlineStr">
        <is>
          <t>PARACABLES</t>
        </is>
      </c>
      <c r="C49" s="23" t="inlineStr">
        <is>
          <t>LONG</t>
        </is>
      </c>
      <c r="D49" s="24" t="n">
        <v>46314</v>
      </c>
      <c r="E49" s="4" t="n">
        <v>130.06</v>
      </c>
      <c r="F49" s="4" t="n">
        <v>508.5</v>
      </c>
      <c r="G49" s="4" t="n">
        <v>18.59</v>
      </c>
      <c r="H49" s="4" t="n">
        <v>0.61</v>
      </c>
      <c r="I49" s="4" t="n">
        <v>45.06</v>
      </c>
      <c r="J49" s="4" t="n">
        <v>26.87</v>
      </c>
      <c r="K49" s="4" t="n">
        <v>14.75</v>
      </c>
      <c r="L49" s="4" t="n">
        <v>35.4</v>
      </c>
      <c r="M49" s="4" t="n">
        <v>174.22</v>
      </c>
      <c r="N49" s="21">
        <f>SUM(E49:M49)</f>
        <v/>
      </c>
    </row>
    <row r="50">
      <c r="A50" s="23" t="inlineStr">
        <is>
          <t>DHAN-221261016692909+321261016684009+321261016684509+221261016693809+23126101680109+221261016695009+321261016686109+23126101680509+221261016696009+23126101680909+34126101677809+23126101681109</t>
        </is>
      </c>
      <c r="B50" s="23" t="inlineStr">
        <is>
          <t>SOLARA</t>
        </is>
      </c>
      <c r="C50" s="23" t="inlineStr">
        <is>
          <t>LONG</t>
        </is>
      </c>
      <c r="D50" s="24" t="n">
        <v>46314</v>
      </c>
      <c r="E50" s="4" t="n">
        <v>110.25</v>
      </c>
      <c r="F50" s="4" t="n">
        <v>607.04</v>
      </c>
      <c r="G50" s="4" t="n">
        <v>18.64</v>
      </c>
      <c r="H50" s="4" t="n">
        <v>0.61</v>
      </c>
      <c r="I50" s="4" t="n">
        <v>45.12</v>
      </c>
      <c r="J50" s="4" t="n">
        <v>23.31</v>
      </c>
      <c r="K50" s="4" t="n">
        <v>14.75</v>
      </c>
      <c r="L50" s="4" t="n">
        <v>35.4</v>
      </c>
      <c r="M50" s="4" t="n">
        <v>180.27</v>
      </c>
      <c r="N50" s="21">
        <f>SUM(E50:M50)</f>
        <v/>
      </c>
    </row>
    <row r="51">
      <c r="A51" s="23" t="inlineStr">
        <is>
          <t>DHAN-34126101987109+23126101991809+34126101987209+221261019598509+221261019598809+34126101987509+221261019599809+34126101987609+23126101992109+23126101992209+34126101987809+221261019601409</t>
        </is>
      </c>
      <c r="B51" s="23" t="inlineStr">
        <is>
          <t>JAICORPLTD</t>
        </is>
      </c>
      <c r="C51" s="23" t="inlineStr">
        <is>
          <t>LONG</t>
        </is>
      </c>
      <c r="D51" s="24" t="n">
        <v>46316</v>
      </c>
      <c r="E51" s="4" t="n">
        <v>109.96</v>
      </c>
      <c r="F51" s="4" t="n">
        <v>595.26</v>
      </c>
      <c r="G51" s="4" t="n">
        <v>18.28</v>
      </c>
      <c r="H51" s="4" t="n">
        <v>0.6</v>
      </c>
      <c r="I51" s="4" t="n">
        <v>44.62</v>
      </c>
      <c r="J51" s="4" t="n">
        <v>23.19</v>
      </c>
      <c r="K51" s="4" t="n">
        <v>14.75</v>
      </c>
      <c r="L51" s="4" t="n">
        <v>35.4</v>
      </c>
      <c r="M51" s="4" t="n">
        <v>142.7</v>
      </c>
      <c r="N51" s="21">
        <f>SUM(E51:M51)</f>
        <v/>
      </c>
    </row>
    <row r="52">
      <c r="A52" s="23" t="inlineStr">
        <is>
          <t>DHAN-321261019580109+321261019580509+321261019580809+221261019598309+221261019598909+34126101987409+221261019599909+321261019582809+221261019600309+321261019583209</t>
        </is>
      </c>
      <c r="B52" s="23" t="inlineStr">
        <is>
          <t>KROSS</t>
        </is>
      </c>
      <c r="C52" s="23" t="inlineStr">
        <is>
          <t>LONG</t>
        </is>
      </c>
      <c r="D52" s="24" t="n">
        <v>46316</v>
      </c>
      <c r="E52" s="4" t="n">
        <v>109.75</v>
      </c>
      <c r="F52" s="4" t="n">
        <v>581.67</v>
      </c>
      <c r="G52" s="4" t="n">
        <v>17.86</v>
      </c>
      <c r="H52" s="4" t="n">
        <v>0.58</v>
      </c>
      <c r="I52" s="4" t="n">
        <v>44.88</v>
      </c>
      <c r="J52" s="4" t="n">
        <v>23.07</v>
      </c>
      <c r="K52" s="4" t="n">
        <v>14.75</v>
      </c>
      <c r="L52" s="4" t="n">
        <v>35.4</v>
      </c>
      <c r="M52" s="4" t="n">
        <v>112.06</v>
      </c>
      <c r="N52" s="21">
        <f>SUM(E52:M52)</f>
        <v/>
      </c>
    </row>
    <row r="53">
      <c r="A53" s="23" t="inlineStr">
        <is>
          <t>DHAN-221261019597209+321261019580609+23126101992009+221261019598409+34126101987309+221261019599309+221261019599709+221261019600109+221261019600409+23126101992309+221261019601009+23126101992409+23126101992509+221261019602009</t>
        </is>
      </c>
      <c r="B53" s="23" t="inlineStr">
        <is>
          <t>PARACABLES</t>
        </is>
      </c>
      <c r="C53" s="23" t="inlineStr">
        <is>
          <t>LONG</t>
        </is>
      </c>
      <c r="D53" s="24" t="n">
        <v>46316</v>
      </c>
      <c r="E53" s="4" t="n">
        <v>64.94</v>
      </c>
      <c r="F53" s="4" t="n">
        <v>150.12</v>
      </c>
      <c r="G53" s="4" t="n">
        <v>9.210000000000001</v>
      </c>
      <c r="H53" s="4" t="n">
        <v>0.3</v>
      </c>
      <c r="I53" s="4" t="n">
        <v>4.5</v>
      </c>
      <c r="J53" s="4" t="n">
        <v>13.4</v>
      </c>
      <c r="K53" s="4" t="n">
        <v>14.75</v>
      </c>
      <c r="L53" s="4" t="n">
        <v>0</v>
      </c>
      <c r="M53" s="4" t="n">
        <v>0</v>
      </c>
      <c r="N53" s="21">
        <f>SUM(E53:M53)</f>
        <v/>
      </c>
    </row>
    <row r="54">
      <c r="A54" s="23" t="inlineStr">
        <is>
          <t>DHAN-341261023126009+321261023756709+231261023120709+221261023808609+341261023126109+231261023120809+231261023121009+321261023759509+321261023759709+221261023810109+341261023126409+321261023760109+341261023126709</t>
        </is>
      </c>
      <c r="B54" s="23" t="inlineStr">
        <is>
          <t>FISCHER</t>
        </is>
      </c>
      <c r="C54" s="23" t="inlineStr">
        <is>
          <t>LONG</t>
        </is>
      </c>
      <c r="D54" s="24" t="n">
        <v>46321</v>
      </c>
      <c r="E54" s="4" t="n">
        <v>20</v>
      </c>
      <c r="F54" s="4" t="n">
        <v>150.05</v>
      </c>
      <c r="G54" s="4" t="n">
        <v>9.359999999999999</v>
      </c>
      <c r="H54" s="4" t="n">
        <v>0.31</v>
      </c>
      <c r="I54" s="4" t="n">
        <v>22.51</v>
      </c>
      <c r="J54" s="4" t="n">
        <v>5.34</v>
      </c>
      <c r="K54" s="4" t="n">
        <v>14.75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DHAN-23126102637609</t>
        </is>
      </c>
      <c r="B55" s="23" t="inlineStr">
        <is>
          <t>FISCHER</t>
        </is>
      </c>
      <c r="C55" s="23" t="inlineStr">
        <is>
          <t>SHORT</t>
        </is>
      </c>
      <c r="D55" s="24" t="n">
        <v>46321</v>
      </c>
      <c r="E55" s="4" t="n">
        <v>0</v>
      </c>
      <c r="F55" s="4" t="n">
        <v>156.18</v>
      </c>
      <c r="G55" s="4" t="n">
        <v>4.75</v>
      </c>
      <c r="H55" s="4" t="n">
        <v>0.15</v>
      </c>
      <c r="I55" s="4" t="n">
        <v>0</v>
      </c>
      <c r="J55" s="4" t="n">
        <v>0.88</v>
      </c>
      <c r="K55" s="4" t="n">
        <v>0</v>
      </c>
      <c r="L55" s="4" t="n">
        <v>0</v>
      </c>
      <c r="M55" s="4" t="n">
        <v>0</v>
      </c>
      <c r="N55" s="21">
        <f>SUM(E55:M55)</f>
        <v/>
      </c>
    </row>
    <row r="56">
      <c r="A56" s="23" t="inlineStr">
        <is>
          <t>DHAN-221261023807609+321261023756809+231261023120609+221261023808709+221261023809309+231261023120909+221261023809609+231261023121109+341261023126209+341261023126309+341261023126509+341261023126609+321261023760409</t>
        </is>
      </c>
      <c r="B56" s="23" t="inlineStr">
        <is>
          <t>JINDALPOLY</t>
        </is>
      </c>
      <c r="C56" s="23" t="inlineStr">
        <is>
          <t>LONG</t>
        </is>
      </c>
      <c r="D56" s="24" t="n">
        <v>46321</v>
      </c>
      <c r="E56" s="4" t="n">
        <v>109.3</v>
      </c>
      <c r="F56" s="4" t="n">
        <v>583.65</v>
      </c>
      <c r="G56" s="4" t="n">
        <v>17.91</v>
      </c>
      <c r="H56" s="4" t="n">
        <v>0.58</v>
      </c>
      <c r="I56" s="4" t="n">
        <v>44.49</v>
      </c>
      <c r="J56" s="4" t="n">
        <v>23</v>
      </c>
      <c r="K56" s="4" t="n">
        <v>14.75</v>
      </c>
      <c r="L56" s="4" t="n">
        <v>35.4</v>
      </c>
      <c r="M56" s="4" t="n">
        <v>46.18</v>
      </c>
      <c r="N56" s="21">
        <f>SUM(E56:M56)</f>
        <v/>
      </c>
    </row>
    <row r="57">
      <c r="A57" s="23" t="inlineStr">
        <is>
          <t>DHAN-23126102699709+221261026669809+321261026636409+321261026636909+23126102699809+34126102699309+221261026670609+221261026671109+231261026100009+231261026100109+34126102699609+34126102699709</t>
        </is>
      </c>
      <c r="B57" s="23" t="inlineStr">
        <is>
          <t>INDOSTAR</t>
        </is>
      </c>
      <c r="C57" s="23" t="inlineStr">
        <is>
          <t>LONG</t>
        </is>
      </c>
      <c r="D57" s="24" t="n">
        <v>46322</v>
      </c>
      <c r="E57" s="4" t="n">
        <v>117.55</v>
      </c>
      <c r="F57" s="4" t="n">
        <v>614.85</v>
      </c>
      <c r="G57" s="4" t="n">
        <v>18.87</v>
      </c>
      <c r="H57" s="4" t="n">
        <v>0.61</v>
      </c>
      <c r="I57" s="4" t="n">
        <v>45.22</v>
      </c>
      <c r="J57" s="4" t="n">
        <v>24.67</v>
      </c>
      <c r="K57" s="4" t="n">
        <v>14.75</v>
      </c>
      <c r="L57" s="4" t="n">
        <v>35.4</v>
      </c>
      <c r="M57" s="4" t="n">
        <v>61.57</v>
      </c>
      <c r="N57" s="21">
        <f>SUM(E57:M57)</f>
        <v/>
      </c>
    </row>
    <row r="58">
      <c r="A58" s="23" t="inlineStr">
        <is>
          <t>DHAN-34126102781109+34126102781509+23126102780909+34126102781709+321261027587409+23126102781709+321261027588509+221261027607309+23126102782009+34126102783009+23126102782409+221261027608709+23126102782709+321261027592209</t>
        </is>
      </c>
      <c r="B58" s="23" t="inlineStr">
        <is>
          <t>AGIIL</t>
        </is>
      </c>
      <c r="C58" s="23" t="inlineStr">
        <is>
          <t>LONG</t>
        </is>
      </c>
      <c r="D58" s="24" t="n">
        <v>46323</v>
      </c>
      <c r="E58" s="4" t="n">
        <v>51.55</v>
      </c>
      <c r="F58" s="4" t="n">
        <v>171.81</v>
      </c>
      <c r="G58" s="4" t="n">
        <v>5.27</v>
      </c>
      <c r="H58" s="4" t="n">
        <v>0.17</v>
      </c>
      <c r="I58" s="4" t="n">
        <v>25.77</v>
      </c>
      <c r="J58" s="4" t="n">
        <v>10.26</v>
      </c>
      <c r="K58" s="4" t="n">
        <v>14.75</v>
      </c>
      <c r="L58" s="4" t="n">
        <v>35.4</v>
      </c>
      <c r="M58" s="4" t="n">
        <v>36.45</v>
      </c>
      <c r="N58" s="21">
        <f>SUM(E58:M58)</f>
        <v/>
      </c>
    </row>
    <row r="59">
      <c r="A59" s="23" t="inlineStr">
        <is>
          <t>DHAN-221261027603909+23126102780809+34126102781609+221261027605309+34126102781809+221261027606409+34126102782209+34126102782709+221261027607909+34126102782909+34126102783209+34126102783409+321261027591809+23126102783009</t>
        </is>
      </c>
      <c r="B59" s="23" t="inlineStr">
        <is>
          <t>BBL</t>
        </is>
      </c>
      <c r="C59" s="23" t="inlineStr">
        <is>
          <t>LONG</t>
        </is>
      </c>
      <c r="D59" s="24" t="n">
        <v>46323</v>
      </c>
      <c r="E59" s="4" t="n">
        <v>51.24</v>
      </c>
      <c r="F59" s="4" t="n">
        <v>170.82</v>
      </c>
      <c r="G59" s="4" t="n">
        <v>5.24</v>
      </c>
      <c r="H59" s="4" t="n">
        <v>0.17</v>
      </c>
      <c r="I59" s="4" t="n">
        <v>25.62</v>
      </c>
      <c r="J59" s="4" t="n">
        <v>10.2</v>
      </c>
      <c r="K59" s="4" t="n">
        <v>14.75</v>
      </c>
      <c r="L59" s="4" t="n">
        <v>35.4</v>
      </c>
      <c r="M59" s="4" t="n">
        <v>37.93</v>
      </c>
      <c r="N59" s="21">
        <f>SUM(E59:M59)</f>
        <v/>
      </c>
    </row>
    <row r="60">
      <c r="A60" s="23" t="inlineStr">
        <is>
          <t>DHAN-321261027586409+221261027604309+221261027604909+221261027605409+221261027606009+221261027606309+221261027606809+23126102781909+321261027589409+321261027590009+221261027608409</t>
        </is>
      </c>
      <c r="B60" s="23" t="inlineStr">
        <is>
          <t>JISLJALEQS</t>
        </is>
      </c>
      <c r="C60" s="23" t="inlineStr">
        <is>
          <t>LONG</t>
        </is>
      </c>
      <c r="D60" s="24" t="n">
        <v>46323</v>
      </c>
      <c r="E60" s="4" t="n">
        <v>51.45</v>
      </c>
      <c r="F60" s="4" t="n">
        <v>171.29</v>
      </c>
      <c r="G60" s="4" t="n">
        <v>5.26</v>
      </c>
      <c r="H60" s="4" t="n">
        <v>0.17</v>
      </c>
      <c r="I60" s="4" t="n">
        <v>25.26</v>
      </c>
      <c r="J60" s="4" t="n">
        <v>10.24</v>
      </c>
      <c r="K60" s="4" t="n">
        <v>14.75</v>
      </c>
      <c r="L60" s="4" t="n">
        <v>35.4</v>
      </c>
      <c r="M60" s="4" t="n">
        <v>36.72</v>
      </c>
      <c r="N60" s="21">
        <f>SUM(E60:M60)</f>
        <v/>
      </c>
    </row>
    <row r="61">
      <c r="A61" s="23" t="inlineStr">
        <is>
          <t>DHAN-221261027603809+34126102781409+221261027604809+321261027587109+23126102781309+23126102781609+34126102782109+34126102782609+321261027589509+321261027590209+34126102783109+23126102782509</t>
        </is>
      </c>
      <c r="B61" s="23" t="inlineStr">
        <is>
          <t>MAHLOG</t>
        </is>
      </c>
      <c r="C61" s="23" t="inlineStr">
        <is>
          <t>LONG</t>
        </is>
      </c>
      <c r="D61" s="24" t="n">
        <v>46323</v>
      </c>
      <c r="E61" s="4" t="n">
        <v>51.41</v>
      </c>
      <c r="F61" s="4" t="n">
        <v>171.33</v>
      </c>
      <c r="G61" s="4" t="n">
        <v>5.26</v>
      </c>
      <c r="H61" s="4" t="n">
        <v>0.17</v>
      </c>
      <c r="I61" s="4" t="n">
        <v>25.7</v>
      </c>
      <c r="J61" s="4" t="n">
        <v>10.23</v>
      </c>
      <c r="K61" s="4" t="n">
        <v>14.75</v>
      </c>
      <c r="L61" s="4" t="n">
        <v>35.4</v>
      </c>
      <c r="M61" s="4" t="n">
        <v>39.22</v>
      </c>
      <c r="N61" s="21">
        <f>SUM(E61:M61)</f>
        <v/>
      </c>
    </row>
    <row r="62">
      <c r="A62" s="23" t="inlineStr">
        <is>
          <t>DHAN-23126102780609+321261027586709+221261027605009+221261027605509+321261027587309+321261027587809+221261027606909+321261027588809+34126102782809+321261027590109+23126102782309+23126102782609</t>
        </is>
      </c>
      <c r="B62" s="23" t="inlineStr">
        <is>
          <t>PARACABLES</t>
        </is>
      </c>
      <c r="C62" s="23" t="inlineStr">
        <is>
          <t>LONG</t>
        </is>
      </c>
      <c r="D62" s="24" t="n">
        <v>46323</v>
      </c>
      <c r="E62" s="4" t="n">
        <v>51.28</v>
      </c>
      <c r="F62" s="4" t="n">
        <v>170.93</v>
      </c>
      <c r="G62" s="4" t="n">
        <v>5.25</v>
      </c>
      <c r="H62" s="4" t="n">
        <v>0.17</v>
      </c>
      <c r="I62" s="4" t="n">
        <v>25.64</v>
      </c>
      <c r="J62" s="4" t="n">
        <v>10.21</v>
      </c>
      <c r="K62" s="4" t="n">
        <v>14.75</v>
      </c>
      <c r="L62" s="4" t="n">
        <v>35.4</v>
      </c>
      <c r="M62" s="4" t="n">
        <v>33.94</v>
      </c>
      <c r="N62" s="21">
        <f>SUM(E62:M62)</f>
        <v/>
      </c>
    </row>
    <row r="63">
      <c r="A63" s="23" t="inlineStr">
        <is>
          <t>DHAN-221261027604009+34126102781209+321261027587009+221261027605609+23126102781409+321261027587709+34126102782009+34126102782509+23126102782109+321261027590309+34126102783309+321261027591009+321261027591709</t>
        </is>
      </c>
      <c r="B63" s="23" t="inlineStr">
        <is>
          <t>ZAGGLE</t>
        </is>
      </c>
      <c r="C63" s="23" t="inlineStr">
        <is>
          <t>LONG</t>
        </is>
      </c>
      <c r="D63" s="24" t="n">
        <v>46323</v>
      </c>
      <c r="E63" s="4" t="n">
        <v>51.38</v>
      </c>
      <c r="F63" s="4" t="n">
        <v>171.2</v>
      </c>
      <c r="G63" s="4" t="n">
        <v>5.26</v>
      </c>
      <c r="H63" s="4" t="n">
        <v>0.17</v>
      </c>
      <c r="I63" s="4" t="n">
        <v>25.68</v>
      </c>
      <c r="J63" s="4" t="n">
        <v>10.23</v>
      </c>
      <c r="K63" s="4" t="n">
        <v>14.75</v>
      </c>
      <c r="L63" s="4" t="n">
        <v>35.4</v>
      </c>
      <c r="M63" s="4" t="n">
        <v>34.53</v>
      </c>
      <c r="N63" s="21">
        <f>SUM(E63:M63)</f>
        <v/>
      </c>
    </row>
    <row r="64">
      <c r="A64" s="23" t="inlineStr">
        <is>
          <t>DHAN-341261028101109+231261028103509+3212610281010209+341261028101309+3212610281010909+341261028101509+3212610281011309+3212610281011409+231261028104009+231261028104109+341261028102109+341261028102309</t>
        </is>
      </c>
      <c r="B64" s="23" t="inlineStr">
        <is>
          <t>AARTIDRUGS</t>
        </is>
      </c>
      <c r="C64" s="23" t="inlineStr">
        <is>
          <t>LONG</t>
        </is>
      </c>
      <c r="D64" s="24" t="inlineStr"/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14.75</v>
      </c>
      <c r="L64" s="4" t="n">
        <v>35.4</v>
      </c>
      <c r="M64" s="4" t="n">
        <v>0</v>
      </c>
      <c r="N64" s="21">
        <f>SUM(E64:M64)</f>
        <v/>
      </c>
    </row>
    <row r="65">
      <c r="A65" s="23" t="inlineStr">
        <is>
          <t>DHAN-23126102780509+34126102781309+23126102781009+23126102781209+221261027605909+34126102781909+321261027588609+23126102781809+321261027589309+23126102782209+321261027590909+23126102782809+34126102783609</t>
        </is>
      </c>
      <c r="B65" s="23" t="inlineStr">
        <is>
          <t>BAJEL</t>
        </is>
      </c>
      <c r="C65" s="23" t="inlineStr">
        <is>
          <t>LONG</t>
        </is>
      </c>
      <c r="D65" s="24" t="inlineStr"/>
      <c r="E65" s="4" t="n">
        <v>0</v>
      </c>
      <c r="F65" s="4" t="n">
        <v>90.59</v>
      </c>
      <c r="G65" s="4" t="n">
        <v>2.78</v>
      </c>
      <c r="H65" s="4" t="n">
        <v>0.09</v>
      </c>
      <c r="I65" s="4" t="n">
        <v>13.59</v>
      </c>
      <c r="J65" s="4" t="n">
        <v>0.52</v>
      </c>
      <c r="K65" s="4" t="n">
        <v>14.75</v>
      </c>
      <c r="L65" s="4" t="n">
        <v>0</v>
      </c>
      <c r="M65" s="4" t="n">
        <v>0</v>
      </c>
      <c r="N65" s="21">
        <f>SUM(E65:M65)</f>
        <v/>
      </c>
    </row>
    <row r="66">
      <c r="A66" s="23" t="inlineStr">
        <is>
          <t>DHAN-2212610281025009+3212610281009509+3212610281010309+231261028103709+2212610281026009+2212610281026209+2212610281026509+341261028101709+231261028103909+341261028101809+341261028102009+341261028102209+231261028104209+231261028104309+231261028104409+3212610281012909</t>
        </is>
      </c>
      <c r="B66" s="23" t="inlineStr">
        <is>
          <t>PNGSREVA</t>
        </is>
      </c>
      <c r="C66" s="23" t="inlineStr">
        <is>
          <t>LONG</t>
        </is>
      </c>
      <c r="D66" s="24" t="inlineStr"/>
      <c r="E66" s="4" t="n">
        <v>0</v>
      </c>
      <c r="F66" s="4" t="n">
        <v>0</v>
      </c>
      <c r="G66" s="4" t="n">
        <v>0</v>
      </c>
      <c r="H66" s="4" t="n">
        <v>0</v>
      </c>
      <c r="I66" s="4" t="n">
        <v>0</v>
      </c>
      <c r="J66" s="4" t="n">
        <v>0</v>
      </c>
      <c r="K66" s="4" t="n">
        <v>14.75</v>
      </c>
      <c r="L66" s="4" t="n">
        <v>35.4</v>
      </c>
      <c r="M66" s="4" t="n">
        <v>0</v>
      </c>
      <c r="N66" s="21">
        <f>SUM(E66:M66)</f>
        <v/>
      </c>
    </row>
    <row r="67">
      <c r="A67" s="3" t="inlineStr">
        <is>
          <t>TOTAL</t>
        </is>
      </c>
      <c r="E67" s="32">
        <f>SUM(E4:E66)</f>
        <v/>
      </c>
      <c r="F67" s="32">
        <f>SUM(F4:F66)</f>
        <v/>
      </c>
      <c r="G67" s="32">
        <f>SUM(G4:G66)</f>
        <v/>
      </c>
      <c r="H67" s="32">
        <f>SUM(H4:H66)</f>
        <v/>
      </c>
      <c r="I67" s="32">
        <f>SUM(I4:I66)</f>
        <v/>
      </c>
      <c r="J67" s="32">
        <f>SUM(J4:J66)</f>
        <v/>
      </c>
      <c r="K67" s="32">
        <f>SUM(K4:K66)</f>
        <v/>
      </c>
      <c r="L67" s="32">
        <f>SUM(L4:L66)</f>
        <v/>
      </c>
      <c r="M67" s="32">
        <f>SUM(M4:M66)</f>
        <v/>
      </c>
      <c r="N67" s="32">
        <f>SUM(N4:N66)</f>
        <v/>
      </c>
    </row>
  </sheetData>
  <autoFilter ref="A3:N66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2026-10</t>
        </is>
      </c>
      <c r="B5" s="20">
        <f>COUNTIFS('Trade Log'!$G$4:$G$503,"&gt;="&amp;DATE(2026,10,1),'Trade Log'!$G$4:$G$503,"&lt;"&amp;DATE(2026,11,1))</f>
        <v/>
      </c>
      <c r="C5" s="20">
        <f>COUNTIFS('Trade Log'!$G$4:$G$503,"&gt;="&amp;DATE(2026,10,1),'Trade Log'!$G$4:$G$503,"&lt;"&amp;DATE(2026,11,1),'Trade Log'!$L$4:$L$503,"&gt;0")</f>
        <v/>
      </c>
      <c r="D5" s="20">
        <f>COUNTIFS('Trade Log'!$G$4:$G$503,"&gt;="&amp;DATE(2026,10,1),'Trade Log'!$G$4:$G$503,"&lt;"&amp;DATE(2026,11,1),'Trade Log'!$L$4:$L$503,"&lt;0")</f>
        <v/>
      </c>
      <c r="E5" s="22">
        <f>IFERROR($C5/$B5,"")</f>
        <v/>
      </c>
      <c r="F5" s="21">
        <f>SUMIFS('Trade Log'!$I$4:$I$503,'Trade Log'!$G$4:$G$503,"&gt;="&amp;DATE(2026,10,1),'Trade Log'!$G$4:$G$503,"&lt;"&amp;DATE(2026,11,1))</f>
        <v/>
      </c>
      <c r="G5" s="21">
        <f>SUMIFS('Trade Log'!$L$4:$L$503,'Trade Log'!$G$4:$G$503,"&gt;="&amp;DATE(2026,10,1),'Trade Log'!$G$4:$G$503,"&lt;"&amp;DATE(2026,11,1))</f>
        <v/>
      </c>
      <c r="H5" s="21">
        <f>IFERROR($G5/$B5,"")</f>
        <v/>
      </c>
      <c r="I5" s="21">
        <f>IFERROR(_xlfn.MAXIFS('Trade Log'!$L$4:$L$503,'Trade Log'!$G$4:$G$503,"&gt;="&amp;DATE(2026,10,1),'Trade Log'!$G$4:$G$503,"&lt;"&amp;DATE(2026,11,1)),"")</f>
        <v/>
      </c>
      <c r="J5" s="21">
        <f>IFERROR(_xlfn.MINIFS('Trade Log'!$L$4:$L$503,'Trade Log'!$G$4:$G$503,"&gt;="&amp;DATE(2026,10,1),'Trade Log'!$G$4:$G$503,"&lt;"&amp;DATE(2026,11,1)),"")</f>
        <v/>
      </c>
      <c r="K5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6">
      <c r="A6" s="3" t="inlineStr">
        <is>
          <t>TOTAL</t>
        </is>
      </c>
      <c r="B6" s="30">
        <f>SUM(B5:B5)</f>
        <v/>
      </c>
      <c r="C6" s="30">
        <f>SUM(C5:C5)</f>
        <v/>
      </c>
      <c r="D6" s="30">
        <f>SUM(D5:D5)</f>
        <v/>
      </c>
      <c r="E6" s="31">
        <f>IFERROR(C6/B6,"")</f>
        <v/>
      </c>
      <c r="F6" s="32">
        <f>SUM(F5:F5)</f>
        <v/>
      </c>
      <c r="G6" s="32">
        <f>SUM(G5:G5)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  <row r="8">
      <c r="A8" s="3" t="inlineStr">
        <is>
          <t>WEEKLY PnL</t>
        </is>
      </c>
    </row>
    <row r="9">
      <c r="A9" s="19" t="inlineStr">
        <is>
          <t>Period</t>
        </is>
      </c>
      <c r="B9" s="19" t="inlineStr">
        <is>
          <t>Trades</t>
        </is>
      </c>
      <c r="C9" s="19" t="inlineStr">
        <is>
          <t>Wins</t>
        </is>
      </c>
      <c r="D9" s="19" t="inlineStr">
        <is>
          <t>Losses</t>
        </is>
      </c>
      <c r="E9" s="19" t="inlineStr">
        <is>
          <t>Win Rate</t>
        </is>
      </c>
      <c r="F9" s="19" t="inlineStr">
        <is>
          <t>Gross P&amp;L</t>
        </is>
      </c>
      <c r="G9" s="19" t="inlineStr">
        <is>
          <t>Net P&amp;L</t>
        </is>
      </c>
      <c r="H9" s="19" t="inlineStr">
        <is>
          <t>Avg Net P&amp;L / Trade</t>
        </is>
      </c>
      <c r="I9" s="19" t="inlineStr">
        <is>
          <t>Best Trade</t>
        </is>
      </c>
      <c r="J9" s="19" t="inlineStr">
        <is>
          <t>Worst Trade</t>
        </is>
      </c>
      <c r="K9" s="19" t="inlineStr">
        <is>
          <t>Profit Factor</t>
        </is>
      </c>
    </row>
    <row r="10">
      <c r="A10" s="28" t="n">
        <v>46300</v>
      </c>
      <c r="B10" s="20">
        <f>COUNTIFS('Trade Log'!$G$4:$G$503,"&gt;="&amp;DATE(2026,10,5),'Trade Log'!$G$4:$G$503,"&lt;"&amp;DATE(2026,10,12))</f>
        <v/>
      </c>
      <c r="C10" s="20">
        <f>COUNTIFS('Trade Log'!$G$4:$G$503,"&gt;="&amp;DATE(2026,10,5),'Trade Log'!$G$4:$G$503,"&lt;"&amp;DATE(2026,10,12),'Trade Log'!$L$4:$L$503,"&gt;0")</f>
        <v/>
      </c>
      <c r="D10" s="20">
        <f>COUNTIFS('Trade Log'!$G$4:$G$503,"&gt;="&amp;DATE(2026,10,5),'Trade Log'!$G$4:$G$503,"&lt;"&amp;DATE(2026,10,12),'Trade Log'!$L$4:$L$503,"&lt;0")</f>
        <v/>
      </c>
      <c r="E10" s="22">
        <f>IFERROR($C10/$B10,"")</f>
        <v/>
      </c>
      <c r="F10" s="21">
        <f>SUMIFS('Trade Log'!$I$4:$I$503,'Trade Log'!$G$4:$G$503,"&gt;="&amp;DATE(2026,10,5),'Trade Log'!$G$4:$G$503,"&lt;"&amp;DATE(2026,10,12))</f>
        <v/>
      </c>
      <c r="G10" s="21">
        <f>SUMIFS('Trade Log'!$L$4:$L$503,'Trade Log'!$G$4:$G$503,"&gt;="&amp;DATE(2026,10,5),'Trade Log'!$G$4:$G$503,"&lt;"&amp;DATE(2026,10,12))</f>
        <v/>
      </c>
      <c r="H10" s="21">
        <f>IFERROR($G10/$B10,"")</f>
        <v/>
      </c>
      <c r="I10" s="21">
        <f>IFERROR(_xlfn.MAXIFS('Trade Log'!$L$4:$L$503,'Trade Log'!$G$4:$G$503,"&gt;="&amp;DATE(2026,10,5),'Trade Log'!$G$4:$G$503,"&lt;"&amp;DATE(2026,10,12)),"")</f>
        <v/>
      </c>
      <c r="J10" s="21">
        <f>IFERROR(_xlfn.MINIFS('Trade Log'!$L$4:$L$503,'Trade Log'!$G$4:$G$503,"&gt;="&amp;DATE(2026,10,5),'Trade Log'!$G$4:$G$503,"&lt;"&amp;DATE(2026,10,12)),"")</f>
        <v/>
      </c>
      <c r="K10" s="29">
        <f>IFERROR(SUMIFS('Trade Log'!$L$4:$L$503,'Trade Log'!$G$4:$G$503,"&gt;="&amp;DATE(2026,10,5),'Trade Log'!$G$4:$G$503,"&lt;"&amp;DATE(2026,10,12),'Trade Log'!$L$4:$L$503,"&gt;0")/ABS(SUMIFS('Trade Log'!$L$4:$L$503,'Trade Log'!$G$4:$G$503,"&gt;="&amp;DATE(2026,10,5),'Trade Log'!$G$4:$G$503,"&lt;"&amp;DATE(2026,10,12),'Trade Log'!$L$4:$L$503,"&lt;0")),"")</f>
        <v/>
      </c>
    </row>
    <row r="11">
      <c r="A11" s="28" t="n">
        <v>46307</v>
      </c>
      <c r="B11" s="20">
        <f>COUNTIFS('Trade Log'!$G$4:$G$503,"&gt;="&amp;DATE(2026,10,12),'Trade Log'!$G$4:$G$503,"&lt;"&amp;DATE(2026,10,19))</f>
        <v/>
      </c>
      <c r="C11" s="20">
        <f>COUNTIFS('Trade Log'!$G$4:$G$503,"&gt;="&amp;DATE(2026,10,12),'Trade Log'!$G$4:$G$503,"&lt;"&amp;DATE(2026,10,19),'Trade Log'!$L$4:$L$503,"&gt;0")</f>
        <v/>
      </c>
      <c r="D11" s="20">
        <f>COUNTIFS('Trade Log'!$G$4:$G$503,"&gt;="&amp;DATE(2026,10,12),'Trade Log'!$G$4:$G$503,"&lt;"&amp;DATE(2026,10,19),'Trade Log'!$L$4:$L$503,"&lt;0")</f>
        <v/>
      </c>
      <c r="E11" s="22">
        <f>IFERROR($C11/$B11,"")</f>
        <v/>
      </c>
      <c r="F11" s="21">
        <f>SUMIFS('Trade Log'!$I$4:$I$503,'Trade Log'!$G$4:$G$503,"&gt;="&amp;DATE(2026,10,12),'Trade Log'!$G$4:$G$503,"&lt;"&amp;DATE(2026,10,19))</f>
        <v/>
      </c>
      <c r="G11" s="21">
        <f>SUMIFS('Trade Log'!$L$4:$L$503,'Trade Log'!$G$4:$G$503,"&gt;="&amp;DATE(2026,10,12),'Trade Log'!$G$4:$G$503,"&lt;"&amp;DATE(2026,10,19))</f>
        <v/>
      </c>
      <c r="H11" s="21">
        <f>IFERROR($G11/$B11,"")</f>
        <v/>
      </c>
      <c r="I11" s="21">
        <f>IFERROR(_xlfn.MAXIFS('Trade Log'!$L$4:$L$503,'Trade Log'!$G$4:$G$503,"&gt;="&amp;DATE(2026,10,12),'Trade Log'!$G$4:$G$503,"&lt;"&amp;DATE(2026,10,19)),"")</f>
        <v/>
      </c>
      <c r="J11" s="21">
        <f>IFERROR(_xlfn.MINIFS('Trade Log'!$L$4:$L$503,'Trade Log'!$G$4:$G$503,"&gt;="&amp;DATE(2026,10,12),'Trade Log'!$G$4:$G$503,"&lt;"&amp;DATE(2026,10,19)),"")</f>
        <v/>
      </c>
      <c r="K11" s="29">
        <f>IFERROR(SUMIFS('Trade Log'!$L$4:$L$503,'Trade Log'!$G$4:$G$503,"&gt;="&amp;DATE(2026,10,12),'Trade Log'!$G$4:$G$503,"&lt;"&amp;DATE(2026,10,19),'Trade Log'!$L$4:$L$503,"&gt;0")/ABS(SUMIFS('Trade Log'!$L$4:$L$503,'Trade Log'!$G$4:$G$503,"&gt;="&amp;DATE(2026,10,12),'Trade Log'!$G$4:$G$503,"&lt;"&amp;DATE(2026,10,19),'Trade Log'!$L$4:$L$503,"&lt;0")),"")</f>
        <v/>
      </c>
    </row>
    <row r="12">
      <c r="A12" s="28" t="n">
        <v>46314</v>
      </c>
      <c r="B12" s="20">
        <f>COUNTIFS('Trade Log'!$G$4:$G$503,"&gt;="&amp;DATE(2026,10,19),'Trade Log'!$G$4:$G$503,"&lt;"&amp;DATE(2026,10,26))</f>
        <v/>
      </c>
      <c r="C12" s="20">
        <f>COUNTIFS('Trade Log'!$G$4:$G$503,"&gt;="&amp;DATE(2026,10,19),'Trade Log'!$G$4:$G$503,"&lt;"&amp;DATE(2026,10,26),'Trade Log'!$L$4:$L$503,"&gt;0")</f>
        <v/>
      </c>
      <c r="D12" s="20">
        <f>COUNTIFS('Trade Log'!$G$4:$G$503,"&gt;="&amp;DATE(2026,10,19),'Trade Log'!$G$4:$G$503,"&lt;"&amp;DATE(2026,10,26),'Trade Log'!$L$4:$L$503,"&lt;0")</f>
        <v/>
      </c>
      <c r="E12" s="22">
        <f>IFERROR($C12/$B12,"")</f>
        <v/>
      </c>
      <c r="F12" s="21">
        <f>SUMIFS('Trade Log'!$I$4:$I$503,'Trade Log'!$G$4:$G$503,"&gt;="&amp;DATE(2026,10,19),'Trade Log'!$G$4:$G$503,"&lt;"&amp;DATE(2026,10,26))</f>
        <v/>
      </c>
      <c r="G12" s="21">
        <f>SUMIFS('Trade Log'!$L$4:$L$503,'Trade Log'!$G$4:$G$503,"&gt;="&amp;DATE(2026,10,19),'Trade Log'!$G$4:$G$503,"&lt;"&amp;DATE(2026,10,26))</f>
        <v/>
      </c>
      <c r="H12" s="21">
        <f>IFERROR($G12/$B12,"")</f>
        <v/>
      </c>
      <c r="I12" s="21">
        <f>IFERROR(_xlfn.MAXIFS('Trade Log'!$L$4:$L$503,'Trade Log'!$G$4:$G$503,"&gt;="&amp;DATE(2026,10,19),'Trade Log'!$G$4:$G$503,"&lt;"&amp;DATE(2026,10,26)),"")</f>
        <v/>
      </c>
      <c r="J12" s="21">
        <f>IFERROR(_xlfn.MINIFS('Trade Log'!$L$4:$L$503,'Trade Log'!$G$4:$G$503,"&gt;="&amp;DATE(2026,10,19),'Trade Log'!$G$4:$G$503,"&lt;"&amp;DATE(2026,10,26)),"")</f>
        <v/>
      </c>
      <c r="K12" s="29">
        <f>IFERROR(SUMIFS('Trade Log'!$L$4:$L$503,'Trade Log'!$G$4:$G$503,"&gt;="&amp;DATE(2026,10,19),'Trade Log'!$G$4:$G$503,"&lt;"&amp;DATE(2026,10,26),'Trade Log'!$L$4:$L$503,"&gt;0")/ABS(SUMIFS('Trade Log'!$L$4:$L$503,'Trade Log'!$G$4:$G$503,"&gt;="&amp;DATE(2026,10,19),'Trade Log'!$G$4:$G$503,"&lt;"&amp;DATE(2026,10,26),'Trade Log'!$L$4:$L$503,"&lt;0")),"")</f>
        <v/>
      </c>
    </row>
    <row r="13">
      <c r="A13" s="28" t="n">
        <v>46321</v>
      </c>
      <c r="B13" s="20">
        <f>COUNTIFS('Trade Log'!$G$4:$G$503,"&gt;="&amp;DATE(2026,10,26),'Trade Log'!$G$4:$G$503,"&lt;"&amp;DATE(2026,11,2))</f>
        <v/>
      </c>
      <c r="C13" s="20">
        <f>COUNTIFS('Trade Log'!$G$4:$G$503,"&gt;="&amp;DATE(2026,10,26),'Trade Log'!$G$4:$G$503,"&lt;"&amp;DATE(2026,11,2),'Trade Log'!$L$4:$L$503,"&gt;0")</f>
        <v/>
      </c>
      <c r="D13" s="20">
        <f>COUNTIFS('Trade Log'!$G$4:$G$503,"&gt;="&amp;DATE(2026,10,26),'Trade Log'!$G$4:$G$503,"&lt;"&amp;DATE(2026,11,2),'Trade Log'!$L$4:$L$503,"&lt;0")</f>
        <v/>
      </c>
      <c r="E13" s="22">
        <f>IFERROR($C13/$B13,"")</f>
        <v/>
      </c>
      <c r="F13" s="21">
        <f>SUMIFS('Trade Log'!$I$4:$I$503,'Trade Log'!$G$4:$G$503,"&gt;="&amp;DATE(2026,10,26),'Trade Log'!$G$4:$G$503,"&lt;"&amp;DATE(2026,11,2))</f>
        <v/>
      </c>
      <c r="G13" s="21">
        <f>SUMIFS('Trade Log'!$L$4:$L$503,'Trade Log'!$G$4:$G$503,"&gt;="&amp;DATE(2026,10,26),'Trade Log'!$G$4:$G$503,"&lt;"&amp;DATE(2026,11,2))</f>
        <v/>
      </c>
      <c r="H13" s="21">
        <f>IFERROR($G13/$B13,"")</f>
        <v/>
      </c>
      <c r="I13" s="21">
        <f>IFERROR(_xlfn.MAXIFS('Trade Log'!$L$4:$L$503,'Trade Log'!$G$4:$G$503,"&gt;="&amp;DATE(2026,10,26),'Trade Log'!$G$4:$G$503,"&lt;"&amp;DATE(2026,11,2)),"")</f>
        <v/>
      </c>
      <c r="J13" s="21">
        <f>IFERROR(_xlfn.MINIFS('Trade Log'!$L$4:$L$503,'Trade Log'!$G$4:$G$503,"&gt;="&amp;DATE(2026,10,26),'Trade Log'!$G$4:$G$503,"&lt;"&amp;DATE(2026,11,2)),"")</f>
        <v/>
      </c>
      <c r="K13" s="29">
        <f>IFERROR(SUMIFS('Trade Log'!$L$4:$L$503,'Trade Log'!$G$4:$G$503,"&gt;="&amp;DATE(2026,10,26),'Trade Log'!$G$4:$G$503,"&lt;"&amp;DATE(2026,11,2),'Trade Log'!$L$4:$L$503,"&gt;0")/ABS(SUMIFS('Trade Log'!$L$4:$L$503,'Trade Log'!$G$4:$G$503,"&gt;="&amp;DATE(2026,10,26),'Trade Log'!$G$4:$G$503,"&lt;"&amp;DATE(2026,11,2),'Trade Log'!$L$4:$L$503,"&lt;0")),"")</f>
        <v/>
      </c>
    </row>
    <row r="14">
      <c r="A14" s="3" t="inlineStr">
        <is>
          <t>TOTAL</t>
        </is>
      </c>
      <c r="B14" s="30">
        <f>SUM(B10:B13)</f>
        <v/>
      </c>
      <c r="C14" s="30">
        <f>SUM(C10:C13)</f>
        <v/>
      </c>
      <c r="D14" s="30">
        <f>SUM(D10:D13)</f>
        <v/>
      </c>
      <c r="E14" s="31">
        <f>IFERROR(C14/B14,"")</f>
        <v/>
      </c>
      <c r="F14" s="32">
        <f>SUM(F10:F13)</f>
        <v/>
      </c>
      <c r="G14" s="32">
        <f>SUM(G10:G13)</f>
        <v/>
      </c>
      <c r="H14" s="32">
        <f>IFERROR(G14/B14,"")</f>
        <v/>
      </c>
      <c r="K14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2026-10-28T10:17:48Z</dcterms:created>
  <dcterms:modified xmlns:dcterms="http://purl.org/dc/terms/" xmlns:xsi="http://www.w3.org/2001/XMLSchema-instance" xsi:type="dcterms:W3CDTF">2026-10-28T10:17:48Z</dcterms:modified>
</cp:coreProperties>
</file>