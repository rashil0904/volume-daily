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n">
        <v>46301</v>
      </c>
      <c r="H4" s="25" t="n">
        <v>85.81999999999999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349.23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46300</v>
      </c>
      <c r="E5" s="25" t="n">
        <v>2108.8394</v>
      </c>
      <c r="F5" s="26" t="n">
        <v>71</v>
      </c>
      <c r="G5" s="24" t="n">
        <v>46301</v>
      </c>
      <c r="H5" s="25" t="n">
        <v>1945.5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192.54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10-15</t>
        </is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46300</v>
      </c>
      <c r="E6" s="25" t="n">
        <v>679.0067</v>
      </c>
      <c r="F6" s="26" t="n">
        <v>442</v>
      </c>
      <c r="G6" s="24" t="n">
        <v>46301</v>
      </c>
      <c r="H6" s="25" t="n">
        <v>660.0599999999999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964.78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5-10</t>
        </is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46300</v>
      </c>
      <c r="E7" s="25" t="n">
        <v>113.9808</v>
      </c>
      <c r="F7" s="26" t="n">
        <v>2624</v>
      </c>
      <c r="G7" s="24" t="n">
        <v>46301</v>
      </c>
      <c r="H7" s="25" t="n">
        <v>109.23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824.88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15-20</t>
        </is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46301</v>
      </c>
      <c r="E8" s="25" t="n">
        <v>1297.2208</v>
      </c>
      <c r="F8" s="26" t="n">
        <v>231</v>
      </c>
      <c r="G8" s="24" t="n">
        <v>46302</v>
      </c>
      <c r="H8" s="25" t="n">
        <v>1280.57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836.1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10-15</t>
        </is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46301</v>
      </c>
      <c r="E9" s="25" t="n">
        <v>228.9869</v>
      </c>
      <c r="F9" s="26" t="n">
        <v>1307</v>
      </c>
      <c r="G9" s="24" t="n">
        <v>46302</v>
      </c>
      <c r="H9" s="25" t="n">
        <v>235.36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979.22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5-10</t>
        </is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46301</v>
      </c>
      <c r="E10" s="25" t="n">
        <v>1238.3789</v>
      </c>
      <c r="F10" s="26" t="n">
        <v>242</v>
      </c>
      <c r="G10" s="24" t="n">
        <v>46302</v>
      </c>
      <c r="H10" s="25" t="n">
        <v>1238.1025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951.17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10-15</t>
        </is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46302</v>
      </c>
      <c r="E11" s="25" t="n">
        <v>103.743</v>
      </c>
      <c r="F11" s="26" t="n">
        <v>2316</v>
      </c>
      <c r="G11" s="24" t="n">
        <v>46303</v>
      </c>
      <c r="H11" s="25" t="n">
        <v>103.7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673.6900000000001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5-10</t>
        </is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46302</v>
      </c>
      <c r="E12" s="25" t="n">
        <v>129.8444</v>
      </c>
      <c r="F12" s="26" t="n">
        <v>1848</v>
      </c>
      <c r="G12" s="24" t="n">
        <v>46303</v>
      </c>
      <c r="H12" s="25" t="n">
        <v>125.94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735.3200000000001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5-10</t>
        </is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46302</v>
      </c>
      <c r="E13" s="25" t="n">
        <v>257.0405</v>
      </c>
      <c r="F13" s="26" t="n">
        <v>936</v>
      </c>
      <c r="G13" s="24" t="n">
        <v>46303</v>
      </c>
      <c r="H13" s="25" t="n">
        <v>238.86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645.21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5-10</t>
        </is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46302</v>
      </c>
      <c r="E14" s="25" t="n">
        <v>622.1242</v>
      </c>
      <c r="F14" s="26" t="n">
        <v>385</v>
      </c>
      <c r="G14" s="24" t="n">
        <v>46303</v>
      </c>
      <c r="H14" s="25" t="n">
        <v>636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654.64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10-15</t>
        </is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46303</v>
      </c>
      <c r="E15" s="25" t="n">
        <v>157.0151</v>
      </c>
      <c r="F15" s="26" t="n">
        <v>858</v>
      </c>
      <c r="G15" s="24" t="n">
        <v>46304</v>
      </c>
      <c r="H15" s="25" t="n">
        <v>158.01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315.57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5-10</t>
        </is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46303</v>
      </c>
      <c r="E16" s="25" t="n">
        <v>705.2641</v>
      </c>
      <c r="F16" s="26" t="n">
        <v>213</v>
      </c>
      <c r="G16" s="24" t="n">
        <v>46304</v>
      </c>
      <c r="H16" s="25" t="n">
        <v>693.37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254.86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10-15</t>
        </is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46304</v>
      </c>
      <c r="E17" s="25" t="n">
        <v>129.4349</v>
      </c>
      <c r="F17" s="26" t="n">
        <v>1547</v>
      </c>
      <c r="G17" s="24" t="n">
        <v>46307</v>
      </c>
      <c r="H17" s="25" t="n">
        <v>121.63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651.58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10-15</t>
        </is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46304</v>
      </c>
      <c r="E18" s="25" t="n">
        <v>20.9882</v>
      </c>
      <c r="F18" s="26" t="n">
        <v>3589</v>
      </c>
      <c r="G18" s="24" t="n">
        <v>46307</v>
      </c>
      <c r="H18" s="25" t="n">
        <v>21.55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150.64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5-10</t>
        </is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46304</v>
      </c>
      <c r="E19" s="25" t="n">
        <v>274.9019</v>
      </c>
      <c r="F19" s="26" t="n">
        <v>727</v>
      </c>
      <c r="G19" s="24" t="n">
        <v>46307</v>
      </c>
      <c r="H19" s="25" t="n">
        <v>263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707.5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10-15</t>
        </is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46304</v>
      </c>
      <c r="E20" s="25" t="n">
        <v>138.9161</v>
      </c>
      <c r="F20" s="26" t="n">
        <v>1443</v>
      </c>
      <c r="G20" s="24" t="n">
        <v>46307</v>
      </c>
      <c r="H20" s="25" t="n">
        <v>140.87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716.86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5-10</t>
        </is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46304</v>
      </c>
      <c r="E21" s="25" t="n">
        <v>115.2011</v>
      </c>
      <c r="F21" s="26" t="n">
        <v>864</v>
      </c>
      <c r="G21" s="24" t="n">
        <v>46307</v>
      </c>
      <c r="H21" s="25" t="n">
        <v>115.68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236.62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5-10</t>
        </is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46304</v>
      </c>
      <c r="E22" s="25" t="n">
        <v>1228.0927</v>
      </c>
      <c r="F22" s="26" t="n">
        <v>164</v>
      </c>
      <c r="G22" s="24" t="n">
        <v>46307</v>
      </c>
      <c r="H22" s="25" t="n">
        <v>1195.11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698.64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10-15</t>
        </is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46307</v>
      </c>
      <c r="E23" s="25" t="n">
        <v>157.2127</v>
      </c>
      <c r="F23" s="26" t="n">
        <v>1095</v>
      </c>
      <c r="G23" s="24" t="n">
        <v>46308</v>
      </c>
      <c r="H23" s="25" t="n">
        <v>162.33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344.89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5-10</t>
        </is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25" t="n">
        <v>162.42</v>
      </c>
      <c r="F24" s="26" t="n">
        <v>1095</v>
      </c>
      <c r="G24" s="24" t="n">
        <v>46308</v>
      </c>
      <c r="H24" s="25" t="n">
        <v>158.62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0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5-10</t>
        </is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46307</v>
      </c>
      <c r="E25" s="25" t="n">
        <v>564.8409</v>
      </c>
      <c r="F25" s="26" t="n">
        <v>303</v>
      </c>
      <c r="G25" s="24" t="n">
        <v>46308</v>
      </c>
      <c r="H25" s="25" t="n">
        <v>581.02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350.52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10-15</t>
        </is>
      </c>
    </row>
    <row r="26">
      <c r="A26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6" s="23" t="inlineStr">
        <is>
          <t>PRINCEPIPE</t>
        </is>
      </c>
      <c r="C26" s="23" t="inlineStr">
        <is>
          <t>LONG</t>
        </is>
      </c>
      <c r="D26" s="24" t="n">
        <v>46307</v>
      </c>
      <c r="E26" s="25" t="n">
        <v>267.6149</v>
      </c>
      <c r="F26" s="26" t="n">
        <v>641</v>
      </c>
      <c r="G26" s="24" t="n">
        <v>46308</v>
      </c>
      <c r="H26" s="25" t="n">
        <v>262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349.27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5-10</t>
        </is>
      </c>
    </row>
    <row r="27">
      <c r="A27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7" s="23" t="inlineStr">
        <is>
          <t>SWARAJENG</t>
        </is>
      </c>
      <c r="C27" s="23" t="inlineStr">
        <is>
          <t>LONG</t>
        </is>
      </c>
      <c r="D27" s="24" t="n">
        <v>46307</v>
      </c>
      <c r="E27" s="25" t="n">
        <v>3741.3844</v>
      </c>
      <c r="F27" s="26" t="n">
        <v>45</v>
      </c>
      <c r="G27" s="24" t="n">
        <v>46308</v>
      </c>
      <c r="H27" s="25" t="n">
        <v>3721.09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349.97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5-10</t>
        </is>
      </c>
    </row>
    <row r="28">
      <c r="A28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8" s="23" t="inlineStr">
        <is>
          <t>CMLL</t>
        </is>
      </c>
      <c r="C28" s="23" t="inlineStr">
        <is>
          <t>LONG</t>
        </is>
      </c>
      <c r="D28" s="24" t="n">
        <v>46308</v>
      </c>
      <c r="E28" s="25" t="n">
        <v>617.1578</v>
      </c>
      <c r="F28" s="26" t="n">
        <v>277</v>
      </c>
      <c r="G28" s="24" t="inlineStr"/>
      <c r="H28" s="25" t="inlineStr"/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50.15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10-15</t>
        </is>
      </c>
    </row>
    <row r="29">
      <c r="A29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29" s="23" t="inlineStr">
        <is>
          <t>HATHWAY</t>
        </is>
      </c>
      <c r="C29" s="23" t="inlineStr">
        <is>
          <t>LONG</t>
        </is>
      </c>
      <c r="D29" s="24" t="n">
        <v>46308</v>
      </c>
      <c r="E29" s="25" t="n">
        <v>11.158</v>
      </c>
      <c r="F29" s="26" t="n">
        <v>15360</v>
      </c>
      <c r="G29" s="24" t="inlineStr"/>
      <c r="H29" s="25" t="inlineStr"/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50.15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10-15</t>
        </is>
      </c>
    </row>
    <row r="30">
      <c r="A30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0" s="23" t="inlineStr">
        <is>
          <t>INDIAGLYCO</t>
        </is>
      </c>
      <c r="C30" s="23" t="inlineStr">
        <is>
          <t>LONG</t>
        </is>
      </c>
      <c r="D30" s="24" t="n">
        <v>46308</v>
      </c>
      <c r="E30" s="25" t="n">
        <v>352.906</v>
      </c>
      <c r="F30" s="26" t="n">
        <v>243</v>
      </c>
      <c r="G30" s="24" t="inlineStr"/>
      <c r="H30" s="25" t="inlineStr"/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14.75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5-10</t>
        </is>
      </c>
    </row>
    <row r="31">
      <c r="A31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1" s="23" t="inlineStr">
        <is>
          <t>INDOKEM</t>
        </is>
      </c>
      <c r="C31" s="23" t="inlineStr">
        <is>
          <t>LONG</t>
        </is>
      </c>
      <c r="D31" s="24" t="n">
        <v>46308</v>
      </c>
      <c r="E31" s="25" t="n">
        <v>677.9853000000001</v>
      </c>
      <c r="F31" s="26" t="n">
        <v>126</v>
      </c>
      <c r="G31" s="24" t="inlineStr"/>
      <c r="H31" s="25" t="inlineStr"/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14.75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10-15</t>
        </is>
      </c>
    </row>
    <row r="32">
      <c r="A32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32" s="23" t="inlineStr">
        <is>
          <t>MMWL</t>
        </is>
      </c>
      <c r="C32" s="23" t="inlineStr">
        <is>
          <t>LONG</t>
        </is>
      </c>
      <c r="D32" s="24" t="n">
        <v>46307</v>
      </c>
      <c r="E32" s="25" t="n">
        <v>22.8999</v>
      </c>
      <c r="F32" s="26" t="n">
        <v>3742</v>
      </c>
      <c r="G32" s="24" t="inlineStr"/>
      <c r="H32" s="25" t="inlineStr"/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53.57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5-10</t>
        </is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n">
        <v>46308</v>
      </c>
      <c r="E33" s="25" t="n">
        <v>1889.5856</v>
      </c>
      <c r="F33" s="26" t="n">
        <v>90</v>
      </c>
      <c r="G33" s="24" t="inlineStr"/>
      <c r="H33" s="25" t="inlineStr"/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50.15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5-10</t>
        </is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n">
        <v>46308</v>
      </c>
      <c r="E34" s="25" t="n">
        <v>156.7238</v>
      </c>
      <c r="F34" s="26" t="n">
        <v>1086</v>
      </c>
      <c r="G34" s="24" t="inlineStr"/>
      <c r="H34" s="25" t="inlineStr"/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50.15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10-15</t>
        </is>
      </c>
    </row>
    <row r="35">
      <c r="A35" s="23" t="inlineStr">
        <is>
          <t>DHAN-221261013592909+23126101376109+321261013572209+23126101376609+321261013572609+321261013573209+321261013573809+221261013596209+34126101379109+34126101379209+221261013597909</t>
        </is>
      </c>
      <c r="B35" s="23" t="inlineStr">
        <is>
          <t>SHRINGARMS</t>
        </is>
      </c>
      <c r="C35" s="23" t="inlineStr">
        <is>
          <t>LONG</t>
        </is>
      </c>
      <c r="D35" s="24" t="n">
        <v>46308</v>
      </c>
      <c r="E35" s="25" t="n">
        <v>311.7565</v>
      </c>
      <c r="F35" s="26" t="n">
        <v>549</v>
      </c>
      <c r="G35" s="24" t="inlineStr"/>
      <c r="H35" s="25" t="inlineStr"/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50.15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15-20</t>
        </is>
      </c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/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n"/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/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n"/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/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n"/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/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n"/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/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n"/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/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n"/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/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n"/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/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n"/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/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n"/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/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n"/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/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n"/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/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n"/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/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n"/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/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n"/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/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n"/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/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n"/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/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n"/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/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n"/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/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n"/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/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n"/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/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n"/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/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n"/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/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n"/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/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n"/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/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n"/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/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n"/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/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n"/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/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n"/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/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n"/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/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n"/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/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n"/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n"/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n"/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n"/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n"/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n"/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n"/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n"/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n"/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n"/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n"/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ARFIN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BLUSPRING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CMLL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DELTACORP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DPABHUSHAN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GOODLUCK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GPTINFRA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HATHWAY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INDIAGLYCO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INDOKEM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INOXGREEN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KOTIC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KRISHNADEF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MMWL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MOBIKWIK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PIXTRANS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PNCINFRA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PNGSREVA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PRINCEPIPE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RSYSTEMS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SAKSOFT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SATIN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SGFIN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SHRINGARMS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SMCGLOBAL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SUNCLAY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SWARAJENG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YUKEN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3" t="inlineStr">
        <is>
          <t>TOTAL</t>
        </is>
      </c>
      <c r="B32" s="30">
        <f>SUM(B4:B31)</f>
        <v/>
      </c>
      <c r="C32" s="30">
        <f>SUM(C4:C31)</f>
        <v/>
      </c>
      <c r="D32" s="30">
        <f>SUM(D4:D31)</f>
        <v/>
      </c>
      <c r="E32" s="31">
        <f>IFERROR(C32/B32,"")</f>
        <v/>
      </c>
      <c r="F32" s="32">
        <f>SUM(F4:F31)</f>
        <v/>
      </c>
      <c r="G32" s="32">
        <f>SUM(G4:G31)</f>
        <v/>
      </c>
      <c r="H32" s="32">
        <f>IFERROR(G32/B32,"")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46301</v>
      </c>
      <c r="E4" s="4" t="n">
        <v>0</v>
      </c>
      <c r="F4" s="4" t="n">
        <v>300.68</v>
      </c>
      <c r="G4" s="4" t="n">
        <v>9.23</v>
      </c>
      <c r="H4" s="4" t="n">
        <v>0.3</v>
      </c>
      <c r="I4" s="4" t="n">
        <v>22.55</v>
      </c>
      <c r="J4" s="4" t="n">
        <v>1.72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46301</v>
      </c>
      <c r="E5" s="4" t="n">
        <v>0</v>
      </c>
      <c r="F5" s="4" t="n">
        <v>149.73</v>
      </c>
      <c r="G5" s="4" t="n">
        <v>4.6</v>
      </c>
      <c r="H5" s="4" t="n">
        <v>0.15</v>
      </c>
      <c r="I5" s="4" t="n">
        <v>22.46</v>
      </c>
      <c r="J5" s="4" t="n">
        <v>0.85</v>
      </c>
      <c r="K5" s="4" t="n">
        <v>14.75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46301</v>
      </c>
      <c r="E6" s="4" t="n">
        <v>110.04</v>
      </c>
      <c r="F6" s="4" t="n">
        <v>591.87</v>
      </c>
      <c r="G6" s="4" t="n">
        <v>18.17</v>
      </c>
      <c r="H6" s="4" t="n">
        <v>0.59</v>
      </c>
      <c r="I6" s="4" t="n">
        <v>45.02</v>
      </c>
      <c r="J6" s="4" t="n">
        <v>23.18</v>
      </c>
      <c r="K6" s="4" t="n">
        <v>14.75</v>
      </c>
      <c r="L6" s="4" t="n">
        <v>35.4</v>
      </c>
      <c r="M6" s="4" t="n">
        <v>125.76</v>
      </c>
      <c r="N6" s="21">
        <f>SUM(E6:M6)</f>
        <v/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46301</v>
      </c>
      <c r="E7" s="4" t="n">
        <v>40</v>
      </c>
      <c r="F7" s="4" t="n">
        <v>585.45</v>
      </c>
      <c r="G7" s="4" t="n">
        <v>17.98</v>
      </c>
      <c r="H7" s="4" t="n">
        <v>0.59</v>
      </c>
      <c r="I7" s="4" t="n">
        <v>44.97</v>
      </c>
      <c r="J7" s="4" t="n">
        <v>10.54</v>
      </c>
      <c r="K7" s="4" t="n">
        <v>14.75</v>
      </c>
      <c r="L7" s="4" t="n">
        <v>35.4</v>
      </c>
      <c r="M7" s="4" t="n">
        <v>75.19</v>
      </c>
      <c r="N7" s="21">
        <f>SUM(E7:M7)</f>
        <v/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46302</v>
      </c>
      <c r="E8" s="4" t="n">
        <v>40</v>
      </c>
      <c r="F8" s="4" t="n">
        <v>595.97</v>
      </c>
      <c r="G8" s="4" t="n">
        <v>18.28</v>
      </c>
      <c r="H8" s="4" t="n">
        <v>0.6</v>
      </c>
      <c r="I8" s="4" t="n">
        <v>45.16</v>
      </c>
      <c r="J8" s="4" t="n">
        <v>10.6</v>
      </c>
      <c r="K8" s="4" t="n">
        <v>14.75</v>
      </c>
      <c r="L8" s="4" t="n">
        <v>35.4</v>
      </c>
      <c r="M8" s="4" t="n">
        <v>75.34</v>
      </c>
      <c r="N8" s="21">
        <f>SUM(E8:M8)</f>
        <v/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46302</v>
      </c>
      <c r="E9" s="4" t="n">
        <v>109.77</v>
      </c>
      <c r="F9" s="4" t="n">
        <v>606.55</v>
      </c>
      <c r="G9" s="4" t="n">
        <v>18.63</v>
      </c>
      <c r="H9" s="4" t="n">
        <v>0.6</v>
      </c>
      <c r="I9" s="4" t="n">
        <v>44.89</v>
      </c>
      <c r="J9" s="4" t="n">
        <v>23.22</v>
      </c>
      <c r="K9" s="4" t="n">
        <v>14.75</v>
      </c>
      <c r="L9" s="4" t="n">
        <v>35.4</v>
      </c>
      <c r="M9" s="4" t="n">
        <v>125.41</v>
      </c>
      <c r="N9" s="21">
        <f>SUM(E9:M9)</f>
        <v/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46302</v>
      </c>
      <c r="E10" s="4" t="n">
        <v>109.91</v>
      </c>
      <c r="F10" s="4" t="n">
        <v>599.3099999999999</v>
      </c>
      <c r="G10" s="4" t="n">
        <v>18.4</v>
      </c>
      <c r="H10" s="4" t="n">
        <v>0.6</v>
      </c>
      <c r="I10" s="4" t="n">
        <v>44.95</v>
      </c>
      <c r="J10" s="4" t="n">
        <v>23.2</v>
      </c>
      <c r="K10" s="4" t="n">
        <v>14.75</v>
      </c>
      <c r="L10" s="4" t="n">
        <v>35.4</v>
      </c>
      <c r="M10" s="4" t="n">
        <v>104.65</v>
      </c>
      <c r="N10" s="21">
        <f>SUM(E10:M10)</f>
        <v/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46303</v>
      </c>
      <c r="E11" s="4" t="n">
        <v>40</v>
      </c>
      <c r="F11" s="4" t="n">
        <v>480.43</v>
      </c>
      <c r="G11" s="4" t="n">
        <v>14.75</v>
      </c>
      <c r="H11" s="4" t="n">
        <v>0.48</v>
      </c>
      <c r="I11" s="4" t="n">
        <v>35.99</v>
      </c>
      <c r="J11" s="4" t="n">
        <v>9.94</v>
      </c>
      <c r="K11" s="4" t="n">
        <v>14.75</v>
      </c>
      <c r="L11" s="4" t="n">
        <v>35.4</v>
      </c>
      <c r="M11" s="4" t="n">
        <v>41.95</v>
      </c>
      <c r="N11" s="21">
        <f>SUM(E11:M11)</f>
        <v/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46303</v>
      </c>
      <c r="E12" s="4" t="n">
        <v>91.98999999999999</v>
      </c>
      <c r="F12" s="4" t="n">
        <v>472.68</v>
      </c>
      <c r="G12" s="4" t="n">
        <v>14.51</v>
      </c>
      <c r="H12" s="4" t="n">
        <v>0.47</v>
      </c>
      <c r="I12" s="4" t="n">
        <v>35.99</v>
      </c>
      <c r="J12" s="4" t="n">
        <v>19.26</v>
      </c>
      <c r="K12" s="4" t="n">
        <v>14.75</v>
      </c>
      <c r="L12" s="4" t="n">
        <v>35.4</v>
      </c>
      <c r="M12" s="4" t="n">
        <v>50.27</v>
      </c>
      <c r="N12" s="21">
        <f>SUM(E12:M12)</f>
        <v/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46303</v>
      </c>
      <c r="E13" s="4" t="n">
        <v>40</v>
      </c>
      <c r="F13" s="4" t="n">
        <v>464.16</v>
      </c>
      <c r="G13" s="4" t="n">
        <v>14.25</v>
      </c>
      <c r="H13" s="4" t="n">
        <v>0.46</v>
      </c>
      <c r="I13" s="4" t="n">
        <v>36.09</v>
      </c>
      <c r="J13" s="4" t="n">
        <v>9.85</v>
      </c>
      <c r="K13" s="4" t="n">
        <v>14.75</v>
      </c>
      <c r="L13" s="4" t="n">
        <v>35.4</v>
      </c>
      <c r="M13" s="4" t="n">
        <v>30.24</v>
      </c>
      <c r="N13" s="21">
        <f>SUM(E13:M13)</f>
        <v/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46303</v>
      </c>
      <c r="E14" s="4" t="n">
        <v>111.87</v>
      </c>
      <c r="F14" s="4" t="n">
        <v>388.32</v>
      </c>
      <c r="G14" s="4" t="n">
        <v>14.87</v>
      </c>
      <c r="H14" s="4" t="n">
        <v>0.49</v>
      </c>
      <c r="I14" s="4" t="n">
        <v>35.93</v>
      </c>
      <c r="J14" s="4" t="n">
        <v>22.9</v>
      </c>
      <c r="K14" s="4" t="n">
        <v>14.75</v>
      </c>
      <c r="L14" s="4" t="n">
        <v>35.4</v>
      </c>
      <c r="M14" s="4" t="n">
        <v>30.11</v>
      </c>
      <c r="N14" s="21">
        <f>SUM(E14:M14)</f>
        <v/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46304</v>
      </c>
      <c r="E15" s="4" t="n">
        <v>0</v>
      </c>
      <c r="F15" s="4" t="n">
        <v>270.22</v>
      </c>
      <c r="G15" s="4" t="n">
        <v>8.289999999999999</v>
      </c>
      <c r="H15" s="4" t="n">
        <v>0.27</v>
      </c>
      <c r="I15" s="4" t="n">
        <v>20.49</v>
      </c>
      <c r="J15" s="4" t="n">
        <v>1.54</v>
      </c>
      <c r="K15" s="4" t="n">
        <v>14.75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46304</v>
      </c>
      <c r="E16" s="4" t="n">
        <v>65.06</v>
      </c>
      <c r="F16" s="4" t="n">
        <v>147.69</v>
      </c>
      <c r="G16" s="4" t="n">
        <v>9.15</v>
      </c>
      <c r="H16" s="4" t="n">
        <v>0.3</v>
      </c>
      <c r="I16" s="4" t="n">
        <v>4.51</v>
      </c>
      <c r="J16" s="4" t="n">
        <v>13.41</v>
      </c>
      <c r="K16" s="4" t="n">
        <v>14.75</v>
      </c>
      <c r="L16" s="4" t="n">
        <v>0</v>
      </c>
      <c r="M16" s="4" t="n">
        <v>0</v>
      </c>
      <c r="N16" s="21">
        <f>SUM(E16:M16)</f>
        <v/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46307</v>
      </c>
      <c r="E17" s="4" t="n">
        <v>80.09999999999999</v>
      </c>
      <c r="F17" s="4" t="n">
        <v>388.39</v>
      </c>
      <c r="G17" s="4" t="n">
        <v>11.92</v>
      </c>
      <c r="H17" s="4" t="n">
        <v>0.39</v>
      </c>
      <c r="I17" s="4" t="n">
        <v>30.04</v>
      </c>
      <c r="J17" s="4" t="n">
        <v>16.63</v>
      </c>
      <c r="K17" s="4" t="n">
        <v>14.75</v>
      </c>
      <c r="L17" s="4" t="n">
        <v>35.4</v>
      </c>
      <c r="M17" s="4" t="n">
        <v>73.95999999999999</v>
      </c>
      <c r="N17" s="21">
        <f>SUM(E17:M17)</f>
        <v/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46307</v>
      </c>
      <c r="E18" s="4" t="n">
        <v>20</v>
      </c>
      <c r="F18" s="4" t="n">
        <v>95.28</v>
      </c>
      <c r="G18" s="4" t="n">
        <v>4.69</v>
      </c>
      <c r="H18" s="4" t="n">
        <v>0.15</v>
      </c>
      <c r="I18" s="4" t="n">
        <v>11.3</v>
      </c>
      <c r="J18" s="4" t="n">
        <v>4.47</v>
      </c>
      <c r="K18" s="4" t="n">
        <v>14.75</v>
      </c>
      <c r="L18" s="4" t="n">
        <v>0</v>
      </c>
      <c r="M18" s="4" t="n">
        <v>0</v>
      </c>
      <c r="N18" s="21">
        <f>SUM(E18:M18)</f>
        <v/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46307</v>
      </c>
      <c r="E19" s="4" t="n">
        <v>79.98</v>
      </c>
      <c r="F19" s="4" t="n">
        <v>391.05</v>
      </c>
      <c r="G19" s="4" t="n">
        <v>12.01</v>
      </c>
      <c r="H19" s="4" t="n">
        <v>0.39</v>
      </c>
      <c r="I19" s="4" t="n">
        <v>29.98</v>
      </c>
      <c r="J19" s="4" t="n">
        <v>16.63</v>
      </c>
      <c r="K19" s="4" t="n">
        <v>14.75</v>
      </c>
      <c r="L19" s="4" t="n">
        <v>35.4</v>
      </c>
      <c r="M19" s="4" t="n">
        <v>127.32</v>
      </c>
      <c r="N19" s="21">
        <f>SUM(E19:M19)</f>
        <v/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46307</v>
      </c>
      <c r="E20" s="4" t="n">
        <v>80.11</v>
      </c>
      <c r="F20" s="4" t="n">
        <v>403.61</v>
      </c>
      <c r="G20" s="4" t="n">
        <v>12.39</v>
      </c>
      <c r="H20" s="4" t="n">
        <v>0.4</v>
      </c>
      <c r="I20" s="4" t="n">
        <v>30.07</v>
      </c>
      <c r="J20" s="4" t="n">
        <v>16.72</v>
      </c>
      <c r="K20" s="4" t="n">
        <v>14.75</v>
      </c>
      <c r="L20" s="4" t="n">
        <v>35.4</v>
      </c>
      <c r="M20" s="4" t="n">
        <v>123.4</v>
      </c>
      <c r="N20" s="21">
        <f>SUM(E20:M20)</f>
        <v/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46307</v>
      </c>
      <c r="E21" s="4" t="n">
        <v>0</v>
      </c>
      <c r="F21" s="4" t="n">
        <v>199.48</v>
      </c>
      <c r="G21" s="4" t="n">
        <v>6.12</v>
      </c>
      <c r="H21" s="4" t="n">
        <v>0.2</v>
      </c>
      <c r="I21" s="4" t="n">
        <v>14.93</v>
      </c>
      <c r="J21" s="4" t="n">
        <v>1.14</v>
      </c>
      <c r="K21" s="4" t="n">
        <v>14.75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46307</v>
      </c>
      <c r="E22" s="4" t="n">
        <v>69.11</v>
      </c>
      <c r="F22" s="4" t="n">
        <v>397.41</v>
      </c>
      <c r="G22" s="4" t="n">
        <v>12.2</v>
      </c>
      <c r="H22" s="4" t="n">
        <v>0.4</v>
      </c>
      <c r="I22" s="4" t="n">
        <v>30.68</v>
      </c>
      <c r="J22" s="4" t="n">
        <v>14.71</v>
      </c>
      <c r="K22" s="4" t="n">
        <v>14.75</v>
      </c>
      <c r="L22" s="4" t="n">
        <v>35.4</v>
      </c>
      <c r="M22" s="4" t="n">
        <v>123.99</v>
      </c>
      <c r="N22" s="21">
        <f>SUM(E22:M22)</f>
        <v/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46308</v>
      </c>
      <c r="E23" s="4" t="n">
        <v>51.61</v>
      </c>
      <c r="F23" s="4" t="n">
        <v>172.14</v>
      </c>
      <c r="G23" s="4" t="n">
        <v>5.28</v>
      </c>
      <c r="H23" s="4" t="n">
        <v>0.17</v>
      </c>
      <c r="I23" s="4" t="n">
        <v>25.82</v>
      </c>
      <c r="J23" s="4" t="n">
        <v>10.27</v>
      </c>
      <c r="K23" s="4" t="n">
        <v>14.75</v>
      </c>
      <c r="L23" s="4" t="n">
        <v>35.4</v>
      </c>
      <c r="M23" s="4" t="n">
        <v>29.44</v>
      </c>
      <c r="N23" s="21">
        <f>SUM(E23:M23)</f>
        <v/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21">
        <f>SUM(E24:M24)</f>
        <v/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46308</v>
      </c>
      <c r="E25" s="4" t="n">
        <v>51.35</v>
      </c>
      <c r="F25" s="4" t="n">
        <v>171.15</v>
      </c>
      <c r="G25" s="4" t="n">
        <v>5.25</v>
      </c>
      <c r="H25" s="4" t="n">
        <v>0.17</v>
      </c>
      <c r="I25" s="4" t="n">
        <v>25.67</v>
      </c>
      <c r="J25" s="4" t="n">
        <v>10.22</v>
      </c>
      <c r="K25" s="4" t="n">
        <v>14.75</v>
      </c>
      <c r="L25" s="4" t="n">
        <v>35.4</v>
      </c>
      <c r="M25" s="4" t="n">
        <v>36.56</v>
      </c>
      <c r="N25" s="21">
        <f>SUM(E25:M25)</f>
        <v/>
      </c>
    </row>
    <row r="26">
      <c r="A26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6" s="23" t="inlineStr">
        <is>
          <t>PRINCEPIPE</t>
        </is>
      </c>
      <c r="C26" s="23" t="inlineStr">
        <is>
          <t>LONG</t>
        </is>
      </c>
      <c r="D26" s="24" t="n">
        <v>46308</v>
      </c>
      <c r="E26" s="4" t="n">
        <v>51.44</v>
      </c>
      <c r="F26" s="4" t="n">
        <v>171.54</v>
      </c>
      <c r="G26" s="4" t="n">
        <v>5.27</v>
      </c>
      <c r="H26" s="4" t="n">
        <v>0.17</v>
      </c>
      <c r="I26" s="4" t="n">
        <v>25.26</v>
      </c>
      <c r="J26" s="4" t="n">
        <v>10.24</v>
      </c>
      <c r="K26" s="4" t="n">
        <v>14.75</v>
      </c>
      <c r="L26" s="4" t="n">
        <v>35.4</v>
      </c>
      <c r="M26" s="4" t="n">
        <v>35.2</v>
      </c>
      <c r="N26" s="21">
        <f>SUM(E26:M26)</f>
        <v/>
      </c>
    </row>
    <row r="27">
      <c r="A27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7" s="23" t="inlineStr">
        <is>
          <t>SWARAJENG</t>
        </is>
      </c>
      <c r="C27" s="23" t="inlineStr">
        <is>
          <t>LONG</t>
        </is>
      </c>
      <c r="D27" s="24" t="n">
        <v>46308</v>
      </c>
      <c r="E27" s="4" t="n">
        <v>50.51</v>
      </c>
      <c r="F27" s="4" t="n">
        <v>168.36</v>
      </c>
      <c r="G27" s="4" t="n">
        <v>5.17</v>
      </c>
      <c r="H27" s="4" t="n">
        <v>0.17</v>
      </c>
      <c r="I27" s="4" t="n">
        <v>25.25</v>
      </c>
      <c r="J27" s="4" t="n">
        <v>10.05</v>
      </c>
      <c r="K27" s="4" t="n">
        <v>14.75</v>
      </c>
      <c r="L27" s="4" t="n">
        <v>35.4</v>
      </c>
      <c r="M27" s="4" t="n">
        <v>40.31</v>
      </c>
      <c r="N27" s="21">
        <f>SUM(E27:M27)</f>
        <v/>
      </c>
    </row>
    <row r="28">
      <c r="A28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8" s="23" t="inlineStr">
        <is>
          <t>CMLL</t>
        </is>
      </c>
      <c r="C28" s="23" t="inlineStr">
        <is>
          <t>LONG</t>
        </is>
      </c>
      <c r="D28" s="24" t="inlineStr"/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14.75</v>
      </c>
      <c r="L28" s="4" t="n">
        <v>35.4</v>
      </c>
      <c r="M28" s="4" t="n">
        <v>0</v>
      </c>
      <c r="N28" s="21">
        <f>SUM(E28:M28)</f>
        <v/>
      </c>
    </row>
    <row r="29">
      <c r="A29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29" s="23" t="inlineStr">
        <is>
          <t>HATHWAY</t>
        </is>
      </c>
      <c r="C29" s="23" t="inlineStr">
        <is>
          <t>LONG</t>
        </is>
      </c>
      <c r="D29" s="24" t="inlineStr"/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14.75</v>
      </c>
      <c r="L29" s="4" t="n">
        <v>35.4</v>
      </c>
      <c r="M29" s="4" t="n">
        <v>0</v>
      </c>
      <c r="N29" s="21">
        <f>SUM(E29:M29)</f>
        <v/>
      </c>
    </row>
    <row r="30">
      <c r="A30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0" s="23" t="inlineStr">
        <is>
          <t>INDIAGLYCO</t>
        </is>
      </c>
      <c r="C30" s="23" t="inlineStr">
        <is>
          <t>LONG</t>
        </is>
      </c>
      <c r="D30" s="24" t="inlineStr"/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14.75</v>
      </c>
      <c r="L30" s="4" t="n">
        <v>0</v>
      </c>
      <c r="M30" s="4" t="n">
        <v>0</v>
      </c>
      <c r="N30" s="21">
        <f>SUM(E30:M30)</f>
        <v/>
      </c>
    </row>
    <row r="31">
      <c r="A31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1" s="23" t="inlineStr">
        <is>
          <t>INDOKEM</t>
        </is>
      </c>
      <c r="C31" s="23" t="inlineStr">
        <is>
          <t>LONG</t>
        </is>
      </c>
      <c r="D31" s="24" t="inlineStr"/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14.75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32" s="23" t="inlineStr">
        <is>
          <t>MMWL</t>
        </is>
      </c>
      <c r="C32" s="23" t="inlineStr">
        <is>
          <t>LONG</t>
        </is>
      </c>
      <c r="D32" s="24" t="inlineStr"/>
      <c r="E32" s="4" t="n">
        <v>24.76</v>
      </c>
      <c r="F32" s="4" t="n">
        <v>3.4</v>
      </c>
      <c r="G32" s="4" t="n">
        <v>2.63</v>
      </c>
      <c r="H32" s="4" t="n">
        <v>0.09</v>
      </c>
      <c r="I32" s="4" t="n">
        <v>3</v>
      </c>
      <c r="J32" s="4" t="n">
        <v>4.95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inlineStr"/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14.75</v>
      </c>
      <c r="L33" s="4" t="n">
        <v>35.4</v>
      </c>
      <c r="M33" s="4" t="n">
        <v>0</v>
      </c>
      <c r="N33" s="21">
        <f>SUM(E33:M33)</f>
        <v/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inlineStr"/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14.75</v>
      </c>
      <c r="L34" s="4" t="n">
        <v>35.4</v>
      </c>
      <c r="M34" s="4" t="n">
        <v>0</v>
      </c>
      <c r="N34" s="21">
        <f>SUM(E34:M34)</f>
        <v/>
      </c>
    </row>
    <row r="35">
      <c r="A35" s="23" t="inlineStr">
        <is>
          <t>DHAN-221261013592909+23126101376109+321261013572209+23126101376609+321261013572609+321261013573209+321261013573809+221261013596209+34126101379109+34126101379209+221261013597909</t>
        </is>
      </c>
      <c r="B35" s="23" t="inlineStr">
        <is>
          <t>SHRINGARMS</t>
        </is>
      </c>
      <c r="C35" s="23" t="inlineStr">
        <is>
          <t>LONG</t>
        </is>
      </c>
      <c r="D35" s="24" t="inlineStr"/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14.75</v>
      </c>
      <c r="L35" s="4" t="n">
        <v>35.4</v>
      </c>
      <c r="M35" s="4" t="n">
        <v>0</v>
      </c>
      <c r="N35" s="21">
        <f>SUM(E35:M35)</f>
        <v/>
      </c>
    </row>
    <row r="36">
      <c r="A36" s="3" t="inlineStr">
        <is>
          <t>TOTAL</t>
        </is>
      </c>
      <c r="E36" s="32">
        <f>SUM(E4:E35)</f>
        <v/>
      </c>
      <c r="F36" s="32">
        <f>SUM(F4:F35)</f>
        <v/>
      </c>
      <c r="G36" s="32">
        <f>SUM(G4:G35)</f>
        <v/>
      </c>
      <c r="H36" s="32">
        <f>SUM(H4:H35)</f>
        <v/>
      </c>
      <c r="I36" s="32">
        <f>SUM(I4:I35)</f>
        <v/>
      </c>
      <c r="J36" s="32">
        <f>SUM(J4:J35)</f>
        <v/>
      </c>
      <c r="K36" s="32">
        <f>SUM(K4:K35)</f>
        <v/>
      </c>
      <c r="L36" s="32">
        <f>SUM(L4:L35)</f>
        <v/>
      </c>
      <c r="M36" s="32">
        <f>SUM(M4:M35)</f>
        <v/>
      </c>
      <c r="N36" s="32">
        <f>SUM(N4:N35)</f>
        <v/>
      </c>
    </row>
  </sheetData>
  <autoFilter ref="A3:N35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2026-10</t>
        </is>
      </c>
      <c r="B5" s="20">
        <f>COUNTIFS('Trade Log'!$G$4:$G$503,"&gt;="&amp;DATE(2026,10,1),'Trade Log'!$G$4:$G$503,"&lt;"&amp;DATE(2026,11,1))</f>
        <v/>
      </c>
      <c r="C5" s="20">
        <f>COUNTIFS('Trade Log'!$G$4:$G$503,"&gt;="&amp;DATE(2026,10,1),'Trade Log'!$G$4:$G$503,"&lt;"&amp;DATE(2026,11,1),'Trade Log'!$L$4:$L$503,"&gt;0")</f>
        <v/>
      </c>
      <c r="D5" s="20">
        <f>COUNTIFS('Trade Log'!$G$4:$G$503,"&gt;="&amp;DATE(2026,10,1),'Trade Log'!$G$4:$G$503,"&lt;"&amp;DATE(2026,11,1),'Trade Log'!$L$4:$L$503,"&lt;0")</f>
        <v/>
      </c>
      <c r="E5" s="22">
        <f>IFERROR($C5/$B5,"")</f>
        <v/>
      </c>
      <c r="F5" s="21">
        <f>SUMIFS('Trade Log'!$I$4:$I$503,'Trade Log'!$G$4:$G$503,"&gt;="&amp;DATE(2026,10,1),'Trade Log'!$G$4:$G$503,"&lt;"&amp;DATE(2026,11,1))</f>
        <v/>
      </c>
      <c r="G5" s="21">
        <f>SUMIFS('Trade Log'!$L$4:$L$503,'Trade Log'!$G$4:$G$503,"&gt;="&amp;DATE(2026,10,1),'Trade Log'!$G$4:$G$503,"&lt;"&amp;DATE(2026,11,1))</f>
        <v/>
      </c>
      <c r="H5" s="21">
        <f>IFERROR($G5/$B5,"")</f>
        <v/>
      </c>
      <c r="I5" s="21">
        <f>IFERROR(_xlfn.MAXIFS('Trade Log'!$L$4:$L$503,'Trade Log'!$G$4:$G$503,"&gt;="&amp;DATE(2026,10,1),'Trade Log'!$G$4:$G$503,"&lt;"&amp;DATE(2026,11,1)),"")</f>
        <v/>
      </c>
      <c r="J5" s="21">
        <f>IFERROR(_xlfn.MINIFS('Trade Log'!$L$4:$L$503,'Trade Log'!$G$4:$G$503,"&gt;="&amp;DATE(2026,10,1),'Trade Log'!$G$4:$G$503,"&lt;"&amp;DATE(2026,11,1)),"")</f>
        <v/>
      </c>
      <c r="K5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6">
      <c r="A6" s="3" t="inlineStr">
        <is>
          <t>TOTAL</t>
        </is>
      </c>
      <c r="B6" s="30">
        <f>SUM(B5:B5)</f>
        <v/>
      </c>
      <c r="C6" s="30">
        <f>SUM(C5:C5)</f>
        <v/>
      </c>
      <c r="D6" s="30">
        <f>SUM(D5:D5)</f>
        <v/>
      </c>
      <c r="E6" s="31">
        <f>IFERROR(C6/B6,"")</f>
        <v/>
      </c>
      <c r="F6" s="32">
        <f>SUM(F5:F5)</f>
        <v/>
      </c>
      <c r="G6" s="32">
        <f>SUM(G5:G5)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  <row r="8">
      <c r="A8" s="3" t="inlineStr">
        <is>
          <t>WEEKLY PnL</t>
        </is>
      </c>
    </row>
    <row r="9">
      <c r="A9" s="19" t="inlineStr">
        <is>
          <t>Period</t>
        </is>
      </c>
      <c r="B9" s="19" t="inlineStr">
        <is>
          <t>Trades</t>
        </is>
      </c>
      <c r="C9" s="19" t="inlineStr">
        <is>
          <t>Wins</t>
        </is>
      </c>
      <c r="D9" s="19" t="inlineStr">
        <is>
          <t>Losses</t>
        </is>
      </c>
      <c r="E9" s="19" t="inlineStr">
        <is>
          <t>Win Rate</t>
        </is>
      </c>
      <c r="F9" s="19" t="inlineStr">
        <is>
          <t>Gross P&amp;L</t>
        </is>
      </c>
      <c r="G9" s="19" t="inlineStr">
        <is>
          <t>Net P&amp;L</t>
        </is>
      </c>
      <c r="H9" s="19" t="inlineStr">
        <is>
          <t>Avg Net P&amp;L / Trade</t>
        </is>
      </c>
      <c r="I9" s="19" t="inlineStr">
        <is>
          <t>Best Trade</t>
        </is>
      </c>
      <c r="J9" s="19" t="inlineStr">
        <is>
          <t>Worst Trade</t>
        </is>
      </c>
      <c r="K9" s="19" t="inlineStr">
        <is>
          <t>Profit Factor</t>
        </is>
      </c>
    </row>
    <row r="10">
      <c r="A10" s="28" t="n">
        <v>46300</v>
      </c>
      <c r="B10" s="20">
        <f>COUNTIFS('Trade Log'!$G$4:$G$503,"&gt;="&amp;DATE(2026,10,5),'Trade Log'!$G$4:$G$503,"&lt;"&amp;DATE(2026,10,12))</f>
        <v/>
      </c>
      <c r="C10" s="20">
        <f>COUNTIFS('Trade Log'!$G$4:$G$503,"&gt;="&amp;DATE(2026,10,5),'Trade Log'!$G$4:$G$503,"&lt;"&amp;DATE(2026,10,12),'Trade Log'!$L$4:$L$503,"&gt;0")</f>
        <v/>
      </c>
      <c r="D10" s="20">
        <f>COUNTIFS('Trade Log'!$G$4:$G$503,"&gt;="&amp;DATE(2026,10,5),'Trade Log'!$G$4:$G$503,"&lt;"&amp;DATE(2026,10,12),'Trade Log'!$L$4:$L$503,"&lt;0")</f>
        <v/>
      </c>
      <c r="E10" s="22">
        <f>IFERROR($C10/$B10,"")</f>
        <v/>
      </c>
      <c r="F10" s="21">
        <f>SUMIFS('Trade Log'!$I$4:$I$503,'Trade Log'!$G$4:$G$503,"&gt;="&amp;DATE(2026,10,5),'Trade Log'!$G$4:$G$503,"&lt;"&amp;DATE(2026,10,12))</f>
        <v/>
      </c>
      <c r="G10" s="21">
        <f>SUMIFS('Trade Log'!$L$4:$L$503,'Trade Log'!$G$4:$G$503,"&gt;="&amp;DATE(2026,10,5),'Trade Log'!$G$4:$G$503,"&lt;"&amp;DATE(2026,10,12))</f>
        <v/>
      </c>
      <c r="H10" s="21">
        <f>IFERROR($G10/$B10,"")</f>
        <v/>
      </c>
      <c r="I10" s="21">
        <f>IFERROR(_xlfn.MAXIFS('Trade Log'!$L$4:$L$503,'Trade Log'!$G$4:$G$503,"&gt;="&amp;DATE(2026,10,5),'Trade Log'!$G$4:$G$503,"&lt;"&amp;DATE(2026,10,12)),"")</f>
        <v/>
      </c>
      <c r="J10" s="21">
        <f>IFERROR(_xlfn.MINIFS('Trade Log'!$L$4:$L$503,'Trade Log'!$G$4:$G$503,"&gt;="&amp;DATE(2026,10,5),'Trade Log'!$G$4:$G$503,"&lt;"&amp;DATE(2026,10,12)),"")</f>
        <v/>
      </c>
      <c r="K10" s="29">
        <f>IFERROR(SUMIFS('Trade Log'!$L$4:$L$503,'Trade Log'!$G$4:$G$503,"&gt;="&amp;DATE(2026,10,5),'Trade Log'!$G$4:$G$503,"&lt;"&amp;DATE(2026,10,12),'Trade Log'!$L$4:$L$503,"&gt;0")/ABS(SUMIFS('Trade Log'!$L$4:$L$503,'Trade Log'!$G$4:$G$503,"&gt;="&amp;DATE(2026,10,5),'Trade Log'!$G$4:$G$503,"&lt;"&amp;DATE(2026,10,12),'Trade Log'!$L$4:$L$503,"&lt;0")),"")</f>
        <v/>
      </c>
    </row>
    <row r="11">
      <c r="A11" s="28" t="n">
        <v>46307</v>
      </c>
      <c r="B11" s="20">
        <f>COUNTIFS('Trade Log'!$G$4:$G$503,"&gt;="&amp;DATE(2026,10,12),'Trade Log'!$G$4:$G$503,"&lt;"&amp;DATE(2026,10,19))</f>
        <v/>
      </c>
      <c r="C11" s="20">
        <f>COUNTIFS('Trade Log'!$G$4:$G$503,"&gt;="&amp;DATE(2026,10,12),'Trade Log'!$G$4:$G$503,"&lt;"&amp;DATE(2026,10,19),'Trade Log'!$L$4:$L$503,"&gt;0")</f>
        <v/>
      </c>
      <c r="D11" s="20">
        <f>COUNTIFS('Trade Log'!$G$4:$G$503,"&gt;="&amp;DATE(2026,10,12),'Trade Log'!$G$4:$G$503,"&lt;"&amp;DATE(2026,10,19),'Trade Log'!$L$4:$L$503,"&lt;0")</f>
        <v/>
      </c>
      <c r="E11" s="22">
        <f>IFERROR($C11/$B11,"")</f>
        <v/>
      </c>
      <c r="F11" s="21">
        <f>SUMIFS('Trade Log'!$I$4:$I$503,'Trade Log'!$G$4:$G$503,"&gt;="&amp;DATE(2026,10,12),'Trade Log'!$G$4:$G$503,"&lt;"&amp;DATE(2026,10,19))</f>
        <v/>
      </c>
      <c r="G11" s="21">
        <f>SUMIFS('Trade Log'!$L$4:$L$503,'Trade Log'!$G$4:$G$503,"&gt;="&amp;DATE(2026,10,12),'Trade Log'!$G$4:$G$503,"&lt;"&amp;DATE(2026,10,19))</f>
        <v/>
      </c>
      <c r="H11" s="21">
        <f>IFERROR($G11/$B11,"")</f>
        <v/>
      </c>
      <c r="I11" s="21">
        <f>IFERROR(_xlfn.MAXIFS('Trade Log'!$L$4:$L$503,'Trade Log'!$G$4:$G$503,"&gt;="&amp;DATE(2026,10,12),'Trade Log'!$G$4:$G$503,"&lt;"&amp;DATE(2026,10,19)),"")</f>
        <v/>
      </c>
      <c r="J11" s="21">
        <f>IFERROR(_xlfn.MINIFS('Trade Log'!$L$4:$L$503,'Trade Log'!$G$4:$G$503,"&gt;="&amp;DATE(2026,10,12),'Trade Log'!$G$4:$G$503,"&lt;"&amp;DATE(2026,10,19)),"")</f>
        <v/>
      </c>
      <c r="K11" s="29">
        <f>IFERROR(SUMIFS('Trade Log'!$L$4:$L$503,'Trade Log'!$G$4:$G$503,"&gt;="&amp;DATE(2026,10,12),'Trade Log'!$G$4:$G$503,"&lt;"&amp;DATE(2026,10,19),'Trade Log'!$L$4:$L$503,"&gt;0")/ABS(SUMIFS('Trade Log'!$L$4:$L$503,'Trade Log'!$G$4:$G$503,"&gt;="&amp;DATE(2026,10,12),'Trade Log'!$G$4:$G$503,"&lt;"&amp;DATE(2026,10,19),'Trade Log'!$L$4:$L$503,"&lt;0")),"")</f>
        <v/>
      </c>
    </row>
    <row r="12">
      <c r="A12" s="3" t="inlineStr">
        <is>
          <t>TOTAL</t>
        </is>
      </c>
      <c r="B12" s="30">
        <f>SUM(B10:B11)</f>
        <v/>
      </c>
      <c r="C12" s="30">
        <f>SUM(C10:C11)</f>
        <v/>
      </c>
      <c r="D12" s="30">
        <f>SUM(D10:D11)</f>
        <v/>
      </c>
      <c r="E12" s="31">
        <f>IFERROR(C12/B12,"")</f>
        <v/>
      </c>
      <c r="F12" s="32">
        <f>SUM(F10:F11)</f>
        <v/>
      </c>
      <c r="G12" s="32">
        <f>SUM(G10:G11)</f>
        <v/>
      </c>
      <c r="H12" s="32">
        <f>IFERROR(G12/B12,"")</f>
        <v/>
      </c>
      <c r="K12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2026-10-13T10:17:06Z</dcterms:created>
  <dcterms:modified xmlns:dcterms="http://purl.org/dc/terms/" xmlns:xsi="http://www.w3.org/2001/XMLSchema-instance" xsi:type="dcterms:W3CDTF">2026-10-13T10:17:06Z</dcterms:modified>
</cp:coreProperties>
</file>