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'Charges'!$A$3:$N$50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959.98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822.01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861.4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974.4299999999999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947.17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694.14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759.8200000000001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659.95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669.3200000000001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630.54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671.47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681.75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663.37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421.4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559.4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n">
        <v>46307</v>
      </c>
      <c r="E26" s="25" t="n">
        <v>267.6149</v>
      </c>
      <c r="F26" s="26" t="n">
        <v>641</v>
      </c>
      <c r="G26" s="24" t="n">
        <v>46308</v>
      </c>
      <c r="H26" s="25" t="n">
        <v>262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549.67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46307</v>
      </c>
      <c r="E27" s="25" t="n">
        <v>3741.3844</v>
      </c>
      <c r="F27" s="26" t="n">
        <v>45</v>
      </c>
      <c r="G27" s="24" t="n">
        <v>46308</v>
      </c>
      <c r="H27" s="25" t="n">
        <v>3721.09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550.23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8" s="23" t="inlineStr">
        <is>
          <t>CMLL</t>
        </is>
      </c>
      <c r="C28" s="23" t="inlineStr">
        <is>
          <t>LONG</t>
        </is>
      </c>
      <c r="D28" s="24" t="n">
        <v>46308</v>
      </c>
      <c r="E28" s="25" t="n">
        <v>617.1578</v>
      </c>
      <c r="F28" s="26" t="n">
        <v>277</v>
      </c>
      <c r="G28" s="24" t="n">
        <v>46309</v>
      </c>
      <c r="H28" s="25" t="n">
        <v>608.04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557.4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10-15</t>
        </is>
      </c>
    </row>
    <row r="29">
      <c r="A29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29" s="23" t="inlineStr">
        <is>
          <t>HATHWAY</t>
        </is>
      </c>
      <c r="C29" s="23" t="inlineStr">
        <is>
          <t>LONG</t>
        </is>
      </c>
      <c r="D29" s="24" t="n">
        <v>46308</v>
      </c>
      <c r="E29" s="25" t="n">
        <v>11.158</v>
      </c>
      <c r="F29" s="26" t="n">
        <v>15360</v>
      </c>
      <c r="G29" s="24" t="n">
        <v>46309</v>
      </c>
      <c r="H29" s="25" t="n">
        <v>11.14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552.79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0" s="23" t="inlineStr">
        <is>
          <t>INDIAGLYCO</t>
        </is>
      </c>
      <c r="C30" s="23" t="inlineStr">
        <is>
          <t>LONG</t>
        </is>
      </c>
      <c r="D30" s="24" t="n">
        <v>46308</v>
      </c>
      <c r="E30" s="25" t="n">
        <v>352.906</v>
      </c>
      <c r="F30" s="26" t="n">
        <v>243</v>
      </c>
      <c r="G30" s="24" t="n">
        <v>46309</v>
      </c>
      <c r="H30" s="25" t="n">
        <v>358.7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207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5-10</t>
        </is>
      </c>
    </row>
    <row r="31">
      <c r="A31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1" s="23" t="inlineStr">
        <is>
          <t>PIXTRANS</t>
        </is>
      </c>
      <c r="C31" s="23" t="inlineStr">
        <is>
          <t>LONG</t>
        </is>
      </c>
      <c r="D31" s="24" t="n">
        <v>46308</v>
      </c>
      <c r="E31" s="25" t="n">
        <v>1889.5856</v>
      </c>
      <c r="F31" s="26" t="n">
        <v>90</v>
      </c>
      <c r="G31" s="24" t="n">
        <v>46309</v>
      </c>
      <c r="H31" s="25" t="n">
        <v>1923.39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552.91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2" s="23" t="inlineStr">
        <is>
          <t>PNCINFRA</t>
        </is>
      </c>
      <c r="C32" s="23" t="inlineStr">
        <is>
          <t>LONG</t>
        </is>
      </c>
      <c r="D32" s="24" t="n">
        <v>46308</v>
      </c>
      <c r="E32" s="25" t="n">
        <v>156.7238</v>
      </c>
      <c r="F32" s="26" t="n">
        <v>1086</v>
      </c>
      <c r="G32" s="24" t="n">
        <v>46309</v>
      </c>
      <c r="H32" s="25" t="n">
        <v>169.79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428.12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DHAN-34126101478009</t>
        </is>
      </c>
      <c r="B33" s="23" t="inlineStr">
        <is>
          <t>PNCINFRA</t>
        </is>
      </c>
      <c r="C33" s="23" t="inlineStr">
        <is>
          <t>SHORT</t>
        </is>
      </c>
      <c r="D33" s="24" t="n">
        <v>46309</v>
      </c>
      <c r="E33" s="25" t="n">
        <v>169.61</v>
      </c>
      <c r="F33" s="26" t="n">
        <v>1086</v>
      </c>
      <c r="G33" s="24" t="n">
        <v>46309</v>
      </c>
      <c r="H33" s="25" t="n">
        <v>161.13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223.78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10-15</t>
        </is>
      </c>
    </row>
    <row r="34">
      <c r="A34" s="23" t="inlineStr">
        <is>
          <t>DHAN-221261013592909+23126101376109+321261013572209+23126101376609+321261013572609+321261013573209+321261013573809+221261013596209+34126101379109+34126101379209+221261013597909</t>
        </is>
      </c>
      <c r="B34" s="23" t="inlineStr">
        <is>
          <t>SHRINGARMS</t>
        </is>
      </c>
      <c r="C34" s="23" t="inlineStr">
        <is>
          <t>LONG</t>
        </is>
      </c>
      <c r="D34" s="24" t="n">
        <v>46308</v>
      </c>
      <c r="E34" s="25" t="n">
        <v>311.7565</v>
      </c>
      <c r="F34" s="26" t="n">
        <v>549</v>
      </c>
      <c r="G34" s="24" t="n">
        <v>46309</v>
      </c>
      <c r="H34" s="25" t="n">
        <v>315.82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540.04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15-20</t>
        </is>
      </c>
    </row>
    <row r="35">
      <c r="A35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5" s="23" t="inlineStr">
        <is>
          <t>JINDALPOLY</t>
        </is>
      </c>
      <c r="C35" s="23" t="inlineStr">
        <is>
          <t>LONG</t>
        </is>
      </c>
      <c r="D35" s="24" t="n">
        <v>46309</v>
      </c>
      <c r="E35" s="25" t="n">
        <v>726.3234</v>
      </c>
      <c r="F35" s="26" t="n">
        <v>201</v>
      </c>
      <c r="G35" s="24" t="n">
        <v>46310</v>
      </c>
      <c r="H35" s="25" t="n">
        <v>708.0599999999999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480.15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6" s="23" t="inlineStr">
        <is>
          <t>KROSS</t>
        </is>
      </c>
      <c r="C36" s="23" t="inlineStr">
        <is>
          <t>LONG</t>
        </is>
      </c>
      <c r="D36" s="24" t="n">
        <v>46309</v>
      </c>
      <c r="E36" s="25" t="n">
        <v>271.509</v>
      </c>
      <c r="F36" s="26" t="n">
        <v>737</v>
      </c>
      <c r="G36" s="24" t="n">
        <v>46310</v>
      </c>
      <c r="H36" s="25" t="n">
        <v>270.99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626.08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10-15</t>
        </is>
      </c>
    </row>
    <row r="37">
      <c r="A37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7" s="23" t="inlineStr">
        <is>
          <t>NIBE</t>
        </is>
      </c>
      <c r="C37" s="23" t="inlineStr">
        <is>
          <t>LONG</t>
        </is>
      </c>
      <c r="D37" s="24" t="n">
        <v>46309</v>
      </c>
      <c r="E37" s="25" t="n">
        <v>1380.7368</v>
      </c>
      <c r="F37" s="26" t="n">
        <v>144</v>
      </c>
      <c r="G37" s="24" t="n">
        <v>46310</v>
      </c>
      <c r="H37" s="25" t="n">
        <v>1334.24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616.02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38" s="23" t="inlineStr">
        <is>
          <t>RUBYMILLS</t>
        </is>
      </c>
      <c r="C38" s="23" t="inlineStr">
        <is>
          <t>LONG</t>
        </is>
      </c>
      <c r="D38" s="24" t="n">
        <v>46309</v>
      </c>
      <c r="E38" s="25" t="n">
        <v>541.4497</v>
      </c>
      <c r="F38" s="26" t="n">
        <v>184</v>
      </c>
      <c r="G38" s="24" t="n">
        <v>46310</v>
      </c>
      <c r="H38" s="25" t="n">
        <v>554.2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238.83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5-10</t>
        </is>
      </c>
    </row>
    <row r="39">
      <c r="A39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39" s="23" t="inlineStr">
        <is>
          <t>SPORTKING</t>
        </is>
      </c>
      <c r="C39" s="23" t="inlineStr">
        <is>
          <t>LONG</t>
        </is>
      </c>
      <c r="D39" s="24" t="n">
        <v>46309</v>
      </c>
      <c r="E39" s="25" t="n">
        <v>226.1107</v>
      </c>
      <c r="F39" s="26" t="n">
        <v>885</v>
      </c>
      <c r="G39" s="24" t="n">
        <v>46310</v>
      </c>
      <c r="H39" s="25" t="n">
        <v>226.89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627.33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5-10</t>
        </is>
      </c>
    </row>
    <row r="40">
      <c r="A40" s="23" t="inlineStr">
        <is>
          <t>DHAN-321261015672409+231261015159509+341261015154309+321261015674209+231261015159809+321261015674909+341261015154809+221261015678909+321261015675709+221261015679609+231261015160509</t>
        </is>
      </c>
      <c r="B40" s="23" t="inlineStr">
        <is>
          <t>JAICORPLTD</t>
        </is>
      </c>
      <c r="C40" s="23" t="inlineStr">
        <is>
          <t>LONG</t>
        </is>
      </c>
      <c r="D40" s="24" t="n">
        <v>46310</v>
      </c>
      <c r="E40" s="25" t="n">
        <v>95.05800000000001</v>
      </c>
      <c r="F40" s="26" t="n">
        <v>3153</v>
      </c>
      <c r="G40" s="24" t="n">
        <v>46311</v>
      </c>
      <c r="H40" s="25" t="n">
        <v>94.26000000000001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547.34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DHAN-341261015154009+321261015672609+221261015677509+321261015674109+321261015674709+341261015154709+231261015160109+341261015154909+221261015679409+341261015155209+321261015676109</t>
        </is>
      </c>
      <c r="B41" s="23" t="inlineStr">
        <is>
          <t>OAL</t>
        </is>
      </c>
      <c r="C41" s="23" t="inlineStr">
        <is>
          <t>LONG</t>
        </is>
      </c>
      <c r="D41" s="24" t="n">
        <v>46310</v>
      </c>
      <c r="E41" s="25" t="n">
        <v>578.2952</v>
      </c>
      <c r="F41" s="26" t="n">
        <v>258</v>
      </c>
      <c r="G41" s="24" t="n">
        <v>46311</v>
      </c>
      <c r="H41" s="25" t="n">
        <v>585.09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191.91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10-15</t>
        </is>
      </c>
    </row>
    <row r="42">
      <c r="A42" s="23" t="inlineStr">
        <is>
          <t>DHAN-341261015153909+221261015677009+321261015673209+231261015159709+231261015159909+231261015160009+221261015678509+321261015675509+231261015160209+231261015160409+341261015155309</t>
        </is>
      </c>
      <c r="B42" s="23" t="inlineStr">
        <is>
          <t>ORIENTELEC</t>
        </is>
      </c>
      <c r="C42" s="23" t="inlineStr">
        <is>
          <t>LONG</t>
        </is>
      </c>
      <c r="D42" s="24" t="n">
        <v>46310</v>
      </c>
      <c r="E42" s="25" t="n">
        <v>201.1512</v>
      </c>
      <c r="F42" s="26" t="n">
        <v>1500</v>
      </c>
      <c r="G42" s="24" t="n">
        <v>46311</v>
      </c>
      <c r="H42" s="25" t="n">
        <v>206.72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552.14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10-15</t>
        </is>
      </c>
    </row>
    <row r="43">
      <c r="A43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3" s="23" t="inlineStr">
        <is>
          <t>TEAMLEASE</t>
        </is>
      </c>
      <c r="C43" s="23" t="inlineStr">
        <is>
          <t>LONG</t>
        </is>
      </c>
      <c r="D43" s="24" t="n">
        <v>46310</v>
      </c>
      <c r="E43" s="25" t="n">
        <v>1133.7498</v>
      </c>
      <c r="F43" s="26" t="n">
        <v>263</v>
      </c>
      <c r="G43" s="24" t="n">
        <v>46311</v>
      </c>
      <c r="H43" s="25" t="n">
        <v>1124.65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542.6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5-10</t>
        </is>
      </c>
    </row>
    <row r="44">
      <c r="A44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4" s="23" t="inlineStr">
        <is>
          <t>EUROPRATIK</t>
        </is>
      </c>
      <c r="C44" s="23" t="inlineStr">
        <is>
          <t>LONG</t>
        </is>
      </c>
      <c r="D44" s="24" t="n">
        <v>46311</v>
      </c>
      <c r="E44" s="25" t="n">
        <v>182.5264</v>
      </c>
      <c r="F44" s="26" t="n">
        <v>1636</v>
      </c>
      <c r="G44" s="24" t="inlineStr"/>
      <c r="H44" s="25" t="inlineStr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50.15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45" s="23" t="inlineStr">
        <is>
          <t>INDOKEM</t>
        </is>
      </c>
      <c r="C45" s="23" t="inlineStr">
        <is>
          <t>LONG</t>
        </is>
      </c>
      <c r="D45" s="24" t="n">
        <v>46308</v>
      </c>
      <c r="E45" s="25" t="n">
        <v>677.9853000000001</v>
      </c>
      <c r="F45" s="26" t="n">
        <v>126</v>
      </c>
      <c r="G45" s="24" t="inlineStr"/>
      <c r="H45" s="25" t="inlineStr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116.19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10-15</t>
        </is>
      </c>
    </row>
    <row r="46">
      <c r="A46" s="23" t="inlineStr">
        <is>
          <t>DHAN-221261016693009+23126101679709+23126101679809+23126101680009+321261016685409+221261016694909+34126101677509+321261016686909+34126101677709+321261016687909+34126101677909</t>
        </is>
      </c>
      <c r="B46" s="23" t="inlineStr">
        <is>
          <t>MBEL</t>
        </is>
      </c>
      <c r="C46" s="23" t="inlineStr">
        <is>
          <t>LONG</t>
        </is>
      </c>
      <c r="D46" s="24" t="n">
        <v>46311</v>
      </c>
      <c r="E46" s="25" t="n">
        <v>287.8416</v>
      </c>
      <c r="F46" s="26" t="n">
        <v>1043</v>
      </c>
      <c r="G46" s="24" t="inlineStr"/>
      <c r="H46" s="25" t="inlineStr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50.15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47" s="23" t="inlineStr">
        <is>
          <t>MMWL</t>
        </is>
      </c>
      <c r="C47" s="23" t="inlineStr">
        <is>
          <t>LONG</t>
        </is>
      </c>
      <c r="D47" s="24" t="n">
        <v>46307</v>
      </c>
      <c r="E47" s="25" t="n">
        <v>22.8999</v>
      </c>
      <c r="F47" s="26" t="n">
        <v>3742</v>
      </c>
      <c r="G47" s="24" t="inlineStr"/>
      <c r="H47" s="25" t="inlineStr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53.57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5-10</t>
        </is>
      </c>
    </row>
    <row r="48">
      <c r="A48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8" s="23" t="inlineStr">
        <is>
          <t>PARACABLES</t>
        </is>
      </c>
      <c r="C48" s="23" t="inlineStr">
        <is>
          <t>LONG</t>
        </is>
      </c>
      <c r="D48" s="24" t="n">
        <v>46311</v>
      </c>
      <c r="E48" s="25" t="n">
        <v>60.1311</v>
      </c>
      <c r="F48" s="26" t="n">
        <v>4996</v>
      </c>
      <c r="G48" s="24" t="inlineStr"/>
      <c r="H48" s="25" t="inlineStr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50.15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5-10</t>
        </is>
      </c>
    </row>
    <row r="49">
      <c r="A49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9" s="23" t="inlineStr">
        <is>
          <t>SIMPLEXINF</t>
        </is>
      </c>
      <c r="C49" s="23" t="inlineStr">
        <is>
          <t>LONG</t>
        </is>
      </c>
      <c r="D49" s="24" t="n">
        <v>46309</v>
      </c>
      <c r="E49" s="25" t="n">
        <v>266.801</v>
      </c>
      <c r="F49" s="26" t="n">
        <v>749</v>
      </c>
      <c r="G49" s="24" t="inlineStr"/>
      <c r="H49" s="25" t="inlineStr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394.85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5-10</t>
        </is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n">
        <v>46311</v>
      </c>
      <c r="E50" s="25" t="n">
        <v>693.1007</v>
      </c>
      <c r="F50" s="26" t="n">
        <v>434</v>
      </c>
      <c r="G50" s="24" t="inlineStr"/>
      <c r="H50" s="25" t="inlineStr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50.15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5-10</t>
        </is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EUROPRATIK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GOODLUCK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GPTINFRA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HATHWAY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INDIAGLYCO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INDOKEM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INOXGREEN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JAICORPLTD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JINDALPOLY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KOTIC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KRISHNADEF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KROSS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MBEL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MMWL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MOBIKWIK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NIBE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OAL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ORIENTELEC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PARACABLES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PIXTRANS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PNCINFRA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PNGSREVA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PRINCEPIPE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RSYSTEMS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RUBYMILLS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SAKSOFT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SATIN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SGFIN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SHRINGARMS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SIMPLEXINF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SMCGLOBAL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SOLARA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SPORTKING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SUNCLAY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SWARAJENG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TEAMLEASE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YUKEN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3" t="inlineStr">
        <is>
          <t>TOTAL</t>
        </is>
      </c>
      <c r="B46" s="30">
        <f>SUM(B4:B45)</f>
        <v/>
      </c>
      <c r="C46" s="30">
        <f>SUM(C4:C45)</f>
        <v/>
      </c>
      <c r="D46" s="30">
        <f>SUM(D4:D45)</f>
        <v/>
      </c>
      <c r="E46" s="31">
        <f>IFERROR(C46/B46,"")</f>
        <v/>
      </c>
      <c r="F46" s="32">
        <f>SUM(F4:F45)</f>
        <v/>
      </c>
      <c r="G46" s="32">
        <f>SUM(G4:G45)</f>
        <v/>
      </c>
      <c r="H46" s="32">
        <f>IFERROR(G46/B46,"")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120.95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72.31999999999999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100.64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120.62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100.65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62.39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74.78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44.98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44.78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52.92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91.29000000000001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88.29000000000001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88.70999999999999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31.59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39.2</v>
      </c>
      <c r="N25" s="21">
        <f>SUM(E25:M25)</f>
        <v/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n">
        <v>46308</v>
      </c>
      <c r="E26" s="4" t="n">
        <v>71.44</v>
      </c>
      <c r="F26" s="4" t="n">
        <v>339.48</v>
      </c>
      <c r="G26" s="4" t="n">
        <v>10.42</v>
      </c>
      <c r="H26" s="4" t="n">
        <v>0.34</v>
      </c>
      <c r="I26" s="4" t="n">
        <v>25.26</v>
      </c>
      <c r="J26" s="4" t="n">
        <v>14.8</v>
      </c>
      <c r="K26" s="4" t="n">
        <v>14.75</v>
      </c>
      <c r="L26" s="4" t="n">
        <v>35.4</v>
      </c>
      <c r="M26" s="4" t="n">
        <v>37.78</v>
      </c>
      <c r="N26" s="21">
        <f>SUM(E26:M26)</f>
        <v/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46308</v>
      </c>
      <c r="E27" s="4" t="n">
        <v>70.51000000000001</v>
      </c>
      <c r="F27" s="4" t="n">
        <v>335.81</v>
      </c>
      <c r="G27" s="4" t="n">
        <v>10.31</v>
      </c>
      <c r="H27" s="4" t="n">
        <v>0.34</v>
      </c>
      <c r="I27" s="4" t="n">
        <v>25.25</v>
      </c>
      <c r="J27" s="4" t="n">
        <v>14.61</v>
      </c>
      <c r="K27" s="4" t="n">
        <v>14.75</v>
      </c>
      <c r="L27" s="4" t="n">
        <v>35.4</v>
      </c>
      <c r="M27" s="4" t="n">
        <v>43.26</v>
      </c>
      <c r="N27" s="21">
        <f>SUM(E27:M27)</f>
        <v/>
      </c>
    </row>
    <row r="28">
      <c r="A28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8" s="23" t="inlineStr">
        <is>
          <t>CMLL</t>
        </is>
      </c>
      <c r="C28" s="23" t="inlineStr">
        <is>
          <t>LONG</t>
        </is>
      </c>
      <c r="D28" s="24" t="n">
        <v>46309</v>
      </c>
      <c r="E28" s="4" t="n">
        <v>71.3</v>
      </c>
      <c r="F28" s="4" t="n">
        <v>339.38</v>
      </c>
      <c r="G28" s="4" t="n">
        <v>10.42</v>
      </c>
      <c r="H28" s="4" t="n">
        <v>0.34</v>
      </c>
      <c r="I28" s="4" t="n">
        <v>25.64</v>
      </c>
      <c r="J28" s="4" t="n">
        <v>14.77</v>
      </c>
      <c r="K28" s="4" t="n">
        <v>14.75</v>
      </c>
      <c r="L28" s="4" t="n">
        <v>35.4</v>
      </c>
      <c r="M28" s="4" t="n">
        <v>45.4</v>
      </c>
      <c r="N28" s="21">
        <f>SUM(E28:M28)</f>
        <v/>
      </c>
    </row>
    <row r="29">
      <c r="A29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29" s="23" t="inlineStr">
        <is>
          <t>HATHWAY</t>
        </is>
      </c>
      <c r="C29" s="23" t="inlineStr">
        <is>
          <t>LONG</t>
        </is>
      </c>
      <c r="D29" s="24" t="n">
        <v>46309</v>
      </c>
      <c r="E29" s="4" t="n">
        <v>71</v>
      </c>
      <c r="F29" s="4" t="n">
        <v>342.53</v>
      </c>
      <c r="G29" s="4" t="n">
        <v>10.51</v>
      </c>
      <c r="H29" s="4" t="n">
        <v>0.34</v>
      </c>
      <c r="I29" s="4" t="n">
        <v>25.77</v>
      </c>
      <c r="J29" s="4" t="n">
        <v>14.73</v>
      </c>
      <c r="K29" s="4" t="n">
        <v>14.75</v>
      </c>
      <c r="L29" s="4" t="n">
        <v>35.4</v>
      </c>
      <c r="M29" s="4" t="n">
        <v>37.74</v>
      </c>
      <c r="N29" s="21">
        <f>SUM(E29:M29)</f>
        <v/>
      </c>
    </row>
    <row r="30">
      <c r="A30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0" s="23" t="inlineStr">
        <is>
          <t>INDIAGLYCO</t>
        </is>
      </c>
      <c r="C30" s="23" t="inlineStr">
        <is>
          <t>LONG</t>
        </is>
      </c>
      <c r="D30" s="24" t="n">
        <v>46309</v>
      </c>
      <c r="E30" s="4" t="n">
        <v>0</v>
      </c>
      <c r="F30" s="4" t="n">
        <v>172.92</v>
      </c>
      <c r="G30" s="4" t="n">
        <v>5.31</v>
      </c>
      <c r="H30" s="4" t="n">
        <v>0.17</v>
      </c>
      <c r="I30" s="4" t="n">
        <v>12.86</v>
      </c>
      <c r="J30" s="4" t="n">
        <v>0.99</v>
      </c>
      <c r="K30" s="4" t="n">
        <v>14.75</v>
      </c>
      <c r="L30" s="4" t="n">
        <v>0</v>
      </c>
      <c r="M30" s="4" t="n">
        <v>0</v>
      </c>
      <c r="N30" s="21">
        <f>SUM(E30:M30)</f>
        <v/>
      </c>
    </row>
    <row r="31">
      <c r="A31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1" s="23" t="inlineStr">
        <is>
          <t>PIXTRANS</t>
        </is>
      </c>
      <c r="C31" s="23" t="inlineStr">
        <is>
          <t>LONG</t>
        </is>
      </c>
      <c r="D31" s="24" t="n">
        <v>46309</v>
      </c>
      <c r="E31" s="4" t="n">
        <v>71.01000000000001</v>
      </c>
      <c r="F31" s="4" t="n">
        <v>343.17</v>
      </c>
      <c r="G31" s="4" t="n">
        <v>10.53</v>
      </c>
      <c r="H31" s="4" t="n">
        <v>0.34</v>
      </c>
      <c r="I31" s="4" t="n">
        <v>25.51</v>
      </c>
      <c r="J31" s="4" t="n">
        <v>14.74</v>
      </c>
      <c r="K31" s="4" t="n">
        <v>14.75</v>
      </c>
      <c r="L31" s="4" t="n">
        <v>35.4</v>
      </c>
      <c r="M31" s="4" t="n">
        <v>37.45</v>
      </c>
      <c r="N31" s="21">
        <f>SUM(E31:M31)</f>
        <v/>
      </c>
    </row>
    <row r="32">
      <c r="A32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2" s="23" t="inlineStr">
        <is>
          <t>PNCINFRA</t>
        </is>
      </c>
      <c r="C32" s="23" t="inlineStr">
        <is>
          <t>LONG</t>
        </is>
      </c>
      <c r="D32" s="24" t="n">
        <v>46309</v>
      </c>
      <c r="E32" s="4" t="n">
        <v>71.06999999999999</v>
      </c>
      <c r="F32" s="4" t="n">
        <v>215.5</v>
      </c>
      <c r="G32" s="4" t="n">
        <v>10.89</v>
      </c>
      <c r="H32" s="4" t="n">
        <v>0.35</v>
      </c>
      <c r="I32" s="4" t="n">
        <v>25.53</v>
      </c>
      <c r="J32" s="4" t="n">
        <v>14.82</v>
      </c>
      <c r="K32" s="4" t="n">
        <v>14.75</v>
      </c>
      <c r="L32" s="4" t="n">
        <v>35.4</v>
      </c>
      <c r="M32" s="4" t="n">
        <v>39.81</v>
      </c>
      <c r="N32" s="21">
        <f>SUM(E32:M32)</f>
        <v/>
      </c>
    </row>
    <row r="33">
      <c r="A33" s="23" t="inlineStr">
        <is>
          <t>DHAN-34126101478009</t>
        </is>
      </c>
      <c r="B33" s="23" t="inlineStr">
        <is>
          <t>PNCINFRA</t>
        </is>
      </c>
      <c r="C33" s="23" t="inlineStr">
        <is>
          <t>SHORT</t>
        </is>
      </c>
      <c r="D33" s="24" t="n">
        <v>46309</v>
      </c>
      <c r="E33" s="4" t="n">
        <v>20</v>
      </c>
      <c r="F33" s="4" t="n">
        <v>181.5</v>
      </c>
      <c r="G33" s="4" t="n">
        <v>11.03</v>
      </c>
      <c r="H33" s="4" t="n">
        <v>0.36</v>
      </c>
      <c r="I33" s="4" t="n">
        <v>5.25</v>
      </c>
      <c r="J33" s="4" t="n">
        <v>5.65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DHAN-221261013592909+23126101376109+321261013572209+23126101376609+321261013572609+321261013573209+321261013573809+221261013596209+34126101379109+34126101379209+221261013597909</t>
        </is>
      </c>
      <c r="B34" s="23" t="inlineStr">
        <is>
          <t>SHRINGARMS</t>
        </is>
      </c>
      <c r="C34" s="23" t="inlineStr">
        <is>
          <t>LONG</t>
        </is>
      </c>
      <c r="D34" s="24" t="n">
        <v>46309</v>
      </c>
      <c r="E34" s="4" t="n">
        <v>71.33</v>
      </c>
      <c r="F34" s="4" t="n">
        <v>344.55</v>
      </c>
      <c r="G34" s="4" t="n">
        <v>10.58</v>
      </c>
      <c r="H34" s="4" t="n">
        <v>0.34</v>
      </c>
      <c r="I34" s="4" t="n">
        <v>25.67</v>
      </c>
      <c r="J34" s="4" t="n">
        <v>14.81</v>
      </c>
      <c r="K34" s="4" t="n">
        <v>14.75</v>
      </c>
      <c r="L34" s="4" t="n">
        <v>35.4</v>
      </c>
      <c r="M34" s="4" t="n">
        <v>22.62</v>
      </c>
      <c r="N34" s="21">
        <f>SUM(E34:M34)</f>
        <v/>
      </c>
    </row>
    <row r="35">
      <c r="A35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5" s="23" t="inlineStr">
        <is>
          <t>JINDALPOLY</t>
        </is>
      </c>
      <c r="C35" s="23" t="inlineStr">
        <is>
          <t>LONG</t>
        </is>
      </c>
      <c r="D35" s="24" t="n">
        <v>46310</v>
      </c>
      <c r="E35" s="4" t="n">
        <v>63.82</v>
      </c>
      <c r="F35" s="4" t="n">
        <v>288.31</v>
      </c>
      <c r="G35" s="4" t="n">
        <v>8.85</v>
      </c>
      <c r="H35" s="4" t="n">
        <v>0.29</v>
      </c>
      <c r="I35" s="4" t="n">
        <v>21.9</v>
      </c>
      <c r="J35" s="4" t="n">
        <v>13.13</v>
      </c>
      <c r="K35" s="4" t="n">
        <v>14.75</v>
      </c>
      <c r="L35" s="4" t="n">
        <v>35.4</v>
      </c>
      <c r="M35" s="4" t="n">
        <v>33.7</v>
      </c>
      <c r="N35" s="21">
        <f>SUM(E35:M35)</f>
        <v/>
      </c>
    </row>
    <row r="36">
      <c r="A36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6" s="23" t="inlineStr">
        <is>
          <t>KROSS</t>
        </is>
      </c>
      <c r="C36" s="23" t="inlineStr">
        <is>
          <t>LONG</t>
        </is>
      </c>
      <c r="D36" s="24" t="n">
        <v>46310</v>
      </c>
      <c r="E36" s="4" t="n">
        <v>80.01000000000001</v>
      </c>
      <c r="F36" s="4" t="n">
        <v>399.82</v>
      </c>
      <c r="G36" s="4" t="n">
        <v>12.27</v>
      </c>
      <c r="H36" s="4" t="n">
        <v>0.4</v>
      </c>
      <c r="I36" s="4" t="n">
        <v>30.02</v>
      </c>
      <c r="J36" s="4" t="n">
        <v>16.68</v>
      </c>
      <c r="K36" s="4" t="n">
        <v>14.75</v>
      </c>
      <c r="L36" s="4" t="n">
        <v>35.4</v>
      </c>
      <c r="M36" s="4" t="n">
        <v>36.72</v>
      </c>
      <c r="N36" s="21">
        <f>SUM(E36:M36)</f>
        <v/>
      </c>
    </row>
    <row r="37">
      <c r="A37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7" s="23" t="inlineStr">
        <is>
          <t>NIBE</t>
        </is>
      </c>
      <c r="C37" s="23" t="inlineStr">
        <is>
          <t>LONG</t>
        </is>
      </c>
      <c r="D37" s="24" t="n">
        <v>46310</v>
      </c>
      <c r="E37" s="4" t="n">
        <v>79.64</v>
      </c>
      <c r="F37" s="4" t="n">
        <v>390.96</v>
      </c>
      <c r="G37" s="4" t="n">
        <v>12</v>
      </c>
      <c r="H37" s="4" t="n">
        <v>0.39</v>
      </c>
      <c r="I37" s="4" t="n">
        <v>29.82</v>
      </c>
      <c r="J37" s="4" t="n">
        <v>16.57</v>
      </c>
      <c r="K37" s="4" t="n">
        <v>14.75</v>
      </c>
      <c r="L37" s="4" t="n">
        <v>35.4</v>
      </c>
      <c r="M37" s="4" t="n">
        <v>36.49</v>
      </c>
      <c r="N37" s="21">
        <f>SUM(E37:M37)</f>
        <v/>
      </c>
    </row>
    <row r="38">
      <c r="A38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38" s="23" t="inlineStr">
        <is>
          <t>RUBYMILLS</t>
        </is>
      </c>
      <c r="C38" s="23" t="inlineStr">
        <is>
          <t>LONG</t>
        </is>
      </c>
      <c r="D38" s="24" t="n">
        <v>46310</v>
      </c>
      <c r="E38" s="4" t="n">
        <v>0</v>
      </c>
      <c r="F38" s="4" t="n">
        <v>201.6</v>
      </c>
      <c r="G38" s="4" t="n">
        <v>6.19</v>
      </c>
      <c r="H38" s="4" t="n">
        <v>0.2</v>
      </c>
      <c r="I38" s="4" t="n">
        <v>14.94</v>
      </c>
      <c r="J38" s="4" t="n">
        <v>1.15</v>
      </c>
      <c r="K38" s="4" t="n">
        <v>14.75</v>
      </c>
      <c r="L38" s="4" t="n">
        <v>0</v>
      </c>
      <c r="M38" s="4" t="n">
        <v>0</v>
      </c>
      <c r="N38" s="21">
        <f>SUM(E38:M38)</f>
        <v/>
      </c>
    </row>
    <row r="39">
      <c r="A39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39" s="23" t="inlineStr">
        <is>
          <t>SPORTKING</t>
        </is>
      </c>
      <c r="C39" s="23" t="inlineStr">
        <is>
          <t>LONG</t>
        </is>
      </c>
      <c r="D39" s="24" t="n">
        <v>46310</v>
      </c>
      <c r="E39" s="4" t="n">
        <v>80.05</v>
      </c>
      <c r="F39" s="4" t="n">
        <v>400.91</v>
      </c>
      <c r="G39" s="4" t="n">
        <v>12.31</v>
      </c>
      <c r="H39" s="4" t="n">
        <v>0.4</v>
      </c>
      <c r="I39" s="4" t="n">
        <v>30.09</v>
      </c>
      <c r="J39" s="4" t="n">
        <v>16.7</v>
      </c>
      <c r="K39" s="4" t="n">
        <v>14.75</v>
      </c>
      <c r="L39" s="4" t="n">
        <v>35.4</v>
      </c>
      <c r="M39" s="4" t="n">
        <v>36.73</v>
      </c>
      <c r="N39" s="21">
        <f>SUM(E39:M39)</f>
        <v/>
      </c>
    </row>
    <row r="40">
      <c r="A40" s="23" t="inlineStr">
        <is>
          <t>DHAN-321261015672409+231261015159509+341261015154309+321261015674209+231261015159809+321261015674909+341261015154809+221261015678909+321261015675709+221261015679609+231261015160509</t>
        </is>
      </c>
      <c r="B40" s="23" t="inlineStr">
        <is>
          <t>JAICORPLTD</t>
        </is>
      </c>
      <c r="C40" s="23" t="inlineStr">
        <is>
          <t>LONG</t>
        </is>
      </c>
      <c r="D40" s="24" t="n">
        <v>46311</v>
      </c>
      <c r="E40" s="4" t="n">
        <v>89.95</v>
      </c>
      <c r="F40" s="4" t="n">
        <v>299.72</v>
      </c>
      <c r="G40" s="4" t="n">
        <v>9.199999999999999</v>
      </c>
      <c r="H40" s="4" t="n">
        <v>0.3</v>
      </c>
      <c r="I40" s="4" t="n">
        <v>44.96</v>
      </c>
      <c r="J40" s="4" t="n">
        <v>17.9</v>
      </c>
      <c r="K40" s="4" t="n">
        <v>14.75</v>
      </c>
      <c r="L40" s="4" t="n">
        <v>35.4</v>
      </c>
      <c r="M40" s="4" t="n">
        <v>35.15</v>
      </c>
      <c r="N40" s="21">
        <f>SUM(E40:M40)</f>
        <v/>
      </c>
    </row>
    <row r="41">
      <c r="A41" s="23" t="inlineStr">
        <is>
          <t>DHAN-341261015154009+321261015672609+221261015677509+321261015674109+321261015674709+341261015154709+231261015160109+341261015154909+221261015679409+341261015155209+321261015676109</t>
        </is>
      </c>
      <c r="B41" s="23" t="inlineStr">
        <is>
          <t>OAL</t>
        </is>
      </c>
      <c r="C41" s="23" t="inlineStr">
        <is>
          <t>LONG</t>
        </is>
      </c>
      <c r="D41" s="24" t="n">
        <v>46311</v>
      </c>
      <c r="E41" s="4" t="n">
        <v>0</v>
      </c>
      <c r="F41" s="4" t="n">
        <v>149.2</v>
      </c>
      <c r="G41" s="4" t="n">
        <v>4.58</v>
      </c>
      <c r="H41" s="4" t="n">
        <v>0.15</v>
      </c>
      <c r="I41" s="4" t="n">
        <v>22.38</v>
      </c>
      <c r="J41" s="4" t="n">
        <v>0.85</v>
      </c>
      <c r="K41" s="4" t="n">
        <v>14.75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DHAN-341261015153909+221261015677009+321261015673209+231261015159709+231261015159909+231261015160009+221261015678509+321261015675509+231261015160209+231261015160409+341261015155309</t>
        </is>
      </c>
      <c r="B42" s="23" t="inlineStr">
        <is>
          <t>ORIENTELEC</t>
        </is>
      </c>
      <c r="C42" s="23" t="inlineStr">
        <is>
          <t>LONG</t>
        </is>
      </c>
      <c r="D42" s="24" t="n">
        <v>46311</v>
      </c>
      <c r="E42" s="4" t="n">
        <v>90.56999999999999</v>
      </c>
      <c r="F42" s="4" t="n">
        <v>301.73</v>
      </c>
      <c r="G42" s="4" t="n">
        <v>9.26</v>
      </c>
      <c r="H42" s="4" t="n">
        <v>0.3</v>
      </c>
      <c r="I42" s="4" t="n">
        <v>44.93</v>
      </c>
      <c r="J42" s="4" t="n">
        <v>18.02</v>
      </c>
      <c r="K42" s="4" t="n">
        <v>14.75</v>
      </c>
      <c r="L42" s="4" t="n">
        <v>35.4</v>
      </c>
      <c r="M42" s="4" t="n">
        <v>37.17</v>
      </c>
      <c r="N42" s="21">
        <f>SUM(E42:M42)</f>
        <v/>
      </c>
    </row>
    <row r="43">
      <c r="A43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3" s="23" t="inlineStr">
        <is>
          <t>TEAMLEASE</t>
        </is>
      </c>
      <c r="C43" s="23" t="inlineStr">
        <is>
          <t>LONG</t>
        </is>
      </c>
      <c r="D43" s="24" t="n">
        <v>46311</v>
      </c>
      <c r="E43" s="4" t="n">
        <v>89.45</v>
      </c>
      <c r="F43" s="4" t="n">
        <v>298.18</v>
      </c>
      <c r="G43" s="4" t="n">
        <v>9.15</v>
      </c>
      <c r="H43" s="4" t="n">
        <v>0.3</v>
      </c>
      <c r="I43" s="4" t="n">
        <v>44.73</v>
      </c>
      <c r="J43" s="4" t="n">
        <v>17.8</v>
      </c>
      <c r="K43" s="4" t="n">
        <v>14.75</v>
      </c>
      <c r="L43" s="4" t="n">
        <v>35.4</v>
      </c>
      <c r="M43" s="4" t="n">
        <v>32.83</v>
      </c>
      <c r="N43" s="21">
        <f>SUM(E43:M43)</f>
        <v/>
      </c>
    </row>
    <row r="44">
      <c r="A44" s="23" t="inlineStr">
        <is>
          <t>DHAN-321261016683609+23126101679509+23126101679909+321261016685009+221261016694409+221261016695109+34126101677409+321261016686809+23126101680709+321261016687809+23126101681009+34126101678009</t>
        </is>
      </c>
      <c r="B44" s="23" t="inlineStr">
        <is>
          <t>EUROPRATIK</t>
        </is>
      </c>
      <c r="C44" s="23" t="inlineStr">
        <is>
          <t>LONG</t>
        </is>
      </c>
      <c r="D44" s="24" t="inlineStr"/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14.75</v>
      </c>
      <c r="L44" s="4" t="n">
        <v>35.4</v>
      </c>
      <c r="M44" s="4" t="n">
        <v>0</v>
      </c>
      <c r="N44" s="21">
        <f>SUM(E44:M44)</f>
        <v/>
      </c>
    </row>
    <row r="45">
      <c r="A45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45" s="23" t="inlineStr">
        <is>
          <t>INDOKEM</t>
        </is>
      </c>
      <c r="C45" s="23" t="inlineStr">
        <is>
          <t>LONG</t>
        </is>
      </c>
      <c r="D45" s="24" t="inlineStr"/>
      <c r="E45" s="4" t="n">
        <v>0</v>
      </c>
      <c r="F45" s="4" t="n">
        <v>85.43000000000001</v>
      </c>
      <c r="G45" s="4" t="n">
        <v>2.62</v>
      </c>
      <c r="H45" s="4" t="n">
        <v>0.09</v>
      </c>
      <c r="I45" s="4" t="n">
        <v>12.81</v>
      </c>
      <c r="J45" s="4" t="n">
        <v>0.49</v>
      </c>
      <c r="K45" s="4" t="n">
        <v>14.75</v>
      </c>
      <c r="L45" s="4" t="n">
        <v>0</v>
      </c>
      <c r="M45" s="4" t="n">
        <v>0</v>
      </c>
      <c r="N45" s="21">
        <f>SUM(E45:M45)</f>
        <v/>
      </c>
    </row>
    <row r="46">
      <c r="A46" s="23" t="inlineStr">
        <is>
          <t>DHAN-221261016693009+23126101679709+23126101679809+23126101680009+321261016685409+221261016694909+34126101677509+321261016686909+34126101677709+321261016687909+34126101677909</t>
        </is>
      </c>
      <c r="B46" s="23" t="inlineStr">
        <is>
          <t>MBEL</t>
        </is>
      </c>
      <c r="C46" s="23" t="inlineStr">
        <is>
          <t>LONG</t>
        </is>
      </c>
      <c r="D46" s="24" t="inlineStr"/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14.75</v>
      </c>
      <c r="L46" s="4" t="n">
        <v>35.4</v>
      </c>
      <c r="M46" s="4" t="n">
        <v>0</v>
      </c>
      <c r="N46" s="21">
        <f>SUM(E46:M46)</f>
        <v/>
      </c>
    </row>
    <row r="47">
      <c r="A47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47" s="23" t="inlineStr">
        <is>
          <t>MMWL</t>
        </is>
      </c>
      <c r="C47" s="23" t="inlineStr">
        <is>
          <t>LONG</t>
        </is>
      </c>
      <c r="D47" s="24" t="inlineStr"/>
      <c r="E47" s="4" t="n">
        <v>24.76</v>
      </c>
      <c r="F47" s="4" t="n">
        <v>3.4</v>
      </c>
      <c r="G47" s="4" t="n">
        <v>2.63</v>
      </c>
      <c r="H47" s="4" t="n">
        <v>0.09</v>
      </c>
      <c r="I47" s="4" t="n">
        <v>3</v>
      </c>
      <c r="J47" s="4" t="n">
        <v>4.95</v>
      </c>
      <c r="K47" s="4" t="n">
        <v>14.75</v>
      </c>
      <c r="L47" s="4" t="n">
        <v>0</v>
      </c>
      <c r="M47" s="4" t="n">
        <v>0</v>
      </c>
      <c r="N47" s="21">
        <f>SUM(E47:M47)</f>
        <v/>
      </c>
    </row>
    <row r="48">
      <c r="A48" s="23" t="inlineStr">
        <is>
          <t>DHAN-321261016683509+23126101679609+221261016693309+321261016685109+321261016685509+321261016685809+221261016695509+34126101677609+23126101680609+23126101680809+321261016688709+321261016689109+221261016697009+321261016690409</t>
        </is>
      </c>
      <c r="B48" s="23" t="inlineStr">
        <is>
          <t>PARACABLES</t>
        </is>
      </c>
      <c r="C48" s="23" t="inlineStr">
        <is>
          <t>LONG</t>
        </is>
      </c>
      <c r="D48" s="24" t="inlineStr"/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14.75</v>
      </c>
      <c r="L48" s="4" t="n">
        <v>35.4</v>
      </c>
      <c r="M48" s="4" t="n">
        <v>0</v>
      </c>
      <c r="N48" s="21">
        <f>SUM(E48:M48)</f>
        <v/>
      </c>
    </row>
    <row r="49">
      <c r="A49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9" s="23" t="inlineStr">
        <is>
          <t>SIMPLEXINF</t>
        </is>
      </c>
      <c r="C49" s="23" t="inlineStr">
        <is>
          <t>LONG</t>
        </is>
      </c>
      <c r="D49" s="24" t="inlineStr"/>
      <c r="E49" s="4" t="n">
        <v>59.95</v>
      </c>
      <c r="F49" s="4" t="n">
        <v>199.83</v>
      </c>
      <c r="G49" s="4" t="n">
        <v>6.13</v>
      </c>
      <c r="H49" s="4" t="n">
        <v>0.2</v>
      </c>
      <c r="I49" s="4" t="n">
        <v>29.98</v>
      </c>
      <c r="J49" s="4" t="n">
        <v>11.93</v>
      </c>
      <c r="K49" s="4" t="n">
        <v>14.75</v>
      </c>
      <c r="L49" s="4" t="n">
        <v>35.4</v>
      </c>
      <c r="M49" s="4" t="n">
        <v>36.67</v>
      </c>
      <c r="N49" s="21">
        <f>SUM(E49:M49)</f>
        <v/>
      </c>
    </row>
    <row r="50">
      <c r="A50" s="23" t="inlineStr">
        <is>
          <t>DHAN-221261016692909+321261016684009+321261016684509+221261016693809+23126101680109+221261016695009+321261016686109+23126101680509+221261016696009+23126101680909+34126101677809+23126101681109</t>
        </is>
      </c>
      <c r="B50" s="23" t="inlineStr">
        <is>
          <t>SOLARA</t>
        </is>
      </c>
      <c r="C50" s="23" t="inlineStr">
        <is>
          <t>LONG</t>
        </is>
      </c>
      <c r="D50" s="24" t="inlineStr"/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14.75</v>
      </c>
      <c r="L50" s="4" t="n">
        <v>35.4</v>
      </c>
      <c r="M50" s="4" t="n">
        <v>0</v>
      </c>
      <c r="N50" s="21">
        <f>SUM(E50:M50)</f>
        <v/>
      </c>
    </row>
    <row r="51">
      <c r="A51" s="3" t="inlineStr">
        <is>
          <t>TOTAL</t>
        </is>
      </c>
      <c r="E51" s="32">
        <f>SUM(E4:E50)</f>
        <v/>
      </c>
      <c r="F51" s="32">
        <f>SUM(F4:F50)</f>
        <v/>
      </c>
      <c r="G51" s="32">
        <f>SUM(G4:G50)</f>
        <v/>
      </c>
      <c r="H51" s="32">
        <f>SUM(H4:H50)</f>
        <v/>
      </c>
      <c r="I51" s="32">
        <f>SUM(I4:I50)</f>
        <v/>
      </c>
      <c r="J51" s="32">
        <f>SUM(J4:J50)</f>
        <v/>
      </c>
      <c r="K51" s="32">
        <f>SUM(K4:K50)</f>
        <v/>
      </c>
      <c r="L51" s="32">
        <f>SUM(L4:L50)</f>
        <v/>
      </c>
      <c r="M51" s="32">
        <f>SUM(M4:M50)</f>
        <v/>
      </c>
      <c r="N51" s="32">
        <f>SUM(N4:N50)</f>
        <v/>
      </c>
    </row>
  </sheetData>
  <autoFilter ref="A3:N50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3" t="inlineStr">
        <is>
          <t>TOTAL</t>
        </is>
      </c>
      <c r="B12" s="30">
        <f>SUM(B10:B11)</f>
        <v/>
      </c>
      <c r="C12" s="30">
        <f>SUM(C10:C11)</f>
        <v/>
      </c>
      <c r="D12" s="30">
        <f>SUM(D10:D11)</f>
        <v/>
      </c>
      <c r="E12" s="31">
        <f>IFERROR(C12/B12,"")</f>
        <v/>
      </c>
      <c r="F12" s="32">
        <f>SUM(F10:F11)</f>
        <v/>
      </c>
      <c r="G12" s="32">
        <f>SUM(G10:G11)</f>
        <v/>
      </c>
      <c r="H12" s="32">
        <f>IFERROR(G12/B12,"")</f>
        <v/>
      </c>
      <c r="K12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2026-10-16T10:17:23Z</dcterms:created>
  <dcterms:modified xmlns:dcterms="http://purl.org/dc/terms/" xmlns:xsi="http://www.w3.org/2001/XMLSchema-instance" xsi:type="dcterms:W3CDTF">2026-10-16T10:17:23Z</dcterms:modified>
</cp:coreProperties>
</file>