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1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i val="1"/>
      <color rgb="FF0000FF"/>
    </font>
    <font>
      <name val="Arial"/>
      <color rgb="FF000000"/>
    </font>
    <font>
      <name val="Arial"/>
      <color rgb="FF0000FF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9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166" fontId="6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9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9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9" fillId="8" borderId="0" applyAlignment="1" pivotButton="0" quotePrefix="0" xfId="0">
      <alignment horizontal="center" vertical="center"/>
    </xf>
    <xf numFmtId="0" fontId="0" fillId="8" borderId="0" pivotButton="0" quotePrefix="0" xfId="0"/>
    <xf numFmtId="166" fontId="10" fillId="2" borderId="0" applyAlignment="1" pivotButton="0" quotePrefix="0" xfId="0">
      <alignment horizontal="center" vertical="center"/>
    </xf>
    <xf numFmtId="167" fontId="10" fillId="6" borderId="0" applyAlignment="1" pivotButton="0" quotePrefix="0" xfId="0">
      <alignment horizontal="center" vertical="center"/>
    </xf>
    <xf numFmtId="167" fontId="10" fillId="7" borderId="0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4" fontId="6" fillId="4" borderId="0" pivotButton="0" quotePrefix="0" xfId="0"/>
    <xf numFmtId="165" fontId="6" fillId="4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7" fillId="0" borderId="0" pivotButton="0" quotePrefix="0" xfId="0"/>
    <xf numFmtId="167" fontId="7" fillId="0" borderId="0" pivotButton="0" quotePrefix="0" xfId="0"/>
    <xf numFmtId="166" fontId="7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EX-LONG-1 (EXAMPLE — delete before real use)</t>
        </is>
      </c>
      <c r="B4" s="23" t="inlineStr">
        <is>
          <t>RELIANCE</t>
        </is>
      </c>
      <c r="C4" s="23" t="inlineStr">
        <is>
          <t>LONG</t>
        </is>
      </c>
      <c r="D4" s="24" t="n">
        <v>46234</v>
      </c>
      <c r="E4" s="25" t="n">
        <v>2500</v>
      </c>
      <c r="F4" s="26" t="n">
        <v>100</v>
      </c>
      <c r="G4" s="24" t="n">
        <v>46235</v>
      </c>
      <c r="H4" s="25" t="n">
        <v>2550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27" t="n">
        <v>150</v>
      </c>
      <c r="L4" s="21">
        <f>IF(OR($B4="",$I4=""),"",$I4-IF($K4="",0,$K4))</f>
        <v/>
      </c>
      <c r="M4" s="22">
        <f>IF(OR($B4="",$L4="",$E4=0,$F4=0),"",$L4/($E4*$F4))</f>
        <v/>
      </c>
      <c r="N4" s="28">
        <f>IF($B4="","",IF($H4="","Open","Closed"))</f>
        <v/>
      </c>
      <c r="O4" s="23" t="inlineStr">
        <is>
          <t>10-15</t>
        </is>
      </c>
    </row>
    <row r="5">
      <c r="A5" s="23" t="inlineStr">
        <is>
          <t>EX-SHORT-1 (EXAMPLE — delete before real use)</t>
        </is>
      </c>
      <c r="B5" s="23" t="inlineStr">
        <is>
          <t>TCS</t>
        </is>
      </c>
      <c r="C5" s="23" t="inlineStr">
        <is>
          <t>SHORT</t>
        </is>
      </c>
      <c r="D5" s="24" t="n">
        <v>46234</v>
      </c>
      <c r="E5" s="25" t="n">
        <v>3600</v>
      </c>
      <c r="F5" s="26" t="n">
        <v>50</v>
      </c>
      <c r="G5" s="24" t="n">
        <v>46235</v>
      </c>
      <c r="H5" s="25" t="n">
        <v>3550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27" t="n">
        <v>100</v>
      </c>
      <c r="L5" s="21">
        <f>IF(OR($B5="",$I5=""),"",$I5-IF($K5="",0,$K5))</f>
        <v/>
      </c>
      <c r="M5" s="22">
        <f>IF(OR($B5="",$L5="",$E5=0,$F5=0),"",$L5/($E5*$F5))</f>
        <v/>
      </c>
      <c r="N5" s="28">
        <f>IF($B5="","",IF($H5="","Open","Closed"))</f>
        <v/>
      </c>
      <c r="O5" s="23" t="inlineStr">
        <is>
          <t>5-10</t>
        </is>
      </c>
    </row>
    <row r="6">
      <c r="A6" s="29" t="n"/>
      <c r="B6" s="29" t="n"/>
      <c r="C6" s="29" t="n"/>
      <c r="D6" s="30" t="n"/>
      <c r="E6" s="31" t="n"/>
      <c r="F6" s="32" t="n"/>
      <c r="G6" s="30" t="n"/>
      <c r="H6" s="31" t="n"/>
      <c r="I6" s="21">
        <f>IF(OR($B6="",$H6=""),"",IF($C6="LONG",($H6-$E6)*$F6,($E6-$H6)*$F6))</f>
        <v/>
      </c>
      <c r="J6" s="22">
        <f>IF(OR($B6="",$I6="",$E6=0,$F6=0),"",$I6/($E6*$F6))</f>
        <v/>
      </c>
      <c r="K6" s="4" t="n"/>
      <c r="L6" s="21">
        <f>IF(OR($B6="",$I6=""),"",$I6-IF($K6="",0,$K6))</f>
        <v/>
      </c>
      <c r="M6" s="22">
        <f>IF(OR($B6="",$L6="",$E6=0,$F6=0),"",$L6/($E6*$F6))</f>
        <v/>
      </c>
      <c r="N6" s="28">
        <f>IF($B6="","",IF($H6="","Open","Closed"))</f>
        <v/>
      </c>
      <c r="O6" s="29" t="n"/>
    </row>
    <row r="7">
      <c r="A7" s="29" t="n"/>
      <c r="B7" s="29" t="n"/>
      <c r="C7" s="29" t="n"/>
      <c r="D7" s="30" t="n"/>
      <c r="E7" s="31" t="n"/>
      <c r="F7" s="32" t="n"/>
      <c r="G7" s="30" t="n"/>
      <c r="H7" s="31" t="n"/>
      <c r="I7" s="21">
        <f>IF(OR($B7="",$H7=""),"",IF($C7="LONG",($H7-$E7)*$F7,($E7-$H7)*$F7))</f>
        <v/>
      </c>
      <c r="J7" s="22">
        <f>IF(OR($B7="",$I7="",$E7=0,$F7=0),"",$I7/($E7*$F7))</f>
        <v/>
      </c>
      <c r="K7" s="4" t="n"/>
      <c r="L7" s="21">
        <f>IF(OR($B7="",$I7=""),"",$I7-IF($K7="",0,$K7))</f>
        <v/>
      </c>
      <c r="M7" s="22">
        <f>IF(OR($B7="",$L7="",$E7=0,$F7=0),"",$L7/($E7*$F7))</f>
        <v/>
      </c>
      <c r="N7" s="28">
        <f>IF($B7="","",IF($H7="","Open","Closed"))</f>
        <v/>
      </c>
      <c r="O7" s="29" t="n"/>
    </row>
    <row r="8">
      <c r="A8" s="29" t="n"/>
      <c r="B8" s="29" t="n"/>
      <c r="C8" s="29" t="n"/>
      <c r="D8" s="30" t="n"/>
      <c r="E8" s="31" t="n"/>
      <c r="F8" s="32" t="n"/>
      <c r="G8" s="30" t="n"/>
      <c r="H8" s="31" t="n"/>
      <c r="I8" s="21">
        <f>IF(OR($B8="",$H8=""),"",IF($C8="LONG",($H8-$E8)*$F8,($E8-$H8)*$F8))</f>
        <v/>
      </c>
      <c r="J8" s="22">
        <f>IF(OR($B8="",$I8="",$E8=0,$F8=0),"",$I8/($E8*$F8))</f>
        <v/>
      </c>
      <c r="K8" s="4" t="n"/>
      <c r="L8" s="21">
        <f>IF(OR($B8="",$I8=""),"",$I8-IF($K8="",0,$K8))</f>
        <v/>
      </c>
      <c r="M8" s="22">
        <f>IF(OR($B8="",$L8="",$E8=0,$F8=0),"",$L8/($E8*$F8))</f>
        <v/>
      </c>
      <c r="N8" s="28">
        <f>IF($B8="","",IF($H8="","Open","Closed"))</f>
        <v/>
      </c>
      <c r="O8" s="29" t="n"/>
    </row>
    <row r="9">
      <c r="A9" s="29" t="n"/>
      <c r="B9" s="29" t="n"/>
      <c r="C9" s="29" t="n"/>
      <c r="D9" s="30" t="n"/>
      <c r="E9" s="31" t="n"/>
      <c r="F9" s="32" t="n"/>
      <c r="G9" s="30" t="n"/>
      <c r="H9" s="31" t="n"/>
      <c r="I9" s="21">
        <f>IF(OR($B9="",$H9=""),"",IF($C9="LONG",($H9-$E9)*$F9,($E9-$H9)*$F9))</f>
        <v/>
      </c>
      <c r="J9" s="22">
        <f>IF(OR($B9="",$I9="",$E9=0,$F9=0),"",$I9/($E9*$F9))</f>
        <v/>
      </c>
      <c r="K9" s="4" t="n"/>
      <c r="L9" s="21">
        <f>IF(OR($B9="",$I9=""),"",$I9-IF($K9="",0,$K9))</f>
        <v/>
      </c>
      <c r="M9" s="22">
        <f>IF(OR($B9="",$L9="",$E9=0,$F9=0),"",$L9/($E9*$F9))</f>
        <v/>
      </c>
      <c r="N9" s="28">
        <f>IF($B9="","",IF($H9="","Open","Closed"))</f>
        <v/>
      </c>
      <c r="O9" s="29" t="n"/>
    </row>
    <row r="10">
      <c r="A10" s="29" t="n"/>
      <c r="B10" s="29" t="n"/>
      <c r="C10" s="29" t="n"/>
      <c r="D10" s="30" t="n"/>
      <c r="E10" s="31" t="n"/>
      <c r="F10" s="32" t="n"/>
      <c r="G10" s="30" t="n"/>
      <c r="H10" s="31" t="n"/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/>
      <c r="L10" s="21">
        <f>IF(OR($B10="",$I10=""),"",$I10-IF($K10="",0,$K10))</f>
        <v/>
      </c>
      <c r="M10" s="22">
        <f>IF(OR($B10="",$L10="",$E10=0,$F10=0),"",$L10/($E10*$F10))</f>
        <v/>
      </c>
      <c r="N10" s="28">
        <f>IF($B10="","",IF($H10="","Open","Closed"))</f>
        <v/>
      </c>
      <c r="O10" s="29" t="n"/>
    </row>
    <row r="11">
      <c r="A11" s="29" t="n"/>
      <c r="B11" s="29" t="n"/>
      <c r="C11" s="29" t="n"/>
      <c r="D11" s="30" t="n"/>
      <c r="E11" s="31" t="n"/>
      <c r="F11" s="32" t="n"/>
      <c r="G11" s="30" t="n"/>
      <c r="H11" s="31" t="n"/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/>
      <c r="L11" s="21">
        <f>IF(OR($B11="",$I11=""),"",$I11-IF($K11="",0,$K11))</f>
        <v/>
      </c>
      <c r="M11" s="22">
        <f>IF(OR($B11="",$L11="",$E11=0,$F11=0),"",$L11/($E11*$F11))</f>
        <v/>
      </c>
      <c r="N11" s="28">
        <f>IF($B11="","",IF($H11="","Open","Closed"))</f>
        <v/>
      </c>
      <c r="O11" s="29" t="n"/>
    </row>
    <row r="12">
      <c r="A12" s="29" t="n"/>
      <c r="B12" s="29" t="n"/>
      <c r="C12" s="29" t="n"/>
      <c r="D12" s="30" t="n"/>
      <c r="E12" s="31" t="n"/>
      <c r="F12" s="32" t="n"/>
      <c r="G12" s="30" t="n"/>
      <c r="H12" s="31" t="n"/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/>
      <c r="L12" s="21">
        <f>IF(OR($B12="",$I12=""),"",$I12-IF($K12="",0,$K12))</f>
        <v/>
      </c>
      <c r="M12" s="22">
        <f>IF(OR($B12="",$L12="",$E12=0,$F12=0),"",$L12/($E12*$F12))</f>
        <v/>
      </c>
      <c r="N12" s="28">
        <f>IF($B12="","",IF($H12="","Open","Closed"))</f>
        <v/>
      </c>
      <c r="O12" s="29" t="n"/>
    </row>
    <row r="13">
      <c r="A13" s="29" t="n"/>
      <c r="B13" s="29" t="n"/>
      <c r="C13" s="29" t="n"/>
      <c r="D13" s="30" t="n"/>
      <c r="E13" s="31" t="n"/>
      <c r="F13" s="32" t="n"/>
      <c r="G13" s="30" t="n"/>
      <c r="H13" s="31" t="n"/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/>
      <c r="L13" s="21">
        <f>IF(OR($B13="",$I13=""),"",$I13-IF($K13="",0,$K13))</f>
        <v/>
      </c>
      <c r="M13" s="22">
        <f>IF(OR($B13="",$L13="",$E13=0,$F13=0),"",$L13/($E13*$F13))</f>
        <v/>
      </c>
      <c r="N13" s="28">
        <f>IF($B13="","",IF($H13="","Open","Closed"))</f>
        <v/>
      </c>
      <c r="O13" s="29" t="n"/>
    </row>
    <row r="14">
      <c r="A14" s="29" t="n"/>
      <c r="B14" s="29" t="n"/>
      <c r="C14" s="29" t="n"/>
      <c r="D14" s="30" t="n"/>
      <c r="E14" s="31" t="n"/>
      <c r="F14" s="32" t="n"/>
      <c r="G14" s="30" t="n"/>
      <c r="H14" s="31" t="n"/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/>
      <c r="L14" s="21">
        <f>IF(OR($B14="",$I14=""),"",$I14-IF($K14="",0,$K14))</f>
        <v/>
      </c>
      <c r="M14" s="22">
        <f>IF(OR($B14="",$L14="",$E14=0,$F14=0),"",$L14/($E14*$F14))</f>
        <v/>
      </c>
      <c r="N14" s="28">
        <f>IF($B14="","",IF($H14="","Open","Closed"))</f>
        <v/>
      </c>
      <c r="O14" s="29" t="n"/>
    </row>
    <row r="15">
      <c r="A15" s="29" t="n"/>
      <c r="B15" s="29" t="n"/>
      <c r="C15" s="29" t="n"/>
      <c r="D15" s="30" t="n"/>
      <c r="E15" s="31" t="n"/>
      <c r="F15" s="32" t="n"/>
      <c r="G15" s="30" t="n"/>
      <c r="H15" s="31" t="n"/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/>
      <c r="L15" s="21">
        <f>IF(OR($B15="",$I15=""),"",$I15-IF($K15="",0,$K15))</f>
        <v/>
      </c>
      <c r="M15" s="22">
        <f>IF(OR($B15="",$L15="",$E15=0,$F15=0),"",$L15/($E15*$F15))</f>
        <v/>
      </c>
      <c r="N15" s="28">
        <f>IF($B15="","",IF($H15="","Open","Closed"))</f>
        <v/>
      </c>
      <c r="O15" s="29" t="n"/>
    </row>
    <row r="16">
      <c r="A16" s="29" t="n"/>
      <c r="B16" s="29" t="n"/>
      <c r="C16" s="29" t="n"/>
      <c r="D16" s="30" t="n"/>
      <c r="E16" s="31" t="n"/>
      <c r="F16" s="32" t="n"/>
      <c r="G16" s="30" t="n"/>
      <c r="H16" s="31" t="n"/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/>
      <c r="L16" s="21">
        <f>IF(OR($B16="",$I16=""),"",$I16-IF($K16="",0,$K16))</f>
        <v/>
      </c>
      <c r="M16" s="22">
        <f>IF(OR($B16="",$L16="",$E16=0,$F16=0),"",$L16/($E16*$F16))</f>
        <v/>
      </c>
      <c r="N16" s="28">
        <f>IF($B16="","",IF($H16="","Open","Closed"))</f>
        <v/>
      </c>
      <c r="O16" s="29" t="n"/>
    </row>
    <row r="17">
      <c r="A17" s="29" t="n"/>
      <c r="B17" s="29" t="n"/>
      <c r="C17" s="29" t="n"/>
      <c r="D17" s="30" t="n"/>
      <c r="E17" s="31" t="n"/>
      <c r="F17" s="32" t="n"/>
      <c r="G17" s="30" t="n"/>
      <c r="H17" s="31" t="n"/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/>
      <c r="L17" s="21">
        <f>IF(OR($B17="",$I17=""),"",$I17-IF($K17="",0,$K17))</f>
        <v/>
      </c>
      <c r="M17" s="22">
        <f>IF(OR($B17="",$L17="",$E17=0,$F17=0),"",$L17/($E17*$F17))</f>
        <v/>
      </c>
      <c r="N17" s="28">
        <f>IF($B17="","",IF($H17="","Open","Closed"))</f>
        <v/>
      </c>
      <c r="O17" s="29" t="n"/>
    </row>
    <row r="18">
      <c r="A18" s="29" t="n"/>
      <c r="B18" s="29" t="n"/>
      <c r="C18" s="29" t="n"/>
      <c r="D18" s="30" t="n"/>
      <c r="E18" s="31" t="n"/>
      <c r="F18" s="32" t="n"/>
      <c r="G18" s="30" t="n"/>
      <c r="H18" s="31" t="n"/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/>
      <c r="L18" s="21">
        <f>IF(OR($B18="",$I18=""),"",$I18-IF($K18="",0,$K18))</f>
        <v/>
      </c>
      <c r="M18" s="22">
        <f>IF(OR($B18="",$L18="",$E18=0,$F18=0),"",$L18/($E18*$F18))</f>
        <v/>
      </c>
      <c r="N18" s="28">
        <f>IF($B18="","",IF($H18="","Open","Closed"))</f>
        <v/>
      </c>
      <c r="O18" s="29" t="n"/>
    </row>
    <row r="19">
      <c r="A19" s="29" t="n"/>
      <c r="B19" s="29" t="n"/>
      <c r="C19" s="29" t="n"/>
      <c r="D19" s="30" t="n"/>
      <c r="E19" s="31" t="n"/>
      <c r="F19" s="32" t="n"/>
      <c r="G19" s="30" t="n"/>
      <c r="H19" s="31" t="n"/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/>
      <c r="L19" s="21">
        <f>IF(OR($B19="",$I19=""),"",$I19-IF($K19="",0,$K19))</f>
        <v/>
      </c>
      <c r="M19" s="22">
        <f>IF(OR($B19="",$L19="",$E19=0,$F19=0),"",$L19/($E19*$F19))</f>
        <v/>
      </c>
      <c r="N19" s="28">
        <f>IF($B19="","",IF($H19="","Open","Closed"))</f>
        <v/>
      </c>
      <c r="O19" s="29" t="n"/>
    </row>
    <row r="20">
      <c r="A20" s="29" t="n"/>
      <c r="B20" s="29" t="n"/>
      <c r="C20" s="29" t="n"/>
      <c r="D20" s="30" t="n"/>
      <c r="E20" s="31" t="n"/>
      <c r="F20" s="32" t="n"/>
      <c r="G20" s="30" t="n"/>
      <c r="H20" s="31" t="n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/>
      <c r="L20" s="21">
        <f>IF(OR($B20="",$I20=""),"",$I20-IF($K20="",0,$K20))</f>
        <v/>
      </c>
      <c r="M20" s="22">
        <f>IF(OR($B20="",$L20="",$E20=0,$F20=0),"",$L20/($E20*$F20))</f>
        <v/>
      </c>
      <c r="N20" s="28">
        <f>IF($B20="","",IF($H20="","Open","Closed"))</f>
        <v/>
      </c>
      <c r="O20" s="29" t="n"/>
    </row>
    <row r="21">
      <c r="A21" s="29" t="n"/>
      <c r="B21" s="29" t="n"/>
      <c r="C21" s="29" t="n"/>
      <c r="D21" s="30" t="n"/>
      <c r="E21" s="31" t="n"/>
      <c r="F21" s="32" t="n"/>
      <c r="G21" s="30" t="n"/>
      <c r="H21" s="31" t="n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/>
      <c r="L21" s="21">
        <f>IF(OR($B21="",$I21=""),"",$I21-IF($K21="",0,$K21))</f>
        <v/>
      </c>
      <c r="M21" s="22">
        <f>IF(OR($B21="",$L21="",$E21=0,$F21=0),"",$L21/($E21*$F21))</f>
        <v/>
      </c>
      <c r="N21" s="28">
        <f>IF($B21="","",IF($H21="","Open","Closed"))</f>
        <v/>
      </c>
      <c r="O21" s="29" t="n"/>
    </row>
    <row r="22">
      <c r="A22" s="29" t="n"/>
      <c r="B22" s="29" t="n"/>
      <c r="C22" s="29" t="n"/>
      <c r="D22" s="30" t="n"/>
      <c r="E22" s="31" t="n"/>
      <c r="F22" s="32" t="n"/>
      <c r="G22" s="30" t="n"/>
      <c r="H22" s="31" t="n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/>
      <c r="L22" s="21">
        <f>IF(OR($B22="",$I22=""),"",$I22-IF($K22="",0,$K22))</f>
        <v/>
      </c>
      <c r="M22" s="22">
        <f>IF(OR($B22="",$L22="",$E22=0,$F22=0),"",$L22/($E22*$F22))</f>
        <v/>
      </c>
      <c r="N22" s="28">
        <f>IF($B22="","",IF($H22="","Open","Closed"))</f>
        <v/>
      </c>
      <c r="O22" s="29" t="n"/>
    </row>
    <row r="23">
      <c r="A23" s="29" t="n"/>
      <c r="B23" s="29" t="n"/>
      <c r="C23" s="29" t="n"/>
      <c r="D23" s="30" t="n"/>
      <c r="E23" s="31" t="n"/>
      <c r="F23" s="32" t="n"/>
      <c r="G23" s="30" t="n"/>
      <c r="H23" s="31" t="n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/>
      <c r="L23" s="21">
        <f>IF(OR($B23="",$I23=""),"",$I23-IF($K23="",0,$K23))</f>
        <v/>
      </c>
      <c r="M23" s="22">
        <f>IF(OR($B23="",$L23="",$E23=0,$F23=0),"",$L23/($E23*$F23))</f>
        <v/>
      </c>
      <c r="N23" s="28">
        <f>IF($B23="","",IF($H23="","Open","Closed"))</f>
        <v/>
      </c>
      <c r="O23" s="29" t="n"/>
    </row>
    <row r="24">
      <c r="A24" s="29" t="n"/>
      <c r="B24" s="29" t="n"/>
      <c r="C24" s="29" t="n"/>
      <c r="D24" s="30" t="n"/>
      <c r="E24" s="31" t="n"/>
      <c r="F24" s="32" t="n"/>
      <c r="G24" s="30" t="n"/>
      <c r="H24" s="31" t="n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/>
      <c r="L24" s="21">
        <f>IF(OR($B24="",$I24=""),"",$I24-IF($K24="",0,$K24))</f>
        <v/>
      </c>
      <c r="M24" s="22">
        <f>IF(OR($B24="",$L24="",$E24=0,$F24=0),"",$L24/($E24*$F24))</f>
        <v/>
      </c>
      <c r="N24" s="28">
        <f>IF($B24="","",IF($H24="","Open","Closed"))</f>
        <v/>
      </c>
      <c r="O24" s="29" t="n"/>
    </row>
    <row r="25">
      <c r="A25" s="29" t="n"/>
      <c r="B25" s="29" t="n"/>
      <c r="C25" s="29" t="n"/>
      <c r="D25" s="30" t="n"/>
      <c r="E25" s="31" t="n"/>
      <c r="F25" s="32" t="n"/>
      <c r="G25" s="30" t="n"/>
      <c r="H25" s="31" t="n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/>
      <c r="L25" s="21">
        <f>IF(OR($B25="",$I25=""),"",$I25-IF($K25="",0,$K25))</f>
        <v/>
      </c>
      <c r="M25" s="22">
        <f>IF(OR($B25="",$L25="",$E25=0,$F25=0),"",$L25/($E25*$F25))</f>
        <v/>
      </c>
      <c r="N25" s="28">
        <f>IF($B25="","",IF($H25="","Open","Closed"))</f>
        <v/>
      </c>
      <c r="O25" s="29" t="n"/>
    </row>
    <row r="26">
      <c r="A26" s="29" t="n"/>
      <c r="B26" s="29" t="n"/>
      <c r="C26" s="29" t="n"/>
      <c r="D26" s="30" t="n"/>
      <c r="E26" s="31" t="n"/>
      <c r="F26" s="32" t="n"/>
      <c r="G26" s="30" t="n"/>
      <c r="H26" s="31" t="n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/>
      <c r="L26" s="21">
        <f>IF(OR($B26="",$I26=""),"",$I26-IF($K26="",0,$K26))</f>
        <v/>
      </c>
      <c r="M26" s="22">
        <f>IF(OR($B26="",$L26="",$E26=0,$F26=0),"",$L26/($E26*$F26))</f>
        <v/>
      </c>
      <c r="N26" s="28">
        <f>IF($B26="","",IF($H26="","Open","Closed"))</f>
        <v/>
      </c>
      <c r="O26" s="29" t="n"/>
    </row>
    <row r="27">
      <c r="A27" s="29" t="n"/>
      <c r="B27" s="29" t="n"/>
      <c r="C27" s="29" t="n"/>
      <c r="D27" s="30" t="n"/>
      <c r="E27" s="31" t="n"/>
      <c r="F27" s="32" t="n"/>
      <c r="G27" s="30" t="n"/>
      <c r="H27" s="31" t="n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/>
      <c r="L27" s="21">
        <f>IF(OR($B27="",$I27=""),"",$I27-IF($K27="",0,$K27))</f>
        <v/>
      </c>
      <c r="M27" s="22">
        <f>IF(OR($B27="",$L27="",$E27=0,$F27=0),"",$L27/($E27*$F27))</f>
        <v/>
      </c>
      <c r="N27" s="28">
        <f>IF($B27="","",IF($H27="","Open","Closed"))</f>
        <v/>
      </c>
      <c r="O27" s="29" t="n"/>
    </row>
    <row r="28">
      <c r="A28" s="29" t="n"/>
      <c r="B28" s="29" t="n"/>
      <c r="C28" s="29" t="n"/>
      <c r="D28" s="30" t="n"/>
      <c r="E28" s="31" t="n"/>
      <c r="F28" s="32" t="n"/>
      <c r="G28" s="30" t="n"/>
      <c r="H28" s="31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8">
        <f>IF($B28="","",IF($H28="","Open","Closed"))</f>
        <v/>
      </c>
      <c r="O28" s="29" t="n"/>
    </row>
    <row r="29">
      <c r="A29" s="29" t="n"/>
      <c r="B29" s="29" t="n"/>
      <c r="C29" s="29" t="n"/>
      <c r="D29" s="30" t="n"/>
      <c r="E29" s="31" t="n"/>
      <c r="F29" s="32" t="n"/>
      <c r="G29" s="30" t="n"/>
      <c r="H29" s="31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8">
        <f>IF($B29="","",IF($H29="","Open","Closed"))</f>
        <v/>
      </c>
      <c r="O29" s="29" t="n"/>
    </row>
    <row r="30">
      <c r="A30" s="29" t="n"/>
      <c r="B30" s="29" t="n"/>
      <c r="C30" s="29" t="n"/>
      <c r="D30" s="30" t="n"/>
      <c r="E30" s="31" t="n"/>
      <c r="F30" s="32" t="n"/>
      <c r="G30" s="30" t="n"/>
      <c r="H30" s="31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8">
        <f>IF($B30="","",IF($H30="","Open","Closed"))</f>
        <v/>
      </c>
      <c r="O30" s="29" t="n"/>
    </row>
    <row r="31">
      <c r="A31" s="29" t="n"/>
      <c r="B31" s="29" t="n"/>
      <c r="C31" s="29" t="n"/>
      <c r="D31" s="30" t="n"/>
      <c r="E31" s="31" t="n"/>
      <c r="F31" s="32" t="n"/>
      <c r="G31" s="30" t="n"/>
      <c r="H31" s="31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8">
        <f>IF($B31="","",IF($H31="","Open","Closed"))</f>
        <v/>
      </c>
      <c r="O31" s="29" t="n"/>
    </row>
    <row r="32">
      <c r="A32" s="29" t="n"/>
      <c r="B32" s="29" t="n"/>
      <c r="C32" s="29" t="n"/>
      <c r="D32" s="30" t="n"/>
      <c r="E32" s="31" t="n"/>
      <c r="F32" s="32" t="n"/>
      <c r="G32" s="30" t="n"/>
      <c r="H32" s="31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8">
        <f>IF($B32="","",IF($H32="","Open","Closed"))</f>
        <v/>
      </c>
      <c r="O32" s="29" t="n"/>
    </row>
    <row r="33">
      <c r="A33" s="29" t="n"/>
      <c r="B33" s="29" t="n"/>
      <c r="C33" s="29" t="n"/>
      <c r="D33" s="30" t="n"/>
      <c r="E33" s="31" t="n"/>
      <c r="F33" s="32" t="n"/>
      <c r="G33" s="30" t="n"/>
      <c r="H33" s="31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8">
        <f>IF($B33="","",IF($H33="","Open","Closed"))</f>
        <v/>
      </c>
      <c r="O33" s="29" t="n"/>
    </row>
    <row r="34">
      <c r="A34" s="29" t="n"/>
      <c r="B34" s="29" t="n"/>
      <c r="C34" s="29" t="n"/>
      <c r="D34" s="30" t="n"/>
      <c r="E34" s="31" t="n"/>
      <c r="F34" s="32" t="n"/>
      <c r="G34" s="30" t="n"/>
      <c r="H34" s="31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8">
        <f>IF($B34="","",IF($H34="","Open","Closed"))</f>
        <v/>
      </c>
      <c r="O34" s="29" t="n"/>
    </row>
    <row r="35">
      <c r="A35" s="29" t="n"/>
      <c r="B35" s="29" t="n"/>
      <c r="C35" s="29" t="n"/>
      <c r="D35" s="30" t="n"/>
      <c r="E35" s="31" t="n"/>
      <c r="F35" s="32" t="n"/>
      <c r="G35" s="30" t="n"/>
      <c r="H35" s="31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8">
        <f>IF($B35="","",IF($H35="","Open","Closed"))</f>
        <v/>
      </c>
      <c r="O35" s="29" t="n"/>
    </row>
    <row r="36">
      <c r="A36" s="29" t="n"/>
      <c r="B36" s="29" t="n"/>
      <c r="C36" s="29" t="n"/>
      <c r="D36" s="30" t="n"/>
      <c r="E36" s="31" t="n"/>
      <c r="F36" s="32" t="n"/>
      <c r="G36" s="30" t="n"/>
      <c r="H36" s="31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8">
        <f>IF($B36="","",IF($H36="","Open","Closed"))</f>
        <v/>
      </c>
      <c r="O36" s="29" t="n"/>
    </row>
    <row r="37">
      <c r="A37" s="29" t="n"/>
      <c r="B37" s="29" t="n"/>
      <c r="C37" s="29" t="n"/>
      <c r="D37" s="30" t="n"/>
      <c r="E37" s="31" t="n"/>
      <c r="F37" s="32" t="n"/>
      <c r="G37" s="30" t="n"/>
      <c r="H37" s="31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8">
        <f>IF($B37="","",IF($H37="","Open","Closed"))</f>
        <v/>
      </c>
      <c r="O37" s="29" t="n"/>
    </row>
    <row r="38">
      <c r="A38" s="29" t="n"/>
      <c r="B38" s="29" t="n"/>
      <c r="C38" s="29" t="n"/>
      <c r="D38" s="30" t="n"/>
      <c r="E38" s="31" t="n"/>
      <c r="F38" s="32" t="n"/>
      <c r="G38" s="30" t="n"/>
      <c r="H38" s="31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8">
        <f>IF($B38="","",IF($H38="","Open","Closed"))</f>
        <v/>
      </c>
      <c r="O38" s="29" t="n"/>
    </row>
    <row r="39">
      <c r="A39" s="29" t="n"/>
      <c r="B39" s="29" t="n"/>
      <c r="C39" s="29" t="n"/>
      <c r="D39" s="30" t="n"/>
      <c r="E39" s="31" t="n"/>
      <c r="F39" s="32" t="n"/>
      <c r="G39" s="30" t="n"/>
      <c r="H39" s="31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8">
        <f>IF($B39="","",IF($H39="","Open","Closed"))</f>
        <v/>
      </c>
      <c r="O39" s="29" t="n"/>
    </row>
    <row r="40">
      <c r="A40" s="29" t="n"/>
      <c r="B40" s="29" t="n"/>
      <c r="C40" s="29" t="n"/>
      <c r="D40" s="30" t="n"/>
      <c r="E40" s="31" t="n"/>
      <c r="F40" s="32" t="n"/>
      <c r="G40" s="30" t="n"/>
      <c r="H40" s="31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8">
        <f>IF($B40="","",IF($H40="","Open","Closed"))</f>
        <v/>
      </c>
      <c r="O40" s="29" t="n"/>
    </row>
    <row r="41">
      <c r="A41" s="29" t="n"/>
      <c r="B41" s="29" t="n"/>
      <c r="C41" s="29" t="n"/>
      <c r="D41" s="30" t="n"/>
      <c r="E41" s="31" t="n"/>
      <c r="F41" s="32" t="n"/>
      <c r="G41" s="30" t="n"/>
      <c r="H41" s="31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8">
        <f>IF($B41="","",IF($H41="","Open","Closed"))</f>
        <v/>
      </c>
      <c r="O41" s="29" t="n"/>
    </row>
    <row r="42">
      <c r="A42" s="29" t="n"/>
      <c r="B42" s="29" t="n"/>
      <c r="C42" s="29" t="n"/>
      <c r="D42" s="30" t="n"/>
      <c r="E42" s="31" t="n"/>
      <c r="F42" s="32" t="n"/>
      <c r="G42" s="30" t="n"/>
      <c r="H42" s="31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8">
        <f>IF($B42="","",IF($H42="","Open","Closed"))</f>
        <v/>
      </c>
      <c r="O42" s="29" t="n"/>
    </row>
    <row r="43">
      <c r="A43" s="29" t="n"/>
      <c r="B43" s="29" t="n"/>
      <c r="C43" s="29" t="n"/>
      <c r="D43" s="30" t="n"/>
      <c r="E43" s="31" t="n"/>
      <c r="F43" s="32" t="n"/>
      <c r="G43" s="30" t="n"/>
      <c r="H43" s="31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8">
        <f>IF($B43="","",IF($H43="","Open","Closed"))</f>
        <v/>
      </c>
      <c r="O43" s="29" t="n"/>
    </row>
    <row r="44">
      <c r="A44" s="29" t="n"/>
      <c r="B44" s="29" t="n"/>
      <c r="C44" s="29" t="n"/>
      <c r="D44" s="30" t="n"/>
      <c r="E44" s="31" t="n"/>
      <c r="F44" s="32" t="n"/>
      <c r="G44" s="30" t="n"/>
      <c r="H44" s="31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8">
        <f>IF($B44="","",IF($H44="","Open","Closed"))</f>
        <v/>
      </c>
      <c r="O44" s="29" t="n"/>
    </row>
    <row r="45">
      <c r="A45" s="29" t="n"/>
      <c r="B45" s="29" t="n"/>
      <c r="C45" s="29" t="n"/>
      <c r="D45" s="30" t="n"/>
      <c r="E45" s="31" t="n"/>
      <c r="F45" s="32" t="n"/>
      <c r="G45" s="30" t="n"/>
      <c r="H45" s="31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8">
        <f>IF($B45="","",IF($H45="","Open","Closed"))</f>
        <v/>
      </c>
      <c r="O45" s="29" t="n"/>
    </row>
    <row r="46">
      <c r="A46" s="29" t="n"/>
      <c r="B46" s="29" t="n"/>
      <c r="C46" s="29" t="n"/>
      <c r="D46" s="30" t="n"/>
      <c r="E46" s="31" t="n"/>
      <c r="F46" s="32" t="n"/>
      <c r="G46" s="30" t="n"/>
      <c r="H46" s="31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8">
        <f>IF($B46="","",IF($H46="","Open","Closed"))</f>
        <v/>
      </c>
      <c r="O46" s="29" t="n"/>
    </row>
    <row r="47">
      <c r="A47" s="29" t="n"/>
      <c r="B47" s="29" t="n"/>
      <c r="C47" s="29" t="n"/>
      <c r="D47" s="30" t="n"/>
      <c r="E47" s="31" t="n"/>
      <c r="F47" s="32" t="n"/>
      <c r="G47" s="30" t="n"/>
      <c r="H47" s="31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8">
        <f>IF($B47="","",IF($H47="","Open","Closed"))</f>
        <v/>
      </c>
      <c r="O47" s="29" t="n"/>
    </row>
    <row r="48">
      <c r="A48" s="29" t="n"/>
      <c r="B48" s="29" t="n"/>
      <c r="C48" s="29" t="n"/>
      <c r="D48" s="30" t="n"/>
      <c r="E48" s="31" t="n"/>
      <c r="F48" s="32" t="n"/>
      <c r="G48" s="30" t="n"/>
      <c r="H48" s="31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8">
        <f>IF($B48="","",IF($H48="","Open","Closed"))</f>
        <v/>
      </c>
      <c r="O48" s="29" t="n"/>
    </row>
    <row r="49">
      <c r="A49" s="29" t="n"/>
      <c r="B49" s="29" t="n"/>
      <c r="C49" s="29" t="n"/>
      <c r="D49" s="30" t="n"/>
      <c r="E49" s="31" t="n"/>
      <c r="F49" s="32" t="n"/>
      <c r="G49" s="30" t="n"/>
      <c r="H49" s="31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8">
        <f>IF($B49="","",IF($H49="","Open","Closed"))</f>
        <v/>
      </c>
      <c r="O49" s="29" t="n"/>
    </row>
    <row r="50">
      <c r="A50" s="29" t="n"/>
      <c r="B50" s="29" t="n"/>
      <c r="C50" s="29" t="n"/>
      <c r="D50" s="30" t="n"/>
      <c r="E50" s="31" t="n"/>
      <c r="F50" s="32" t="n"/>
      <c r="G50" s="30" t="n"/>
      <c r="H50" s="31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8">
        <f>IF($B50="","",IF($H50="","Open","Closed"))</f>
        <v/>
      </c>
      <c r="O50" s="29" t="n"/>
    </row>
    <row r="51">
      <c r="A51" s="29" t="n"/>
      <c r="B51" s="29" t="n"/>
      <c r="C51" s="29" t="n"/>
      <c r="D51" s="30" t="n"/>
      <c r="E51" s="31" t="n"/>
      <c r="F51" s="32" t="n"/>
      <c r="G51" s="30" t="n"/>
      <c r="H51" s="31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8">
        <f>IF($B51="","",IF($H51="","Open","Closed"))</f>
        <v/>
      </c>
      <c r="O51" s="29" t="n"/>
    </row>
    <row r="52">
      <c r="A52" s="29" t="n"/>
      <c r="B52" s="29" t="n"/>
      <c r="C52" s="29" t="n"/>
      <c r="D52" s="30" t="n"/>
      <c r="E52" s="31" t="n"/>
      <c r="F52" s="32" t="n"/>
      <c r="G52" s="30" t="n"/>
      <c r="H52" s="31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8">
        <f>IF($B52="","",IF($H52="","Open","Closed"))</f>
        <v/>
      </c>
      <c r="O52" s="29" t="n"/>
    </row>
    <row r="53">
      <c r="A53" s="29" t="n"/>
      <c r="B53" s="29" t="n"/>
      <c r="C53" s="29" t="n"/>
      <c r="D53" s="30" t="n"/>
      <c r="E53" s="31" t="n"/>
      <c r="F53" s="32" t="n"/>
      <c r="G53" s="30" t="n"/>
      <c r="H53" s="31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8">
        <f>IF($B53="","",IF($H53="","Open","Closed"))</f>
        <v/>
      </c>
      <c r="O53" s="29" t="n"/>
    </row>
    <row r="54">
      <c r="A54" s="29" t="n"/>
      <c r="B54" s="29" t="n"/>
      <c r="C54" s="29" t="n"/>
      <c r="D54" s="30" t="n"/>
      <c r="E54" s="31" t="n"/>
      <c r="F54" s="32" t="n"/>
      <c r="G54" s="30" t="n"/>
      <c r="H54" s="31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8">
        <f>IF($B54="","",IF($H54="","Open","Closed"))</f>
        <v/>
      </c>
      <c r="O54" s="29" t="n"/>
    </row>
    <row r="55">
      <c r="A55" s="29" t="n"/>
      <c r="B55" s="29" t="n"/>
      <c r="C55" s="29" t="n"/>
      <c r="D55" s="30" t="n"/>
      <c r="E55" s="31" t="n"/>
      <c r="F55" s="32" t="n"/>
      <c r="G55" s="30" t="n"/>
      <c r="H55" s="31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8">
        <f>IF($B55="","",IF($H55="","Open","Closed"))</f>
        <v/>
      </c>
      <c r="O55" s="29" t="n"/>
    </row>
    <row r="56">
      <c r="A56" s="29" t="n"/>
      <c r="B56" s="29" t="n"/>
      <c r="C56" s="29" t="n"/>
      <c r="D56" s="30" t="n"/>
      <c r="E56" s="31" t="n"/>
      <c r="F56" s="32" t="n"/>
      <c r="G56" s="30" t="n"/>
      <c r="H56" s="31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8">
        <f>IF($B56="","",IF($H56="","Open","Closed"))</f>
        <v/>
      </c>
      <c r="O56" s="29" t="n"/>
    </row>
    <row r="57">
      <c r="A57" s="29" t="n"/>
      <c r="B57" s="29" t="n"/>
      <c r="C57" s="29" t="n"/>
      <c r="D57" s="30" t="n"/>
      <c r="E57" s="31" t="n"/>
      <c r="F57" s="32" t="n"/>
      <c r="G57" s="30" t="n"/>
      <c r="H57" s="31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8">
        <f>IF($B57="","",IF($H57="","Open","Closed"))</f>
        <v/>
      </c>
      <c r="O57" s="29" t="n"/>
    </row>
    <row r="58">
      <c r="A58" s="29" t="n"/>
      <c r="B58" s="29" t="n"/>
      <c r="C58" s="29" t="n"/>
      <c r="D58" s="30" t="n"/>
      <c r="E58" s="31" t="n"/>
      <c r="F58" s="32" t="n"/>
      <c r="G58" s="30" t="n"/>
      <c r="H58" s="31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8">
        <f>IF($B58="","",IF($H58="","Open","Closed"))</f>
        <v/>
      </c>
      <c r="O58" s="29" t="n"/>
    </row>
    <row r="59">
      <c r="A59" s="29" t="n"/>
      <c r="B59" s="29" t="n"/>
      <c r="C59" s="29" t="n"/>
      <c r="D59" s="30" t="n"/>
      <c r="E59" s="31" t="n"/>
      <c r="F59" s="32" t="n"/>
      <c r="G59" s="30" t="n"/>
      <c r="H59" s="31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8">
        <f>IF($B59="","",IF($H59="","Open","Closed"))</f>
        <v/>
      </c>
      <c r="O59" s="29" t="n"/>
    </row>
    <row r="60">
      <c r="A60" s="29" t="n"/>
      <c r="B60" s="29" t="n"/>
      <c r="C60" s="29" t="n"/>
      <c r="D60" s="30" t="n"/>
      <c r="E60" s="31" t="n"/>
      <c r="F60" s="32" t="n"/>
      <c r="G60" s="30" t="n"/>
      <c r="H60" s="31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8">
        <f>IF($B60="","",IF($H60="","Open","Closed"))</f>
        <v/>
      </c>
      <c r="O60" s="29" t="n"/>
    </row>
    <row r="61">
      <c r="A61" s="29" t="n"/>
      <c r="B61" s="29" t="n"/>
      <c r="C61" s="29" t="n"/>
      <c r="D61" s="30" t="n"/>
      <c r="E61" s="31" t="n"/>
      <c r="F61" s="32" t="n"/>
      <c r="G61" s="30" t="n"/>
      <c r="H61" s="31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8">
        <f>IF($B61="","",IF($H61="","Open","Closed"))</f>
        <v/>
      </c>
      <c r="O61" s="29" t="n"/>
    </row>
    <row r="62">
      <c r="A62" s="29" t="n"/>
      <c r="B62" s="29" t="n"/>
      <c r="C62" s="29" t="n"/>
      <c r="D62" s="30" t="n"/>
      <c r="E62" s="31" t="n"/>
      <c r="F62" s="32" t="n"/>
      <c r="G62" s="30" t="n"/>
      <c r="H62" s="31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8">
        <f>IF($B62="","",IF($H62="","Open","Closed"))</f>
        <v/>
      </c>
      <c r="O62" s="29" t="n"/>
    </row>
    <row r="63">
      <c r="A63" s="29" t="n"/>
      <c r="B63" s="29" t="n"/>
      <c r="C63" s="29" t="n"/>
      <c r="D63" s="30" t="n"/>
      <c r="E63" s="31" t="n"/>
      <c r="F63" s="32" t="n"/>
      <c r="G63" s="30" t="n"/>
      <c r="H63" s="31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8">
        <f>IF($B63="","",IF($H63="","Open","Closed"))</f>
        <v/>
      </c>
      <c r="O63" s="29" t="n"/>
    </row>
    <row r="64">
      <c r="A64" s="29" t="n"/>
      <c r="B64" s="29" t="n"/>
      <c r="C64" s="29" t="n"/>
      <c r="D64" s="30" t="n"/>
      <c r="E64" s="31" t="n"/>
      <c r="F64" s="32" t="n"/>
      <c r="G64" s="30" t="n"/>
      <c r="H64" s="31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8">
        <f>IF($B64="","",IF($H64="","Open","Closed"))</f>
        <v/>
      </c>
      <c r="O64" s="29" t="n"/>
    </row>
    <row r="65">
      <c r="A65" s="29" t="n"/>
      <c r="B65" s="29" t="n"/>
      <c r="C65" s="29" t="n"/>
      <c r="D65" s="30" t="n"/>
      <c r="E65" s="31" t="n"/>
      <c r="F65" s="32" t="n"/>
      <c r="G65" s="30" t="n"/>
      <c r="H65" s="31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8">
        <f>IF($B65="","",IF($H65="","Open","Closed"))</f>
        <v/>
      </c>
      <c r="O65" s="29" t="n"/>
    </row>
    <row r="66">
      <c r="A66" s="29" t="n"/>
      <c r="B66" s="29" t="n"/>
      <c r="C66" s="29" t="n"/>
      <c r="D66" s="30" t="n"/>
      <c r="E66" s="31" t="n"/>
      <c r="F66" s="32" t="n"/>
      <c r="G66" s="30" t="n"/>
      <c r="H66" s="31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8">
        <f>IF($B66="","",IF($H66="","Open","Closed"))</f>
        <v/>
      </c>
      <c r="O66" s="29" t="n"/>
    </row>
    <row r="67">
      <c r="A67" s="29" t="n"/>
      <c r="B67" s="29" t="n"/>
      <c r="C67" s="29" t="n"/>
      <c r="D67" s="30" t="n"/>
      <c r="E67" s="31" t="n"/>
      <c r="F67" s="32" t="n"/>
      <c r="G67" s="30" t="n"/>
      <c r="H67" s="31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8">
        <f>IF($B67="","",IF($H67="","Open","Closed"))</f>
        <v/>
      </c>
      <c r="O67" s="29" t="n"/>
    </row>
    <row r="68">
      <c r="A68" s="29" t="n"/>
      <c r="B68" s="29" t="n"/>
      <c r="C68" s="29" t="n"/>
      <c r="D68" s="30" t="n"/>
      <c r="E68" s="31" t="n"/>
      <c r="F68" s="32" t="n"/>
      <c r="G68" s="30" t="n"/>
      <c r="H68" s="31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8">
        <f>IF($B68="","",IF($H68="","Open","Closed"))</f>
        <v/>
      </c>
      <c r="O68" s="29" t="n"/>
    </row>
    <row r="69">
      <c r="A69" s="29" t="n"/>
      <c r="B69" s="29" t="n"/>
      <c r="C69" s="29" t="n"/>
      <c r="D69" s="30" t="n"/>
      <c r="E69" s="31" t="n"/>
      <c r="F69" s="32" t="n"/>
      <c r="G69" s="30" t="n"/>
      <c r="H69" s="31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8">
        <f>IF($B69="","",IF($H69="","Open","Closed"))</f>
        <v/>
      </c>
      <c r="O69" s="29" t="n"/>
    </row>
    <row r="70">
      <c r="A70" s="29" t="n"/>
      <c r="B70" s="29" t="n"/>
      <c r="C70" s="29" t="n"/>
      <c r="D70" s="30" t="n"/>
      <c r="E70" s="31" t="n"/>
      <c r="F70" s="32" t="n"/>
      <c r="G70" s="30" t="n"/>
      <c r="H70" s="31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8">
        <f>IF($B70="","",IF($H70="","Open","Closed"))</f>
        <v/>
      </c>
      <c r="O70" s="29" t="n"/>
    </row>
    <row r="71">
      <c r="A71" s="29" t="n"/>
      <c r="B71" s="29" t="n"/>
      <c r="C71" s="29" t="n"/>
      <c r="D71" s="30" t="n"/>
      <c r="E71" s="31" t="n"/>
      <c r="F71" s="32" t="n"/>
      <c r="G71" s="30" t="n"/>
      <c r="H71" s="31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8">
        <f>IF($B71="","",IF($H71="","Open","Closed"))</f>
        <v/>
      </c>
      <c r="O71" s="29" t="n"/>
    </row>
    <row r="72">
      <c r="A72" s="29" t="n"/>
      <c r="B72" s="29" t="n"/>
      <c r="C72" s="29" t="n"/>
      <c r="D72" s="30" t="n"/>
      <c r="E72" s="31" t="n"/>
      <c r="F72" s="32" t="n"/>
      <c r="G72" s="30" t="n"/>
      <c r="H72" s="31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8">
        <f>IF($B72="","",IF($H72="","Open","Closed"))</f>
        <v/>
      </c>
      <c r="O72" s="29" t="n"/>
    </row>
    <row r="73">
      <c r="A73" s="29" t="n"/>
      <c r="B73" s="29" t="n"/>
      <c r="C73" s="29" t="n"/>
      <c r="D73" s="30" t="n"/>
      <c r="E73" s="31" t="n"/>
      <c r="F73" s="32" t="n"/>
      <c r="G73" s="30" t="n"/>
      <c r="H73" s="31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8">
        <f>IF($B73="","",IF($H73="","Open","Closed"))</f>
        <v/>
      </c>
      <c r="O73" s="29" t="n"/>
    </row>
    <row r="74">
      <c r="A74" s="29" t="n"/>
      <c r="B74" s="29" t="n"/>
      <c r="C74" s="29" t="n"/>
      <c r="D74" s="30" t="n"/>
      <c r="E74" s="31" t="n"/>
      <c r="F74" s="32" t="n"/>
      <c r="G74" s="30" t="n"/>
      <c r="H74" s="31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8">
        <f>IF($B74="","",IF($H74="","Open","Closed"))</f>
        <v/>
      </c>
      <c r="O74" s="29" t="n"/>
    </row>
    <row r="75">
      <c r="A75" s="29" t="n"/>
      <c r="B75" s="29" t="n"/>
      <c r="C75" s="29" t="n"/>
      <c r="D75" s="30" t="n"/>
      <c r="E75" s="31" t="n"/>
      <c r="F75" s="32" t="n"/>
      <c r="G75" s="30" t="n"/>
      <c r="H75" s="31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8">
        <f>IF($B75="","",IF($H75="","Open","Closed"))</f>
        <v/>
      </c>
      <c r="O75" s="29" t="n"/>
    </row>
    <row r="76">
      <c r="A76" s="29" t="n"/>
      <c r="B76" s="29" t="n"/>
      <c r="C76" s="29" t="n"/>
      <c r="D76" s="30" t="n"/>
      <c r="E76" s="31" t="n"/>
      <c r="F76" s="32" t="n"/>
      <c r="G76" s="30" t="n"/>
      <c r="H76" s="31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8">
        <f>IF($B76="","",IF($H76="","Open","Closed"))</f>
        <v/>
      </c>
      <c r="O76" s="29" t="n"/>
    </row>
    <row r="77">
      <c r="A77" s="29" t="n"/>
      <c r="B77" s="29" t="n"/>
      <c r="C77" s="29" t="n"/>
      <c r="D77" s="30" t="n"/>
      <c r="E77" s="31" t="n"/>
      <c r="F77" s="32" t="n"/>
      <c r="G77" s="30" t="n"/>
      <c r="H77" s="31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8">
        <f>IF($B77="","",IF($H77="","Open","Closed"))</f>
        <v/>
      </c>
      <c r="O77" s="29" t="n"/>
    </row>
    <row r="78">
      <c r="A78" s="29" t="n"/>
      <c r="B78" s="29" t="n"/>
      <c r="C78" s="29" t="n"/>
      <c r="D78" s="30" t="n"/>
      <c r="E78" s="31" t="n"/>
      <c r="F78" s="32" t="n"/>
      <c r="G78" s="30" t="n"/>
      <c r="H78" s="31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8">
        <f>IF($B78="","",IF($H78="","Open","Closed"))</f>
        <v/>
      </c>
      <c r="O78" s="29" t="n"/>
    </row>
    <row r="79">
      <c r="A79" s="29" t="n"/>
      <c r="B79" s="29" t="n"/>
      <c r="C79" s="29" t="n"/>
      <c r="D79" s="30" t="n"/>
      <c r="E79" s="31" t="n"/>
      <c r="F79" s="32" t="n"/>
      <c r="G79" s="30" t="n"/>
      <c r="H79" s="31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8">
        <f>IF($B79="","",IF($H79="","Open","Closed"))</f>
        <v/>
      </c>
      <c r="O79" s="29" t="n"/>
    </row>
    <row r="80">
      <c r="A80" s="29" t="n"/>
      <c r="B80" s="29" t="n"/>
      <c r="C80" s="29" t="n"/>
      <c r="D80" s="30" t="n"/>
      <c r="E80" s="31" t="n"/>
      <c r="F80" s="32" t="n"/>
      <c r="G80" s="30" t="n"/>
      <c r="H80" s="31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8">
        <f>IF($B80="","",IF($H80="","Open","Closed"))</f>
        <v/>
      </c>
      <c r="O80" s="29" t="n"/>
    </row>
    <row r="81">
      <c r="A81" s="29" t="n"/>
      <c r="B81" s="29" t="n"/>
      <c r="C81" s="29" t="n"/>
      <c r="D81" s="30" t="n"/>
      <c r="E81" s="31" t="n"/>
      <c r="F81" s="32" t="n"/>
      <c r="G81" s="30" t="n"/>
      <c r="H81" s="31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8">
        <f>IF($B81="","",IF($H81="","Open","Closed"))</f>
        <v/>
      </c>
      <c r="O81" s="29" t="n"/>
    </row>
    <row r="82">
      <c r="A82" s="29" t="n"/>
      <c r="B82" s="29" t="n"/>
      <c r="C82" s="29" t="n"/>
      <c r="D82" s="30" t="n"/>
      <c r="E82" s="31" t="n"/>
      <c r="F82" s="32" t="n"/>
      <c r="G82" s="30" t="n"/>
      <c r="H82" s="31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8">
        <f>IF($B82="","",IF($H82="","Open","Closed"))</f>
        <v/>
      </c>
      <c r="O82" s="29" t="n"/>
    </row>
    <row r="83">
      <c r="A83" s="29" t="n"/>
      <c r="B83" s="29" t="n"/>
      <c r="C83" s="29" t="n"/>
      <c r="D83" s="30" t="n"/>
      <c r="E83" s="31" t="n"/>
      <c r="F83" s="32" t="n"/>
      <c r="G83" s="30" t="n"/>
      <c r="H83" s="31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8">
        <f>IF($B83="","",IF($H83="","Open","Closed"))</f>
        <v/>
      </c>
      <c r="O83" s="29" t="n"/>
    </row>
    <row r="84">
      <c r="A84" s="29" t="n"/>
      <c r="B84" s="29" t="n"/>
      <c r="C84" s="29" t="n"/>
      <c r="D84" s="30" t="n"/>
      <c r="E84" s="31" t="n"/>
      <c r="F84" s="32" t="n"/>
      <c r="G84" s="30" t="n"/>
      <c r="H84" s="31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8">
        <f>IF($B84="","",IF($H84="","Open","Closed"))</f>
        <v/>
      </c>
      <c r="O84" s="29" t="n"/>
    </row>
    <row r="85">
      <c r="A85" s="29" t="n"/>
      <c r="B85" s="29" t="n"/>
      <c r="C85" s="29" t="n"/>
      <c r="D85" s="30" t="n"/>
      <c r="E85" s="31" t="n"/>
      <c r="F85" s="32" t="n"/>
      <c r="G85" s="30" t="n"/>
      <c r="H85" s="31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8">
        <f>IF($B85="","",IF($H85="","Open","Closed"))</f>
        <v/>
      </c>
      <c r="O85" s="29" t="n"/>
    </row>
    <row r="86">
      <c r="A86" s="29" t="n"/>
      <c r="B86" s="29" t="n"/>
      <c r="C86" s="29" t="n"/>
      <c r="D86" s="30" t="n"/>
      <c r="E86" s="31" t="n"/>
      <c r="F86" s="32" t="n"/>
      <c r="G86" s="30" t="n"/>
      <c r="H86" s="31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8">
        <f>IF($B86="","",IF($H86="","Open","Closed"))</f>
        <v/>
      </c>
      <c r="O86" s="29" t="n"/>
    </row>
    <row r="87">
      <c r="A87" s="29" t="n"/>
      <c r="B87" s="29" t="n"/>
      <c r="C87" s="29" t="n"/>
      <c r="D87" s="30" t="n"/>
      <c r="E87" s="31" t="n"/>
      <c r="F87" s="32" t="n"/>
      <c r="G87" s="30" t="n"/>
      <c r="H87" s="31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8">
        <f>IF($B87="","",IF($H87="","Open","Closed"))</f>
        <v/>
      </c>
      <c r="O87" s="29" t="n"/>
    </row>
    <row r="88">
      <c r="A88" s="29" t="n"/>
      <c r="B88" s="29" t="n"/>
      <c r="C88" s="29" t="n"/>
      <c r="D88" s="30" t="n"/>
      <c r="E88" s="31" t="n"/>
      <c r="F88" s="32" t="n"/>
      <c r="G88" s="30" t="n"/>
      <c r="H88" s="31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8">
        <f>IF($B88="","",IF($H88="","Open","Closed"))</f>
        <v/>
      </c>
      <c r="O88" s="29" t="n"/>
    </row>
    <row r="89">
      <c r="A89" s="29" t="n"/>
      <c r="B89" s="29" t="n"/>
      <c r="C89" s="29" t="n"/>
      <c r="D89" s="30" t="n"/>
      <c r="E89" s="31" t="n"/>
      <c r="F89" s="32" t="n"/>
      <c r="G89" s="30" t="n"/>
      <c r="H89" s="31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8">
        <f>IF($B89="","",IF($H89="","Open","Closed"))</f>
        <v/>
      </c>
      <c r="O89" s="29" t="n"/>
    </row>
    <row r="90">
      <c r="A90" s="29" t="n"/>
      <c r="B90" s="29" t="n"/>
      <c r="C90" s="29" t="n"/>
      <c r="D90" s="30" t="n"/>
      <c r="E90" s="31" t="n"/>
      <c r="F90" s="32" t="n"/>
      <c r="G90" s="30" t="n"/>
      <c r="H90" s="31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8">
        <f>IF($B90="","",IF($H90="","Open","Closed"))</f>
        <v/>
      </c>
      <c r="O90" s="29" t="n"/>
    </row>
    <row r="91">
      <c r="A91" s="29" t="n"/>
      <c r="B91" s="29" t="n"/>
      <c r="C91" s="29" t="n"/>
      <c r="D91" s="30" t="n"/>
      <c r="E91" s="31" t="n"/>
      <c r="F91" s="32" t="n"/>
      <c r="G91" s="30" t="n"/>
      <c r="H91" s="31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8">
        <f>IF($B91="","",IF($H91="","Open","Closed"))</f>
        <v/>
      </c>
      <c r="O91" s="29" t="n"/>
    </row>
    <row r="92">
      <c r="A92" s="29" t="n"/>
      <c r="B92" s="29" t="n"/>
      <c r="C92" s="29" t="n"/>
      <c r="D92" s="30" t="n"/>
      <c r="E92" s="31" t="n"/>
      <c r="F92" s="32" t="n"/>
      <c r="G92" s="30" t="n"/>
      <c r="H92" s="31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8">
        <f>IF($B92="","",IF($H92="","Open","Closed"))</f>
        <v/>
      </c>
      <c r="O92" s="29" t="n"/>
    </row>
    <row r="93">
      <c r="A93" s="29" t="n"/>
      <c r="B93" s="29" t="n"/>
      <c r="C93" s="29" t="n"/>
      <c r="D93" s="30" t="n"/>
      <c r="E93" s="31" t="n"/>
      <c r="F93" s="32" t="n"/>
      <c r="G93" s="30" t="n"/>
      <c r="H93" s="31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8">
        <f>IF($B93="","",IF($H93="","Open","Closed"))</f>
        <v/>
      </c>
      <c r="O93" s="29" t="n"/>
    </row>
    <row r="94">
      <c r="A94" s="29" t="n"/>
      <c r="B94" s="29" t="n"/>
      <c r="C94" s="29" t="n"/>
      <c r="D94" s="30" t="n"/>
      <c r="E94" s="31" t="n"/>
      <c r="F94" s="32" t="n"/>
      <c r="G94" s="30" t="n"/>
      <c r="H94" s="31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8">
        <f>IF($B94="","",IF($H94="","Open","Closed"))</f>
        <v/>
      </c>
      <c r="O94" s="29" t="n"/>
    </row>
    <row r="95">
      <c r="A95" s="29" t="n"/>
      <c r="B95" s="29" t="n"/>
      <c r="C95" s="29" t="n"/>
      <c r="D95" s="30" t="n"/>
      <c r="E95" s="31" t="n"/>
      <c r="F95" s="32" t="n"/>
      <c r="G95" s="30" t="n"/>
      <c r="H95" s="31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8">
        <f>IF($B95="","",IF($H95="","Open","Closed"))</f>
        <v/>
      </c>
      <c r="O95" s="29" t="n"/>
    </row>
    <row r="96">
      <c r="A96" s="29" t="n"/>
      <c r="B96" s="29" t="n"/>
      <c r="C96" s="29" t="n"/>
      <c r="D96" s="30" t="n"/>
      <c r="E96" s="31" t="n"/>
      <c r="F96" s="32" t="n"/>
      <c r="G96" s="30" t="n"/>
      <c r="H96" s="31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8">
        <f>IF($B96="","",IF($H96="","Open","Closed"))</f>
        <v/>
      </c>
      <c r="O96" s="29" t="n"/>
    </row>
    <row r="97">
      <c r="A97" s="29" t="n"/>
      <c r="B97" s="29" t="n"/>
      <c r="C97" s="29" t="n"/>
      <c r="D97" s="30" t="n"/>
      <c r="E97" s="31" t="n"/>
      <c r="F97" s="32" t="n"/>
      <c r="G97" s="30" t="n"/>
      <c r="H97" s="31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8">
        <f>IF($B97="","",IF($H97="","Open","Closed"))</f>
        <v/>
      </c>
      <c r="O97" s="29" t="n"/>
    </row>
    <row r="98">
      <c r="A98" s="29" t="n"/>
      <c r="B98" s="29" t="n"/>
      <c r="C98" s="29" t="n"/>
      <c r="D98" s="30" t="n"/>
      <c r="E98" s="31" t="n"/>
      <c r="F98" s="32" t="n"/>
      <c r="G98" s="30" t="n"/>
      <c r="H98" s="31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8">
        <f>IF($B98="","",IF($H98="","Open","Closed"))</f>
        <v/>
      </c>
      <c r="O98" s="29" t="n"/>
    </row>
    <row r="99">
      <c r="A99" s="29" t="n"/>
      <c r="B99" s="29" t="n"/>
      <c r="C99" s="29" t="n"/>
      <c r="D99" s="30" t="n"/>
      <c r="E99" s="31" t="n"/>
      <c r="F99" s="32" t="n"/>
      <c r="G99" s="30" t="n"/>
      <c r="H99" s="31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8">
        <f>IF($B99="","",IF($H99="","Open","Closed"))</f>
        <v/>
      </c>
      <c r="O99" s="29" t="n"/>
    </row>
    <row r="100">
      <c r="A100" s="29" t="n"/>
      <c r="B100" s="29" t="n"/>
      <c r="C100" s="29" t="n"/>
      <c r="D100" s="30" t="n"/>
      <c r="E100" s="31" t="n"/>
      <c r="F100" s="32" t="n"/>
      <c r="G100" s="30" t="n"/>
      <c r="H100" s="31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8">
        <f>IF($B100="","",IF($H100="","Open","Closed"))</f>
        <v/>
      </c>
      <c r="O100" s="29" t="n"/>
    </row>
    <row r="101">
      <c r="A101" s="29" t="n"/>
      <c r="B101" s="29" t="n"/>
      <c r="C101" s="29" t="n"/>
      <c r="D101" s="30" t="n"/>
      <c r="E101" s="31" t="n"/>
      <c r="F101" s="32" t="n"/>
      <c r="G101" s="30" t="n"/>
      <c r="H101" s="31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8">
        <f>IF($B101="","",IF($H101="","Open","Closed"))</f>
        <v/>
      </c>
      <c r="O101" s="29" t="n"/>
    </row>
    <row r="102">
      <c r="A102" s="29" t="n"/>
      <c r="B102" s="29" t="n"/>
      <c r="C102" s="29" t="n"/>
      <c r="D102" s="30" t="n"/>
      <c r="E102" s="31" t="n"/>
      <c r="F102" s="32" t="n"/>
      <c r="G102" s="30" t="n"/>
      <c r="H102" s="31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8">
        <f>IF($B102="","",IF($H102="","Open","Closed"))</f>
        <v/>
      </c>
      <c r="O102" s="29" t="n"/>
    </row>
    <row r="103">
      <c r="A103" s="29" t="n"/>
      <c r="B103" s="29" t="n"/>
      <c r="C103" s="29" t="n"/>
      <c r="D103" s="30" t="n"/>
      <c r="E103" s="31" t="n"/>
      <c r="F103" s="32" t="n"/>
      <c r="G103" s="30" t="n"/>
      <c r="H103" s="31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8">
        <f>IF($B103="","",IF($H103="","Open","Closed"))</f>
        <v/>
      </c>
      <c r="O103" s="29" t="n"/>
    </row>
    <row r="104">
      <c r="A104" s="29" t="n"/>
      <c r="B104" s="29" t="n"/>
      <c r="C104" s="29" t="n"/>
      <c r="D104" s="30" t="n"/>
      <c r="E104" s="31" t="n"/>
      <c r="F104" s="32" t="n"/>
      <c r="G104" s="30" t="n"/>
      <c r="H104" s="31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8">
        <f>IF($B104="","",IF($H104="","Open","Closed"))</f>
        <v/>
      </c>
      <c r="O104" s="29" t="n"/>
    </row>
    <row r="105">
      <c r="A105" s="29" t="n"/>
      <c r="B105" s="29" t="n"/>
      <c r="C105" s="29" t="n"/>
      <c r="D105" s="30" t="n"/>
      <c r="E105" s="31" t="n"/>
      <c r="F105" s="32" t="n"/>
      <c r="G105" s="30" t="n"/>
      <c r="H105" s="31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8">
        <f>IF($B105="","",IF($H105="","Open","Closed"))</f>
        <v/>
      </c>
      <c r="O105" s="29" t="n"/>
    </row>
    <row r="106">
      <c r="A106" s="29" t="n"/>
      <c r="B106" s="29" t="n"/>
      <c r="C106" s="29" t="n"/>
      <c r="D106" s="30" t="n"/>
      <c r="E106" s="31" t="n"/>
      <c r="F106" s="32" t="n"/>
      <c r="G106" s="30" t="n"/>
      <c r="H106" s="31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8">
        <f>IF($B106="","",IF($H106="","Open","Closed"))</f>
        <v/>
      </c>
      <c r="O106" s="29" t="n"/>
    </row>
    <row r="107">
      <c r="A107" s="29" t="n"/>
      <c r="B107" s="29" t="n"/>
      <c r="C107" s="29" t="n"/>
      <c r="D107" s="30" t="n"/>
      <c r="E107" s="31" t="n"/>
      <c r="F107" s="32" t="n"/>
      <c r="G107" s="30" t="n"/>
      <c r="H107" s="31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8">
        <f>IF($B107="","",IF($H107="","Open","Closed"))</f>
        <v/>
      </c>
      <c r="O107" s="29" t="n"/>
    </row>
    <row r="108">
      <c r="A108" s="29" t="n"/>
      <c r="B108" s="29" t="n"/>
      <c r="C108" s="29" t="n"/>
      <c r="D108" s="30" t="n"/>
      <c r="E108" s="31" t="n"/>
      <c r="F108" s="32" t="n"/>
      <c r="G108" s="30" t="n"/>
      <c r="H108" s="31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8">
        <f>IF($B108="","",IF($H108="","Open","Closed"))</f>
        <v/>
      </c>
      <c r="O108" s="29" t="n"/>
    </row>
    <row r="109">
      <c r="A109" s="29" t="n"/>
      <c r="B109" s="29" t="n"/>
      <c r="C109" s="29" t="n"/>
      <c r="D109" s="30" t="n"/>
      <c r="E109" s="31" t="n"/>
      <c r="F109" s="32" t="n"/>
      <c r="G109" s="30" t="n"/>
      <c r="H109" s="31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8">
        <f>IF($B109="","",IF($H109="","Open","Closed"))</f>
        <v/>
      </c>
      <c r="O109" s="29" t="n"/>
    </row>
    <row r="110">
      <c r="A110" s="29" t="n"/>
      <c r="B110" s="29" t="n"/>
      <c r="C110" s="29" t="n"/>
      <c r="D110" s="30" t="n"/>
      <c r="E110" s="31" t="n"/>
      <c r="F110" s="32" t="n"/>
      <c r="G110" s="30" t="n"/>
      <c r="H110" s="31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8">
        <f>IF($B110="","",IF($H110="","Open","Closed"))</f>
        <v/>
      </c>
      <c r="O110" s="29" t="n"/>
    </row>
    <row r="111">
      <c r="A111" s="29" t="n"/>
      <c r="B111" s="29" t="n"/>
      <c r="C111" s="29" t="n"/>
      <c r="D111" s="30" t="n"/>
      <c r="E111" s="31" t="n"/>
      <c r="F111" s="32" t="n"/>
      <c r="G111" s="30" t="n"/>
      <c r="H111" s="31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8">
        <f>IF($B111="","",IF($H111="","Open","Closed"))</f>
        <v/>
      </c>
      <c r="O111" s="29" t="n"/>
    </row>
    <row r="112">
      <c r="A112" s="29" t="n"/>
      <c r="B112" s="29" t="n"/>
      <c r="C112" s="29" t="n"/>
      <c r="D112" s="30" t="n"/>
      <c r="E112" s="31" t="n"/>
      <c r="F112" s="32" t="n"/>
      <c r="G112" s="30" t="n"/>
      <c r="H112" s="31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8">
        <f>IF($B112="","",IF($H112="","Open","Closed"))</f>
        <v/>
      </c>
      <c r="O112" s="29" t="n"/>
    </row>
    <row r="113">
      <c r="A113" s="29" t="n"/>
      <c r="B113" s="29" t="n"/>
      <c r="C113" s="29" t="n"/>
      <c r="D113" s="30" t="n"/>
      <c r="E113" s="31" t="n"/>
      <c r="F113" s="32" t="n"/>
      <c r="G113" s="30" t="n"/>
      <c r="H113" s="31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8">
        <f>IF($B113="","",IF($H113="","Open","Closed"))</f>
        <v/>
      </c>
      <c r="O113" s="29" t="n"/>
    </row>
    <row r="114">
      <c r="A114" s="29" t="n"/>
      <c r="B114" s="29" t="n"/>
      <c r="C114" s="29" t="n"/>
      <c r="D114" s="30" t="n"/>
      <c r="E114" s="31" t="n"/>
      <c r="F114" s="32" t="n"/>
      <c r="G114" s="30" t="n"/>
      <c r="H114" s="31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8">
        <f>IF($B114="","",IF($H114="","Open","Closed"))</f>
        <v/>
      </c>
      <c r="O114" s="29" t="n"/>
    </row>
    <row r="115">
      <c r="A115" s="29" t="n"/>
      <c r="B115" s="29" t="n"/>
      <c r="C115" s="29" t="n"/>
      <c r="D115" s="30" t="n"/>
      <c r="E115" s="31" t="n"/>
      <c r="F115" s="32" t="n"/>
      <c r="G115" s="30" t="n"/>
      <c r="H115" s="31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8">
        <f>IF($B115="","",IF($H115="","Open","Closed"))</f>
        <v/>
      </c>
      <c r="O115" s="29" t="n"/>
    </row>
    <row r="116">
      <c r="A116" s="29" t="n"/>
      <c r="B116" s="29" t="n"/>
      <c r="C116" s="29" t="n"/>
      <c r="D116" s="30" t="n"/>
      <c r="E116" s="31" t="n"/>
      <c r="F116" s="32" t="n"/>
      <c r="G116" s="30" t="n"/>
      <c r="H116" s="31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8">
        <f>IF($B116="","",IF($H116="","Open","Closed"))</f>
        <v/>
      </c>
      <c r="O116" s="29" t="n"/>
    </row>
    <row r="117">
      <c r="A117" s="29" t="n"/>
      <c r="B117" s="29" t="n"/>
      <c r="C117" s="29" t="n"/>
      <c r="D117" s="30" t="n"/>
      <c r="E117" s="31" t="n"/>
      <c r="F117" s="32" t="n"/>
      <c r="G117" s="30" t="n"/>
      <c r="H117" s="31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8">
        <f>IF($B117="","",IF($H117="","Open","Closed"))</f>
        <v/>
      </c>
      <c r="O117" s="29" t="n"/>
    </row>
    <row r="118">
      <c r="A118" s="29" t="n"/>
      <c r="B118" s="29" t="n"/>
      <c r="C118" s="29" t="n"/>
      <c r="D118" s="30" t="n"/>
      <c r="E118" s="31" t="n"/>
      <c r="F118" s="32" t="n"/>
      <c r="G118" s="30" t="n"/>
      <c r="H118" s="31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8">
        <f>IF($B118="","",IF($H118="","Open","Closed"))</f>
        <v/>
      </c>
      <c r="O118" s="29" t="n"/>
    </row>
    <row r="119">
      <c r="A119" s="29" t="n"/>
      <c r="B119" s="29" t="n"/>
      <c r="C119" s="29" t="n"/>
      <c r="D119" s="30" t="n"/>
      <c r="E119" s="31" t="n"/>
      <c r="F119" s="32" t="n"/>
      <c r="G119" s="30" t="n"/>
      <c r="H119" s="31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8">
        <f>IF($B119="","",IF($H119="","Open","Closed"))</f>
        <v/>
      </c>
      <c r="O119" s="29" t="n"/>
    </row>
    <row r="120">
      <c r="A120" s="29" t="n"/>
      <c r="B120" s="29" t="n"/>
      <c r="C120" s="29" t="n"/>
      <c r="D120" s="30" t="n"/>
      <c r="E120" s="31" t="n"/>
      <c r="F120" s="32" t="n"/>
      <c r="G120" s="30" t="n"/>
      <c r="H120" s="31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8">
        <f>IF($B120="","",IF($H120="","Open","Closed"))</f>
        <v/>
      </c>
      <c r="O120" s="29" t="n"/>
    </row>
    <row r="121">
      <c r="A121" s="29" t="n"/>
      <c r="B121" s="29" t="n"/>
      <c r="C121" s="29" t="n"/>
      <c r="D121" s="30" t="n"/>
      <c r="E121" s="31" t="n"/>
      <c r="F121" s="32" t="n"/>
      <c r="G121" s="30" t="n"/>
      <c r="H121" s="31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8">
        <f>IF($B121="","",IF($H121="","Open","Closed"))</f>
        <v/>
      </c>
      <c r="O121" s="29" t="n"/>
    </row>
    <row r="122">
      <c r="A122" s="29" t="n"/>
      <c r="B122" s="29" t="n"/>
      <c r="C122" s="29" t="n"/>
      <c r="D122" s="30" t="n"/>
      <c r="E122" s="31" t="n"/>
      <c r="F122" s="32" t="n"/>
      <c r="G122" s="30" t="n"/>
      <c r="H122" s="31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8">
        <f>IF($B122="","",IF($H122="","Open","Closed"))</f>
        <v/>
      </c>
      <c r="O122" s="29" t="n"/>
    </row>
    <row r="123">
      <c r="A123" s="29" t="n"/>
      <c r="B123" s="29" t="n"/>
      <c r="C123" s="29" t="n"/>
      <c r="D123" s="30" t="n"/>
      <c r="E123" s="31" t="n"/>
      <c r="F123" s="32" t="n"/>
      <c r="G123" s="30" t="n"/>
      <c r="H123" s="31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8">
        <f>IF($B123="","",IF($H123="","Open","Closed"))</f>
        <v/>
      </c>
      <c r="O123" s="29" t="n"/>
    </row>
    <row r="124">
      <c r="A124" s="29" t="n"/>
      <c r="B124" s="29" t="n"/>
      <c r="C124" s="29" t="n"/>
      <c r="D124" s="30" t="n"/>
      <c r="E124" s="31" t="n"/>
      <c r="F124" s="32" t="n"/>
      <c r="G124" s="30" t="n"/>
      <c r="H124" s="31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8">
        <f>IF($B124="","",IF($H124="","Open","Closed"))</f>
        <v/>
      </c>
      <c r="O124" s="29" t="n"/>
    </row>
    <row r="125">
      <c r="A125" s="29" t="n"/>
      <c r="B125" s="29" t="n"/>
      <c r="C125" s="29" t="n"/>
      <c r="D125" s="30" t="n"/>
      <c r="E125" s="31" t="n"/>
      <c r="F125" s="32" t="n"/>
      <c r="G125" s="30" t="n"/>
      <c r="H125" s="31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8">
        <f>IF($B125="","",IF($H125="","Open","Closed"))</f>
        <v/>
      </c>
      <c r="O125" s="29" t="n"/>
    </row>
    <row r="126">
      <c r="A126" s="29" t="n"/>
      <c r="B126" s="29" t="n"/>
      <c r="C126" s="29" t="n"/>
      <c r="D126" s="30" t="n"/>
      <c r="E126" s="31" t="n"/>
      <c r="F126" s="32" t="n"/>
      <c r="G126" s="30" t="n"/>
      <c r="H126" s="31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8">
        <f>IF($B126="","",IF($H126="","Open","Closed"))</f>
        <v/>
      </c>
      <c r="O126" s="29" t="n"/>
    </row>
    <row r="127">
      <c r="A127" s="29" t="n"/>
      <c r="B127" s="29" t="n"/>
      <c r="C127" s="29" t="n"/>
      <c r="D127" s="30" t="n"/>
      <c r="E127" s="31" t="n"/>
      <c r="F127" s="32" t="n"/>
      <c r="G127" s="30" t="n"/>
      <c r="H127" s="31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8">
        <f>IF($B127="","",IF($H127="","Open","Closed"))</f>
        <v/>
      </c>
      <c r="O127" s="29" t="n"/>
    </row>
    <row r="128">
      <c r="A128" s="29" t="n"/>
      <c r="B128" s="29" t="n"/>
      <c r="C128" s="29" t="n"/>
      <c r="D128" s="30" t="n"/>
      <c r="E128" s="31" t="n"/>
      <c r="F128" s="32" t="n"/>
      <c r="G128" s="30" t="n"/>
      <c r="H128" s="31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8">
        <f>IF($B128="","",IF($H128="","Open","Closed"))</f>
        <v/>
      </c>
      <c r="O128" s="29" t="n"/>
    </row>
    <row r="129">
      <c r="A129" s="29" t="n"/>
      <c r="B129" s="29" t="n"/>
      <c r="C129" s="29" t="n"/>
      <c r="D129" s="30" t="n"/>
      <c r="E129" s="31" t="n"/>
      <c r="F129" s="32" t="n"/>
      <c r="G129" s="30" t="n"/>
      <c r="H129" s="31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8">
        <f>IF($B129="","",IF($H129="","Open","Closed"))</f>
        <v/>
      </c>
      <c r="O129" s="29" t="n"/>
    </row>
    <row r="130">
      <c r="A130" s="29" t="n"/>
      <c r="B130" s="29" t="n"/>
      <c r="C130" s="29" t="n"/>
      <c r="D130" s="30" t="n"/>
      <c r="E130" s="31" t="n"/>
      <c r="F130" s="32" t="n"/>
      <c r="G130" s="30" t="n"/>
      <c r="H130" s="31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8">
        <f>IF($B130="","",IF($H130="","Open","Closed"))</f>
        <v/>
      </c>
      <c r="O130" s="29" t="n"/>
    </row>
    <row r="131">
      <c r="A131" s="29" t="n"/>
      <c r="B131" s="29" t="n"/>
      <c r="C131" s="29" t="n"/>
      <c r="D131" s="30" t="n"/>
      <c r="E131" s="31" t="n"/>
      <c r="F131" s="32" t="n"/>
      <c r="G131" s="30" t="n"/>
      <c r="H131" s="31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8">
        <f>IF($B131="","",IF($H131="","Open","Closed"))</f>
        <v/>
      </c>
      <c r="O131" s="29" t="n"/>
    </row>
    <row r="132">
      <c r="A132" s="29" t="n"/>
      <c r="B132" s="29" t="n"/>
      <c r="C132" s="29" t="n"/>
      <c r="D132" s="30" t="n"/>
      <c r="E132" s="31" t="n"/>
      <c r="F132" s="32" t="n"/>
      <c r="G132" s="30" t="n"/>
      <c r="H132" s="31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8">
        <f>IF($B132="","",IF($H132="","Open","Closed"))</f>
        <v/>
      </c>
      <c r="O132" s="29" t="n"/>
    </row>
    <row r="133">
      <c r="A133" s="29" t="n"/>
      <c r="B133" s="29" t="n"/>
      <c r="C133" s="29" t="n"/>
      <c r="D133" s="30" t="n"/>
      <c r="E133" s="31" t="n"/>
      <c r="F133" s="32" t="n"/>
      <c r="G133" s="30" t="n"/>
      <c r="H133" s="31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8">
        <f>IF($B133="","",IF($H133="","Open","Closed"))</f>
        <v/>
      </c>
      <c r="O133" s="29" t="n"/>
    </row>
    <row r="134">
      <c r="A134" s="29" t="n"/>
      <c r="B134" s="29" t="n"/>
      <c r="C134" s="29" t="n"/>
      <c r="D134" s="30" t="n"/>
      <c r="E134" s="31" t="n"/>
      <c r="F134" s="32" t="n"/>
      <c r="G134" s="30" t="n"/>
      <c r="H134" s="31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8">
        <f>IF($B134="","",IF($H134="","Open","Closed"))</f>
        <v/>
      </c>
      <c r="O134" s="29" t="n"/>
    </row>
    <row r="135">
      <c r="A135" s="29" t="n"/>
      <c r="B135" s="29" t="n"/>
      <c r="C135" s="29" t="n"/>
      <c r="D135" s="30" t="n"/>
      <c r="E135" s="31" t="n"/>
      <c r="F135" s="32" t="n"/>
      <c r="G135" s="30" t="n"/>
      <c r="H135" s="31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8">
        <f>IF($B135="","",IF($H135="","Open","Closed"))</f>
        <v/>
      </c>
      <c r="O135" s="29" t="n"/>
    </row>
    <row r="136">
      <c r="A136" s="29" t="n"/>
      <c r="B136" s="29" t="n"/>
      <c r="C136" s="29" t="n"/>
      <c r="D136" s="30" t="n"/>
      <c r="E136" s="31" t="n"/>
      <c r="F136" s="32" t="n"/>
      <c r="G136" s="30" t="n"/>
      <c r="H136" s="31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8">
        <f>IF($B136="","",IF($H136="","Open","Closed"))</f>
        <v/>
      </c>
      <c r="O136" s="29" t="n"/>
    </row>
    <row r="137">
      <c r="A137" s="29" t="n"/>
      <c r="B137" s="29" t="n"/>
      <c r="C137" s="29" t="n"/>
      <c r="D137" s="30" t="n"/>
      <c r="E137" s="31" t="n"/>
      <c r="F137" s="32" t="n"/>
      <c r="G137" s="30" t="n"/>
      <c r="H137" s="31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8">
        <f>IF($B137="","",IF($H137="","Open","Closed"))</f>
        <v/>
      </c>
      <c r="O137" s="29" t="n"/>
    </row>
    <row r="138">
      <c r="A138" s="29" t="n"/>
      <c r="B138" s="29" t="n"/>
      <c r="C138" s="29" t="n"/>
      <c r="D138" s="30" t="n"/>
      <c r="E138" s="31" t="n"/>
      <c r="F138" s="32" t="n"/>
      <c r="G138" s="30" t="n"/>
      <c r="H138" s="31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8">
        <f>IF($B138="","",IF($H138="","Open","Closed"))</f>
        <v/>
      </c>
      <c r="O138" s="29" t="n"/>
    </row>
    <row r="139">
      <c r="A139" s="29" t="n"/>
      <c r="B139" s="29" t="n"/>
      <c r="C139" s="29" t="n"/>
      <c r="D139" s="30" t="n"/>
      <c r="E139" s="31" t="n"/>
      <c r="F139" s="32" t="n"/>
      <c r="G139" s="30" t="n"/>
      <c r="H139" s="31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8">
        <f>IF($B139="","",IF($H139="","Open","Closed"))</f>
        <v/>
      </c>
      <c r="O139" s="29" t="n"/>
    </row>
    <row r="140">
      <c r="A140" s="29" t="n"/>
      <c r="B140" s="29" t="n"/>
      <c r="C140" s="29" t="n"/>
      <c r="D140" s="30" t="n"/>
      <c r="E140" s="31" t="n"/>
      <c r="F140" s="32" t="n"/>
      <c r="G140" s="30" t="n"/>
      <c r="H140" s="31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8">
        <f>IF($B140="","",IF($H140="","Open","Closed"))</f>
        <v/>
      </c>
      <c r="O140" s="29" t="n"/>
    </row>
    <row r="141">
      <c r="A141" s="29" t="n"/>
      <c r="B141" s="29" t="n"/>
      <c r="C141" s="29" t="n"/>
      <c r="D141" s="30" t="n"/>
      <c r="E141" s="31" t="n"/>
      <c r="F141" s="32" t="n"/>
      <c r="G141" s="30" t="n"/>
      <c r="H141" s="31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8">
        <f>IF($B141="","",IF($H141="","Open","Closed"))</f>
        <v/>
      </c>
      <c r="O141" s="29" t="n"/>
    </row>
    <row r="142">
      <c r="A142" s="29" t="n"/>
      <c r="B142" s="29" t="n"/>
      <c r="C142" s="29" t="n"/>
      <c r="D142" s="30" t="n"/>
      <c r="E142" s="31" t="n"/>
      <c r="F142" s="32" t="n"/>
      <c r="G142" s="30" t="n"/>
      <c r="H142" s="31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8">
        <f>IF($B142="","",IF($H142="","Open","Closed"))</f>
        <v/>
      </c>
      <c r="O142" s="29" t="n"/>
    </row>
    <row r="143">
      <c r="A143" s="29" t="n"/>
      <c r="B143" s="29" t="n"/>
      <c r="C143" s="29" t="n"/>
      <c r="D143" s="30" t="n"/>
      <c r="E143" s="31" t="n"/>
      <c r="F143" s="32" t="n"/>
      <c r="G143" s="30" t="n"/>
      <c r="H143" s="31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8">
        <f>IF($B143="","",IF($H143="","Open","Closed"))</f>
        <v/>
      </c>
      <c r="O143" s="29" t="n"/>
    </row>
    <row r="144">
      <c r="A144" s="29" t="n"/>
      <c r="B144" s="29" t="n"/>
      <c r="C144" s="29" t="n"/>
      <c r="D144" s="30" t="n"/>
      <c r="E144" s="31" t="n"/>
      <c r="F144" s="32" t="n"/>
      <c r="G144" s="30" t="n"/>
      <c r="H144" s="31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8">
        <f>IF($B144="","",IF($H144="","Open","Closed"))</f>
        <v/>
      </c>
      <c r="O144" s="29" t="n"/>
    </row>
    <row r="145">
      <c r="A145" s="29" t="n"/>
      <c r="B145" s="29" t="n"/>
      <c r="C145" s="29" t="n"/>
      <c r="D145" s="30" t="n"/>
      <c r="E145" s="31" t="n"/>
      <c r="F145" s="32" t="n"/>
      <c r="G145" s="30" t="n"/>
      <c r="H145" s="31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8">
        <f>IF($B145="","",IF($H145="","Open","Closed"))</f>
        <v/>
      </c>
      <c r="O145" s="29" t="n"/>
    </row>
    <row r="146">
      <c r="A146" s="29" t="n"/>
      <c r="B146" s="29" t="n"/>
      <c r="C146" s="29" t="n"/>
      <c r="D146" s="30" t="n"/>
      <c r="E146" s="31" t="n"/>
      <c r="F146" s="32" t="n"/>
      <c r="G146" s="30" t="n"/>
      <c r="H146" s="31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8">
        <f>IF($B146="","",IF($H146="","Open","Closed"))</f>
        <v/>
      </c>
      <c r="O146" s="29" t="n"/>
    </row>
    <row r="147">
      <c r="A147" s="29" t="n"/>
      <c r="B147" s="29" t="n"/>
      <c r="C147" s="29" t="n"/>
      <c r="D147" s="30" t="n"/>
      <c r="E147" s="31" t="n"/>
      <c r="F147" s="32" t="n"/>
      <c r="G147" s="30" t="n"/>
      <c r="H147" s="31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8">
        <f>IF($B147="","",IF($H147="","Open","Closed"))</f>
        <v/>
      </c>
      <c r="O147" s="29" t="n"/>
    </row>
    <row r="148">
      <c r="A148" s="29" t="n"/>
      <c r="B148" s="29" t="n"/>
      <c r="C148" s="29" t="n"/>
      <c r="D148" s="30" t="n"/>
      <c r="E148" s="31" t="n"/>
      <c r="F148" s="32" t="n"/>
      <c r="G148" s="30" t="n"/>
      <c r="H148" s="31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8">
        <f>IF($B148="","",IF($H148="","Open","Closed"))</f>
        <v/>
      </c>
      <c r="O148" s="29" t="n"/>
    </row>
    <row r="149">
      <c r="A149" s="29" t="n"/>
      <c r="B149" s="29" t="n"/>
      <c r="C149" s="29" t="n"/>
      <c r="D149" s="30" t="n"/>
      <c r="E149" s="31" t="n"/>
      <c r="F149" s="32" t="n"/>
      <c r="G149" s="30" t="n"/>
      <c r="H149" s="31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8">
        <f>IF($B149="","",IF($H149="","Open","Closed"))</f>
        <v/>
      </c>
      <c r="O149" s="29" t="n"/>
    </row>
    <row r="150">
      <c r="A150" s="29" t="n"/>
      <c r="B150" s="29" t="n"/>
      <c r="C150" s="29" t="n"/>
      <c r="D150" s="30" t="n"/>
      <c r="E150" s="31" t="n"/>
      <c r="F150" s="32" t="n"/>
      <c r="G150" s="30" t="n"/>
      <c r="H150" s="31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8">
        <f>IF($B150="","",IF($H150="","Open","Closed"))</f>
        <v/>
      </c>
      <c r="O150" s="29" t="n"/>
    </row>
    <row r="151">
      <c r="A151" s="29" t="n"/>
      <c r="B151" s="29" t="n"/>
      <c r="C151" s="29" t="n"/>
      <c r="D151" s="30" t="n"/>
      <c r="E151" s="31" t="n"/>
      <c r="F151" s="32" t="n"/>
      <c r="G151" s="30" t="n"/>
      <c r="H151" s="31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8">
        <f>IF($B151="","",IF($H151="","Open","Closed"))</f>
        <v/>
      </c>
      <c r="O151" s="29" t="n"/>
    </row>
    <row r="152">
      <c r="A152" s="29" t="n"/>
      <c r="B152" s="29" t="n"/>
      <c r="C152" s="29" t="n"/>
      <c r="D152" s="30" t="n"/>
      <c r="E152" s="31" t="n"/>
      <c r="F152" s="32" t="n"/>
      <c r="G152" s="30" t="n"/>
      <c r="H152" s="31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8">
        <f>IF($B152="","",IF($H152="","Open","Closed"))</f>
        <v/>
      </c>
      <c r="O152" s="29" t="n"/>
    </row>
    <row r="153">
      <c r="A153" s="29" t="n"/>
      <c r="B153" s="29" t="n"/>
      <c r="C153" s="29" t="n"/>
      <c r="D153" s="30" t="n"/>
      <c r="E153" s="31" t="n"/>
      <c r="F153" s="32" t="n"/>
      <c r="G153" s="30" t="n"/>
      <c r="H153" s="31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8">
        <f>IF($B153="","",IF($H153="","Open","Closed"))</f>
        <v/>
      </c>
      <c r="O153" s="29" t="n"/>
    </row>
    <row r="154">
      <c r="A154" s="29" t="n"/>
      <c r="B154" s="29" t="n"/>
      <c r="C154" s="29" t="n"/>
      <c r="D154" s="30" t="n"/>
      <c r="E154" s="31" t="n"/>
      <c r="F154" s="32" t="n"/>
      <c r="G154" s="30" t="n"/>
      <c r="H154" s="31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8">
        <f>IF($B154="","",IF($H154="","Open","Closed"))</f>
        <v/>
      </c>
      <c r="O154" s="29" t="n"/>
    </row>
    <row r="155">
      <c r="A155" s="29" t="n"/>
      <c r="B155" s="29" t="n"/>
      <c r="C155" s="29" t="n"/>
      <c r="D155" s="30" t="n"/>
      <c r="E155" s="31" t="n"/>
      <c r="F155" s="32" t="n"/>
      <c r="G155" s="30" t="n"/>
      <c r="H155" s="31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8">
        <f>IF($B155="","",IF($H155="","Open","Closed"))</f>
        <v/>
      </c>
      <c r="O155" s="29" t="n"/>
    </row>
    <row r="156">
      <c r="A156" s="29" t="n"/>
      <c r="B156" s="29" t="n"/>
      <c r="C156" s="29" t="n"/>
      <c r="D156" s="30" t="n"/>
      <c r="E156" s="31" t="n"/>
      <c r="F156" s="32" t="n"/>
      <c r="G156" s="30" t="n"/>
      <c r="H156" s="31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8">
        <f>IF($B156="","",IF($H156="","Open","Closed"))</f>
        <v/>
      </c>
      <c r="O156" s="29" t="n"/>
    </row>
    <row r="157">
      <c r="A157" s="29" t="n"/>
      <c r="B157" s="29" t="n"/>
      <c r="C157" s="29" t="n"/>
      <c r="D157" s="30" t="n"/>
      <c r="E157" s="31" t="n"/>
      <c r="F157" s="32" t="n"/>
      <c r="G157" s="30" t="n"/>
      <c r="H157" s="31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8">
        <f>IF($B157="","",IF($H157="","Open","Closed"))</f>
        <v/>
      </c>
      <c r="O157" s="29" t="n"/>
    </row>
    <row r="158">
      <c r="A158" s="29" t="n"/>
      <c r="B158" s="29" t="n"/>
      <c r="C158" s="29" t="n"/>
      <c r="D158" s="30" t="n"/>
      <c r="E158" s="31" t="n"/>
      <c r="F158" s="32" t="n"/>
      <c r="G158" s="30" t="n"/>
      <c r="H158" s="31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8">
        <f>IF($B158="","",IF($H158="","Open","Closed"))</f>
        <v/>
      </c>
      <c r="O158" s="29" t="n"/>
    </row>
    <row r="159">
      <c r="A159" s="29" t="n"/>
      <c r="B159" s="29" t="n"/>
      <c r="C159" s="29" t="n"/>
      <c r="D159" s="30" t="n"/>
      <c r="E159" s="31" t="n"/>
      <c r="F159" s="32" t="n"/>
      <c r="G159" s="30" t="n"/>
      <c r="H159" s="31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8">
        <f>IF($B159="","",IF($H159="","Open","Closed"))</f>
        <v/>
      </c>
      <c r="O159" s="29" t="n"/>
    </row>
    <row r="160">
      <c r="A160" s="29" t="n"/>
      <c r="B160" s="29" t="n"/>
      <c r="C160" s="29" t="n"/>
      <c r="D160" s="30" t="n"/>
      <c r="E160" s="31" t="n"/>
      <c r="F160" s="32" t="n"/>
      <c r="G160" s="30" t="n"/>
      <c r="H160" s="31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8">
        <f>IF($B160="","",IF($H160="","Open","Closed"))</f>
        <v/>
      </c>
      <c r="O160" s="29" t="n"/>
    </row>
    <row r="161">
      <c r="A161" s="29" t="n"/>
      <c r="B161" s="29" t="n"/>
      <c r="C161" s="29" t="n"/>
      <c r="D161" s="30" t="n"/>
      <c r="E161" s="31" t="n"/>
      <c r="F161" s="32" t="n"/>
      <c r="G161" s="30" t="n"/>
      <c r="H161" s="31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8">
        <f>IF($B161="","",IF($H161="","Open","Closed"))</f>
        <v/>
      </c>
      <c r="O161" s="29" t="n"/>
    </row>
    <row r="162">
      <c r="A162" s="29" t="n"/>
      <c r="B162" s="29" t="n"/>
      <c r="C162" s="29" t="n"/>
      <c r="D162" s="30" t="n"/>
      <c r="E162" s="31" t="n"/>
      <c r="F162" s="32" t="n"/>
      <c r="G162" s="30" t="n"/>
      <c r="H162" s="31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8">
        <f>IF($B162="","",IF($H162="","Open","Closed"))</f>
        <v/>
      </c>
      <c r="O162" s="29" t="n"/>
    </row>
    <row r="163">
      <c r="A163" s="29" t="n"/>
      <c r="B163" s="29" t="n"/>
      <c r="C163" s="29" t="n"/>
      <c r="D163" s="30" t="n"/>
      <c r="E163" s="31" t="n"/>
      <c r="F163" s="32" t="n"/>
      <c r="G163" s="30" t="n"/>
      <c r="H163" s="31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8">
        <f>IF($B163="","",IF($H163="","Open","Closed"))</f>
        <v/>
      </c>
      <c r="O163" s="29" t="n"/>
    </row>
    <row r="164">
      <c r="A164" s="29" t="n"/>
      <c r="B164" s="29" t="n"/>
      <c r="C164" s="29" t="n"/>
      <c r="D164" s="30" t="n"/>
      <c r="E164" s="31" t="n"/>
      <c r="F164" s="32" t="n"/>
      <c r="G164" s="30" t="n"/>
      <c r="H164" s="31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8">
        <f>IF($B164="","",IF($H164="","Open","Closed"))</f>
        <v/>
      </c>
      <c r="O164" s="29" t="n"/>
    </row>
    <row r="165">
      <c r="A165" s="29" t="n"/>
      <c r="B165" s="29" t="n"/>
      <c r="C165" s="29" t="n"/>
      <c r="D165" s="30" t="n"/>
      <c r="E165" s="31" t="n"/>
      <c r="F165" s="32" t="n"/>
      <c r="G165" s="30" t="n"/>
      <c r="H165" s="31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8">
        <f>IF($B165="","",IF($H165="","Open","Closed"))</f>
        <v/>
      </c>
      <c r="O165" s="29" t="n"/>
    </row>
    <row r="166">
      <c r="A166" s="29" t="n"/>
      <c r="B166" s="29" t="n"/>
      <c r="C166" s="29" t="n"/>
      <c r="D166" s="30" t="n"/>
      <c r="E166" s="31" t="n"/>
      <c r="F166" s="32" t="n"/>
      <c r="G166" s="30" t="n"/>
      <c r="H166" s="31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8">
        <f>IF($B166="","",IF($H166="","Open","Closed"))</f>
        <v/>
      </c>
      <c r="O166" s="29" t="n"/>
    </row>
    <row r="167">
      <c r="A167" s="29" t="n"/>
      <c r="B167" s="29" t="n"/>
      <c r="C167" s="29" t="n"/>
      <c r="D167" s="30" t="n"/>
      <c r="E167" s="31" t="n"/>
      <c r="F167" s="32" t="n"/>
      <c r="G167" s="30" t="n"/>
      <c r="H167" s="31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8">
        <f>IF($B167="","",IF($H167="","Open","Closed"))</f>
        <v/>
      </c>
      <c r="O167" s="29" t="n"/>
    </row>
    <row r="168">
      <c r="A168" s="29" t="n"/>
      <c r="B168" s="29" t="n"/>
      <c r="C168" s="29" t="n"/>
      <c r="D168" s="30" t="n"/>
      <c r="E168" s="31" t="n"/>
      <c r="F168" s="32" t="n"/>
      <c r="G168" s="30" t="n"/>
      <c r="H168" s="31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8">
        <f>IF($B168="","",IF($H168="","Open","Closed"))</f>
        <v/>
      </c>
      <c r="O168" s="29" t="n"/>
    </row>
    <row r="169">
      <c r="A169" s="29" t="n"/>
      <c r="B169" s="29" t="n"/>
      <c r="C169" s="29" t="n"/>
      <c r="D169" s="30" t="n"/>
      <c r="E169" s="31" t="n"/>
      <c r="F169" s="32" t="n"/>
      <c r="G169" s="30" t="n"/>
      <c r="H169" s="31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8">
        <f>IF($B169="","",IF($H169="","Open","Closed"))</f>
        <v/>
      </c>
      <c r="O169" s="29" t="n"/>
    </row>
    <row r="170">
      <c r="A170" s="29" t="n"/>
      <c r="B170" s="29" t="n"/>
      <c r="C170" s="29" t="n"/>
      <c r="D170" s="30" t="n"/>
      <c r="E170" s="31" t="n"/>
      <c r="F170" s="32" t="n"/>
      <c r="G170" s="30" t="n"/>
      <c r="H170" s="31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8">
        <f>IF($B170="","",IF($H170="","Open","Closed"))</f>
        <v/>
      </c>
      <c r="O170" s="29" t="n"/>
    </row>
    <row r="171">
      <c r="A171" s="29" t="n"/>
      <c r="B171" s="29" t="n"/>
      <c r="C171" s="29" t="n"/>
      <c r="D171" s="30" t="n"/>
      <c r="E171" s="31" t="n"/>
      <c r="F171" s="32" t="n"/>
      <c r="G171" s="30" t="n"/>
      <c r="H171" s="31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8">
        <f>IF($B171="","",IF($H171="","Open","Closed"))</f>
        <v/>
      </c>
      <c r="O171" s="29" t="n"/>
    </row>
    <row r="172">
      <c r="A172" s="29" t="n"/>
      <c r="B172" s="29" t="n"/>
      <c r="C172" s="29" t="n"/>
      <c r="D172" s="30" t="n"/>
      <c r="E172" s="31" t="n"/>
      <c r="F172" s="32" t="n"/>
      <c r="G172" s="30" t="n"/>
      <c r="H172" s="31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8">
        <f>IF($B172="","",IF($H172="","Open","Closed"))</f>
        <v/>
      </c>
      <c r="O172" s="29" t="n"/>
    </row>
    <row r="173">
      <c r="A173" s="29" t="n"/>
      <c r="B173" s="29" t="n"/>
      <c r="C173" s="29" t="n"/>
      <c r="D173" s="30" t="n"/>
      <c r="E173" s="31" t="n"/>
      <c r="F173" s="32" t="n"/>
      <c r="G173" s="30" t="n"/>
      <c r="H173" s="31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8">
        <f>IF($B173="","",IF($H173="","Open","Closed"))</f>
        <v/>
      </c>
      <c r="O173" s="29" t="n"/>
    </row>
    <row r="174">
      <c r="A174" s="29" t="n"/>
      <c r="B174" s="29" t="n"/>
      <c r="C174" s="29" t="n"/>
      <c r="D174" s="30" t="n"/>
      <c r="E174" s="31" t="n"/>
      <c r="F174" s="32" t="n"/>
      <c r="G174" s="30" t="n"/>
      <c r="H174" s="31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8">
        <f>IF($B174="","",IF($H174="","Open","Closed"))</f>
        <v/>
      </c>
      <c r="O174" s="29" t="n"/>
    </row>
    <row r="175">
      <c r="A175" s="29" t="n"/>
      <c r="B175" s="29" t="n"/>
      <c r="C175" s="29" t="n"/>
      <c r="D175" s="30" t="n"/>
      <c r="E175" s="31" t="n"/>
      <c r="F175" s="32" t="n"/>
      <c r="G175" s="30" t="n"/>
      <c r="H175" s="31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8">
        <f>IF($B175="","",IF($H175="","Open","Closed"))</f>
        <v/>
      </c>
      <c r="O175" s="29" t="n"/>
    </row>
    <row r="176">
      <c r="A176" s="29" t="n"/>
      <c r="B176" s="29" t="n"/>
      <c r="C176" s="29" t="n"/>
      <c r="D176" s="30" t="n"/>
      <c r="E176" s="31" t="n"/>
      <c r="F176" s="32" t="n"/>
      <c r="G176" s="30" t="n"/>
      <c r="H176" s="31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8">
        <f>IF($B176="","",IF($H176="","Open","Closed"))</f>
        <v/>
      </c>
      <c r="O176" s="29" t="n"/>
    </row>
    <row r="177">
      <c r="A177" s="29" t="n"/>
      <c r="B177" s="29" t="n"/>
      <c r="C177" s="29" t="n"/>
      <c r="D177" s="30" t="n"/>
      <c r="E177" s="31" t="n"/>
      <c r="F177" s="32" t="n"/>
      <c r="G177" s="30" t="n"/>
      <c r="H177" s="31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8">
        <f>IF($B177="","",IF($H177="","Open","Closed"))</f>
        <v/>
      </c>
      <c r="O177" s="29" t="n"/>
    </row>
    <row r="178">
      <c r="A178" s="29" t="n"/>
      <c r="B178" s="29" t="n"/>
      <c r="C178" s="29" t="n"/>
      <c r="D178" s="30" t="n"/>
      <c r="E178" s="31" t="n"/>
      <c r="F178" s="32" t="n"/>
      <c r="G178" s="30" t="n"/>
      <c r="H178" s="31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8">
        <f>IF($B178="","",IF($H178="","Open","Closed"))</f>
        <v/>
      </c>
      <c r="O178" s="29" t="n"/>
    </row>
    <row r="179">
      <c r="A179" s="29" t="n"/>
      <c r="B179" s="29" t="n"/>
      <c r="C179" s="29" t="n"/>
      <c r="D179" s="30" t="n"/>
      <c r="E179" s="31" t="n"/>
      <c r="F179" s="32" t="n"/>
      <c r="G179" s="30" t="n"/>
      <c r="H179" s="31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8">
        <f>IF($B179="","",IF($H179="","Open","Closed"))</f>
        <v/>
      </c>
      <c r="O179" s="29" t="n"/>
    </row>
    <row r="180">
      <c r="A180" s="29" t="n"/>
      <c r="B180" s="29" t="n"/>
      <c r="C180" s="29" t="n"/>
      <c r="D180" s="30" t="n"/>
      <c r="E180" s="31" t="n"/>
      <c r="F180" s="32" t="n"/>
      <c r="G180" s="30" t="n"/>
      <c r="H180" s="31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8">
        <f>IF($B180="","",IF($H180="","Open","Closed"))</f>
        <v/>
      </c>
      <c r="O180" s="29" t="n"/>
    </row>
    <row r="181">
      <c r="A181" s="29" t="n"/>
      <c r="B181" s="29" t="n"/>
      <c r="C181" s="29" t="n"/>
      <c r="D181" s="30" t="n"/>
      <c r="E181" s="31" t="n"/>
      <c r="F181" s="32" t="n"/>
      <c r="G181" s="30" t="n"/>
      <c r="H181" s="31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8">
        <f>IF($B181="","",IF($H181="","Open","Closed"))</f>
        <v/>
      </c>
      <c r="O181" s="29" t="n"/>
    </row>
    <row r="182">
      <c r="A182" s="29" t="n"/>
      <c r="B182" s="29" t="n"/>
      <c r="C182" s="29" t="n"/>
      <c r="D182" s="30" t="n"/>
      <c r="E182" s="31" t="n"/>
      <c r="F182" s="32" t="n"/>
      <c r="G182" s="30" t="n"/>
      <c r="H182" s="31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8">
        <f>IF($B182="","",IF($H182="","Open","Closed"))</f>
        <v/>
      </c>
      <c r="O182" s="29" t="n"/>
    </row>
    <row r="183">
      <c r="A183" s="29" t="n"/>
      <c r="B183" s="29" t="n"/>
      <c r="C183" s="29" t="n"/>
      <c r="D183" s="30" t="n"/>
      <c r="E183" s="31" t="n"/>
      <c r="F183" s="32" t="n"/>
      <c r="G183" s="30" t="n"/>
      <c r="H183" s="31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8">
        <f>IF($B183="","",IF($H183="","Open","Closed"))</f>
        <v/>
      </c>
      <c r="O183" s="29" t="n"/>
    </row>
    <row r="184">
      <c r="A184" s="29" t="n"/>
      <c r="B184" s="29" t="n"/>
      <c r="C184" s="29" t="n"/>
      <c r="D184" s="30" t="n"/>
      <c r="E184" s="31" t="n"/>
      <c r="F184" s="32" t="n"/>
      <c r="G184" s="30" t="n"/>
      <c r="H184" s="31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8">
        <f>IF($B184="","",IF($H184="","Open","Closed"))</f>
        <v/>
      </c>
      <c r="O184" s="29" t="n"/>
    </row>
    <row r="185">
      <c r="A185" s="29" t="n"/>
      <c r="B185" s="29" t="n"/>
      <c r="C185" s="29" t="n"/>
      <c r="D185" s="30" t="n"/>
      <c r="E185" s="31" t="n"/>
      <c r="F185" s="32" t="n"/>
      <c r="G185" s="30" t="n"/>
      <c r="H185" s="31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8">
        <f>IF($B185="","",IF($H185="","Open","Closed"))</f>
        <v/>
      </c>
      <c r="O185" s="29" t="n"/>
    </row>
    <row r="186">
      <c r="A186" s="29" t="n"/>
      <c r="B186" s="29" t="n"/>
      <c r="C186" s="29" t="n"/>
      <c r="D186" s="30" t="n"/>
      <c r="E186" s="31" t="n"/>
      <c r="F186" s="32" t="n"/>
      <c r="G186" s="30" t="n"/>
      <c r="H186" s="31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8">
        <f>IF($B186="","",IF($H186="","Open","Closed"))</f>
        <v/>
      </c>
      <c r="O186" s="29" t="n"/>
    </row>
    <row r="187">
      <c r="A187" s="29" t="n"/>
      <c r="B187" s="29" t="n"/>
      <c r="C187" s="29" t="n"/>
      <c r="D187" s="30" t="n"/>
      <c r="E187" s="31" t="n"/>
      <c r="F187" s="32" t="n"/>
      <c r="G187" s="30" t="n"/>
      <c r="H187" s="31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8">
        <f>IF($B187="","",IF($H187="","Open","Closed"))</f>
        <v/>
      </c>
      <c r="O187" s="29" t="n"/>
    </row>
    <row r="188">
      <c r="A188" s="29" t="n"/>
      <c r="B188" s="29" t="n"/>
      <c r="C188" s="29" t="n"/>
      <c r="D188" s="30" t="n"/>
      <c r="E188" s="31" t="n"/>
      <c r="F188" s="32" t="n"/>
      <c r="G188" s="30" t="n"/>
      <c r="H188" s="31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8">
        <f>IF($B188="","",IF($H188="","Open","Closed"))</f>
        <v/>
      </c>
      <c r="O188" s="29" t="n"/>
    </row>
    <row r="189">
      <c r="A189" s="29" t="n"/>
      <c r="B189" s="29" t="n"/>
      <c r="C189" s="29" t="n"/>
      <c r="D189" s="30" t="n"/>
      <c r="E189" s="31" t="n"/>
      <c r="F189" s="32" t="n"/>
      <c r="G189" s="30" t="n"/>
      <c r="H189" s="31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8">
        <f>IF($B189="","",IF($H189="","Open","Closed"))</f>
        <v/>
      </c>
      <c r="O189" s="29" t="n"/>
    </row>
    <row r="190">
      <c r="A190" s="29" t="n"/>
      <c r="B190" s="29" t="n"/>
      <c r="C190" s="29" t="n"/>
      <c r="D190" s="30" t="n"/>
      <c r="E190" s="31" t="n"/>
      <c r="F190" s="32" t="n"/>
      <c r="G190" s="30" t="n"/>
      <c r="H190" s="31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8">
        <f>IF($B190="","",IF($H190="","Open","Closed"))</f>
        <v/>
      </c>
      <c r="O190" s="29" t="n"/>
    </row>
    <row r="191">
      <c r="A191" s="29" t="n"/>
      <c r="B191" s="29" t="n"/>
      <c r="C191" s="29" t="n"/>
      <c r="D191" s="30" t="n"/>
      <c r="E191" s="31" t="n"/>
      <c r="F191" s="32" t="n"/>
      <c r="G191" s="30" t="n"/>
      <c r="H191" s="31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8">
        <f>IF($B191="","",IF($H191="","Open","Closed"))</f>
        <v/>
      </c>
      <c r="O191" s="29" t="n"/>
    </row>
    <row r="192">
      <c r="A192" s="29" t="n"/>
      <c r="B192" s="29" t="n"/>
      <c r="C192" s="29" t="n"/>
      <c r="D192" s="30" t="n"/>
      <c r="E192" s="31" t="n"/>
      <c r="F192" s="32" t="n"/>
      <c r="G192" s="30" t="n"/>
      <c r="H192" s="31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8">
        <f>IF($B192="","",IF($H192="","Open","Closed"))</f>
        <v/>
      </c>
      <c r="O192" s="29" t="n"/>
    </row>
    <row r="193">
      <c r="A193" s="29" t="n"/>
      <c r="B193" s="29" t="n"/>
      <c r="C193" s="29" t="n"/>
      <c r="D193" s="30" t="n"/>
      <c r="E193" s="31" t="n"/>
      <c r="F193" s="32" t="n"/>
      <c r="G193" s="30" t="n"/>
      <c r="H193" s="31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8">
        <f>IF($B193="","",IF($H193="","Open","Closed"))</f>
        <v/>
      </c>
      <c r="O193" s="29" t="n"/>
    </row>
    <row r="194">
      <c r="A194" s="29" t="n"/>
      <c r="B194" s="29" t="n"/>
      <c r="C194" s="29" t="n"/>
      <c r="D194" s="30" t="n"/>
      <c r="E194" s="31" t="n"/>
      <c r="F194" s="32" t="n"/>
      <c r="G194" s="30" t="n"/>
      <c r="H194" s="31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8">
        <f>IF($B194="","",IF($H194="","Open","Closed"))</f>
        <v/>
      </c>
      <c r="O194" s="29" t="n"/>
    </row>
    <row r="195">
      <c r="A195" s="29" t="n"/>
      <c r="B195" s="29" t="n"/>
      <c r="C195" s="29" t="n"/>
      <c r="D195" s="30" t="n"/>
      <c r="E195" s="31" t="n"/>
      <c r="F195" s="32" t="n"/>
      <c r="G195" s="30" t="n"/>
      <c r="H195" s="31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8">
        <f>IF($B195="","",IF($H195="","Open","Closed"))</f>
        <v/>
      </c>
      <c r="O195" s="29" t="n"/>
    </row>
    <row r="196">
      <c r="A196" s="29" t="n"/>
      <c r="B196" s="29" t="n"/>
      <c r="C196" s="29" t="n"/>
      <c r="D196" s="30" t="n"/>
      <c r="E196" s="31" t="n"/>
      <c r="F196" s="32" t="n"/>
      <c r="G196" s="30" t="n"/>
      <c r="H196" s="31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8">
        <f>IF($B196="","",IF($H196="","Open","Closed"))</f>
        <v/>
      </c>
      <c r="O196" s="29" t="n"/>
    </row>
    <row r="197">
      <c r="A197" s="29" t="n"/>
      <c r="B197" s="29" t="n"/>
      <c r="C197" s="29" t="n"/>
      <c r="D197" s="30" t="n"/>
      <c r="E197" s="31" t="n"/>
      <c r="F197" s="32" t="n"/>
      <c r="G197" s="30" t="n"/>
      <c r="H197" s="31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8">
        <f>IF($B197="","",IF($H197="","Open","Closed"))</f>
        <v/>
      </c>
      <c r="O197" s="29" t="n"/>
    </row>
    <row r="198">
      <c r="A198" s="29" t="n"/>
      <c r="B198" s="29" t="n"/>
      <c r="C198" s="29" t="n"/>
      <c r="D198" s="30" t="n"/>
      <c r="E198" s="31" t="n"/>
      <c r="F198" s="32" t="n"/>
      <c r="G198" s="30" t="n"/>
      <c r="H198" s="31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8">
        <f>IF($B198="","",IF($H198="","Open","Closed"))</f>
        <v/>
      </c>
      <c r="O198" s="29" t="n"/>
    </row>
    <row r="199">
      <c r="A199" s="29" t="n"/>
      <c r="B199" s="29" t="n"/>
      <c r="C199" s="29" t="n"/>
      <c r="D199" s="30" t="n"/>
      <c r="E199" s="31" t="n"/>
      <c r="F199" s="32" t="n"/>
      <c r="G199" s="30" t="n"/>
      <c r="H199" s="31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8">
        <f>IF($B199="","",IF($H199="","Open","Closed"))</f>
        <v/>
      </c>
      <c r="O199" s="29" t="n"/>
    </row>
    <row r="200">
      <c r="A200" s="29" t="n"/>
      <c r="B200" s="29" t="n"/>
      <c r="C200" s="29" t="n"/>
      <c r="D200" s="30" t="n"/>
      <c r="E200" s="31" t="n"/>
      <c r="F200" s="32" t="n"/>
      <c r="G200" s="30" t="n"/>
      <c r="H200" s="31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8">
        <f>IF($B200="","",IF($H200="","Open","Closed"))</f>
        <v/>
      </c>
      <c r="O200" s="29" t="n"/>
    </row>
    <row r="201">
      <c r="A201" s="29" t="n"/>
      <c r="B201" s="29" t="n"/>
      <c r="C201" s="29" t="n"/>
      <c r="D201" s="30" t="n"/>
      <c r="E201" s="31" t="n"/>
      <c r="F201" s="32" t="n"/>
      <c r="G201" s="30" t="n"/>
      <c r="H201" s="31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8">
        <f>IF($B201="","",IF($H201="","Open","Closed"))</f>
        <v/>
      </c>
      <c r="O201" s="29" t="n"/>
    </row>
    <row r="202">
      <c r="A202" s="29" t="n"/>
      <c r="B202" s="29" t="n"/>
      <c r="C202" s="29" t="n"/>
      <c r="D202" s="30" t="n"/>
      <c r="E202" s="31" t="n"/>
      <c r="F202" s="32" t="n"/>
      <c r="G202" s="30" t="n"/>
      <c r="H202" s="31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8">
        <f>IF($B202="","",IF($H202="","Open","Closed"))</f>
        <v/>
      </c>
      <c r="O202" s="29" t="n"/>
    </row>
    <row r="203">
      <c r="A203" s="29" t="n"/>
      <c r="B203" s="29" t="n"/>
      <c r="C203" s="29" t="n"/>
      <c r="D203" s="30" t="n"/>
      <c r="E203" s="31" t="n"/>
      <c r="F203" s="32" t="n"/>
      <c r="G203" s="30" t="n"/>
      <c r="H203" s="31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8">
        <f>IF($B203="","",IF($H203="","Open","Closed"))</f>
        <v/>
      </c>
      <c r="O203" s="29" t="n"/>
    </row>
    <row r="204">
      <c r="A204" s="29" t="n"/>
      <c r="B204" s="29" t="n"/>
      <c r="C204" s="29" t="n"/>
      <c r="D204" s="30" t="n"/>
      <c r="E204" s="31" t="n"/>
      <c r="F204" s="32" t="n"/>
      <c r="G204" s="30" t="n"/>
      <c r="H204" s="31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8">
        <f>IF($B204="","",IF($H204="","Open","Closed"))</f>
        <v/>
      </c>
      <c r="O204" s="29" t="n"/>
    </row>
    <row r="205">
      <c r="A205" s="29" t="n"/>
      <c r="B205" s="29" t="n"/>
      <c r="C205" s="29" t="n"/>
      <c r="D205" s="30" t="n"/>
      <c r="E205" s="31" t="n"/>
      <c r="F205" s="32" t="n"/>
      <c r="G205" s="30" t="n"/>
      <c r="H205" s="31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8">
        <f>IF($B205="","",IF($H205="","Open","Closed"))</f>
        <v/>
      </c>
      <c r="O205" s="29" t="n"/>
    </row>
    <row r="206">
      <c r="A206" s="29" t="n"/>
      <c r="B206" s="29" t="n"/>
      <c r="C206" s="29" t="n"/>
      <c r="D206" s="30" t="n"/>
      <c r="E206" s="31" t="n"/>
      <c r="F206" s="32" t="n"/>
      <c r="G206" s="30" t="n"/>
      <c r="H206" s="31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8">
        <f>IF($B206="","",IF($H206="","Open","Closed"))</f>
        <v/>
      </c>
      <c r="O206" s="29" t="n"/>
    </row>
    <row r="207">
      <c r="A207" s="29" t="n"/>
      <c r="B207" s="29" t="n"/>
      <c r="C207" s="29" t="n"/>
      <c r="D207" s="30" t="n"/>
      <c r="E207" s="31" t="n"/>
      <c r="F207" s="32" t="n"/>
      <c r="G207" s="30" t="n"/>
      <c r="H207" s="31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8">
        <f>IF($B207="","",IF($H207="","Open","Closed"))</f>
        <v/>
      </c>
      <c r="O207" s="29" t="n"/>
    </row>
    <row r="208">
      <c r="A208" s="29" t="n"/>
      <c r="B208" s="29" t="n"/>
      <c r="C208" s="29" t="n"/>
      <c r="D208" s="30" t="n"/>
      <c r="E208" s="31" t="n"/>
      <c r="F208" s="32" t="n"/>
      <c r="G208" s="30" t="n"/>
      <c r="H208" s="31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8">
        <f>IF($B208="","",IF($H208="","Open","Closed"))</f>
        <v/>
      </c>
      <c r="O208" s="29" t="n"/>
    </row>
    <row r="209">
      <c r="A209" s="29" t="n"/>
      <c r="B209" s="29" t="n"/>
      <c r="C209" s="29" t="n"/>
      <c r="D209" s="30" t="n"/>
      <c r="E209" s="31" t="n"/>
      <c r="F209" s="32" t="n"/>
      <c r="G209" s="30" t="n"/>
      <c r="H209" s="31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8">
        <f>IF($B209="","",IF($H209="","Open","Closed"))</f>
        <v/>
      </c>
      <c r="O209" s="29" t="n"/>
    </row>
    <row r="210">
      <c r="A210" s="29" t="n"/>
      <c r="B210" s="29" t="n"/>
      <c r="C210" s="29" t="n"/>
      <c r="D210" s="30" t="n"/>
      <c r="E210" s="31" t="n"/>
      <c r="F210" s="32" t="n"/>
      <c r="G210" s="30" t="n"/>
      <c r="H210" s="31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8">
        <f>IF($B210="","",IF($H210="","Open","Closed"))</f>
        <v/>
      </c>
      <c r="O210" s="29" t="n"/>
    </row>
    <row r="211">
      <c r="A211" s="29" t="n"/>
      <c r="B211" s="29" t="n"/>
      <c r="C211" s="29" t="n"/>
      <c r="D211" s="30" t="n"/>
      <c r="E211" s="31" t="n"/>
      <c r="F211" s="32" t="n"/>
      <c r="G211" s="30" t="n"/>
      <c r="H211" s="31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8">
        <f>IF($B211="","",IF($H211="","Open","Closed"))</f>
        <v/>
      </c>
      <c r="O211" s="29" t="n"/>
    </row>
    <row r="212">
      <c r="A212" s="29" t="n"/>
      <c r="B212" s="29" t="n"/>
      <c r="C212" s="29" t="n"/>
      <c r="D212" s="30" t="n"/>
      <c r="E212" s="31" t="n"/>
      <c r="F212" s="32" t="n"/>
      <c r="G212" s="30" t="n"/>
      <c r="H212" s="31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8">
        <f>IF($B212="","",IF($H212="","Open","Closed"))</f>
        <v/>
      </c>
      <c r="O212" s="29" t="n"/>
    </row>
    <row r="213">
      <c r="A213" s="29" t="n"/>
      <c r="B213" s="29" t="n"/>
      <c r="C213" s="29" t="n"/>
      <c r="D213" s="30" t="n"/>
      <c r="E213" s="31" t="n"/>
      <c r="F213" s="32" t="n"/>
      <c r="G213" s="30" t="n"/>
      <c r="H213" s="31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8">
        <f>IF($B213="","",IF($H213="","Open","Closed"))</f>
        <v/>
      </c>
      <c r="O213" s="29" t="n"/>
    </row>
    <row r="214">
      <c r="A214" s="29" t="n"/>
      <c r="B214" s="29" t="n"/>
      <c r="C214" s="29" t="n"/>
      <c r="D214" s="30" t="n"/>
      <c r="E214" s="31" t="n"/>
      <c r="F214" s="32" t="n"/>
      <c r="G214" s="30" t="n"/>
      <c r="H214" s="31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8">
        <f>IF($B214="","",IF($H214="","Open","Closed"))</f>
        <v/>
      </c>
      <c r="O214" s="29" t="n"/>
    </row>
    <row r="215">
      <c r="A215" s="29" t="n"/>
      <c r="B215" s="29" t="n"/>
      <c r="C215" s="29" t="n"/>
      <c r="D215" s="30" t="n"/>
      <c r="E215" s="31" t="n"/>
      <c r="F215" s="32" t="n"/>
      <c r="G215" s="30" t="n"/>
      <c r="H215" s="31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8">
        <f>IF($B215="","",IF($H215="","Open","Closed"))</f>
        <v/>
      </c>
      <c r="O215" s="29" t="n"/>
    </row>
    <row r="216">
      <c r="A216" s="29" t="n"/>
      <c r="B216" s="29" t="n"/>
      <c r="C216" s="29" t="n"/>
      <c r="D216" s="30" t="n"/>
      <c r="E216" s="31" t="n"/>
      <c r="F216" s="32" t="n"/>
      <c r="G216" s="30" t="n"/>
      <c r="H216" s="31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8">
        <f>IF($B216="","",IF($H216="","Open","Closed"))</f>
        <v/>
      </c>
      <c r="O216" s="29" t="n"/>
    </row>
    <row r="217">
      <c r="A217" s="29" t="n"/>
      <c r="B217" s="29" t="n"/>
      <c r="C217" s="29" t="n"/>
      <c r="D217" s="30" t="n"/>
      <c r="E217" s="31" t="n"/>
      <c r="F217" s="32" t="n"/>
      <c r="G217" s="30" t="n"/>
      <c r="H217" s="31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8">
        <f>IF($B217="","",IF($H217="","Open","Closed"))</f>
        <v/>
      </c>
      <c r="O217" s="29" t="n"/>
    </row>
    <row r="218">
      <c r="A218" s="29" t="n"/>
      <c r="B218" s="29" t="n"/>
      <c r="C218" s="29" t="n"/>
      <c r="D218" s="30" t="n"/>
      <c r="E218" s="31" t="n"/>
      <c r="F218" s="32" t="n"/>
      <c r="G218" s="30" t="n"/>
      <c r="H218" s="31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8">
        <f>IF($B218="","",IF($H218="","Open","Closed"))</f>
        <v/>
      </c>
      <c r="O218" s="29" t="n"/>
    </row>
    <row r="219">
      <c r="A219" s="29" t="n"/>
      <c r="B219" s="29" t="n"/>
      <c r="C219" s="29" t="n"/>
      <c r="D219" s="30" t="n"/>
      <c r="E219" s="31" t="n"/>
      <c r="F219" s="32" t="n"/>
      <c r="G219" s="30" t="n"/>
      <c r="H219" s="31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8">
        <f>IF($B219="","",IF($H219="","Open","Closed"))</f>
        <v/>
      </c>
      <c r="O219" s="29" t="n"/>
    </row>
    <row r="220">
      <c r="A220" s="29" t="n"/>
      <c r="B220" s="29" t="n"/>
      <c r="C220" s="29" t="n"/>
      <c r="D220" s="30" t="n"/>
      <c r="E220" s="31" t="n"/>
      <c r="F220" s="32" t="n"/>
      <c r="G220" s="30" t="n"/>
      <c r="H220" s="31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8">
        <f>IF($B220="","",IF($H220="","Open","Closed"))</f>
        <v/>
      </c>
      <c r="O220" s="29" t="n"/>
    </row>
    <row r="221">
      <c r="A221" s="29" t="n"/>
      <c r="B221" s="29" t="n"/>
      <c r="C221" s="29" t="n"/>
      <c r="D221" s="30" t="n"/>
      <c r="E221" s="31" t="n"/>
      <c r="F221" s="32" t="n"/>
      <c r="G221" s="30" t="n"/>
      <c r="H221" s="31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8">
        <f>IF($B221="","",IF($H221="","Open","Closed"))</f>
        <v/>
      </c>
      <c r="O221" s="29" t="n"/>
    </row>
    <row r="222">
      <c r="A222" s="29" t="n"/>
      <c r="B222" s="29" t="n"/>
      <c r="C222" s="29" t="n"/>
      <c r="D222" s="30" t="n"/>
      <c r="E222" s="31" t="n"/>
      <c r="F222" s="32" t="n"/>
      <c r="G222" s="30" t="n"/>
      <c r="H222" s="31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8">
        <f>IF($B222="","",IF($H222="","Open","Closed"))</f>
        <v/>
      </c>
      <c r="O222" s="29" t="n"/>
    </row>
    <row r="223">
      <c r="A223" s="29" t="n"/>
      <c r="B223" s="29" t="n"/>
      <c r="C223" s="29" t="n"/>
      <c r="D223" s="30" t="n"/>
      <c r="E223" s="31" t="n"/>
      <c r="F223" s="32" t="n"/>
      <c r="G223" s="30" t="n"/>
      <c r="H223" s="31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8">
        <f>IF($B223="","",IF($H223="","Open","Closed"))</f>
        <v/>
      </c>
      <c r="O223" s="29" t="n"/>
    </row>
    <row r="224">
      <c r="A224" s="29" t="n"/>
      <c r="B224" s="29" t="n"/>
      <c r="C224" s="29" t="n"/>
      <c r="D224" s="30" t="n"/>
      <c r="E224" s="31" t="n"/>
      <c r="F224" s="32" t="n"/>
      <c r="G224" s="30" t="n"/>
      <c r="H224" s="31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8">
        <f>IF($B224="","",IF($H224="","Open","Closed"))</f>
        <v/>
      </c>
      <c r="O224" s="29" t="n"/>
    </row>
    <row r="225">
      <c r="A225" s="29" t="n"/>
      <c r="B225" s="29" t="n"/>
      <c r="C225" s="29" t="n"/>
      <c r="D225" s="30" t="n"/>
      <c r="E225" s="31" t="n"/>
      <c r="F225" s="32" t="n"/>
      <c r="G225" s="30" t="n"/>
      <c r="H225" s="31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8">
        <f>IF($B225="","",IF($H225="","Open","Closed"))</f>
        <v/>
      </c>
      <c r="O225" s="29" t="n"/>
    </row>
    <row r="226">
      <c r="A226" s="29" t="n"/>
      <c r="B226" s="29" t="n"/>
      <c r="C226" s="29" t="n"/>
      <c r="D226" s="30" t="n"/>
      <c r="E226" s="31" t="n"/>
      <c r="F226" s="32" t="n"/>
      <c r="G226" s="30" t="n"/>
      <c r="H226" s="31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8">
        <f>IF($B226="","",IF($H226="","Open","Closed"))</f>
        <v/>
      </c>
      <c r="O226" s="29" t="n"/>
    </row>
    <row r="227">
      <c r="A227" s="29" t="n"/>
      <c r="B227" s="29" t="n"/>
      <c r="C227" s="29" t="n"/>
      <c r="D227" s="30" t="n"/>
      <c r="E227" s="31" t="n"/>
      <c r="F227" s="32" t="n"/>
      <c r="G227" s="30" t="n"/>
      <c r="H227" s="31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8">
        <f>IF($B227="","",IF($H227="","Open","Closed"))</f>
        <v/>
      </c>
      <c r="O227" s="29" t="n"/>
    </row>
    <row r="228">
      <c r="A228" s="29" t="n"/>
      <c r="B228" s="29" t="n"/>
      <c r="C228" s="29" t="n"/>
      <c r="D228" s="30" t="n"/>
      <c r="E228" s="31" t="n"/>
      <c r="F228" s="32" t="n"/>
      <c r="G228" s="30" t="n"/>
      <c r="H228" s="31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8">
        <f>IF($B228="","",IF($H228="","Open","Closed"))</f>
        <v/>
      </c>
      <c r="O228" s="29" t="n"/>
    </row>
    <row r="229">
      <c r="A229" s="29" t="n"/>
      <c r="B229" s="29" t="n"/>
      <c r="C229" s="29" t="n"/>
      <c r="D229" s="30" t="n"/>
      <c r="E229" s="31" t="n"/>
      <c r="F229" s="32" t="n"/>
      <c r="G229" s="30" t="n"/>
      <c r="H229" s="31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8">
        <f>IF($B229="","",IF($H229="","Open","Closed"))</f>
        <v/>
      </c>
      <c r="O229" s="29" t="n"/>
    </row>
    <row r="230">
      <c r="A230" s="29" t="n"/>
      <c r="B230" s="29" t="n"/>
      <c r="C230" s="29" t="n"/>
      <c r="D230" s="30" t="n"/>
      <c r="E230" s="31" t="n"/>
      <c r="F230" s="32" t="n"/>
      <c r="G230" s="30" t="n"/>
      <c r="H230" s="31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8">
        <f>IF($B230="","",IF($H230="","Open","Closed"))</f>
        <v/>
      </c>
      <c r="O230" s="29" t="n"/>
    </row>
    <row r="231">
      <c r="A231" s="29" t="n"/>
      <c r="B231" s="29" t="n"/>
      <c r="C231" s="29" t="n"/>
      <c r="D231" s="30" t="n"/>
      <c r="E231" s="31" t="n"/>
      <c r="F231" s="32" t="n"/>
      <c r="G231" s="30" t="n"/>
      <c r="H231" s="31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8">
        <f>IF($B231="","",IF($H231="","Open","Closed"))</f>
        <v/>
      </c>
      <c r="O231" s="29" t="n"/>
    </row>
    <row r="232">
      <c r="A232" s="29" t="n"/>
      <c r="B232" s="29" t="n"/>
      <c r="C232" s="29" t="n"/>
      <c r="D232" s="30" t="n"/>
      <c r="E232" s="31" t="n"/>
      <c r="F232" s="32" t="n"/>
      <c r="G232" s="30" t="n"/>
      <c r="H232" s="31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8">
        <f>IF($B232="","",IF($H232="","Open","Closed"))</f>
        <v/>
      </c>
      <c r="O232" s="29" t="n"/>
    </row>
    <row r="233">
      <c r="A233" s="29" t="n"/>
      <c r="B233" s="29" t="n"/>
      <c r="C233" s="29" t="n"/>
      <c r="D233" s="30" t="n"/>
      <c r="E233" s="31" t="n"/>
      <c r="F233" s="32" t="n"/>
      <c r="G233" s="30" t="n"/>
      <c r="H233" s="31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8">
        <f>IF($B233="","",IF($H233="","Open","Closed"))</f>
        <v/>
      </c>
      <c r="O233" s="29" t="n"/>
    </row>
    <row r="234">
      <c r="A234" s="29" t="n"/>
      <c r="B234" s="29" t="n"/>
      <c r="C234" s="29" t="n"/>
      <c r="D234" s="30" t="n"/>
      <c r="E234" s="31" t="n"/>
      <c r="F234" s="32" t="n"/>
      <c r="G234" s="30" t="n"/>
      <c r="H234" s="31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8">
        <f>IF($B234="","",IF($H234="","Open","Closed"))</f>
        <v/>
      </c>
      <c r="O234" s="29" t="n"/>
    </row>
    <row r="235">
      <c r="A235" s="29" t="n"/>
      <c r="B235" s="29" t="n"/>
      <c r="C235" s="29" t="n"/>
      <c r="D235" s="30" t="n"/>
      <c r="E235" s="31" t="n"/>
      <c r="F235" s="32" t="n"/>
      <c r="G235" s="30" t="n"/>
      <c r="H235" s="31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8">
        <f>IF($B235="","",IF($H235="","Open","Closed"))</f>
        <v/>
      </c>
      <c r="O235" s="29" t="n"/>
    </row>
    <row r="236">
      <c r="A236" s="29" t="n"/>
      <c r="B236" s="29" t="n"/>
      <c r="C236" s="29" t="n"/>
      <c r="D236" s="30" t="n"/>
      <c r="E236" s="31" t="n"/>
      <c r="F236" s="32" t="n"/>
      <c r="G236" s="30" t="n"/>
      <c r="H236" s="31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8">
        <f>IF($B236="","",IF($H236="","Open","Closed"))</f>
        <v/>
      </c>
      <c r="O236" s="29" t="n"/>
    </row>
    <row r="237">
      <c r="A237" s="29" t="n"/>
      <c r="B237" s="29" t="n"/>
      <c r="C237" s="29" t="n"/>
      <c r="D237" s="30" t="n"/>
      <c r="E237" s="31" t="n"/>
      <c r="F237" s="32" t="n"/>
      <c r="G237" s="30" t="n"/>
      <c r="H237" s="31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8">
        <f>IF($B237="","",IF($H237="","Open","Closed"))</f>
        <v/>
      </c>
      <c r="O237" s="29" t="n"/>
    </row>
    <row r="238">
      <c r="A238" s="29" t="n"/>
      <c r="B238" s="29" t="n"/>
      <c r="C238" s="29" t="n"/>
      <c r="D238" s="30" t="n"/>
      <c r="E238" s="31" t="n"/>
      <c r="F238" s="32" t="n"/>
      <c r="G238" s="30" t="n"/>
      <c r="H238" s="31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8">
        <f>IF($B238="","",IF($H238="","Open","Closed"))</f>
        <v/>
      </c>
      <c r="O238" s="29" t="n"/>
    </row>
    <row r="239">
      <c r="A239" s="29" t="n"/>
      <c r="B239" s="29" t="n"/>
      <c r="C239" s="29" t="n"/>
      <c r="D239" s="30" t="n"/>
      <c r="E239" s="31" t="n"/>
      <c r="F239" s="32" t="n"/>
      <c r="G239" s="30" t="n"/>
      <c r="H239" s="31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8">
        <f>IF($B239="","",IF($H239="","Open","Closed"))</f>
        <v/>
      </c>
      <c r="O239" s="29" t="n"/>
    </row>
    <row r="240">
      <c r="A240" s="29" t="n"/>
      <c r="B240" s="29" t="n"/>
      <c r="C240" s="29" t="n"/>
      <c r="D240" s="30" t="n"/>
      <c r="E240" s="31" t="n"/>
      <c r="F240" s="32" t="n"/>
      <c r="G240" s="30" t="n"/>
      <c r="H240" s="31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8">
        <f>IF($B240="","",IF($H240="","Open","Closed"))</f>
        <v/>
      </c>
      <c r="O240" s="29" t="n"/>
    </row>
    <row r="241">
      <c r="A241" s="29" t="n"/>
      <c r="B241" s="29" t="n"/>
      <c r="C241" s="29" t="n"/>
      <c r="D241" s="30" t="n"/>
      <c r="E241" s="31" t="n"/>
      <c r="F241" s="32" t="n"/>
      <c r="G241" s="30" t="n"/>
      <c r="H241" s="31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8">
        <f>IF($B241="","",IF($H241="","Open","Closed"))</f>
        <v/>
      </c>
      <c r="O241" s="29" t="n"/>
    </row>
    <row r="242">
      <c r="A242" s="29" t="n"/>
      <c r="B242" s="29" t="n"/>
      <c r="C242" s="29" t="n"/>
      <c r="D242" s="30" t="n"/>
      <c r="E242" s="31" t="n"/>
      <c r="F242" s="32" t="n"/>
      <c r="G242" s="30" t="n"/>
      <c r="H242" s="31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8">
        <f>IF($B242="","",IF($H242="","Open","Closed"))</f>
        <v/>
      </c>
      <c r="O242" s="29" t="n"/>
    </row>
    <row r="243">
      <c r="A243" s="29" t="n"/>
      <c r="B243" s="29" t="n"/>
      <c r="C243" s="29" t="n"/>
      <c r="D243" s="30" t="n"/>
      <c r="E243" s="31" t="n"/>
      <c r="F243" s="32" t="n"/>
      <c r="G243" s="30" t="n"/>
      <c r="H243" s="31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8">
        <f>IF($B243="","",IF($H243="","Open","Closed"))</f>
        <v/>
      </c>
      <c r="O243" s="29" t="n"/>
    </row>
    <row r="244">
      <c r="A244" s="29" t="n"/>
      <c r="B244" s="29" t="n"/>
      <c r="C244" s="29" t="n"/>
      <c r="D244" s="30" t="n"/>
      <c r="E244" s="31" t="n"/>
      <c r="F244" s="32" t="n"/>
      <c r="G244" s="30" t="n"/>
      <c r="H244" s="31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8">
        <f>IF($B244="","",IF($H244="","Open","Closed"))</f>
        <v/>
      </c>
      <c r="O244" s="29" t="n"/>
    </row>
    <row r="245">
      <c r="A245" s="29" t="n"/>
      <c r="B245" s="29" t="n"/>
      <c r="C245" s="29" t="n"/>
      <c r="D245" s="30" t="n"/>
      <c r="E245" s="31" t="n"/>
      <c r="F245" s="32" t="n"/>
      <c r="G245" s="30" t="n"/>
      <c r="H245" s="31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8">
        <f>IF($B245="","",IF($H245="","Open","Closed"))</f>
        <v/>
      </c>
      <c r="O245" s="29" t="n"/>
    </row>
    <row r="246">
      <c r="A246" s="29" t="n"/>
      <c r="B246" s="29" t="n"/>
      <c r="C246" s="29" t="n"/>
      <c r="D246" s="30" t="n"/>
      <c r="E246" s="31" t="n"/>
      <c r="F246" s="32" t="n"/>
      <c r="G246" s="30" t="n"/>
      <c r="H246" s="31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8">
        <f>IF($B246="","",IF($H246="","Open","Closed"))</f>
        <v/>
      </c>
      <c r="O246" s="29" t="n"/>
    </row>
    <row r="247">
      <c r="A247" s="29" t="n"/>
      <c r="B247" s="29" t="n"/>
      <c r="C247" s="29" t="n"/>
      <c r="D247" s="30" t="n"/>
      <c r="E247" s="31" t="n"/>
      <c r="F247" s="32" t="n"/>
      <c r="G247" s="30" t="n"/>
      <c r="H247" s="31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8">
        <f>IF($B247="","",IF($H247="","Open","Closed"))</f>
        <v/>
      </c>
      <c r="O247" s="29" t="n"/>
    </row>
    <row r="248">
      <c r="A248" s="29" t="n"/>
      <c r="B248" s="29" t="n"/>
      <c r="C248" s="29" t="n"/>
      <c r="D248" s="30" t="n"/>
      <c r="E248" s="31" t="n"/>
      <c r="F248" s="32" t="n"/>
      <c r="G248" s="30" t="n"/>
      <c r="H248" s="31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8">
        <f>IF($B248="","",IF($H248="","Open","Closed"))</f>
        <v/>
      </c>
      <c r="O248" s="29" t="n"/>
    </row>
    <row r="249">
      <c r="A249" s="29" t="n"/>
      <c r="B249" s="29" t="n"/>
      <c r="C249" s="29" t="n"/>
      <c r="D249" s="30" t="n"/>
      <c r="E249" s="31" t="n"/>
      <c r="F249" s="32" t="n"/>
      <c r="G249" s="30" t="n"/>
      <c r="H249" s="31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8">
        <f>IF($B249="","",IF($H249="","Open","Closed"))</f>
        <v/>
      </c>
      <c r="O249" s="29" t="n"/>
    </row>
    <row r="250">
      <c r="A250" s="29" t="n"/>
      <c r="B250" s="29" t="n"/>
      <c r="C250" s="29" t="n"/>
      <c r="D250" s="30" t="n"/>
      <c r="E250" s="31" t="n"/>
      <c r="F250" s="32" t="n"/>
      <c r="G250" s="30" t="n"/>
      <c r="H250" s="31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8">
        <f>IF($B250="","",IF($H250="","Open","Closed"))</f>
        <v/>
      </c>
      <c r="O250" s="29" t="n"/>
    </row>
    <row r="251">
      <c r="A251" s="29" t="n"/>
      <c r="B251" s="29" t="n"/>
      <c r="C251" s="29" t="n"/>
      <c r="D251" s="30" t="n"/>
      <c r="E251" s="31" t="n"/>
      <c r="F251" s="32" t="n"/>
      <c r="G251" s="30" t="n"/>
      <c r="H251" s="31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8">
        <f>IF($B251="","",IF($H251="","Open","Closed"))</f>
        <v/>
      </c>
      <c r="O251" s="29" t="n"/>
    </row>
    <row r="252">
      <c r="A252" s="29" t="n"/>
      <c r="B252" s="29" t="n"/>
      <c r="C252" s="29" t="n"/>
      <c r="D252" s="30" t="n"/>
      <c r="E252" s="31" t="n"/>
      <c r="F252" s="32" t="n"/>
      <c r="G252" s="30" t="n"/>
      <c r="H252" s="31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8">
        <f>IF($B252="","",IF($H252="","Open","Closed"))</f>
        <v/>
      </c>
      <c r="O252" s="29" t="n"/>
    </row>
    <row r="253">
      <c r="A253" s="29" t="n"/>
      <c r="B253" s="29" t="n"/>
      <c r="C253" s="29" t="n"/>
      <c r="D253" s="30" t="n"/>
      <c r="E253" s="31" t="n"/>
      <c r="F253" s="32" t="n"/>
      <c r="G253" s="30" t="n"/>
      <c r="H253" s="31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8">
        <f>IF($B253="","",IF($H253="","Open","Closed"))</f>
        <v/>
      </c>
      <c r="O253" s="29" t="n"/>
    </row>
    <row r="254">
      <c r="A254" s="29" t="n"/>
      <c r="B254" s="29" t="n"/>
      <c r="C254" s="29" t="n"/>
      <c r="D254" s="30" t="n"/>
      <c r="E254" s="31" t="n"/>
      <c r="F254" s="32" t="n"/>
      <c r="G254" s="30" t="n"/>
      <c r="H254" s="31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8">
        <f>IF($B254="","",IF($H254="","Open","Closed"))</f>
        <v/>
      </c>
      <c r="O254" s="29" t="n"/>
    </row>
    <row r="255">
      <c r="A255" s="29" t="n"/>
      <c r="B255" s="29" t="n"/>
      <c r="C255" s="29" t="n"/>
      <c r="D255" s="30" t="n"/>
      <c r="E255" s="31" t="n"/>
      <c r="F255" s="32" t="n"/>
      <c r="G255" s="30" t="n"/>
      <c r="H255" s="31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8">
        <f>IF($B255="","",IF($H255="","Open","Closed"))</f>
        <v/>
      </c>
      <c r="O255" s="29" t="n"/>
    </row>
    <row r="256">
      <c r="A256" s="29" t="n"/>
      <c r="B256" s="29" t="n"/>
      <c r="C256" s="29" t="n"/>
      <c r="D256" s="30" t="n"/>
      <c r="E256" s="31" t="n"/>
      <c r="F256" s="32" t="n"/>
      <c r="G256" s="30" t="n"/>
      <c r="H256" s="31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8">
        <f>IF($B256="","",IF($H256="","Open","Closed"))</f>
        <v/>
      </c>
      <c r="O256" s="29" t="n"/>
    </row>
    <row r="257">
      <c r="A257" s="29" t="n"/>
      <c r="B257" s="29" t="n"/>
      <c r="C257" s="29" t="n"/>
      <c r="D257" s="30" t="n"/>
      <c r="E257" s="31" t="n"/>
      <c r="F257" s="32" t="n"/>
      <c r="G257" s="30" t="n"/>
      <c r="H257" s="31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8">
        <f>IF($B257="","",IF($H257="","Open","Closed"))</f>
        <v/>
      </c>
      <c r="O257" s="29" t="n"/>
    </row>
    <row r="258">
      <c r="A258" s="29" t="n"/>
      <c r="B258" s="29" t="n"/>
      <c r="C258" s="29" t="n"/>
      <c r="D258" s="30" t="n"/>
      <c r="E258" s="31" t="n"/>
      <c r="F258" s="32" t="n"/>
      <c r="G258" s="30" t="n"/>
      <c r="H258" s="31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8">
        <f>IF($B258="","",IF($H258="","Open","Closed"))</f>
        <v/>
      </c>
      <c r="O258" s="29" t="n"/>
    </row>
    <row r="259">
      <c r="A259" s="29" t="n"/>
      <c r="B259" s="29" t="n"/>
      <c r="C259" s="29" t="n"/>
      <c r="D259" s="30" t="n"/>
      <c r="E259" s="31" t="n"/>
      <c r="F259" s="32" t="n"/>
      <c r="G259" s="30" t="n"/>
      <c r="H259" s="31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8">
        <f>IF($B259="","",IF($H259="","Open","Closed"))</f>
        <v/>
      </c>
      <c r="O259" s="29" t="n"/>
    </row>
    <row r="260">
      <c r="A260" s="29" t="n"/>
      <c r="B260" s="29" t="n"/>
      <c r="C260" s="29" t="n"/>
      <c r="D260" s="30" t="n"/>
      <c r="E260" s="31" t="n"/>
      <c r="F260" s="32" t="n"/>
      <c r="G260" s="30" t="n"/>
      <c r="H260" s="31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8">
        <f>IF($B260="","",IF($H260="","Open","Closed"))</f>
        <v/>
      </c>
      <c r="O260" s="29" t="n"/>
    </row>
    <row r="261">
      <c r="A261" s="29" t="n"/>
      <c r="B261" s="29" t="n"/>
      <c r="C261" s="29" t="n"/>
      <c r="D261" s="30" t="n"/>
      <c r="E261" s="31" t="n"/>
      <c r="F261" s="32" t="n"/>
      <c r="G261" s="30" t="n"/>
      <c r="H261" s="31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8">
        <f>IF($B261="","",IF($H261="","Open","Closed"))</f>
        <v/>
      </c>
      <c r="O261" s="29" t="n"/>
    </row>
    <row r="262">
      <c r="A262" s="29" t="n"/>
      <c r="B262" s="29" t="n"/>
      <c r="C262" s="29" t="n"/>
      <c r="D262" s="30" t="n"/>
      <c r="E262" s="31" t="n"/>
      <c r="F262" s="32" t="n"/>
      <c r="G262" s="30" t="n"/>
      <c r="H262" s="31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8">
        <f>IF($B262="","",IF($H262="","Open","Closed"))</f>
        <v/>
      </c>
      <c r="O262" s="29" t="n"/>
    </row>
    <row r="263">
      <c r="A263" s="29" t="n"/>
      <c r="B263" s="29" t="n"/>
      <c r="C263" s="29" t="n"/>
      <c r="D263" s="30" t="n"/>
      <c r="E263" s="31" t="n"/>
      <c r="F263" s="32" t="n"/>
      <c r="G263" s="30" t="n"/>
      <c r="H263" s="31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8">
        <f>IF($B263="","",IF($H263="","Open","Closed"))</f>
        <v/>
      </c>
      <c r="O263" s="29" t="n"/>
    </row>
    <row r="264">
      <c r="A264" s="29" t="n"/>
      <c r="B264" s="29" t="n"/>
      <c r="C264" s="29" t="n"/>
      <c r="D264" s="30" t="n"/>
      <c r="E264" s="31" t="n"/>
      <c r="F264" s="32" t="n"/>
      <c r="G264" s="30" t="n"/>
      <c r="H264" s="31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8">
        <f>IF($B264="","",IF($H264="","Open","Closed"))</f>
        <v/>
      </c>
      <c r="O264" s="29" t="n"/>
    </row>
    <row r="265">
      <c r="A265" s="29" t="n"/>
      <c r="B265" s="29" t="n"/>
      <c r="C265" s="29" t="n"/>
      <c r="D265" s="30" t="n"/>
      <c r="E265" s="31" t="n"/>
      <c r="F265" s="32" t="n"/>
      <c r="G265" s="30" t="n"/>
      <c r="H265" s="31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8">
        <f>IF($B265="","",IF($H265="","Open","Closed"))</f>
        <v/>
      </c>
      <c r="O265" s="29" t="n"/>
    </row>
    <row r="266">
      <c r="A266" s="29" t="n"/>
      <c r="B266" s="29" t="n"/>
      <c r="C266" s="29" t="n"/>
      <c r="D266" s="30" t="n"/>
      <c r="E266" s="31" t="n"/>
      <c r="F266" s="32" t="n"/>
      <c r="G266" s="30" t="n"/>
      <c r="H266" s="31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8">
        <f>IF($B266="","",IF($H266="","Open","Closed"))</f>
        <v/>
      </c>
      <c r="O266" s="29" t="n"/>
    </row>
    <row r="267">
      <c r="A267" s="29" t="n"/>
      <c r="B267" s="29" t="n"/>
      <c r="C267" s="29" t="n"/>
      <c r="D267" s="30" t="n"/>
      <c r="E267" s="31" t="n"/>
      <c r="F267" s="32" t="n"/>
      <c r="G267" s="30" t="n"/>
      <c r="H267" s="31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8">
        <f>IF($B267="","",IF($H267="","Open","Closed"))</f>
        <v/>
      </c>
      <c r="O267" s="29" t="n"/>
    </row>
    <row r="268">
      <c r="A268" s="29" t="n"/>
      <c r="B268" s="29" t="n"/>
      <c r="C268" s="29" t="n"/>
      <c r="D268" s="30" t="n"/>
      <c r="E268" s="31" t="n"/>
      <c r="F268" s="32" t="n"/>
      <c r="G268" s="30" t="n"/>
      <c r="H268" s="31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8">
        <f>IF($B268="","",IF($H268="","Open","Closed"))</f>
        <v/>
      </c>
      <c r="O268" s="29" t="n"/>
    </row>
    <row r="269">
      <c r="A269" s="29" t="n"/>
      <c r="B269" s="29" t="n"/>
      <c r="C269" s="29" t="n"/>
      <c r="D269" s="30" t="n"/>
      <c r="E269" s="31" t="n"/>
      <c r="F269" s="32" t="n"/>
      <c r="G269" s="30" t="n"/>
      <c r="H269" s="31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8">
        <f>IF($B269="","",IF($H269="","Open","Closed"))</f>
        <v/>
      </c>
      <c r="O269" s="29" t="n"/>
    </row>
    <row r="270">
      <c r="A270" s="29" t="n"/>
      <c r="B270" s="29" t="n"/>
      <c r="C270" s="29" t="n"/>
      <c r="D270" s="30" t="n"/>
      <c r="E270" s="31" t="n"/>
      <c r="F270" s="32" t="n"/>
      <c r="G270" s="30" t="n"/>
      <c r="H270" s="31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8">
        <f>IF($B270="","",IF($H270="","Open","Closed"))</f>
        <v/>
      </c>
      <c r="O270" s="29" t="n"/>
    </row>
    <row r="271">
      <c r="A271" s="29" t="n"/>
      <c r="B271" s="29" t="n"/>
      <c r="C271" s="29" t="n"/>
      <c r="D271" s="30" t="n"/>
      <c r="E271" s="31" t="n"/>
      <c r="F271" s="32" t="n"/>
      <c r="G271" s="30" t="n"/>
      <c r="H271" s="31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8">
        <f>IF($B271="","",IF($H271="","Open","Closed"))</f>
        <v/>
      </c>
      <c r="O271" s="29" t="n"/>
    </row>
    <row r="272">
      <c r="A272" s="29" t="n"/>
      <c r="B272" s="29" t="n"/>
      <c r="C272" s="29" t="n"/>
      <c r="D272" s="30" t="n"/>
      <c r="E272" s="31" t="n"/>
      <c r="F272" s="32" t="n"/>
      <c r="G272" s="30" t="n"/>
      <c r="H272" s="31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8">
        <f>IF($B272="","",IF($H272="","Open","Closed"))</f>
        <v/>
      </c>
      <c r="O272" s="29" t="n"/>
    </row>
    <row r="273">
      <c r="A273" s="29" t="n"/>
      <c r="B273" s="29" t="n"/>
      <c r="C273" s="29" t="n"/>
      <c r="D273" s="30" t="n"/>
      <c r="E273" s="31" t="n"/>
      <c r="F273" s="32" t="n"/>
      <c r="G273" s="30" t="n"/>
      <c r="H273" s="31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8">
        <f>IF($B273="","",IF($H273="","Open","Closed"))</f>
        <v/>
      </c>
      <c r="O273" s="29" t="n"/>
    </row>
    <row r="274">
      <c r="A274" s="29" t="n"/>
      <c r="B274" s="29" t="n"/>
      <c r="C274" s="29" t="n"/>
      <c r="D274" s="30" t="n"/>
      <c r="E274" s="31" t="n"/>
      <c r="F274" s="32" t="n"/>
      <c r="G274" s="30" t="n"/>
      <c r="H274" s="31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8">
        <f>IF($B274="","",IF($H274="","Open","Closed"))</f>
        <v/>
      </c>
      <c r="O274" s="29" t="n"/>
    </row>
    <row r="275">
      <c r="A275" s="29" t="n"/>
      <c r="B275" s="29" t="n"/>
      <c r="C275" s="29" t="n"/>
      <c r="D275" s="30" t="n"/>
      <c r="E275" s="31" t="n"/>
      <c r="F275" s="32" t="n"/>
      <c r="G275" s="30" t="n"/>
      <c r="H275" s="31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8">
        <f>IF($B275="","",IF($H275="","Open","Closed"))</f>
        <v/>
      </c>
      <c r="O275" s="29" t="n"/>
    </row>
    <row r="276">
      <c r="A276" s="29" t="n"/>
      <c r="B276" s="29" t="n"/>
      <c r="C276" s="29" t="n"/>
      <c r="D276" s="30" t="n"/>
      <c r="E276" s="31" t="n"/>
      <c r="F276" s="32" t="n"/>
      <c r="G276" s="30" t="n"/>
      <c r="H276" s="31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8">
        <f>IF($B276="","",IF($H276="","Open","Closed"))</f>
        <v/>
      </c>
      <c r="O276" s="29" t="n"/>
    </row>
    <row r="277">
      <c r="A277" s="29" t="n"/>
      <c r="B277" s="29" t="n"/>
      <c r="C277" s="29" t="n"/>
      <c r="D277" s="30" t="n"/>
      <c r="E277" s="31" t="n"/>
      <c r="F277" s="32" t="n"/>
      <c r="G277" s="30" t="n"/>
      <c r="H277" s="31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8">
        <f>IF($B277="","",IF($H277="","Open","Closed"))</f>
        <v/>
      </c>
      <c r="O277" s="29" t="n"/>
    </row>
    <row r="278">
      <c r="A278" s="29" t="n"/>
      <c r="B278" s="29" t="n"/>
      <c r="C278" s="29" t="n"/>
      <c r="D278" s="30" t="n"/>
      <c r="E278" s="31" t="n"/>
      <c r="F278" s="32" t="n"/>
      <c r="G278" s="30" t="n"/>
      <c r="H278" s="31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8">
        <f>IF($B278="","",IF($H278="","Open","Closed"))</f>
        <v/>
      </c>
      <c r="O278" s="29" t="n"/>
    </row>
    <row r="279">
      <c r="A279" s="29" t="n"/>
      <c r="B279" s="29" t="n"/>
      <c r="C279" s="29" t="n"/>
      <c r="D279" s="30" t="n"/>
      <c r="E279" s="31" t="n"/>
      <c r="F279" s="32" t="n"/>
      <c r="G279" s="30" t="n"/>
      <c r="H279" s="31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8">
        <f>IF($B279="","",IF($H279="","Open","Closed"))</f>
        <v/>
      </c>
      <c r="O279" s="29" t="n"/>
    </row>
    <row r="280">
      <c r="A280" s="29" t="n"/>
      <c r="B280" s="29" t="n"/>
      <c r="C280" s="29" t="n"/>
      <c r="D280" s="30" t="n"/>
      <c r="E280" s="31" t="n"/>
      <c r="F280" s="32" t="n"/>
      <c r="G280" s="30" t="n"/>
      <c r="H280" s="31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8">
        <f>IF($B280="","",IF($H280="","Open","Closed"))</f>
        <v/>
      </c>
      <c r="O280" s="29" t="n"/>
    </row>
    <row r="281">
      <c r="A281" s="29" t="n"/>
      <c r="B281" s="29" t="n"/>
      <c r="C281" s="29" t="n"/>
      <c r="D281" s="30" t="n"/>
      <c r="E281" s="31" t="n"/>
      <c r="F281" s="32" t="n"/>
      <c r="G281" s="30" t="n"/>
      <c r="H281" s="31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8">
        <f>IF($B281="","",IF($H281="","Open","Closed"))</f>
        <v/>
      </c>
      <c r="O281" s="29" t="n"/>
    </row>
    <row r="282">
      <c r="A282" s="29" t="n"/>
      <c r="B282" s="29" t="n"/>
      <c r="C282" s="29" t="n"/>
      <c r="D282" s="30" t="n"/>
      <c r="E282" s="31" t="n"/>
      <c r="F282" s="32" t="n"/>
      <c r="G282" s="30" t="n"/>
      <c r="H282" s="31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8">
        <f>IF($B282="","",IF($H282="","Open","Closed"))</f>
        <v/>
      </c>
      <c r="O282" s="29" t="n"/>
    </row>
    <row r="283">
      <c r="A283" s="29" t="n"/>
      <c r="B283" s="29" t="n"/>
      <c r="C283" s="29" t="n"/>
      <c r="D283" s="30" t="n"/>
      <c r="E283" s="31" t="n"/>
      <c r="F283" s="32" t="n"/>
      <c r="G283" s="30" t="n"/>
      <c r="H283" s="31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8">
        <f>IF($B283="","",IF($H283="","Open","Closed"))</f>
        <v/>
      </c>
      <c r="O283" s="29" t="n"/>
    </row>
    <row r="284">
      <c r="A284" s="29" t="n"/>
      <c r="B284" s="29" t="n"/>
      <c r="C284" s="29" t="n"/>
      <c r="D284" s="30" t="n"/>
      <c r="E284" s="31" t="n"/>
      <c r="F284" s="32" t="n"/>
      <c r="G284" s="30" t="n"/>
      <c r="H284" s="31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8">
        <f>IF($B284="","",IF($H284="","Open","Closed"))</f>
        <v/>
      </c>
      <c r="O284" s="29" t="n"/>
    </row>
    <row r="285">
      <c r="A285" s="29" t="n"/>
      <c r="B285" s="29" t="n"/>
      <c r="C285" s="29" t="n"/>
      <c r="D285" s="30" t="n"/>
      <c r="E285" s="31" t="n"/>
      <c r="F285" s="32" t="n"/>
      <c r="G285" s="30" t="n"/>
      <c r="H285" s="31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8">
        <f>IF($B285="","",IF($H285="","Open","Closed"))</f>
        <v/>
      </c>
      <c r="O285" s="29" t="n"/>
    </row>
    <row r="286">
      <c r="A286" s="29" t="n"/>
      <c r="B286" s="29" t="n"/>
      <c r="C286" s="29" t="n"/>
      <c r="D286" s="30" t="n"/>
      <c r="E286" s="31" t="n"/>
      <c r="F286" s="32" t="n"/>
      <c r="G286" s="30" t="n"/>
      <c r="H286" s="31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8">
        <f>IF($B286="","",IF($H286="","Open","Closed"))</f>
        <v/>
      </c>
      <c r="O286" s="29" t="n"/>
    </row>
    <row r="287">
      <c r="A287" s="29" t="n"/>
      <c r="B287" s="29" t="n"/>
      <c r="C287" s="29" t="n"/>
      <c r="D287" s="30" t="n"/>
      <c r="E287" s="31" t="n"/>
      <c r="F287" s="32" t="n"/>
      <c r="G287" s="30" t="n"/>
      <c r="H287" s="31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8">
        <f>IF($B287="","",IF($H287="","Open","Closed"))</f>
        <v/>
      </c>
      <c r="O287" s="29" t="n"/>
    </row>
    <row r="288">
      <c r="A288" s="29" t="n"/>
      <c r="B288" s="29" t="n"/>
      <c r="C288" s="29" t="n"/>
      <c r="D288" s="30" t="n"/>
      <c r="E288" s="31" t="n"/>
      <c r="F288" s="32" t="n"/>
      <c r="G288" s="30" t="n"/>
      <c r="H288" s="31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8">
        <f>IF($B288="","",IF($H288="","Open","Closed"))</f>
        <v/>
      </c>
      <c r="O288" s="29" t="n"/>
    </row>
    <row r="289">
      <c r="A289" s="29" t="n"/>
      <c r="B289" s="29" t="n"/>
      <c r="C289" s="29" t="n"/>
      <c r="D289" s="30" t="n"/>
      <c r="E289" s="31" t="n"/>
      <c r="F289" s="32" t="n"/>
      <c r="G289" s="30" t="n"/>
      <c r="H289" s="31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8">
        <f>IF($B289="","",IF($H289="","Open","Closed"))</f>
        <v/>
      </c>
      <c r="O289" s="29" t="n"/>
    </row>
    <row r="290">
      <c r="A290" s="29" t="n"/>
      <c r="B290" s="29" t="n"/>
      <c r="C290" s="29" t="n"/>
      <c r="D290" s="30" t="n"/>
      <c r="E290" s="31" t="n"/>
      <c r="F290" s="32" t="n"/>
      <c r="G290" s="30" t="n"/>
      <c r="H290" s="31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8">
        <f>IF($B290="","",IF($H290="","Open","Closed"))</f>
        <v/>
      </c>
      <c r="O290" s="29" t="n"/>
    </row>
    <row r="291">
      <c r="A291" s="29" t="n"/>
      <c r="B291" s="29" t="n"/>
      <c r="C291" s="29" t="n"/>
      <c r="D291" s="30" t="n"/>
      <c r="E291" s="31" t="n"/>
      <c r="F291" s="32" t="n"/>
      <c r="G291" s="30" t="n"/>
      <c r="H291" s="31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8">
        <f>IF($B291="","",IF($H291="","Open","Closed"))</f>
        <v/>
      </c>
      <c r="O291" s="29" t="n"/>
    </row>
    <row r="292">
      <c r="A292" s="29" t="n"/>
      <c r="B292" s="29" t="n"/>
      <c r="C292" s="29" t="n"/>
      <c r="D292" s="30" t="n"/>
      <c r="E292" s="31" t="n"/>
      <c r="F292" s="32" t="n"/>
      <c r="G292" s="30" t="n"/>
      <c r="H292" s="31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8">
        <f>IF($B292="","",IF($H292="","Open","Closed"))</f>
        <v/>
      </c>
      <c r="O292" s="29" t="n"/>
    </row>
    <row r="293">
      <c r="A293" s="29" t="n"/>
      <c r="B293" s="29" t="n"/>
      <c r="C293" s="29" t="n"/>
      <c r="D293" s="30" t="n"/>
      <c r="E293" s="31" t="n"/>
      <c r="F293" s="32" t="n"/>
      <c r="G293" s="30" t="n"/>
      <c r="H293" s="31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8">
        <f>IF($B293="","",IF($H293="","Open","Closed"))</f>
        <v/>
      </c>
      <c r="O293" s="29" t="n"/>
    </row>
    <row r="294">
      <c r="A294" s="29" t="n"/>
      <c r="B294" s="29" t="n"/>
      <c r="C294" s="29" t="n"/>
      <c r="D294" s="30" t="n"/>
      <c r="E294" s="31" t="n"/>
      <c r="F294" s="32" t="n"/>
      <c r="G294" s="30" t="n"/>
      <c r="H294" s="31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8">
        <f>IF($B294="","",IF($H294="","Open","Closed"))</f>
        <v/>
      </c>
      <c r="O294" s="29" t="n"/>
    </row>
    <row r="295">
      <c r="A295" s="29" t="n"/>
      <c r="B295" s="29" t="n"/>
      <c r="C295" s="29" t="n"/>
      <c r="D295" s="30" t="n"/>
      <c r="E295" s="31" t="n"/>
      <c r="F295" s="32" t="n"/>
      <c r="G295" s="30" t="n"/>
      <c r="H295" s="31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8">
        <f>IF($B295="","",IF($H295="","Open","Closed"))</f>
        <v/>
      </c>
      <c r="O295" s="29" t="n"/>
    </row>
    <row r="296">
      <c r="A296" s="29" t="n"/>
      <c r="B296" s="29" t="n"/>
      <c r="C296" s="29" t="n"/>
      <c r="D296" s="30" t="n"/>
      <c r="E296" s="31" t="n"/>
      <c r="F296" s="32" t="n"/>
      <c r="G296" s="30" t="n"/>
      <c r="H296" s="31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8">
        <f>IF($B296="","",IF($H296="","Open","Closed"))</f>
        <v/>
      </c>
      <c r="O296" s="29" t="n"/>
    </row>
    <row r="297">
      <c r="A297" s="29" t="n"/>
      <c r="B297" s="29" t="n"/>
      <c r="C297" s="29" t="n"/>
      <c r="D297" s="30" t="n"/>
      <c r="E297" s="31" t="n"/>
      <c r="F297" s="32" t="n"/>
      <c r="G297" s="30" t="n"/>
      <c r="H297" s="31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8">
        <f>IF($B297="","",IF($H297="","Open","Closed"))</f>
        <v/>
      </c>
      <c r="O297" s="29" t="n"/>
    </row>
    <row r="298">
      <c r="A298" s="29" t="n"/>
      <c r="B298" s="29" t="n"/>
      <c r="C298" s="29" t="n"/>
      <c r="D298" s="30" t="n"/>
      <c r="E298" s="31" t="n"/>
      <c r="F298" s="32" t="n"/>
      <c r="G298" s="30" t="n"/>
      <c r="H298" s="31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8">
        <f>IF($B298="","",IF($H298="","Open","Closed"))</f>
        <v/>
      </c>
      <c r="O298" s="29" t="n"/>
    </row>
    <row r="299">
      <c r="A299" s="29" t="n"/>
      <c r="B299" s="29" t="n"/>
      <c r="C299" s="29" t="n"/>
      <c r="D299" s="30" t="n"/>
      <c r="E299" s="31" t="n"/>
      <c r="F299" s="32" t="n"/>
      <c r="G299" s="30" t="n"/>
      <c r="H299" s="31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8">
        <f>IF($B299="","",IF($H299="","Open","Closed"))</f>
        <v/>
      </c>
      <c r="O299" s="29" t="n"/>
    </row>
    <row r="300">
      <c r="A300" s="29" t="n"/>
      <c r="B300" s="29" t="n"/>
      <c r="C300" s="29" t="n"/>
      <c r="D300" s="30" t="n"/>
      <c r="E300" s="31" t="n"/>
      <c r="F300" s="32" t="n"/>
      <c r="G300" s="30" t="n"/>
      <c r="H300" s="31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8">
        <f>IF($B300="","",IF($H300="","Open","Closed"))</f>
        <v/>
      </c>
      <c r="O300" s="29" t="n"/>
    </row>
    <row r="301">
      <c r="A301" s="29" t="n"/>
      <c r="B301" s="29" t="n"/>
      <c r="C301" s="29" t="n"/>
      <c r="D301" s="30" t="n"/>
      <c r="E301" s="31" t="n"/>
      <c r="F301" s="32" t="n"/>
      <c r="G301" s="30" t="n"/>
      <c r="H301" s="31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8">
        <f>IF($B301="","",IF($H301="","Open","Closed"))</f>
        <v/>
      </c>
      <c r="O301" s="29" t="n"/>
    </row>
    <row r="302">
      <c r="A302" s="29" t="n"/>
      <c r="B302" s="29" t="n"/>
      <c r="C302" s="29" t="n"/>
      <c r="D302" s="30" t="n"/>
      <c r="E302" s="31" t="n"/>
      <c r="F302" s="32" t="n"/>
      <c r="G302" s="30" t="n"/>
      <c r="H302" s="31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8">
        <f>IF($B302="","",IF($H302="","Open","Closed"))</f>
        <v/>
      </c>
      <c r="O302" s="29" t="n"/>
    </row>
    <row r="303">
      <c r="A303" s="29" t="n"/>
      <c r="B303" s="29" t="n"/>
      <c r="C303" s="29" t="n"/>
      <c r="D303" s="30" t="n"/>
      <c r="E303" s="31" t="n"/>
      <c r="F303" s="32" t="n"/>
      <c r="G303" s="30" t="n"/>
      <c r="H303" s="31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8">
        <f>IF($B303="","",IF($H303="","Open","Closed"))</f>
        <v/>
      </c>
      <c r="O303" s="29" t="n"/>
    </row>
    <row r="304">
      <c r="A304" s="29" t="n"/>
      <c r="B304" s="29" t="n"/>
      <c r="C304" s="29" t="n"/>
      <c r="D304" s="30" t="n"/>
      <c r="E304" s="31" t="n"/>
      <c r="F304" s="32" t="n"/>
      <c r="G304" s="30" t="n"/>
      <c r="H304" s="31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8">
        <f>IF($B304="","",IF($H304="","Open","Closed"))</f>
        <v/>
      </c>
      <c r="O304" s="29" t="n"/>
    </row>
    <row r="305">
      <c r="A305" s="29" t="n"/>
      <c r="B305" s="29" t="n"/>
      <c r="C305" s="29" t="n"/>
      <c r="D305" s="30" t="n"/>
      <c r="E305" s="31" t="n"/>
      <c r="F305" s="32" t="n"/>
      <c r="G305" s="30" t="n"/>
      <c r="H305" s="31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8">
        <f>IF($B305="","",IF($H305="","Open","Closed"))</f>
        <v/>
      </c>
      <c r="O305" s="29" t="n"/>
    </row>
    <row r="306">
      <c r="A306" s="29" t="n"/>
      <c r="B306" s="29" t="n"/>
      <c r="C306" s="29" t="n"/>
      <c r="D306" s="30" t="n"/>
      <c r="E306" s="31" t="n"/>
      <c r="F306" s="32" t="n"/>
      <c r="G306" s="30" t="n"/>
      <c r="H306" s="31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8">
        <f>IF($B306="","",IF($H306="","Open","Closed"))</f>
        <v/>
      </c>
      <c r="O306" s="29" t="n"/>
    </row>
    <row r="307">
      <c r="A307" s="29" t="n"/>
      <c r="B307" s="29" t="n"/>
      <c r="C307" s="29" t="n"/>
      <c r="D307" s="30" t="n"/>
      <c r="E307" s="31" t="n"/>
      <c r="F307" s="32" t="n"/>
      <c r="G307" s="30" t="n"/>
      <c r="H307" s="31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8">
        <f>IF($B307="","",IF($H307="","Open","Closed"))</f>
        <v/>
      </c>
      <c r="O307" s="29" t="n"/>
    </row>
    <row r="308">
      <c r="A308" s="29" t="n"/>
      <c r="B308" s="29" t="n"/>
      <c r="C308" s="29" t="n"/>
      <c r="D308" s="30" t="n"/>
      <c r="E308" s="31" t="n"/>
      <c r="F308" s="32" t="n"/>
      <c r="G308" s="30" t="n"/>
      <c r="H308" s="31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8">
        <f>IF($B308="","",IF($H308="","Open","Closed"))</f>
        <v/>
      </c>
      <c r="O308" s="29" t="n"/>
    </row>
    <row r="309">
      <c r="A309" s="29" t="n"/>
      <c r="B309" s="29" t="n"/>
      <c r="C309" s="29" t="n"/>
      <c r="D309" s="30" t="n"/>
      <c r="E309" s="31" t="n"/>
      <c r="F309" s="32" t="n"/>
      <c r="G309" s="30" t="n"/>
      <c r="H309" s="31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8">
        <f>IF($B309="","",IF($H309="","Open","Closed"))</f>
        <v/>
      </c>
      <c r="O309" s="29" t="n"/>
    </row>
    <row r="310">
      <c r="A310" s="29" t="n"/>
      <c r="B310" s="29" t="n"/>
      <c r="C310" s="29" t="n"/>
      <c r="D310" s="30" t="n"/>
      <c r="E310" s="31" t="n"/>
      <c r="F310" s="32" t="n"/>
      <c r="G310" s="30" t="n"/>
      <c r="H310" s="31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8">
        <f>IF($B310="","",IF($H310="","Open","Closed"))</f>
        <v/>
      </c>
      <c r="O310" s="29" t="n"/>
    </row>
    <row r="311">
      <c r="A311" s="29" t="n"/>
      <c r="B311" s="29" t="n"/>
      <c r="C311" s="29" t="n"/>
      <c r="D311" s="30" t="n"/>
      <c r="E311" s="31" t="n"/>
      <c r="F311" s="32" t="n"/>
      <c r="G311" s="30" t="n"/>
      <c r="H311" s="31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8">
        <f>IF($B311="","",IF($H311="","Open","Closed"))</f>
        <v/>
      </c>
      <c r="O311" s="29" t="n"/>
    </row>
    <row r="312">
      <c r="A312" s="29" t="n"/>
      <c r="B312" s="29" t="n"/>
      <c r="C312" s="29" t="n"/>
      <c r="D312" s="30" t="n"/>
      <c r="E312" s="31" t="n"/>
      <c r="F312" s="32" t="n"/>
      <c r="G312" s="30" t="n"/>
      <c r="H312" s="31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8">
        <f>IF($B312="","",IF($H312="","Open","Closed"))</f>
        <v/>
      </c>
      <c r="O312" s="29" t="n"/>
    </row>
    <row r="313">
      <c r="A313" s="29" t="n"/>
      <c r="B313" s="29" t="n"/>
      <c r="C313" s="29" t="n"/>
      <c r="D313" s="30" t="n"/>
      <c r="E313" s="31" t="n"/>
      <c r="F313" s="32" t="n"/>
      <c r="G313" s="30" t="n"/>
      <c r="H313" s="31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8">
        <f>IF($B313="","",IF($H313="","Open","Closed"))</f>
        <v/>
      </c>
      <c r="O313" s="29" t="n"/>
    </row>
    <row r="314">
      <c r="A314" s="29" t="n"/>
      <c r="B314" s="29" t="n"/>
      <c r="C314" s="29" t="n"/>
      <c r="D314" s="30" t="n"/>
      <c r="E314" s="31" t="n"/>
      <c r="F314" s="32" t="n"/>
      <c r="G314" s="30" t="n"/>
      <c r="H314" s="31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8">
        <f>IF($B314="","",IF($H314="","Open","Closed"))</f>
        <v/>
      </c>
      <c r="O314" s="29" t="n"/>
    </row>
    <row r="315">
      <c r="A315" s="29" t="n"/>
      <c r="B315" s="29" t="n"/>
      <c r="C315" s="29" t="n"/>
      <c r="D315" s="30" t="n"/>
      <c r="E315" s="31" t="n"/>
      <c r="F315" s="32" t="n"/>
      <c r="G315" s="30" t="n"/>
      <c r="H315" s="31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8">
        <f>IF($B315="","",IF($H315="","Open","Closed"))</f>
        <v/>
      </c>
      <c r="O315" s="29" t="n"/>
    </row>
    <row r="316">
      <c r="A316" s="29" t="n"/>
      <c r="B316" s="29" t="n"/>
      <c r="C316" s="29" t="n"/>
      <c r="D316" s="30" t="n"/>
      <c r="E316" s="31" t="n"/>
      <c r="F316" s="32" t="n"/>
      <c r="G316" s="30" t="n"/>
      <c r="H316" s="31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8">
        <f>IF($B316="","",IF($H316="","Open","Closed"))</f>
        <v/>
      </c>
      <c r="O316" s="29" t="n"/>
    </row>
    <row r="317">
      <c r="A317" s="29" t="n"/>
      <c r="B317" s="29" t="n"/>
      <c r="C317" s="29" t="n"/>
      <c r="D317" s="30" t="n"/>
      <c r="E317" s="31" t="n"/>
      <c r="F317" s="32" t="n"/>
      <c r="G317" s="30" t="n"/>
      <c r="H317" s="31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8">
        <f>IF($B317="","",IF($H317="","Open","Closed"))</f>
        <v/>
      </c>
      <c r="O317" s="29" t="n"/>
    </row>
    <row r="318">
      <c r="A318" s="29" t="n"/>
      <c r="B318" s="29" t="n"/>
      <c r="C318" s="29" t="n"/>
      <c r="D318" s="30" t="n"/>
      <c r="E318" s="31" t="n"/>
      <c r="F318" s="32" t="n"/>
      <c r="G318" s="30" t="n"/>
      <c r="H318" s="31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8">
        <f>IF($B318="","",IF($H318="","Open","Closed"))</f>
        <v/>
      </c>
      <c r="O318" s="29" t="n"/>
    </row>
    <row r="319">
      <c r="A319" s="29" t="n"/>
      <c r="B319" s="29" t="n"/>
      <c r="C319" s="29" t="n"/>
      <c r="D319" s="30" t="n"/>
      <c r="E319" s="31" t="n"/>
      <c r="F319" s="32" t="n"/>
      <c r="G319" s="30" t="n"/>
      <c r="H319" s="31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8">
        <f>IF($B319="","",IF($H319="","Open","Closed"))</f>
        <v/>
      </c>
      <c r="O319" s="29" t="n"/>
    </row>
    <row r="320">
      <c r="A320" s="29" t="n"/>
      <c r="B320" s="29" t="n"/>
      <c r="C320" s="29" t="n"/>
      <c r="D320" s="30" t="n"/>
      <c r="E320" s="31" t="n"/>
      <c r="F320" s="32" t="n"/>
      <c r="G320" s="30" t="n"/>
      <c r="H320" s="31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8">
        <f>IF($B320="","",IF($H320="","Open","Closed"))</f>
        <v/>
      </c>
      <c r="O320" s="29" t="n"/>
    </row>
    <row r="321">
      <c r="A321" s="29" t="n"/>
      <c r="B321" s="29" t="n"/>
      <c r="C321" s="29" t="n"/>
      <c r="D321" s="30" t="n"/>
      <c r="E321" s="31" t="n"/>
      <c r="F321" s="32" t="n"/>
      <c r="G321" s="30" t="n"/>
      <c r="H321" s="31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8">
        <f>IF($B321="","",IF($H321="","Open","Closed"))</f>
        <v/>
      </c>
      <c r="O321" s="29" t="n"/>
    </row>
    <row r="322">
      <c r="A322" s="29" t="n"/>
      <c r="B322" s="29" t="n"/>
      <c r="C322" s="29" t="n"/>
      <c r="D322" s="30" t="n"/>
      <c r="E322" s="31" t="n"/>
      <c r="F322" s="32" t="n"/>
      <c r="G322" s="30" t="n"/>
      <c r="H322" s="31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8">
        <f>IF($B322="","",IF($H322="","Open","Closed"))</f>
        <v/>
      </c>
      <c r="O322" s="29" t="n"/>
    </row>
    <row r="323">
      <c r="A323" s="29" t="n"/>
      <c r="B323" s="29" t="n"/>
      <c r="C323" s="29" t="n"/>
      <c r="D323" s="30" t="n"/>
      <c r="E323" s="31" t="n"/>
      <c r="F323" s="32" t="n"/>
      <c r="G323" s="30" t="n"/>
      <c r="H323" s="31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8">
        <f>IF($B323="","",IF($H323="","Open","Closed"))</f>
        <v/>
      </c>
      <c r="O323" s="29" t="n"/>
    </row>
    <row r="324">
      <c r="A324" s="29" t="n"/>
      <c r="B324" s="29" t="n"/>
      <c r="C324" s="29" t="n"/>
      <c r="D324" s="30" t="n"/>
      <c r="E324" s="31" t="n"/>
      <c r="F324" s="32" t="n"/>
      <c r="G324" s="30" t="n"/>
      <c r="H324" s="31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8">
        <f>IF($B324="","",IF($H324="","Open","Closed"))</f>
        <v/>
      </c>
      <c r="O324" s="29" t="n"/>
    </row>
    <row r="325">
      <c r="A325" s="29" t="n"/>
      <c r="B325" s="29" t="n"/>
      <c r="C325" s="29" t="n"/>
      <c r="D325" s="30" t="n"/>
      <c r="E325" s="31" t="n"/>
      <c r="F325" s="32" t="n"/>
      <c r="G325" s="30" t="n"/>
      <c r="H325" s="31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8">
        <f>IF($B325="","",IF($H325="","Open","Closed"))</f>
        <v/>
      </c>
      <c r="O325" s="29" t="n"/>
    </row>
    <row r="326">
      <c r="A326" s="29" t="n"/>
      <c r="B326" s="29" t="n"/>
      <c r="C326" s="29" t="n"/>
      <c r="D326" s="30" t="n"/>
      <c r="E326" s="31" t="n"/>
      <c r="F326" s="32" t="n"/>
      <c r="G326" s="30" t="n"/>
      <c r="H326" s="31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8">
        <f>IF($B326="","",IF($H326="","Open","Closed"))</f>
        <v/>
      </c>
      <c r="O326" s="29" t="n"/>
    </row>
    <row r="327">
      <c r="A327" s="29" t="n"/>
      <c r="B327" s="29" t="n"/>
      <c r="C327" s="29" t="n"/>
      <c r="D327" s="30" t="n"/>
      <c r="E327" s="31" t="n"/>
      <c r="F327" s="32" t="n"/>
      <c r="G327" s="30" t="n"/>
      <c r="H327" s="31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8">
        <f>IF($B327="","",IF($H327="","Open","Closed"))</f>
        <v/>
      </c>
      <c r="O327" s="29" t="n"/>
    </row>
    <row r="328">
      <c r="A328" s="29" t="n"/>
      <c r="B328" s="29" t="n"/>
      <c r="C328" s="29" t="n"/>
      <c r="D328" s="30" t="n"/>
      <c r="E328" s="31" t="n"/>
      <c r="F328" s="32" t="n"/>
      <c r="G328" s="30" t="n"/>
      <c r="H328" s="31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8">
        <f>IF($B328="","",IF($H328="","Open","Closed"))</f>
        <v/>
      </c>
      <c r="O328" s="29" t="n"/>
    </row>
    <row r="329">
      <c r="A329" s="29" t="n"/>
      <c r="B329" s="29" t="n"/>
      <c r="C329" s="29" t="n"/>
      <c r="D329" s="30" t="n"/>
      <c r="E329" s="31" t="n"/>
      <c r="F329" s="32" t="n"/>
      <c r="G329" s="30" t="n"/>
      <c r="H329" s="31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8">
        <f>IF($B329="","",IF($H329="","Open","Closed"))</f>
        <v/>
      </c>
      <c r="O329" s="29" t="n"/>
    </row>
    <row r="330">
      <c r="A330" s="29" t="n"/>
      <c r="B330" s="29" t="n"/>
      <c r="C330" s="29" t="n"/>
      <c r="D330" s="30" t="n"/>
      <c r="E330" s="31" t="n"/>
      <c r="F330" s="32" t="n"/>
      <c r="G330" s="30" t="n"/>
      <c r="H330" s="31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8">
        <f>IF($B330="","",IF($H330="","Open","Closed"))</f>
        <v/>
      </c>
      <c r="O330" s="29" t="n"/>
    </row>
    <row r="331">
      <c r="A331" s="29" t="n"/>
      <c r="B331" s="29" t="n"/>
      <c r="C331" s="29" t="n"/>
      <c r="D331" s="30" t="n"/>
      <c r="E331" s="31" t="n"/>
      <c r="F331" s="32" t="n"/>
      <c r="G331" s="30" t="n"/>
      <c r="H331" s="31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8">
        <f>IF($B331="","",IF($H331="","Open","Closed"))</f>
        <v/>
      </c>
      <c r="O331" s="29" t="n"/>
    </row>
    <row r="332">
      <c r="A332" s="29" t="n"/>
      <c r="B332" s="29" t="n"/>
      <c r="C332" s="29" t="n"/>
      <c r="D332" s="30" t="n"/>
      <c r="E332" s="31" t="n"/>
      <c r="F332" s="32" t="n"/>
      <c r="G332" s="30" t="n"/>
      <c r="H332" s="31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8">
        <f>IF($B332="","",IF($H332="","Open","Closed"))</f>
        <v/>
      </c>
      <c r="O332" s="29" t="n"/>
    </row>
    <row r="333">
      <c r="A333" s="29" t="n"/>
      <c r="B333" s="29" t="n"/>
      <c r="C333" s="29" t="n"/>
      <c r="D333" s="30" t="n"/>
      <c r="E333" s="31" t="n"/>
      <c r="F333" s="32" t="n"/>
      <c r="G333" s="30" t="n"/>
      <c r="H333" s="31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8">
        <f>IF($B333="","",IF($H333="","Open","Closed"))</f>
        <v/>
      </c>
      <c r="O333" s="29" t="n"/>
    </row>
    <row r="334">
      <c r="A334" s="29" t="n"/>
      <c r="B334" s="29" t="n"/>
      <c r="C334" s="29" t="n"/>
      <c r="D334" s="30" t="n"/>
      <c r="E334" s="31" t="n"/>
      <c r="F334" s="32" t="n"/>
      <c r="G334" s="30" t="n"/>
      <c r="H334" s="31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8">
        <f>IF($B334="","",IF($H334="","Open","Closed"))</f>
        <v/>
      </c>
      <c r="O334" s="29" t="n"/>
    </row>
    <row r="335">
      <c r="A335" s="29" t="n"/>
      <c r="B335" s="29" t="n"/>
      <c r="C335" s="29" t="n"/>
      <c r="D335" s="30" t="n"/>
      <c r="E335" s="31" t="n"/>
      <c r="F335" s="32" t="n"/>
      <c r="G335" s="30" t="n"/>
      <c r="H335" s="31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8">
        <f>IF($B335="","",IF($H335="","Open","Closed"))</f>
        <v/>
      </c>
      <c r="O335" s="29" t="n"/>
    </row>
    <row r="336">
      <c r="A336" s="29" t="n"/>
      <c r="B336" s="29" t="n"/>
      <c r="C336" s="29" t="n"/>
      <c r="D336" s="30" t="n"/>
      <c r="E336" s="31" t="n"/>
      <c r="F336" s="32" t="n"/>
      <c r="G336" s="30" t="n"/>
      <c r="H336" s="31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8">
        <f>IF($B336="","",IF($H336="","Open","Closed"))</f>
        <v/>
      </c>
      <c r="O336" s="29" t="n"/>
    </row>
    <row r="337">
      <c r="A337" s="29" t="n"/>
      <c r="B337" s="29" t="n"/>
      <c r="C337" s="29" t="n"/>
      <c r="D337" s="30" t="n"/>
      <c r="E337" s="31" t="n"/>
      <c r="F337" s="32" t="n"/>
      <c r="G337" s="30" t="n"/>
      <c r="H337" s="31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8">
        <f>IF($B337="","",IF($H337="","Open","Closed"))</f>
        <v/>
      </c>
      <c r="O337" s="29" t="n"/>
    </row>
    <row r="338">
      <c r="A338" s="29" t="n"/>
      <c r="B338" s="29" t="n"/>
      <c r="C338" s="29" t="n"/>
      <c r="D338" s="30" t="n"/>
      <c r="E338" s="31" t="n"/>
      <c r="F338" s="32" t="n"/>
      <c r="G338" s="30" t="n"/>
      <c r="H338" s="31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8">
        <f>IF($B338="","",IF($H338="","Open","Closed"))</f>
        <v/>
      </c>
      <c r="O338" s="29" t="n"/>
    </row>
    <row r="339">
      <c r="A339" s="29" t="n"/>
      <c r="B339" s="29" t="n"/>
      <c r="C339" s="29" t="n"/>
      <c r="D339" s="30" t="n"/>
      <c r="E339" s="31" t="n"/>
      <c r="F339" s="32" t="n"/>
      <c r="G339" s="30" t="n"/>
      <c r="H339" s="31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8">
        <f>IF($B339="","",IF($H339="","Open","Closed"))</f>
        <v/>
      </c>
      <c r="O339" s="29" t="n"/>
    </row>
    <row r="340">
      <c r="A340" s="29" t="n"/>
      <c r="B340" s="29" t="n"/>
      <c r="C340" s="29" t="n"/>
      <c r="D340" s="30" t="n"/>
      <c r="E340" s="31" t="n"/>
      <c r="F340" s="32" t="n"/>
      <c r="G340" s="30" t="n"/>
      <c r="H340" s="31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8">
        <f>IF($B340="","",IF($H340="","Open","Closed"))</f>
        <v/>
      </c>
      <c r="O340" s="29" t="n"/>
    </row>
    <row r="341">
      <c r="A341" s="29" t="n"/>
      <c r="B341" s="29" t="n"/>
      <c r="C341" s="29" t="n"/>
      <c r="D341" s="30" t="n"/>
      <c r="E341" s="31" t="n"/>
      <c r="F341" s="32" t="n"/>
      <c r="G341" s="30" t="n"/>
      <c r="H341" s="31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8">
        <f>IF($B341="","",IF($H341="","Open","Closed"))</f>
        <v/>
      </c>
      <c r="O341" s="29" t="n"/>
    </row>
    <row r="342">
      <c r="A342" s="29" t="n"/>
      <c r="B342" s="29" t="n"/>
      <c r="C342" s="29" t="n"/>
      <c r="D342" s="30" t="n"/>
      <c r="E342" s="31" t="n"/>
      <c r="F342" s="32" t="n"/>
      <c r="G342" s="30" t="n"/>
      <c r="H342" s="31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8">
        <f>IF($B342="","",IF($H342="","Open","Closed"))</f>
        <v/>
      </c>
      <c r="O342" s="29" t="n"/>
    </row>
    <row r="343">
      <c r="A343" s="29" t="n"/>
      <c r="B343" s="29" t="n"/>
      <c r="C343" s="29" t="n"/>
      <c r="D343" s="30" t="n"/>
      <c r="E343" s="31" t="n"/>
      <c r="F343" s="32" t="n"/>
      <c r="G343" s="30" t="n"/>
      <c r="H343" s="31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8">
        <f>IF($B343="","",IF($H343="","Open","Closed"))</f>
        <v/>
      </c>
      <c r="O343" s="29" t="n"/>
    </row>
    <row r="344">
      <c r="A344" s="29" t="n"/>
      <c r="B344" s="29" t="n"/>
      <c r="C344" s="29" t="n"/>
      <c r="D344" s="30" t="n"/>
      <c r="E344" s="31" t="n"/>
      <c r="F344" s="32" t="n"/>
      <c r="G344" s="30" t="n"/>
      <c r="H344" s="31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8">
        <f>IF($B344="","",IF($H344="","Open","Closed"))</f>
        <v/>
      </c>
      <c r="O344" s="29" t="n"/>
    </row>
    <row r="345">
      <c r="A345" s="29" t="n"/>
      <c r="B345" s="29" t="n"/>
      <c r="C345" s="29" t="n"/>
      <c r="D345" s="30" t="n"/>
      <c r="E345" s="31" t="n"/>
      <c r="F345" s="32" t="n"/>
      <c r="G345" s="30" t="n"/>
      <c r="H345" s="31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8">
        <f>IF($B345="","",IF($H345="","Open","Closed"))</f>
        <v/>
      </c>
      <c r="O345" s="29" t="n"/>
    </row>
    <row r="346">
      <c r="A346" s="29" t="n"/>
      <c r="B346" s="29" t="n"/>
      <c r="C346" s="29" t="n"/>
      <c r="D346" s="30" t="n"/>
      <c r="E346" s="31" t="n"/>
      <c r="F346" s="32" t="n"/>
      <c r="G346" s="30" t="n"/>
      <c r="H346" s="31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8">
        <f>IF($B346="","",IF($H346="","Open","Closed"))</f>
        <v/>
      </c>
      <c r="O346" s="29" t="n"/>
    </row>
    <row r="347">
      <c r="A347" s="29" t="n"/>
      <c r="B347" s="29" t="n"/>
      <c r="C347" s="29" t="n"/>
      <c r="D347" s="30" t="n"/>
      <c r="E347" s="31" t="n"/>
      <c r="F347" s="32" t="n"/>
      <c r="G347" s="30" t="n"/>
      <c r="H347" s="31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8">
        <f>IF($B347="","",IF($H347="","Open","Closed"))</f>
        <v/>
      </c>
      <c r="O347" s="29" t="n"/>
    </row>
    <row r="348">
      <c r="A348" s="29" t="n"/>
      <c r="B348" s="29" t="n"/>
      <c r="C348" s="29" t="n"/>
      <c r="D348" s="30" t="n"/>
      <c r="E348" s="31" t="n"/>
      <c r="F348" s="32" t="n"/>
      <c r="G348" s="30" t="n"/>
      <c r="H348" s="31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8">
        <f>IF($B348="","",IF($H348="","Open","Closed"))</f>
        <v/>
      </c>
      <c r="O348" s="29" t="n"/>
    </row>
    <row r="349">
      <c r="A349" s="29" t="n"/>
      <c r="B349" s="29" t="n"/>
      <c r="C349" s="29" t="n"/>
      <c r="D349" s="30" t="n"/>
      <c r="E349" s="31" t="n"/>
      <c r="F349" s="32" t="n"/>
      <c r="G349" s="30" t="n"/>
      <c r="H349" s="31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8">
        <f>IF($B349="","",IF($H349="","Open","Closed"))</f>
        <v/>
      </c>
      <c r="O349" s="29" t="n"/>
    </row>
    <row r="350">
      <c r="A350" s="29" t="n"/>
      <c r="B350" s="29" t="n"/>
      <c r="C350" s="29" t="n"/>
      <c r="D350" s="30" t="n"/>
      <c r="E350" s="31" t="n"/>
      <c r="F350" s="32" t="n"/>
      <c r="G350" s="30" t="n"/>
      <c r="H350" s="31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8">
        <f>IF($B350="","",IF($H350="","Open","Closed"))</f>
        <v/>
      </c>
      <c r="O350" s="29" t="n"/>
    </row>
    <row r="351">
      <c r="A351" s="29" t="n"/>
      <c r="B351" s="29" t="n"/>
      <c r="C351" s="29" t="n"/>
      <c r="D351" s="30" t="n"/>
      <c r="E351" s="31" t="n"/>
      <c r="F351" s="32" t="n"/>
      <c r="G351" s="30" t="n"/>
      <c r="H351" s="31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8">
        <f>IF($B351="","",IF($H351="","Open","Closed"))</f>
        <v/>
      </c>
      <c r="O351" s="29" t="n"/>
    </row>
    <row r="352">
      <c r="A352" s="29" t="n"/>
      <c r="B352" s="29" t="n"/>
      <c r="C352" s="29" t="n"/>
      <c r="D352" s="30" t="n"/>
      <c r="E352" s="31" t="n"/>
      <c r="F352" s="32" t="n"/>
      <c r="G352" s="30" t="n"/>
      <c r="H352" s="31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8">
        <f>IF($B352="","",IF($H352="","Open","Closed"))</f>
        <v/>
      </c>
      <c r="O352" s="29" t="n"/>
    </row>
    <row r="353">
      <c r="A353" s="29" t="n"/>
      <c r="B353" s="29" t="n"/>
      <c r="C353" s="29" t="n"/>
      <c r="D353" s="30" t="n"/>
      <c r="E353" s="31" t="n"/>
      <c r="F353" s="32" t="n"/>
      <c r="G353" s="30" t="n"/>
      <c r="H353" s="31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8">
        <f>IF($B353="","",IF($H353="","Open","Closed"))</f>
        <v/>
      </c>
      <c r="O353" s="29" t="n"/>
    </row>
    <row r="354">
      <c r="A354" s="29" t="n"/>
      <c r="B354" s="29" t="n"/>
      <c r="C354" s="29" t="n"/>
      <c r="D354" s="30" t="n"/>
      <c r="E354" s="31" t="n"/>
      <c r="F354" s="32" t="n"/>
      <c r="G354" s="30" t="n"/>
      <c r="H354" s="31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8">
        <f>IF($B354="","",IF($H354="","Open","Closed"))</f>
        <v/>
      </c>
      <c r="O354" s="29" t="n"/>
    </row>
    <row r="355">
      <c r="A355" s="29" t="n"/>
      <c r="B355" s="29" t="n"/>
      <c r="C355" s="29" t="n"/>
      <c r="D355" s="30" t="n"/>
      <c r="E355" s="31" t="n"/>
      <c r="F355" s="32" t="n"/>
      <c r="G355" s="30" t="n"/>
      <c r="H355" s="31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8">
        <f>IF($B355="","",IF($H355="","Open","Closed"))</f>
        <v/>
      </c>
      <c r="O355" s="29" t="n"/>
    </row>
    <row r="356">
      <c r="A356" s="29" t="n"/>
      <c r="B356" s="29" t="n"/>
      <c r="C356" s="29" t="n"/>
      <c r="D356" s="30" t="n"/>
      <c r="E356" s="31" t="n"/>
      <c r="F356" s="32" t="n"/>
      <c r="G356" s="30" t="n"/>
      <c r="H356" s="31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8">
        <f>IF($B356="","",IF($H356="","Open","Closed"))</f>
        <v/>
      </c>
      <c r="O356" s="29" t="n"/>
    </row>
    <row r="357">
      <c r="A357" s="29" t="n"/>
      <c r="B357" s="29" t="n"/>
      <c r="C357" s="29" t="n"/>
      <c r="D357" s="30" t="n"/>
      <c r="E357" s="31" t="n"/>
      <c r="F357" s="32" t="n"/>
      <c r="G357" s="30" t="n"/>
      <c r="H357" s="31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8">
        <f>IF($B357="","",IF($H357="","Open","Closed"))</f>
        <v/>
      </c>
      <c r="O357" s="29" t="n"/>
    </row>
    <row r="358">
      <c r="A358" s="29" t="n"/>
      <c r="B358" s="29" t="n"/>
      <c r="C358" s="29" t="n"/>
      <c r="D358" s="30" t="n"/>
      <c r="E358" s="31" t="n"/>
      <c r="F358" s="32" t="n"/>
      <c r="G358" s="30" t="n"/>
      <c r="H358" s="31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8">
        <f>IF($B358="","",IF($H358="","Open","Closed"))</f>
        <v/>
      </c>
      <c r="O358" s="29" t="n"/>
    </row>
    <row r="359">
      <c r="A359" s="29" t="n"/>
      <c r="B359" s="29" t="n"/>
      <c r="C359" s="29" t="n"/>
      <c r="D359" s="30" t="n"/>
      <c r="E359" s="31" t="n"/>
      <c r="F359" s="32" t="n"/>
      <c r="G359" s="30" t="n"/>
      <c r="H359" s="31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8">
        <f>IF($B359="","",IF($H359="","Open","Closed"))</f>
        <v/>
      </c>
      <c r="O359" s="29" t="n"/>
    </row>
    <row r="360">
      <c r="A360" s="29" t="n"/>
      <c r="B360" s="29" t="n"/>
      <c r="C360" s="29" t="n"/>
      <c r="D360" s="30" t="n"/>
      <c r="E360" s="31" t="n"/>
      <c r="F360" s="32" t="n"/>
      <c r="G360" s="30" t="n"/>
      <c r="H360" s="31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8">
        <f>IF($B360="","",IF($H360="","Open","Closed"))</f>
        <v/>
      </c>
      <c r="O360" s="29" t="n"/>
    </row>
    <row r="361">
      <c r="A361" s="29" t="n"/>
      <c r="B361" s="29" t="n"/>
      <c r="C361" s="29" t="n"/>
      <c r="D361" s="30" t="n"/>
      <c r="E361" s="31" t="n"/>
      <c r="F361" s="32" t="n"/>
      <c r="G361" s="30" t="n"/>
      <c r="H361" s="31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8">
        <f>IF($B361="","",IF($H361="","Open","Closed"))</f>
        <v/>
      </c>
      <c r="O361" s="29" t="n"/>
    </row>
    <row r="362">
      <c r="A362" s="29" t="n"/>
      <c r="B362" s="29" t="n"/>
      <c r="C362" s="29" t="n"/>
      <c r="D362" s="30" t="n"/>
      <c r="E362" s="31" t="n"/>
      <c r="F362" s="32" t="n"/>
      <c r="G362" s="30" t="n"/>
      <c r="H362" s="31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8">
        <f>IF($B362="","",IF($H362="","Open","Closed"))</f>
        <v/>
      </c>
      <c r="O362" s="29" t="n"/>
    </row>
    <row r="363">
      <c r="A363" s="29" t="n"/>
      <c r="B363" s="29" t="n"/>
      <c r="C363" s="29" t="n"/>
      <c r="D363" s="30" t="n"/>
      <c r="E363" s="31" t="n"/>
      <c r="F363" s="32" t="n"/>
      <c r="G363" s="30" t="n"/>
      <c r="H363" s="31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8">
        <f>IF($B363="","",IF($H363="","Open","Closed"))</f>
        <v/>
      </c>
      <c r="O363" s="29" t="n"/>
    </row>
    <row r="364">
      <c r="A364" s="29" t="n"/>
      <c r="B364" s="29" t="n"/>
      <c r="C364" s="29" t="n"/>
      <c r="D364" s="30" t="n"/>
      <c r="E364" s="31" t="n"/>
      <c r="F364" s="32" t="n"/>
      <c r="G364" s="30" t="n"/>
      <c r="H364" s="31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8">
        <f>IF($B364="","",IF($H364="","Open","Closed"))</f>
        <v/>
      </c>
      <c r="O364" s="29" t="n"/>
    </row>
    <row r="365">
      <c r="A365" s="29" t="n"/>
      <c r="B365" s="29" t="n"/>
      <c r="C365" s="29" t="n"/>
      <c r="D365" s="30" t="n"/>
      <c r="E365" s="31" t="n"/>
      <c r="F365" s="32" t="n"/>
      <c r="G365" s="30" t="n"/>
      <c r="H365" s="31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8">
        <f>IF($B365="","",IF($H365="","Open","Closed"))</f>
        <v/>
      </c>
      <c r="O365" s="29" t="n"/>
    </row>
    <row r="366">
      <c r="A366" s="29" t="n"/>
      <c r="B366" s="29" t="n"/>
      <c r="C366" s="29" t="n"/>
      <c r="D366" s="30" t="n"/>
      <c r="E366" s="31" t="n"/>
      <c r="F366" s="32" t="n"/>
      <c r="G366" s="30" t="n"/>
      <c r="H366" s="31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8">
        <f>IF($B366="","",IF($H366="","Open","Closed"))</f>
        <v/>
      </c>
      <c r="O366" s="29" t="n"/>
    </row>
    <row r="367">
      <c r="A367" s="29" t="n"/>
      <c r="B367" s="29" t="n"/>
      <c r="C367" s="29" t="n"/>
      <c r="D367" s="30" t="n"/>
      <c r="E367" s="31" t="n"/>
      <c r="F367" s="32" t="n"/>
      <c r="G367" s="30" t="n"/>
      <c r="H367" s="31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8">
        <f>IF($B367="","",IF($H367="","Open","Closed"))</f>
        <v/>
      </c>
      <c r="O367" s="29" t="n"/>
    </row>
    <row r="368">
      <c r="A368" s="29" t="n"/>
      <c r="B368" s="29" t="n"/>
      <c r="C368" s="29" t="n"/>
      <c r="D368" s="30" t="n"/>
      <c r="E368" s="31" t="n"/>
      <c r="F368" s="32" t="n"/>
      <c r="G368" s="30" t="n"/>
      <c r="H368" s="31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8">
        <f>IF($B368="","",IF($H368="","Open","Closed"))</f>
        <v/>
      </c>
      <c r="O368" s="29" t="n"/>
    </row>
    <row r="369">
      <c r="A369" s="29" t="n"/>
      <c r="B369" s="29" t="n"/>
      <c r="C369" s="29" t="n"/>
      <c r="D369" s="30" t="n"/>
      <c r="E369" s="31" t="n"/>
      <c r="F369" s="32" t="n"/>
      <c r="G369" s="30" t="n"/>
      <c r="H369" s="31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8">
        <f>IF($B369="","",IF($H369="","Open","Closed"))</f>
        <v/>
      </c>
      <c r="O369" s="29" t="n"/>
    </row>
    <row r="370">
      <c r="A370" s="29" t="n"/>
      <c r="B370" s="29" t="n"/>
      <c r="C370" s="29" t="n"/>
      <c r="D370" s="30" t="n"/>
      <c r="E370" s="31" t="n"/>
      <c r="F370" s="32" t="n"/>
      <c r="G370" s="30" t="n"/>
      <c r="H370" s="31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8">
        <f>IF($B370="","",IF($H370="","Open","Closed"))</f>
        <v/>
      </c>
      <c r="O370" s="29" t="n"/>
    </row>
    <row r="371">
      <c r="A371" s="29" t="n"/>
      <c r="B371" s="29" t="n"/>
      <c r="C371" s="29" t="n"/>
      <c r="D371" s="30" t="n"/>
      <c r="E371" s="31" t="n"/>
      <c r="F371" s="32" t="n"/>
      <c r="G371" s="30" t="n"/>
      <c r="H371" s="31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8">
        <f>IF($B371="","",IF($H371="","Open","Closed"))</f>
        <v/>
      </c>
      <c r="O371" s="29" t="n"/>
    </row>
    <row r="372">
      <c r="A372" s="29" t="n"/>
      <c r="B372" s="29" t="n"/>
      <c r="C372" s="29" t="n"/>
      <c r="D372" s="30" t="n"/>
      <c r="E372" s="31" t="n"/>
      <c r="F372" s="32" t="n"/>
      <c r="G372" s="30" t="n"/>
      <c r="H372" s="31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8">
        <f>IF($B372="","",IF($H372="","Open","Closed"))</f>
        <v/>
      </c>
      <c r="O372" s="29" t="n"/>
    </row>
    <row r="373">
      <c r="A373" s="29" t="n"/>
      <c r="B373" s="29" t="n"/>
      <c r="C373" s="29" t="n"/>
      <c r="D373" s="30" t="n"/>
      <c r="E373" s="31" t="n"/>
      <c r="F373" s="32" t="n"/>
      <c r="G373" s="30" t="n"/>
      <c r="H373" s="31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8">
        <f>IF($B373="","",IF($H373="","Open","Closed"))</f>
        <v/>
      </c>
      <c r="O373" s="29" t="n"/>
    </row>
    <row r="374">
      <c r="A374" s="29" t="n"/>
      <c r="B374" s="29" t="n"/>
      <c r="C374" s="29" t="n"/>
      <c r="D374" s="30" t="n"/>
      <c r="E374" s="31" t="n"/>
      <c r="F374" s="32" t="n"/>
      <c r="G374" s="30" t="n"/>
      <c r="H374" s="31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8">
        <f>IF($B374="","",IF($H374="","Open","Closed"))</f>
        <v/>
      </c>
      <c r="O374" s="29" t="n"/>
    </row>
    <row r="375">
      <c r="A375" s="29" t="n"/>
      <c r="B375" s="29" t="n"/>
      <c r="C375" s="29" t="n"/>
      <c r="D375" s="30" t="n"/>
      <c r="E375" s="31" t="n"/>
      <c r="F375" s="32" t="n"/>
      <c r="G375" s="30" t="n"/>
      <c r="H375" s="31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8">
        <f>IF($B375="","",IF($H375="","Open","Closed"))</f>
        <v/>
      </c>
      <c r="O375" s="29" t="n"/>
    </row>
    <row r="376">
      <c r="A376" s="29" t="n"/>
      <c r="B376" s="29" t="n"/>
      <c r="C376" s="29" t="n"/>
      <c r="D376" s="30" t="n"/>
      <c r="E376" s="31" t="n"/>
      <c r="F376" s="32" t="n"/>
      <c r="G376" s="30" t="n"/>
      <c r="H376" s="31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8">
        <f>IF($B376="","",IF($H376="","Open","Closed"))</f>
        <v/>
      </c>
      <c r="O376" s="29" t="n"/>
    </row>
    <row r="377">
      <c r="A377" s="29" t="n"/>
      <c r="B377" s="29" t="n"/>
      <c r="C377" s="29" t="n"/>
      <c r="D377" s="30" t="n"/>
      <c r="E377" s="31" t="n"/>
      <c r="F377" s="32" t="n"/>
      <c r="G377" s="30" t="n"/>
      <c r="H377" s="31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8">
        <f>IF($B377="","",IF($H377="","Open","Closed"))</f>
        <v/>
      </c>
      <c r="O377" s="29" t="n"/>
    </row>
    <row r="378">
      <c r="A378" s="29" t="n"/>
      <c r="B378" s="29" t="n"/>
      <c r="C378" s="29" t="n"/>
      <c r="D378" s="30" t="n"/>
      <c r="E378" s="31" t="n"/>
      <c r="F378" s="32" t="n"/>
      <c r="G378" s="30" t="n"/>
      <c r="H378" s="31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8">
        <f>IF($B378="","",IF($H378="","Open","Closed"))</f>
        <v/>
      </c>
      <c r="O378" s="29" t="n"/>
    </row>
    <row r="379">
      <c r="A379" s="29" t="n"/>
      <c r="B379" s="29" t="n"/>
      <c r="C379" s="29" t="n"/>
      <c r="D379" s="30" t="n"/>
      <c r="E379" s="31" t="n"/>
      <c r="F379" s="32" t="n"/>
      <c r="G379" s="30" t="n"/>
      <c r="H379" s="31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8">
        <f>IF($B379="","",IF($H379="","Open","Closed"))</f>
        <v/>
      </c>
      <c r="O379" s="29" t="n"/>
    </row>
    <row r="380">
      <c r="A380" s="29" t="n"/>
      <c r="B380" s="29" t="n"/>
      <c r="C380" s="29" t="n"/>
      <c r="D380" s="30" t="n"/>
      <c r="E380" s="31" t="n"/>
      <c r="F380" s="32" t="n"/>
      <c r="G380" s="30" t="n"/>
      <c r="H380" s="31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8">
        <f>IF($B380="","",IF($H380="","Open","Closed"))</f>
        <v/>
      </c>
      <c r="O380" s="29" t="n"/>
    </row>
    <row r="381">
      <c r="A381" s="29" t="n"/>
      <c r="B381" s="29" t="n"/>
      <c r="C381" s="29" t="n"/>
      <c r="D381" s="30" t="n"/>
      <c r="E381" s="31" t="n"/>
      <c r="F381" s="32" t="n"/>
      <c r="G381" s="30" t="n"/>
      <c r="H381" s="31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8">
        <f>IF($B381="","",IF($H381="","Open","Closed"))</f>
        <v/>
      </c>
      <c r="O381" s="29" t="n"/>
    </row>
    <row r="382">
      <c r="A382" s="29" t="n"/>
      <c r="B382" s="29" t="n"/>
      <c r="C382" s="29" t="n"/>
      <c r="D382" s="30" t="n"/>
      <c r="E382" s="31" t="n"/>
      <c r="F382" s="32" t="n"/>
      <c r="G382" s="30" t="n"/>
      <c r="H382" s="31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8">
        <f>IF($B382="","",IF($H382="","Open","Closed"))</f>
        <v/>
      </c>
      <c r="O382" s="29" t="n"/>
    </row>
    <row r="383">
      <c r="A383" s="29" t="n"/>
      <c r="B383" s="29" t="n"/>
      <c r="C383" s="29" t="n"/>
      <c r="D383" s="30" t="n"/>
      <c r="E383" s="31" t="n"/>
      <c r="F383" s="32" t="n"/>
      <c r="G383" s="30" t="n"/>
      <c r="H383" s="31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8">
        <f>IF($B383="","",IF($H383="","Open","Closed"))</f>
        <v/>
      </c>
      <c r="O383" s="29" t="n"/>
    </row>
    <row r="384">
      <c r="A384" s="29" t="n"/>
      <c r="B384" s="29" t="n"/>
      <c r="C384" s="29" t="n"/>
      <c r="D384" s="30" t="n"/>
      <c r="E384" s="31" t="n"/>
      <c r="F384" s="32" t="n"/>
      <c r="G384" s="30" t="n"/>
      <c r="H384" s="31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8">
        <f>IF($B384="","",IF($H384="","Open","Closed"))</f>
        <v/>
      </c>
      <c r="O384" s="29" t="n"/>
    </row>
    <row r="385">
      <c r="A385" s="29" t="n"/>
      <c r="B385" s="29" t="n"/>
      <c r="C385" s="29" t="n"/>
      <c r="D385" s="30" t="n"/>
      <c r="E385" s="31" t="n"/>
      <c r="F385" s="32" t="n"/>
      <c r="G385" s="30" t="n"/>
      <c r="H385" s="31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8">
        <f>IF($B385="","",IF($H385="","Open","Closed"))</f>
        <v/>
      </c>
      <c r="O385" s="29" t="n"/>
    </row>
    <row r="386">
      <c r="A386" s="29" t="n"/>
      <c r="B386" s="29" t="n"/>
      <c r="C386" s="29" t="n"/>
      <c r="D386" s="30" t="n"/>
      <c r="E386" s="31" t="n"/>
      <c r="F386" s="32" t="n"/>
      <c r="G386" s="30" t="n"/>
      <c r="H386" s="31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8">
        <f>IF($B386="","",IF($H386="","Open","Closed"))</f>
        <v/>
      </c>
      <c r="O386" s="29" t="n"/>
    </row>
    <row r="387">
      <c r="A387" s="29" t="n"/>
      <c r="B387" s="29" t="n"/>
      <c r="C387" s="29" t="n"/>
      <c r="D387" s="30" t="n"/>
      <c r="E387" s="31" t="n"/>
      <c r="F387" s="32" t="n"/>
      <c r="G387" s="30" t="n"/>
      <c r="H387" s="31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8">
        <f>IF($B387="","",IF($H387="","Open","Closed"))</f>
        <v/>
      </c>
      <c r="O387" s="29" t="n"/>
    </row>
    <row r="388">
      <c r="A388" s="29" t="n"/>
      <c r="B388" s="29" t="n"/>
      <c r="C388" s="29" t="n"/>
      <c r="D388" s="30" t="n"/>
      <c r="E388" s="31" t="n"/>
      <c r="F388" s="32" t="n"/>
      <c r="G388" s="30" t="n"/>
      <c r="H388" s="31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8">
        <f>IF($B388="","",IF($H388="","Open","Closed"))</f>
        <v/>
      </c>
      <c r="O388" s="29" t="n"/>
    </row>
    <row r="389">
      <c r="A389" s="29" t="n"/>
      <c r="B389" s="29" t="n"/>
      <c r="C389" s="29" t="n"/>
      <c r="D389" s="30" t="n"/>
      <c r="E389" s="31" t="n"/>
      <c r="F389" s="32" t="n"/>
      <c r="G389" s="30" t="n"/>
      <c r="H389" s="31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8">
        <f>IF($B389="","",IF($H389="","Open","Closed"))</f>
        <v/>
      </c>
      <c r="O389" s="29" t="n"/>
    </row>
    <row r="390">
      <c r="A390" s="29" t="n"/>
      <c r="B390" s="29" t="n"/>
      <c r="C390" s="29" t="n"/>
      <c r="D390" s="30" t="n"/>
      <c r="E390" s="31" t="n"/>
      <c r="F390" s="32" t="n"/>
      <c r="G390" s="30" t="n"/>
      <c r="H390" s="31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8">
        <f>IF($B390="","",IF($H390="","Open","Closed"))</f>
        <v/>
      </c>
      <c r="O390" s="29" t="n"/>
    </row>
    <row r="391">
      <c r="A391" s="29" t="n"/>
      <c r="B391" s="29" t="n"/>
      <c r="C391" s="29" t="n"/>
      <c r="D391" s="30" t="n"/>
      <c r="E391" s="31" t="n"/>
      <c r="F391" s="32" t="n"/>
      <c r="G391" s="30" t="n"/>
      <c r="H391" s="31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8">
        <f>IF($B391="","",IF($H391="","Open","Closed"))</f>
        <v/>
      </c>
      <c r="O391" s="29" t="n"/>
    </row>
    <row r="392">
      <c r="A392" s="29" t="n"/>
      <c r="B392" s="29" t="n"/>
      <c r="C392" s="29" t="n"/>
      <c r="D392" s="30" t="n"/>
      <c r="E392" s="31" t="n"/>
      <c r="F392" s="32" t="n"/>
      <c r="G392" s="30" t="n"/>
      <c r="H392" s="31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8">
        <f>IF($B392="","",IF($H392="","Open","Closed"))</f>
        <v/>
      </c>
      <c r="O392" s="29" t="n"/>
    </row>
    <row r="393">
      <c r="A393" s="29" t="n"/>
      <c r="B393" s="29" t="n"/>
      <c r="C393" s="29" t="n"/>
      <c r="D393" s="30" t="n"/>
      <c r="E393" s="31" t="n"/>
      <c r="F393" s="32" t="n"/>
      <c r="G393" s="30" t="n"/>
      <c r="H393" s="31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8">
        <f>IF($B393="","",IF($H393="","Open","Closed"))</f>
        <v/>
      </c>
      <c r="O393" s="29" t="n"/>
    </row>
    <row r="394">
      <c r="A394" s="29" t="n"/>
      <c r="B394" s="29" t="n"/>
      <c r="C394" s="29" t="n"/>
      <c r="D394" s="30" t="n"/>
      <c r="E394" s="31" t="n"/>
      <c r="F394" s="32" t="n"/>
      <c r="G394" s="30" t="n"/>
      <c r="H394" s="31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8">
        <f>IF($B394="","",IF($H394="","Open","Closed"))</f>
        <v/>
      </c>
      <c r="O394" s="29" t="n"/>
    </row>
    <row r="395">
      <c r="A395" s="29" t="n"/>
      <c r="B395" s="29" t="n"/>
      <c r="C395" s="29" t="n"/>
      <c r="D395" s="30" t="n"/>
      <c r="E395" s="31" t="n"/>
      <c r="F395" s="32" t="n"/>
      <c r="G395" s="30" t="n"/>
      <c r="H395" s="31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8">
        <f>IF($B395="","",IF($H395="","Open","Closed"))</f>
        <v/>
      </c>
      <c r="O395" s="29" t="n"/>
    </row>
    <row r="396">
      <c r="A396" s="29" t="n"/>
      <c r="B396" s="29" t="n"/>
      <c r="C396" s="29" t="n"/>
      <c r="D396" s="30" t="n"/>
      <c r="E396" s="31" t="n"/>
      <c r="F396" s="32" t="n"/>
      <c r="G396" s="30" t="n"/>
      <c r="H396" s="31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8">
        <f>IF($B396="","",IF($H396="","Open","Closed"))</f>
        <v/>
      </c>
      <c r="O396" s="29" t="n"/>
    </row>
    <row r="397">
      <c r="A397" s="29" t="n"/>
      <c r="B397" s="29" t="n"/>
      <c r="C397" s="29" t="n"/>
      <c r="D397" s="30" t="n"/>
      <c r="E397" s="31" t="n"/>
      <c r="F397" s="32" t="n"/>
      <c r="G397" s="30" t="n"/>
      <c r="H397" s="31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8">
        <f>IF($B397="","",IF($H397="","Open","Closed"))</f>
        <v/>
      </c>
      <c r="O397" s="29" t="n"/>
    </row>
    <row r="398">
      <c r="A398" s="29" t="n"/>
      <c r="B398" s="29" t="n"/>
      <c r="C398" s="29" t="n"/>
      <c r="D398" s="30" t="n"/>
      <c r="E398" s="31" t="n"/>
      <c r="F398" s="32" t="n"/>
      <c r="G398" s="30" t="n"/>
      <c r="H398" s="31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8">
        <f>IF($B398="","",IF($H398="","Open","Closed"))</f>
        <v/>
      </c>
      <c r="O398" s="29" t="n"/>
    </row>
    <row r="399">
      <c r="A399" s="29" t="n"/>
      <c r="B399" s="29" t="n"/>
      <c r="C399" s="29" t="n"/>
      <c r="D399" s="30" t="n"/>
      <c r="E399" s="31" t="n"/>
      <c r="F399" s="32" t="n"/>
      <c r="G399" s="30" t="n"/>
      <c r="H399" s="31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8">
        <f>IF($B399="","",IF($H399="","Open","Closed"))</f>
        <v/>
      </c>
      <c r="O399" s="29" t="n"/>
    </row>
    <row r="400">
      <c r="A400" s="29" t="n"/>
      <c r="B400" s="29" t="n"/>
      <c r="C400" s="29" t="n"/>
      <c r="D400" s="30" t="n"/>
      <c r="E400" s="31" t="n"/>
      <c r="F400" s="32" t="n"/>
      <c r="G400" s="30" t="n"/>
      <c r="H400" s="31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8">
        <f>IF($B400="","",IF($H400="","Open","Closed"))</f>
        <v/>
      </c>
      <c r="O400" s="29" t="n"/>
    </row>
    <row r="401">
      <c r="A401" s="29" t="n"/>
      <c r="B401" s="29" t="n"/>
      <c r="C401" s="29" t="n"/>
      <c r="D401" s="30" t="n"/>
      <c r="E401" s="31" t="n"/>
      <c r="F401" s="32" t="n"/>
      <c r="G401" s="30" t="n"/>
      <c r="H401" s="31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8">
        <f>IF($B401="","",IF($H401="","Open","Closed"))</f>
        <v/>
      </c>
      <c r="O401" s="29" t="n"/>
    </row>
    <row r="402">
      <c r="A402" s="29" t="n"/>
      <c r="B402" s="29" t="n"/>
      <c r="C402" s="29" t="n"/>
      <c r="D402" s="30" t="n"/>
      <c r="E402" s="31" t="n"/>
      <c r="F402" s="32" t="n"/>
      <c r="G402" s="30" t="n"/>
      <c r="H402" s="31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8">
        <f>IF($B402="","",IF($H402="","Open","Closed"))</f>
        <v/>
      </c>
      <c r="O402" s="29" t="n"/>
    </row>
    <row r="403">
      <c r="A403" s="29" t="n"/>
      <c r="B403" s="29" t="n"/>
      <c r="C403" s="29" t="n"/>
      <c r="D403" s="30" t="n"/>
      <c r="E403" s="31" t="n"/>
      <c r="F403" s="32" t="n"/>
      <c r="G403" s="30" t="n"/>
      <c r="H403" s="31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8">
        <f>IF($B403="","",IF($H403="","Open","Closed"))</f>
        <v/>
      </c>
      <c r="O403" s="29" t="n"/>
    </row>
    <row r="404">
      <c r="A404" s="29" t="n"/>
      <c r="B404" s="29" t="n"/>
      <c r="C404" s="29" t="n"/>
      <c r="D404" s="30" t="n"/>
      <c r="E404" s="31" t="n"/>
      <c r="F404" s="32" t="n"/>
      <c r="G404" s="30" t="n"/>
      <c r="H404" s="31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8">
        <f>IF($B404="","",IF($H404="","Open","Closed"))</f>
        <v/>
      </c>
      <c r="O404" s="29" t="n"/>
    </row>
    <row r="405">
      <c r="A405" s="29" t="n"/>
      <c r="B405" s="29" t="n"/>
      <c r="C405" s="29" t="n"/>
      <c r="D405" s="30" t="n"/>
      <c r="E405" s="31" t="n"/>
      <c r="F405" s="32" t="n"/>
      <c r="G405" s="30" t="n"/>
      <c r="H405" s="31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8">
        <f>IF($B405="","",IF($H405="","Open","Closed"))</f>
        <v/>
      </c>
      <c r="O405" s="29" t="n"/>
    </row>
    <row r="406">
      <c r="A406" s="29" t="n"/>
      <c r="B406" s="29" t="n"/>
      <c r="C406" s="29" t="n"/>
      <c r="D406" s="30" t="n"/>
      <c r="E406" s="31" t="n"/>
      <c r="F406" s="32" t="n"/>
      <c r="G406" s="30" t="n"/>
      <c r="H406" s="31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8">
        <f>IF($B406="","",IF($H406="","Open","Closed"))</f>
        <v/>
      </c>
      <c r="O406" s="29" t="n"/>
    </row>
    <row r="407">
      <c r="A407" s="29" t="n"/>
      <c r="B407" s="29" t="n"/>
      <c r="C407" s="29" t="n"/>
      <c r="D407" s="30" t="n"/>
      <c r="E407" s="31" t="n"/>
      <c r="F407" s="32" t="n"/>
      <c r="G407" s="30" t="n"/>
      <c r="H407" s="31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8">
        <f>IF($B407="","",IF($H407="","Open","Closed"))</f>
        <v/>
      </c>
      <c r="O407" s="29" t="n"/>
    </row>
    <row r="408">
      <c r="A408" s="29" t="n"/>
      <c r="B408" s="29" t="n"/>
      <c r="C408" s="29" t="n"/>
      <c r="D408" s="30" t="n"/>
      <c r="E408" s="31" t="n"/>
      <c r="F408" s="32" t="n"/>
      <c r="G408" s="30" t="n"/>
      <c r="H408" s="31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8">
        <f>IF($B408="","",IF($H408="","Open","Closed"))</f>
        <v/>
      </c>
      <c r="O408" s="29" t="n"/>
    </row>
    <row r="409">
      <c r="A409" s="29" t="n"/>
      <c r="B409" s="29" t="n"/>
      <c r="C409" s="29" t="n"/>
      <c r="D409" s="30" t="n"/>
      <c r="E409" s="31" t="n"/>
      <c r="F409" s="32" t="n"/>
      <c r="G409" s="30" t="n"/>
      <c r="H409" s="31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8">
        <f>IF($B409="","",IF($H409="","Open","Closed"))</f>
        <v/>
      </c>
      <c r="O409" s="29" t="n"/>
    </row>
    <row r="410">
      <c r="A410" s="29" t="n"/>
      <c r="B410" s="29" t="n"/>
      <c r="C410" s="29" t="n"/>
      <c r="D410" s="30" t="n"/>
      <c r="E410" s="31" t="n"/>
      <c r="F410" s="32" t="n"/>
      <c r="G410" s="30" t="n"/>
      <c r="H410" s="31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8">
        <f>IF($B410="","",IF($H410="","Open","Closed"))</f>
        <v/>
      </c>
      <c r="O410" s="29" t="n"/>
    </row>
    <row r="411">
      <c r="A411" s="29" t="n"/>
      <c r="B411" s="29" t="n"/>
      <c r="C411" s="29" t="n"/>
      <c r="D411" s="30" t="n"/>
      <c r="E411" s="31" t="n"/>
      <c r="F411" s="32" t="n"/>
      <c r="G411" s="30" t="n"/>
      <c r="H411" s="31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8">
        <f>IF($B411="","",IF($H411="","Open","Closed"))</f>
        <v/>
      </c>
      <c r="O411" s="29" t="n"/>
    </row>
    <row r="412">
      <c r="A412" s="29" t="n"/>
      <c r="B412" s="29" t="n"/>
      <c r="C412" s="29" t="n"/>
      <c r="D412" s="30" t="n"/>
      <c r="E412" s="31" t="n"/>
      <c r="F412" s="32" t="n"/>
      <c r="G412" s="30" t="n"/>
      <c r="H412" s="31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8">
        <f>IF($B412="","",IF($H412="","Open","Closed"))</f>
        <v/>
      </c>
      <c r="O412" s="29" t="n"/>
    </row>
    <row r="413">
      <c r="A413" s="29" t="n"/>
      <c r="B413" s="29" t="n"/>
      <c r="C413" s="29" t="n"/>
      <c r="D413" s="30" t="n"/>
      <c r="E413" s="31" t="n"/>
      <c r="F413" s="32" t="n"/>
      <c r="G413" s="30" t="n"/>
      <c r="H413" s="31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8">
        <f>IF($B413="","",IF($H413="","Open","Closed"))</f>
        <v/>
      </c>
      <c r="O413" s="29" t="n"/>
    </row>
    <row r="414">
      <c r="A414" s="29" t="n"/>
      <c r="B414" s="29" t="n"/>
      <c r="C414" s="29" t="n"/>
      <c r="D414" s="30" t="n"/>
      <c r="E414" s="31" t="n"/>
      <c r="F414" s="32" t="n"/>
      <c r="G414" s="30" t="n"/>
      <c r="H414" s="31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8">
        <f>IF($B414="","",IF($H414="","Open","Closed"))</f>
        <v/>
      </c>
      <c r="O414" s="29" t="n"/>
    </row>
    <row r="415">
      <c r="A415" s="29" t="n"/>
      <c r="B415" s="29" t="n"/>
      <c r="C415" s="29" t="n"/>
      <c r="D415" s="30" t="n"/>
      <c r="E415" s="31" t="n"/>
      <c r="F415" s="32" t="n"/>
      <c r="G415" s="30" t="n"/>
      <c r="H415" s="31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8">
        <f>IF($B415="","",IF($H415="","Open","Closed"))</f>
        <v/>
      </c>
      <c r="O415" s="29" t="n"/>
    </row>
    <row r="416">
      <c r="A416" s="29" t="n"/>
      <c r="B416" s="29" t="n"/>
      <c r="C416" s="29" t="n"/>
      <c r="D416" s="30" t="n"/>
      <c r="E416" s="31" t="n"/>
      <c r="F416" s="32" t="n"/>
      <c r="G416" s="30" t="n"/>
      <c r="H416" s="31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8">
        <f>IF($B416="","",IF($H416="","Open","Closed"))</f>
        <v/>
      </c>
      <c r="O416" s="29" t="n"/>
    </row>
    <row r="417">
      <c r="A417" s="29" t="n"/>
      <c r="B417" s="29" t="n"/>
      <c r="C417" s="29" t="n"/>
      <c r="D417" s="30" t="n"/>
      <c r="E417" s="31" t="n"/>
      <c r="F417" s="32" t="n"/>
      <c r="G417" s="30" t="n"/>
      <c r="H417" s="31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8">
        <f>IF($B417="","",IF($H417="","Open","Closed"))</f>
        <v/>
      </c>
      <c r="O417" s="29" t="n"/>
    </row>
    <row r="418">
      <c r="A418" s="29" t="n"/>
      <c r="B418" s="29" t="n"/>
      <c r="C418" s="29" t="n"/>
      <c r="D418" s="30" t="n"/>
      <c r="E418" s="31" t="n"/>
      <c r="F418" s="32" t="n"/>
      <c r="G418" s="30" t="n"/>
      <c r="H418" s="31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8">
        <f>IF($B418="","",IF($H418="","Open","Closed"))</f>
        <v/>
      </c>
      <c r="O418" s="29" t="n"/>
    </row>
    <row r="419">
      <c r="A419" s="29" t="n"/>
      <c r="B419" s="29" t="n"/>
      <c r="C419" s="29" t="n"/>
      <c r="D419" s="30" t="n"/>
      <c r="E419" s="31" t="n"/>
      <c r="F419" s="32" t="n"/>
      <c r="G419" s="30" t="n"/>
      <c r="H419" s="31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8">
        <f>IF($B419="","",IF($H419="","Open","Closed"))</f>
        <v/>
      </c>
      <c r="O419" s="29" t="n"/>
    </row>
    <row r="420">
      <c r="A420" s="29" t="n"/>
      <c r="B420" s="29" t="n"/>
      <c r="C420" s="29" t="n"/>
      <c r="D420" s="30" t="n"/>
      <c r="E420" s="31" t="n"/>
      <c r="F420" s="32" t="n"/>
      <c r="G420" s="30" t="n"/>
      <c r="H420" s="31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8">
        <f>IF($B420="","",IF($H420="","Open","Closed"))</f>
        <v/>
      </c>
      <c r="O420" s="29" t="n"/>
    </row>
    <row r="421">
      <c r="A421" s="29" t="n"/>
      <c r="B421" s="29" t="n"/>
      <c r="C421" s="29" t="n"/>
      <c r="D421" s="30" t="n"/>
      <c r="E421" s="31" t="n"/>
      <c r="F421" s="32" t="n"/>
      <c r="G421" s="30" t="n"/>
      <c r="H421" s="31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8">
        <f>IF($B421="","",IF($H421="","Open","Closed"))</f>
        <v/>
      </c>
      <c r="O421" s="29" t="n"/>
    </row>
    <row r="422">
      <c r="A422" s="29" t="n"/>
      <c r="B422" s="29" t="n"/>
      <c r="C422" s="29" t="n"/>
      <c r="D422" s="30" t="n"/>
      <c r="E422" s="31" t="n"/>
      <c r="F422" s="32" t="n"/>
      <c r="G422" s="30" t="n"/>
      <c r="H422" s="31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8">
        <f>IF($B422="","",IF($H422="","Open","Closed"))</f>
        <v/>
      </c>
      <c r="O422" s="29" t="n"/>
    </row>
    <row r="423">
      <c r="A423" s="29" t="n"/>
      <c r="B423" s="29" t="n"/>
      <c r="C423" s="29" t="n"/>
      <c r="D423" s="30" t="n"/>
      <c r="E423" s="31" t="n"/>
      <c r="F423" s="32" t="n"/>
      <c r="G423" s="30" t="n"/>
      <c r="H423" s="31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8">
        <f>IF($B423="","",IF($H423="","Open","Closed"))</f>
        <v/>
      </c>
      <c r="O423" s="29" t="n"/>
    </row>
    <row r="424">
      <c r="A424" s="29" t="n"/>
      <c r="B424" s="29" t="n"/>
      <c r="C424" s="29" t="n"/>
      <c r="D424" s="30" t="n"/>
      <c r="E424" s="31" t="n"/>
      <c r="F424" s="32" t="n"/>
      <c r="G424" s="30" t="n"/>
      <c r="H424" s="31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8">
        <f>IF($B424="","",IF($H424="","Open","Closed"))</f>
        <v/>
      </c>
      <c r="O424" s="29" t="n"/>
    </row>
    <row r="425">
      <c r="A425" s="29" t="n"/>
      <c r="B425" s="29" t="n"/>
      <c r="C425" s="29" t="n"/>
      <c r="D425" s="30" t="n"/>
      <c r="E425" s="31" t="n"/>
      <c r="F425" s="32" t="n"/>
      <c r="G425" s="30" t="n"/>
      <c r="H425" s="31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8">
        <f>IF($B425="","",IF($H425="","Open","Closed"))</f>
        <v/>
      </c>
      <c r="O425" s="29" t="n"/>
    </row>
    <row r="426">
      <c r="A426" s="29" t="n"/>
      <c r="B426" s="29" t="n"/>
      <c r="C426" s="29" t="n"/>
      <c r="D426" s="30" t="n"/>
      <c r="E426" s="31" t="n"/>
      <c r="F426" s="32" t="n"/>
      <c r="G426" s="30" t="n"/>
      <c r="H426" s="31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8">
        <f>IF($B426="","",IF($H426="","Open","Closed"))</f>
        <v/>
      </c>
      <c r="O426" s="29" t="n"/>
    </row>
    <row r="427">
      <c r="A427" s="29" t="n"/>
      <c r="B427" s="29" t="n"/>
      <c r="C427" s="29" t="n"/>
      <c r="D427" s="30" t="n"/>
      <c r="E427" s="31" t="n"/>
      <c r="F427" s="32" t="n"/>
      <c r="G427" s="30" t="n"/>
      <c r="H427" s="31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8">
        <f>IF($B427="","",IF($H427="","Open","Closed"))</f>
        <v/>
      </c>
      <c r="O427" s="29" t="n"/>
    </row>
    <row r="428">
      <c r="A428" s="29" t="n"/>
      <c r="B428" s="29" t="n"/>
      <c r="C428" s="29" t="n"/>
      <c r="D428" s="30" t="n"/>
      <c r="E428" s="31" t="n"/>
      <c r="F428" s="32" t="n"/>
      <c r="G428" s="30" t="n"/>
      <c r="H428" s="31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8">
        <f>IF($B428="","",IF($H428="","Open","Closed"))</f>
        <v/>
      </c>
      <c r="O428" s="29" t="n"/>
    </row>
    <row r="429">
      <c r="A429" s="29" t="n"/>
      <c r="B429" s="29" t="n"/>
      <c r="C429" s="29" t="n"/>
      <c r="D429" s="30" t="n"/>
      <c r="E429" s="31" t="n"/>
      <c r="F429" s="32" t="n"/>
      <c r="G429" s="30" t="n"/>
      <c r="H429" s="31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8">
        <f>IF($B429="","",IF($H429="","Open","Closed"))</f>
        <v/>
      </c>
      <c r="O429" s="29" t="n"/>
    </row>
    <row r="430">
      <c r="A430" s="29" t="n"/>
      <c r="B430" s="29" t="n"/>
      <c r="C430" s="29" t="n"/>
      <c r="D430" s="30" t="n"/>
      <c r="E430" s="31" t="n"/>
      <c r="F430" s="32" t="n"/>
      <c r="G430" s="30" t="n"/>
      <c r="H430" s="31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8">
        <f>IF($B430="","",IF($H430="","Open","Closed"))</f>
        <v/>
      </c>
      <c r="O430" s="29" t="n"/>
    </row>
    <row r="431">
      <c r="A431" s="29" t="n"/>
      <c r="B431" s="29" t="n"/>
      <c r="C431" s="29" t="n"/>
      <c r="D431" s="30" t="n"/>
      <c r="E431" s="31" t="n"/>
      <c r="F431" s="32" t="n"/>
      <c r="G431" s="30" t="n"/>
      <c r="H431" s="31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8">
        <f>IF($B431="","",IF($H431="","Open","Closed"))</f>
        <v/>
      </c>
      <c r="O431" s="29" t="n"/>
    </row>
    <row r="432">
      <c r="A432" s="29" t="n"/>
      <c r="B432" s="29" t="n"/>
      <c r="C432" s="29" t="n"/>
      <c r="D432" s="30" t="n"/>
      <c r="E432" s="31" t="n"/>
      <c r="F432" s="32" t="n"/>
      <c r="G432" s="30" t="n"/>
      <c r="H432" s="31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8">
        <f>IF($B432="","",IF($H432="","Open","Closed"))</f>
        <v/>
      </c>
      <c r="O432" s="29" t="n"/>
    </row>
    <row r="433">
      <c r="A433" s="29" t="n"/>
      <c r="B433" s="29" t="n"/>
      <c r="C433" s="29" t="n"/>
      <c r="D433" s="30" t="n"/>
      <c r="E433" s="31" t="n"/>
      <c r="F433" s="32" t="n"/>
      <c r="G433" s="30" t="n"/>
      <c r="H433" s="31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8">
        <f>IF($B433="","",IF($H433="","Open","Closed"))</f>
        <v/>
      </c>
      <c r="O433" s="29" t="n"/>
    </row>
    <row r="434">
      <c r="A434" s="29" t="n"/>
      <c r="B434" s="29" t="n"/>
      <c r="C434" s="29" t="n"/>
      <c r="D434" s="30" t="n"/>
      <c r="E434" s="31" t="n"/>
      <c r="F434" s="32" t="n"/>
      <c r="G434" s="30" t="n"/>
      <c r="H434" s="31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8">
        <f>IF($B434="","",IF($H434="","Open","Closed"))</f>
        <v/>
      </c>
      <c r="O434" s="29" t="n"/>
    </row>
    <row r="435">
      <c r="A435" s="29" t="n"/>
      <c r="B435" s="29" t="n"/>
      <c r="C435" s="29" t="n"/>
      <c r="D435" s="30" t="n"/>
      <c r="E435" s="31" t="n"/>
      <c r="F435" s="32" t="n"/>
      <c r="G435" s="30" t="n"/>
      <c r="H435" s="31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8">
        <f>IF($B435="","",IF($H435="","Open","Closed"))</f>
        <v/>
      </c>
      <c r="O435" s="29" t="n"/>
    </row>
    <row r="436">
      <c r="A436" s="29" t="n"/>
      <c r="B436" s="29" t="n"/>
      <c r="C436" s="29" t="n"/>
      <c r="D436" s="30" t="n"/>
      <c r="E436" s="31" t="n"/>
      <c r="F436" s="32" t="n"/>
      <c r="G436" s="30" t="n"/>
      <c r="H436" s="31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8">
        <f>IF($B436="","",IF($H436="","Open","Closed"))</f>
        <v/>
      </c>
      <c r="O436" s="29" t="n"/>
    </row>
    <row r="437">
      <c r="A437" s="29" t="n"/>
      <c r="B437" s="29" t="n"/>
      <c r="C437" s="29" t="n"/>
      <c r="D437" s="30" t="n"/>
      <c r="E437" s="31" t="n"/>
      <c r="F437" s="32" t="n"/>
      <c r="G437" s="30" t="n"/>
      <c r="H437" s="31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8">
        <f>IF($B437="","",IF($H437="","Open","Closed"))</f>
        <v/>
      </c>
      <c r="O437" s="29" t="n"/>
    </row>
    <row r="438">
      <c r="A438" s="29" t="n"/>
      <c r="B438" s="29" t="n"/>
      <c r="C438" s="29" t="n"/>
      <c r="D438" s="30" t="n"/>
      <c r="E438" s="31" t="n"/>
      <c r="F438" s="32" t="n"/>
      <c r="G438" s="30" t="n"/>
      <c r="H438" s="31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8">
        <f>IF($B438="","",IF($H438="","Open","Closed"))</f>
        <v/>
      </c>
      <c r="O438" s="29" t="n"/>
    </row>
    <row r="439">
      <c r="A439" s="29" t="n"/>
      <c r="B439" s="29" t="n"/>
      <c r="C439" s="29" t="n"/>
      <c r="D439" s="30" t="n"/>
      <c r="E439" s="31" t="n"/>
      <c r="F439" s="32" t="n"/>
      <c r="G439" s="30" t="n"/>
      <c r="H439" s="31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8">
        <f>IF($B439="","",IF($H439="","Open","Closed"))</f>
        <v/>
      </c>
      <c r="O439" s="29" t="n"/>
    </row>
    <row r="440">
      <c r="A440" s="29" t="n"/>
      <c r="B440" s="29" t="n"/>
      <c r="C440" s="29" t="n"/>
      <c r="D440" s="30" t="n"/>
      <c r="E440" s="31" t="n"/>
      <c r="F440" s="32" t="n"/>
      <c r="G440" s="30" t="n"/>
      <c r="H440" s="31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8">
        <f>IF($B440="","",IF($H440="","Open","Closed"))</f>
        <v/>
      </c>
      <c r="O440" s="29" t="n"/>
    </row>
    <row r="441">
      <c r="A441" s="29" t="n"/>
      <c r="B441" s="29" t="n"/>
      <c r="C441" s="29" t="n"/>
      <c r="D441" s="30" t="n"/>
      <c r="E441" s="31" t="n"/>
      <c r="F441" s="32" t="n"/>
      <c r="G441" s="30" t="n"/>
      <c r="H441" s="31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8">
        <f>IF($B441="","",IF($H441="","Open","Closed"))</f>
        <v/>
      </c>
      <c r="O441" s="29" t="n"/>
    </row>
    <row r="442">
      <c r="A442" s="29" t="n"/>
      <c r="B442" s="29" t="n"/>
      <c r="C442" s="29" t="n"/>
      <c r="D442" s="30" t="n"/>
      <c r="E442" s="31" t="n"/>
      <c r="F442" s="32" t="n"/>
      <c r="G442" s="30" t="n"/>
      <c r="H442" s="31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8">
        <f>IF($B442="","",IF($H442="","Open","Closed"))</f>
        <v/>
      </c>
      <c r="O442" s="29" t="n"/>
    </row>
    <row r="443">
      <c r="A443" s="29" t="n"/>
      <c r="B443" s="29" t="n"/>
      <c r="C443" s="29" t="n"/>
      <c r="D443" s="30" t="n"/>
      <c r="E443" s="31" t="n"/>
      <c r="F443" s="32" t="n"/>
      <c r="G443" s="30" t="n"/>
      <c r="H443" s="31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8">
        <f>IF($B443="","",IF($H443="","Open","Closed"))</f>
        <v/>
      </c>
      <c r="O443" s="29" t="n"/>
    </row>
    <row r="444">
      <c r="A444" s="29" t="n"/>
      <c r="B444" s="29" t="n"/>
      <c r="C444" s="29" t="n"/>
      <c r="D444" s="30" t="n"/>
      <c r="E444" s="31" t="n"/>
      <c r="F444" s="32" t="n"/>
      <c r="G444" s="30" t="n"/>
      <c r="H444" s="31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8">
        <f>IF($B444="","",IF($H444="","Open","Closed"))</f>
        <v/>
      </c>
      <c r="O444" s="29" t="n"/>
    </row>
    <row r="445">
      <c r="A445" s="29" t="n"/>
      <c r="B445" s="29" t="n"/>
      <c r="C445" s="29" t="n"/>
      <c r="D445" s="30" t="n"/>
      <c r="E445" s="31" t="n"/>
      <c r="F445" s="32" t="n"/>
      <c r="G445" s="30" t="n"/>
      <c r="H445" s="31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8">
        <f>IF($B445="","",IF($H445="","Open","Closed"))</f>
        <v/>
      </c>
      <c r="O445" s="29" t="n"/>
    </row>
    <row r="446">
      <c r="A446" s="29" t="n"/>
      <c r="B446" s="29" t="n"/>
      <c r="C446" s="29" t="n"/>
      <c r="D446" s="30" t="n"/>
      <c r="E446" s="31" t="n"/>
      <c r="F446" s="32" t="n"/>
      <c r="G446" s="30" t="n"/>
      <c r="H446" s="31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8">
        <f>IF($B446="","",IF($H446="","Open","Closed"))</f>
        <v/>
      </c>
      <c r="O446" s="29" t="n"/>
    </row>
    <row r="447">
      <c r="A447" s="29" t="n"/>
      <c r="B447" s="29" t="n"/>
      <c r="C447" s="29" t="n"/>
      <c r="D447" s="30" t="n"/>
      <c r="E447" s="31" t="n"/>
      <c r="F447" s="32" t="n"/>
      <c r="G447" s="30" t="n"/>
      <c r="H447" s="31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8">
        <f>IF($B447="","",IF($H447="","Open","Closed"))</f>
        <v/>
      </c>
      <c r="O447" s="29" t="n"/>
    </row>
    <row r="448">
      <c r="A448" s="29" t="n"/>
      <c r="B448" s="29" t="n"/>
      <c r="C448" s="29" t="n"/>
      <c r="D448" s="30" t="n"/>
      <c r="E448" s="31" t="n"/>
      <c r="F448" s="32" t="n"/>
      <c r="G448" s="30" t="n"/>
      <c r="H448" s="31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8">
        <f>IF($B448="","",IF($H448="","Open","Closed"))</f>
        <v/>
      </c>
      <c r="O448" s="29" t="n"/>
    </row>
    <row r="449">
      <c r="A449" s="29" t="n"/>
      <c r="B449" s="29" t="n"/>
      <c r="C449" s="29" t="n"/>
      <c r="D449" s="30" t="n"/>
      <c r="E449" s="31" t="n"/>
      <c r="F449" s="32" t="n"/>
      <c r="G449" s="30" t="n"/>
      <c r="H449" s="31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8">
        <f>IF($B449="","",IF($H449="","Open","Closed"))</f>
        <v/>
      </c>
      <c r="O449" s="29" t="n"/>
    </row>
    <row r="450">
      <c r="A450" s="29" t="n"/>
      <c r="B450" s="29" t="n"/>
      <c r="C450" s="29" t="n"/>
      <c r="D450" s="30" t="n"/>
      <c r="E450" s="31" t="n"/>
      <c r="F450" s="32" t="n"/>
      <c r="G450" s="30" t="n"/>
      <c r="H450" s="31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8">
        <f>IF($B450="","",IF($H450="","Open","Closed"))</f>
        <v/>
      </c>
      <c r="O450" s="29" t="n"/>
    </row>
    <row r="451">
      <c r="A451" s="29" t="n"/>
      <c r="B451" s="29" t="n"/>
      <c r="C451" s="29" t="n"/>
      <c r="D451" s="30" t="n"/>
      <c r="E451" s="31" t="n"/>
      <c r="F451" s="32" t="n"/>
      <c r="G451" s="30" t="n"/>
      <c r="H451" s="31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8">
        <f>IF($B451="","",IF($H451="","Open","Closed"))</f>
        <v/>
      </c>
      <c r="O451" s="29" t="n"/>
    </row>
    <row r="452">
      <c r="A452" s="29" t="n"/>
      <c r="B452" s="29" t="n"/>
      <c r="C452" s="29" t="n"/>
      <c r="D452" s="30" t="n"/>
      <c r="E452" s="31" t="n"/>
      <c r="F452" s="32" t="n"/>
      <c r="G452" s="30" t="n"/>
      <c r="H452" s="31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8">
        <f>IF($B452="","",IF($H452="","Open","Closed"))</f>
        <v/>
      </c>
      <c r="O452" s="29" t="n"/>
    </row>
    <row r="453">
      <c r="A453" s="29" t="n"/>
      <c r="B453" s="29" t="n"/>
      <c r="C453" s="29" t="n"/>
      <c r="D453" s="30" t="n"/>
      <c r="E453" s="31" t="n"/>
      <c r="F453" s="32" t="n"/>
      <c r="G453" s="30" t="n"/>
      <c r="H453" s="31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8">
        <f>IF($B453="","",IF($H453="","Open","Closed"))</f>
        <v/>
      </c>
      <c r="O453" s="29" t="n"/>
    </row>
    <row r="454">
      <c r="A454" s="29" t="n"/>
      <c r="B454" s="29" t="n"/>
      <c r="C454" s="29" t="n"/>
      <c r="D454" s="30" t="n"/>
      <c r="E454" s="31" t="n"/>
      <c r="F454" s="32" t="n"/>
      <c r="G454" s="30" t="n"/>
      <c r="H454" s="31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8">
        <f>IF($B454="","",IF($H454="","Open","Closed"))</f>
        <v/>
      </c>
      <c r="O454" s="29" t="n"/>
    </row>
    <row r="455">
      <c r="A455" s="29" t="n"/>
      <c r="B455" s="29" t="n"/>
      <c r="C455" s="29" t="n"/>
      <c r="D455" s="30" t="n"/>
      <c r="E455" s="31" t="n"/>
      <c r="F455" s="32" t="n"/>
      <c r="G455" s="30" t="n"/>
      <c r="H455" s="31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8">
        <f>IF($B455="","",IF($H455="","Open","Closed"))</f>
        <v/>
      </c>
      <c r="O455" s="29" t="n"/>
    </row>
    <row r="456">
      <c r="A456" s="29" t="n"/>
      <c r="B456" s="29" t="n"/>
      <c r="C456" s="29" t="n"/>
      <c r="D456" s="30" t="n"/>
      <c r="E456" s="31" t="n"/>
      <c r="F456" s="32" t="n"/>
      <c r="G456" s="30" t="n"/>
      <c r="H456" s="31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8">
        <f>IF($B456="","",IF($H456="","Open","Closed"))</f>
        <v/>
      </c>
      <c r="O456" s="29" t="n"/>
    </row>
    <row r="457">
      <c r="A457" s="29" t="n"/>
      <c r="B457" s="29" t="n"/>
      <c r="C457" s="29" t="n"/>
      <c r="D457" s="30" t="n"/>
      <c r="E457" s="31" t="n"/>
      <c r="F457" s="32" t="n"/>
      <c r="G457" s="30" t="n"/>
      <c r="H457" s="31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8">
        <f>IF($B457="","",IF($H457="","Open","Closed"))</f>
        <v/>
      </c>
      <c r="O457" s="29" t="n"/>
    </row>
    <row r="458">
      <c r="A458" s="29" t="n"/>
      <c r="B458" s="29" t="n"/>
      <c r="C458" s="29" t="n"/>
      <c r="D458" s="30" t="n"/>
      <c r="E458" s="31" t="n"/>
      <c r="F458" s="32" t="n"/>
      <c r="G458" s="30" t="n"/>
      <c r="H458" s="31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8">
        <f>IF($B458="","",IF($H458="","Open","Closed"))</f>
        <v/>
      </c>
      <c r="O458" s="29" t="n"/>
    </row>
    <row r="459">
      <c r="A459" s="29" t="n"/>
      <c r="B459" s="29" t="n"/>
      <c r="C459" s="29" t="n"/>
      <c r="D459" s="30" t="n"/>
      <c r="E459" s="31" t="n"/>
      <c r="F459" s="32" t="n"/>
      <c r="G459" s="30" t="n"/>
      <c r="H459" s="31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8">
        <f>IF($B459="","",IF($H459="","Open","Closed"))</f>
        <v/>
      </c>
      <c r="O459" s="29" t="n"/>
    </row>
    <row r="460">
      <c r="A460" s="29" t="n"/>
      <c r="B460" s="29" t="n"/>
      <c r="C460" s="29" t="n"/>
      <c r="D460" s="30" t="n"/>
      <c r="E460" s="31" t="n"/>
      <c r="F460" s="32" t="n"/>
      <c r="G460" s="30" t="n"/>
      <c r="H460" s="31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8">
        <f>IF($B460="","",IF($H460="","Open","Closed"))</f>
        <v/>
      </c>
      <c r="O460" s="29" t="n"/>
    </row>
    <row r="461">
      <c r="A461" s="29" t="n"/>
      <c r="B461" s="29" t="n"/>
      <c r="C461" s="29" t="n"/>
      <c r="D461" s="30" t="n"/>
      <c r="E461" s="31" t="n"/>
      <c r="F461" s="32" t="n"/>
      <c r="G461" s="30" t="n"/>
      <c r="H461" s="31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8">
        <f>IF($B461="","",IF($H461="","Open","Closed"))</f>
        <v/>
      </c>
      <c r="O461" s="29" t="n"/>
    </row>
    <row r="462">
      <c r="A462" s="29" t="n"/>
      <c r="B462" s="29" t="n"/>
      <c r="C462" s="29" t="n"/>
      <c r="D462" s="30" t="n"/>
      <c r="E462" s="31" t="n"/>
      <c r="F462" s="32" t="n"/>
      <c r="G462" s="30" t="n"/>
      <c r="H462" s="31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8">
        <f>IF($B462="","",IF($H462="","Open","Closed"))</f>
        <v/>
      </c>
      <c r="O462" s="29" t="n"/>
    </row>
    <row r="463">
      <c r="A463" s="29" t="n"/>
      <c r="B463" s="29" t="n"/>
      <c r="C463" s="29" t="n"/>
      <c r="D463" s="30" t="n"/>
      <c r="E463" s="31" t="n"/>
      <c r="F463" s="32" t="n"/>
      <c r="G463" s="30" t="n"/>
      <c r="H463" s="31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8">
        <f>IF($B463="","",IF($H463="","Open","Closed"))</f>
        <v/>
      </c>
      <c r="O463" s="29" t="n"/>
    </row>
    <row r="464">
      <c r="A464" s="29" t="n"/>
      <c r="B464" s="29" t="n"/>
      <c r="C464" s="29" t="n"/>
      <c r="D464" s="30" t="n"/>
      <c r="E464" s="31" t="n"/>
      <c r="F464" s="32" t="n"/>
      <c r="G464" s="30" t="n"/>
      <c r="H464" s="31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8">
        <f>IF($B464="","",IF($H464="","Open","Closed"))</f>
        <v/>
      </c>
      <c r="O464" s="29" t="n"/>
    </row>
    <row r="465">
      <c r="A465" s="29" t="n"/>
      <c r="B465" s="29" t="n"/>
      <c r="C465" s="29" t="n"/>
      <c r="D465" s="30" t="n"/>
      <c r="E465" s="31" t="n"/>
      <c r="F465" s="32" t="n"/>
      <c r="G465" s="30" t="n"/>
      <c r="H465" s="31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8">
        <f>IF($B465="","",IF($H465="","Open","Closed"))</f>
        <v/>
      </c>
      <c r="O465" s="29" t="n"/>
    </row>
    <row r="466">
      <c r="A466" s="29" t="n"/>
      <c r="B466" s="29" t="n"/>
      <c r="C466" s="29" t="n"/>
      <c r="D466" s="30" t="n"/>
      <c r="E466" s="31" t="n"/>
      <c r="F466" s="32" t="n"/>
      <c r="G466" s="30" t="n"/>
      <c r="H466" s="31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8">
        <f>IF($B466="","",IF($H466="","Open","Closed"))</f>
        <v/>
      </c>
      <c r="O466" s="29" t="n"/>
    </row>
    <row r="467">
      <c r="A467" s="29" t="n"/>
      <c r="B467" s="29" t="n"/>
      <c r="C467" s="29" t="n"/>
      <c r="D467" s="30" t="n"/>
      <c r="E467" s="31" t="n"/>
      <c r="F467" s="32" t="n"/>
      <c r="G467" s="30" t="n"/>
      <c r="H467" s="31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8">
        <f>IF($B467="","",IF($H467="","Open","Closed"))</f>
        <v/>
      </c>
      <c r="O467" s="29" t="n"/>
    </row>
    <row r="468">
      <c r="A468" s="29" t="n"/>
      <c r="B468" s="29" t="n"/>
      <c r="C468" s="29" t="n"/>
      <c r="D468" s="30" t="n"/>
      <c r="E468" s="31" t="n"/>
      <c r="F468" s="32" t="n"/>
      <c r="G468" s="30" t="n"/>
      <c r="H468" s="31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8">
        <f>IF($B468="","",IF($H468="","Open","Closed"))</f>
        <v/>
      </c>
      <c r="O468" s="29" t="n"/>
    </row>
    <row r="469">
      <c r="A469" s="29" t="n"/>
      <c r="B469" s="29" t="n"/>
      <c r="C469" s="29" t="n"/>
      <c r="D469" s="30" t="n"/>
      <c r="E469" s="31" t="n"/>
      <c r="F469" s="32" t="n"/>
      <c r="G469" s="30" t="n"/>
      <c r="H469" s="31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8">
        <f>IF($B469="","",IF($H469="","Open","Closed"))</f>
        <v/>
      </c>
      <c r="O469" s="29" t="n"/>
    </row>
    <row r="470">
      <c r="A470" s="29" t="n"/>
      <c r="B470" s="29" t="n"/>
      <c r="C470" s="29" t="n"/>
      <c r="D470" s="30" t="n"/>
      <c r="E470" s="31" t="n"/>
      <c r="F470" s="32" t="n"/>
      <c r="G470" s="30" t="n"/>
      <c r="H470" s="31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8">
        <f>IF($B470="","",IF($H470="","Open","Closed"))</f>
        <v/>
      </c>
      <c r="O470" s="29" t="n"/>
    </row>
    <row r="471">
      <c r="A471" s="29" t="n"/>
      <c r="B471" s="29" t="n"/>
      <c r="C471" s="29" t="n"/>
      <c r="D471" s="30" t="n"/>
      <c r="E471" s="31" t="n"/>
      <c r="F471" s="32" t="n"/>
      <c r="G471" s="30" t="n"/>
      <c r="H471" s="31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8">
        <f>IF($B471="","",IF($H471="","Open","Closed"))</f>
        <v/>
      </c>
      <c r="O471" s="29" t="n"/>
    </row>
    <row r="472">
      <c r="A472" s="29" t="n"/>
      <c r="B472" s="29" t="n"/>
      <c r="C472" s="29" t="n"/>
      <c r="D472" s="30" t="n"/>
      <c r="E472" s="31" t="n"/>
      <c r="F472" s="32" t="n"/>
      <c r="G472" s="30" t="n"/>
      <c r="H472" s="31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8">
        <f>IF($B472="","",IF($H472="","Open","Closed"))</f>
        <v/>
      </c>
      <c r="O472" s="29" t="n"/>
    </row>
    <row r="473">
      <c r="A473" s="29" t="n"/>
      <c r="B473" s="29" t="n"/>
      <c r="C473" s="29" t="n"/>
      <c r="D473" s="30" t="n"/>
      <c r="E473" s="31" t="n"/>
      <c r="F473" s="32" t="n"/>
      <c r="G473" s="30" t="n"/>
      <c r="H473" s="31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8">
        <f>IF($B473="","",IF($H473="","Open","Closed"))</f>
        <v/>
      </c>
      <c r="O473" s="29" t="n"/>
    </row>
    <row r="474">
      <c r="A474" s="29" t="n"/>
      <c r="B474" s="29" t="n"/>
      <c r="C474" s="29" t="n"/>
      <c r="D474" s="30" t="n"/>
      <c r="E474" s="31" t="n"/>
      <c r="F474" s="32" t="n"/>
      <c r="G474" s="30" t="n"/>
      <c r="H474" s="31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8">
        <f>IF($B474="","",IF($H474="","Open","Closed"))</f>
        <v/>
      </c>
      <c r="O474" s="29" t="n"/>
    </row>
    <row r="475">
      <c r="A475" s="29" t="n"/>
      <c r="B475" s="29" t="n"/>
      <c r="C475" s="29" t="n"/>
      <c r="D475" s="30" t="n"/>
      <c r="E475" s="31" t="n"/>
      <c r="F475" s="32" t="n"/>
      <c r="G475" s="30" t="n"/>
      <c r="H475" s="31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8">
        <f>IF($B475="","",IF($H475="","Open","Closed"))</f>
        <v/>
      </c>
      <c r="O475" s="29" t="n"/>
    </row>
    <row r="476">
      <c r="A476" s="29" t="n"/>
      <c r="B476" s="29" t="n"/>
      <c r="C476" s="29" t="n"/>
      <c r="D476" s="30" t="n"/>
      <c r="E476" s="31" t="n"/>
      <c r="F476" s="32" t="n"/>
      <c r="G476" s="30" t="n"/>
      <c r="H476" s="31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8">
        <f>IF($B476="","",IF($H476="","Open","Closed"))</f>
        <v/>
      </c>
      <c r="O476" s="29" t="n"/>
    </row>
    <row r="477">
      <c r="A477" s="29" t="n"/>
      <c r="B477" s="29" t="n"/>
      <c r="C477" s="29" t="n"/>
      <c r="D477" s="30" t="n"/>
      <c r="E477" s="31" t="n"/>
      <c r="F477" s="32" t="n"/>
      <c r="G477" s="30" t="n"/>
      <c r="H477" s="31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8">
        <f>IF($B477="","",IF($H477="","Open","Closed"))</f>
        <v/>
      </c>
      <c r="O477" s="29" t="n"/>
    </row>
    <row r="478">
      <c r="A478" s="29" t="n"/>
      <c r="B478" s="29" t="n"/>
      <c r="C478" s="29" t="n"/>
      <c r="D478" s="30" t="n"/>
      <c r="E478" s="31" t="n"/>
      <c r="F478" s="32" t="n"/>
      <c r="G478" s="30" t="n"/>
      <c r="H478" s="31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8">
        <f>IF($B478="","",IF($H478="","Open","Closed"))</f>
        <v/>
      </c>
      <c r="O478" s="29" t="n"/>
    </row>
    <row r="479">
      <c r="A479" s="29" t="n"/>
      <c r="B479" s="29" t="n"/>
      <c r="C479" s="29" t="n"/>
      <c r="D479" s="30" t="n"/>
      <c r="E479" s="31" t="n"/>
      <c r="F479" s="32" t="n"/>
      <c r="G479" s="30" t="n"/>
      <c r="H479" s="31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8">
        <f>IF($B479="","",IF($H479="","Open","Closed"))</f>
        <v/>
      </c>
      <c r="O479" s="29" t="n"/>
    </row>
    <row r="480">
      <c r="A480" s="29" t="n"/>
      <c r="B480" s="29" t="n"/>
      <c r="C480" s="29" t="n"/>
      <c r="D480" s="30" t="n"/>
      <c r="E480" s="31" t="n"/>
      <c r="F480" s="32" t="n"/>
      <c r="G480" s="30" t="n"/>
      <c r="H480" s="31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8">
        <f>IF($B480="","",IF($H480="","Open","Closed"))</f>
        <v/>
      </c>
      <c r="O480" s="29" t="n"/>
    </row>
    <row r="481">
      <c r="A481" s="29" t="n"/>
      <c r="B481" s="29" t="n"/>
      <c r="C481" s="29" t="n"/>
      <c r="D481" s="30" t="n"/>
      <c r="E481" s="31" t="n"/>
      <c r="F481" s="32" t="n"/>
      <c r="G481" s="30" t="n"/>
      <c r="H481" s="31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8">
        <f>IF($B481="","",IF($H481="","Open","Closed"))</f>
        <v/>
      </c>
      <c r="O481" s="29" t="n"/>
    </row>
    <row r="482">
      <c r="A482" s="29" t="n"/>
      <c r="B482" s="29" t="n"/>
      <c r="C482" s="29" t="n"/>
      <c r="D482" s="30" t="n"/>
      <c r="E482" s="31" t="n"/>
      <c r="F482" s="32" t="n"/>
      <c r="G482" s="30" t="n"/>
      <c r="H482" s="31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8">
        <f>IF($B482="","",IF($H482="","Open","Closed"))</f>
        <v/>
      </c>
      <c r="O482" s="29" t="n"/>
    </row>
    <row r="483">
      <c r="A483" s="29" t="n"/>
      <c r="B483" s="29" t="n"/>
      <c r="C483" s="29" t="n"/>
      <c r="D483" s="30" t="n"/>
      <c r="E483" s="31" t="n"/>
      <c r="F483" s="32" t="n"/>
      <c r="G483" s="30" t="n"/>
      <c r="H483" s="31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8">
        <f>IF($B483="","",IF($H483="","Open","Closed"))</f>
        <v/>
      </c>
      <c r="O483" s="29" t="n"/>
    </row>
    <row r="484">
      <c r="A484" s="29" t="n"/>
      <c r="B484" s="29" t="n"/>
      <c r="C484" s="29" t="n"/>
      <c r="D484" s="30" t="n"/>
      <c r="E484" s="31" t="n"/>
      <c r="F484" s="32" t="n"/>
      <c r="G484" s="30" t="n"/>
      <c r="H484" s="31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8">
        <f>IF($B484="","",IF($H484="","Open","Closed"))</f>
        <v/>
      </c>
      <c r="O484" s="29" t="n"/>
    </row>
    <row r="485">
      <c r="A485" s="29" t="n"/>
      <c r="B485" s="29" t="n"/>
      <c r="C485" s="29" t="n"/>
      <c r="D485" s="30" t="n"/>
      <c r="E485" s="31" t="n"/>
      <c r="F485" s="32" t="n"/>
      <c r="G485" s="30" t="n"/>
      <c r="H485" s="31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8">
        <f>IF($B485="","",IF($H485="","Open","Closed"))</f>
        <v/>
      </c>
      <c r="O485" s="29" t="n"/>
    </row>
    <row r="486">
      <c r="A486" s="29" t="n"/>
      <c r="B486" s="29" t="n"/>
      <c r="C486" s="29" t="n"/>
      <c r="D486" s="30" t="n"/>
      <c r="E486" s="31" t="n"/>
      <c r="F486" s="32" t="n"/>
      <c r="G486" s="30" t="n"/>
      <c r="H486" s="31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8">
        <f>IF($B486="","",IF($H486="","Open","Closed"))</f>
        <v/>
      </c>
      <c r="O486" s="29" t="n"/>
    </row>
    <row r="487">
      <c r="A487" s="29" t="n"/>
      <c r="B487" s="29" t="n"/>
      <c r="C487" s="29" t="n"/>
      <c r="D487" s="30" t="n"/>
      <c r="E487" s="31" t="n"/>
      <c r="F487" s="32" t="n"/>
      <c r="G487" s="30" t="n"/>
      <c r="H487" s="31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8">
        <f>IF($B487="","",IF($H487="","Open","Closed"))</f>
        <v/>
      </c>
      <c r="O487" s="29" t="n"/>
    </row>
    <row r="488">
      <c r="A488" s="29" t="n"/>
      <c r="B488" s="29" t="n"/>
      <c r="C488" s="29" t="n"/>
      <c r="D488" s="30" t="n"/>
      <c r="E488" s="31" t="n"/>
      <c r="F488" s="32" t="n"/>
      <c r="G488" s="30" t="n"/>
      <c r="H488" s="31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8">
        <f>IF($B488="","",IF($H488="","Open","Closed"))</f>
        <v/>
      </c>
      <c r="O488" s="29" t="n"/>
    </row>
    <row r="489">
      <c r="A489" s="29" t="n"/>
      <c r="B489" s="29" t="n"/>
      <c r="C489" s="29" t="n"/>
      <c r="D489" s="30" t="n"/>
      <c r="E489" s="31" t="n"/>
      <c r="F489" s="32" t="n"/>
      <c r="G489" s="30" t="n"/>
      <c r="H489" s="31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8">
        <f>IF($B489="","",IF($H489="","Open","Closed"))</f>
        <v/>
      </c>
      <c r="O489" s="29" t="n"/>
    </row>
    <row r="490">
      <c r="A490" s="29" t="n"/>
      <c r="B490" s="29" t="n"/>
      <c r="C490" s="29" t="n"/>
      <c r="D490" s="30" t="n"/>
      <c r="E490" s="31" t="n"/>
      <c r="F490" s="32" t="n"/>
      <c r="G490" s="30" t="n"/>
      <c r="H490" s="31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8">
        <f>IF($B490="","",IF($H490="","Open","Closed"))</f>
        <v/>
      </c>
      <c r="O490" s="29" t="n"/>
    </row>
    <row r="491">
      <c r="A491" s="29" t="n"/>
      <c r="B491" s="29" t="n"/>
      <c r="C491" s="29" t="n"/>
      <c r="D491" s="30" t="n"/>
      <c r="E491" s="31" t="n"/>
      <c r="F491" s="32" t="n"/>
      <c r="G491" s="30" t="n"/>
      <c r="H491" s="31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8">
        <f>IF($B491="","",IF($H491="","Open","Closed"))</f>
        <v/>
      </c>
      <c r="O491" s="29" t="n"/>
    </row>
    <row r="492">
      <c r="A492" s="29" t="n"/>
      <c r="B492" s="29" t="n"/>
      <c r="C492" s="29" t="n"/>
      <c r="D492" s="30" t="n"/>
      <c r="E492" s="31" t="n"/>
      <c r="F492" s="32" t="n"/>
      <c r="G492" s="30" t="n"/>
      <c r="H492" s="31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8">
        <f>IF($B492="","",IF($H492="","Open","Closed"))</f>
        <v/>
      </c>
      <c r="O492" s="29" t="n"/>
    </row>
    <row r="493">
      <c r="A493" s="29" t="n"/>
      <c r="B493" s="29" t="n"/>
      <c r="C493" s="29" t="n"/>
      <c r="D493" s="30" t="n"/>
      <c r="E493" s="31" t="n"/>
      <c r="F493" s="32" t="n"/>
      <c r="G493" s="30" t="n"/>
      <c r="H493" s="31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8">
        <f>IF($B493="","",IF($H493="","Open","Closed"))</f>
        <v/>
      </c>
      <c r="O493" s="29" t="n"/>
    </row>
    <row r="494">
      <c r="A494" s="29" t="n"/>
      <c r="B494" s="29" t="n"/>
      <c r="C494" s="29" t="n"/>
      <c r="D494" s="30" t="n"/>
      <c r="E494" s="31" t="n"/>
      <c r="F494" s="32" t="n"/>
      <c r="G494" s="30" t="n"/>
      <c r="H494" s="31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8">
        <f>IF($B494="","",IF($H494="","Open","Closed"))</f>
        <v/>
      </c>
      <c r="O494" s="29" t="n"/>
    </row>
    <row r="495">
      <c r="A495" s="29" t="n"/>
      <c r="B495" s="29" t="n"/>
      <c r="C495" s="29" t="n"/>
      <c r="D495" s="30" t="n"/>
      <c r="E495" s="31" t="n"/>
      <c r="F495" s="32" t="n"/>
      <c r="G495" s="30" t="n"/>
      <c r="H495" s="31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8">
        <f>IF($B495="","",IF($H495="","Open","Closed"))</f>
        <v/>
      </c>
      <c r="O495" s="29" t="n"/>
    </row>
    <row r="496">
      <c r="A496" s="29" t="n"/>
      <c r="B496" s="29" t="n"/>
      <c r="C496" s="29" t="n"/>
      <c r="D496" s="30" t="n"/>
      <c r="E496" s="31" t="n"/>
      <c r="F496" s="32" t="n"/>
      <c r="G496" s="30" t="n"/>
      <c r="H496" s="31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8">
        <f>IF($B496="","",IF($H496="","Open","Closed"))</f>
        <v/>
      </c>
      <c r="O496" s="29" t="n"/>
    </row>
    <row r="497">
      <c r="A497" s="29" t="n"/>
      <c r="B497" s="29" t="n"/>
      <c r="C497" s="29" t="n"/>
      <c r="D497" s="30" t="n"/>
      <c r="E497" s="31" t="n"/>
      <c r="F497" s="32" t="n"/>
      <c r="G497" s="30" t="n"/>
      <c r="H497" s="31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8">
        <f>IF($B497="","",IF($H497="","Open","Closed"))</f>
        <v/>
      </c>
      <c r="O497" s="29" t="n"/>
    </row>
    <row r="498">
      <c r="A498" s="29" t="n"/>
      <c r="B498" s="29" t="n"/>
      <c r="C498" s="29" t="n"/>
      <c r="D498" s="30" t="n"/>
      <c r="E498" s="31" t="n"/>
      <c r="F498" s="32" t="n"/>
      <c r="G498" s="30" t="n"/>
      <c r="H498" s="31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8">
        <f>IF($B498="","",IF($H498="","Open","Closed"))</f>
        <v/>
      </c>
      <c r="O498" s="29" t="n"/>
    </row>
    <row r="499">
      <c r="A499" s="29" t="n"/>
      <c r="B499" s="29" t="n"/>
      <c r="C499" s="29" t="n"/>
      <c r="D499" s="30" t="n"/>
      <c r="E499" s="31" t="n"/>
      <c r="F499" s="32" t="n"/>
      <c r="G499" s="30" t="n"/>
      <c r="H499" s="31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8">
        <f>IF($B499="","",IF($H499="","Open","Closed"))</f>
        <v/>
      </c>
      <c r="O499" s="29" t="n"/>
    </row>
    <row r="500">
      <c r="A500" s="29" t="n"/>
      <c r="B500" s="29" t="n"/>
      <c r="C500" s="29" t="n"/>
      <c r="D500" s="30" t="n"/>
      <c r="E500" s="31" t="n"/>
      <c r="F500" s="32" t="n"/>
      <c r="G500" s="30" t="n"/>
      <c r="H500" s="31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8">
        <f>IF($B500="","",IF($H500="","Open","Closed"))</f>
        <v/>
      </c>
      <c r="O500" s="29" t="n"/>
    </row>
    <row r="501">
      <c r="A501" s="29" t="n"/>
      <c r="B501" s="29" t="n"/>
      <c r="C501" s="29" t="n"/>
      <c r="D501" s="30" t="n"/>
      <c r="E501" s="31" t="n"/>
      <c r="F501" s="32" t="n"/>
      <c r="G501" s="30" t="n"/>
      <c r="H501" s="31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8">
        <f>IF($B501="","",IF($H501="","Open","Closed"))</f>
        <v/>
      </c>
      <c r="O501" s="29" t="n"/>
    </row>
    <row r="502">
      <c r="A502" s="29" t="n"/>
      <c r="B502" s="29" t="n"/>
      <c r="C502" s="29" t="n"/>
      <c r="D502" s="30" t="n"/>
      <c r="E502" s="31" t="n"/>
      <c r="F502" s="32" t="n"/>
      <c r="G502" s="30" t="n"/>
      <c r="H502" s="31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8">
        <f>IF($B502="","",IF($H502="","Open","Closed"))</f>
        <v/>
      </c>
      <c r="O502" s="29" t="n"/>
    </row>
    <row r="503">
      <c r="A503" s="29" t="n"/>
      <c r="B503" s="29" t="n"/>
      <c r="C503" s="29" t="n"/>
      <c r="D503" s="30" t="n"/>
      <c r="E503" s="31" t="n"/>
      <c r="F503" s="32" t="n"/>
      <c r="G503" s="30" t="n"/>
      <c r="H503" s="31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8">
        <f>IF($B503="","",IF($H503="","Open","Closed"))</f>
        <v/>
      </c>
      <c r="O503" s="29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30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33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33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33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33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33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33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33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33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33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33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33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33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33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33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33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33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33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33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33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33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33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33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33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33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33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33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33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33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33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33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33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33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33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33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33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33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33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33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33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33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33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33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33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33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33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33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33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33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33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33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33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33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33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33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33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33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33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33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33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33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33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33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33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33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33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33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33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33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33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33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33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33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33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33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33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33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33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33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33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33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33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33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33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33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33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33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33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33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33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33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33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33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33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33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33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33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33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33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33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33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33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33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33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33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33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33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33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33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33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33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33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33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33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33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33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33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33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33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33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33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33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33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33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33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33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33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33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33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33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33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33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33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33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33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33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33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33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33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33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33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33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33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33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33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33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33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33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33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33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33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33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33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33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33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33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33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33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33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33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33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33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33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33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33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33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33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33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33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33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33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33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33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33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33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33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33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33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33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33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33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33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33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33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33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33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33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33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33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33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33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33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33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33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33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33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33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33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33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33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33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33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33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33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33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33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33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33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33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33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33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33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33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33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33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33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33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33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33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33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33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33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33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33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33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33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33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33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33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33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33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33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33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33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33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33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33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33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33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33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33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33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33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33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33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33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33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33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33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33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33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33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33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33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33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33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33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33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33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33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33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33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33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33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33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33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33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33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33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33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33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33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33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33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33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33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33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33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33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33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33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33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33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33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33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33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33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33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33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33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33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33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33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33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33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33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33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33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33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33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33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33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33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33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33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33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33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33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33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33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33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33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33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33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33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33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33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33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33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33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33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33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33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33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33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33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33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33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33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33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33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33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33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33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33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33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33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33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33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33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33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33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33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33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33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33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33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33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33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33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33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33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33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33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33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33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33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33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33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33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33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33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33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33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33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33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33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33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33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33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33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33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33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33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33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33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33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33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33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33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33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33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33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33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33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33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33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33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33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33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33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33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33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33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33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33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33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33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33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33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8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34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8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34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5">
        <f>SUM(B4:B5)</f>
        <v/>
      </c>
      <c r="C6" s="35">
        <f>SUM(C4:C5)</f>
        <v/>
      </c>
      <c r="D6" s="35">
        <f>SUM(D4:D5)</f>
        <v/>
      </c>
      <c r="E6" s="36">
        <f>IFERROR(C6/B6,"")</f>
        <v/>
      </c>
      <c r="F6" s="37">
        <f>SUM(F4:F5)</f>
        <v/>
      </c>
      <c r="G6" s="37">
        <f>SUM(G4:G5)</f>
        <v/>
      </c>
      <c r="H6" s="37">
        <f>IFERROR(G6/B6,"")</f>
        <v/>
      </c>
      <c r="K6" s="38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8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34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8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34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8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34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8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34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5">
        <f>SUM(B4:B7)</f>
        <v/>
      </c>
      <c r="C8" s="35">
        <f>SUM(C4:C7)</f>
        <v/>
      </c>
      <c r="D8" s="35">
        <f>SUM(D4:D7)</f>
        <v/>
      </c>
      <c r="E8" s="36">
        <f>IFERROR(C8/B8,"")</f>
        <v/>
      </c>
      <c r="F8" s="37">
        <f>SUM(F4:F7)</f>
        <v/>
      </c>
      <c r="G8" s="37">
        <f>SUM(G4:G7)</f>
        <v/>
      </c>
      <c r="H8" s="37">
        <f>IFERROR(G8/B8,"")</f>
        <v/>
      </c>
      <c r="K8" s="38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6">
      <c r="A6" s="3" t="inlineStr">
        <is>
          <t>WEEKLY PnL</t>
        </is>
      </c>
    </row>
    <row r="7">
      <c r="A7" s="19" t="inlineStr">
        <is>
          <t>Period</t>
        </is>
      </c>
      <c r="B7" s="19" t="inlineStr">
        <is>
          <t>Trades</t>
        </is>
      </c>
      <c r="C7" s="19" t="inlineStr">
        <is>
          <t>Wins</t>
        </is>
      </c>
      <c r="D7" s="19" t="inlineStr">
        <is>
          <t>Losses</t>
        </is>
      </c>
      <c r="E7" s="19" t="inlineStr">
        <is>
          <t>Win Rate</t>
        </is>
      </c>
      <c r="F7" s="19" t="inlineStr">
        <is>
          <t>Gross P&amp;L</t>
        </is>
      </c>
      <c r="G7" s="19" t="inlineStr">
        <is>
          <t>Net P&amp;L</t>
        </is>
      </c>
      <c r="H7" s="19" t="inlineStr">
        <is>
          <t>Avg Net P&amp;L / Trade</t>
        </is>
      </c>
      <c r="I7" s="19" t="inlineStr">
        <is>
          <t>Best Trade</t>
        </is>
      </c>
      <c r="J7" s="19" t="inlineStr">
        <is>
          <t>Worst Trade</t>
        </is>
      </c>
      <c r="K7" s="19" t="inlineStr">
        <is>
          <t>Profit Factor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2026-10-01T10:16:16Z</dcterms:created>
  <dcterms:modified xmlns:dcterms="http://purl.org/dc/terms/" xmlns:xsi="http://www.w3.org/2001/XMLSchema-instance" xsi:type="dcterms:W3CDTF">2026-10-01T10:16:17Z</dcterms:modified>
</cp:coreProperties>
</file>