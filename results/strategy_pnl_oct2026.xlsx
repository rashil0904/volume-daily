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'Charges'!$A$3:$N$42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964.78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824.88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836.1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979.22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951.17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673.6900000000001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735.3200000000001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645.21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654.64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651.58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707.6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716.86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698.64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419.24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218.69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556.79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6" s="23" t="inlineStr">
        <is>
          <t>PRINCEPIPE</t>
        </is>
      </c>
      <c r="C26" s="23" t="inlineStr">
        <is>
          <t>LONG</t>
        </is>
      </c>
      <c r="D26" s="24" t="n">
        <v>46307</v>
      </c>
      <c r="E26" s="25" t="n">
        <v>267.6149</v>
      </c>
      <c r="F26" s="26" t="n">
        <v>641</v>
      </c>
      <c r="G26" s="24" t="n">
        <v>46308</v>
      </c>
      <c r="H26" s="25" t="n">
        <v>262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547.09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7" s="23" t="inlineStr">
        <is>
          <t>SWARAJENG</t>
        </is>
      </c>
      <c r="C27" s="23" t="inlineStr">
        <is>
          <t>LONG</t>
        </is>
      </c>
      <c r="D27" s="24" t="n">
        <v>46307</v>
      </c>
      <c r="E27" s="25" t="n">
        <v>3741.3844</v>
      </c>
      <c r="F27" s="26" t="n">
        <v>45</v>
      </c>
      <c r="G27" s="24" t="n">
        <v>46308</v>
      </c>
      <c r="H27" s="25" t="n">
        <v>3721.09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547.28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8" s="23" t="inlineStr">
        <is>
          <t>CMLL</t>
        </is>
      </c>
      <c r="C28" s="23" t="inlineStr">
        <is>
          <t>LONG</t>
        </is>
      </c>
      <c r="D28" s="24" t="n">
        <v>46308</v>
      </c>
      <c r="E28" s="25" t="n">
        <v>617.1578</v>
      </c>
      <c r="F28" s="26" t="n">
        <v>277</v>
      </c>
      <c r="G28" s="24" t="n">
        <v>46309</v>
      </c>
      <c r="H28" s="25" t="n">
        <v>608.04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356.25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10-15</t>
        </is>
      </c>
    </row>
    <row r="29">
      <c r="A29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29" s="23" t="inlineStr">
        <is>
          <t>HATHWAY</t>
        </is>
      </c>
      <c r="C29" s="23" t="inlineStr">
        <is>
          <t>LONG</t>
        </is>
      </c>
      <c r="D29" s="24" t="n">
        <v>46308</v>
      </c>
      <c r="E29" s="25" t="n">
        <v>11.158</v>
      </c>
      <c r="F29" s="26" t="n">
        <v>15360</v>
      </c>
      <c r="G29" s="24" t="n">
        <v>46309</v>
      </c>
      <c r="H29" s="25" t="n">
        <v>11.14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349.1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0" s="23" t="inlineStr">
        <is>
          <t>INDIAGLYCO</t>
        </is>
      </c>
      <c r="C30" s="23" t="inlineStr">
        <is>
          <t>LONG</t>
        </is>
      </c>
      <c r="D30" s="24" t="n">
        <v>46308</v>
      </c>
      <c r="E30" s="25" t="n">
        <v>352.906</v>
      </c>
      <c r="F30" s="26" t="n">
        <v>243</v>
      </c>
      <c r="G30" s="24" t="n">
        <v>46309</v>
      </c>
      <c r="H30" s="25" t="n">
        <v>358.7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116.58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5-10</t>
        </is>
      </c>
    </row>
    <row r="31">
      <c r="A31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1" s="23" t="inlineStr">
        <is>
          <t>PIXTRANS</t>
        </is>
      </c>
      <c r="C31" s="23" t="inlineStr">
        <is>
          <t>LONG</t>
        </is>
      </c>
      <c r="D31" s="24" t="n">
        <v>46308</v>
      </c>
      <c r="E31" s="25" t="n">
        <v>1889.5856</v>
      </c>
      <c r="F31" s="26" t="n">
        <v>90</v>
      </c>
      <c r="G31" s="24" t="n">
        <v>46309</v>
      </c>
      <c r="H31" s="25" t="n">
        <v>1923.39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347.17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5-10</t>
        </is>
      </c>
    </row>
    <row r="32">
      <c r="A32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2" s="23" t="inlineStr">
        <is>
          <t>PNCINFRA</t>
        </is>
      </c>
      <c r="C32" s="23" t="inlineStr">
        <is>
          <t>LONG</t>
        </is>
      </c>
      <c r="D32" s="24" t="n">
        <v>46308</v>
      </c>
      <c r="E32" s="25" t="n">
        <v>156.7238</v>
      </c>
      <c r="F32" s="26" t="n">
        <v>1086</v>
      </c>
      <c r="G32" s="24" t="n">
        <v>46309</v>
      </c>
      <c r="H32" s="25" t="n">
        <v>169.79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349.67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10-15</t>
        </is>
      </c>
    </row>
    <row r="33">
      <c r="A33" s="23" t="inlineStr">
        <is>
          <t>DHAN-34126101478009</t>
        </is>
      </c>
      <c r="B33" s="23" t="inlineStr">
        <is>
          <t>PNCINFRA</t>
        </is>
      </c>
      <c r="C33" s="23" t="inlineStr">
        <is>
          <t>SHORT</t>
        </is>
      </c>
      <c r="D33" s="24" t="n">
        <v>46309</v>
      </c>
      <c r="E33" s="25" t="n">
        <v>169.61</v>
      </c>
      <c r="F33" s="26" t="n">
        <v>1086</v>
      </c>
      <c r="G33" s="24" t="n">
        <v>46309</v>
      </c>
      <c r="H33" s="25" t="n">
        <v>161.13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0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10-15</t>
        </is>
      </c>
    </row>
    <row r="34">
      <c r="A34" s="23" t="inlineStr">
        <is>
          <t>DHAN-221261013592909+23126101376109+321261013572209+23126101376609+321261013572609+321261013573209+321261013573809+221261013596209+34126101379109+34126101379209+221261013597909</t>
        </is>
      </c>
      <c r="B34" s="23" t="inlineStr">
        <is>
          <t>SHRINGARMS</t>
        </is>
      </c>
      <c r="C34" s="23" t="inlineStr">
        <is>
          <t>LONG</t>
        </is>
      </c>
      <c r="D34" s="24" t="n">
        <v>46308</v>
      </c>
      <c r="E34" s="25" t="n">
        <v>311.7565</v>
      </c>
      <c r="F34" s="26" t="n">
        <v>549</v>
      </c>
      <c r="G34" s="24" t="n">
        <v>46309</v>
      </c>
      <c r="H34" s="25" t="n">
        <v>315.82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349.07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15-20</t>
        </is>
      </c>
    </row>
    <row r="35">
      <c r="A35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5" s="23" t="inlineStr">
        <is>
          <t>INDOKEM</t>
        </is>
      </c>
      <c r="C35" s="23" t="inlineStr">
        <is>
          <t>LONG</t>
        </is>
      </c>
      <c r="D35" s="24" t="n">
        <v>46308</v>
      </c>
      <c r="E35" s="25" t="n">
        <v>677.9853000000001</v>
      </c>
      <c r="F35" s="26" t="n">
        <v>126</v>
      </c>
      <c r="G35" s="24" t="inlineStr"/>
      <c r="H35" s="25" t="inlineStr"/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116.19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10-15</t>
        </is>
      </c>
    </row>
    <row r="36">
      <c r="A36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6" s="23" t="inlineStr">
        <is>
          <t>JINDALPOLY</t>
        </is>
      </c>
      <c r="C36" s="23" t="inlineStr">
        <is>
          <t>LONG</t>
        </is>
      </c>
      <c r="D36" s="24" t="n">
        <v>46309</v>
      </c>
      <c r="E36" s="25" t="n">
        <v>726.3234</v>
      </c>
      <c r="F36" s="26" t="n">
        <v>201</v>
      </c>
      <c r="G36" s="24" t="inlineStr"/>
      <c r="H36" s="25" t="inlineStr"/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50.15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10-15</t>
        </is>
      </c>
    </row>
    <row r="37">
      <c r="A37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7" s="23" t="inlineStr">
        <is>
          <t>KROSS</t>
        </is>
      </c>
      <c r="C37" s="23" t="inlineStr">
        <is>
          <t>LONG</t>
        </is>
      </c>
      <c r="D37" s="24" t="n">
        <v>46309</v>
      </c>
      <c r="E37" s="25" t="n">
        <v>271.509</v>
      </c>
      <c r="F37" s="26" t="n">
        <v>737</v>
      </c>
      <c r="G37" s="24" t="inlineStr"/>
      <c r="H37" s="25" t="inlineStr"/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50.15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10-15</t>
        </is>
      </c>
    </row>
    <row r="38">
      <c r="A38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38" s="23" t="inlineStr">
        <is>
          <t>MMWL</t>
        </is>
      </c>
      <c r="C38" s="23" t="inlineStr">
        <is>
          <t>LONG</t>
        </is>
      </c>
      <c r="D38" s="24" t="n">
        <v>46307</v>
      </c>
      <c r="E38" s="25" t="n">
        <v>22.8999</v>
      </c>
      <c r="F38" s="26" t="n">
        <v>3742</v>
      </c>
      <c r="G38" s="24" t="inlineStr"/>
      <c r="H38" s="25" t="inlineStr"/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53.57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5-10</t>
        </is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n">
        <v>46309</v>
      </c>
      <c r="E39" s="25" t="n">
        <v>1380.7368</v>
      </c>
      <c r="F39" s="26" t="n">
        <v>144</v>
      </c>
      <c r="G39" s="24" t="inlineStr"/>
      <c r="H39" s="25" t="inlineStr"/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50.15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10-15</t>
        </is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n">
        <v>46309</v>
      </c>
      <c r="E40" s="25" t="n">
        <v>541.4497</v>
      </c>
      <c r="F40" s="26" t="n">
        <v>184</v>
      </c>
      <c r="G40" s="24" t="inlineStr"/>
      <c r="H40" s="25" t="inlineStr"/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14.75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5-10</t>
        </is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n">
        <v>46309</v>
      </c>
      <c r="E41" s="25" t="n">
        <v>266.801</v>
      </c>
      <c r="F41" s="26" t="n">
        <v>749</v>
      </c>
      <c r="G41" s="24" t="inlineStr"/>
      <c r="H41" s="25" t="inlineStr"/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50.15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5-10</t>
        </is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n">
        <v>46309</v>
      </c>
      <c r="E42" s="25" t="n">
        <v>226.1107</v>
      </c>
      <c r="F42" s="26" t="n">
        <v>885</v>
      </c>
      <c r="G42" s="24" t="inlineStr"/>
      <c r="H42" s="25" t="inlineStr"/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50.15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5-10</t>
        </is>
      </c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/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n"/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/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n"/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/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n"/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/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n"/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/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n"/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/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n"/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/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n"/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/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n"/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n"/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n"/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n"/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BLUSPRING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CMLL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DELTACORP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DPABHUSHAN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GOODLUCK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GPTINFRA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HATHWAY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INDIAGLYCO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INDOKEM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INOXGREEN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JINDALPOLY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KOTIC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KRISHNADEF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KROSS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MMWL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MOBIKWIK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NIBE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PIXTRANS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PNCINFRA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PNGSREVA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PRINCEPIPE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RSYSTEMS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RUBYMILLS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SAKSOFT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SATIN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SGFIN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SHRINGARMS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SIMPLEXINF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SMCGLOBAL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SPORTKING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SUNCLAY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SWARAJENG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YUKEN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3" t="inlineStr">
        <is>
          <t>TOTAL</t>
        </is>
      </c>
      <c r="B38" s="30">
        <f>SUM(B4:B37)</f>
        <v/>
      </c>
      <c r="C38" s="30">
        <f>SUM(C4:C37)</f>
        <v/>
      </c>
      <c r="D38" s="30">
        <f>SUM(D4:D37)</f>
        <v/>
      </c>
      <c r="E38" s="31">
        <f>IFERROR(C38/B38,"")</f>
        <v/>
      </c>
      <c r="F38" s="32">
        <f>SUM(F4:F37)</f>
        <v/>
      </c>
      <c r="G38" s="32">
        <f>SUM(G4:G37)</f>
        <v/>
      </c>
      <c r="H38" s="32">
        <f>IFERROR(G38/B38,"")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125.76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75.19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75.34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125.41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104.65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41.95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50.27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30.24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30.11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73.95999999999999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127.42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123.4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123.99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71.61</v>
      </c>
      <c r="F23" s="4" t="n">
        <v>216.25</v>
      </c>
      <c r="G23" s="4" t="n">
        <v>10.74</v>
      </c>
      <c r="H23" s="4" t="n">
        <v>0.35</v>
      </c>
      <c r="I23" s="4" t="n">
        <v>25.82</v>
      </c>
      <c r="J23" s="4" t="n">
        <v>14.89</v>
      </c>
      <c r="K23" s="4" t="n">
        <v>14.75</v>
      </c>
      <c r="L23" s="4" t="n">
        <v>35.4</v>
      </c>
      <c r="M23" s="4" t="n">
        <v>29.44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20</v>
      </c>
      <c r="F24" s="4" t="n">
        <v>176.73</v>
      </c>
      <c r="G24" s="4" t="n">
        <v>10.8</v>
      </c>
      <c r="H24" s="4" t="n">
        <v>0.35</v>
      </c>
      <c r="I24" s="4" t="n">
        <v>5.21</v>
      </c>
      <c r="J24" s="4" t="n">
        <v>5.61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71.34999999999999</v>
      </c>
      <c r="F25" s="4" t="n">
        <v>347.2</v>
      </c>
      <c r="G25" s="4" t="n">
        <v>10.66</v>
      </c>
      <c r="H25" s="4" t="n">
        <v>0.35</v>
      </c>
      <c r="I25" s="4" t="n">
        <v>25.67</v>
      </c>
      <c r="J25" s="4" t="n">
        <v>14.82</v>
      </c>
      <c r="K25" s="4" t="n">
        <v>14.75</v>
      </c>
      <c r="L25" s="4" t="n">
        <v>35.4</v>
      </c>
      <c r="M25" s="4" t="n">
        <v>36.59</v>
      </c>
      <c r="N25" s="21">
        <f>SUM(E25:M25)</f>
        <v/>
      </c>
    </row>
    <row r="26">
      <c r="A26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6" s="23" t="inlineStr">
        <is>
          <t>PRINCEPIPE</t>
        </is>
      </c>
      <c r="C26" s="23" t="inlineStr">
        <is>
          <t>LONG</t>
        </is>
      </c>
      <c r="D26" s="24" t="n">
        <v>46308</v>
      </c>
      <c r="E26" s="4" t="n">
        <v>71.44</v>
      </c>
      <c r="F26" s="4" t="n">
        <v>339.48</v>
      </c>
      <c r="G26" s="4" t="n">
        <v>10.42</v>
      </c>
      <c r="H26" s="4" t="n">
        <v>0.34</v>
      </c>
      <c r="I26" s="4" t="n">
        <v>25.26</v>
      </c>
      <c r="J26" s="4" t="n">
        <v>14.8</v>
      </c>
      <c r="K26" s="4" t="n">
        <v>14.75</v>
      </c>
      <c r="L26" s="4" t="n">
        <v>35.4</v>
      </c>
      <c r="M26" s="4" t="n">
        <v>35.2</v>
      </c>
      <c r="N26" s="21">
        <f>SUM(E26:M26)</f>
        <v/>
      </c>
    </row>
    <row r="27">
      <c r="A27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7" s="23" t="inlineStr">
        <is>
          <t>SWARAJENG</t>
        </is>
      </c>
      <c r="C27" s="23" t="inlineStr">
        <is>
          <t>LONG</t>
        </is>
      </c>
      <c r="D27" s="24" t="n">
        <v>46308</v>
      </c>
      <c r="E27" s="4" t="n">
        <v>70.51000000000001</v>
      </c>
      <c r="F27" s="4" t="n">
        <v>335.81</v>
      </c>
      <c r="G27" s="4" t="n">
        <v>10.31</v>
      </c>
      <c r="H27" s="4" t="n">
        <v>0.34</v>
      </c>
      <c r="I27" s="4" t="n">
        <v>25.25</v>
      </c>
      <c r="J27" s="4" t="n">
        <v>14.61</v>
      </c>
      <c r="K27" s="4" t="n">
        <v>14.75</v>
      </c>
      <c r="L27" s="4" t="n">
        <v>35.4</v>
      </c>
      <c r="M27" s="4" t="n">
        <v>40.31</v>
      </c>
      <c r="N27" s="21">
        <f>SUM(E27:M27)</f>
        <v/>
      </c>
    </row>
    <row r="28">
      <c r="A28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8" s="23" t="inlineStr">
        <is>
          <t>CMLL</t>
        </is>
      </c>
      <c r="C28" s="23" t="inlineStr">
        <is>
          <t>LONG</t>
        </is>
      </c>
      <c r="D28" s="24" t="n">
        <v>46309</v>
      </c>
      <c r="E28" s="4" t="n">
        <v>51.3</v>
      </c>
      <c r="F28" s="4" t="n">
        <v>170.95</v>
      </c>
      <c r="G28" s="4" t="n">
        <v>5.25</v>
      </c>
      <c r="H28" s="4" t="n">
        <v>0.17</v>
      </c>
      <c r="I28" s="4" t="n">
        <v>25.64</v>
      </c>
      <c r="J28" s="4" t="n">
        <v>10.21</v>
      </c>
      <c r="K28" s="4" t="n">
        <v>14.75</v>
      </c>
      <c r="L28" s="4" t="n">
        <v>35.4</v>
      </c>
      <c r="M28" s="4" t="n">
        <v>42.58</v>
      </c>
      <c r="N28" s="21">
        <f>SUM(E28:M28)</f>
        <v/>
      </c>
    </row>
    <row r="29">
      <c r="A29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29" s="23" t="inlineStr">
        <is>
          <t>HATHWAY</t>
        </is>
      </c>
      <c r="C29" s="23" t="inlineStr">
        <is>
          <t>LONG</t>
        </is>
      </c>
      <c r="D29" s="24" t="n">
        <v>46309</v>
      </c>
      <c r="E29" s="4" t="n">
        <v>51</v>
      </c>
      <c r="F29" s="4" t="n">
        <v>171.42</v>
      </c>
      <c r="G29" s="4" t="n">
        <v>5.26</v>
      </c>
      <c r="H29" s="4" t="n">
        <v>0.17</v>
      </c>
      <c r="I29" s="4" t="n">
        <v>25.77</v>
      </c>
      <c r="J29" s="4" t="n">
        <v>10.16</v>
      </c>
      <c r="K29" s="4" t="n">
        <v>14.75</v>
      </c>
      <c r="L29" s="4" t="n">
        <v>35.4</v>
      </c>
      <c r="M29" s="4" t="n">
        <v>35.17</v>
      </c>
      <c r="N29" s="21">
        <f>SUM(E29:M29)</f>
        <v/>
      </c>
    </row>
    <row r="30">
      <c r="A30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0" s="23" t="inlineStr">
        <is>
          <t>INDIAGLYCO</t>
        </is>
      </c>
      <c r="C30" s="23" t="inlineStr">
        <is>
          <t>LONG</t>
        </is>
      </c>
      <c r="D30" s="24" t="n">
        <v>46309</v>
      </c>
      <c r="E30" s="4" t="n">
        <v>0</v>
      </c>
      <c r="F30" s="4" t="n">
        <v>85.76000000000001</v>
      </c>
      <c r="G30" s="4" t="n">
        <v>2.63</v>
      </c>
      <c r="H30" s="4" t="n">
        <v>0.09</v>
      </c>
      <c r="I30" s="4" t="n">
        <v>12.86</v>
      </c>
      <c r="J30" s="4" t="n">
        <v>0.49</v>
      </c>
      <c r="K30" s="4" t="n">
        <v>14.75</v>
      </c>
      <c r="L30" s="4" t="n">
        <v>0</v>
      </c>
      <c r="M30" s="4" t="n">
        <v>0</v>
      </c>
      <c r="N30" s="21">
        <f>SUM(E30:M30)</f>
        <v/>
      </c>
    </row>
    <row r="31">
      <c r="A31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1" s="23" t="inlineStr">
        <is>
          <t>PIXTRANS</t>
        </is>
      </c>
      <c r="C31" s="23" t="inlineStr">
        <is>
          <t>LONG</t>
        </is>
      </c>
      <c r="D31" s="24" t="n">
        <v>46309</v>
      </c>
      <c r="E31" s="4" t="n">
        <v>51.01</v>
      </c>
      <c r="F31" s="4" t="n">
        <v>170.06</v>
      </c>
      <c r="G31" s="4" t="n">
        <v>5.22</v>
      </c>
      <c r="H31" s="4" t="n">
        <v>0.17</v>
      </c>
      <c r="I31" s="4" t="n">
        <v>25.51</v>
      </c>
      <c r="J31" s="4" t="n">
        <v>10.15</v>
      </c>
      <c r="K31" s="4" t="n">
        <v>14.75</v>
      </c>
      <c r="L31" s="4" t="n">
        <v>35.4</v>
      </c>
      <c r="M31" s="4" t="n">
        <v>34.9</v>
      </c>
      <c r="N31" s="21">
        <f>SUM(E31:M31)</f>
        <v/>
      </c>
    </row>
    <row r="32">
      <c r="A32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2" s="23" t="inlineStr">
        <is>
          <t>PNCINFRA</t>
        </is>
      </c>
      <c r="C32" s="23" t="inlineStr">
        <is>
          <t>LONG</t>
        </is>
      </c>
      <c r="D32" s="24" t="n">
        <v>46309</v>
      </c>
      <c r="E32" s="4" t="n">
        <v>51.07</v>
      </c>
      <c r="F32" s="4" t="n">
        <v>170.2</v>
      </c>
      <c r="G32" s="4" t="n">
        <v>5.22</v>
      </c>
      <c r="H32" s="4" t="n">
        <v>0.17</v>
      </c>
      <c r="I32" s="4" t="n">
        <v>25.53</v>
      </c>
      <c r="J32" s="4" t="n">
        <v>10.16</v>
      </c>
      <c r="K32" s="4" t="n">
        <v>14.75</v>
      </c>
      <c r="L32" s="4" t="n">
        <v>35.4</v>
      </c>
      <c r="M32" s="4" t="n">
        <v>37.16</v>
      </c>
      <c r="N32" s="21">
        <f>SUM(E32:M32)</f>
        <v/>
      </c>
    </row>
    <row r="33">
      <c r="A33" s="23" t="inlineStr">
        <is>
          <t>DHAN-34126101478009</t>
        </is>
      </c>
      <c r="B33" s="23" t="inlineStr">
        <is>
          <t>PNCINFRA</t>
        </is>
      </c>
      <c r="C33" s="23" t="inlineStr">
        <is>
          <t>SHORT</t>
        </is>
      </c>
      <c r="D33" s="24" t="n">
        <v>46309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DHAN-221261013592909+23126101376109+321261013572209+23126101376609+321261013572609+321261013573209+321261013573809+221261013596209+34126101379109+34126101379209+221261013597909</t>
        </is>
      </c>
      <c r="B34" s="23" t="inlineStr">
        <is>
          <t>SHRINGARMS</t>
        </is>
      </c>
      <c r="C34" s="23" t="inlineStr">
        <is>
          <t>LONG</t>
        </is>
      </c>
      <c r="D34" s="24" t="n">
        <v>46309</v>
      </c>
      <c r="E34" s="4" t="n">
        <v>51.33</v>
      </c>
      <c r="F34" s="4" t="n">
        <v>171.16</v>
      </c>
      <c r="G34" s="4" t="n">
        <v>5.25</v>
      </c>
      <c r="H34" s="4" t="n">
        <v>0.17</v>
      </c>
      <c r="I34" s="4" t="n">
        <v>25.67</v>
      </c>
      <c r="J34" s="4" t="n">
        <v>10.22</v>
      </c>
      <c r="K34" s="4" t="n">
        <v>14.75</v>
      </c>
      <c r="L34" s="4" t="n">
        <v>35.4</v>
      </c>
      <c r="M34" s="4" t="n">
        <v>35.12</v>
      </c>
      <c r="N34" s="21">
        <f>SUM(E34:M34)</f>
        <v/>
      </c>
    </row>
    <row r="35">
      <c r="A35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35" s="23" t="inlineStr">
        <is>
          <t>INDOKEM</t>
        </is>
      </c>
      <c r="C35" s="23" t="inlineStr">
        <is>
          <t>LONG</t>
        </is>
      </c>
      <c r="D35" s="24" t="inlineStr"/>
      <c r="E35" s="4" t="n">
        <v>0</v>
      </c>
      <c r="F35" s="4" t="n">
        <v>85.43000000000001</v>
      </c>
      <c r="G35" s="4" t="n">
        <v>2.62</v>
      </c>
      <c r="H35" s="4" t="n">
        <v>0.09</v>
      </c>
      <c r="I35" s="4" t="n">
        <v>12.81</v>
      </c>
      <c r="J35" s="4" t="n">
        <v>0.49</v>
      </c>
      <c r="K35" s="4" t="n">
        <v>14.75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6" s="23" t="inlineStr">
        <is>
          <t>JINDALPOLY</t>
        </is>
      </c>
      <c r="C36" s="23" t="inlineStr">
        <is>
          <t>LONG</t>
        </is>
      </c>
      <c r="D36" s="24" t="inlineStr"/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</v>
      </c>
      <c r="K36" s="4" t="n">
        <v>14.75</v>
      </c>
      <c r="L36" s="4" t="n">
        <v>35.4</v>
      </c>
      <c r="M36" s="4" t="n">
        <v>0</v>
      </c>
      <c r="N36" s="21">
        <f>SUM(E36:M36)</f>
        <v/>
      </c>
    </row>
    <row r="37">
      <c r="A37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7" s="23" t="inlineStr">
        <is>
          <t>KROSS</t>
        </is>
      </c>
      <c r="C37" s="23" t="inlineStr">
        <is>
          <t>LONG</t>
        </is>
      </c>
      <c r="D37" s="24" t="inlineStr"/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14.75</v>
      </c>
      <c r="L37" s="4" t="n">
        <v>35.4</v>
      </c>
      <c r="M37" s="4" t="n">
        <v>0</v>
      </c>
      <c r="N37" s="21">
        <f>SUM(E37:M37)</f>
        <v/>
      </c>
    </row>
    <row r="38">
      <c r="A38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38" s="23" t="inlineStr">
        <is>
          <t>MMWL</t>
        </is>
      </c>
      <c r="C38" s="23" t="inlineStr">
        <is>
          <t>LONG</t>
        </is>
      </c>
      <c r="D38" s="24" t="inlineStr"/>
      <c r="E38" s="4" t="n">
        <v>24.76</v>
      </c>
      <c r="F38" s="4" t="n">
        <v>3.4</v>
      </c>
      <c r="G38" s="4" t="n">
        <v>2.63</v>
      </c>
      <c r="H38" s="4" t="n">
        <v>0.09</v>
      </c>
      <c r="I38" s="4" t="n">
        <v>3</v>
      </c>
      <c r="J38" s="4" t="n">
        <v>4.95</v>
      </c>
      <c r="K38" s="4" t="n">
        <v>14.75</v>
      </c>
      <c r="L38" s="4" t="n">
        <v>0</v>
      </c>
      <c r="M38" s="4" t="n">
        <v>0</v>
      </c>
      <c r="N38" s="21">
        <f>SUM(E38:M38)</f>
        <v/>
      </c>
    </row>
    <row r="39">
      <c r="A39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9" s="23" t="inlineStr">
        <is>
          <t>NIBE</t>
        </is>
      </c>
      <c r="C39" s="23" t="inlineStr">
        <is>
          <t>LONG</t>
        </is>
      </c>
      <c r="D39" s="24" t="inlineStr"/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14.75</v>
      </c>
      <c r="L39" s="4" t="n">
        <v>35.4</v>
      </c>
      <c r="M39" s="4" t="n">
        <v>0</v>
      </c>
      <c r="N39" s="21">
        <f>SUM(E39:M39)</f>
        <v/>
      </c>
    </row>
    <row r="40">
      <c r="A40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40" s="23" t="inlineStr">
        <is>
          <t>RUBYMILLS</t>
        </is>
      </c>
      <c r="C40" s="23" t="inlineStr">
        <is>
          <t>LONG</t>
        </is>
      </c>
      <c r="D40" s="24" t="inlineStr"/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14.75</v>
      </c>
      <c r="L40" s="4" t="n">
        <v>0</v>
      </c>
      <c r="M40" s="4" t="n">
        <v>0</v>
      </c>
      <c r="N40" s="21">
        <f>SUM(E40:M40)</f>
        <v/>
      </c>
    </row>
    <row r="41">
      <c r="A41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1" s="23" t="inlineStr">
        <is>
          <t>SIMPLEXINF</t>
        </is>
      </c>
      <c r="C41" s="23" t="inlineStr">
        <is>
          <t>LONG</t>
        </is>
      </c>
      <c r="D41" s="24" t="inlineStr"/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14.75</v>
      </c>
      <c r="L41" s="4" t="n">
        <v>35.4</v>
      </c>
      <c r="M41" s="4" t="n">
        <v>0</v>
      </c>
      <c r="N41" s="21">
        <f>SUM(E41:M41)</f>
        <v/>
      </c>
    </row>
    <row r="42">
      <c r="A42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42" s="23" t="inlineStr">
        <is>
          <t>SPORTKING</t>
        </is>
      </c>
      <c r="C42" s="23" t="inlineStr">
        <is>
          <t>LONG</t>
        </is>
      </c>
      <c r="D42" s="24" t="inlineStr"/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14.75</v>
      </c>
      <c r="L42" s="4" t="n">
        <v>35.4</v>
      </c>
      <c r="M42" s="4" t="n">
        <v>0</v>
      </c>
      <c r="N42" s="21">
        <f>SUM(E42:M42)</f>
        <v/>
      </c>
    </row>
    <row r="43">
      <c r="A43" s="3" t="inlineStr">
        <is>
          <t>TOTAL</t>
        </is>
      </c>
      <c r="E43" s="32">
        <f>SUM(E4:E42)</f>
        <v/>
      </c>
      <c r="F43" s="32">
        <f>SUM(F4:F42)</f>
        <v/>
      </c>
      <c r="G43" s="32">
        <f>SUM(G4:G42)</f>
        <v/>
      </c>
      <c r="H43" s="32">
        <f>SUM(H4:H42)</f>
        <v/>
      </c>
      <c r="I43" s="32">
        <f>SUM(I4:I42)</f>
        <v/>
      </c>
      <c r="J43" s="32">
        <f>SUM(J4:J42)</f>
        <v/>
      </c>
      <c r="K43" s="32">
        <f>SUM(K4:K42)</f>
        <v/>
      </c>
      <c r="L43" s="32">
        <f>SUM(L4:L42)</f>
        <v/>
      </c>
      <c r="M43" s="32">
        <f>SUM(M4:M42)</f>
        <v/>
      </c>
      <c r="N43" s="32">
        <f>SUM(N4:N42)</f>
        <v/>
      </c>
    </row>
  </sheetData>
  <autoFilter ref="A3:N42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3" t="inlineStr">
        <is>
          <t>TOTAL</t>
        </is>
      </c>
      <c r="B12" s="30">
        <f>SUM(B10:B11)</f>
        <v/>
      </c>
      <c r="C12" s="30">
        <f>SUM(C10:C11)</f>
        <v/>
      </c>
      <c r="D12" s="30">
        <f>SUM(D10:D11)</f>
        <v/>
      </c>
      <c r="E12" s="31">
        <f>IFERROR(C12/B12,"")</f>
        <v/>
      </c>
      <c r="F12" s="32">
        <f>SUM(F10:F11)</f>
        <v/>
      </c>
      <c r="G12" s="32">
        <f>SUM(G10:G11)</f>
        <v/>
      </c>
      <c r="H12" s="32">
        <f>IFERROR(G12/B12,"")</f>
        <v/>
      </c>
      <c r="K12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2026-10-14T10:17:22Z</dcterms:created>
  <dcterms:modified xmlns:dcterms="http://purl.org/dc/terms/" xmlns:xsi="http://www.w3.org/2001/XMLSchema-instance" xsi:type="dcterms:W3CDTF">2026-10-14T10:17:22Z</dcterms:modified>
</cp:coreProperties>
</file>