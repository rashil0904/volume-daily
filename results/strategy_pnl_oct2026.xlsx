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'Charges'!$A$3:$N$14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1200000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46300</v>
      </c>
      <c r="E4" s="25" t="n">
        <v>85.79989999999999</v>
      </c>
      <c r="F4" s="26" t="n">
        <v>1752</v>
      </c>
      <c r="G4" s="24" t="n">
        <v>46301</v>
      </c>
      <c r="H4" s="25" t="n">
        <v>85.81999999999999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349.23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10-15</t>
        </is>
      </c>
    </row>
    <row r="5">
      <c r="A5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5" s="23" t="inlineStr">
        <is>
          <t>SGFIN</t>
        </is>
      </c>
      <c r="C5" s="23" t="inlineStr">
        <is>
          <t>LONG</t>
        </is>
      </c>
      <c r="D5" s="24" t="n">
        <v>46300</v>
      </c>
      <c r="E5" s="25" t="n">
        <v>679.0067</v>
      </c>
      <c r="F5" s="26" t="n">
        <v>442</v>
      </c>
      <c r="G5" s="24" t="n">
        <v>46301</v>
      </c>
      <c r="H5" s="25" t="n">
        <v>660.0599999999999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900.61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5-10</t>
        </is>
      </c>
    </row>
    <row r="6">
      <c r="A6" s="23" t="inlineStr">
        <is>
          <t>DHAN-221261005679509</t>
        </is>
      </c>
      <c r="B6" s="23" t="inlineStr">
        <is>
          <t>SMCGLOBAL</t>
        </is>
      </c>
      <c r="C6" s="23" t="inlineStr">
        <is>
          <t>LONG</t>
        </is>
      </c>
      <c r="D6" s="24" t="n">
        <v>46300</v>
      </c>
      <c r="E6" s="25" t="n">
        <v>113.9808</v>
      </c>
      <c r="F6" s="26" t="n">
        <v>2624</v>
      </c>
      <c r="G6" s="24" t="n">
        <v>46301</v>
      </c>
      <c r="H6" s="25" t="n">
        <v>109.23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800.83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15-20</t>
        </is>
      </c>
    </row>
    <row r="7">
      <c r="A7" s="23" t="inlineStr">
        <is>
          <t>DHAN-321261006605709</t>
        </is>
      </c>
      <c r="B7" s="23" t="inlineStr">
        <is>
          <t>KRISHNADEF</t>
        </is>
      </c>
      <c r="C7" s="23" t="inlineStr">
        <is>
          <t>LONG</t>
        </is>
      </c>
      <c r="D7" s="24" t="n">
        <v>46301</v>
      </c>
      <c r="E7" s="25" t="n">
        <v>1297.2208</v>
      </c>
      <c r="F7" s="26" t="n">
        <v>231</v>
      </c>
      <c r="G7" s="24" t="n">
        <v>46302</v>
      </c>
      <c r="H7" s="25" t="n">
        <v>1280.57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481.53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10-15</t>
        </is>
      </c>
    </row>
    <row r="8">
      <c r="A8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8" s="23" t="inlineStr">
        <is>
          <t>SATIN</t>
        </is>
      </c>
      <c r="C8" s="23" t="inlineStr">
        <is>
          <t>LONG</t>
        </is>
      </c>
      <c r="D8" s="24" t="n">
        <v>46301</v>
      </c>
      <c r="E8" s="25" t="n">
        <v>228.9869</v>
      </c>
      <c r="F8" s="26" t="n">
        <v>1307</v>
      </c>
      <c r="G8" s="24" t="n">
        <v>46302</v>
      </c>
      <c r="H8" s="25" t="n">
        <v>235.36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572.87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5-10</t>
        </is>
      </c>
    </row>
    <row r="9">
      <c r="A9" s="23" t="inlineStr">
        <is>
          <t>DHAN-34126100786209</t>
        </is>
      </c>
      <c r="B9" s="23" t="inlineStr">
        <is>
          <t>ARFIN</t>
        </is>
      </c>
      <c r="C9" s="23" t="inlineStr">
        <is>
          <t>LONG</t>
        </is>
      </c>
      <c r="D9" s="24" t="n">
        <v>46302</v>
      </c>
      <c r="E9" s="25" t="n">
        <v>103.743</v>
      </c>
      <c r="F9" s="26" t="n">
        <v>2316</v>
      </c>
      <c r="G9" s="24" t="inlineStr"/>
      <c r="H9" s="25" t="inlineStr"/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50.15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5-10</t>
        </is>
      </c>
    </row>
    <row r="10">
      <c r="A10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10" s="23" t="inlineStr">
        <is>
          <t>DPABHUSHAN</t>
        </is>
      </c>
      <c r="C10" s="23" t="inlineStr">
        <is>
          <t>LONG</t>
        </is>
      </c>
      <c r="D10" s="24" t="n">
        <v>46300</v>
      </c>
      <c r="E10" s="25" t="n">
        <v>2108.8394</v>
      </c>
      <c r="F10" s="26" t="n">
        <v>71</v>
      </c>
      <c r="G10" s="24" t="inlineStr"/>
      <c r="H10" s="25" t="inlineStr"/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192.54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10-15</t>
        </is>
      </c>
    </row>
    <row r="11">
      <c r="A11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1" s="23" t="inlineStr">
        <is>
          <t>GPTINFRA</t>
        </is>
      </c>
      <c r="C11" s="23" t="inlineStr">
        <is>
          <t>LONG</t>
        </is>
      </c>
      <c r="D11" s="24" t="n">
        <v>46302</v>
      </c>
      <c r="E11" s="25" t="n">
        <v>129.8444</v>
      </c>
      <c r="F11" s="26" t="n">
        <v>1848</v>
      </c>
      <c r="G11" s="24" t="inlineStr"/>
      <c r="H11" s="25" t="inlineStr"/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50.15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5-10</t>
        </is>
      </c>
    </row>
    <row r="12">
      <c r="A12" s="23" t="inlineStr">
        <is>
          <t>DHAN-321261007633409</t>
        </is>
      </c>
      <c r="B12" s="23" t="inlineStr">
        <is>
          <t>MOBIKWIK</t>
        </is>
      </c>
      <c r="C12" s="23" t="inlineStr">
        <is>
          <t>LONG</t>
        </is>
      </c>
      <c r="D12" s="24" t="n">
        <v>46302</v>
      </c>
      <c r="E12" s="25" t="n">
        <v>257.0405</v>
      </c>
      <c r="F12" s="26" t="n">
        <v>936</v>
      </c>
      <c r="G12" s="24" t="inlineStr"/>
      <c r="H12" s="25" t="inlineStr"/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50.15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5-10</t>
        </is>
      </c>
    </row>
    <row r="13">
      <c r="A13" s="23" t="inlineStr">
        <is>
          <t>DHAN-34126100785009+34126100785109+221261007627809+221261007628109+321261007629509+23126100782809+321261007629709+221261007629309+221261007629609+221261007629909+23126100783009</t>
        </is>
      </c>
      <c r="B13" s="23" t="inlineStr">
        <is>
          <t>PNGSREVA</t>
        </is>
      </c>
      <c r="C13" s="23" t="inlineStr">
        <is>
          <t>LONG</t>
        </is>
      </c>
      <c r="D13" s="24" t="n">
        <v>46302</v>
      </c>
      <c r="E13" s="25" t="n">
        <v>622.1242</v>
      </c>
      <c r="F13" s="26" t="n">
        <v>385</v>
      </c>
      <c r="G13" s="24" t="inlineStr"/>
      <c r="H13" s="25" t="inlineStr"/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50.15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10-15</t>
        </is>
      </c>
    </row>
    <row r="14">
      <c r="A14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4" s="23" t="inlineStr">
        <is>
          <t>YUKEN</t>
        </is>
      </c>
      <c r="C14" s="23" t="inlineStr">
        <is>
          <t>LONG</t>
        </is>
      </c>
      <c r="D14" s="24" t="n">
        <v>46301</v>
      </c>
      <c r="E14" s="25" t="n">
        <v>1238.3789</v>
      </c>
      <c r="F14" s="26" t="n">
        <v>242</v>
      </c>
      <c r="G14" s="24" t="inlineStr"/>
      <c r="H14" s="25" t="inlineStr"/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563.34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10-15</t>
        </is>
      </c>
    </row>
    <row r="15">
      <c r="A15" s="23" t="n"/>
      <c r="B15" s="23" t="n"/>
      <c r="C15" s="23" t="n"/>
      <c r="D15" s="24" t="n"/>
      <c r="E15" s="25" t="n"/>
      <c r="F15" s="26" t="n"/>
      <c r="G15" s="24" t="n"/>
      <c r="H15" s="25" t="n"/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/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n"/>
    </row>
    <row r="16">
      <c r="A16" s="23" t="n"/>
      <c r="B16" s="23" t="n"/>
      <c r="C16" s="23" t="n"/>
      <c r="D16" s="24" t="n"/>
      <c r="E16" s="25" t="n"/>
      <c r="F16" s="26" t="n"/>
      <c r="G16" s="24" t="n"/>
      <c r="H16" s="25" t="n"/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/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n"/>
    </row>
    <row r="17">
      <c r="A17" s="23" t="n"/>
      <c r="B17" s="23" t="n"/>
      <c r="C17" s="23" t="n"/>
      <c r="D17" s="24" t="n"/>
      <c r="E17" s="25" t="n"/>
      <c r="F17" s="26" t="n"/>
      <c r="G17" s="24" t="n"/>
      <c r="H17" s="25" t="n"/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/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n"/>
    </row>
    <row r="18">
      <c r="A18" s="23" t="n"/>
      <c r="B18" s="23" t="n"/>
      <c r="C18" s="23" t="n"/>
      <c r="D18" s="24" t="n"/>
      <c r="E18" s="25" t="n"/>
      <c r="F18" s="26" t="n"/>
      <c r="G18" s="24" t="n"/>
      <c r="H18" s="25" t="n"/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/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n"/>
    </row>
    <row r="19">
      <c r="A19" s="23" t="n"/>
      <c r="B19" s="23" t="n"/>
      <c r="C19" s="23" t="n"/>
      <c r="D19" s="24" t="n"/>
      <c r="E19" s="25" t="n"/>
      <c r="F19" s="26" t="n"/>
      <c r="G19" s="24" t="n"/>
      <c r="H19" s="25" t="n"/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/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n"/>
    </row>
    <row r="20">
      <c r="A20" s="23" t="n"/>
      <c r="B20" s="23" t="n"/>
      <c r="C20" s="23" t="n"/>
      <c r="D20" s="24" t="n"/>
      <c r="E20" s="25" t="n"/>
      <c r="F20" s="26" t="n"/>
      <c r="G20" s="24" t="n"/>
      <c r="H20" s="25" t="n"/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/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n"/>
    </row>
    <row r="21">
      <c r="A21" s="23" t="n"/>
      <c r="B21" s="23" t="n"/>
      <c r="C21" s="23" t="n"/>
      <c r="D21" s="24" t="n"/>
      <c r="E21" s="25" t="n"/>
      <c r="F21" s="26" t="n"/>
      <c r="G21" s="24" t="n"/>
      <c r="H21" s="25" t="n"/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/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n"/>
    </row>
    <row r="22">
      <c r="A22" s="23" t="n"/>
      <c r="B22" s="23" t="n"/>
      <c r="C22" s="23" t="n"/>
      <c r="D22" s="24" t="n"/>
      <c r="E22" s="25" t="n"/>
      <c r="F22" s="26" t="n"/>
      <c r="G22" s="24" t="n"/>
      <c r="H22" s="25" t="n"/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/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n"/>
    </row>
    <row r="23">
      <c r="A23" s="23" t="n"/>
      <c r="B23" s="23" t="n"/>
      <c r="C23" s="23" t="n"/>
      <c r="D23" s="24" t="n"/>
      <c r="E23" s="25" t="n"/>
      <c r="F23" s="26" t="n"/>
      <c r="G23" s="24" t="n"/>
      <c r="H23" s="25" t="n"/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/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n"/>
    </row>
    <row r="24">
      <c r="A24" s="23" t="n"/>
      <c r="B24" s="23" t="n"/>
      <c r="C24" s="23" t="n"/>
      <c r="D24" s="24" t="n"/>
      <c r="E24" s="25" t="n"/>
      <c r="F24" s="26" t="n"/>
      <c r="G24" s="24" t="n"/>
      <c r="H24" s="25" t="n"/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/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n"/>
    </row>
    <row r="25">
      <c r="A25" s="23" t="n"/>
      <c r="B25" s="23" t="n"/>
      <c r="C25" s="23" t="n"/>
      <c r="D25" s="24" t="n"/>
      <c r="E25" s="25" t="n"/>
      <c r="F25" s="26" t="n"/>
      <c r="G25" s="24" t="n"/>
      <c r="H25" s="25" t="n"/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/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n"/>
    </row>
    <row r="26">
      <c r="A26" s="23" t="n"/>
      <c r="B26" s="23" t="n"/>
      <c r="C26" s="23" t="n"/>
      <c r="D26" s="24" t="n"/>
      <c r="E26" s="25" t="n"/>
      <c r="F26" s="26" t="n"/>
      <c r="G26" s="24" t="n"/>
      <c r="H26" s="25" t="n"/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/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n"/>
    </row>
    <row r="27">
      <c r="A27" s="23" t="n"/>
      <c r="B27" s="23" t="n"/>
      <c r="C27" s="23" t="n"/>
      <c r="D27" s="24" t="n"/>
      <c r="E27" s="25" t="n"/>
      <c r="F27" s="26" t="n"/>
      <c r="G27" s="24" t="n"/>
      <c r="H27" s="25" t="n"/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/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n"/>
    </row>
    <row r="28">
      <c r="A28" s="23" t="n"/>
      <c r="B28" s="23" t="n"/>
      <c r="C28" s="23" t="n"/>
      <c r="D28" s="24" t="n"/>
      <c r="E28" s="25" t="n"/>
      <c r="F28" s="26" t="n"/>
      <c r="G28" s="24" t="n"/>
      <c r="H28" s="25" t="n"/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/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n"/>
    </row>
    <row r="29">
      <c r="A29" s="23" t="n"/>
      <c r="B29" s="23" t="n"/>
      <c r="C29" s="23" t="n"/>
      <c r="D29" s="24" t="n"/>
      <c r="E29" s="25" t="n"/>
      <c r="F29" s="26" t="n"/>
      <c r="G29" s="24" t="n"/>
      <c r="H29" s="25" t="n"/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/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n"/>
    </row>
    <row r="30">
      <c r="A30" s="23" t="n"/>
      <c r="B30" s="23" t="n"/>
      <c r="C30" s="23" t="n"/>
      <c r="D30" s="24" t="n"/>
      <c r="E30" s="25" t="n"/>
      <c r="F30" s="26" t="n"/>
      <c r="G30" s="24" t="n"/>
      <c r="H30" s="25" t="n"/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/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n"/>
    </row>
    <row r="31">
      <c r="A31" s="23" t="n"/>
      <c r="B31" s="23" t="n"/>
      <c r="C31" s="23" t="n"/>
      <c r="D31" s="24" t="n"/>
      <c r="E31" s="25" t="n"/>
      <c r="F31" s="26" t="n"/>
      <c r="G31" s="24" t="n"/>
      <c r="H31" s="25" t="n"/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/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n"/>
    </row>
    <row r="32">
      <c r="A32" s="23" t="n"/>
      <c r="B32" s="23" t="n"/>
      <c r="C32" s="23" t="n"/>
      <c r="D32" s="24" t="n"/>
      <c r="E32" s="25" t="n"/>
      <c r="F32" s="26" t="n"/>
      <c r="G32" s="24" t="n"/>
      <c r="H32" s="25" t="n"/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/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n"/>
    </row>
    <row r="33">
      <c r="A33" s="23" t="n"/>
      <c r="B33" s="23" t="n"/>
      <c r="C33" s="23" t="n"/>
      <c r="D33" s="24" t="n"/>
      <c r="E33" s="25" t="n"/>
      <c r="F33" s="26" t="n"/>
      <c r="G33" s="24" t="n"/>
      <c r="H33" s="25" t="n"/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/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n"/>
    </row>
    <row r="34">
      <c r="A34" s="23" t="n"/>
      <c r="B34" s="23" t="n"/>
      <c r="C34" s="23" t="n"/>
      <c r="D34" s="24" t="n"/>
      <c r="E34" s="25" t="n"/>
      <c r="F34" s="26" t="n"/>
      <c r="G34" s="24" t="n"/>
      <c r="H34" s="25" t="n"/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/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n"/>
    </row>
    <row r="35">
      <c r="A35" s="23" t="n"/>
      <c r="B35" s="23" t="n"/>
      <c r="C35" s="23" t="n"/>
      <c r="D35" s="24" t="n"/>
      <c r="E35" s="25" t="n"/>
      <c r="F35" s="26" t="n"/>
      <c r="G35" s="24" t="n"/>
      <c r="H35" s="25" t="n"/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/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n"/>
    </row>
    <row r="36">
      <c r="A36" s="23" t="n"/>
      <c r="B36" s="23" t="n"/>
      <c r="C36" s="23" t="n"/>
      <c r="D36" s="24" t="n"/>
      <c r="E36" s="25" t="n"/>
      <c r="F36" s="26" t="n"/>
      <c r="G36" s="24" t="n"/>
      <c r="H36" s="25" t="n"/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/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n"/>
    </row>
    <row r="37">
      <c r="A37" s="23" t="n"/>
      <c r="B37" s="23" t="n"/>
      <c r="C37" s="23" t="n"/>
      <c r="D37" s="24" t="n"/>
      <c r="E37" s="25" t="n"/>
      <c r="F37" s="26" t="n"/>
      <c r="G37" s="24" t="n"/>
      <c r="H37" s="25" t="n"/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/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n"/>
    </row>
    <row r="38">
      <c r="A38" s="23" t="n"/>
      <c r="B38" s="23" t="n"/>
      <c r="C38" s="23" t="n"/>
      <c r="D38" s="24" t="n"/>
      <c r="E38" s="25" t="n"/>
      <c r="F38" s="26" t="n"/>
      <c r="G38" s="24" t="n"/>
      <c r="H38" s="25" t="n"/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/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n"/>
    </row>
    <row r="39">
      <c r="A39" s="23" t="n"/>
      <c r="B39" s="23" t="n"/>
      <c r="C39" s="23" t="n"/>
      <c r="D39" s="24" t="n"/>
      <c r="E39" s="25" t="n"/>
      <c r="F39" s="26" t="n"/>
      <c r="G39" s="24" t="n"/>
      <c r="H39" s="25" t="n"/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/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n"/>
    </row>
    <row r="40">
      <c r="A40" s="23" t="n"/>
      <c r="B40" s="23" t="n"/>
      <c r="C40" s="23" t="n"/>
      <c r="D40" s="24" t="n"/>
      <c r="E40" s="25" t="n"/>
      <c r="F40" s="26" t="n"/>
      <c r="G40" s="24" t="n"/>
      <c r="H40" s="25" t="n"/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/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n"/>
    </row>
    <row r="41">
      <c r="A41" s="23" t="n"/>
      <c r="B41" s="23" t="n"/>
      <c r="C41" s="23" t="n"/>
      <c r="D41" s="24" t="n"/>
      <c r="E41" s="25" t="n"/>
      <c r="F41" s="26" t="n"/>
      <c r="G41" s="24" t="n"/>
      <c r="H41" s="25" t="n"/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/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n"/>
    </row>
    <row r="42">
      <c r="A42" s="23" t="n"/>
      <c r="B42" s="23" t="n"/>
      <c r="C42" s="23" t="n"/>
      <c r="D42" s="24" t="n"/>
      <c r="E42" s="25" t="n"/>
      <c r="F42" s="26" t="n"/>
      <c r="G42" s="24" t="n"/>
      <c r="H42" s="25" t="n"/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/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n"/>
    </row>
    <row r="43">
      <c r="A43" s="23" t="n"/>
      <c r="B43" s="23" t="n"/>
      <c r="C43" s="23" t="n"/>
      <c r="D43" s="24" t="n"/>
      <c r="E43" s="25" t="n"/>
      <c r="F43" s="26" t="n"/>
      <c r="G43" s="24" t="n"/>
      <c r="H43" s="25" t="n"/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/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n"/>
    </row>
    <row r="44">
      <c r="A44" s="23" t="n"/>
      <c r="B44" s="23" t="n"/>
      <c r="C44" s="23" t="n"/>
      <c r="D44" s="24" t="n"/>
      <c r="E44" s="25" t="n"/>
      <c r="F44" s="26" t="n"/>
      <c r="G44" s="24" t="n"/>
      <c r="H44" s="25" t="n"/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/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n"/>
    </row>
    <row r="45">
      <c r="A45" s="23" t="n"/>
      <c r="B45" s="23" t="n"/>
      <c r="C45" s="23" t="n"/>
      <c r="D45" s="24" t="n"/>
      <c r="E45" s="25" t="n"/>
      <c r="F45" s="26" t="n"/>
      <c r="G45" s="24" t="n"/>
      <c r="H45" s="25" t="n"/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/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n"/>
    </row>
    <row r="46">
      <c r="A46" s="23" t="n"/>
      <c r="B46" s="23" t="n"/>
      <c r="C46" s="23" t="n"/>
      <c r="D46" s="24" t="n"/>
      <c r="E46" s="25" t="n"/>
      <c r="F46" s="26" t="n"/>
      <c r="G46" s="24" t="n"/>
      <c r="H46" s="25" t="n"/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/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n"/>
    </row>
    <row r="47">
      <c r="A47" s="23" t="n"/>
      <c r="B47" s="23" t="n"/>
      <c r="C47" s="23" t="n"/>
      <c r="D47" s="24" t="n"/>
      <c r="E47" s="25" t="n"/>
      <c r="F47" s="26" t="n"/>
      <c r="G47" s="24" t="n"/>
      <c r="H47" s="25" t="n"/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/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n"/>
    </row>
    <row r="48">
      <c r="A48" s="23" t="n"/>
      <c r="B48" s="23" t="n"/>
      <c r="C48" s="23" t="n"/>
      <c r="D48" s="24" t="n"/>
      <c r="E48" s="25" t="n"/>
      <c r="F48" s="26" t="n"/>
      <c r="G48" s="24" t="n"/>
      <c r="H48" s="25" t="n"/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/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n"/>
    </row>
    <row r="49">
      <c r="A49" s="23" t="n"/>
      <c r="B49" s="23" t="n"/>
      <c r="C49" s="23" t="n"/>
      <c r="D49" s="24" t="n"/>
      <c r="E49" s="25" t="n"/>
      <c r="F49" s="26" t="n"/>
      <c r="G49" s="24" t="n"/>
      <c r="H49" s="25" t="n"/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/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n"/>
    </row>
    <row r="50">
      <c r="A50" s="23" t="n"/>
      <c r="B50" s="23" t="n"/>
      <c r="C50" s="23" t="n"/>
      <c r="D50" s="24" t="n"/>
      <c r="E50" s="25" t="n"/>
      <c r="F50" s="26" t="n"/>
      <c r="G50" s="24" t="n"/>
      <c r="H50" s="25" t="n"/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/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n"/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/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n"/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/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n"/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/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n"/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/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n"/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/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n"/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/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n"/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/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n"/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/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n"/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/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n"/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/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n"/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/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n"/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/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n"/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/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n"/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/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n"/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/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n"/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/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n"/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/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n"/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/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n"/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/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n"/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/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n"/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/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n"/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/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n"/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/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n"/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/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n"/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/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n"/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/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n"/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/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n"/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/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n"/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/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n"/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/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n"/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/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n"/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/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n"/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/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n"/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/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n"/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/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n"/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/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n"/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/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n"/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/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n"/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/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n"/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/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n"/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/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n"/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/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n"/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/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n"/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/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n"/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/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n"/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/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n"/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/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n"/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/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n"/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/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n"/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/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n"/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/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n"/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/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n"/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/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n"/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/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n"/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/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n"/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/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n"/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/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n"/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/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n"/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/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n"/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/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n"/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/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n"/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/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n"/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/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n"/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/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n"/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/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n"/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/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n"/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/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n"/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/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n"/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/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n"/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/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n"/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/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n"/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/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n"/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/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n"/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/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n"/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/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n"/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/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n"/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/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n"/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/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n"/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/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n"/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/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n"/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/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n"/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/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n"/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/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n"/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/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n"/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/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n"/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/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n"/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/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n"/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/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n"/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/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n"/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/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n"/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/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n"/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/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n"/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/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n"/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/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n"/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/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n"/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/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n"/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/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n"/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/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n"/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/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n"/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/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n"/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/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n"/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/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n"/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/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n"/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/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n"/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/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n"/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/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n"/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/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n"/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/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n"/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/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n"/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/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n"/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/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n"/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/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n"/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/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n"/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/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n"/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/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n"/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/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n"/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/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n"/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/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n"/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/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n"/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/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n"/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/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n"/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/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n"/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/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n"/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/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n"/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/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n"/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/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n"/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/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n"/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/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n"/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/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n"/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/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n"/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/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n"/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/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n"/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/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n"/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/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n"/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/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n"/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/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n"/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/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n"/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/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n"/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/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n"/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/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n"/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/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n"/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/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n"/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/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n"/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/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n"/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/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n"/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/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n"/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/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n"/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/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n"/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/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n"/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/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n"/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/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n"/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/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n"/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/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n"/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/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n"/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/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n"/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/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n"/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/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n"/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/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n"/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/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n"/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/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n"/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/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n"/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/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n"/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/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n"/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/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n"/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/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n"/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/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n"/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/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n"/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/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n"/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/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n"/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/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n"/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/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n"/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/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n"/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/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n"/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/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n"/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/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n"/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/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n"/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/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n"/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/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n"/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/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n"/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/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n"/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/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n"/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/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n"/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/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n"/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/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n"/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/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n"/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/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n"/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/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n"/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/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n"/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/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n"/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/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n"/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/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n"/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/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n"/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/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n"/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/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n"/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/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n"/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/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n"/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/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n"/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/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n"/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/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n"/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/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n"/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/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n"/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/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n"/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/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n"/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/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n"/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46296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ARFIN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DELTACORP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DPABHUSHAN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GPTINFRA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KRISHNADEF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MOBIKWIK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PNGSREVA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SATIN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SGFIN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SMCGLOBAL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YUKEN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3" t="inlineStr">
        <is>
          <t>TOTAL</t>
        </is>
      </c>
      <c r="B15" s="30">
        <f>SUM(B4:B14)</f>
        <v/>
      </c>
      <c r="C15" s="30">
        <f>SUM(C4:C14)</f>
        <v/>
      </c>
      <c r="D15" s="30">
        <f>SUM(D4:D14)</f>
        <v/>
      </c>
      <c r="E15" s="31">
        <f>IFERROR(C15/B15,"")</f>
        <v/>
      </c>
      <c r="F15" s="32">
        <f>SUM(F4:F14)</f>
        <v/>
      </c>
      <c r="G15" s="32">
        <f>SUM(G4:G14)</f>
        <v/>
      </c>
      <c r="H15" s="32">
        <f>IFERROR(G15/B15,"")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46301</v>
      </c>
      <c r="E4" s="4" t="n">
        <v>0</v>
      </c>
      <c r="F4" s="4" t="n">
        <v>300.68</v>
      </c>
      <c r="G4" s="4" t="n">
        <v>9.23</v>
      </c>
      <c r="H4" s="4" t="n">
        <v>0.3</v>
      </c>
      <c r="I4" s="4" t="n">
        <v>22.55</v>
      </c>
      <c r="J4" s="4" t="n">
        <v>1.72</v>
      </c>
      <c r="K4" s="4" t="n">
        <v>14.75</v>
      </c>
      <c r="L4" s="4" t="n">
        <v>0</v>
      </c>
      <c r="M4" s="4" t="n">
        <v>0</v>
      </c>
      <c r="N4" s="21">
        <f>SUM(E4:M4)</f>
        <v/>
      </c>
    </row>
    <row r="5">
      <c r="A5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5" s="23" t="inlineStr">
        <is>
          <t>SGFIN</t>
        </is>
      </c>
      <c r="C5" s="23" t="inlineStr">
        <is>
          <t>LONG</t>
        </is>
      </c>
      <c r="D5" s="24" t="n">
        <v>46301</v>
      </c>
      <c r="E5" s="4" t="n">
        <v>110.04</v>
      </c>
      <c r="F5" s="4" t="n">
        <v>591.87</v>
      </c>
      <c r="G5" s="4" t="n">
        <v>18.17</v>
      </c>
      <c r="H5" s="4" t="n">
        <v>0.59</v>
      </c>
      <c r="I5" s="4" t="n">
        <v>45.02</v>
      </c>
      <c r="J5" s="4" t="n">
        <v>23.18</v>
      </c>
      <c r="K5" s="4" t="n">
        <v>14.75</v>
      </c>
      <c r="L5" s="4" t="n">
        <v>35.4</v>
      </c>
      <c r="M5" s="4" t="n">
        <v>61.58</v>
      </c>
      <c r="N5" s="21">
        <f>SUM(E5:M5)</f>
        <v/>
      </c>
    </row>
    <row r="6">
      <c r="A6" s="23" t="inlineStr">
        <is>
          <t>DHAN-221261005679509</t>
        </is>
      </c>
      <c r="B6" s="23" t="inlineStr">
        <is>
          <t>SMCGLOBAL</t>
        </is>
      </c>
      <c r="C6" s="23" t="inlineStr">
        <is>
          <t>LONG</t>
        </is>
      </c>
      <c r="D6" s="24" t="n">
        <v>46301</v>
      </c>
      <c r="E6" s="4" t="n">
        <v>40</v>
      </c>
      <c r="F6" s="4" t="n">
        <v>585.45</v>
      </c>
      <c r="G6" s="4" t="n">
        <v>17.98</v>
      </c>
      <c r="H6" s="4" t="n">
        <v>0.59</v>
      </c>
      <c r="I6" s="4" t="n">
        <v>44.97</v>
      </c>
      <c r="J6" s="4" t="n">
        <v>10.54</v>
      </c>
      <c r="K6" s="4" t="n">
        <v>14.75</v>
      </c>
      <c r="L6" s="4" t="n">
        <v>35.4</v>
      </c>
      <c r="M6" s="4" t="n">
        <v>51.14</v>
      </c>
      <c r="N6" s="21">
        <f>SUM(E6:M6)</f>
        <v/>
      </c>
    </row>
    <row r="7">
      <c r="A7" s="23" t="inlineStr">
        <is>
          <t>DHAN-321261006605709</t>
        </is>
      </c>
      <c r="B7" s="23" t="inlineStr">
        <is>
          <t>KRISHNADEF</t>
        </is>
      </c>
      <c r="C7" s="23" t="inlineStr">
        <is>
          <t>LONG</t>
        </is>
      </c>
      <c r="D7" s="24" t="n">
        <v>46302</v>
      </c>
      <c r="E7" s="4" t="n">
        <v>20</v>
      </c>
      <c r="F7" s="4" t="n">
        <v>300.16</v>
      </c>
      <c r="G7" s="4" t="n">
        <v>9.199999999999999</v>
      </c>
      <c r="H7" s="4" t="n">
        <v>0.3</v>
      </c>
      <c r="I7" s="4" t="n">
        <v>45.16</v>
      </c>
      <c r="J7" s="4" t="n">
        <v>5.31</v>
      </c>
      <c r="K7" s="4" t="n">
        <v>14.75</v>
      </c>
      <c r="L7" s="4" t="n">
        <v>35.4</v>
      </c>
      <c r="M7" s="4" t="n">
        <v>51.24</v>
      </c>
      <c r="N7" s="21">
        <f>SUM(E7:M7)</f>
        <v/>
      </c>
    </row>
    <row r="8">
      <c r="A8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8" s="23" t="inlineStr">
        <is>
          <t>SATIN</t>
        </is>
      </c>
      <c r="C8" s="23" t="inlineStr">
        <is>
          <t>LONG</t>
        </is>
      </c>
      <c r="D8" s="24" t="n">
        <v>46302</v>
      </c>
      <c r="E8" s="4" t="n">
        <v>89.77</v>
      </c>
      <c r="F8" s="4" t="n">
        <v>299.29</v>
      </c>
      <c r="G8" s="4" t="n">
        <v>9.19</v>
      </c>
      <c r="H8" s="4" t="n">
        <v>0.3</v>
      </c>
      <c r="I8" s="4" t="n">
        <v>44.89</v>
      </c>
      <c r="J8" s="4" t="n">
        <v>17.87</v>
      </c>
      <c r="K8" s="4" t="n">
        <v>14.75</v>
      </c>
      <c r="L8" s="4" t="n">
        <v>35.4</v>
      </c>
      <c r="M8" s="4" t="n">
        <v>61.41</v>
      </c>
      <c r="N8" s="21">
        <f>SUM(E8:M8)</f>
        <v/>
      </c>
    </row>
    <row r="9">
      <c r="A9" s="23" t="inlineStr">
        <is>
          <t>DHAN-34126100786209</t>
        </is>
      </c>
      <c r="B9" s="23" t="inlineStr">
        <is>
          <t>ARFIN</t>
        </is>
      </c>
      <c r="C9" s="23" t="inlineStr">
        <is>
          <t>LONG</t>
        </is>
      </c>
      <c r="D9" s="24" t="inlineStr"/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14.75</v>
      </c>
      <c r="L9" s="4" t="n">
        <v>35.4</v>
      </c>
      <c r="M9" s="4" t="n">
        <v>0</v>
      </c>
      <c r="N9" s="21">
        <f>SUM(E9:M9)</f>
        <v/>
      </c>
    </row>
    <row r="10">
      <c r="A10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10" s="23" t="inlineStr">
        <is>
          <t>DPABHUSHAN</t>
        </is>
      </c>
      <c r="C10" s="23" t="inlineStr">
        <is>
          <t>LONG</t>
        </is>
      </c>
      <c r="D10" s="24" t="inlineStr"/>
      <c r="E10" s="4" t="n">
        <v>0</v>
      </c>
      <c r="F10" s="4" t="n">
        <v>149.73</v>
      </c>
      <c r="G10" s="4" t="n">
        <v>4.6</v>
      </c>
      <c r="H10" s="4" t="n">
        <v>0.15</v>
      </c>
      <c r="I10" s="4" t="n">
        <v>22.46</v>
      </c>
      <c r="J10" s="4" t="n">
        <v>0.85</v>
      </c>
      <c r="K10" s="4" t="n">
        <v>14.75</v>
      </c>
      <c r="L10" s="4" t="n">
        <v>0</v>
      </c>
      <c r="M10" s="4" t="n">
        <v>0</v>
      </c>
      <c r="N10" s="21">
        <f>SUM(E10:M10)</f>
        <v/>
      </c>
    </row>
    <row r="11">
      <c r="A11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1" s="23" t="inlineStr">
        <is>
          <t>GPTINFRA</t>
        </is>
      </c>
      <c r="C11" s="23" t="inlineStr">
        <is>
          <t>LONG</t>
        </is>
      </c>
      <c r="D11" s="24" t="inlineStr"/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14.75</v>
      </c>
      <c r="L11" s="4" t="n">
        <v>35.4</v>
      </c>
      <c r="M11" s="4" t="n">
        <v>0</v>
      </c>
      <c r="N11" s="21">
        <f>SUM(E11:M11)</f>
        <v/>
      </c>
    </row>
    <row r="12">
      <c r="A12" s="23" t="inlineStr">
        <is>
          <t>DHAN-321261007633409</t>
        </is>
      </c>
      <c r="B12" s="23" t="inlineStr">
        <is>
          <t>MOBIKWIK</t>
        </is>
      </c>
      <c r="C12" s="23" t="inlineStr">
        <is>
          <t>LONG</t>
        </is>
      </c>
      <c r="D12" s="24" t="inlineStr"/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14.75</v>
      </c>
      <c r="L12" s="4" t="n">
        <v>35.4</v>
      </c>
      <c r="M12" s="4" t="n">
        <v>0</v>
      </c>
      <c r="N12" s="21">
        <f>SUM(E12:M12)</f>
        <v/>
      </c>
    </row>
    <row r="13">
      <c r="A13" s="23" t="inlineStr">
        <is>
          <t>DHAN-34126100785009+34126100785109+221261007627809+221261007628109+321261007629509+23126100782809+321261007629709+221261007629309+221261007629609+221261007629909+23126100783009</t>
        </is>
      </c>
      <c r="B13" s="23" t="inlineStr">
        <is>
          <t>PNGSREVA</t>
        </is>
      </c>
      <c r="C13" s="23" t="inlineStr">
        <is>
          <t>LONG</t>
        </is>
      </c>
      <c r="D13" s="24" t="inlineStr"/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14.75</v>
      </c>
      <c r="L13" s="4" t="n">
        <v>35.4</v>
      </c>
      <c r="M13" s="4" t="n">
        <v>0</v>
      </c>
      <c r="N13" s="21">
        <f>SUM(E13:M13)</f>
        <v/>
      </c>
    </row>
    <row r="14">
      <c r="A14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4" s="23" t="inlineStr">
        <is>
          <t>YUKEN</t>
        </is>
      </c>
      <c r="C14" s="23" t="inlineStr">
        <is>
          <t>LONG</t>
        </is>
      </c>
      <c r="D14" s="24" t="inlineStr"/>
      <c r="E14" s="4" t="n">
        <v>89.91</v>
      </c>
      <c r="F14" s="4" t="n">
        <v>299.69</v>
      </c>
      <c r="G14" s="4" t="n">
        <v>9.199999999999999</v>
      </c>
      <c r="H14" s="4" t="n">
        <v>0.3</v>
      </c>
      <c r="I14" s="4" t="n">
        <v>44.95</v>
      </c>
      <c r="J14" s="4" t="n">
        <v>17.89</v>
      </c>
      <c r="K14" s="4" t="n">
        <v>14.75</v>
      </c>
      <c r="L14" s="4" t="n">
        <v>35.4</v>
      </c>
      <c r="M14" s="4" t="n">
        <v>51.25</v>
      </c>
      <c r="N14" s="21">
        <f>SUM(E14:M14)</f>
        <v/>
      </c>
    </row>
    <row r="15">
      <c r="A15" s="3" t="inlineStr">
        <is>
          <t>TOTAL</t>
        </is>
      </c>
      <c r="E15" s="32">
        <f>SUM(E4:E14)</f>
        <v/>
      </c>
      <c r="F15" s="32">
        <f>SUM(F4:F14)</f>
        <v/>
      </c>
      <c r="G15" s="32">
        <f>SUM(G4:G14)</f>
        <v/>
      </c>
      <c r="H15" s="32">
        <f>SUM(H4:H14)</f>
        <v/>
      </c>
      <c r="I15" s="32">
        <f>SUM(I4:I14)</f>
        <v/>
      </c>
      <c r="J15" s="32">
        <f>SUM(J4:J14)</f>
        <v/>
      </c>
      <c r="K15" s="32">
        <f>SUM(K4:K14)</f>
        <v/>
      </c>
      <c r="L15" s="32">
        <f>SUM(L4:L14)</f>
        <v/>
      </c>
      <c r="M15" s="32">
        <f>SUM(M4:M14)</f>
        <v/>
      </c>
      <c r="N15" s="32">
        <f>SUM(N4:N14)</f>
        <v/>
      </c>
    </row>
  </sheetData>
  <autoFilter ref="A3:N14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2026-10</t>
        </is>
      </c>
      <c r="B5" s="20">
        <f>COUNTIFS('Trade Log'!$G$4:$G$503,"&gt;="&amp;DATE(2026,10,1),'Trade Log'!$G$4:$G$503,"&lt;"&amp;DATE(2026,11,1))</f>
        <v/>
      </c>
      <c r="C5" s="20">
        <f>COUNTIFS('Trade Log'!$G$4:$G$503,"&gt;="&amp;DATE(2026,10,1),'Trade Log'!$G$4:$G$503,"&lt;"&amp;DATE(2026,11,1),'Trade Log'!$L$4:$L$503,"&gt;0")</f>
        <v/>
      </c>
      <c r="D5" s="20">
        <f>COUNTIFS('Trade Log'!$G$4:$G$503,"&gt;="&amp;DATE(2026,10,1),'Trade Log'!$G$4:$G$503,"&lt;"&amp;DATE(2026,11,1),'Trade Log'!$L$4:$L$503,"&lt;0")</f>
        <v/>
      </c>
      <c r="E5" s="22">
        <f>IFERROR($C5/$B5,"")</f>
        <v/>
      </c>
      <c r="F5" s="21">
        <f>SUMIFS('Trade Log'!$I$4:$I$503,'Trade Log'!$G$4:$G$503,"&gt;="&amp;DATE(2026,10,1),'Trade Log'!$G$4:$G$503,"&lt;"&amp;DATE(2026,11,1))</f>
        <v/>
      </c>
      <c r="G5" s="21">
        <f>SUMIFS('Trade Log'!$L$4:$L$503,'Trade Log'!$G$4:$G$503,"&gt;="&amp;DATE(2026,10,1),'Trade Log'!$G$4:$G$503,"&lt;"&amp;DATE(2026,11,1))</f>
        <v/>
      </c>
      <c r="H5" s="21">
        <f>IFERROR($G5/$B5,"")</f>
        <v/>
      </c>
      <c r="I5" s="21">
        <f>IFERROR(_xlfn.MAXIFS('Trade Log'!$L$4:$L$503,'Trade Log'!$G$4:$G$503,"&gt;="&amp;DATE(2026,10,1),'Trade Log'!$G$4:$G$503,"&lt;"&amp;DATE(2026,11,1)),"")</f>
        <v/>
      </c>
      <c r="J5" s="21">
        <f>IFERROR(_xlfn.MINIFS('Trade Log'!$L$4:$L$503,'Trade Log'!$G$4:$G$503,"&gt;="&amp;DATE(2026,10,1),'Trade Log'!$G$4:$G$503,"&lt;"&amp;DATE(2026,11,1)),"")</f>
        <v/>
      </c>
      <c r="K5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6">
      <c r="A6" s="3" t="inlineStr">
        <is>
          <t>TOTAL</t>
        </is>
      </c>
      <c r="B6" s="30">
        <f>SUM(B5:B5)</f>
        <v/>
      </c>
      <c r="C6" s="30">
        <f>SUM(C5:C5)</f>
        <v/>
      </c>
      <c r="D6" s="30">
        <f>SUM(D5:D5)</f>
        <v/>
      </c>
      <c r="E6" s="31">
        <f>IFERROR(C6/B6,"")</f>
        <v/>
      </c>
      <c r="F6" s="32">
        <f>SUM(F5:F5)</f>
        <v/>
      </c>
      <c r="G6" s="32">
        <f>SUM(G5:G5)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  <row r="8">
      <c r="A8" s="3" t="inlineStr">
        <is>
          <t>WEEKLY PnL</t>
        </is>
      </c>
    </row>
    <row r="9">
      <c r="A9" s="19" t="inlineStr">
        <is>
          <t>Period</t>
        </is>
      </c>
      <c r="B9" s="19" t="inlineStr">
        <is>
          <t>Trades</t>
        </is>
      </c>
      <c r="C9" s="19" t="inlineStr">
        <is>
          <t>Wins</t>
        </is>
      </c>
      <c r="D9" s="19" t="inlineStr">
        <is>
          <t>Losses</t>
        </is>
      </c>
      <c r="E9" s="19" t="inlineStr">
        <is>
          <t>Win Rate</t>
        </is>
      </c>
      <c r="F9" s="19" t="inlineStr">
        <is>
          <t>Gross P&amp;L</t>
        </is>
      </c>
      <c r="G9" s="19" t="inlineStr">
        <is>
          <t>Net P&amp;L</t>
        </is>
      </c>
      <c r="H9" s="19" t="inlineStr">
        <is>
          <t>Avg Net P&amp;L / Trade</t>
        </is>
      </c>
      <c r="I9" s="19" t="inlineStr">
        <is>
          <t>Best Trade</t>
        </is>
      </c>
      <c r="J9" s="19" t="inlineStr">
        <is>
          <t>Worst Trade</t>
        </is>
      </c>
      <c r="K9" s="19" t="inlineStr">
        <is>
          <t>Profit Factor</t>
        </is>
      </c>
    </row>
    <row r="10">
      <c r="A10" s="28" t="n">
        <v>46300</v>
      </c>
      <c r="B10" s="20">
        <f>COUNTIFS('Trade Log'!$G$4:$G$503,"&gt;="&amp;DATE(2026,10,5),'Trade Log'!$G$4:$G$503,"&lt;"&amp;DATE(2026,10,12))</f>
        <v/>
      </c>
      <c r="C10" s="20">
        <f>COUNTIFS('Trade Log'!$G$4:$G$503,"&gt;="&amp;DATE(2026,10,5),'Trade Log'!$G$4:$G$503,"&lt;"&amp;DATE(2026,10,12),'Trade Log'!$L$4:$L$503,"&gt;0")</f>
        <v/>
      </c>
      <c r="D10" s="20">
        <f>COUNTIFS('Trade Log'!$G$4:$G$503,"&gt;="&amp;DATE(2026,10,5),'Trade Log'!$G$4:$G$503,"&lt;"&amp;DATE(2026,10,12),'Trade Log'!$L$4:$L$503,"&lt;0")</f>
        <v/>
      </c>
      <c r="E10" s="22">
        <f>IFERROR($C10/$B10,"")</f>
        <v/>
      </c>
      <c r="F10" s="21">
        <f>SUMIFS('Trade Log'!$I$4:$I$503,'Trade Log'!$G$4:$G$503,"&gt;="&amp;DATE(2026,10,5),'Trade Log'!$G$4:$G$503,"&lt;"&amp;DATE(2026,10,12))</f>
        <v/>
      </c>
      <c r="G10" s="21">
        <f>SUMIFS('Trade Log'!$L$4:$L$503,'Trade Log'!$G$4:$G$503,"&gt;="&amp;DATE(2026,10,5),'Trade Log'!$G$4:$G$503,"&lt;"&amp;DATE(2026,10,12))</f>
        <v/>
      </c>
      <c r="H10" s="21">
        <f>IFERROR($G10/$B10,"")</f>
        <v/>
      </c>
      <c r="I10" s="21">
        <f>IFERROR(_xlfn.MAXIFS('Trade Log'!$L$4:$L$503,'Trade Log'!$G$4:$G$503,"&gt;="&amp;DATE(2026,10,5),'Trade Log'!$G$4:$G$503,"&lt;"&amp;DATE(2026,10,12)),"")</f>
        <v/>
      </c>
      <c r="J10" s="21">
        <f>IFERROR(_xlfn.MINIFS('Trade Log'!$L$4:$L$503,'Trade Log'!$G$4:$G$503,"&gt;="&amp;DATE(2026,10,5),'Trade Log'!$G$4:$G$503,"&lt;"&amp;DATE(2026,10,12)),"")</f>
        <v/>
      </c>
      <c r="K10" s="29">
        <f>IFERROR(SUMIFS('Trade Log'!$L$4:$L$503,'Trade Log'!$G$4:$G$503,"&gt;="&amp;DATE(2026,10,5),'Trade Log'!$G$4:$G$503,"&lt;"&amp;DATE(2026,10,12),'Trade Log'!$L$4:$L$503,"&gt;0")/ABS(SUMIFS('Trade Log'!$L$4:$L$503,'Trade Log'!$G$4:$G$503,"&gt;="&amp;DATE(2026,10,5),'Trade Log'!$G$4:$G$503,"&lt;"&amp;DATE(2026,10,12),'Trade Log'!$L$4:$L$503,"&lt;0")),"")</f>
        <v/>
      </c>
    </row>
    <row r="11">
      <c r="A11" s="3" t="inlineStr">
        <is>
          <t>TOTAL</t>
        </is>
      </c>
      <c r="B11" s="30">
        <f>SUM(B10:B10)</f>
        <v/>
      </c>
      <c r="C11" s="30">
        <f>SUM(C10:C10)</f>
        <v/>
      </c>
      <c r="D11" s="30">
        <f>SUM(D10:D10)</f>
        <v/>
      </c>
      <c r="E11" s="31">
        <f>IFERROR(C11/B11,"")</f>
        <v/>
      </c>
      <c r="F11" s="32">
        <f>SUM(F10:F10)</f>
        <v/>
      </c>
      <c r="G11" s="32">
        <f>SUM(G10:G10)</f>
        <v/>
      </c>
      <c r="H11" s="32">
        <f>IFERROR(G11/B11,"")</f>
        <v/>
      </c>
      <c r="K11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2026-10-07T10:16:24Z</dcterms:created>
  <dcterms:modified xmlns:dcterms="http://purl.org/dc/terms/" xmlns:xsi="http://www.w3.org/2001/XMLSchema-instance" xsi:type="dcterms:W3CDTF">2026-10-07T10:16:25Z</dcterms:modified>
</cp:coreProperties>
</file>