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955.01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819.04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857.27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969.48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943.04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691.26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756.38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687.86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683.87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660.9400000000001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666.67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676.87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658.46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419.65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557.29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547.58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547.84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554.59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550.7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550.84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425.96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553.04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478.05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624.05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614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592.26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618.36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924.52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945.8200000000001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915.86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1026.85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1028.54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955.05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1035.24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984.48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939.9299999999999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46318</v>
      </c>
      <c r="E54" s="25" t="n">
        <v>24.9837</v>
      </c>
      <c r="F54" s="26" t="n">
        <v>6007</v>
      </c>
      <c r="G54" s="24" t="n">
        <v>46321</v>
      </c>
      <c r="H54" s="25" t="n">
        <v>25.7571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192.92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5-10</t>
        </is>
      </c>
    </row>
    <row r="55">
      <c r="A55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5" s="23" t="inlineStr">
        <is>
          <t>JINDALPOLY</t>
        </is>
      </c>
      <c r="C55" s="23" t="inlineStr">
        <is>
          <t>LONG</t>
        </is>
      </c>
      <c r="D55" s="24" t="n">
        <v>46318</v>
      </c>
      <c r="E55" s="25" t="n">
        <v>726.0981</v>
      </c>
      <c r="F55" s="26" t="n">
        <v>410</v>
      </c>
      <c r="G55" s="24" t="n">
        <v>46321</v>
      </c>
      <c r="H55" s="25" t="n">
        <v>696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555.48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10-15</t>
        </is>
      </c>
    </row>
    <row r="56">
      <c r="A56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6" s="23" t="inlineStr">
        <is>
          <t>INDOSTAR</t>
        </is>
      </c>
      <c r="C56" s="23" t="inlineStr">
        <is>
          <t>LONG</t>
        </is>
      </c>
      <c r="D56" s="24" t="n">
        <v>46321</v>
      </c>
      <c r="E56" s="25" t="n">
        <v>183.525</v>
      </c>
      <c r="F56" s="26" t="n">
        <v>1635</v>
      </c>
      <c r="G56" s="24" t="inlineStr"/>
      <c r="H56" s="25" t="inlineStr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50.15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10-15</t>
        </is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FISCHER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GOODLUCK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GPTINFRA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HATHWAY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INDIAGLYCO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INDOKEM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INDOSTAR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INOXGREEN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JAICORPLTD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JINDALPOLY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KOTIC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KRISHNADEF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KROSS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MBEL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MMWL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MOBIKWIK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NIBE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OAL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ORIENTELEC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PARACABLES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PIXTRANS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PNCINFRA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PNGSREVA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PRINCEPIPE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RSYSTEMS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RUBYMILLS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SAKSOFT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SATIN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SGFIN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SHRINGARMS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SIMPLEXINF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SMCGLOBAL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SOLARA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SPORTKING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SUNCLAY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SWARAJENG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TEAMLEASE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YUKEN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3" t="inlineStr">
        <is>
          <t>TOTAL</t>
        </is>
      </c>
      <c r="B48" s="30">
        <f>SUM(B4:B47)</f>
        <v/>
      </c>
      <c r="C48" s="30">
        <f>SUM(C4:C47)</f>
        <v/>
      </c>
      <c r="D48" s="30">
        <f>SUM(D4:D47)</f>
        <v/>
      </c>
      <c r="E48" s="31">
        <f>IFERROR(C48/B48,"")</f>
        <v/>
      </c>
      <c r="F48" s="32">
        <f>SUM(F4:F47)</f>
        <v/>
      </c>
      <c r="G48" s="32">
        <f>SUM(G4:G47)</f>
        <v/>
      </c>
      <c r="H48" s="32">
        <f>IFERROR(G48/B48,"")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115.99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69.34999999999999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96.51000000000001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115.66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96.52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59.52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71.33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72.90000000000001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59.33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83.31999999999999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86.48999999999999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83.41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83.81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29.85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37.09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35.69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40.87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42.59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35.66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35.38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37.65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35.61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31.6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34.69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34.47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234.08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27.76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80.42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85.64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75.66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178.81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179.77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175.22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180.13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142.42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111.97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46321</v>
      </c>
      <c r="E54" s="4" t="n">
        <v>0</v>
      </c>
      <c r="F54" s="4" t="n">
        <v>150.05</v>
      </c>
      <c r="G54" s="4" t="n">
        <v>4.61</v>
      </c>
      <c r="H54" s="4" t="n">
        <v>0.15</v>
      </c>
      <c r="I54" s="4" t="n">
        <v>22.51</v>
      </c>
      <c r="J54" s="4" t="n">
        <v>0.86</v>
      </c>
      <c r="K54" s="4" t="n">
        <v>14.75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5" s="23" t="inlineStr">
        <is>
          <t>JINDALPOLY</t>
        </is>
      </c>
      <c r="C55" s="23" t="inlineStr">
        <is>
          <t>LONG</t>
        </is>
      </c>
      <c r="D55" s="24" t="n">
        <v>46321</v>
      </c>
      <c r="E55" s="4" t="n">
        <v>89.3</v>
      </c>
      <c r="F55" s="4" t="n">
        <v>297.95</v>
      </c>
      <c r="G55" s="4" t="n">
        <v>9.140000000000001</v>
      </c>
      <c r="H55" s="4" t="n">
        <v>0.3</v>
      </c>
      <c r="I55" s="4" t="n">
        <v>44.49</v>
      </c>
      <c r="J55" s="4" t="n">
        <v>17.77</v>
      </c>
      <c r="K55" s="4" t="n">
        <v>14.75</v>
      </c>
      <c r="L55" s="4" t="n">
        <v>35.4</v>
      </c>
      <c r="M55" s="4" t="n">
        <v>46.37</v>
      </c>
      <c r="N55" s="21">
        <f>SUM(E55:M55)</f>
        <v/>
      </c>
    </row>
    <row r="56">
      <c r="A56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6" s="23" t="inlineStr">
        <is>
          <t>INDOSTAR</t>
        </is>
      </c>
      <c r="C56" s="23" t="inlineStr">
        <is>
          <t>LONG</t>
        </is>
      </c>
      <c r="D56" s="24" t="inlineStr"/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14.75</v>
      </c>
      <c r="L56" s="4" t="n">
        <v>35.4</v>
      </c>
      <c r="M56" s="4" t="n">
        <v>0</v>
      </c>
      <c r="N56" s="21">
        <f>SUM(E56:M56)</f>
        <v/>
      </c>
    </row>
    <row r="57">
      <c r="A57" s="3" t="inlineStr">
        <is>
          <t>TOTAL</t>
        </is>
      </c>
      <c r="E57" s="32">
        <f>SUM(E4:E56)</f>
        <v/>
      </c>
      <c r="F57" s="32">
        <f>SUM(F4:F56)</f>
        <v/>
      </c>
      <c r="G57" s="32">
        <f>SUM(G4:G56)</f>
        <v/>
      </c>
      <c r="H57" s="32">
        <f>SUM(H4:H56)</f>
        <v/>
      </c>
      <c r="I57" s="32">
        <f>SUM(I4:I56)</f>
        <v/>
      </c>
      <c r="J57" s="32">
        <f>SUM(J4:J56)</f>
        <v/>
      </c>
      <c r="K57" s="32">
        <f>SUM(K4:K56)</f>
        <v/>
      </c>
      <c r="L57" s="32">
        <f>SUM(L4:L56)</f>
        <v/>
      </c>
      <c r="M57" s="32">
        <f>SUM(M4:M56)</f>
        <v/>
      </c>
      <c r="N57" s="32">
        <f>SUM(N4:N56)</f>
        <v/>
      </c>
    </row>
  </sheetData>
  <autoFilter ref="A3:N56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28" t="n">
        <v>46321</v>
      </c>
      <c r="B13" s="20">
        <f>COUNTIFS('Trade Log'!$G$4:$G$503,"&gt;="&amp;DATE(2026,10,26),'Trade Log'!$G$4:$G$503,"&lt;"&amp;DATE(2026,11,2))</f>
        <v/>
      </c>
      <c r="C13" s="20">
        <f>COUNTIFS('Trade Log'!$G$4:$G$503,"&gt;="&amp;DATE(2026,10,26),'Trade Log'!$G$4:$G$503,"&lt;"&amp;DATE(2026,11,2),'Trade Log'!$L$4:$L$503,"&gt;0")</f>
        <v/>
      </c>
      <c r="D13" s="20">
        <f>COUNTIFS('Trade Log'!$G$4:$G$503,"&gt;="&amp;DATE(2026,10,26),'Trade Log'!$G$4:$G$503,"&lt;"&amp;DATE(2026,11,2),'Trade Log'!$L$4:$L$503,"&lt;0")</f>
        <v/>
      </c>
      <c r="E13" s="22">
        <f>IFERROR($C13/$B13,"")</f>
        <v/>
      </c>
      <c r="F13" s="21">
        <f>SUMIFS('Trade Log'!$I$4:$I$503,'Trade Log'!$G$4:$G$503,"&gt;="&amp;DATE(2026,10,26),'Trade Log'!$G$4:$G$503,"&lt;"&amp;DATE(2026,11,2))</f>
        <v/>
      </c>
      <c r="G13" s="21">
        <f>SUMIFS('Trade Log'!$L$4:$L$503,'Trade Log'!$G$4:$G$503,"&gt;="&amp;DATE(2026,10,26),'Trade Log'!$G$4:$G$503,"&lt;"&amp;DATE(2026,11,2))</f>
        <v/>
      </c>
      <c r="H13" s="21">
        <f>IFERROR($G13/$B13,"")</f>
        <v/>
      </c>
      <c r="I13" s="21">
        <f>IFERROR(_xlfn.MAXIFS('Trade Log'!$L$4:$L$503,'Trade Log'!$G$4:$G$503,"&gt;="&amp;DATE(2026,10,26),'Trade Log'!$G$4:$G$503,"&lt;"&amp;DATE(2026,11,2)),"")</f>
        <v/>
      </c>
      <c r="J13" s="21">
        <f>IFERROR(_xlfn.MINIFS('Trade Log'!$L$4:$L$503,'Trade Log'!$G$4:$G$503,"&gt;="&amp;DATE(2026,10,26),'Trade Log'!$G$4:$G$503,"&lt;"&amp;DATE(2026,11,2)),"")</f>
        <v/>
      </c>
      <c r="K13" s="29">
        <f>IFERROR(SUMIFS('Trade Log'!$L$4:$L$503,'Trade Log'!$G$4:$G$503,"&gt;="&amp;DATE(2026,10,26),'Trade Log'!$G$4:$G$503,"&lt;"&amp;DATE(2026,11,2),'Trade Log'!$L$4:$L$503,"&gt;0")/ABS(SUMIFS('Trade Log'!$L$4:$L$503,'Trade Log'!$G$4:$G$503,"&gt;="&amp;DATE(2026,10,26),'Trade Log'!$G$4:$G$503,"&lt;"&amp;DATE(2026,11,2),'Trade Log'!$L$4:$L$503,"&lt;0")),"")</f>
        <v/>
      </c>
    </row>
    <row r="14">
      <c r="A14" s="3" t="inlineStr">
        <is>
          <t>TOTAL</t>
        </is>
      </c>
      <c r="B14" s="30">
        <f>SUM(B10:B13)</f>
        <v/>
      </c>
      <c r="C14" s="30">
        <f>SUM(C10:C13)</f>
        <v/>
      </c>
      <c r="D14" s="30">
        <f>SUM(D10:D13)</f>
        <v/>
      </c>
      <c r="E14" s="31">
        <f>IFERROR(C14/B14,"")</f>
        <v/>
      </c>
      <c r="F14" s="32">
        <f>SUM(F10:F13)</f>
        <v/>
      </c>
      <c r="G14" s="32">
        <f>SUM(G10:G13)</f>
        <v/>
      </c>
      <c r="H14" s="32">
        <f>IFERROR(G14/B14,"")</f>
        <v/>
      </c>
      <c r="K14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2026-10-26T10:17:33Z</dcterms:created>
  <dcterms:modified xmlns:dcterms="http://purl.org/dc/terms/" xmlns:xsi="http://www.w3.org/2001/XMLSchema-instance" xsi:type="dcterms:W3CDTF">2026-10-26T10:17:34Z</dcterms:modified>
</cp:coreProperties>
</file>