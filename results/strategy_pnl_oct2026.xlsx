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962.8200000000001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823.7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834.92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977.26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949.53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673.03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734.54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644.73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665.7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5" s="23" t="inlineStr">
        <is>
          <t>PNGSREVA</t>
        </is>
      </c>
      <c r="C15" s="23" t="inlineStr">
        <is>
          <t>LONG</t>
        </is>
      </c>
      <c r="D15" s="24" t="n">
        <v>46303</v>
      </c>
      <c r="E15" s="25" t="n">
        <v>705.2641</v>
      </c>
      <c r="F15" s="26" t="n">
        <v>213</v>
      </c>
      <c r="G15" s="24" t="n">
        <v>46304</v>
      </c>
      <c r="H15" s="25" t="n">
        <v>693.37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254.86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10-15</t>
        </is>
      </c>
    </row>
    <row r="16">
      <c r="A16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6" s="23" t="inlineStr">
        <is>
          <t>INOXGREEN</t>
        </is>
      </c>
      <c r="C16" s="23" t="inlineStr">
        <is>
          <t>LONG</t>
        </is>
      </c>
      <c r="D16" s="24" t="n">
        <v>46304</v>
      </c>
      <c r="E16" s="25" t="n">
        <v>129.4349</v>
      </c>
      <c r="F16" s="26" t="n">
        <v>1547</v>
      </c>
      <c r="G16" s="24" t="n">
        <v>46307</v>
      </c>
      <c r="H16" s="25" t="n">
        <v>121.63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482.09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DHAN-321261009656509+321261009657209+231261009114209+231261009114409+231261009114609+321261009658609+321261009659109+321261009659509+231261009115709+321261009660509+231261009116209</t>
        </is>
      </c>
      <c r="B17" s="23" t="inlineStr">
        <is>
          <t>RSYSTEMS</t>
        </is>
      </c>
      <c r="C17" s="23" t="inlineStr">
        <is>
          <t>LONG</t>
        </is>
      </c>
      <c r="D17" s="24" t="n">
        <v>46304</v>
      </c>
      <c r="E17" s="25" t="n">
        <v>274.9019</v>
      </c>
      <c r="F17" s="26" t="n">
        <v>727</v>
      </c>
      <c r="G17" s="24" t="n">
        <v>46307</v>
      </c>
      <c r="H17" s="25" t="n">
        <v>263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485.75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18" s="23" t="inlineStr">
        <is>
          <t>SAKSOFT</t>
        </is>
      </c>
      <c r="C18" s="23" t="inlineStr">
        <is>
          <t>LONG</t>
        </is>
      </c>
      <c r="D18" s="24" t="n">
        <v>46304</v>
      </c>
      <c r="E18" s="25" t="n">
        <v>138.9161</v>
      </c>
      <c r="F18" s="26" t="n">
        <v>1443</v>
      </c>
      <c r="G18" s="24" t="n">
        <v>46307</v>
      </c>
      <c r="H18" s="25" t="n">
        <v>140.87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482.51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19" s="23" t="inlineStr">
        <is>
          <t>SMCGLOBAL</t>
        </is>
      </c>
      <c r="C19" s="23" t="inlineStr">
        <is>
          <t>LONG</t>
        </is>
      </c>
      <c r="D19" s="24" t="n">
        <v>46304</v>
      </c>
      <c r="E19" s="25" t="n">
        <v>115.2011</v>
      </c>
      <c r="F19" s="26" t="n">
        <v>864</v>
      </c>
      <c r="G19" s="24" t="n">
        <v>46307</v>
      </c>
      <c r="H19" s="25" t="n">
        <v>115.68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132.93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5-10</t>
        </is>
      </c>
    </row>
    <row r="20">
      <c r="A20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0" s="23" t="inlineStr">
        <is>
          <t>BLUSPRING</t>
        </is>
      </c>
      <c r="C20" s="23" t="inlineStr">
        <is>
          <t>LONG</t>
        </is>
      </c>
      <c r="D20" s="24" t="n">
        <v>46307</v>
      </c>
      <c r="E20" s="25" t="n">
        <v>157.2127</v>
      </c>
      <c r="F20" s="26" t="n">
        <v>1095</v>
      </c>
      <c r="G20" s="24" t="inlineStr"/>
      <c r="H20" s="25" t="inlineStr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50.15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DHAN-221261012636709+221261012637509+321261012626709+221261012638409+23126101284609+34126101276109+221261012640409+34126101277309+34126101277409+221261012641109+321261012630109</t>
        </is>
      </c>
      <c r="B21" s="23" t="inlineStr">
        <is>
          <t>GOODLUCK</t>
        </is>
      </c>
      <c r="C21" s="23" t="inlineStr">
        <is>
          <t>LONG</t>
        </is>
      </c>
      <c r="D21" s="24" t="n">
        <v>46307</v>
      </c>
      <c r="E21" s="25" t="n">
        <v>564.8409</v>
      </c>
      <c r="F21" s="26" t="n">
        <v>303</v>
      </c>
      <c r="G21" s="24" t="inlineStr"/>
      <c r="H21" s="25" t="inlineStr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50.15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10-15</t>
        </is>
      </c>
    </row>
    <row r="22">
      <c r="A22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22" s="23" t="inlineStr">
        <is>
          <t>KOTIC</t>
        </is>
      </c>
      <c r="C22" s="23" t="inlineStr">
        <is>
          <t>LONG</t>
        </is>
      </c>
      <c r="D22" s="24" t="n">
        <v>46303</v>
      </c>
      <c r="E22" s="25" t="n">
        <v>157.0151</v>
      </c>
      <c r="F22" s="26" t="n">
        <v>858</v>
      </c>
      <c r="G22" s="24" t="inlineStr"/>
      <c r="H22" s="25" t="inlineStr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175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5-10</t>
        </is>
      </c>
    </row>
    <row r="23">
      <c r="A23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23" s="23" t="inlineStr">
        <is>
          <t>MMWL</t>
        </is>
      </c>
      <c r="C23" s="23" t="inlineStr">
        <is>
          <t>LONG</t>
        </is>
      </c>
      <c r="D23" s="24" t="n">
        <v>46304</v>
      </c>
      <c r="E23" s="25" t="n">
        <v>20.9882</v>
      </c>
      <c r="F23" s="26" t="n">
        <v>3589</v>
      </c>
      <c r="G23" s="24" t="inlineStr"/>
      <c r="H23" s="25" t="inlineStr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104.2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4" s="23" t="inlineStr">
        <is>
          <t>MMWL</t>
        </is>
      </c>
      <c r="C24" s="23" t="inlineStr">
        <is>
          <t>LONG</t>
        </is>
      </c>
      <c r="D24" s="24" t="n">
        <v>46307</v>
      </c>
      <c r="E24" s="25" t="n">
        <v>22.8999</v>
      </c>
      <c r="F24" s="26" t="n">
        <v>3742</v>
      </c>
      <c r="G24" s="24" t="inlineStr"/>
      <c r="H24" s="25" t="inlineStr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14.75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5" s="23" t="inlineStr">
        <is>
          <t>PRINCEPIPE</t>
        </is>
      </c>
      <c r="C25" s="23" t="inlineStr">
        <is>
          <t>LONG</t>
        </is>
      </c>
      <c r="D25" s="24" t="n">
        <v>46307</v>
      </c>
      <c r="E25" s="25" t="n">
        <v>267.6149</v>
      </c>
      <c r="F25" s="26" t="n">
        <v>641</v>
      </c>
      <c r="G25" s="24" t="inlineStr"/>
      <c r="H25" s="25" t="inlineStr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50.15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5-10</t>
        </is>
      </c>
    </row>
    <row r="26">
      <c r="A26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6" s="23" t="inlineStr">
        <is>
          <t>SUNCLAY</t>
        </is>
      </c>
      <c r="C26" s="23" t="inlineStr">
        <is>
          <t>LONG</t>
        </is>
      </c>
      <c r="D26" s="24" t="n">
        <v>46304</v>
      </c>
      <c r="E26" s="25" t="n">
        <v>1228.0927</v>
      </c>
      <c r="F26" s="26" t="n">
        <v>164</v>
      </c>
      <c r="G26" s="24" t="inlineStr"/>
      <c r="H26" s="25" t="inlineStr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471.71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10-15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inlineStr"/>
      <c r="H27" s="25" t="inlineStr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50.15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DELTACORP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DPABHUSHAN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GOODLUCK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GPTINFRA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INOXGREEN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KOTIC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KRISHNADEF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MMWL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MOBIKWIK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PNGSREVA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PRINCEPIPE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RSYSTEMS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SAKSOFT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SATIN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SGFIN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SMCGLOBAL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SUNCLAY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SWARAJENG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YUKEN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3" t="inlineStr">
        <is>
          <t>TOTAL</t>
        </is>
      </c>
      <c r="B25" s="30">
        <f>SUM(B4:B24)</f>
        <v/>
      </c>
      <c r="C25" s="30">
        <f>SUM(C4:C24)</f>
        <v/>
      </c>
      <c r="D25" s="30">
        <f>SUM(D4:D24)</f>
        <v/>
      </c>
      <c r="E25" s="31">
        <f>IFERROR(C25/B25,"")</f>
        <v/>
      </c>
      <c r="F25" s="32">
        <f>SUM(F4:F24)</f>
        <v/>
      </c>
      <c r="G25" s="32">
        <f>SUM(G4:G24)</f>
        <v/>
      </c>
      <c r="H25" s="32">
        <f>IFERROR(G25/B25,"")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123.79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74.02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74.16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123.45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103.01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41.29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49.49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29.77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41.17</v>
      </c>
      <c r="N14" s="21">
        <f>SUM(E14:M14)</f>
        <v/>
      </c>
    </row>
    <row r="15">
      <c r="A15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5" s="23" t="inlineStr">
        <is>
          <t>PNGSREVA</t>
        </is>
      </c>
      <c r="C15" s="23" t="inlineStr">
        <is>
          <t>LONG</t>
        </is>
      </c>
      <c r="D15" s="24" t="n">
        <v>46304</v>
      </c>
      <c r="E15" s="4" t="n">
        <v>65.06</v>
      </c>
      <c r="F15" s="4" t="n">
        <v>147.69</v>
      </c>
      <c r="G15" s="4" t="n">
        <v>9.15</v>
      </c>
      <c r="H15" s="4" t="n">
        <v>0.3</v>
      </c>
      <c r="I15" s="4" t="n">
        <v>4.51</v>
      </c>
      <c r="J15" s="4" t="n">
        <v>13.41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6" s="23" t="inlineStr">
        <is>
          <t>INOXGREEN</t>
        </is>
      </c>
      <c r="C16" s="23" t="inlineStr">
        <is>
          <t>LONG</t>
        </is>
      </c>
      <c r="D16" s="24" t="n">
        <v>46307</v>
      </c>
      <c r="E16" s="4" t="n">
        <v>60.1</v>
      </c>
      <c r="F16" s="4" t="n">
        <v>200.23</v>
      </c>
      <c r="G16" s="4" t="n">
        <v>6.15</v>
      </c>
      <c r="H16" s="4" t="n">
        <v>0.2</v>
      </c>
      <c r="I16" s="4" t="n">
        <v>30.04</v>
      </c>
      <c r="J16" s="4" t="n">
        <v>11.96</v>
      </c>
      <c r="K16" s="4" t="n">
        <v>14.75</v>
      </c>
      <c r="L16" s="4" t="n">
        <v>35.4</v>
      </c>
      <c r="M16" s="4" t="n">
        <v>123.27</v>
      </c>
      <c r="N16" s="21">
        <f>SUM(E16:M16)</f>
        <v/>
      </c>
    </row>
    <row r="17">
      <c r="A17" s="23" t="inlineStr">
        <is>
          <t>DHAN-321261009656509+321261009657209+231261009114209+231261009114409+231261009114609+321261009658609+321261009659109+321261009659509+231261009115709+321261009660509+231261009116209</t>
        </is>
      </c>
      <c r="B17" s="23" t="inlineStr">
        <is>
          <t>RSYSTEMS</t>
        </is>
      </c>
      <c r="C17" s="23" t="inlineStr">
        <is>
          <t>LONG</t>
        </is>
      </c>
      <c r="D17" s="24" t="n">
        <v>46307</v>
      </c>
      <c r="E17" s="4" t="n">
        <v>59.98</v>
      </c>
      <c r="F17" s="4" t="n">
        <v>199.85</v>
      </c>
      <c r="G17" s="4" t="n">
        <v>6.14</v>
      </c>
      <c r="H17" s="4" t="n">
        <v>0.2</v>
      </c>
      <c r="I17" s="4" t="n">
        <v>29.98</v>
      </c>
      <c r="J17" s="4" t="n">
        <v>11.94</v>
      </c>
      <c r="K17" s="4" t="n">
        <v>14.75</v>
      </c>
      <c r="L17" s="4" t="n">
        <v>35.4</v>
      </c>
      <c r="M17" s="4" t="n">
        <v>127.52</v>
      </c>
      <c r="N17" s="21">
        <f>SUM(E17:M17)</f>
        <v/>
      </c>
    </row>
    <row r="18">
      <c r="A18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18" s="23" t="inlineStr">
        <is>
          <t>SAKSOFT</t>
        </is>
      </c>
      <c r="C18" s="23" t="inlineStr">
        <is>
          <t>LONG</t>
        </is>
      </c>
      <c r="D18" s="24" t="n">
        <v>46307</v>
      </c>
      <c r="E18" s="4" t="n">
        <v>60.11</v>
      </c>
      <c r="F18" s="4" t="n">
        <v>200.46</v>
      </c>
      <c r="G18" s="4" t="n">
        <v>6.15</v>
      </c>
      <c r="H18" s="4" t="n">
        <v>0.2</v>
      </c>
      <c r="I18" s="4" t="n">
        <v>30.07</v>
      </c>
      <c r="J18" s="4" t="n">
        <v>11.96</v>
      </c>
      <c r="K18" s="4" t="n">
        <v>14.75</v>
      </c>
      <c r="L18" s="4" t="n">
        <v>35.4</v>
      </c>
      <c r="M18" s="4" t="n">
        <v>123.4</v>
      </c>
      <c r="N18" s="21">
        <f>SUM(E18:M18)</f>
        <v/>
      </c>
    </row>
    <row r="19">
      <c r="A19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19" s="23" t="inlineStr">
        <is>
          <t>SMCGLOBAL</t>
        </is>
      </c>
      <c r="C19" s="23" t="inlineStr">
        <is>
          <t>LONG</t>
        </is>
      </c>
      <c r="D19" s="24" t="n">
        <v>46307</v>
      </c>
      <c r="E19" s="4" t="n">
        <v>0</v>
      </c>
      <c r="F19" s="4" t="n">
        <v>99.53</v>
      </c>
      <c r="G19" s="4" t="n">
        <v>3.06</v>
      </c>
      <c r="H19" s="4" t="n">
        <v>0.1</v>
      </c>
      <c r="I19" s="4" t="n">
        <v>14.93</v>
      </c>
      <c r="J19" s="4" t="n">
        <v>0.57</v>
      </c>
      <c r="K19" s="4" t="n">
        <v>14.75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0" s="23" t="inlineStr">
        <is>
          <t>BLUSPRING</t>
        </is>
      </c>
      <c r="C20" s="23" t="inlineStr">
        <is>
          <t>LONG</t>
        </is>
      </c>
      <c r="D20" s="24" t="inlineStr"/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14.75</v>
      </c>
      <c r="L20" s="4" t="n">
        <v>35.4</v>
      </c>
      <c r="M20" s="4" t="n">
        <v>0</v>
      </c>
      <c r="N20" s="21">
        <f>SUM(E20:M20)</f>
        <v/>
      </c>
    </row>
    <row r="21">
      <c r="A21" s="23" t="inlineStr">
        <is>
          <t>DHAN-221261012636709+221261012637509+321261012626709+221261012638409+23126101284609+34126101276109+221261012640409+34126101277309+34126101277409+221261012641109+321261012630109</t>
        </is>
      </c>
      <c r="B21" s="23" t="inlineStr">
        <is>
          <t>GOODLUCK</t>
        </is>
      </c>
      <c r="C21" s="23" t="inlineStr">
        <is>
          <t>LONG</t>
        </is>
      </c>
      <c r="D21" s="24" t="inlineStr"/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14.75</v>
      </c>
      <c r="L21" s="4" t="n">
        <v>35.4</v>
      </c>
      <c r="M21" s="4" t="n">
        <v>0</v>
      </c>
      <c r="N21" s="21">
        <f>SUM(E21:M21)</f>
        <v/>
      </c>
    </row>
    <row r="22">
      <c r="A22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22" s="23" t="inlineStr">
        <is>
          <t>KOTIC</t>
        </is>
      </c>
      <c r="C22" s="23" t="inlineStr">
        <is>
          <t>LONG</t>
        </is>
      </c>
      <c r="D22" s="24" t="inlineStr"/>
      <c r="E22" s="4" t="n">
        <v>0</v>
      </c>
      <c r="F22" s="4" t="n">
        <v>134.72</v>
      </c>
      <c r="G22" s="4" t="n">
        <v>4.14</v>
      </c>
      <c r="H22" s="4" t="n">
        <v>0.13</v>
      </c>
      <c r="I22" s="4" t="n">
        <v>20.49</v>
      </c>
      <c r="J22" s="4" t="n">
        <v>0.77</v>
      </c>
      <c r="K22" s="4" t="n">
        <v>14.75</v>
      </c>
      <c r="L22" s="4" t="n">
        <v>0</v>
      </c>
      <c r="M22" s="4" t="n">
        <v>0</v>
      </c>
      <c r="N22" s="21">
        <f>SUM(E22:M22)</f>
        <v/>
      </c>
    </row>
    <row r="23">
      <c r="A23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23" s="23" t="inlineStr">
        <is>
          <t>MMWL</t>
        </is>
      </c>
      <c r="C23" s="23" t="inlineStr">
        <is>
          <t>LONG</t>
        </is>
      </c>
      <c r="D23" s="24" t="inlineStr"/>
      <c r="E23" s="4" t="n">
        <v>0</v>
      </c>
      <c r="F23" s="4" t="n">
        <v>75.33</v>
      </c>
      <c r="G23" s="4" t="n">
        <v>2.31</v>
      </c>
      <c r="H23" s="4" t="n">
        <v>0.08</v>
      </c>
      <c r="I23" s="4" t="n">
        <v>11.3</v>
      </c>
      <c r="J23" s="4" t="n">
        <v>0.43</v>
      </c>
      <c r="K23" s="4" t="n">
        <v>14.75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4" s="23" t="inlineStr">
        <is>
          <t>MMWL</t>
        </is>
      </c>
      <c r="C24" s="23" t="inlineStr">
        <is>
          <t>LONG</t>
        </is>
      </c>
      <c r="D24" s="24" t="inlineStr"/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14.75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5" s="23" t="inlineStr">
        <is>
          <t>PRINCEPIPE</t>
        </is>
      </c>
      <c r="C25" s="23" t="inlineStr">
        <is>
          <t>LONG</t>
        </is>
      </c>
      <c r="D25" s="24" t="inlineStr"/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14.75</v>
      </c>
      <c r="L25" s="4" t="n">
        <v>35.4</v>
      </c>
      <c r="M25" s="4" t="n">
        <v>0</v>
      </c>
      <c r="N25" s="21">
        <f>SUM(E25:M25)</f>
        <v/>
      </c>
    </row>
    <row r="26">
      <c r="A26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6" s="23" t="inlineStr">
        <is>
          <t>SUNCLAY</t>
        </is>
      </c>
      <c r="C26" s="23" t="inlineStr">
        <is>
          <t>LONG</t>
        </is>
      </c>
      <c r="D26" s="24" t="inlineStr"/>
      <c r="E26" s="4" t="n">
        <v>49.11</v>
      </c>
      <c r="F26" s="4" t="n">
        <v>201.41</v>
      </c>
      <c r="G26" s="4" t="n">
        <v>6.18</v>
      </c>
      <c r="H26" s="4" t="n">
        <v>0.2</v>
      </c>
      <c r="I26" s="4" t="n">
        <v>30.68</v>
      </c>
      <c r="J26" s="4" t="n">
        <v>9.99</v>
      </c>
      <c r="K26" s="4" t="n">
        <v>14.75</v>
      </c>
      <c r="L26" s="4" t="n">
        <v>35.4</v>
      </c>
      <c r="M26" s="4" t="n">
        <v>123.99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inlineStr"/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14.75</v>
      </c>
      <c r="L27" s="4" t="n">
        <v>35.4</v>
      </c>
      <c r="M27" s="4" t="n">
        <v>0</v>
      </c>
      <c r="N27" s="21">
        <f>SUM(E27:M27)</f>
        <v/>
      </c>
    </row>
    <row r="28">
      <c r="A28" s="3" t="inlineStr">
        <is>
          <t>TOTAL</t>
        </is>
      </c>
      <c r="E28" s="32">
        <f>SUM(E4:E27)</f>
        <v/>
      </c>
      <c r="F28" s="32">
        <f>SUM(F4:F27)</f>
        <v/>
      </c>
      <c r="G28" s="32">
        <f>SUM(G4:G27)</f>
        <v/>
      </c>
      <c r="H28" s="32">
        <f>SUM(H4:H27)</f>
        <v/>
      </c>
      <c r="I28" s="32">
        <f>SUM(I4:I27)</f>
        <v/>
      </c>
      <c r="J28" s="32">
        <f>SUM(J4:J27)</f>
        <v/>
      </c>
      <c r="K28" s="32">
        <f>SUM(K4:K27)</f>
        <v/>
      </c>
      <c r="L28" s="32">
        <f>SUM(L4:L27)</f>
        <v/>
      </c>
      <c r="M28" s="32">
        <f>SUM(M4:M27)</f>
        <v/>
      </c>
      <c r="N28" s="32">
        <f>SUM(N4:N27)</f>
        <v/>
      </c>
    </row>
  </sheetData>
  <autoFilter ref="A3:N27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2026-10-12T10:16:59Z</dcterms:created>
  <dcterms:modified xmlns:dcterms="http://purl.org/dc/terms/" xmlns:xsi="http://www.w3.org/2001/XMLSchema-instance" xsi:type="dcterms:W3CDTF">2026-10-12T10:16:59Z</dcterms:modified>
</cp:coreProperties>
</file>